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jectable Share" sheetId="1" state="visible" r:id="rId3"/>
    <sheet name="Method &amp; Sources" sheetId="2" state="visible" r:id="rId4"/>
  </sheets>
  <definedNames>
    <definedName function="false" hidden="true" localSheetId="0" name="_xlnm._FilterDatabase" vbProcedure="false">'Injectable Share'!$A$5:$AD$156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<sst xmlns="http://schemas.openxmlformats.org/spreadsheetml/2006/main" count="388" uniqueCount="256">
  <si>
    <t xml:space="preserve">Injectable share of registered products, by API and market</t>
  </si>
  <si>
    <t xml:space="preserve">Injectable share = injectable registrations ÷ all registrations of the molecule (all dosage forms). Share shown only where a market has ≥ minimum records (cell C3). Blue = counts from regulator databases; black = formulas.</t>
  </si>
  <si>
    <t xml:space="preserve">Minimum records per market</t>
  </si>
  <si>
    <t xml:space="preserve">Spread flag threshold</t>
  </si>
  <si>
    <t xml:space="preserve">EU/EEA</t>
  </si>
  <si>
    <t xml:space="preserve">UK</t>
  </si>
  <si>
    <t xml:space="preserve">Canada</t>
  </si>
  <si>
    <t xml:space="preserve">Australia</t>
  </si>
  <si>
    <t xml:space="preserve">South Africa</t>
  </si>
  <si>
    <t xml:space="preserve">UAE</t>
  </si>
  <si>
    <t xml:space="preserve">USA</t>
  </si>
  <si>
    <t xml:space="preserve">Summary (formulas)</t>
  </si>
  <si>
    <t xml:space="preserve">Active Ingredient</t>
  </si>
  <si>
    <t xml:space="preserve">Therapeutic area</t>
  </si>
  <si>
    <t xml:space="preserve">Export ('000 USD)</t>
  </si>
  <si>
    <t xml:space="preserve">Total</t>
  </si>
  <si>
    <t xml:space="preserve">Injectable</t>
  </si>
  <si>
    <t xml:space="preserve">Share</t>
  </si>
  <si>
    <t xml:space="preserve">Markets with data</t>
  </si>
  <si>
    <t xml:space="preserve">Avg injectable share</t>
  </si>
  <si>
    <t xml:space="preserve">Min share</t>
  </si>
  <si>
    <t xml:space="preserve">Max share</t>
  </si>
  <si>
    <t xml:space="preserve">Spread flag</t>
  </si>
  <si>
    <t xml:space="preserve">Injectable-adjusted export ('000 USD)</t>
  </si>
  <si>
    <t xml:space="preserve">Acetazolamide</t>
  </si>
  <si>
    <t xml:space="preserve">Ophthalmic</t>
  </si>
  <si>
    <t xml:space="preserve">Adenosine</t>
  </si>
  <si>
    <t xml:space="preserve">Cardiovascular</t>
  </si>
  <si>
    <t xml:space="preserve">Alfentanil</t>
  </si>
  <si>
    <t xml:space="preserve">Anaesthesia</t>
  </si>
  <si>
    <t xml:space="preserve">Amikacin</t>
  </si>
  <si>
    <t xml:space="preserve">Anti-infective</t>
  </si>
  <si>
    <t xml:space="preserve">Amiodarone</t>
  </si>
  <si>
    <t xml:space="preserve">Amoxicillin</t>
  </si>
  <si>
    <t xml:space="preserve">Ampicillin</t>
  </si>
  <si>
    <t xml:space="preserve">Argatroban</t>
  </si>
  <si>
    <t xml:space="preserve">Haematology</t>
  </si>
  <si>
    <t xml:space="preserve">Aripiprazole</t>
  </si>
  <si>
    <t xml:space="preserve">Psychiatry</t>
  </si>
  <si>
    <t xml:space="preserve">Atracurium</t>
  </si>
  <si>
    <t xml:space="preserve">Atropine</t>
  </si>
  <si>
    <t xml:space="preserve">Critical care</t>
  </si>
  <si>
    <t xml:space="preserve">Azacitidine</t>
  </si>
  <si>
    <t xml:space="preserve">Oncology</t>
  </si>
  <si>
    <t xml:space="preserve">Baclofen</t>
  </si>
  <si>
    <t xml:space="preserve">Neurology</t>
  </si>
  <si>
    <t xml:space="preserve">Bivalirudin</t>
  </si>
  <si>
    <t xml:space="preserve">Bleomycin</t>
  </si>
  <si>
    <t xml:space="preserve">Bortezomib</t>
  </si>
  <si>
    <t xml:space="preserve">Brivaracetam</t>
  </si>
  <si>
    <t xml:space="preserve">Bupivacaine</t>
  </si>
  <si>
    <t xml:space="preserve">Caffeine</t>
  </si>
  <si>
    <t xml:space="preserve">Neonatology</t>
  </si>
  <si>
    <t xml:space="preserve">Carboprost</t>
  </si>
  <si>
    <t xml:space="preserve">Women's health</t>
  </si>
  <si>
    <t xml:space="preserve">Cefazolin</t>
  </si>
  <si>
    <t xml:space="preserve">Cefepime</t>
  </si>
  <si>
    <t xml:space="preserve">Ceftazidime</t>
  </si>
  <si>
    <t xml:space="preserve">Ceftriaxone</t>
  </si>
  <si>
    <t xml:space="preserve">Chlorothiazide</t>
  </si>
  <si>
    <t xml:space="preserve">Cardiovascular / Renal</t>
  </si>
  <si>
    <t xml:space="preserve">Chlorphenamine</t>
  </si>
  <si>
    <t xml:space="preserve">Immunology / Allergy</t>
  </si>
  <si>
    <t xml:space="preserve">Chlorpromazine</t>
  </si>
  <si>
    <t xml:space="preserve">Cisatracurium</t>
  </si>
  <si>
    <t xml:space="preserve">Colistimethate Sodium</t>
  </si>
  <si>
    <t xml:space="preserve">Cyanocobalamin</t>
  </si>
  <si>
    <t xml:space="preserve">Nutrition / Haematology</t>
  </si>
  <si>
    <t xml:space="preserve">Cyclizine</t>
  </si>
  <si>
    <t xml:space="preserve">Gastroenterology</t>
  </si>
  <si>
    <t xml:space="preserve">Cyclophosphamide</t>
  </si>
  <si>
    <t xml:space="preserve">Cytarabine</t>
  </si>
  <si>
    <t xml:space="preserve">Dactinomycin</t>
  </si>
  <si>
    <t xml:space="preserve">Daptomycin</t>
  </si>
  <si>
    <t xml:space="preserve">Degarelix</t>
  </si>
  <si>
    <t xml:space="preserve">Denosumab</t>
  </si>
  <si>
    <t xml:space="preserve">Ortho / Oncology</t>
  </si>
  <si>
    <t xml:space="preserve">Desmopressin</t>
  </si>
  <si>
    <t xml:space="preserve">Endocrinology / Haematology</t>
  </si>
  <si>
    <t xml:space="preserve">Diazepam</t>
  </si>
  <si>
    <t xml:space="preserve">Diphenhydramine</t>
  </si>
  <si>
    <t xml:space="preserve">Doxorubicin</t>
  </si>
  <si>
    <t xml:space="preserve">Droperidol</t>
  </si>
  <si>
    <t xml:space="preserve">Elemental Iron</t>
  </si>
  <si>
    <t xml:space="preserve">Haematology / Nephrology</t>
  </si>
  <si>
    <t xml:space="preserve">Ephedrine</t>
  </si>
  <si>
    <t xml:space="preserve">Epinephrine (Adrenaline)</t>
  </si>
  <si>
    <t xml:space="preserve">Epirubicin</t>
  </si>
  <si>
    <t xml:space="preserve">Eptifibatide</t>
  </si>
  <si>
    <t xml:space="preserve">Eribulin</t>
  </si>
  <si>
    <t xml:space="preserve">Ertapenem</t>
  </si>
  <si>
    <t xml:space="preserve">Esmolol</t>
  </si>
  <si>
    <t xml:space="preserve">Esomeprazole</t>
  </si>
  <si>
    <t xml:space="preserve">Ethacrynate Sodium</t>
  </si>
  <si>
    <t xml:space="preserve">Etomidate</t>
  </si>
  <si>
    <t xml:space="preserve">Famotidine</t>
  </si>
  <si>
    <t xml:space="preserve">Fentanyl</t>
  </si>
  <si>
    <t xml:space="preserve">Anaesthesia / Pain</t>
  </si>
  <si>
    <t xml:space="preserve">Ferric Carboxymaltose</t>
  </si>
  <si>
    <t xml:space="preserve">Flucloxacillin</t>
  </si>
  <si>
    <t xml:space="preserve">Fludarabine Phosphate</t>
  </si>
  <si>
    <t xml:space="preserve">Fluorescein Sodium</t>
  </si>
  <si>
    <t xml:space="preserve">Fluorouracil</t>
  </si>
  <si>
    <t xml:space="preserve">Fluphenazine Decanoate</t>
  </si>
  <si>
    <t xml:space="preserve">Folinic Acid (Leucovorin)</t>
  </si>
  <si>
    <t xml:space="preserve">Oncology supportive</t>
  </si>
  <si>
    <t xml:space="preserve">Fulvestrant</t>
  </si>
  <si>
    <t xml:space="preserve">Gadobutrol</t>
  </si>
  <si>
    <t xml:space="preserve">Diagnostics</t>
  </si>
  <si>
    <t xml:space="preserve">Glycopyrrolate</t>
  </si>
  <si>
    <t xml:space="preserve">Granisetron</t>
  </si>
  <si>
    <t xml:space="preserve">Haloperidol</t>
  </si>
  <si>
    <t xml:space="preserve">Haloperidol Decanoate</t>
  </si>
  <si>
    <t xml:space="preserve">Hyaluronidase</t>
  </si>
  <si>
    <t xml:space="preserve">Anaesthesia / Other</t>
  </si>
  <si>
    <t xml:space="preserve">Hydralazine</t>
  </si>
  <si>
    <t xml:space="preserve">Hydrocortisone</t>
  </si>
  <si>
    <t xml:space="preserve">Endocrinology / Critical care</t>
  </si>
  <si>
    <t xml:space="preserve">Hydroxocobalamin</t>
  </si>
  <si>
    <t xml:space="preserve">Hyoscine Hydrobromide</t>
  </si>
  <si>
    <t xml:space="preserve">Palliative care / Anaesthesia</t>
  </si>
  <si>
    <t xml:space="preserve">Ibandronic Acid</t>
  </si>
  <si>
    <t xml:space="preserve">Ortho</t>
  </si>
  <si>
    <t xml:space="preserve">Idarubicin</t>
  </si>
  <si>
    <t xml:space="preserve">Indocyanine Green</t>
  </si>
  <si>
    <t xml:space="preserve">Iron Sucrose</t>
  </si>
  <si>
    <t xml:space="preserve">Isoprenaline (Isoproterenol)</t>
  </si>
  <si>
    <t xml:space="preserve">Lanreotide</t>
  </si>
  <si>
    <t xml:space="preserve">Endocrinology / Oncology</t>
  </si>
  <si>
    <t xml:space="preserve">Leuprorelin</t>
  </si>
  <si>
    <t xml:space="preserve">Levetiracetam</t>
  </si>
  <si>
    <t xml:space="preserve">Lidocaine</t>
  </si>
  <si>
    <t xml:space="preserve">Lincomycin</t>
  </si>
  <si>
    <t xml:space="preserve">Magnesium Sulfate</t>
  </si>
  <si>
    <t xml:space="preserve">Women's health / Critical care</t>
  </si>
  <si>
    <t xml:space="preserve">Measles Vaccine</t>
  </si>
  <si>
    <t xml:space="preserve">Vaccines</t>
  </si>
  <si>
    <t xml:space="preserve">Medroxyprogesterone Acetate</t>
  </si>
  <si>
    <t xml:space="preserve">Melphalan</t>
  </si>
  <si>
    <t xml:space="preserve">Meropenem</t>
  </si>
  <si>
    <t xml:space="preserve">Mesna</t>
  </si>
  <si>
    <t xml:space="preserve">Metaraminol</t>
  </si>
  <si>
    <t xml:space="preserve">Methohexital</t>
  </si>
  <si>
    <t xml:space="preserve">Methotrexate</t>
  </si>
  <si>
    <t xml:space="preserve">Oncology / Immunology</t>
  </si>
  <si>
    <t xml:space="preserve">Methylprednisolone Acetate</t>
  </si>
  <si>
    <t xml:space="preserve">Ortho / Immunology</t>
  </si>
  <si>
    <t xml:space="preserve">Midazolam</t>
  </si>
  <si>
    <t xml:space="preserve">Milrinone</t>
  </si>
  <si>
    <t xml:space="preserve">Mitomycin</t>
  </si>
  <si>
    <t xml:space="preserve">Mitoxantrone</t>
  </si>
  <si>
    <t xml:space="preserve">Oncology / Neurology</t>
  </si>
  <si>
    <t xml:space="preserve">Morphine</t>
  </si>
  <si>
    <t xml:space="preserve">Pain management</t>
  </si>
  <si>
    <t xml:space="preserve">Nafcillin</t>
  </si>
  <si>
    <t xml:space="preserve">Naloxone</t>
  </si>
  <si>
    <t xml:space="preserve">Neostigmine</t>
  </si>
  <si>
    <t xml:space="preserve">Octreotide</t>
  </si>
  <si>
    <t xml:space="preserve">Olanzapine</t>
  </si>
  <si>
    <t xml:space="preserve">Ondansetron</t>
  </si>
  <si>
    <t xml:space="preserve">Oxacillin</t>
  </si>
  <si>
    <t xml:space="preserve">Oxytocin</t>
  </si>
  <si>
    <t xml:space="preserve">Paclitaxel</t>
  </si>
  <si>
    <t xml:space="preserve">Paliperidone</t>
  </si>
  <si>
    <t xml:space="preserve">Palonosetron</t>
  </si>
  <si>
    <t xml:space="preserve">Pantoprazole</t>
  </si>
  <si>
    <t xml:space="preserve">Paricalcitol</t>
  </si>
  <si>
    <t xml:space="preserve">Nephrology</t>
  </si>
  <si>
    <t xml:space="preserve">Pegfilgrastim</t>
  </si>
  <si>
    <t xml:space="preserve">Pentamidine</t>
  </si>
  <si>
    <t xml:space="preserve">Phenylephrine</t>
  </si>
  <si>
    <t xml:space="preserve">Phenytoin</t>
  </si>
  <si>
    <t xml:space="preserve">Phytonadione</t>
  </si>
  <si>
    <t xml:space="preserve">Piperacillin + Tazobactam</t>
  </si>
  <si>
    <t xml:space="preserve">Plerixafor</t>
  </si>
  <si>
    <t xml:space="preserve">Progesterone</t>
  </si>
  <si>
    <t xml:space="preserve">Propofol</t>
  </si>
  <si>
    <t xml:space="preserve">Protamine</t>
  </si>
  <si>
    <t xml:space="preserve">Ranibizumab</t>
  </si>
  <si>
    <t xml:space="preserve">Regadenoson</t>
  </si>
  <si>
    <t xml:space="preserve">Diagnostics / Cardiovascular</t>
  </si>
  <si>
    <t xml:space="preserve">Remifentanil</t>
  </si>
  <si>
    <t xml:space="preserve">Rocuronium</t>
  </si>
  <si>
    <t xml:space="preserve">Ropivacaine</t>
  </si>
  <si>
    <t xml:space="preserve">Sildenafil</t>
  </si>
  <si>
    <t xml:space="preserve">Sodium Bicarbonate</t>
  </si>
  <si>
    <t xml:space="preserve">Sodium Valproate</t>
  </si>
  <si>
    <t xml:space="preserve">Streptokinase</t>
  </si>
  <si>
    <t xml:space="preserve">Succinylcholine (Suxamethonium)</t>
  </si>
  <si>
    <t xml:space="preserve">Sugammadex</t>
  </si>
  <si>
    <t xml:space="preserve">Teicoplanin</t>
  </si>
  <si>
    <t xml:space="preserve">Terlipressin</t>
  </si>
  <si>
    <t xml:space="preserve">Hepatology</t>
  </si>
  <si>
    <t xml:space="preserve">Testosterone Cypionate</t>
  </si>
  <si>
    <t xml:space="preserve">Endocrinology</t>
  </si>
  <si>
    <t xml:space="preserve">Testosterone Enanthate</t>
  </si>
  <si>
    <t xml:space="preserve">Testosterone Undecanoate</t>
  </si>
  <si>
    <t xml:space="preserve">Thiotepa</t>
  </si>
  <si>
    <t xml:space="preserve">Tigecycline</t>
  </si>
  <si>
    <t xml:space="preserve">Tirofiban</t>
  </si>
  <si>
    <t xml:space="preserve">Tranexamic Acid</t>
  </si>
  <si>
    <t xml:space="preserve">Trastuzumab</t>
  </si>
  <si>
    <t xml:space="preserve">Triamcinolone Acetonide</t>
  </si>
  <si>
    <t xml:space="preserve">Ustekinumab</t>
  </si>
  <si>
    <t xml:space="preserve">Immunology</t>
  </si>
  <si>
    <t xml:space="preserve">Vancomycin</t>
  </si>
  <si>
    <t xml:space="preserve">Vecuronium</t>
  </si>
  <si>
    <t xml:space="preserve">Verapamil</t>
  </si>
  <si>
    <t xml:space="preserve">Vinblastine</t>
  </si>
  <si>
    <t xml:space="preserve">Vincristine</t>
  </si>
  <si>
    <t xml:space="preserve">Vinorelbine</t>
  </si>
  <si>
    <t xml:space="preserve">Voriconazole</t>
  </si>
  <si>
    <t xml:space="preserve">Notes</t>
  </si>
  <si>
    <t xml:space="preserve">"Review" = markets disagree by more than the spread threshold (e.g. a molecule injectable-only in one market but mostly oral in another); check before using the average.</t>
  </si>
  <si>
    <t xml:space="preserve">"n/a" = no market has enough records (mostly US-only molecules such as nafcillin, chlorothiazide, testosterone cypionate).</t>
  </si>
  <si>
    <t xml:space="preserve">Elemental Iron and Iron Sucrose are the same molecule and use the same search.</t>
  </si>
  <si>
    <t xml:space="preserve">Export figures are India's API-level exports from Shortlisted Drugs X Company (6) (all dosage forms, all companies).</t>
  </si>
  <si>
    <t xml:space="preserve">Method &amp; sources</t>
  </si>
  <si>
    <t xml:space="preserve">Database (as supplied by user)</t>
  </si>
  <si>
    <t xml:space="preserve">Tab used / records in scope</t>
  </si>
  <si>
    <t xml:space="preserve">Injectable rule</t>
  </si>
  <si>
    <t xml:space="preserve">Records</t>
  </si>
  <si>
    <t xml:space="preserve">EU/EEA – EMA Article 57 product data (05-Aug-2026)</t>
  </si>
  <si>
    <t xml:space="preserve">Raw Data (Art57 product data); one record = product × authorisation country</t>
  </si>
  <si>
    <t xml:space="preserve">Route of administration is a parenteral route (IV, IM, SC, intradermal, intrathecal, epidural, intravitreal, intra-articular, etc.)</t>
  </si>
  <si>
    <t xml:space="preserve">UK – MHRA licensed products</t>
  </si>
  <si>
    <t xml:space="preserve">Raw Data (UK_Master); one record = product licence</t>
  </si>
  <si>
    <t xml:space="preserve">Product name states injection / infusion / injectable / pre-filled syringe / vial / ampoule</t>
  </si>
  <si>
    <t xml:space="preserve">Canada – Health Canada Drug Product Database</t>
  </si>
  <si>
    <t xml:space="preserve">Canada_Master (Raw Data); human products only, all marketed</t>
  </si>
  <si>
    <t xml:space="preserve">Route of administration is parenteral</t>
  </si>
  <si>
    <t xml:space="preserve">Australia – TGA ARTG</t>
  </si>
  <si>
    <t xml:space="preserve">Raw Data; one record = ARTG entry; export-only listings excluded</t>
  </si>
  <si>
    <t xml:space="preserve">Any component with a parenteral route or an "Injection…" dosage form</t>
  </si>
  <si>
    <t xml:space="preserve">South Africa – NDoH Medicine Price Registry (SEP database)</t>
  </si>
  <si>
    <t xml:space="preserve">DATABASE_OF_MEDICINE_PRICES; discontinued products excluded</t>
  </si>
  <si>
    <t xml:space="preserve">Dosage-form code INJ, INF, PFS, PFP, POI, VAC, CAT, TPN (+ POW where name shows an injectable strength)</t>
  </si>
  <si>
    <t xml:space="preserve">UAE – Emirates Drug Establishment directory</t>
  </si>
  <si>
    <t xml:space="preserve">Raw Data; active registrations only</t>
  </si>
  <si>
    <t xml:space="preserve">Form = Injection / Infusion, or solution/powder whose pack or name shows vial / ampoule / syringe</t>
  </si>
  <si>
    <t xml:space="preserve">USA – FDA NDC Directory (downloaded 07-Oct-2026 from accessdata.fda.gov/cder/ndctext.zip)</t>
  </si>
  <si>
    <t xml:space="preserve">product.txt; human Rx + OTC finished drugs currently listed; relabeller/repackager copies collapsed to one record per application × dosage form × strength</t>
  </si>
  <si>
    <t xml:space="preserve">Route of administration is parenteral, or dosage form contains "INJECTION"</t>
  </si>
  <si>
    <t xml:space="preserve">Brazil – ANVISA master file</t>
  </si>
  <si>
    <t xml:space="preserve">Not used</t>
  </si>
  <si>
    <t xml:space="preserve">No dosage-form or route field in the supplied file</t>
  </si>
  <si>
    <t xml:space="preserve">–</t>
  </si>
  <si>
    <t xml:space="preserve">Matching</t>
  </si>
  <si>
    <t xml:space="preserve">A record counts for an API if its active-ingredient text contains the API name (INN plus common synonyms, e.g. adrenaline/epinephrine, suxamethonium/succinylcholine, lignocaine/lidocaine). Combination products count.</t>
  </si>
  <si>
    <t xml:space="preserve">Exclusions to avoid false matches: levobupivacaine ≠ bupivacaine, cisatracurium ≠ atracurium, hydrochlorothiazide ≠ chlorothiazide, flucloxacillin ≠ oxacillin, noradrenaline ≠ adrenaline, pseudoephedrine ≠ ephedrine, fosphenytoin ≠ phenytoin, etc.</t>
  </si>
  <si>
    <t xml:space="preserve">Ester-specific APIs are searched by ester (fluphenazine decanoate, haloperidol decanoate, methylprednisolone acetate, triamcinolone acetonide, testosterone esters), because the ester defines the injectable form.</t>
  </si>
  <si>
    <t xml:space="preserve">Caveats</t>
  </si>
  <si>
    <t xml:space="preserve">Counts registered products, not sales volume: it shows how a molecule's registered market splits between dosage forms, not unit sales.</t>
  </si>
  <si>
    <t xml:space="preserve">Averaging per-market shares weights each regulator equally. EU counts each national authorisation, so widely authorised products weigh more within the EU figure.</t>
  </si>
  <si>
    <t xml:space="preserve">Australia includes Listed (complementary) medicines, so vitamins (B12, vitamin K) and caffeine show many oral supplement products. This reflects real API demand but lowers the injectable share.</t>
  </si>
  <si>
    <t xml:space="preserve">US records are FDA drug listings: they include OTC and unapproved marketed products, which is why oral-heavy molecules (caffeine, diphenhydramine, phenylephrine) show many US records.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</si>
</sst>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24" min="4" style="0" width="8.5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8" min="27" style="0" width="8"/>
    <col collapsed="false" customWidth="true" hidden="false" outlineLevel="0" max="29" min="29" style="0" width="9"/>
    <col collapsed="false" customWidth="true" hidden="false" outlineLevel="0" max="30" min="30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3</v>
      </c>
      <c r="D3" s="3" t="s">
        <v>3</v>
      </c>
      <c r="F3" s="5" t="n">
        <v>0.5</v>
      </c>
    </row>
    <row r="4" customFormat="false" ht="15" hidden="false" customHeight="true" outlineLevel="0" collapsed="false">
      <c r="A4" s="6"/>
      <c r="B4" s="6"/>
      <c r="C4" s="6"/>
      <c r="D4" s="7" t="s">
        <v>4</v>
      </c>
      <c r="E4" s="7"/>
      <c r="F4" s="7"/>
      <c r="G4" s="7" t="s">
        <v>5</v>
      </c>
      <c r="H4" s="7"/>
      <c r="I4" s="7"/>
      <c r="J4" s="7" t="s">
        <v>6</v>
      </c>
      <c r="K4" s="7"/>
      <c r="L4" s="7"/>
      <c r="M4" s="7" t="s">
        <v>7</v>
      </c>
      <c r="N4" s="7"/>
      <c r="O4" s="7"/>
      <c r="P4" s="7" t="s">
        <v>8</v>
      </c>
      <c r="Q4" s="7"/>
      <c r="R4" s="7"/>
      <c r="S4" s="7" t="s">
        <v>9</v>
      </c>
      <c r="T4" s="7"/>
      <c r="U4" s="7"/>
      <c r="V4" s="7" t="s">
        <v>10</v>
      </c>
      <c r="W4" s="7"/>
      <c r="X4" s="7"/>
      <c r="Y4" s="7" t="s">
        <v>11</v>
      </c>
      <c r="Z4" s="7"/>
      <c r="AA4" s="7"/>
      <c r="AB4" s="7"/>
      <c r="AC4" s="7"/>
      <c r="AD4" s="7"/>
    </row>
    <row r="5" customFormat="false" ht="42" hidden="false" customHeight="true" outlineLevel="0" collapsed="false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15</v>
      </c>
      <c r="H5" s="6" t="s">
        <v>16</v>
      </c>
      <c r="I5" s="6" t="s">
        <v>17</v>
      </c>
      <c r="J5" s="6" t="s">
        <v>15</v>
      </c>
      <c r="K5" s="6" t="s">
        <v>16</v>
      </c>
      <c r="L5" s="6" t="s">
        <v>17</v>
      </c>
      <c r="M5" s="6" t="s">
        <v>15</v>
      </c>
      <c r="N5" s="6" t="s">
        <v>16</v>
      </c>
      <c r="O5" s="6" t="s">
        <v>17</v>
      </c>
      <c r="P5" s="6" t="s">
        <v>15</v>
      </c>
      <c r="Q5" s="6" t="s">
        <v>16</v>
      </c>
      <c r="R5" s="6" t="s">
        <v>17</v>
      </c>
      <c r="S5" s="6" t="s">
        <v>15</v>
      </c>
      <c r="T5" s="6" t="s">
        <v>16</v>
      </c>
      <c r="U5" s="6" t="s">
        <v>17</v>
      </c>
      <c r="V5" s="6" t="s">
        <v>15</v>
      </c>
      <c r="W5" s="6" t="s">
        <v>16</v>
      </c>
      <c r="X5" s="6" t="s">
        <v>17</v>
      </c>
      <c r="Y5" s="6" t="s">
        <v>18</v>
      </c>
      <c r="Z5" s="6" t="s">
        <v>19</v>
      </c>
      <c r="AA5" s="6" t="s">
        <v>20</v>
      </c>
      <c r="AB5" s="6" t="s">
        <v>21</v>
      </c>
      <c r="AC5" s="6" t="s">
        <v>22</v>
      </c>
      <c r="AD5" s="6" t="s">
        <v>23</v>
      </c>
    </row>
    <row r="6" customFormat="false" ht="15" hidden="false" customHeight="false" outlineLevel="0" collapsed="false">
      <c r="A6" s="8" t="s">
        <v>24</v>
      </c>
      <c r="B6" s="8" t="s">
        <v>25</v>
      </c>
      <c r="C6" s="9" t="n">
        <v>8995.42</v>
      </c>
      <c r="D6" s="8" t="n">
        <v>46</v>
      </c>
      <c r="E6" s="8" t="n">
        <v>11</v>
      </c>
      <c r="F6" s="10" t="n">
        <f aca="false">IF(D6&gt;=$C$3,E6/D6,"")</f>
        <v>0.239130434782609</v>
      </c>
      <c r="G6" s="8" t="n">
        <v>14</v>
      </c>
      <c r="H6" s="8" t="n">
        <v>3</v>
      </c>
      <c r="I6" s="10" t="n">
        <f aca="false">IF(G6&gt;=$C$3,H6/G6,"")</f>
        <v>0.214285714285714</v>
      </c>
      <c r="J6" s="8" t="n">
        <v>2</v>
      </c>
      <c r="K6" s="8" t="n">
        <v>1</v>
      </c>
      <c r="L6" s="10" t="str">
        <f aca="false">IF(J6&gt;=$C$3,K6/J6,"")</f>
        <v/>
      </c>
      <c r="M6" s="8" t="n">
        <v>2</v>
      </c>
      <c r="N6" s="8" t="n">
        <v>1</v>
      </c>
      <c r="O6" s="10" t="str">
        <f aca="false">IF(M6&gt;=$C$3,N6/M6,"")</f>
        <v/>
      </c>
      <c r="P6" s="8" t="n">
        <v>1</v>
      </c>
      <c r="Q6" s="8" t="n">
        <v>0</v>
      </c>
      <c r="R6" s="10" t="str">
        <f aca="false">IF(P6&gt;=$C$3,Q6/P6,"")</f>
        <v/>
      </c>
      <c r="S6" s="8" t="n">
        <v>3</v>
      </c>
      <c r="T6" s="8" t="n">
        <v>0</v>
      </c>
      <c r="U6" s="10" t="n">
        <f aca="false">IF(S6&gt;=$C$3,T6/S6,"")</f>
        <v>0</v>
      </c>
      <c r="V6" s="8" t="n">
        <v>35</v>
      </c>
      <c r="W6" s="8" t="n">
        <v>6</v>
      </c>
      <c r="X6" s="10" t="n">
        <f aca="false">IF(V6&gt;=$C$3,W6/V6,"")</f>
        <v>0.171428571428571</v>
      </c>
      <c r="Y6" s="8" t="n">
        <f aca="false">COUNT(F6,I6,L6,O6,R6,U6,X6)</f>
        <v>4</v>
      </c>
      <c r="Z6" s="11" t="n">
        <f aca="false">IF(Y6=0,"n/a",AVERAGE(F6,I6,L6,O6,R6,U6,X6))</f>
        <v>0.156211180124224</v>
      </c>
      <c r="AA6" s="12" t="n">
        <f aca="false">IF(Y6=0,"",MIN(F6,I6,L6,O6,R6,U6,X6))</f>
        <v>0</v>
      </c>
      <c r="AB6" s="11" t="n">
        <f aca="false">IF(Y6=0,"",MAX(F6,I6,L6,O6,R6,U6,X6))</f>
        <v>0.239130434782609</v>
      </c>
      <c r="AC6" s="8" t="str">
        <f aca="false">IF(Y6&lt;2,"",IF(AB6-AA6&gt;$F$3,"Review",""))</f>
        <v/>
      </c>
      <c r="AD6" s="9" t="n">
        <f aca="false">IF(ISNUMBER(Z6),C6*Z6,"")</f>
        <v>1405.18517391304</v>
      </c>
    </row>
    <row r="7" customFormat="false" ht="15" hidden="false" customHeight="false" outlineLevel="0" collapsed="false">
      <c r="A7" s="8" t="s">
        <v>26</v>
      </c>
      <c r="B7" s="8" t="s">
        <v>27</v>
      </c>
      <c r="C7" s="9" t="n">
        <v>4229.67</v>
      </c>
      <c r="D7" s="8" t="n">
        <v>67</v>
      </c>
      <c r="E7" s="8" t="n">
        <v>64</v>
      </c>
      <c r="F7" s="10" t="n">
        <f aca="false">IF(D7&gt;=$C$3,E7/D7,"")</f>
        <v>0.955223880597015</v>
      </c>
      <c r="G7" s="8" t="n">
        <v>10</v>
      </c>
      <c r="H7" s="8" t="n">
        <v>10</v>
      </c>
      <c r="I7" s="10" t="n">
        <f aca="false">IF(G7&gt;=$C$3,H7/G7,"")</f>
        <v>1</v>
      </c>
      <c r="J7" s="8" t="n">
        <v>3</v>
      </c>
      <c r="K7" s="8" t="n">
        <v>3</v>
      </c>
      <c r="L7" s="10" t="n">
        <f aca="false">IF(J7&gt;=$C$3,K7/J7,"")</f>
        <v>1</v>
      </c>
      <c r="M7" s="8" t="n">
        <v>11</v>
      </c>
      <c r="N7" s="8" t="n">
        <v>10</v>
      </c>
      <c r="O7" s="10" t="n">
        <f aca="false">IF(M7&gt;=$C$3,N7/M7,"")</f>
        <v>0.909090909090909</v>
      </c>
      <c r="P7" s="8" t="n">
        <v>2</v>
      </c>
      <c r="Q7" s="8" t="n">
        <v>2</v>
      </c>
      <c r="R7" s="10" t="str">
        <f aca="false">IF(P7&gt;=$C$3,Q7/P7,"")</f>
        <v/>
      </c>
      <c r="S7" s="8" t="n">
        <v>27</v>
      </c>
      <c r="T7" s="8" t="n">
        <v>2</v>
      </c>
      <c r="U7" s="10" t="n">
        <f aca="false">IF(S7&gt;=$C$3,T7/S7,"")</f>
        <v>0.0740740740740741</v>
      </c>
      <c r="V7" s="8" t="n">
        <v>86</v>
      </c>
      <c r="W7" s="8" t="n">
        <v>12</v>
      </c>
      <c r="X7" s="10" t="n">
        <f aca="false">IF(V7&gt;=$C$3,W7/V7,"")</f>
        <v>0.13953488372093</v>
      </c>
      <c r="Y7" s="8" t="n">
        <f aca="false">COUNT(F7,I7,L7,O7,R7,U7,X7)</f>
        <v>6</v>
      </c>
      <c r="Z7" s="11" t="n">
        <f aca="false">IF(Y7=0,"n/a",AVERAGE(F7,I7,L7,O7,R7,U7,X7))</f>
        <v>0.679653957913821</v>
      </c>
      <c r="AA7" s="12" t="n">
        <f aca="false">IF(Y7=0,"",MIN(F7,I7,L7,O7,R7,U7,X7))</f>
        <v>0.0740740740740741</v>
      </c>
      <c r="AB7" s="11" t="n">
        <f aca="false">IF(Y7=0,"",MAX(F7,I7,L7,O7,R7,U7,X7))</f>
        <v>1</v>
      </c>
      <c r="AC7" s="8" t="str">
        <f aca="false">IF(Y7&lt;2,"",IF(AB7-AA7&gt;$F$3,"Review",""))</f>
        <v>Review</v>
      </c>
      <c r="AD7" s="9" t="n">
        <f aca="false">IF(ISNUMBER(Z7),C7*Z7,"")</f>
        <v>2874.71195616935</v>
      </c>
    </row>
    <row r="8" customFormat="false" ht="15" hidden="false" customHeight="false" outlineLevel="0" collapsed="false">
      <c r="A8" s="8" t="s">
        <v>28</v>
      </c>
      <c r="B8" s="8" t="s">
        <v>29</v>
      </c>
      <c r="C8" s="9" t="n">
        <v>15.02</v>
      </c>
      <c r="D8" s="8" t="n">
        <v>40</v>
      </c>
      <c r="E8" s="8" t="n">
        <v>40</v>
      </c>
      <c r="F8" s="10" t="n">
        <f aca="false">IF(D8&gt;=$C$3,E8/D8,"")</f>
        <v>1</v>
      </c>
      <c r="G8" s="8" t="n">
        <v>7</v>
      </c>
      <c r="H8" s="8" t="n">
        <v>6</v>
      </c>
      <c r="I8" s="10" t="n">
        <f aca="false">IF(G8&gt;=$C$3,H8/G8,"")</f>
        <v>0.857142857142857</v>
      </c>
      <c r="J8" s="8" t="n">
        <v>0</v>
      </c>
      <c r="K8" s="8" t="n">
        <v>0</v>
      </c>
      <c r="L8" s="10" t="str">
        <f aca="false">IF(J8&gt;=$C$3,K8/J8,"")</f>
        <v/>
      </c>
      <c r="M8" s="8" t="n">
        <v>10</v>
      </c>
      <c r="N8" s="8" t="n">
        <v>10</v>
      </c>
      <c r="O8" s="10" t="n">
        <f aca="false">IF(M8&gt;=$C$3,N8/M8,"")</f>
        <v>1</v>
      </c>
      <c r="P8" s="8" t="n">
        <v>1</v>
      </c>
      <c r="Q8" s="8" t="n">
        <v>1</v>
      </c>
      <c r="R8" s="10" t="str">
        <f aca="false">IF(P8&gt;=$C$3,Q8/P8,"")</f>
        <v/>
      </c>
      <c r="S8" s="8" t="n">
        <v>2</v>
      </c>
      <c r="T8" s="8" t="n">
        <v>2</v>
      </c>
      <c r="U8" s="10" t="str">
        <f aca="false">IF(S8&gt;=$C$3,T8/S8,"")</f>
        <v/>
      </c>
      <c r="V8" s="8" t="n">
        <v>0</v>
      </c>
      <c r="W8" s="8" t="n">
        <v>0</v>
      </c>
      <c r="X8" s="10" t="str">
        <f aca="false">IF(V8&gt;=$C$3,W8/V8,"")</f>
        <v/>
      </c>
      <c r="Y8" s="8" t="n">
        <f aca="false">COUNT(F8,I8,L8,O8,R8,U8,X8)</f>
        <v>3</v>
      </c>
      <c r="Z8" s="11" t="n">
        <f aca="false">IF(Y8=0,"n/a",AVERAGE(F8,I8,L8,O8,R8,U8,X8))</f>
        <v>0.952380952380952</v>
      </c>
      <c r="AA8" s="12" t="n">
        <f aca="false">IF(Y8=0,"",MIN(F8,I8,L8,O8,R8,U8,X8))</f>
        <v>0.857142857142857</v>
      </c>
      <c r="AB8" s="11" t="n">
        <f aca="false">IF(Y8=0,"",MAX(F8,I8,L8,O8,R8,U8,X8))</f>
        <v>1</v>
      </c>
      <c r="AC8" s="8" t="str">
        <f aca="false">IF(Y8&lt;2,"",IF(AB8-AA8&gt;$F$3,"Review",""))</f>
        <v/>
      </c>
      <c r="AD8" s="9" t="n">
        <f aca="false">IF(ISNUMBER(Z8),C8*Z8,"")</f>
        <v>14.3047619047619</v>
      </c>
    </row>
    <row r="9" customFormat="false" ht="15" hidden="false" customHeight="false" outlineLevel="0" collapsed="false">
      <c r="A9" s="8" t="s">
        <v>30</v>
      </c>
      <c r="B9" s="8" t="s">
        <v>31</v>
      </c>
      <c r="C9" s="9" t="n">
        <v>8785.35</v>
      </c>
      <c r="D9" s="8" t="n">
        <v>115</v>
      </c>
      <c r="E9" s="8" t="n">
        <v>106</v>
      </c>
      <c r="F9" s="10" t="n">
        <f aca="false">IF(D9&gt;=$C$3,E9/D9,"")</f>
        <v>0.921739130434783</v>
      </c>
      <c r="G9" s="8" t="n">
        <v>11</v>
      </c>
      <c r="H9" s="8" t="n">
        <v>10</v>
      </c>
      <c r="I9" s="10" t="n">
        <f aca="false">IF(G9&gt;=$C$3,H9/G9,"")</f>
        <v>0.909090909090909</v>
      </c>
      <c r="J9" s="8" t="n">
        <v>4</v>
      </c>
      <c r="K9" s="8" t="n">
        <v>4</v>
      </c>
      <c r="L9" s="10" t="n">
        <f aca="false">IF(J9&gt;=$C$3,K9/J9,"")</f>
        <v>1</v>
      </c>
      <c r="M9" s="8" t="n">
        <v>15</v>
      </c>
      <c r="N9" s="8" t="n">
        <v>15</v>
      </c>
      <c r="O9" s="10" t="n">
        <f aca="false">IF(M9&gt;=$C$3,N9/M9,"")</f>
        <v>1</v>
      </c>
      <c r="P9" s="8" t="n">
        <v>7</v>
      </c>
      <c r="Q9" s="8" t="n">
        <v>7</v>
      </c>
      <c r="R9" s="10" t="n">
        <f aca="false">IF(P9&gt;=$C$3,Q9/P9,"")</f>
        <v>1</v>
      </c>
      <c r="S9" s="8" t="n">
        <v>4</v>
      </c>
      <c r="T9" s="8" t="n">
        <v>4</v>
      </c>
      <c r="U9" s="10" t="n">
        <f aca="false">IF(S9&gt;=$C$3,T9/S9,"")</f>
        <v>1</v>
      </c>
      <c r="V9" s="8" t="n">
        <v>9</v>
      </c>
      <c r="W9" s="8" t="n">
        <v>8</v>
      </c>
      <c r="X9" s="10" t="n">
        <f aca="false">IF(V9&gt;=$C$3,W9/V9,"")</f>
        <v>0.888888888888889</v>
      </c>
      <c r="Y9" s="8" t="n">
        <f aca="false">COUNT(F9,I9,L9,O9,R9,U9,X9)</f>
        <v>7</v>
      </c>
      <c r="Z9" s="11" t="n">
        <f aca="false">IF(Y9=0,"n/a",AVERAGE(F9,I9,L9,O9,R9,U9,X9))</f>
        <v>0.959959846916369</v>
      </c>
      <c r="AA9" s="12" t="n">
        <f aca="false">IF(Y9=0,"",MIN(F9,I9,L9,O9,R9,U9,X9))</f>
        <v>0.888888888888889</v>
      </c>
      <c r="AB9" s="11" t="n">
        <f aca="false">IF(Y9=0,"",MAX(F9,I9,L9,O9,R9,U9,X9))</f>
        <v>1</v>
      </c>
      <c r="AC9" s="8" t="str">
        <f aca="false">IF(Y9&lt;2,"",IF(AB9-AA9&gt;$F$3,"Review",""))</f>
        <v/>
      </c>
      <c r="AD9" s="9" t="n">
        <f aca="false">IF(ISNUMBER(Z9),C9*Z9,"")</f>
        <v>8433.58324110672</v>
      </c>
    </row>
    <row r="10" customFormat="false" ht="15" hidden="false" customHeight="false" outlineLevel="0" collapsed="false">
      <c r="A10" s="8" t="s">
        <v>32</v>
      </c>
      <c r="B10" s="8" t="s">
        <v>27</v>
      </c>
      <c r="C10" s="9" t="n">
        <v>19089.13</v>
      </c>
      <c r="D10" s="8" t="n">
        <v>139</v>
      </c>
      <c r="E10" s="8" t="n">
        <v>52</v>
      </c>
      <c r="F10" s="10" t="n">
        <f aca="false">IF(D10&gt;=$C$3,E10/D10,"")</f>
        <v>0.37410071942446</v>
      </c>
      <c r="G10" s="8" t="n">
        <v>27</v>
      </c>
      <c r="H10" s="8" t="n">
        <v>5</v>
      </c>
      <c r="I10" s="10" t="n">
        <f aca="false">IF(G10&gt;=$C$3,H10/G10,"")</f>
        <v>0.185185185185185</v>
      </c>
      <c r="J10" s="8" t="n">
        <v>12</v>
      </c>
      <c r="K10" s="8" t="n">
        <v>2</v>
      </c>
      <c r="L10" s="10" t="n">
        <f aca="false">IF(J10&gt;=$C$3,K10/J10,"")</f>
        <v>0.166666666666667</v>
      </c>
      <c r="M10" s="8" t="n">
        <v>8</v>
      </c>
      <c r="N10" s="8" t="n">
        <v>2</v>
      </c>
      <c r="O10" s="10" t="n">
        <f aca="false">IF(M10&gt;=$C$3,N10/M10,"")</f>
        <v>0.25</v>
      </c>
      <c r="P10" s="8" t="n">
        <v>13</v>
      </c>
      <c r="Q10" s="8" t="n">
        <v>6</v>
      </c>
      <c r="R10" s="10" t="n">
        <f aca="false">IF(P10&gt;=$C$3,Q10/P10,"")</f>
        <v>0.461538461538462</v>
      </c>
      <c r="S10" s="8" t="n">
        <v>2</v>
      </c>
      <c r="T10" s="8" t="n">
        <v>1</v>
      </c>
      <c r="U10" s="10" t="str">
        <f aca="false">IF(S10&gt;=$C$3,T10/S10,"")</f>
        <v/>
      </c>
      <c r="V10" s="8" t="n">
        <v>30</v>
      </c>
      <c r="W10" s="8" t="n">
        <v>10</v>
      </c>
      <c r="X10" s="10" t="n">
        <f aca="false">IF(V10&gt;=$C$3,W10/V10,"")</f>
        <v>0.333333333333333</v>
      </c>
      <c r="Y10" s="8" t="n">
        <f aca="false">COUNT(F10,I10,L10,O10,R10,U10,X10)</f>
        <v>6</v>
      </c>
      <c r="Z10" s="11" t="n">
        <f aca="false">IF(Y10=0,"n/a",AVERAGE(F10,I10,L10,O10,R10,U10,X10))</f>
        <v>0.295137394358018</v>
      </c>
      <c r="AA10" s="12" t="n">
        <f aca="false">IF(Y10=0,"",MIN(F10,I10,L10,O10,R10,U10,X10))</f>
        <v>0.166666666666667</v>
      </c>
      <c r="AB10" s="11" t="n">
        <f aca="false">IF(Y10=0,"",MAX(F10,I10,L10,O10,R10,U10,X10))</f>
        <v>0.461538461538462</v>
      </c>
      <c r="AC10" s="8" t="str">
        <f aca="false">IF(Y10&lt;2,"",IF(AB10-AA10&gt;$F$3,"Review",""))</f>
        <v/>
      </c>
      <c r="AD10" s="9" t="n">
        <f aca="false">IF(ISNUMBER(Z10),C10*Z10,"")</f>
        <v>5633.91608876147</v>
      </c>
    </row>
    <row r="11" customFormat="false" ht="15" hidden="false" customHeight="false" outlineLevel="0" collapsed="false">
      <c r="A11" s="8" t="s">
        <v>33</v>
      </c>
      <c r="B11" s="8" t="s">
        <v>31</v>
      </c>
      <c r="C11" s="9" t="n">
        <v>433588.09</v>
      </c>
      <c r="D11" s="8" t="n">
        <v>876</v>
      </c>
      <c r="E11" s="8" t="n">
        <v>133</v>
      </c>
      <c r="F11" s="10" t="n">
        <f aca="false">IF(D11&gt;=$C$3,E11/D11,"")</f>
        <v>0.151826484018265</v>
      </c>
      <c r="G11" s="8" t="n">
        <v>150</v>
      </c>
      <c r="H11" s="8" t="n">
        <v>22</v>
      </c>
      <c r="I11" s="10" t="n">
        <f aca="false">IF(G11&gt;=$C$3,H11/G11,"")</f>
        <v>0.146666666666667</v>
      </c>
      <c r="J11" s="8" t="n">
        <v>60</v>
      </c>
      <c r="K11" s="8" t="n">
        <v>3</v>
      </c>
      <c r="L11" s="10" t="n">
        <f aca="false">IF(J11&gt;=$C$3,K11/J11,"")</f>
        <v>0.05</v>
      </c>
      <c r="M11" s="8" t="n">
        <v>117</v>
      </c>
      <c r="N11" s="8" t="n">
        <v>9</v>
      </c>
      <c r="O11" s="10" t="n">
        <f aca="false">IF(M11&gt;=$C$3,N11/M11,"")</f>
        <v>0.0769230769230769</v>
      </c>
      <c r="P11" s="8" t="n">
        <v>126</v>
      </c>
      <c r="Q11" s="8" t="n">
        <v>10</v>
      </c>
      <c r="R11" s="10" t="n">
        <f aca="false">IF(P11&gt;=$C$3,Q11/P11,"")</f>
        <v>0.0793650793650794</v>
      </c>
      <c r="S11" s="8" t="n">
        <v>98</v>
      </c>
      <c r="T11" s="8" t="n">
        <v>4</v>
      </c>
      <c r="U11" s="10" t="n">
        <f aca="false">IF(S11&gt;=$C$3,T11/S11,"")</f>
        <v>0.0408163265306122</v>
      </c>
      <c r="V11" s="8" t="n">
        <v>95</v>
      </c>
      <c r="W11" s="8" t="n">
        <v>0</v>
      </c>
      <c r="X11" s="10" t="n">
        <f aca="false">IF(V11&gt;=$C$3,W11/V11,"")</f>
        <v>0</v>
      </c>
      <c r="Y11" s="8" t="n">
        <f aca="false">COUNT(F11,I11,L11,O11,R11,U11,X11)</f>
        <v>7</v>
      </c>
      <c r="Z11" s="11" t="n">
        <f aca="false">IF(Y11=0,"n/a",AVERAGE(F11,I11,L11,O11,R11,U11,X11))</f>
        <v>0.0779425190719572</v>
      </c>
      <c r="AA11" s="12" t="n">
        <f aca="false">IF(Y11=0,"",MIN(F11,I11,L11,O11,R11,U11,X11))</f>
        <v>0</v>
      </c>
      <c r="AB11" s="11" t="n">
        <f aca="false">IF(Y11=0,"",MAX(F11,I11,L11,O11,R11,U11,X11))</f>
        <v>0.151826484018265</v>
      </c>
      <c r="AC11" s="8" t="str">
        <f aca="false">IF(Y11&lt;2,"",IF(AB11-AA11&gt;$F$3,"Review",""))</f>
        <v/>
      </c>
      <c r="AD11" s="9" t="n">
        <f aca="false">IF(ISNUMBER(Z11),C11*Z11,"")</f>
        <v>33794.9479741985</v>
      </c>
    </row>
    <row r="12" customFormat="false" ht="15" hidden="false" customHeight="false" outlineLevel="0" collapsed="false">
      <c r="A12" s="8" t="s">
        <v>34</v>
      </c>
      <c r="B12" s="8" t="s">
        <v>31</v>
      </c>
      <c r="C12" s="9" t="n">
        <v>52401.4</v>
      </c>
      <c r="D12" s="8" t="n">
        <v>124</v>
      </c>
      <c r="E12" s="8" t="n">
        <v>110</v>
      </c>
      <c r="F12" s="10" t="n">
        <f aca="false">IF(D12&gt;=$C$3,E12/D12,"")</f>
        <v>0.887096774193548</v>
      </c>
      <c r="G12" s="8" t="n">
        <v>25</v>
      </c>
      <c r="H12" s="8" t="n">
        <v>1</v>
      </c>
      <c r="I12" s="10" t="n">
        <f aca="false">IF(G12&gt;=$C$3,H12/G12,"")</f>
        <v>0.04</v>
      </c>
      <c r="J12" s="8" t="n">
        <v>17</v>
      </c>
      <c r="K12" s="8" t="n">
        <v>15</v>
      </c>
      <c r="L12" s="10" t="n">
        <f aca="false">IF(J12&gt;=$C$3,K12/J12,"")</f>
        <v>0.882352941176471</v>
      </c>
      <c r="M12" s="8" t="n">
        <v>3</v>
      </c>
      <c r="N12" s="8" t="n">
        <v>3</v>
      </c>
      <c r="O12" s="10" t="n">
        <f aca="false">IF(M12&gt;=$C$3,N12/M12,"")</f>
        <v>1</v>
      </c>
      <c r="P12" s="8" t="n">
        <v>30</v>
      </c>
      <c r="Q12" s="8" t="n">
        <v>13</v>
      </c>
      <c r="R12" s="10" t="n">
        <f aca="false">IF(P12&gt;=$C$3,Q12/P12,"")</f>
        <v>0.433333333333333</v>
      </c>
      <c r="S12" s="8" t="n">
        <v>6</v>
      </c>
      <c r="T12" s="8" t="n">
        <v>3</v>
      </c>
      <c r="U12" s="10" t="n">
        <f aca="false">IF(S12&gt;=$C$3,T12/S12,"")</f>
        <v>0.5</v>
      </c>
      <c r="V12" s="8" t="n">
        <v>60</v>
      </c>
      <c r="W12" s="8" t="n">
        <v>57</v>
      </c>
      <c r="X12" s="10" t="n">
        <f aca="false">IF(V12&gt;=$C$3,W12/V12,"")</f>
        <v>0.95</v>
      </c>
      <c r="Y12" s="8" t="n">
        <f aca="false">COUNT(F12,I12,L12,O12,R12,U12,X12)</f>
        <v>7</v>
      </c>
      <c r="Z12" s="11" t="n">
        <f aca="false">IF(Y12=0,"n/a",AVERAGE(F12,I12,L12,O12,R12,U12,X12))</f>
        <v>0.670397578386193</v>
      </c>
      <c r="AA12" s="12" t="n">
        <f aca="false">IF(Y12=0,"",MIN(F12,I12,L12,O12,R12,U12,X12))</f>
        <v>0.04</v>
      </c>
      <c r="AB12" s="11" t="n">
        <f aca="false">IF(Y12=0,"",MAX(F12,I12,L12,O12,R12,U12,X12))</f>
        <v>1</v>
      </c>
      <c r="AC12" s="8" t="str">
        <f aca="false">IF(Y12&lt;2,"",IF(AB12-AA12&gt;$F$3,"Review",""))</f>
        <v>Review</v>
      </c>
      <c r="AD12" s="9" t="n">
        <f aca="false">IF(ISNUMBER(Z12),C12*Z12,"")</f>
        <v>35129.7716640463</v>
      </c>
    </row>
    <row r="13" customFormat="false" ht="15" hidden="false" customHeight="false" outlineLevel="0" collapsed="false">
      <c r="A13" s="8" t="s">
        <v>35</v>
      </c>
      <c r="B13" s="8" t="s">
        <v>36</v>
      </c>
      <c r="C13" s="9" t="n">
        <v>2127.31</v>
      </c>
      <c r="D13" s="8" t="n">
        <v>19</v>
      </c>
      <c r="E13" s="8" t="n">
        <v>19</v>
      </c>
      <c r="F13" s="10" t="n">
        <f aca="false">IF(D13&gt;=$C$3,E13/D13,"")</f>
        <v>1</v>
      </c>
      <c r="G13" s="8" t="n">
        <v>3</v>
      </c>
      <c r="H13" s="8" t="n">
        <v>3</v>
      </c>
      <c r="I13" s="10" t="n">
        <f aca="false">IF(G13&gt;=$C$3,H13/G13,"")</f>
        <v>1</v>
      </c>
      <c r="J13" s="8" t="n">
        <v>2</v>
      </c>
      <c r="K13" s="8" t="n">
        <v>2</v>
      </c>
      <c r="L13" s="10" t="str">
        <f aca="false">IF(J13&gt;=$C$3,K13/J13,"")</f>
        <v/>
      </c>
      <c r="M13" s="8" t="n">
        <v>0</v>
      </c>
      <c r="N13" s="8" t="n">
        <v>0</v>
      </c>
      <c r="O13" s="10" t="str">
        <f aca="false">IF(M13&gt;=$C$3,N13/M13,"")</f>
        <v/>
      </c>
      <c r="P13" s="8" t="n">
        <v>0</v>
      </c>
      <c r="Q13" s="8" t="n">
        <v>0</v>
      </c>
      <c r="R13" s="10" t="str">
        <f aca="false">IF(P13&gt;=$C$3,Q13/P13,"")</f>
        <v/>
      </c>
      <c r="S13" s="8" t="n">
        <v>0</v>
      </c>
      <c r="T13" s="8" t="n">
        <v>0</v>
      </c>
      <c r="U13" s="10" t="str">
        <f aca="false">IF(S13&gt;=$C$3,T13/S13,"")</f>
        <v/>
      </c>
      <c r="V13" s="8" t="n">
        <v>13</v>
      </c>
      <c r="W13" s="8" t="n">
        <v>13</v>
      </c>
      <c r="X13" s="10" t="n">
        <f aca="false">IF(V13&gt;=$C$3,W13/V13,"")</f>
        <v>1</v>
      </c>
      <c r="Y13" s="8" t="n">
        <f aca="false">COUNT(F13,I13,L13,O13,R13,U13,X13)</f>
        <v>3</v>
      </c>
      <c r="Z13" s="11" t="n">
        <f aca="false">IF(Y13=0,"n/a",AVERAGE(F13,I13,L13,O13,R13,U13,X13))</f>
        <v>1</v>
      </c>
      <c r="AA13" s="12" t="n">
        <f aca="false">IF(Y13=0,"",MIN(F13,I13,L13,O13,R13,U13,X13))</f>
        <v>1</v>
      </c>
      <c r="AB13" s="11" t="n">
        <f aca="false">IF(Y13=0,"",MAX(F13,I13,L13,O13,R13,U13,X13))</f>
        <v>1</v>
      </c>
      <c r="AC13" s="8" t="str">
        <f aca="false">IF(Y13&lt;2,"",IF(AB13-AA13&gt;$F$3,"Review",""))</f>
        <v/>
      </c>
      <c r="AD13" s="9" t="n">
        <f aca="false">IF(ISNUMBER(Z13),C13*Z13,"")</f>
        <v>2127.31</v>
      </c>
    </row>
    <row r="14" customFormat="false" ht="15" hidden="false" customHeight="false" outlineLevel="0" collapsed="false">
      <c r="A14" s="8" t="s">
        <v>37</v>
      </c>
      <c r="B14" s="8" t="s">
        <v>38</v>
      </c>
      <c r="C14" s="9" t="n">
        <v>23317.34</v>
      </c>
      <c r="D14" s="8" t="n">
        <v>363</v>
      </c>
      <c r="E14" s="8" t="n">
        <v>51</v>
      </c>
      <c r="F14" s="10" t="n">
        <f aca="false">IF(D14&gt;=$C$3,E14/D14,"")</f>
        <v>0.140495867768595</v>
      </c>
      <c r="G14" s="8" t="n">
        <v>142</v>
      </c>
      <c r="H14" s="8" t="n">
        <v>11</v>
      </c>
      <c r="I14" s="10" t="n">
        <f aca="false">IF(G14&gt;=$C$3,H14/G14,"")</f>
        <v>0.0774647887323944</v>
      </c>
      <c r="J14" s="8" t="n">
        <v>84</v>
      </c>
      <c r="K14" s="8" t="n">
        <v>4</v>
      </c>
      <c r="L14" s="10" t="n">
        <f aca="false">IF(J14&gt;=$C$3,K14/J14,"")</f>
        <v>0.0476190476190476</v>
      </c>
      <c r="M14" s="8" t="n">
        <v>107</v>
      </c>
      <c r="N14" s="8" t="n">
        <v>14</v>
      </c>
      <c r="O14" s="10" t="n">
        <f aca="false">IF(M14&gt;=$C$3,N14/M14,"")</f>
        <v>0.130841121495327</v>
      </c>
      <c r="P14" s="8" t="n">
        <v>45</v>
      </c>
      <c r="Q14" s="8" t="n">
        <v>3</v>
      </c>
      <c r="R14" s="10" t="n">
        <f aca="false">IF(P14&gt;=$C$3,Q14/P14,"")</f>
        <v>0.0666666666666667</v>
      </c>
      <c r="S14" s="8" t="n">
        <v>30</v>
      </c>
      <c r="T14" s="8" t="n">
        <v>2</v>
      </c>
      <c r="U14" s="10" t="n">
        <f aca="false">IF(S14&gt;=$C$3,T14/S14,"")</f>
        <v>0.0666666666666667</v>
      </c>
      <c r="V14" s="8" t="n">
        <v>110</v>
      </c>
      <c r="W14" s="8" t="n">
        <v>7</v>
      </c>
      <c r="X14" s="10" t="n">
        <f aca="false">IF(V14&gt;=$C$3,W14/V14,"")</f>
        <v>0.0636363636363636</v>
      </c>
      <c r="Y14" s="8" t="n">
        <f aca="false">COUNT(F14,I14,L14,O14,R14,U14,X14)</f>
        <v>7</v>
      </c>
      <c r="Z14" s="11" t="n">
        <f aca="false">IF(Y14=0,"n/a",AVERAGE(F14,I14,L14,O14,R14,U14,X14))</f>
        <v>0.0847700746550087</v>
      </c>
      <c r="AA14" s="12" t="n">
        <f aca="false">IF(Y14=0,"",MIN(F14,I14,L14,O14,R14,U14,X14))</f>
        <v>0.0476190476190476</v>
      </c>
      <c r="AB14" s="11" t="n">
        <f aca="false">IF(Y14=0,"",MAX(F14,I14,L14,O14,R14,U14,X14))</f>
        <v>0.140495867768595</v>
      </c>
      <c r="AC14" s="8" t="str">
        <f aca="false">IF(Y14&lt;2,"",IF(AB14-AA14&gt;$F$3,"Review",""))</f>
        <v/>
      </c>
      <c r="AD14" s="9" t="n">
        <f aca="false">IF(ISNUMBER(Z14),C14*Z14,"")</f>
        <v>1976.61265255622</v>
      </c>
    </row>
    <row r="15" customFormat="false" ht="15" hidden="false" customHeight="false" outlineLevel="0" collapsed="false">
      <c r="A15" s="8" t="s">
        <v>39</v>
      </c>
      <c r="B15" s="8" t="s">
        <v>29</v>
      </c>
      <c r="C15" s="9" t="n">
        <v>3257.58</v>
      </c>
      <c r="D15" s="8" t="n">
        <v>48</v>
      </c>
      <c r="E15" s="8" t="n">
        <v>48</v>
      </c>
      <c r="F15" s="10" t="n">
        <f aca="false">IF(D15&gt;=$C$3,E15/D15,"")</f>
        <v>1</v>
      </c>
      <c r="G15" s="8" t="n">
        <v>7</v>
      </c>
      <c r="H15" s="8" t="n">
        <v>7</v>
      </c>
      <c r="I15" s="10" t="n">
        <f aca="false">IF(G15&gt;=$C$3,H15/G15,"")</f>
        <v>1</v>
      </c>
      <c r="J15" s="8" t="n">
        <v>0</v>
      </c>
      <c r="K15" s="8" t="n">
        <v>0</v>
      </c>
      <c r="L15" s="10" t="str">
        <f aca="false">IF(J15&gt;=$C$3,K15/J15,"")</f>
        <v/>
      </c>
      <c r="M15" s="8" t="n">
        <v>6</v>
      </c>
      <c r="N15" s="8" t="n">
        <v>6</v>
      </c>
      <c r="O15" s="10" t="n">
        <f aca="false">IF(M15&gt;=$C$3,N15/M15,"")</f>
        <v>1</v>
      </c>
      <c r="P15" s="8" t="n">
        <v>2</v>
      </c>
      <c r="Q15" s="8" t="n">
        <v>2</v>
      </c>
      <c r="R15" s="10" t="str">
        <f aca="false">IF(P15&gt;=$C$3,Q15/P15,"")</f>
        <v/>
      </c>
      <c r="S15" s="8" t="n">
        <v>0</v>
      </c>
      <c r="T15" s="8" t="n">
        <v>0</v>
      </c>
      <c r="U15" s="10" t="str">
        <f aca="false">IF(S15&gt;=$C$3,T15/S15,"")</f>
        <v/>
      </c>
      <c r="V15" s="8" t="n">
        <v>6</v>
      </c>
      <c r="W15" s="8" t="n">
        <v>6</v>
      </c>
      <c r="X15" s="10" t="n">
        <f aca="false">IF(V15&gt;=$C$3,W15/V15,"")</f>
        <v>1</v>
      </c>
      <c r="Y15" s="8" t="n">
        <f aca="false">COUNT(F15,I15,L15,O15,R15,U15,X15)</f>
        <v>4</v>
      </c>
      <c r="Z15" s="11" t="n">
        <f aca="false">IF(Y15=0,"n/a",AVERAGE(F15,I15,L15,O15,R15,U15,X15))</f>
        <v>1</v>
      </c>
      <c r="AA15" s="12" t="n">
        <f aca="false">IF(Y15=0,"",MIN(F15,I15,L15,O15,R15,U15,X15))</f>
        <v>1</v>
      </c>
      <c r="AB15" s="11" t="n">
        <f aca="false">IF(Y15=0,"",MAX(F15,I15,L15,O15,R15,U15,X15))</f>
        <v>1</v>
      </c>
      <c r="AC15" s="8" t="str">
        <f aca="false">IF(Y15&lt;2,"",IF(AB15-AA15&gt;$F$3,"Review",""))</f>
        <v/>
      </c>
      <c r="AD15" s="9" t="n">
        <f aca="false">IF(ISNUMBER(Z15),C15*Z15,"")</f>
        <v>3257.58</v>
      </c>
    </row>
    <row r="16" customFormat="false" ht="15" hidden="false" customHeight="false" outlineLevel="0" collapsed="false">
      <c r="A16" s="8" t="s">
        <v>40</v>
      </c>
      <c r="B16" s="8" t="s">
        <v>41</v>
      </c>
      <c r="C16" s="9" t="n">
        <v>9295.14</v>
      </c>
      <c r="D16" s="8" t="n">
        <v>302</v>
      </c>
      <c r="E16" s="8" t="n">
        <v>235</v>
      </c>
      <c r="F16" s="10" t="n">
        <f aca="false">IF(D16&gt;=$C$3,E16/D16,"")</f>
        <v>0.778145695364238</v>
      </c>
      <c r="G16" s="8" t="n">
        <v>58</v>
      </c>
      <c r="H16" s="8" t="n">
        <v>41</v>
      </c>
      <c r="I16" s="10" t="n">
        <f aca="false">IF(G16&gt;=$C$3,H16/G16,"")</f>
        <v>0.706896551724138</v>
      </c>
      <c r="J16" s="8" t="n">
        <v>32</v>
      </c>
      <c r="K16" s="8" t="n">
        <v>28</v>
      </c>
      <c r="L16" s="10" t="n">
        <f aca="false">IF(J16&gt;=$C$3,K16/J16,"")</f>
        <v>0.875</v>
      </c>
      <c r="M16" s="8" t="n">
        <v>61</v>
      </c>
      <c r="N16" s="8" t="n">
        <v>46</v>
      </c>
      <c r="O16" s="10" t="n">
        <f aca="false">IF(M16&gt;=$C$3,N16/M16,"")</f>
        <v>0.754098360655738</v>
      </c>
      <c r="P16" s="8" t="n">
        <v>24</v>
      </c>
      <c r="Q16" s="8" t="n">
        <v>13</v>
      </c>
      <c r="R16" s="10" t="n">
        <f aca="false">IF(P16&gt;=$C$3,Q16/P16,"")</f>
        <v>0.541666666666667</v>
      </c>
      <c r="S16" s="8" t="n">
        <v>15</v>
      </c>
      <c r="T16" s="8" t="n">
        <v>13</v>
      </c>
      <c r="U16" s="10" t="n">
        <f aca="false">IF(S16&gt;=$C$3,T16/S16,"")</f>
        <v>0.866666666666667</v>
      </c>
      <c r="V16" s="8" t="n">
        <v>88</v>
      </c>
      <c r="W16" s="8" t="n">
        <v>53</v>
      </c>
      <c r="X16" s="10" t="n">
        <f aca="false">IF(V16&gt;=$C$3,W16/V16,"")</f>
        <v>0.602272727272727</v>
      </c>
      <c r="Y16" s="8" t="n">
        <f aca="false">COUNT(F16,I16,L16,O16,R16,U16,X16)</f>
        <v>7</v>
      </c>
      <c r="Z16" s="11" t="n">
        <f aca="false">IF(Y16=0,"n/a",AVERAGE(F16,I16,L16,O16,R16,U16,X16))</f>
        <v>0.732106666907168</v>
      </c>
      <c r="AA16" s="12" t="n">
        <f aca="false">IF(Y16=0,"",MIN(F16,I16,L16,O16,R16,U16,X16))</f>
        <v>0.541666666666667</v>
      </c>
      <c r="AB16" s="11" t="n">
        <f aca="false">IF(Y16=0,"",MAX(F16,I16,L16,O16,R16,U16,X16))</f>
        <v>0.875</v>
      </c>
      <c r="AC16" s="8" t="str">
        <f aca="false">IF(Y16&lt;2,"",IF(AB16-AA16&gt;$F$3,"Review",""))</f>
        <v/>
      </c>
      <c r="AD16" s="9" t="n">
        <f aca="false">IF(ISNUMBER(Z16),C16*Z16,"")</f>
        <v>6805.03396383549</v>
      </c>
    </row>
    <row r="17" customFormat="false" ht="15" hidden="false" customHeight="false" outlineLevel="0" collapsed="false">
      <c r="A17" s="8" t="s">
        <v>42</v>
      </c>
      <c r="B17" s="8" t="s">
        <v>43</v>
      </c>
      <c r="C17" s="9" t="n">
        <v>50865.56</v>
      </c>
      <c r="D17" s="8" t="n">
        <v>218</v>
      </c>
      <c r="E17" s="8" t="n">
        <v>194</v>
      </c>
      <c r="F17" s="10" t="n">
        <f aca="false">IF(D17&gt;=$C$3,E17/D17,"")</f>
        <v>0.889908256880734</v>
      </c>
      <c r="G17" s="8" t="n">
        <v>24</v>
      </c>
      <c r="H17" s="8" t="n">
        <v>16</v>
      </c>
      <c r="I17" s="10" t="n">
        <f aca="false">IF(G17&gt;=$C$3,H17/G17,"")</f>
        <v>0.666666666666667</v>
      </c>
      <c r="J17" s="8" t="n">
        <v>7</v>
      </c>
      <c r="K17" s="8" t="n">
        <v>5</v>
      </c>
      <c r="L17" s="10" t="n">
        <f aca="false">IF(J17&gt;=$C$3,K17/J17,"")</f>
        <v>0.714285714285714</v>
      </c>
      <c r="M17" s="8" t="n">
        <v>22</v>
      </c>
      <c r="N17" s="8" t="n">
        <v>20</v>
      </c>
      <c r="O17" s="10" t="n">
        <f aca="false">IF(M17&gt;=$C$3,N17/M17,"")</f>
        <v>0.909090909090909</v>
      </c>
      <c r="P17" s="8" t="n">
        <v>4</v>
      </c>
      <c r="Q17" s="8" t="n">
        <v>3</v>
      </c>
      <c r="R17" s="10" t="n">
        <f aca="false">IF(P17&gt;=$C$3,Q17/P17,"")</f>
        <v>0.75</v>
      </c>
      <c r="S17" s="8" t="n">
        <v>4</v>
      </c>
      <c r="T17" s="8" t="n">
        <v>4</v>
      </c>
      <c r="U17" s="10" t="n">
        <f aca="false">IF(S17&gt;=$C$3,T17/S17,"")</f>
        <v>1</v>
      </c>
      <c r="V17" s="8" t="n">
        <v>16</v>
      </c>
      <c r="W17" s="8" t="n">
        <v>14</v>
      </c>
      <c r="X17" s="10" t="n">
        <f aca="false">IF(V17&gt;=$C$3,W17/V17,"")</f>
        <v>0.875</v>
      </c>
      <c r="Y17" s="8" t="n">
        <f aca="false">COUNT(F17,I17,L17,O17,R17,U17,X17)</f>
        <v>7</v>
      </c>
      <c r="Z17" s="11" t="n">
        <f aca="false">IF(Y17=0,"n/a",AVERAGE(F17,I17,L17,O17,R17,U17,X17))</f>
        <v>0.829278792417718</v>
      </c>
      <c r="AA17" s="12" t="n">
        <f aca="false">IF(Y17=0,"",MIN(F17,I17,L17,O17,R17,U17,X17))</f>
        <v>0.666666666666667</v>
      </c>
      <c r="AB17" s="11" t="n">
        <f aca="false">IF(Y17=0,"",MAX(F17,I17,L17,O17,R17,U17,X17))</f>
        <v>1</v>
      </c>
      <c r="AC17" s="8" t="str">
        <f aca="false">IF(Y17&lt;2,"",IF(AB17-AA17&gt;$F$3,"Review",""))</f>
        <v/>
      </c>
      <c r="AD17" s="9" t="n">
        <f aca="false">IF(ISNUMBER(Z17),C17*Z17,"")</f>
        <v>42181.730172451</v>
      </c>
    </row>
    <row r="18" customFormat="false" ht="15" hidden="false" customHeight="false" outlineLevel="0" collapsed="false">
      <c r="A18" s="8" t="s">
        <v>44</v>
      </c>
      <c r="B18" s="8" t="s">
        <v>45</v>
      </c>
      <c r="C18" s="9" t="n">
        <v>13738.53</v>
      </c>
      <c r="D18" s="8" t="n">
        <v>147</v>
      </c>
      <c r="E18" s="8" t="n">
        <v>52</v>
      </c>
      <c r="F18" s="10" t="n">
        <f aca="false">IF(D18&gt;=$C$3,E18/D18,"")</f>
        <v>0.353741496598639</v>
      </c>
      <c r="G18" s="8" t="n">
        <v>50</v>
      </c>
      <c r="H18" s="8" t="n">
        <v>17</v>
      </c>
      <c r="I18" s="10" t="n">
        <f aca="false">IF(G18&gt;=$C$3,H18/G18,"")</f>
        <v>0.34</v>
      </c>
      <c r="J18" s="8" t="n">
        <v>23</v>
      </c>
      <c r="K18" s="8" t="n">
        <v>7</v>
      </c>
      <c r="L18" s="10" t="n">
        <f aca="false">IF(J18&gt;=$C$3,K18/J18,"")</f>
        <v>0.304347826086957</v>
      </c>
      <c r="M18" s="8" t="n">
        <v>25</v>
      </c>
      <c r="N18" s="8" t="n">
        <v>10</v>
      </c>
      <c r="O18" s="10" t="n">
        <f aca="false">IF(M18&gt;=$C$3,N18/M18,"")</f>
        <v>0.4</v>
      </c>
      <c r="P18" s="8" t="n">
        <v>13</v>
      </c>
      <c r="Q18" s="8" t="n">
        <v>4</v>
      </c>
      <c r="R18" s="10" t="n">
        <f aca="false">IF(P18&gt;=$C$3,Q18/P18,"")</f>
        <v>0.307692307692308</v>
      </c>
      <c r="S18" s="8" t="n">
        <v>11</v>
      </c>
      <c r="T18" s="8" t="n">
        <v>7</v>
      </c>
      <c r="U18" s="10" t="n">
        <f aca="false">IF(S18&gt;=$C$3,T18/S18,"")</f>
        <v>0.636363636363636</v>
      </c>
      <c r="V18" s="8" t="n">
        <v>64</v>
      </c>
      <c r="W18" s="8" t="n">
        <v>17</v>
      </c>
      <c r="X18" s="10" t="n">
        <f aca="false">IF(V18&gt;=$C$3,W18/V18,"")</f>
        <v>0.265625</v>
      </c>
      <c r="Y18" s="8" t="n">
        <f aca="false">COUNT(F18,I18,L18,O18,R18,U18,X18)</f>
        <v>7</v>
      </c>
      <c r="Z18" s="11" t="n">
        <f aca="false">IF(Y18=0,"n/a",AVERAGE(F18,I18,L18,O18,R18,U18,X18))</f>
        <v>0.372538609534506</v>
      </c>
      <c r="AA18" s="12" t="n">
        <f aca="false">IF(Y18=0,"",MIN(F18,I18,L18,O18,R18,U18,X18))</f>
        <v>0.265625</v>
      </c>
      <c r="AB18" s="11" t="n">
        <f aca="false">IF(Y18=0,"",MAX(F18,I18,L18,O18,R18,U18,X18))</f>
        <v>0.636363636363636</v>
      </c>
      <c r="AC18" s="8" t="str">
        <f aca="false">IF(Y18&lt;2,"",IF(AB18-AA18&gt;$F$3,"Review",""))</f>
        <v/>
      </c>
      <c r="AD18" s="9" t="n">
        <f aca="false">IF(ISNUMBER(Z18),C18*Z18,"")</f>
        <v>5118.13286324809</v>
      </c>
    </row>
    <row r="19" customFormat="false" ht="15" hidden="false" customHeight="false" outlineLevel="0" collapsed="false">
      <c r="A19" s="8" t="s">
        <v>46</v>
      </c>
      <c r="B19" s="8" t="s">
        <v>27</v>
      </c>
      <c r="C19" s="9" t="n">
        <v>806.34</v>
      </c>
      <c r="D19" s="8" t="n">
        <v>22</v>
      </c>
      <c r="E19" s="8" t="n">
        <v>22</v>
      </c>
      <c r="F19" s="10" t="n">
        <f aca="false">IF(D19&gt;=$C$3,E19/D19,"")</f>
        <v>1</v>
      </c>
      <c r="G19" s="8" t="n">
        <v>3</v>
      </c>
      <c r="H19" s="8" t="n">
        <v>3</v>
      </c>
      <c r="I19" s="10" t="n">
        <f aca="false">IF(G19&gt;=$C$3,H19/G19,"")</f>
        <v>1</v>
      </c>
      <c r="J19" s="8" t="n">
        <v>5</v>
      </c>
      <c r="K19" s="8" t="n">
        <v>5</v>
      </c>
      <c r="L19" s="10" t="n">
        <f aca="false">IF(J19&gt;=$C$3,K19/J19,"")</f>
        <v>1</v>
      </c>
      <c r="M19" s="8" t="n">
        <v>10</v>
      </c>
      <c r="N19" s="8" t="n">
        <v>10</v>
      </c>
      <c r="O19" s="10" t="n">
        <f aca="false">IF(M19&gt;=$C$3,N19/M19,"")</f>
        <v>1</v>
      </c>
      <c r="P19" s="8" t="n">
        <v>0</v>
      </c>
      <c r="Q19" s="8" t="n">
        <v>0</v>
      </c>
      <c r="R19" s="10" t="str">
        <f aca="false">IF(P19&gt;=$C$3,Q19/P19,"")</f>
        <v/>
      </c>
      <c r="S19" s="8" t="n">
        <v>1</v>
      </c>
      <c r="T19" s="8" t="n">
        <v>1</v>
      </c>
      <c r="U19" s="10" t="str">
        <f aca="false">IF(S19&gt;=$C$3,T19/S19,"")</f>
        <v/>
      </c>
      <c r="V19" s="8" t="n">
        <v>10</v>
      </c>
      <c r="W19" s="8" t="n">
        <v>10</v>
      </c>
      <c r="X19" s="10" t="n">
        <f aca="false">IF(V19&gt;=$C$3,W19/V19,"")</f>
        <v>1</v>
      </c>
      <c r="Y19" s="8" t="n">
        <f aca="false">COUNT(F19,I19,L19,O19,R19,U19,X19)</f>
        <v>5</v>
      </c>
      <c r="Z19" s="11" t="n">
        <f aca="false">IF(Y19=0,"n/a",AVERAGE(F19,I19,L19,O19,R19,U19,X19))</f>
        <v>1</v>
      </c>
      <c r="AA19" s="12" t="n">
        <f aca="false">IF(Y19=0,"",MIN(F19,I19,L19,O19,R19,U19,X19))</f>
        <v>1</v>
      </c>
      <c r="AB19" s="11" t="n">
        <f aca="false">IF(Y19=0,"",MAX(F19,I19,L19,O19,R19,U19,X19))</f>
        <v>1</v>
      </c>
      <c r="AC19" s="8" t="str">
        <f aca="false">IF(Y19&lt;2,"",IF(AB19-AA19&gt;$F$3,"Review",""))</f>
        <v/>
      </c>
      <c r="AD19" s="9" t="n">
        <f aca="false">IF(ISNUMBER(Z19),C19*Z19,"")</f>
        <v>806.34</v>
      </c>
    </row>
    <row r="20" customFormat="false" ht="15" hidden="false" customHeight="false" outlineLevel="0" collapsed="false">
      <c r="A20" s="8" t="s">
        <v>47</v>
      </c>
      <c r="B20" s="8" t="s">
        <v>43</v>
      </c>
      <c r="C20" s="9" t="n">
        <v>3973.65</v>
      </c>
      <c r="D20" s="8" t="n">
        <v>39</v>
      </c>
      <c r="E20" s="8" t="n">
        <v>39</v>
      </c>
      <c r="F20" s="10" t="n">
        <f aca="false">IF(D20&gt;=$C$3,E20/D20,"")</f>
        <v>1</v>
      </c>
      <c r="G20" s="8" t="n">
        <v>3</v>
      </c>
      <c r="H20" s="8" t="n">
        <v>3</v>
      </c>
      <c r="I20" s="10" t="n">
        <f aca="false">IF(G20&gt;=$C$3,H20/G20,"")</f>
        <v>1</v>
      </c>
      <c r="J20" s="8" t="n">
        <v>2</v>
      </c>
      <c r="K20" s="8" t="n">
        <v>2</v>
      </c>
      <c r="L20" s="10" t="str">
        <f aca="false">IF(J20&gt;=$C$3,K20/J20,"")</f>
        <v/>
      </c>
      <c r="M20" s="8" t="n">
        <v>5</v>
      </c>
      <c r="N20" s="8" t="n">
        <v>5</v>
      </c>
      <c r="O20" s="10" t="n">
        <f aca="false">IF(M20&gt;=$C$3,N20/M20,"")</f>
        <v>1</v>
      </c>
      <c r="P20" s="8" t="n">
        <v>3</v>
      </c>
      <c r="Q20" s="8" t="n">
        <v>3</v>
      </c>
      <c r="R20" s="10" t="n">
        <f aca="false">IF(P20&gt;=$C$3,Q20/P20,"")</f>
        <v>1</v>
      </c>
      <c r="S20" s="8" t="n">
        <v>0</v>
      </c>
      <c r="T20" s="8" t="n">
        <v>0</v>
      </c>
      <c r="U20" s="10" t="str">
        <f aca="false">IF(S20&gt;=$C$3,T20/S20,"")</f>
        <v/>
      </c>
      <c r="V20" s="8" t="n">
        <v>8</v>
      </c>
      <c r="W20" s="8" t="n">
        <v>8</v>
      </c>
      <c r="X20" s="10" t="n">
        <f aca="false">IF(V20&gt;=$C$3,W20/V20,"")</f>
        <v>1</v>
      </c>
      <c r="Y20" s="8" t="n">
        <f aca="false">COUNT(F20,I20,L20,O20,R20,U20,X20)</f>
        <v>5</v>
      </c>
      <c r="Z20" s="11" t="n">
        <f aca="false">IF(Y20=0,"n/a",AVERAGE(F20,I20,L20,O20,R20,U20,X20))</f>
        <v>1</v>
      </c>
      <c r="AA20" s="12" t="n">
        <f aca="false">IF(Y20=0,"",MIN(F20,I20,L20,O20,R20,U20,X20))</f>
        <v>1</v>
      </c>
      <c r="AB20" s="11" t="n">
        <f aca="false">IF(Y20=0,"",MAX(F20,I20,L20,O20,R20,U20,X20))</f>
        <v>1</v>
      </c>
      <c r="AC20" s="8" t="str">
        <f aca="false">IF(Y20&lt;2,"",IF(AB20-AA20&gt;$F$3,"Review",""))</f>
        <v/>
      </c>
      <c r="AD20" s="9" t="n">
        <f aca="false">IF(ISNUMBER(Z20),C20*Z20,"")</f>
        <v>3973.65</v>
      </c>
    </row>
    <row r="21" customFormat="false" ht="15" hidden="false" customHeight="false" outlineLevel="0" collapsed="false">
      <c r="A21" s="8" t="s">
        <v>48</v>
      </c>
      <c r="B21" s="8" t="s">
        <v>43</v>
      </c>
      <c r="C21" s="9" t="n">
        <v>28093.38</v>
      </c>
      <c r="D21" s="8" t="n">
        <v>228</v>
      </c>
      <c r="E21" s="8" t="n">
        <v>228</v>
      </c>
      <c r="F21" s="10" t="n">
        <f aca="false">IF(D21&gt;=$C$3,E21/D21,"")</f>
        <v>1</v>
      </c>
      <c r="G21" s="8" t="n">
        <v>35</v>
      </c>
      <c r="H21" s="8" t="n">
        <v>35</v>
      </c>
      <c r="I21" s="10" t="n">
        <f aca="false">IF(G21&gt;=$C$3,H21/G21,"")</f>
        <v>1</v>
      </c>
      <c r="J21" s="8" t="n">
        <v>12</v>
      </c>
      <c r="K21" s="8" t="n">
        <v>12</v>
      </c>
      <c r="L21" s="10" t="n">
        <f aca="false">IF(J21&gt;=$C$3,K21/J21,"")</f>
        <v>1</v>
      </c>
      <c r="M21" s="8" t="n">
        <v>41</v>
      </c>
      <c r="N21" s="8" t="n">
        <v>41</v>
      </c>
      <c r="O21" s="10" t="n">
        <f aca="false">IF(M21&gt;=$C$3,N21/M21,"")</f>
        <v>1</v>
      </c>
      <c r="P21" s="8" t="n">
        <v>23</v>
      </c>
      <c r="Q21" s="8" t="n">
        <v>23</v>
      </c>
      <c r="R21" s="10" t="n">
        <f aca="false">IF(P21&gt;=$C$3,Q21/P21,"")</f>
        <v>1</v>
      </c>
      <c r="S21" s="8" t="n">
        <v>9</v>
      </c>
      <c r="T21" s="8" t="n">
        <v>9</v>
      </c>
      <c r="U21" s="10" t="n">
        <f aca="false">IF(S21&gt;=$C$3,T21/S21,"")</f>
        <v>1</v>
      </c>
      <c r="V21" s="8" t="n">
        <v>22</v>
      </c>
      <c r="W21" s="8" t="n">
        <v>22</v>
      </c>
      <c r="X21" s="10" t="n">
        <f aca="false">IF(V21&gt;=$C$3,W21/V21,"")</f>
        <v>1</v>
      </c>
      <c r="Y21" s="8" t="n">
        <f aca="false">COUNT(F21,I21,L21,O21,R21,U21,X21)</f>
        <v>7</v>
      </c>
      <c r="Z21" s="11" t="n">
        <f aca="false">IF(Y21=0,"n/a",AVERAGE(F21,I21,L21,O21,R21,U21,X21))</f>
        <v>1</v>
      </c>
      <c r="AA21" s="12" t="n">
        <f aca="false">IF(Y21=0,"",MIN(F21,I21,L21,O21,R21,U21,X21))</f>
        <v>1</v>
      </c>
      <c r="AB21" s="11" t="n">
        <f aca="false">IF(Y21=0,"",MAX(F21,I21,L21,O21,R21,U21,X21))</f>
        <v>1</v>
      </c>
      <c r="AC21" s="8" t="str">
        <f aca="false">IF(Y21&lt;2,"",IF(AB21-AA21&gt;$F$3,"Review",""))</f>
        <v/>
      </c>
      <c r="AD21" s="9" t="n">
        <f aca="false">IF(ISNUMBER(Z21),C21*Z21,"")</f>
        <v>28093.38</v>
      </c>
    </row>
    <row r="22" customFormat="false" ht="15" hidden="false" customHeight="false" outlineLevel="0" collapsed="false">
      <c r="A22" s="8" t="s">
        <v>49</v>
      </c>
      <c r="B22" s="8" t="s">
        <v>45</v>
      </c>
      <c r="C22" s="9" t="n">
        <v>263.65</v>
      </c>
      <c r="D22" s="8" t="n">
        <v>184</v>
      </c>
      <c r="E22" s="8" t="n">
        <v>12</v>
      </c>
      <c r="F22" s="10" t="n">
        <f aca="false">IF(D22&gt;=$C$3,E22/D22,"")</f>
        <v>0.0652173913043478</v>
      </c>
      <c r="G22" s="8" t="n">
        <v>77</v>
      </c>
      <c r="H22" s="8" t="n">
        <v>2</v>
      </c>
      <c r="I22" s="10" t="n">
        <f aca="false">IF(G22&gt;=$C$3,H22/G22,"")</f>
        <v>0.025974025974026</v>
      </c>
      <c r="J22" s="8" t="n">
        <v>14</v>
      </c>
      <c r="K22" s="8" t="n">
        <v>1</v>
      </c>
      <c r="L22" s="10" t="n">
        <f aca="false">IF(J22&gt;=$C$3,K22/J22,"")</f>
        <v>0.0714285714285714</v>
      </c>
      <c r="M22" s="8" t="n">
        <v>21</v>
      </c>
      <c r="N22" s="8" t="n">
        <v>1</v>
      </c>
      <c r="O22" s="10" t="n">
        <f aca="false">IF(M22&gt;=$C$3,N22/M22,"")</f>
        <v>0.0476190476190476</v>
      </c>
      <c r="P22" s="8" t="n">
        <v>0</v>
      </c>
      <c r="Q22" s="8" t="n">
        <v>0</v>
      </c>
      <c r="R22" s="10" t="str">
        <f aca="false">IF(P22&gt;=$C$3,Q22/P22,"")</f>
        <v/>
      </c>
      <c r="S22" s="8" t="n">
        <v>5</v>
      </c>
      <c r="T22" s="8" t="n">
        <v>1</v>
      </c>
      <c r="U22" s="10" t="n">
        <f aca="false">IF(S22&gt;=$C$3,T22/S22,"")</f>
        <v>0.2</v>
      </c>
      <c r="V22" s="8" t="n">
        <v>46</v>
      </c>
      <c r="W22" s="8" t="n">
        <v>4</v>
      </c>
      <c r="X22" s="10" t="n">
        <f aca="false">IF(V22&gt;=$C$3,W22/V22,"")</f>
        <v>0.0869565217391304</v>
      </c>
      <c r="Y22" s="8" t="n">
        <f aca="false">COUNT(F22,I22,L22,O22,R22,U22,X22)</f>
        <v>6</v>
      </c>
      <c r="Z22" s="11" t="n">
        <f aca="false">IF(Y22=0,"n/a",AVERAGE(F22,I22,L22,O22,R22,U22,X22))</f>
        <v>0.0828659263441872</v>
      </c>
      <c r="AA22" s="12" t="n">
        <f aca="false">IF(Y22=0,"",MIN(F22,I22,L22,O22,R22,U22,X22))</f>
        <v>0.025974025974026</v>
      </c>
      <c r="AB22" s="11" t="n">
        <f aca="false">IF(Y22=0,"",MAX(F22,I22,L22,O22,R22,U22,X22))</f>
        <v>0.2</v>
      </c>
      <c r="AC22" s="8" t="str">
        <f aca="false">IF(Y22&lt;2,"",IF(AB22-AA22&gt;$F$3,"Review",""))</f>
        <v/>
      </c>
      <c r="AD22" s="9" t="n">
        <f aca="false">IF(ISNUMBER(Z22),C22*Z22,"")</f>
        <v>21.847601480645</v>
      </c>
    </row>
    <row r="23" customFormat="false" ht="15" hidden="false" customHeight="false" outlineLevel="0" collapsed="false">
      <c r="A23" s="8" t="s">
        <v>50</v>
      </c>
      <c r="B23" s="8" t="s">
        <v>29</v>
      </c>
      <c r="C23" s="9" t="n">
        <v>16840.43</v>
      </c>
      <c r="D23" s="8" t="n">
        <v>216</v>
      </c>
      <c r="E23" s="8" t="n">
        <v>216</v>
      </c>
      <c r="F23" s="10" t="n">
        <f aca="false">IF(D23&gt;=$C$3,E23/D23,"")</f>
        <v>1</v>
      </c>
      <c r="G23" s="8" t="n">
        <v>28</v>
      </c>
      <c r="H23" s="8" t="n">
        <v>28</v>
      </c>
      <c r="I23" s="10" t="n">
        <f aca="false">IF(G23&gt;=$C$3,H23/G23,"")</f>
        <v>1</v>
      </c>
      <c r="J23" s="8" t="n">
        <v>15</v>
      </c>
      <c r="K23" s="8" t="n">
        <v>12</v>
      </c>
      <c r="L23" s="10" t="n">
        <f aca="false">IF(J23&gt;=$C$3,K23/J23,"")</f>
        <v>0.8</v>
      </c>
      <c r="M23" s="8" t="n">
        <v>28</v>
      </c>
      <c r="N23" s="8" t="n">
        <v>28</v>
      </c>
      <c r="O23" s="10" t="n">
        <f aca="false">IF(M23&gt;=$C$3,N23/M23,"")</f>
        <v>1</v>
      </c>
      <c r="P23" s="8" t="n">
        <v>10</v>
      </c>
      <c r="Q23" s="8" t="n">
        <v>10</v>
      </c>
      <c r="R23" s="10" t="n">
        <f aca="false">IF(P23&gt;=$C$3,Q23/P23,"")</f>
        <v>1</v>
      </c>
      <c r="S23" s="8" t="n">
        <v>6</v>
      </c>
      <c r="T23" s="8" t="n">
        <v>6</v>
      </c>
      <c r="U23" s="10" t="n">
        <f aca="false">IF(S23&gt;=$C$3,T23/S23,"")</f>
        <v>1</v>
      </c>
      <c r="V23" s="8" t="n">
        <v>83</v>
      </c>
      <c r="W23" s="8" t="n">
        <v>83</v>
      </c>
      <c r="X23" s="10" t="n">
        <f aca="false">IF(V23&gt;=$C$3,W23/V23,"")</f>
        <v>1</v>
      </c>
      <c r="Y23" s="8" t="n">
        <f aca="false">COUNT(F23,I23,L23,O23,R23,U23,X23)</f>
        <v>7</v>
      </c>
      <c r="Z23" s="11" t="n">
        <f aca="false">IF(Y23=0,"n/a",AVERAGE(F23,I23,L23,O23,R23,U23,X23))</f>
        <v>0.971428571428571</v>
      </c>
      <c r="AA23" s="12" t="n">
        <f aca="false">IF(Y23=0,"",MIN(F23,I23,L23,O23,R23,U23,X23))</f>
        <v>0.8</v>
      </c>
      <c r="AB23" s="11" t="n">
        <f aca="false">IF(Y23=0,"",MAX(F23,I23,L23,O23,R23,U23,X23))</f>
        <v>1</v>
      </c>
      <c r="AC23" s="8" t="str">
        <f aca="false">IF(Y23&lt;2,"",IF(AB23-AA23&gt;$F$3,"Review",""))</f>
        <v/>
      </c>
      <c r="AD23" s="9" t="n">
        <f aca="false">IF(ISNUMBER(Z23),C23*Z23,"")</f>
        <v>16359.2748571429</v>
      </c>
    </row>
    <row r="24" customFormat="false" ht="15" hidden="false" customHeight="false" outlineLevel="0" collapsed="false">
      <c r="A24" s="8" t="s">
        <v>51</v>
      </c>
      <c r="B24" s="8" t="s">
        <v>52</v>
      </c>
      <c r="C24" s="9" t="n">
        <v>49989.33</v>
      </c>
      <c r="D24" s="8" t="n">
        <v>623</v>
      </c>
      <c r="E24" s="8" t="n">
        <v>14</v>
      </c>
      <c r="F24" s="10" t="n">
        <f aca="false">IF(D24&gt;=$C$3,E24/D24,"")</f>
        <v>0.0224719101123596</v>
      </c>
      <c r="G24" s="8" t="n">
        <v>205</v>
      </c>
      <c r="H24" s="8" t="n">
        <v>6</v>
      </c>
      <c r="I24" s="10" t="n">
        <f aca="false">IF(G24&gt;=$C$3,H24/G24,"")</f>
        <v>0.0292682926829268</v>
      </c>
      <c r="J24" s="8" t="n">
        <v>23</v>
      </c>
      <c r="K24" s="8" t="n">
        <v>2</v>
      </c>
      <c r="L24" s="10" t="n">
        <f aca="false">IF(J24&gt;=$C$3,K24/J24,"")</f>
        <v>0.0869565217391304</v>
      </c>
      <c r="M24" s="8" t="n">
        <v>354</v>
      </c>
      <c r="N24" s="8" t="n">
        <v>1</v>
      </c>
      <c r="O24" s="10" t="n">
        <f aca="false">IF(M24&gt;=$C$3,N24/M24,"")</f>
        <v>0.00282485875706215</v>
      </c>
      <c r="P24" s="8" t="n">
        <v>122</v>
      </c>
      <c r="Q24" s="8" t="n">
        <v>4</v>
      </c>
      <c r="R24" s="10" t="n">
        <f aca="false">IF(P24&gt;=$C$3,Q24/P24,"")</f>
        <v>0.0327868852459016</v>
      </c>
      <c r="S24" s="8" t="n">
        <v>39</v>
      </c>
      <c r="T24" s="8" t="n">
        <v>5</v>
      </c>
      <c r="U24" s="10" t="n">
        <f aca="false">IF(S24&gt;=$C$3,T24/S24,"")</f>
        <v>0.128205128205128</v>
      </c>
      <c r="V24" s="8" t="n">
        <v>139</v>
      </c>
      <c r="W24" s="8" t="n">
        <v>9</v>
      </c>
      <c r="X24" s="10" t="n">
        <f aca="false">IF(V24&gt;=$C$3,W24/V24,"")</f>
        <v>0.0647482014388489</v>
      </c>
      <c r="Y24" s="8" t="n">
        <f aca="false">COUNT(F24,I24,L24,O24,R24,U24,X24)</f>
        <v>7</v>
      </c>
      <c r="Z24" s="11" t="n">
        <f aca="false">IF(Y24=0,"n/a",AVERAGE(F24,I24,L24,O24,R24,U24,X24))</f>
        <v>0.0524659711687654</v>
      </c>
      <c r="AA24" s="12" t="n">
        <f aca="false">IF(Y24=0,"",MIN(F24,I24,L24,O24,R24,U24,X24))</f>
        <v>0.00282485875706215</v>
      </c>
      <c r="AB24" s="11" t="n">
        <f aca="false">IF(Y24=0,"",MAX(F24,I24,L24,O24,R24,U24,X24))</f>
        <v>0.128205128205128</v>
      </c>
      <c r="AC24" s="8" t="str">
        <f aca="false">IF(Y24&lt;2,"",IF(AB24-AA24&gt;$F$3,"Review",""))</f>
        <v/>
      </c>
      <c r="AD24" s="9" t="n">
        <f aca="false">IF(ISNUMBER(Z24),C24*Z24,"")</f>
        <v>2622.7387465259</v>
      </c>
    </row>
    <row r="25" customFormat="false" ht="15" hidden="false" customHeight="false" outlineLevel="0" collapsed="false">
      <c r="A25" s="8" t="s">
        <v>53</v>
      </c>
      <c r="B25" s="8" t="s">
        <v>54</v>
      </c>
      <c r="C25" s="9" t="n">
        <v>3954.83</v>
      </c>
      <c r="D25" s="8" t="n">
        <v>13</v>
      </c>
      <c r="E25" s="8" t="n">
        <v>13</v>
      </c>
      <c r="F25" s="10" t="n">
        <f aca="false">IF(D25&gt;=$C$3,E25/D25,"")</f>
        <v>1</v>
      </c>
      <c r="G25" s="8" t="n">
        <v>3</v>
      </c>
      <c r="H25" s="8" t="n">
        <v>2</v>
      </c>
      <c r="I25" s="10" t="n">
        <f aca="false">IF(G25&gt;=$C$3,H25/G25,"")</f>
        <v>0.666666666666667</v>
      </c>
      <c r="J25" s="8" t="n">
        <v>4</v>
      </c>
      <c r="K25" s="8" t="n">
        <v>4</v>
      </c>
      <c r="L25" s="10" t="n">
        <f aca="false">IF(J25&gt;=$C$3,K25/J25,"")</f>
        <v>1</v>
      </c>
      <c r="M25" s="8" t="n">
        <v>2</v>
      </c>
      <c r="N25" s="8" t="n">
        <v>2</v>
      </c>
      <c r="O25" s="10" t="str">
        <f aca="false">IF(M25&gt;=$C$3,N25/M25,"")</f>
        <v/>
      </c>
      <c r="P25" s="8" t="n">
        <v>0</v>
      </c>
      <c r="Q25" s="8" t="n">
        <v>0</v>
      </c>
      <c r="R25" s="10" t="str">
        <f aca="false">IF(P25&gt;=$C$3,Q25/P25,"")</f>
        <v/>
      </c>
      <c r="S25" s="8" t="n">
        <v>1</v>
      </c>
      <c r="T25" s="8" t="n">
        <v>1</v>
      </c>
      <c r="U25" s="10" t="str">
        <f aca="false">IF(S25&gt;=$C$3,T25/S25,"")</f>
        <v/>
      </c>
      <c r="V25" s="8" t="n">
        <v>15</v>
      </c>
      <c r="W25" s="8" t="n">
        <v>15</v>
      </c>
      <c r="X25" s="10" t="n">
        <f aca="false">IF(V25&gt;=$C$3,W25/V25,"")</f>
        <v>1</v>
      </c>
      <c r="Y25" s="8" t="n">
        <f aca="false">COUNT(F25,I25,L25,O25,R25,U25,X25)</f>
        <v>4</v>
      </c>
      <c r="Z25" s="11" t="n">
        <f aca="false">IF(Y25=0,"n/a",AVERAGE(F25,I25,L25,O25,R25,U25,X25))</f>
        <v>0.916666666666667</v>
      </c>
      <c r="AA25" s="12" t="n">
        <f aca="false">IF(Y25=0,"",MIN(F25,I25,L25,O25,R25,U25,X25))</f>
        <v>0.666666666666667</v>
      </c>
      <c r="AB25" s="11" t="n">
        <f aca="false">IF(Y25=0,"",MAX(F25,I25,L25,O25,R25,U25,X25))</f>
        <v>1</v>
      </c>
      <c r="AC25" s="8" t="str">
        <f aca="false">IF(Y25&lt;2,"",IF(AB25-AA25&gt;$F$3,"Review",""))</f>
        <v/>
      </c>
      <c r="AD25" s="9" t="n">
        <f aca="false">IF(ISNUMBER(Z25),C25*Z25,"")</f>
        <v>3625.26083333333</v>
      </c>
    </row>
    <row r="26" customFormat="false" ht="15" hidden="false" customHeight="false" outlineLevel="0" collapsed="false">
      <c r="A26" s="8" t="s">
        <v>55</v>
      </c>
      <c r="B26" s="8" t="s">
        <v>31</v>
      </c>
      <c r="C26" s="9" t="n">
        <v>1929.98</v>
      </c>
      <c r="D26" s="8" t="n">
        <v>129</v>
      </c>
      <c r="E26" s="8" t="n">
        <v>129</v>
      </c>
      <c r="F26" s="10" t="n">
        <f aca="false">IF(D26&gt;=$C$3,E26/D26,"")</f>
        <v>1</v>
      </c>
      <c r="G26" s="8" t="n">
        <v>4</v>
      </c>
      <c r="H26" s="8" t="n">
        <v>4</v>
      </c>
      <c r="I26" s="10" t="n">
        <f aca="false">IF(G26&gt;=$C$3,H26/G26,"")</f>
        <v>1</v>
      </c>
      <c r="J26" s="8" t="n">
        <v>15</v>
      </c>
      <c r="K26" s="8" t="n">
        <v>15</v>
      </c>
      <c r="L26" s="10" t="n">
        <f aca="false">IF(J26&gt;=$C$3,K26/J26,"")</f>
        <v>1</v>
      </c>
      <c r="M26" s="8" t="n">
        <v>19</v>
      </c>
      <c r="N26" s="8" t="n">
        <v>19</v>
      </c>
      <c r="O26" s="10" t="n">
        <f aca="false">IF(M26&gt;=$C$3,N26/M26,"")</f>
        <v>1</v>
      </c>
      <c r="P26" s="8" t="n">
        <v>16</v>
      </c>
      <c r="Q26" s="8" t="n">
        <v>16</v>
      </c>
      <c r="R26" s="10" t="n">
        <f aca="false">IF(P26&gt;=$C$3,Q26/P26,"")</f>
        <v>1</v>
      </c>
      <c r="S26" s="8" t="n">
        <v>3</v>
      </c>
      <c r="T26" s="8" t="n">
        <v>3</v>
      </c>
      <c r="U26" s="10" t="n">
        <f aca="false">IF(S26&gt;=$C$3,T26/S26,"")</f>
        <v>1</v>
      </c>
      <c r="V26" s="8" t="n">
        <v>30</v>
      </c>
      <c r="W26" s="8" t="n">
        <v>30</v>
      </c>
      <c r="X26" s="10" t="n">
        <f aca="false">IF(V26&gt;=$C$3,W26/V26,"")</f>
        <v>1</v>
      </c>
      <c r="Y26" s="8" t="n">
        <f aca="false">COUNT(F26,I26,L26,O26,R26,U26,X26)</f>
        <v>7</v>
      </c>
      <c r="Z26" s="11" t="n">
        <f aca="false">IF(Y26=0,"n/a",AVERAGE(F26,I26,L26,O26,R26,U26,X26))</f>
        <v>1</v>
      </c>
      <c r="AA26" s="12" t="n">
        <f aca="false">IF(Y26=0,"",MIN(F26,I26,L26,O26,R26,U26,X26))</f>
        <v>1</v>
      </c>
      <c r="AB26" s="11" t="n">
        <f aca="false">IF(Y26=0,"",MAX(F26,I26,L26,O26,R26,U26,X26))</f>
        <v>1</v>
      </c>
      <c r="AC26" s="8" t="str">
        <f aca="false">IF(Y26&lt;2,"",IF(AB26-AA26&gt;$F$3,"Review",""))</f>
        <v/>
      </c>
      <c r="AD26" s="9" t="n">
        <f aca="false">IF(ISNUMBER(Z26),C26*Z26,"")</f>
        <v>1929.98</v>
      </c>
    </row>
    <row r="27" customFormat="false" ht="15" hidden="false" customHeight="false" outlineLevel="0" collapsed="false">
      <c r="A27" s="8" t="s">
        <v>56</v>
      </c>
      <c r="B27" s="8" t="s">
        <v>31</v>
      </c>
      <c r="C27" s="9" t="n">
        <v>6348.25</v>
      </c>
      <c r="D27" s="8" t="n">
        <v>97</v>
      </c>
      <c r="E27" s="8" t="n">
        <v>97</v>
      </c>
      <c r="F27" s="10" t="n">
        <f aca="false">IF(D27&gt;=$C$3,E27/D27,"")</f>
        <v>1</v>
      </c>
      <c r="G27" s="8" t="n">
        <v>3</v>
      </c>
      <c r="H27" s="8" t="n">
        <v>3</v>
      </c>
      <c r="I27" s="10" t="n">
        <f aca="false">IF(G27&gt;=$C$3,H27/G27,"")</f>
        <v>1</v>
      </c>
      <c r="J27" s="8" t="n">
        <v>3</v>
      </c>
      <c r="K27" s="8" t="n">
        <v>3</v>
      </c>
      <c r="L27" s="10" t="n">
        <f aca="false">IF(J27&gt;=$C$3,K27/J27,"")</f>
        <v>1</v>
      </c>
      <c r="M27" s="8" t="n">
        <v>11</v>
      </c>
      <c r="N27" s="8" t="n">
        <v>11</v>
      </c>
      <c r="O27" s="10" t="n">
        <f aca="false">IF(M27&gt;=$C$3,N27/M27,"")</f>
        <v>1</v>
      </c>
      <c r="P27" s="8" t="n">
        <v>17</v>
      </c>
      <c r="Q27" s="8" t="n">
        <v>16</v>
      </c>
      <c r="R27" s="10" t="n">
        <f aca="false">IF(P27&gt;=$C$3,Q27/P27,"")</f>
        <v>0.941176470588235</v>
      </c>
      <c r="S27" s="8" t="n">
        <v>9</v>
      </c>
      <c r="T27" s="8" t="n">
        <v>9</v>
      </c>
      <c r="U27" s="10" t="n">
        <f aca="false">IF(S27&gt;=$C$3,T27/S27,"")</f>
        <v>1</v>
      </c>
      <c r="V27" s="8" t="n">
        <v>12</v>
      </c>
      <c r="W27" s="8" t="n">
        <v>12</v>
      </c>
      <c r="X27" s="10" t="n">
        <f aca="false">IF(V27&gt;=$C$3,W27/V27,"")</f>
        <v>1</v>
      </c>
      <c r="Y27" s="8" t="n">
        <f aca="false">COUNT(F27,I27,L27,O27,R27,U27,X27)</f>
        <v>7</v>
      </c>
      <c r="Z27" s="11" t="n">
        <f aca="false">IF(Y27=0,"n/a",AVERAGE(F27,I27,L27,O27,R27,U27,X27))</f>
        <v>0.991596638655462</v>
      </c>
      <c r="AA27" s="12" t="n">
        <f aca="false">IF(Y27=0,"",MIN(F27,I27,L27,O27,R27,U27,X27))</f>
        <v>0.941176470588235</v>
      </c>
      <c r="AB27" s="11" t="n">
        <f aca="false">IF(Y27=0,"",MAX(F27,I27,L27,O27,R27,U27,X27))</f>
        <v>1</v>
      </c>
      <c r="AC27" s="8" t="str">
        <f aca="false">IF(Y27&lt;2,"",IF(AB27-AA27&gt;$F$3,"Review",""))</f>
        <v/>
      </c>
      <c r="AD27" s="9" t="n">
        <f aca="false">IF(ISNUMBER(Z27),C27*Z27,"")</f>
        <v>6294.90336134454</v>
      </c>
    </row>
    <row r="28" customFormat="false" ht="15" hidden="false" customHeight="false" outlineLevel="0" collapsed="false">
      <c r="A28" s="8" t="s">
        <v>57</v>
      </c>
      <c r="B28" s="8" t="s">
        <v>31</v>
      </c>
      <c r="C28" s="9" t="n">
        <v>5713.56</v>
      </c>
      <c r="D28" s="8" t="n">
        <v>174</v>
      </c>
      <c r="E28" s="8" t="n">
        <v>174</v>
      </c>
      <c r="F28" s="10" t="n">
        <f aca="false">IF(D28&gt;=$C$3,E28/D28,"")</f>
        <v>1</v>
      </c>
      <c r="G28" s="8" t="n">
        <v>30</v>
      </c>
      <c r="H28" s="8" t="n">
        <v>30</v>
      </c>
      <c r="I28" s="10" t="n">
        <f aca="false">IF(G28&gt;=$C$3,H28/G28,"")</f>
        <v>1</v>
      </c>
      <c r="J28" s="8" t="n">
        <v>6</v>
      </c>
      <c r="K28" s="8" t="n">
        <v>6</v>
      </c>
      <c r="L28" s="10" t="n">
        <f aca="false">IF(J28&gt;=$C$3,K28/J28,"")</f>
        <v>1</v>
      </c>
      <c r="M28" s="8" t="n">
        <v>18</v>
      </c>
      <c r="N28" s="8" t="n">
        <v>18</v>
      </c>
      <c r="O28" s="10" t="n">
        <f aca="false">IF(M28&gt;=$C$3,N28/M28,"")</f>
        <v>1</v>
      </c>
      <c r="P28" s="8" t="n">
        <v>16</v>
      </c>
      <c r="Q28" s="8" t="n">
        <v>16</v>
      </c>
      <c r="R28" s="10" t="n">
        <f aca="false">IF(P28&gt;=$C$3,Q28/P28,"")</f>
        <v>1</v>
      </c>
      <c r="S28" s="8" t="n">
        <v>11</v>
      </c>
      <c r="T28" s="8" t="n">
        <v>11</v>
      </c>
      <c r="U28" s="10" t="n">
        <f aca="false">IF(S28&gt;=$C$3,T28/S28,"")</f>
        <v>1</v>
      </c>
      <c r="V28" s="8" t="n">
        <v>7</v>
      </c>
      <c r="W28" s="8" t="n">
        <v>7</v>
      </c>
      <c r="X28" s="10" t="n">
        <f aca="false">IF(V28&gt;=$C$3,W28/V28,"")</f>
        <v>1</v>
      </c>
      <c r="Y28" s="8" t="n">
        <f aca="false">COUNT(F28,I28,L28,O28,R28,U28,X28)</f>
        <v>7</v>
      </c>
      <c r="Z28" s="11" t="n">
        <f aca="false">IF(Y28=0,"n/a",AVERAGE(F28,I28,L28,O28,R28,U28,X28))</f>
        <v>1</v>
      </c>
      <c r="AA28" s="12" t="n">
        <f aca="false">IF(Y28=0,"",MIN(F28,I28,L28,O28,R28,U28,X28))</f>
        <v>1</v>
      </c>
      <c r="AB28" s="11" t="n">
        <f aca="false">IF(Y28=0,"",MAX(F28,I28,L28,O28,R28,U28,X28))</f>
        <v>1</v>
      </c>
      <c r="AC28" s="8" t="str">
        <f aca="false">IF(Y28&lt;2,"",IF(AB28-AA28&gt;$F$3,"Review",""))</f>
        <v/>
      </c>
      <c r="AD28" s="9" t="n">
        <f aca="false">IF(ISNUMBER(Z28),C28*Z28,"")</f>
        <v>5713.56</v>
      </c>
    </row>
    <row r="29" customFormat="false" ht="15" hidden="false" customHeight="false" outlineLevel="0" collapsed="false">
      <c r="A29" s="8" t="s">
        <v>58</v>
      </c>
      <c r="B29" s="8" t="s">
        <v>31</v>
      </c>
      <c r="C29" s="9" t="n">
        <v>93119.22</v>
      </c>
      <c r="D29" s="8" t="n">
        <v>277</v>
      </c>
      <c r="E29" s="8" t="n">
        <v>277</v>
      </c>
      <c r="F29" s="10" t="n">
        <f aca="false">IF(D29&gt;=$C$3,E29/D29,"")</f>
        <v>1</v>
      </c>
      <c r="G29" s="8" t="n">
        <v>35</v>
      </c>
      <c r="H29" s="8" t="n">
        <v>35</v>
      </c>
      <c r="I29" s="10" t="n">
        <f aca="false">IF(G29&gt;=$C$3,H29/G29,"")</f>
        <v>1</v>
      </c>
      <c r="J29" s="8" t="n">
        <v>13</v>
      </c>
      <c r="K29" s="8" t="n">
        <v>13</v>
      </c>
      <c r="L29" s="10" t="n">
        <f aca="false">IF(J29&gt;=$C$3,K29/J29,"")</f>
        <v>1</v>
      </c>
      <c r="M29" s="8" t="n">
        <v>18</v>
      </c>
      <c r="N29" s="8" t="n">
        <v>18</v>
      </c>
      <c r="O29" s="10" t="n">
        <f aca="false">IF(M29&gt;=$C$3,N29/M29,"")</f>
        <v>1</v>
      </c>
      <c r="P29" s="8" t="n">
        <v>59</v>
      </c>
      <c r="Q29" s="8" t="n">
        <v>59</v>
      </c>
      <c r="R29" s="10" t="n">
        <f aca="false">IF(P29&gt;=$C$3,Q29/P29,"")</f>
        <v>1</v>
      </c>
      <c r="S29" s="8" t="n">
        <v>37</v>
      </c>
      <c r="T29" s="8" t="n">
        <v>37</v>
      </c>
      <c r="U29" s="10" t="n">
        <f aca="false">IF(S29&gt;=$C$3,T29/S29,"")</f>
        <v>1</v>
      </c>
      <c r="V29" s="8" t="n">
        <v>26</v>
      </c>
      <c r="W29" s="8" t="n">
        <v>26</v>
      </c>
      <c r="X29" s="10" t="n">
        <f aca="false">IF(V29&gt;=$C$3,W29/V29,"")</f>
        <v>1</v>
      </c>
      <c r="Y29" s="8" t="n">
        <f aca="false">COUNT(F29,I29,L29,O29,R29,U29,X29)</f>
        <v>7</v>
      </c>
      <c r="Z29" s="11" t="n">
        <f aca="false">IF(Y29=0,"n/a",AVERAGE(F29,I29,L29,O29,R29,U29,X29))</f>
        <v>1</v>
      </c>
      <c r="AA29" s="12" t="n">
        <f aca="false">IF(Y29=0,"",MIN(F29,I29,L29,O29,R29,U29,X29))</f>
        <v>1</v>
      </c>
      <c r="AB29" s="11" t="n">
        <f aca="false">IF(Y29=0,"",MAX(F29,I29,L29,O29,R29,U29,X29))</f>
        <v>1</v>
      </c>
      <c r="AC29" s="8" t="str">
        <f aca="false">IF(Y29&lt;2,"",IF(AB29-AA29&gt;$F$3,"Review",""))</f>
        <v/>
      </c>
      <c r="AD29" s="9" t="n">
        <f aca="false">IF(ISNUMBER(Z29),C29*Z29,"")</f>
        <v>93119.22</v>
      </c>
    </row>
    <row r="30" customFormat="false" ht="15" hidden="false" customHeight="false" outlineLevel="0" collapsed="false">
      <c r="A30" s="8" t="s">
        <v>59</v>
      </c>
      <c r="B30" s="8" t="s">
        <v>60</v>
      </c>
      <c r="C30" s="9" t="n">
        <v>3589.61</v>
      </c>
      <c r="D30" s="8" t="n">
        <v>0</v>
      </c>
      <c r="E30" s="8" t="n">
        <v>0</v>
      </c>
      <c r="F30" s="10" t="str">
        <f aca="false">IF(D30&gt;=$C$3,E30/D30,"")</f>
        <v/>
      </c>
      <c r="G30" s="8" t="n">
        <v>0</v>
      </c>
      <c r="H30" s="8" t="n">
        <v>0</v>
      </c>
      <c r="I30" s="10" t="str">
        <f aca="false">IF(G30&gt;=$C$3,H30/G30,"")</f>
        <v/>
      </c>
      <c r="J30" s="8" t="n">
        <v>0</v>
      </c>
      <c r="K30" s="8" t="n">
        <v>0</v>
      </c>
      <c r="L30" s="10" t="str">
        <f aca="false">IF(J30&gt;=$C$3,K30/J30,"")</f>
        <v/>
      </c>
      <c r="M30" s="8" t="n">
        <v>0</v>
      </c>
      <c r="N30" s="8" t="n">
        <v>0</v>
      </c>
      <c r="O30" s="10" t="str">
        <f aca="false">IF(M30&gt;=$C$3,N30/M30,"")</f>
        <v/>
      </c>
      <c r="P30" s="8" t="n">
        <v>0</v>
      </c>
      <c r="Q30" s="8" t="n">
        <v>0</v>
      </c>
      <c r="R30" s="10" t="str">
        <f aca="false">IF(P30&gt;=$C$3,Q30/P30,"")</f>
        <v/>
      </c>
      <c r="S30" s="8" t="n">
        <v>0</v>
      </c>
      <c r="T30" s="8" t="n">
        <v>0</v>
      </c>
      <c r="U30" s="10" t="str">
        <f aca="false">IF(S30&gt;=$C$3,T30/S30,"")</f>
        <v/>
      </c>
      <c r="V30" s="8" t="n">
        <v>6</v>
      </c>
      <c r="W30" s="8" t="n">
        <v>5</v>
      </c>
      <c r="X30" s="10" t="n">
        <f aca="false">IF(V30&gt;=$C$3,W30/V30,"")</f>
        <v>0.833333333333333</v>
      </c>
      <c r="Y30" s="8" t="n">
        <f aca="false">COUNT(F30,I30,L30,O30,R30,U30,X30)</f>
        <v>1</v>
      </c>
      <c r="Z30" s="11" t="n">
        <f aca="false">IF(Y30=0,"n/a",AVERAGE(F30,I30,L30,O30,R30,U30,X30))</f>
        <v>0.833333333333333</v>
      </c>
      <c r="AA30" s="12" t="n">
        <f aca="false">IF(Y30=0,"",MIN(F30,I30,L30,O30,R30,U30,X30))</f>
        <v>0.833333333333333</v>
      </c>
      <c r="AB30" s="11" t="n">
        <f aca="false">IF(Y30=0,"",MAX(F30,I30,L30,O30,R30,U30,X30))</f>
        <v>0.833333333333333</v>
      </c>
      <c r="AC30" s="8" t="str">
        <f aca="false">IF(Y30&lt;2,"",IF(AB30-AA30&gt;$F$3,"Review",""))</f>
        <v/>
      </c>
      <c r="AD30" s="9" t="n">
        <f aca="false">IF(ISNUMBER(Z30),C30*Z30,"")</f>
        <v>2991.34166666667</v>
      </c>
    </row>
    <row r="31" customFormat="false" ht="15" hidden="false" customHeight="false" outlineLevel="0" collapsed="false">
      <c r="A31" s="8" t="s">
        <v>61</v>
      </c>
      <c r="B31" s="8" t="s">
        <v>62</v>
      </c>
      <c r="C31" s="9" t="n">
        <v>7691.34</v>
      </c>
      <c r="D31" s="8" t="n">
        <v>201</v>
      </c>
      <c r="E31" s="8" t="n">
        <v>6</v>
      </c>
      <c r="F31" s="10" t="n">
        <f aca="false">IF(D31&gt;=$C$3,E31/D31,"")</f>
        <v>0.0298507462686567</v>
      </c>
      <c r="G31" s="8" t="n">
        <v>36</v>
      </c>
      <c r="H31" s="8" t="n">
        <v>4</v>
      </c>
      <c r="I31" s="10" t="n">
        <f aca="false">IF(G31&gt;=$C$3,H31/G31,"")</f>
        <v>0.111111111111111</v>
      </c>
      <c r="J31" s="8" t="n">
        <v>38</v>
      </c>
      <c r="K31" s="8" t="n">
        <v>0</v>
      </c>
      <c r="L31" s="10" t="n">
        <f aca="false">IF(J31&gt;=$C$3,K31/J31,"")</f>
        <v>0</v>
      </c>
      <c r="M31" s="8" t="n">
        <v>101</v>
      </c>
      <c r="N31" s="8" t="n">
        <v>0</v>
      </c>
      <c r="O31" s="10" t="n">
        <f aca="false">IF(M31&gt;=$C$3,N31/M31,"")</f>
        <v>0</v>
      </c>
      <c r="P31" s="8" t="n">
        <v>72</v>
      </c>
      <c r="Q31" s="8" t="n">
        <v>0</v>
      </c>
      <c r="R31" s="10" t="n">
        <f aca="false">IF(P31&gt;=$C$3,Q31/P31,"")</f>
        <v>0</v>
      </c>
      <c r="S31" s="8" t="n">
        <v>14</v>
      </c>
      <c r="T31" s="8" t="n">
        <v>0</v>
      </c>
      <c r="U31" s="10" t="n">
        <f aca="false">IF(S31&gt;=$C$3,T31/S31,"")</f>
        <v>0</v>
      </c>
      <c r="V31" s="8" t="n">
        <v>118</v>
      </c>
      <c r="W31" s="8" t="n">
        <v>0</v>
      </c>
      <c r="X31" s="10" t="n">
        <f aca="false">IF(V31&gt;=$C$3,W31/V31,"")</f>
        <v>0</v>
      </c>
      <c r="Y31" s="8" t="n">
        <f aca="false">COUNT(F31,I31,L31,O31,R31,U31,X31)</f>
        <v>7</v>
      </c>
      <c r="Z31" s="11" t="n">
        <f aca="false">IF(Y31=0,"n/a",AVERAGE(F31,I31,L31,O31,R31,U31,X31))</f>
        <v>0.0201374081971097</v>
      </c>
      <c r="AA31" s="12" t="n">
        <f aca="false">IF(Y31=0,"",MIN(F31,I31,L31,O31,R31,U31,X31))</f>
        <v>0</v>
      </c>
      <c r="AB31" s="11" t="n">
        <f aca="false">IF(Y31=0,"",MAX(F31,I31,L31,O31,R31,U31,X31))</f>
        <v>0.111111111111111</v>
      </c>
      <c r="AC31" s="8" t="str">
        <f aca="false">IF(Y31&lt;2,"",IF(AB31-AA31&gt;$F$3,"Review",""))</f>
        <v/>
      </c>
      <c r="AD31" s="9" t="n">
        <f aca="false">IF(ISNUMBER(Z31),C31*Z31,"")</f>
        <v>154.883653162758</v>
      </c>
    </row>
    <row r="32" customFormat="false" ht="15" hidden="false" customHeight="false" outlineLevel="0" collapsed="false">
      <c r="A32" s="8" t="s">
        <v>63</v>
      </c>
      <c r="B32" s="8" t="s">
        <v>38</v>
      </c>
      <c r="C32" s="9" t="n">
        <v>7831.08</v>
      </c>
      <c r="D32" s="8" t="n">
        <v>24</v>
      </c>
      <c r="E32" s="8" t="n">
        <v>6</v>
      </c>
      <c r="F32" s="10" t="n">
        <f aca="false">IF(D32&gt;=$C$3,E32/D32,"")</f>
        <v>0.25</v>
      </c>
      <c r="G32" s="8" t="n">
        <v>21</v>
      </c>
      <c r="H32" s="8" t="n">
        <v>0</v>
      </c>
      <c r="I32" s="10" t="n">
        <f aca="false">IF(G32&gt;=$C$3,H32/G32,"")</f>
        <v>0</v>
      </c>
      <c r="J32" s="8" t="n">
        <v>3</v>
      </c>
      <c r="K32" s="8" t="n">
        <v>0</v>
      </c>
      <c r="L32" s="10" t="n">
        <f aca="false">IF(J32&gt;=$C$3,K32/J32,"")</f>
        <v>0</v>
      </c>
      <c r="M32" s="8" t="n">
        <v>4</v>
      </c>
      <c r="N32" s="8" t="n">
        <v>1</v>
      </c>
      <c r="O32" s="10" t="n">
        <f aca="false">IF(M32&gt;=$C$3,N32/M32,"")</f>
        <v>0.25</v>
      </c>
      <c r="P32" s="8" t="n">
        <v>5</v>
      </c>
      <c r="Q32" s="8" t="n">
        <v>2</v>
      </c>
      <c r="R32" s="10" t="n">
        <f aca="false">IF(P32&gt;=$C$3,Q32/P32,"")</f>
        <v>0.4</v>
      </c>
      <c r="S32" s="8" t="n">
        <v>0</v>
      </c>
      <c r="T32" s="8" t="n">
        <v>0</v>
      </c>
      <c r="U32" s="10" t="str">
        <f aca="false">IF(S32&gt;=$C$3,T32/S32,"")</f>
        <v/>
      </c>
      <c r="V32" s="8" t="n">
        <v>64</v>
      </c>
      <c r="W32" s="8" t="n">
        <v>9</v>
      </c>
      <c r="X32" s="10" t="n">
        <f aca="false">IF(V32&gt;=$C$3,W32/V32,"")</f>
        <v>0.140625</v>
      </c>
      <c r="Y32" s="8" t="n">
        <f aca="false">COUNT(F32,I32,L32,O32,R32,U32,X32)</f>
        <v>6</v>
      </c>
      <c r="Z32" s="11" t="n">
        <f aca="false">IF(Y32=0,"n/a",AVERAGE(F32,I32,L32,O32,R32,U32,X32))</f>
        <v>0.1734375</v>
      </c>
      <c r="AA32" s="12" t="n">
        <f aca="false">IF(Y32=0,"",MIN(F32,I32,L32,O32,R32,U32,X32))</f>
        <v>0</v>
      </c>
      <c r="AB32" s="11" t="n">
        <f aca="false">IF(Y32=0,"",MAX(F32,I32,L32,O32,R32,U32,X32))</f>
        <v>0.4</v>
      </c>
      <c r="AC32" s="8" t="str">
        <f aca="false">IF(Y32&lt;2,"",IF(AB32-AA32&gt;$F$3,"Review",""))</f>
        <v/>
      </c>
      <c r="AD32" s="9" t="n">
        <f aca="false">IF(ISNUMBER(Z32),C32*Z32,"")</f>
        <v>1358.2029375</v>
      </c>
    </row>
    <row r="33" customFormat="false" ht="15" hidden="false" customHeight="false" outlineLevel="0" collapsed="false">
      <c r="A33" s="8" t="s">
        <v>64</v>
      </c>
      <c r="B33" s="8" t="s">
        <v>29</v>
      </c>
      <c r="C33" s="9" t="n">
        <v>2508.09</v>
      </c>
      <c r="D33" s="8" t="n">
        <v>96</v>
      </c>
      <c r="E33" s="8" t="n">
        <v>96</v>
      </c>
      <c r="F33" s="10" t="n">
        <f aca="false">IF(D33&gt;=$C$3,E33/D33,"")</f>
        <v>1</v>
      </c>
      <c r="G33" s="8" t="n">
        <v>15</v>
      </c>
      <c r="H33" s="8" t="n">
        <v>15</v>
      </c>
      <c r="I33" s="10" t="n">
        <f aca="false">IF(G33&gt;=$C$3,H33/G33,"")</f>
        <v>1</v>
      </c>
      <c r="J33" s="8" t="n">
        <v>2</v>
      </c>
      <c r="K33" s="8" t="n">
        <v>2</v>
      </c>
      <c r="L33" s="10" t="str">
        <f aca="false">IF(J33&gt;=$C$3,K33/J33,"")</f>
        <v/>
      </c>
      <c r="M33" s="8" t="n">
        <v>35</v>
      </c>
      <c r="N33" s="8" t="n">
        <v>35</v>
      </c>
      <c r="O33" s="10" t="n">
        <f aca="false">IF(M33&gt;=$C$3,N33/M33,"")</f>
        <v>1</v>
      </c>
      <c r="P33" s="8" t="n">
        <v>11</v>
      </c>
      <c r="Q33" s="8" t="n">
        <v>11</v>
      </c>
      <c r="R33" s="10" t="n">
        <f aca="false">IF(P33&gt;=$C$3,Q33/P33,"")</f>
        <v>1</v>
      </c>
      <c r="S33" s="8" t="n">
        <v>7</v>
      </c>
      <c r="T33" s="8" t="n">
        <v>7</v>
      </c>
      <c r="U33" s="10" t="n">
        <f aca="false">IF(S33&gt;=$C$3,T33/S33,"")</f>
        <v>1</v>
      </c>
      <c r="V33" s="8" t="n">
        <v>33</v>
      </c>
      <c r="W33" s="8" t="n">
        <v>33</v>
      </c>
      <c r="X33" s="10" t="n">
        <f aca="false">IF(V33&gt;=$C$3,W33/V33,"")</f>
        <v>1</v>
      </c>
      <c r="Y33" s="8" t="n">
        <f aca="false">COUNT(F33,I33,L33,O33,R33,U33,X33)</f>
        <v>6</v>
      </c>
      <c r="Z33" s="11" t="n">
        <f aca="false">IF(Y33=0,"n/a",AVERAGE(F33,I33,L33,O33,R33,U33,X33))</f>
        <v>1</v>
      </c>
      <c r="AA33" s="12" t="n">
        <f aca="false">IF(Y33=0,"",MIN(F33,I33,L33,O33,R33,U33,X33))</f>
        <v>1</v>
      </c>
      <c r="AB33" s="11" t="n">
        <f aca="false">IF(Y33=0,"",MAX(F33,I33,L33,O33,R33,U33,X33))</f>
        <v>1</v>
      </c>
      <c r="AC33" s="8" t="str">
        <f aca="false">IF(Y33&lt;2,"",IF(AB33-AA33&gt;$F$3,"Review",""))</f>
        <v/>
      </c>
      <c r="AD33" s="9" t="n">
        <f aca="false">IF(ISNUMBER(Z33),C33*Z33,"")</f>
        <v>2508.09</v>
      </c>
    </row>
    <row r="34" customFormat="false" ht="15" hidden="false" customHeight="false" outlineLevel="0" collapsed="false">
      <c r="A34" s="8" t="s">
        <v>65</v>
      </c>
      <c r="B34" s="8" t="s">
        <v>31</v>
      </c>
      <c r="C34" s="9" t="n">
        <v>3010.2</v>
      </c>
      <c r="D34" s="8" t="n">
        <v>131</v>
      </c>
      <c r="E34" s="8" t="n">
        <v>101</v>
      </c>
      <c r="F34" s="10" t="n">
        <f aca="false">IF(D34&gt;=$C$3,E34/D34,"")</f>
        <v>0.770992366412214</v>
      </c>
      <c r="G34" s="8" t="n">
        <v>19</v>
      </c>
      <c r="H34" s="8" t="n">
        <v>9</v>
      </c>
      <c r="I34" s="10" t="n">
        <f aca="false">IF(G34&gt;=$C$3,H34/G34,"")</f>
        <v>0.473684210526316</v>
      </c>
      <c r="J34" s="8" t="n">
        <v>4</v>
      </c>
      <c r="K34" s="8" t="n">
        <v>4</v>
      </c>
      <c r="L34" s="10" t="n">
        <f aca="false">IF(J34&gt;=$C$3,K34/J34,"")</f>
        <v>1</v>
      </c>
      <c r="M34" s="8" t="n">
        <v>3</v>
      </c>
      <c r="N34" s="8" t="n">
        <v>1</v>
      </c>
      <c r="O34" s="10" t="n">
        <f aca="false">IF(M34&gt;=$C$3,N34/M34,"")</f>
        <v>0.333333333333333</v>
      </c>
      <c r="P34" s="8" t="n">
        <v>0</v>
      </c>
      <c r="Q34" s="8" t="n">
        <v>0</v>
      </c>
      <c r="R34" s="10" t="str">
        <f aca="false">IF(P34&gt;=$C$3,Q34/P34,"")</f>
        <v/>
      </c>
      <c r="S34" s="8" t="n">
        <v>2</v>
      </c>
      <c r="T34" s="8" t="n">
        <v>2</v>
      </c>
      <c r="U34" s="10" t="str">
        <f aca="false">IF(S34&gt;=$C$3,T34/S34,"")</f>
        <v/>
      </c>
      <c r="V34" s="8" t="n">
        <v>5</v>
      </c>
      <c r="W34" s="8" t="n">
        <v>4</v>
      </c>
      <c r="X34" s="10" t="n">
        <f aca="false">IF(V34&gt;=$C$3,W34/V34,"")</f>
        <v>0.8</v>
      </c>
      <c r="Y34" s="8" t="n">
        <f aca="false">COUNT(F34,I34,L34,O34,R34,U34,X34)</f>
        <v>5</v>
      </c>
      <c r="Z34" s="11" t="n">
        <f aca="false">IF(Y34=0,"n/a",AVERAGE(F34,I34,L34,O34,R34,U34,X34))</f>
        <v>0.675601982054373</v>
      </c>
      <c r="AA34" s="12" t="n">
        <f aca="false">IF(Y34=0,"",MIN(F34,I34,L34,O34,R34,U34,X34))</f>
        <v>0.333333333333333</v>
      </c>
      <c r="AB34" s="11" t="n">
        <f aca="false">IF(Y34=0,"",MAX(F34,I34,L34,O34,R34,U34,X34))</f>
        <v>1</v>
      </c>
      <c r="AC34" s="8" t="str">
        <f aca="false">IF(Y34&lt;2,"",IF(AB34-AA34&gt;$F$3,"Review",""))</f>
        <v>Review</v>
      </c>
      <c r="AD34" s="9" t="n">
        <f aca="false">IF(ISNUMBER(Z34),C34*Z34,"")</f>
        <v>2033.69708638007</v>
      </c>
    </row>
    <row r="35" customFormat="false" ht="15" hidden="false" customHeight="false" outlineLevel="0" collapsed="false">
      <c r="A35" s="8" t="s">
        <v>66</v>
      </c>
      <c r="B35" s="8" t="s">
        <v>67</v>
      </c>
      <c r="C35" s="9" t="n">
        <v>8796.85</v>
      </c>
      <c r="D35" s="8" t="n">
        <v>356</v>
      </c>
      <c r="E35" s="8" t="n">
        <v>166</v>
      </c>
      <c r="F35" s="10" t="n">
        <f aca="false">IF(D35&gt;=$C$3,E35/D35,"")</f>
        <v>0.466292134831461</v>
      </c>
      <c r="G35" s="8" t="n">
        <v>16</v>
      </c>
      <c r="H35" s="8" t="n">
        <v>5</v>
      </c>
      <c r="I35" s="10" t="n">
        <f aca="false">IF(G35&gt;=$C$3,H35/G35,"")</f>
        <v>0.3125</v>
      </c>
      <c r="J35" s="8" t="n">
        <v>4</v>
      </c>
      <c r="K35" s="8" t="n">
        <v>1</v>
      </c>
      <c r="L35" s="10" t="n">
        <f aca="false">IF(J35&gt;=$C$3,K35/J35,"")</f>
        <v>0.25</v>
      </c>
      <c r="M35" s="8" t="n">
        <v>868</v>
      </c>
      <c r="N35" s="8" t="n">
        <v>12</v>
      </c>
      <c r="O35" s="10" t="n">
        <f aca="false">IF(M35&gt;=$C$3,N35/M35,"")</f>
        <v>0.0138248847926267</v>
      </c>
      <c r="P35" s="8" t="n">
        <v>32</v>
      </c>
      <c r="Q35" s="8" t="n">
        <v>22</v>
      </c>
      <c r="R35" s="10" t="n">
        <f aca="false">IF(P35&gt;=$C$3,Q35/P35,"")</f>
        <v>0.6875</v>
      </c>
      <c r="S35" s="8" t="n">
        <v>276</v>
      </c>
      <c r="T35" s="8" t="n">
        <v>12</v>
      </c>
      <c r="U35" s="10" t="n">
        <f aca="false">IF(S35&gt;=$C$3,T35/S35,"")</f>
        <v>0.0434782608695652</v>
      </c>
      <c r="V35" s="8" t="n">
        <v>116</v>
      </c>
      <c r="W35" s="8" t="n">
        <v>17</v>
      </c>
      <c r="X35" s="10" t="n">
        <f aca="false">IF(V35&gt;=$C$3,W35/V35,"")</f>
        <v>0.146551724137931</v>
      </c>
      <c r="Y35" s="8" t="n">
        <f aca="false">COUNT(F35,I35,L35,O35,R35,U35,X35)</f>
        <v>7</v>
      </c>
      <c r="Z35" s="11" t="n">
        <f aca="false">IF(Y35=0,"n/a",AVERAGE(F35,I35,L35,O35,R35,U35,X35))</f>
        <v>0.274306714947369</v>
      </c>
      <c r="AA35" s="12" t="n">
        <f aca="false">IF(Y35=0,"",MIN(F35,I35,L35,O35,R35,U35,X35))</f>
        <v>0.0138248847926267</v>
      </c>
      <c r="AB35" s="11" t="n">
        <f aca="false">IF(Y35=0,"",MAX(F35,I35,L35,O35,R35,U35,X35))</f>
        <v>0.6875</v>
      </c>
      <c r="AC35" s="8" t="str">
        <f aca="false">IF(Y35&lt;2,"",IF(AB35-AA35&gt;$F$3,"Review",""))</f>
        <v>Review</v>
      </c>
      <c r="AD35" s="9" t="n">
        <f aca="false">IF(ISNUMBER(Z35),C35*Z35,"")</f>
        <v>2413.03502538476</v>
      </c>
    </row>
    <row r="36" customFormat="false" ht="15" hidden="false" customHeight="false" outlineLevel="0" collapsed="false">
      <c r="A36" s="8" t="s">
        <v>68</v>
      </c>
      <c r="B36" s="8" t="s">
        <v>69</v>
      </c>
      <c r="C36" s="9" t="n">
        <v>2375.17</v>
      </c>
      <c r="D36" s="8" t="n">
        <v>28</v>
      </c>
      <c r="E36" s="8" t="n">
        <v>16</v>
      </c>
      <c r="F36" s="10" t="n">
        <f aca="false">IF(D36&gt;=$C$3,E36/D36,"")</f>
        <v>0.571428571428571</v>
      </c>
      <c r="G36" s="8" t="n">
        <v>26</v>
      </c>
      <c r="H36" s="8" t="n">
        <v>16</v>
      </c>
      <c r="I36" s="10" t="n">
        <f aca="false">IF(G36&gt;=$C$3,H36/G36,"")</f>
        <v>0.615384615384615</v>
      </c>
      <c r="J36" s="8" t="n">
        <v>0</v>
      </c>
      <c r="K36" s="8" t="n">
        <v>0</v>
      </c>
      <c r="L36" s="10" t="str">
        <f aca="false">IF(J36&gt;=$C$3,K36/J36,"")</f>
        <v/>
      </c>
      <c r="M36" s="8" t="n">
        <v>13</v>
      </c>
      <c r="N36" s="8" t="n">
        <v>12</v>
      </c>
      <c r="O36" s="10" t="n">
        <f aca="false">IF(M36&gt;=$C$3,N36/M36,"")</f>
        <v>0.923076923076923</v>
      </c>
      <c r="P36" s="8" t="n">
        <v>27</v>
      </c>
      <c r="Q36" s="8" t="n">
        <v>2</v>
      </c>
      <c r="R36" s="10" t="n">
        <f aca="false">IF(P36&gt;=$C$3,Q36/P36,"")</f>
        <v>0.0740740740740741</v>
      </c>
      <c r="S36" s="8" t="n">
        <v>0</v>
      </c>
      <c r="T36" s="8" t="n">
        <v>0</v>
      </c>
      <c r="U36" s="10" t="str">
        <f aca="false">IF(S36&gt;=$C$3,T36/S36,"")</f>
        <v/>
      </c>
      <c r="V36" s="8" t="n">
        <v>0</v>
      </c>
      <c r="W36" s="8" t="n">
        <v>0</v>
      </c>
      <c r="X36" s="10" t="str">
        <f aca="false">IF(V36&gt;=$C$3,W36/V36,"")</f>
        <v/>
      </c>
      <c r="Y36" s="8" t="n">
        <f aca="false">COUNT(F36,I36,L36,O36,R36,U36,X36)</f>
        <v>4</v>
      </c>
      <c r="Z36" s="11" t="n">
        <f aca="false">IF(Y36=0,"n/a",AVERAGE(F36,I36,L36,O36,R36,U36,X36))</f>
        <v>0.545991045991046</v>
      </c>
      <c r="AA36" s="12" t="n">
        <f aca="false">IF(Y36=0,"",MIN(F36,I36,L36,O36,R36,U36,X36))</f>
        <v>0.0740740740740741</v>
      </c>
      <c r="AB36" s="11" t="n">
        <f aca="false">IF(Y36=0,"",MAX(F36,I36,L36,O36,R36,U36,X36))</f>
        <v>0.923076923076923</v>
      </c>
      <c r="AC36" s="8" t="str">
        <f aca="false">IF(Y36&lt;2,"",IF(AB36-AA36&gt;$F$3,"Review",""))</f>
        <v>Review</v>
      </c>
      <c r="AD36" s="9" t="n">
        <f aca="false">IF(ISNUMBER(Z36),C36*Z36,"")</f>
        <v>1296.82155270655</v>
      </c>
    </row>
    <row r="37" customFormat="false" ht="15" hidden="false" customHeight="false" outlineLevel="0" collapsed="false">
      <c r="A37" s="8" t="s">
        <v>70</v>
      </c>
      <c r="B37" s="8" t="s">
        <v>43</v>
      </c>
      <c r="C37" s="9" t="n">
        <v>4508</v>
      </c>
      <c r="D37" s="8" t="n">
        <v>83</v>
      </c>
      <c r="E37" s="8" t="n">
        <v>81</v>
      </c>
      <c r="F37" s="10" t="n">
        <f aca="false">IF(D37&gt;=$C$3,E37/D37,"")</f>
        <v>0.975903614457831</v>
      </c>
      <c r="G37" s="8" t="n">
        <v>11</v>
      </c>
      <c r="H37" s="8" t="n">
        <v>10</v>
      </c>
      <c r="I37" s="10" t="n">
        <f aca="false">IF(G37&gt;=$C$3,H37/G37,"")</f>
        <v>0.909090909090909</v>
      </c>
      <c r="J37" s="8" t="n">
        <v>12</v>
      </c>
      <c r="K37" s="8" t="n">
        <v>10</v>
      </c>
      <c r="L37" s="10" t="n">
        <f aca="false">IF(J37&gt;=$C$3,K37/J37,"")</f>
        <v>0.833333333333333</v>
      </c>
      <c r="M37" s="8" t="n">
        <v>12</v>
      </c>
      <c r="N37" s="8" t="n">
        <v>11</v>
      </c>
      <c r="O37" s="10" t="n">
        <f aca="false">IF(M37&gt;=$C$3,N37/M37,"")</f>
        <v>0.916666666666667</v>
      </c>
      <c r="P37" s="8" t="n">
        <v>4</v>
      </c>
      <c r="Q37" s="8" t="n">
        <v>3</v>
      </c>
      <c r="R37" s="10" t="n">
        <f aca="false">IF(P37&gt;=$C$3,Q37/P37,"")</f>
        <v>0.75</v>
      </c>
      <c r="S37" s="8" t="n">
        <v>0</v>
      </c>
      <c r="T37" s="8" t="n">
        <v>0</v>
      </c>
      <c r="U37" s="10" t="str">
        <f aca="false">IF(S37&gt;=$C$3,T37/S37,"")</f>
        <v/>
      </c>
      <c r="V37" s="8" t="n">
        <v>43</v>
      </c>
      <c r="W37" s="8" t="n">
        <v>33</v>
      </c>
      <c r="X37" s="10" t="n">
        <f aca="false">IF(V37&gt;=$C$3,W37/V37,"")</f>
        <v>0.767441860465116</v>
      </c>
      <c r="Y37" s="8" t="n">
        <f aca="false">COUNT(F37,I37,L37,O37,R37,U37,X37)</f>
        <v>6</v>
      </c>
      <c r="Z37" s="11" t="n">
        <f aca="false">IF(Y37=0,"n/a",AVERAGE(F37,I37,L37,O37,R37,U37,X37))</f>
        <v>0.858739397335643</v>
      </c>
      <c r="AA37" s="12" t="n">
        <f aca="false">IF(Y37=0,"",MIN(F37,I37,L37,O37,R37,U37,X37))</f>
        <v>0.75</v>
      </c>
      <c r="AB37" s="11" t="n">
        <f aca="false">IF(Y37=0,"",MAX(F37,I37,L37,O37,R37,U37,X37))</f>
        <v>0.975903614457831</v>
      </c>
      <c r="AC37" s="8" t="str">
        <f aca="false">IF(Y37&lt;2,"",IF(AB37-AA37&gt;$F$3,"Review",""))</f>
        <v/>
      </c>
      <c r="AD37" s="9" t="n">
        <f aca="false">IF(ISNUMBER(Z37),C37*Z37,"")</f>
        <v>3871.19720318908</v>
      </c>
    </row>
    <row r="38" customFormat="false" ht="15" hidden="false" customHeight="false" outlineLevel="0" collapsed="false">
      <c r="A38" s="8" t="s">
        <v>71</v>
      </c>
      <c r="B38" s="8" t="s">
        <v>43</v>
      </c>
      <c r="C38" s="9" t="n">
        <v>7738.99</v>
      </c>
      <c r="D38" s="8" t="n">
        <v>77</v>
      </c>
      <c r="E38" s="8" t="n">
        <v>77</v>
      </c>
      <c r="F38" s="10" t="n">
        <f aca="false">IF(D38&gt;=$C$3,E38/D38,"")</f>
        <v>1</v>
      </c>
      <c r="G38" s="8" t="n">
        <v>6</v>
      </c>
      <c r="H38" s="8" t="n">
        <v>6</v>
      </c>
      <c r="I38" s="10" t="n">
        <f aca="false">IF(G38&gt;=$C$3,H38/G38,"")</f>
        <v>1</v>
      </c>
      <c r="J38" s="8" t="n">
        <v>4</v>
      </c>
      <c r="K38" s="8" t="n">
        <v>4</v>
      </c>
      <c r="L38" s="10" t="n">
        <f aca="false">IF(J38&gt;=$C$3,K38/J38,"")</f>
        <v>1</v>
      </c>
      <c r="M38" s="8" t="n">
        <v>19</v>
      </c>
      <c r="N38" s="8" t="n">
        <v>19</v>
      </c>
      <c r="O38" s="10" t="n">
        <f aca="false">IF(M38&gt;=$C$3,N38/M38,"")</f>
        <v>1</v>
      </c>
      <c r="P38" s="8" t="n">
        <v>8</v>
      </c>
      <c r="Q38" s="8" t="n">
        <v>8</v>
      </c>
      <c r="R38" s="10" t="n">
        <f aca="false">IF(P38&gt;=$C$3,Q38/P38,"")</f>
        <v>1</v>
      </c>
      <c r="S38" s="8" t="n">
        <v>1</v>
      </c>
      <c r="T38" s="8" t="n">
        <v>1</v>
      </c>
      <c r="U38" s="10" t="str">
        <f aca="false">IF(S38&gt;=$C$3,T38/S38,"")</f>
        <v/>
      </c>
      <c r="V38" s="8" t="n">
        <v>12</v>
      </c>
      <c r="W38" s="8" t="n">
        <v>12</v>
      </c>
      <c r="X38" s="10" t="n">
        <f aca="false">IF(V38&gt;=$C$3,W38/V38,"")</f>
        <v>1</v>
      </c>
      <c r="Y38" s="8" t="n">
        <f aca="false">COUNT(F38,I38,L38,O38,R38,U38,X38)</f>
        <v>6</v>
      </c>
      <c r="Z38" s="11" t="n">
        <f aca="false">IF(Y38=0,"n/a",AVERAGE(F38,I38,L38,O38,R38,U38,X38))</f>
        <v>1</v>
      </c>
      <c r="AA38" s="12" t="n">
        <f aca="false">IF(Y38=0,"",MIN(F38,I38,L38,O38,R38,U38,X38))</f>
        <v>1</v>
      </c>
      <c r="AB38" s="11" t="n">
        <f aca="false">IF(Y38=0,"",MAX(F38,I38,L38,O38,R38,U38,X38))</f>
        <v>1</v>
      </c>
      <c r="AC38" s="8" t="str">
        <f aca="false">IF(Y38&lt;2,"",IF(AB38-AA38&gt;$F$3,"Review",""))</f>
        <v/>
      </c>
      <c r="AD38" s="9" t="n">
        <f aca="false">IF(ISNUMBER(Z38),C38*Z38,"")</f>
        <v>7738.99</v>
      </c>
    </row>
    <row r="39" customFormat="false" ht="15" hidden="false" customHeight="false" outlineLevel="0" collapsed="false">
      <c r="A39" s="8" t="s">
        <v>72</v>
      </c>
      <c r="B39" s="8" t="s">
        <v>43</v>
      </c>
      <c r="C39" s="9" t="n">
        <v>2151.51</v>
      </c>
      <c r="D39" s="8" t="n">
        <v>3</v>
      </c>
      <c r="E39" s="8" t="n">
        <v>3</v>
      </c>
      <c r="F39" s="10" t="n">
        <f aca="false">IF(D39&gt;=$C$3,E39/D39,"")</f>
        <v>1</v>
      </c>
      <c r="G39" s="8" t="n">
        <v>1</v>
      </c>
      <c r="H39" s="8" t="n">
        <v>1</v>
      </c>
      <c r="I39" s="10" t="str">
        <f aca="false">IF(G39&gt;=$C$3,H39/G39,"")</f>
        <v/>
      </c>
      <c r="J39" s="8" t="n">
        <v>1</v>
      </c>
      <c r="K39" s="8" t="n">
        <v>1</v>
      </c>
      <c r="L39" s="10" t="str">
        <f aca="false">IF(J39&gt;=$C$3,K39/J39,"")</f>
        <v/>
      </c>
      <c r="M39" s="8" t="n">
        <v>1</v>
      </c>
      <c r="N39" s="8" t="n">
        <v>1</v>
      </c>
      <c r="O39" s="10" t="str">
        <f aca="false">IF(M39&gt;=$C$3,N39/M39,"")</f>
        <v/>
      </c>
      <c r="P39" s="8" t="n">
        <v>1</v>
      </c>
      <c r="Q39" s="8" t="n">
        <v>1</v>
      </c>
      <c r="R39" s="10" t="str">
        <f aca="false">IF(P39&gt;=$C$3,Q39/P39,"")</f>
        <v/>
      </c>
      <c r="S39" s="8" t="n">
        <v>1</v>
      </c>
      <c r="T39" s="8" t="n">
        <v>1</v>
      </c>
      <c r="U39" s="10" t="str">
        <f aca="false">IF(S39&gt;=$C$3,T39/S39,"")</f>
        <v/>
      </c>
      <c r="V39" s="8" t="n">
        <v>4</v>
      </c>
      <c r="W39" s="8" t="n">
        <v>4</v>
      </c>
      <c r="X39" s="10" t="n">
        <f aca="false">IF(V39&gt;=$C$3,W39/V39,"")</f>
        <v>1</v>
      </c>
      <c r="Y39" s="8" t="n">
        <f aca="false">COUNT(F39,I39,L39,O39,R39,U39,X39)</f>
        <v>2</v>
      </c>
      <c r="Z39" s="11" t="n">
        <f aca="false">IF(Y39=0,"n/a",AVERAGE(F39,I39,L39,O39,R39,U39,X39))</f>
        <v>1</v>
      </c>
      <c r="AA39" s="12" t="n">
        <f aca="false">IF(Y39=0,"",MIN(F39,I39,L39,O39,R39,U39,X39))</f>
        <v>1</v>
      </c>
      <c r="AB39" s="11" t="n">
        <f aca="false">IF(Y39=0,"",MAX(F39,I39,L39,O39,R39,U39,X39))</f>
        <v>1</v>
      </c>
      <c r="AC39" s="8" t="str">
        <f aca="false">IF(Y39&lt;2,"",IF(AB39-AA39&gt;$F$3,"Review",""))</f>
        <v/>
      </c>
      <c r="AD39" s="9" t="n">
        <f aca="false">IF(ISNUMBER(Z39),C39*Z39,"")</f>
        <v>2151.51</v>
      </c>
    </row>
    <row r="40" customFormat="false" ht="15" hidden="false" customHeight="false" outlineLevel="0" collapsed="false">
      <c r="A40" s="8" t="s">
        <v>73</v>
      </c>
      <c r="B40" s="8" t="s">
        <v>31</v>
      </c>
      <c r="C40" s="9" t="n">
        <v>59827.18</v>
      </c>
      <c r="D40" s="8" t="n">
        <v>175</v>
      </c>
      <c r="E40" s="8" t="n">
        <v>175</v>
      </c>
      <c r="F40" s="10" t="n">
        <f aca="false">IF(D40&gt;=$C$3,E40/D40,"")</f>
        <v>1</v>
      </c>
      <c r="G40" s="8" t="n">
        <v>42</v>
      </c>
      <c r="H40" s="8" t="n">
        <v>42</v>
      </c>
      <c r="I40" s="10" t="n">
        <f aca="false">IF(G40&gt;=$C$3,H40/G40,"")</f>
        <v>1</v>
      </c>
      <c r="J40" s="8" t="n">
        <v>3</v>
      </c>
      <c r="K40" s="8" t="n">
        <v>3</v>
      </c>
      <c r="L40" s="10" t="n">
        <f aca="false">IF(J40&gt;=$C$3,K40/J40,"")</f>
        <v>1</v>
      </c>
      <c r="M40" s="8" t="n">
        <v>29</v>
      </c>
      <c r="N40" s="8" t="n">
        <v>29</v>
      </c>
      <c r="O40" s="10" t="n">
        <f aca="false">IF(M40&gt;=$C$3,N40/M40,"")</f>
        <v>1</v>
      </c>
      <c r="P40" s="8" t="n">
        <v>8</v>
      </c>
      <c r="Q40" s="8" t="n">
        <v>8</v>
      </c>
      <c r="R40" s="10" t="n">
        <f aca="false">IF(P40&gt;=$C$3,Q40/P40,"")</f>
        <v>1</v>
      </c>
      <c r="S40" s="8" t="n">
        <v>6</v>
      </c>
      <c r="T40" s="8" t="n">
        <v>6</v>
      </c>
      <c r="U40" s="10" t="n">
        <f aca="false">IF(S40&gt;=$C$3,T40/S40,"")</f>
        <v>1</v>
      </c>
      <c r="V40" s="8" t="n">
        <v>31</v>
      </c>
      <c r="W40" s="8" t="n">
        <v>31</v>
      </c>
      <c r="X40" s="10" t="n">
        <f aca="false">IF(V40&gt;=$C$3,W40/V40,"")</f>
        <v>1</v>
      </c>
      <c r="Y40" s="8" t="n">
        <f aca="false">COUNT(F40,I40,L40,O40,R40,U40,X40)</f>
        <v>7</v>
      </c>
      <c r="Z40" s="11" t="n">
        <f aca="false">IF(Y40=0,"n/a",AVERAGE(F40,I40,L40,O40,R40,U40,X40))</f>
        <v>1</v>
      </c>
      <c r="AA40" s="12" t="n">
        <f aca="false">IF(Y40=0,"",MIN(F40,I40,L40,O40,R40,U40,X40))</f>
        <v>1</v>
      </c>
      <c r="AB40" s="11" t="n">
        <f aca="false">IF(Y40=0,"",MAX(F40,I40,L40,O40,R40,U40,X40))</f>
        <v>1</v>
      </c>
      <c r="AC40" s="8" t="str">
        <f aca="false">IF(Y40&lt;2,"",IF(AB40-AA40&gt;$F$3,"Review",""))</f>
        <v/>
      </c>
      <c r="AD40" s="9" t="n">
        <f aca="false">IF(ISNUMBER(Z40),C40*Z40,"")</f>
        <v>59827.18</v>
      </c>
    </row>
    <row r="41" customFormat="false" ht="15" hidden="false" customHeight="false" outlineLevel="0" collapsed="false">
      <c r="A41" s="8" t="s">
        <v>74</v>
      </c>
      <c r="B41" s="8" t="s">
        <v>43</v>
      </c>
      <c r="C41" s="9" t="n">
        <v>140.86</v>
      </c>
      <c r="D41" s="8" t="n">
        <v>8</v>
      </c>
      <c r="E41" s="8" t="n">
        <v>8</v>
      </c>
      <c r="F41" s="10" t="n">
        <f aca="false">IF(D41&gt;=$C$3,E41/D41,"")</f>
        <v>1</v>
      </c>
      <c r="G41" s="8" t="n">
        <v>8</v>
      </c>
      <c r="H41" s="8" t="n">
        <v>8</v>
      </c>
      <c r="I41" s="10" t="n">
        <f aca="false">IF(G41&gt;=$C$3,H41/G41,"")</f>
        <v>1</v>
      </c>
      <c r="J41" s="8" t="n">
        <v>2</v>
      </c>
      <c r="K41" s="8" t="n">
        <v>2</v>
      </c>
      <c r="L41" s="10" t="str">
        <f aca="false">IF(J41&gt;=$C$3,K41/J41,"")</f>
        <v/>
      </c>
      <c r="M41" s="8" t="n">
        <v>2</v>
      </c>
      <c r="N41" s="8" t="n">
        <v>2</v>
      </c>
      <c r="O41" s="10" t="str">
        <f aca="false">IF(M41&gt;=$C$3,N41/M41,"")</f>
        <v/>
      </c>
      <c r="P41" s="8" t="n">
        <v>2</v>
      </c>
      <c r="Q41" s="8" t="n">
        <v>2</v>
      </c>
      <c r="R41" s="10" t="str">
        <f aca="false">IF(P41&gt;=$C$3,Q41/P41,"")</f>
        <v/>
      </c>
      <c r="S41" s="8" t="n">
        <v>2</v>
      </c>
      <c r="T41" s="8" t="n">
        <v>2</v>
      </c>
      <c r="U41" s="10" t="str">
        <f aca="false">IF(S41&gt;=$C$3,T41/S41,"")</f>
        <v/>
      </c>
      <c r="V41" s="8" t="n">
        <v>1</v>
      </c>
      <c r="W41" s="8" t="n">
        <v>0</v>
      </c>
      <c r="X41" s="10" t="str">
        <f aca="false">IF(V41&gt;=$C$3,W41/V41,"")</f>
        <v/>
      </c>
      <c r="Y41" s="8" t="n">
        <f aca="false">COUNT(F41,I41,L41,O41,R41,U41,X41)</f>
        <v>2</v>
      </c>
      <c r="Z41" s="11" t="n">
        <f aca="false">IF(Y41=0,"n/a",AVERAGE(F41,I41,L41,O41,R41,U41,X41))</f>
        <v>1</v>
      </c>
      <c r="AA41" s="12" t="n">
        <f aca="false">IF(Y41=0,"",MIN(F41,I41,L41,O41,R41,U41,X41))</f>
        <v>1</v>
      </c>
      <c r="AB41" s="11" t="n">
        <f aca="false">IF(Y41=0,"",MAX(F41,I41,L41,O41,R41,U41,X41))</f>
        <v>1</v>
      </c>
      <c r="AC41" s="8" t="str">
        <f aca="false">IF(Y41&lt;2,"",IF(AB41-AA41&gt;$F$3,"Review",""))</f>
        <v/>
      </c>
      <c r="AD41" s="9" t="n">
        <f aca="false">IF(ISNUMBER(Z41),C41*Z41,"")</f>
        <v>140.86</v>
      </c>
    </row>
    <row r="42" customFormat="false" ht="15" hidden="false" customHeight="false" outlineLevel="0" collapsed="false">
      <c r="A42" s="8" t="s">
        <v>75</v>
      </c>
      <c r="B42" s="8" t="s">
        <v>76</v>
      </c>
      <c r="C42" s="9" t="n">
        <v>3429.51</v>
      </c>
      <c r="D42" s="8" t="n">
        <v>114</v>
      </c>
      <c r="E42" s="8" t="n">
        <v>114</v>
      </c>
      <c r="F42" s="10" t="n">
        <f aca="false">IF(D42&gt;=$C$3,E42/D42,"")</f>
        <v>1</v>
      </c>
      <c r="G42" s="8" t="n">
        <v>29</v>
      </c>
      <c r="H42" s="8" t="n">
        <v>29</v>
      </c>
      <c r="I42" s="10" t="n">
        <f aca="false">IF(G42&gt;=$C$3,H42/G42,"")</f>
        <v>1</v>
      </c>
      <c r="J42" s="8" t="n">
        <v>9</v>
      </c>
      <c r="K42" s="8" t="n">
        <v>9</v>
      </c>
      <c r="L42" s="10" t="n">
        <f aca="false">IF(J42&gt;=$C$3,K42/J42,"")</f>
        <v>1</v>
      </c>
      <c r="M42" s="8" t="n">
        <v>19</v>
      </c>
      <c r="N42" s="8" t="n">
        <v>19</v>
      </c>
      <c r="O42" s="10" t="n">
        <f aca="false">IF(M42&gt;=$C$3,N42/M42,"")</f>
        <v>1</v>
      </c>
      <c r="P42" s="8" t="n">
        <v>1</v>
      </c>
      <c r="Q42" s="8" t="n">
        <v>1</v>
      </c>
      <c r="R42" s="10" t="str">
        <f aca="false">IF(P42&gt;=$C$3,Q42/P42,"")</f>
        <v/>
      </c>
      <c r="S42" s="8" t="n">
        <v>8</v>
      </c>
      <c r="T42" s="8" t="n">
        <v>8</v>
      </c>
      <c r="U42" s="10" t="n">
        <f aca="false">IF(S42&gt;=$C$3,T42/S42,"")</f>
        <v>1</v>
      </c>
      <c r="V42" s="8" t="n">
        <v>19</v>
      </c>
      <c r="W42" s="8" t="n">
        <v>19</v>
      </c>
      <c r="X42" s="10" t="n">
        <f aca="false">IF(V42&gt;=$C$3,W42/V42,"")</f>
        <v>1</v>
      </c>
      <c r="Y42" s="8" t="n">
        <f aca="false">COUNT(F42,I42,L42,O42,R42,U42,X42)</f>
        <v>6</v>
      </c>
      <c r="Z42" s="11" t="n">
        <f aca="false">IF(Y42=0,"n/a",AVERAGE(F42,I42,L42,O42,R42,U42,X42))</f>
        <v>1</v>
      </c>
      <c r="AA42" s="12" t="n">
        <f aca="false">IF(Y42=0,"",MIN(F42,I42,L42,O42,R42,U42,X42))</f>
        <v>1</v>
      </c>
      <c r="AB42" s="11" t="n">
        <f aca="false">IF(Y42=0,"",MAX(F42,I42,L42,O42,R42,U42,X42))</f>
        <v>1</v>
      </c>
      <c r="AC42" s="8" t="str">
        <f aca="false">IF(Y42&lt;2,"",IF(AB42-AA42&gt;$F$3,"Review",""))</f>
        <v/>
      </c>
      <c r="AD42" s="9" t="n">
        <f aca="false">IF(ISNUMBER(Z42),C42*Z42,"")</f>
        <v>3429.51</v>
      </c>
    </row>
    <row r="43" customFormat="false" ht="15" hidden="false" customHeight="false" outlineLevel="0" collapsed="false">
      <c r="A43" s="8" t="s">
        <v>77</v>
      </c>
      <c r="B43" s="8" t="s">
        <v>78</v>
      </c>
      <c r="C43" s="9" t="n">
        <v>2827.35</v>
      </c>
      <c r="D43" s="8" t="n">
        <v>228</v>
      </c>
      <c r="E43" s="8" t="n">
        <v>26</v>
      </c>
      <c r="F43" s="10" t="n">
        <f aca="false">IF(D43&gt;=$C$3,E43/D43,"")</f>
        <v>0.114035087719298</v>
      </c>
      <c r="G43" s="8" t="n">
        <v>48</v>
      </c>
      <c r="H43" s="8" t="n">
        <v>2</v>
      </c>
      <c r="I43" s="10" t="n">
        <f aca="false">IF(G43&gt;=$C$3,H43/G43,"")</f>
        <v>0.0416666666666667</v>
      </c>
      <c r="J43" s="8" t="n">
        <v>10</v>
      </c>
      <c r="K43" s="8" t="n">
        <v>3</v>
      </c>
      <c r="L43" s="10" t="n">
        <f aca="false">IF(J43&gt;=$C$3,K43/J43,"")</f>
        <v>0.3</v>
      </c>
      <c r="M43" s="8" t="n">
        <v>21</v>
      </c>
      <c r="N43" s="8" t="n">
        <v>2</v>
      </c>
      <c r="O43" s="10" t="n">
        <f aca="false">IF(M43&gt;=$C$3,N43/M43,"")</f>
        <v>0.0952380952380952</v>
      </c>
      <c r="P43" s="8" t="n">
        <v>7</v>
      </c>
      <c r="Q43" s="8" t="n">
        <v>1</v>
      </c>
      <c r="R43" s="10" t="n">
        <f aca="false">IF(P43&gt;=$C$3,Q43/P43,"")</f>
        <v>0.142857142857143</v>
      </c>
      <c r="S43" s="8" t="n">
        <v>6</v>
      </c>
      <c r="T43" s="8" t="n">
        <v>1</v>
      </c>
      <c r="U43" s="10" t="n">
        <f aca="false">IF(S43&gt;=$C$3,T43/S43,"")</f>
        <v>0.166666666666667</v>
      </c>
      <c r="V43" s="8" t="n">
        <v>31</v>
      </c>
      <c r="W43" s="8" t="n">
        <v>15</v>
      </c>
      <c r="X43" s="10" t="n">
        <f aca="false">IF(V43&gt;=$C$3,W43/V43,"")</f>
        <v>0.483870967741936</v>
      </c>
      <c r="Y43" s="8" t="n">
        <f aca="false">COUNT(F43,I43,L43,O43,R43,U43,X43)</f>
        <v>7</v>
      </c>
      <c r="Z43" s="11" t="n">
        <f aca="false">IF(Y43=0,"n/a",AVERAGE(F43,I43,L43,O43,R43,U43,X43))</f>
        <v>0.192047803841401</v>
      </c>
      <c r="AA43" s="12" t="n">
        <f aca="false">IF(Y43=0,"",MIN(F43,I43,L43,O43,R43,U43,X43))</f>
        <v>0.0416666666666667</v>
      </c>
      <c r="AB43" s="11" t="n">
        <f aca="false">IF(Y43=0,"",MAX(F43,I43,L43,O43,R43,U43,X43))</f>
        <v>0.483870967741936</v>
      </c>
      <c r="AC43" s="8" t="str">
        <f aca="false">IF(Y43&lt;2,"",IF(AB43-AA43&gt;$F$3,"Review",""))</f>
        <v/>
      </c>
      <c r="AD43" s="9" t="n">
        <f aca="false">IF(ISNUMBER(Z43),C43*Z43,"")</f>
        <v>542.986358190984</v>
      </c>
    </row>
    <row r="44" customFormat="false" ht="15" hidden="false" customHeight="false" outlineLevel="0" collapsed="false">
      <c r="A44" s="8" t="s">
        <v>79</v>
      </c>
      <c r="B44" s="8" t="s">
        <v>45</v>
      </c>
      <c r="C44" s="9" t="n">
        <v>5403.25</v>
      </c>
      <c r="D44" s="8" t="n">
        <v>187</v>
      </c>
      <c r="E44" s="8" t="n">
        <v>57</v>
      </c>
      <c r="F44" s="10" t="n">
        <f aca="false">IF(D44&gt;=$C$3,E44/D44,"")</f>
        <v>0.304812834224599</v>
      </c>
      <c r="G44" s="8" t="n">
        <v>52</v>
      </c>
      <c r="H44" s="8" t="n">
        <v>5</v>
      </c>
      <c r="I44" s="10" t="n">
        <f aca="false">IF(G44&gt;=$C$3,H44/G44,"")</f>
        <v>0.0961538461538462</v>
      </c>
      <c r="J44" s="8" t="n">
        <v>8</v>
      </c>
      <c r="K44" s="8" t="n">
        <v>1</v>
      </c>
      <c r="L44" s="10" t="n">
        <f aca="false">IF(J44&gt;=$C$3,K44/J44,"")</f>
        <v>0.125</v>
      </c>
      <c r="M44" s="8" t="n">
        <v>26</v>
      </c>
      <c r="N44" s="8" t="n">
        <v>1</v>
      </c>
      <c r="O44" s="10" t="n">
        <f aca="false">IF(M44&gt;=$C$3,N44/M44,"")</f>
        <v>0.0384615384615385</v>
      </c>
      <c r="P44" s="8" t="n">
        <v>13</v>
      </c>
      <c r="Q44" s="8" t="n">
        <v>4</v>
      </c>
      <c r="R44" s="10" t="n">
        <f aca="false">IF(P44&gt;=$C$3,Q44/P44,"")</f>
        <v>0.307692307692308</v>
      </c>
      <c r="S44" s="8" t="n">
        <v>1</v>
      </c>
      <c r="T44" s="8" t="n">
        <v>0</v>
      </c>
      <c r="U44" s="10" t="str">
        <f aca="false">IF(S44&gt;=$C$3,T44/S44,"")</f>
        <v/>
      </c>
      <c r="V44" s="8" t="n">
        <v>47</v>
      </c>
      <c r="W44" s="8" t="n">
        <v>14</v>
      </c>
      <c r="X44" s="10" t="n">
        <f aca="false">IF(V44&gt;=$C$3,W44/V44,"")</f>
        <v>0.297872340425532</v>
      </c>
      <c r="Y44" s="8" t="n">
        <f aca="false">COUNT(F44,I44,L44,O44,R44,U44,X44)</f>
        <v>6</v>
      </c>
      <c r="Z44" s="11" t="n">
        <f aca="false">IF(Y44=0,"n/a",AVERAGE(F44,I44,L44,O44,R44,U44,X44))</f>
        <v>0.194998811159637</v>
      </c>
      <c r="AA44" s="12" t="n">
        <f aca="false">IF(Y44=0,"",MIN(F44,I44,L44,O44,R44,U44,X44))</f>
        <v>0.0384615384615385</v>
      </c>
      <c r="AB44" s="11" t="n">
        <f aca="false">IF(Y44=0,"",MAX(F44,I44,L44,O44,R44,U44,X44))</f>
        <v>0.307692307692308</v>
      </c>
      <c r="AC44" s="8" t="str">
        <f aca="false">IF(Y44&lt;2,"",IF(AB44-AA44&gt;$F$3,"Review",""))</f>
        <v/>
      </c>
      <c r="AD44" s="9" t="n">
        <f aca="false">IF(ISNUMBER(Z44),C44*Z44,"")</f>
        <v>1053.62732639831</v>
      </c>
    </row>
    <row r="45" customFormat="false" ht="15" hidden="false" customHeight="false" outlineLevel="0" collapsed="false">
      <c r="A45" s="8" t="s">
        <v>80</v>
      </c>
      <c r="B45" s="8" t="s">
        <v>62</v>
      </c>
      <c r="C45" s="9" t="n">
        <v>21989.37</v>
      </c>
      <c r="D45" s="8" t="n">
        <v>153</v>
      </c>
      <c r="E45" s="8" t="n">
        <v>3</v>
      </c>
      <c r="F45" s="10" t="n">
        <f aca="false">IF(D45&gt;=$C$3,E45/D45,"")</f>
        <v>0.0196078431372549</v>
      </c>
      <c r="G45" s="8" t="n">
        <v>65</v>
      </c>
      <c r="H45" s="8" t="n">
        <v>0</v>
      </c>
      <c r="I45" s="10" t="n">
        <f aca="false">IF(G45&gt;=$C$3,H45/G45,"")</f>
        <v>0</v>
      </c>
      <c r="J45" s="8" t="n">
        <v>85</v>
      </c>
      <c r="K45" s="8" t="n">
        <v>3</v>
      </c>
      <c r="L45" s="10" t="n">
        <f aca="false">IF(J45&gt;=$C$3,K45/J45,"")</f>
        <v>0.0352941176470588</v>
      </c>
      <c r="M45" s="8" t="n">
        <v>17</v>
      </c>
      <c r="N45" s="8" t="n">
        <v>0</v>
      </c>
      <c r="O45" s="10" t="n">
        <f aca="false">IF(M45&gt;=$C$3,N45/M45,"")</f>
        <v>0</v>
      </c>
      <c r="P45" s="8" t="n">
        <v>75</v>
      </c>
      <c r="Q45" s="8" t="n">
        <v>1</v>
      </c>
      <c r="R45" s="10" t="n">
        <f aca="false">IF(P45&gt;=$C$3,Q45/P45,"")</f>
        <v>0.0133333333333333</v>
      </c>
      <c r="S45" s="8" t="n">
        <v>24</v>
      </c>
      <c r="T45" s="8" t="n">
        <v>1</v>
      </c>
      <c r="U45" s="10" t="n">
        <f aca="false">IF(S45&gt;=$C$3,T45/S45,"")</f>
        <v>0.0416666666666667</v>
      </c>
      <c r="V45" s="8" t="n">
        <v>187</v>
      </c>
      <c r="W45" s="8" t="n">
        <v>10</v>
      </c>
      <c r="X45" s="10" t="n">
        <f aca="false">IF(V45&gt;=$C$3,W45/V45,"")</f>
        <v>0.053475935828877</v>
      </c>
      <c r="Y45" s="8" t="n">
        <f aca="false">COUNT(F45,I45,L45,O45,R45,U45,X45)</f>
        <v>7</v>
      </c>
      <c r="Z45" s="11" t="n">
        <f aca="false">IF(Y45=0,"n/a",AVERAGE(F45,I45,L45,O45,R45,U45,X45))</f>
        <v>0.0233396995161701</v>
      </c>
      <c r="AA45" s="12" t="n">
        <f aca="false">IF(Y45=0,"",MIN(F45,I45,L45,O45,R45,U45,X45))</f>
        <v>0</v>
      </c>
      <c r="AB45" s="11" t="n">
        <f aca="false">IF(Y45=0,"",MAX(F45,I45,L45,O45,R45,U45,X45))</f>
        <v>0.053475935828877</v>
      </c>
      <c r="AC45" s="8" t="str">
        <f aca="false">IF(Y45&lt;2,"",IF(AB45-AA45&gt;$F$3,"Review",""))</f>
        <v/>
      </c>
      <c r="AD45" s="9" t="n">
        <f aca="false">IF(ISNUMBER(Z45),C45*Z45,"")</f>
        <v>513.225288349885</v>
      </c>
    </row>
    <row r="46" customFormat="false" ht="15" hidden="false" customHeight="false" outlineLevel="0" collapsed="false">
      <c r="A46" s="8" t="s">
        <v>81</v>
      </c>
      <c r="B46" s="8" t="s">
        <v>43</v>
      </c>
      <c r="C46" s="9" t="n">
        <v>41889.23</v>
      </c>
      <c r="D46" s="8" t="n">
        <v>109</v>
      </c>
      <c r="E46" s="8" t="n">
        <v>109</v>
      </c>
      <c r="F46" s="10" t="n">
        <f aca="false">IF(D46&gt;=$C$3,E46/D46,"")</f>
        <v>1</v>
      </c>
      <c r="G46" s="8" t="n">
        <v>9</v>
      </c>
      <c r="H46" s="8" t="n">
        <v>9</v>
      </c>
      <c r="I46" s="10" t="n">
        <f aca="false">IF(G46&gt;=$C$3,H46/G46,"")</f>
        <v>1</v>
      </c>
      <c r="J46" s="8" t="n">
        <v>7</v>
      </c>
      <c r="K46" s="8" t="n">
        <v>7</v>
      </c>
      <c r="L46" s="10" t="n">
        <f aca="false">IF(J46&gt;=$C$3,K46/J46,"")</f>
        <v>1</v>
      </c>
      <c r="M46" s="8" t="n">
        <v>9</v>
      </c>
      <c r="N46" s="8" t="n">
        <v>9</v>
      </c>
      <c r="O46" s="10" t="n">
        <f aca="false">IF(M46&gt;=$C$3,N46/M46,"")</f>
        <v>1</v>
      </c>
      <c r="P46" s="8" t="n">
        <v>31</v>
      </c>
      <c r="Q46" s="8" t="n">
        <v>29</v>
      </c>
      <c r="R46" s="10" t="n">
        <f aca="false">IF(P46&gt;=$C$3,Q46/P46,"")</f>
        <v>0.935483870967742</v>
      </c>
      <c r="S46" s="8" t="n">
        <v>3</v>
      </c>
      <c r="T46" s="8" t="n">
        <v>3</v>
      </c>
      <c r="U46" s="10" t="n">
        <f aca="false">IF(S46&gt;=$C$3,T46/S46,"")</f>
        <v>1</v>
      </c>
      <c r="V46" s="8" t="n">
        <v>18</v>
      </c>
      <c r="W46" s="8" t="n">
        <v>18</v>
      </c>
      <c r="X46" s="10" t="n">
        <f aca="false">IF(V46&gt;=$C$3,W46/V46,"")</f>
        <v>1</v>
      </c>
      <c r="Y46" s="8" t="n">
        <f aca="false">COUNT(F46,I46,L46,O46,R46,U46,X46)</f>
        <v>7</v>
      </c>
      <c r="Z46" s="11" t="n">
        <f aca="false">IF(Y46=0,"n/a",AVERAGE(F46,I46,L46,O46,R46,U46,X46))</f>
        <v>0.990783410138249</v>
      </c>
      <c r="AA46" s="12" t="n">
        <f aca="false">IF(Y46=0,"",MIN(F46,I46,L46,O46,R46,U46,X46))</f>
        <v>0.935483870967742</v>
      </c>
      <c r="AB46" s="11" t="n">
        <f aca="false">IF(Y46=0,"",MAX(F46,I46,L46,O46,R46,U46,X46))</f>
        <v>1</v>
      </c>
      <c r="AC46" s="8" t="str">
        <f aca="false">IF(Y46&lt;2,"",IF(AB46-AA46&gt;$F$3,"Review",""))</f>
        <v/>
      </c>
      <c r="AD46" s="9" t="n">
        <f aca="false">IF(ISNUMBER(Z46),C46*Z46,"")</f>
        <v>41503.1541474654</v>
      </c>
    </row>
    <row r="47" customFormat="false" ht="15" hidden="false" customHeight="false" outlineLevel="0" collapsed="false">
      <c r="A47" s="8" t="s">
        <v>82</v>
      </c>
      <c r="B47" s="8" t="s">
        <v>29</v>
      </c>
      <c r="C47" s="9" t="n">
        <v>170.54</v>
      </c>
      <c r="D47" s="8" t="n">
        <v>62</v>
      </c>
      <c r="E47" s="8" t="n">
        <v>62</v>
      </c>
      <c r="F47" s="10" t="n">
        <f aca="false">IF(D47&gt;=$C$3,E47/D47,"")</f>
        <v>1</v>
      </c>
      <c r="G47" s="8" t="n">
        <v>2</v>
      </c>
      <c r="H47" s="8" t="n">
        <v>2</v>
      </c>
      <c r="I47" s="10" t="str">
        <f aca="false">IF(G47&gt;=$C$3,H47/G47,"")</f>
        <v/>
      </c>
      <c r="J47" s="8" t="n">
        <v>0</v>
      </c>
      <c r="K47" s="8" t="n">
        <v>0</v>
      </c>
      <c r="L47" s="10" t="str">
        <f aca="false">IF(J47&gt;=$C$3,K47/J47,"")</f>
        <v/>
      </c>
      <c r="M47" s="8" t="n">
        <v>9</v>
      </c>
      <c r="N47" s="8" t="n">
        <v>9</v>
      </c>
      <c r="O47" s="10" t="n">
        <f aca="false">IF(M47&gt;=$C$3,N47/M47,"")</f>
        <v>1</v>
      </c>
      <c r="P47" s="8" t="n">
        <v>2</v>
      </c>
      <c r="Q47" s="8" t="n">
        <v>2</v>
      </c>
      <c r="R47" s="10" t="str">
        <f aca="false">IF(P47&gt;=$C$3,Q47/P47,"")</f>
        <v/>
      </c>
      <c r="S47" s="8" t="n">
        <v>0</v>
      </c>
      <c r="T47" s="8" t="n">
        <v>0</v>
      </c>
      <c r="U47" s="10" t="str">
        <f aca="false">IF(S47&gt;=$C$3,T47/S47,"")</f>
        <v/>
      </c>
      <c r="V47" s="8" t="n">
        <v>2</v>
      </c>
      <c r="W47" s="8" t="n">
        <v>2</v>
      </c>
      <c r="X47" s="10" t="str">
        <f aca="false">IF(V47&gt;=$C$3,W47/V47,"")</f>
        <v/>
      </c>
      <c r="Y47" s="8" t="n">
        <f aca="false">COUNT(F47,I47,L47,O47,R47,U47,X47)</f>
        <v>2</v>
      </c>
      <c r="Z47" s="11" t="n">
        <f aca="false">IF(Y47=0,"n/a",AVERAGE(F47,I47,L47,O47,R47,U47,X47))</f>
        <v>1</v>
      </c>
      <c r="AA47" s="12" t="n">
        <f aca="false">IF(Y47=0,"",MIN(F47,I47,L47,O47,R47,U47,X47))</f>
        <v>1</v>
      </c>
      <c r="AB47" s="11" t="n">
        <f aca="false">IF(Y47=0,"",MAX(F47,I47,L47,O47,R47,U47,X47))</f>
        <v>1</v>
      </c>
      <c r="AC47" s="8" t="str">
        <f aca="false">IF(Y47&lt;2,"",IF(AB47-AA47&gt;$F$3,"Review",""))</f>
        <v/>
      </c>
      <c r="AD47" s="9" t="n">
        <f aca="false">IF(ISNUMBER(Z47),C47*Z47,"")</f>
        <v>170.54</v>
      </c>
    </row>
    <row r="48" customFormat="false" ht="15" hidden="false" customHeight="false" outlineLevel="0" collapsed="false">
      <c r="A48" s="8" t="s">
        <v>83</v>
      </c>
      <c r="B48" s="8" t="s">
        <v>84</v>
      </c>
      <c r="C48" s="9" t="n">
        <v>5190.07</v>
      </c>
      <c r="D48" s="8" t="n">
        <v>36</v>
      </c>
      <c r="E48" s="8" t="n">
        <v>36</v>
      </c>
      <c r="F48" s="10" t="n">
        <f aca="false">IF(D48&gt;=$C$3,E48/D48,"")</f>
        <v>1</v>
      </c>
      <c r="G48" s="8" t="n">
        <v>0</v>
      </c>
      <c r="H48" s="8" t="n">
        <v>0</v>
      </c>
      <c r="I48" s="10" t="str">
        <f aca="false">IF(G48&gt;=$C$3,H48/G48,"")</f>
        <v/>
      </c>
      <c r="J48" s="8" t="n">
        <v>2</v>
      </c>
      <c r="K48" s="8" t="n">
        <v>2</v>
      </c>
      <c r="L48" s="10" t="str">
        <f aca="false">IF(J48&gt;=$C$3,K48/J48,"")</f>
        <v/>
      </c>
      <c r="M48" s="8" t="n">
        <v>1</v>
      </c>
      <c r="N48" s="8" t="n">
        <v>1</v>
      </c>
      <c r="O48" s="10" t="str">
        <f aca="false">IF(M48&gt;=$C$3,N48/M48,"")</f>
        <v/>
      </c>
      <c r="P48" s="8" t="n">
        <v>5</v>
      </c>
      <c r="Q48" s="8" t="n">
        <v>4</v>
      </c>
      <c r="R48" s="10" t="n">
        <f aca="false">IF(P48&gt;=$C$3,Q48/P48,"")</f>
        <v>0.8</v>
      </c>
      <c r="S48" s="8" t="n">
        <v>3</v>
      </c>
      <c r="T48" s="8" t="n">
        <v>3</v>
      </c>
      <c r="U48" s="10" t="n">
        <f aca="false">IF(S48&gt;=$C$3,T48/S48,"")</f>
        <v>1</v>
      </c>
      <c r="V48" s="8" t="n">
        <v>8</v>
      </c>
      <c r="W48" s="8" t="n">
        <v>8</v>
      </c>
      <c r="X48" s="10" t="n">
        <f aca="false">IF(V48&gt;=$C$3,W48/V48,"")</f>
        <v>1</v>
      </c>
      <c r="Y48" s="8" t="n">
        <f aca="false">COUNT(F48,I48,L48,O48,R48,U48,X48)</f>
        <v>4</v>
      </c>
      <c r="Z48" s="11" t="n">
        <f aca="false">IF(Y48=0,"n/a",AVERAGE(F48,I48,L48,O48,R48,U48,X48))</f>
        <v>0.95</v>
      </c>
      <c r="AA48" s="12" t="n">
        <f aca="false">IF(Y48=0,"",MIN(F48,I48,L48,O48,R48,U48,X48))</f>
        <v>0.8</v>
      </c>
      <c r="AB48" s="11" t="n">
        <f aca="false">IF(Y48=0,"",MAX(F48,I48,L48,O48,R48,U48,X48))</f>
        <v>1</v>
      </c>
      <c r="AC48" s="8" t="str">
        <f aca="false">IF(Y48&lt;2,"",IF(AB48-AA48&gt;$F$3,"Review",""))</f>
        <v/>
      </c>
      <c r="AD48" s="9" t="n">
        <f aca="false">IF(ISNUMBER(Z48),C48*Z48,"")</f>
        <v>4930.5665</v>
      </c>
    </row>
    <row r="49" customFormat="false" ht="15" hidden="false" customHeight="false" outlineLevel="0" collapsed="false">
      <c r="A49" s="8" t="s">
        <v>85</v>
      </c>
      <c r="B49" s="8" t="s">
        <v>29</v>
      </c>
      <c r="C49" s="9" t="n">
        <v>4714.67</v>
      </c>
      <c r="D49" s="8" t="n">
        <v>136</v>
      </c>
      <c r="E49" s="8" t="n">
        <v>90</v>
      </c>
      <c r="F49" s="10" t="n">
        <f aca="false">IF(D49&gt;=$C$3,E49/D49,"")</f>
        <v>0.661764705882353</v>
      </c>
      <c r="G49" s="8" t="n">
        <v>17</v>
      </c>
      <c r="H49" s="8" t="n">
        <v>9</v>
      </c>
      <c r="I49" s="10" t="n">
        <f aca="false">IF(G49&gt;=$C$3,H49/G49,"")</f>
        <v>0.529411764705882</v>
      </c>
      <c r="J49" s="8" t="n">
        <v>1</v>
      </c>
      <c r="K49" s="8" t="n">
        <v>1</v>
      </c>
      <c r="L49" s="10" t="str">
        <f aca="false">IF(J49&gt;=$C$3,K49/J49,"")</f>
        <v/>
      </c>
      <c r="M49" s="8" t="n">
        <v>9</v>
      </c>
      <c r="N49" s="8" t="n">
        <v>8</v>
      </c>
      <c r="O49" s="10" t="n">
        <f aca="false">IF(M49&gt;=$C$3,N49/M49,"")</f>
        <v>0.888888888888889</v>
      </c>
      <c r="P49" s="8" t="n">
        <v>26</v>
      </c>
      <c r="Q49" s="8" t="n">
        <v>1</v>
      </c>
      <c r="R49" s="10" t="n">
        <f aca="false">IF(P49&gt;=$C$3,Q49/P49,"")</f>
        <v>0.0384615384615385</v>
      </c>
      <c r="S49" s="8" t="n">
        <v>4</v>
      </c>
      <c r="T49" s="8" t="n">
        <v>3</v>
      </c>
      <c r="U49" s="10" t="n">
        <f aca="false">IF(S49&gt;=$C$3,T49/S49,"")</f>
        <v>0.75</v>
      </c>
      <c r="V49" s="8" t="n">
        <v>23</v>
      </c>
      <c r="W49" s="8" t="n">
        <v>20</v>
      </c>
      <c r="X49" s="10" t="n">
        <f aca="false">IF(V49&gt;=$C$3,W49/V49,"")</f>
        <v>0.869565217391304</v>
      </c>
      <c r="Y49" s="8" t="n">
        <f aca="false">COUNT(F49,I49,L49,O49,R49,U49,X49)</f>
        <v>6</v>
      </c>
      <c r="Z49" s="11" t="n">
        <f aca="false">IF(Y49=0,"n/a",AVERAGE(F49,I49,L49,O49,R49,U49,X49))</f>
        <v>0.623015352554995</v>
      </c>
      <c r="AA49" s="12" t="n">
        <f aca="false">IF(Y49=0,"",MIN(F49,I49,L49,O49,R49,U49,X49))</f>
        <v>0.0384615384615385</v>
      </c>
      <c r="AB49" s="11" t="n">
        <f aca="false">IF(Y49=0,"",MAX(F49,I49,L49,O49,R49,U49,X49))</f>
        <v>0.888888888888889</v>
      </c>
      <c r="AC49" s="8" t="str">
        <f aca="false">IF(Y49&lt;2,"",IF(AB49-AA49&gt;$F$3,"Review",""))</f>
        <v>Review</v>
      </c>
      <c r="AD49" s="9" t="n">
        <f aca="false">IF(ISNUMBER(Z49),C49*Z49,"")</f>
        <v>2937.31179223046</v>
      </c>
    </row>
    <row r="50" customFormat="false" ht="15" hidden="false" customHeight="false" outlineLevel="0" collapsed="false">
      <c r="A50" s="8" t="s">
        <v>86</v>
      </c>
      <c r="B50" s="8" t="s">
        <v>41</v>
      </c>
      <c r="C50" s="9" t="n">
        <v>4620.39</v>
      </c>
      <c r="D50" s="8" t="n">
        <v>534</v>
      </c>
      <c r="E50" s="8" t="n">
        <v>501</v>
      </c>
      <c r="F50" s="10" t="n">
        <f aca="false">IF(D50&gt;=$C$3,E50/D50,"")</f>
        <v>0.938202247191011</v>
      </c>
      <c r="G50" s="8" t="n">
        <v>44</v>
      </c>
      <c r="H50" s="8" t="n">
        <v>25</v>
      </c>
      <c r="I50" s="10" t="n">
        <f aca="false">IF(G50&gt;=$C$3,H50/G50,"")</f>
        <v>0.568181818181818</v>
      </c>
      <c r="J50" s="8" t="n">
        <v>44</v>
      </c>
      <c r="K50" s="8" t="n">
        <v>41</v>
      </c>
      <c r="L50" s="10" t="n">
        <f aca="false">IF(J50&gt;=$C$3,K50/J50,"")</f>
        <v>0.931818181818182</v>
      </c>
      <c r="M50" s="8" t="n">
        <v>53</v>
      </c>
      <c r="N50" s="8" t="n">
        <v>50</v>
      </c>
      <c r="O50" s="10" t="n">
        <f aca="false">IF(M50&gt;=$C$3,N50/M50,"")</f>
        <v>0.943396226415094</v>
      </c>
      <c r="P50" s="8" t="n">
        <v>14</v>
      </c>
      <c r="Q50" s="8" t="n">
        <v>14</v>
      </c>
      <c r="R50" s="10" t="n">
        <f aca="false">IF(P50&gt;=$C$3,Q50/P50,"")</f>
        <v>1</v>
      </c>
      <c r="S50" s="8" t="n">
        <v>22</v>
      </c>
      <c r="T50" s="8" t="n">
        <v>20</v>
      </c>
      <c r="U50" s="10" t="n">
        <f aca="false">IF(S50&gt;=$C$3,T50/S50,"")</f>
        <v>0.909090909090909</v>
      </c>
      <c r="V50" s="8" t="n">
        <v>90</v>
      </c>
      <c r="W50" s="8" t="n">
        <v>76</v>
      </c>
      <c r="X50" s="10" t="n">
        <f aca="false">IF(V50&gt;=$C$3,W50/V50,"")</f>
        <v>0.844444444444444</v>
      </c>
      <c r="Y50" s="8" t="n">
        <f aca="false">COUNT(F50,I50,L50,O50,R50,U50,X50)</f>
        <v>7</v>
      </c>
      <c r="Z50" s="11" t="n">
        <f aca="false">IF(Y50=0,"n/a",AVERAGE(F50,I50,L50,O50,R50,U50,X50))</f>
        <v>0.876447689591637</v>
      </c>
      <c r="AA50" s="12" t="n">
        <f aca="false">IF(Y50=0,"",MIN(F50,I50,L50,O50,R50,U50,X50))</f>
        <v>0.568181818181818</v>
      </c>
      <c r="AB50" s="11" t="n">
        <f aca="false">IF(Y50=0,"",MAX(F50,I50,L50,O50,R50,U50,X50))</f>
        <v>1</v>
      </c>
      <c r="AC50" s="8" t="str">
        <f aca="false">IF(Y50&lt;2,"",IF(AB50-AA50&gt;$F$3,"Review",""))</f>
        <v/>
      </c>
      <c r="AD50" s="9" t="n">
        <f aca="false">IF(ISNUMBER(Z50),C50*Z50,"")</f>
        <v>4049.5301405123</v>
      </c>
    </row>
    <row r="51" customFormat="false" ht="15" hidden="false" customHeight="false" outlineLevel="0" collapsed="false">
      <c r="A51" s="8" t="s">
        <v>87</v>
      </c>
      <c r="B51" s="8" t="s">
        <v>43</v>
      </c>
      <c r="C51" s="9" t="n">
        <v>2783.28</v>
      </c>
      <c r="D51" s="8" t="n">
        <v>106</v>
      </c>
      <c r="E51" s="8" t="n">
        <v>104</v>
      </c>
      <c r="F51" s="10" t="n">
        <f aca="false">IF(D51&gt;=$C$3,E51/D51,"")</f>
        <v>0.981132075471698</v>
      </c>
      <c r="G51" s="8" t="n">
        <v>10</v>
      </c>
      <c r="H51" s="8" t="n">
        <v>10</v>
      </c>
      <c r="I51" s="10" t="n">
        <f aca="false">IF(G51&gt;=$C$3,H51/G51,"")</f>
        <v>1</v>
      </c>
      <c r="J51" s="8" t="n">
        <v>1</v>
      </c>
      <c r="K51" s="8" t="n">
        <v>1</v>
      </c>
      <c r="L51" s="10" t="str">
        <f aca="false">IF(J51&gt;=$C$3,K51/J51,"")</f>
        <v/>
      </c>
      <c r="M51" s="8" t="n">
        <v>5</v>
      </c>
      <c r="N51" s="8" t="n">
        <v>5</v>
      </c>
      <c r="O51" s="10" t="n">
        <f aca="false">IF(M51&gt;=$C$3,N51/M51,"")</f>
        <v>1</v>
      </c>
      <c r="P51" s="8" t="n">
        <v>8</v>
      </c>
      <c r="Q51" s="8" t="n">
        <v>8</v>
      </c>
      <c r="R51" s="10" t="n">
        <f aca="false">IF(P51&gt;=$C$3,Q51/P51,"")</f>
        <v>1</v>
      </c>
      <c r="S51" s="8" t="n">
        <v>0</v>
      </c>
      <c r="T51" s="8" t="n">
        <v>0</v>
      </c>
      <c r="U51" s="10" t="str">
        <f aca="false">IF(S51&gt;=$C$3,T51/S51,"")</f>
        <v/>
      </c>
      <c r="V51" s="8" t="n">
        <v>1</v>
      </c>
      <c r="W51" s="8" t="n">
        <v>1</v>
      </c>
      <c r="X51" s="10" t="str">
        <f aca="false">IF(V51&gt;=$C$3,W51/V51,"")</f>
        <v/>
      </c>
      <c r="Y51" s="8" t="n">
        <f aca="false">COUNT(F51,I51,L51,O51,R51,U51,X51)</f>
        <v>4</v>
      </c>
      <c r="Z51" s="11" t="n">
        <f aca="false">IF(Y51=0,"n/a",AVERAGE(F51,I51,L51,O51,R51,U51,X51))</f>
        <v>0.995283018867925</v>
      </c>
      <c r="AA51" s="12" t="n">
        <f aca="false">IF(Y51=0,"",MIN(F51,I51,L51,O51,R51,U51,X51))</f>
        <v>0.981132075471698</v>
      </c>
      <c r="AB51" s="11" t="n">
        <f aca="false">IF(Y51=0,"",MAX(F51,I51,L51,O51,R51,U51,X51))</f>
        <v>1</v>
      </c>
      <c r="AC51" s="8" t="str">
        <f aca="false">IF(Y51&lt;2,"",IF(AB51-AA51&gt;$F$3,"Review",""))</f>
        <v/>
      </c>
      <c r="AD51" s="9" t="n">
        <f aca="false">IF(ISNUMBER(Z51),C51*Z51,"")</f>
        <v>2770.15132075472</v>
      </c>
    </row>
    <row r="52" customFormat="false" ht="15" hidden="false" customHeight="false" outlineLevel="0" collapsed="false">
      <c r="A52" s="8" t="s">
        <v>88</v>
      </c>
      <c r="B52" s="8" t="s">
        <v>27</v>
      </c>
      <c r="C52" s="9" t="n">
        <v>5255.61</v>
      </c>
      <c r="D52" s="8" t="n">
        <v>17</v>
      </c>
      <c r="E52" s="8" t="n">
        <v>16</v>
      </c>
      <c r="F52" s="10" t="n">
        <f aca="false">IF(D52&gt;=$C$3,E52/D52,"")</f>
        <v>0.941176470588235</v>
      </c>
      <c r="G52" s="8" t="n">
        <v>4</v>
      </c>
      <c r="H52" s="8" t="n">
        <v>4</v>
      </c>
      <c r="I52" s="10" t="n">
        <f aca="false">IF(G52&gt;=$C$3,H52/G52,"")</f>
        <v>1</v>
      </c>
      <c r="J52" s="8" t="n">
        <v>2</v>
      </c>
      <c r="K52" s="8" t="n">
        <v>2</v>
      </c>
      <c r="L52" s="10" t="str">
        <f aca="false">IF(J52&gt;=$C$3,K52/J52,"")</f>
        <v/>
      </c>
      <c r="M52" s="8" t="n">
        <v>4</v>
      </c>
      <c r="N52" s="8" t="n">
        <v>4</v>
      </c>
      <c r="O52" s="10" t="n">
        <f aca="false">IF(M52&gt;=$C$3,N52/M52,"")</f>
        <v>1</v>
      </c>
      <c r="P52" s="8" t="n">
        <v>2</v>
      </c>
      <c r="Q52" s="8" t="n">
        <v>2</v>
      </c>
      <c r="R52" s="10" t="str">
        <f aca="false">IF(P52&gt;=$C$3,Q52/P52,"")</f>
        <v/>
      </c>
      <c r="S52" s="8" t="n">
        <v>0</v>
      </c>
      <c r="T52" s="8" t="n">
        <v>0</v>
      </c>
      <c r="U52" s="10" t="str">
        <f aca="false">IF(S52&gt;=$C$3,T52/S52,"")</f>
        <v/>
      </c>
      <c r="V52" s="8" t="n">
        <v>13</v>
      </c>
      <c r="W52" s="8" t="n">
        <v>13</v>
      </c>
      <c r="X52" s="10" t="n">
        <f aca="false">IF(V52&gt;=$C$3,W52/V52,"")</f>
        <v>1</v>
      </c>
      <c r="Y52" s="8" t="n">
        <f aca="false">COUNT(F52,I52,L52,O52,R52,U52,X52)</f>
        <v>4</v>
      </c>
      <c r="Z52" s="11" t="n">
        <f aca="false">IF(Y52=0,"n/a",AVERAGE(F52,I52,L52,O52,R52,U52,X52))</f>
        <v>0.985294117647059</v>
      </c>
      <c r="AA52" s="12" t="n">
        <f aca="false">IF(Y52=0,"",MIN(F52,I52,L52,O52,R52,U52,X52))</f>
        <v>0.941176470588235</v>
      </c>
      <c r="AB52" s="11" t="n">
        <f aca="false">IF(Y52=0,"",MAX(F52,I52,L52,O52,R52,U52,X52))</f>
        <v>1</v>
      </c>
      <c r="AC52" s="8" t="str">
        <f aca="false">IF(Y52&lt;2,"",IF(AB52-AA52&gt;$F$3,"Review",""))</f>
        <v/>
      </c>
      <c r="AD52" s="9" t="n">
        <f aca="false">IF(ISNUMBER(Z52),C52*Z52,"")</f>
        <v>5178.32161764706</v>
      </c>
    </row>
    <row r="53" customFormat="false" ht="15" hidden="false" customHeight="false" outlineLevel="0" collapsed="false">
      <c r="A53" s="8" t="s">
        <v>89</v>
      </c>
      <c r="B53" s="8" t="s">
        <v>43</v>
      </c>
      <c r="C53" s="9" t="n">
        <v>1874.63</v>
      </c>
      <c r="D53" s="8" t="n">
        <v>127</v>
      </c>
      <c r="E53" s="8" t="n">
        <v>127</v>
      </c>
      <c r="F53" s="10" t="n">
        <f aca="false">IF(D53&gt;=$C$3,E53/D53,"")</f>
        <v>1</v>
      </c>
      <c r="G53" s="8" t="n">
        <v>9</v>
      </c>
      <c r="H53" s="8" t="n">
        <v>9</v>
      </c>
      <c r="I53" s="10" t="n">
        <f aca="false">IF(G53&gt;=$C$3,H53/G53,"")</f>
        <v>1</v>
      </c>
      <c r="J53" s="8" t="n">
        <v>2</v>
      </c>
      <c r="K53" s="8" t="n">
        <v>2</v>
      </c>
      <c r="L53" s="10" t="str">
        <f aca="false">IF(J53&gt;=$C$3,K53/J53,"")</f>
        <v/>
      </c>
      <c r="M53" s="8" t="n">
        <v>5</v>
      </c>
      <c r="N53" s="8" t="n">
        <v>5</v>
      </c>
      <c r="O53" s="10" t="n">
        <f aca="false">IF(M53&gt;=$C$3,N53/M53,"")</f>
        <v>1</v>
      </c>
      <c r="P53" s="8" t="n">
        <v>2</v>
      </c>
      <c r="Q53" s="8" t="n">
        <v>2</v>
      </c>
      <c r="R53" s="10" t="str">
        <f aca="false">IF(P53&gt;=$C$3,Q53/P53,"")</f>
        <v/>
      </c>
      <c r="S53" s="8" t="n">
        <v>2</v>
      </c>
      <c r="T53" s="8" t="n">
        <v>2</v>
      </c>
      <c r="U53" s="10" t="str">
        <f aca="false">IF(S53&gt;=$C$3,T53/S53,"")</f>
        <v/>
      </c>
      <c r="V53" s="8" t="n">
        <v>11</v>
      </c>
      <c r="W53" s="8" t="n">
        <v>11</v>
      </c>
      <c r="X53" s="10" t="n">
        <f aca="false">IF(V53&gt;=$C$3,W53/V53,"")</f>
        <v>1</v>
      </c>
      <c r="Y53" s="8" t="n">
        <f aca="false">COUNT(F53,I53,L53,O53,R53,U53,X53)</f>
        <v>4</v>
      </c>
      <c r="Z53" s="11" t="n">
        <f aca="false">IF(Y53=0,"n/a",AVERAGE(F53,I53,L53,O53,R53,U53,X53))</f>
        <v>1</v>
      </c>
      <c r="AA53" s="12" t="n">
        <f aca="false">IF(Y53=0,"",MIN(F53,I53,L53,O53,R53,U53,X53))</f>
        <v>1</v>
      </c>
      <c r="AB53" s="11" t="n">
        <f aca="false">IF(Y53=0,"",MAX(F53,I53,L53,O53,R53,U53,X53))</f>
        <v>1</v>
      </c>
      <c r="AC53" s="8" t="str">
        <f aca="false">IF(Y53&lt;2,"",IF(AB53-AA53&gt;$F$3,"Review",""))</f>
        <v/>
      </c>
      <c r="AD53" s="9" t="n">
        <f aca="false">IF(ISNUMBER(Z53),C53*Z53,"")</f>
        <v>1874.63</v>
      </c>
    </row>
    <row r="54" customFormat="false" ht="15" hidden="false" customHeight="false" outlineLevel="0" collapsed="false">
      <c r="A54" s="8" t="s">
        <v>90</v>
      </c>
      <c r="B54" s="8" t="s">
        <v>31</v>
      </c>
      <c r="C54" s="9" t="n">
        <v>53539.87</v>
      </c>
      <c r="D54" s="8" t="n">
        <v>92</v>
      </c>
      <c r="E54" s="8" t="n">
        <v>92</v>
      </c>
      <c r="F54" s="10" t="n">
        <f aca="false">IF(D54&gt;=$C$3,E54/D54,"")</f>
        <v>1</v>
      </c>
      <c r="G54" s="8" t="n">
        <v>11</v>
      </c>
      <c r="H54" s="8" t="n">
        <v>11</v>
      </c>
      <c r="I54" s="10" t="n">
        <f aca="false">IF(G54&gt;=$C$3,H54/G54,"")</f>
        <v>1</v>
      </c>
      <c r="J54" s="8" t="n">
        <v>6</v>
      </c>
      <c r="K54" s="8" t="n">
        <v>6</v>
      </c>
      <c r="L54" s="10" t="n">
        <f aca="false">IF(J54&gt;=$C$3,K54/J54,"")</f>
        <v>1</v>
      </c>
      <c r="M54" s="8" t="n">
        <v>5</v>
      </c>
      <c r="N54" s="8" t="n">
        <v>5</v>
      </c>
      <c r="O54" s="10" t="n">
        <f aca="false">IF(M54&gt;=$C$3,N54/M54,"")</f>
        <v>1</v>
      </c>
      <c r="P54" s="8" t="n">
        <v>11</v>
      </c>
      <c r="Q54" s="8" t="n">
        <v>11</v>
      </c>
      <c r="R54" s="10" t="n">
        <f aca="false">IF(P54&gt;=$C$3,Q54/P54,"")</f>
        <v>1</v>
      </c>
      <c r="S54" s="8" t="n">
        <v>3</v>
      </c>
      <c r="T54" s="8" t="n">
        <v>3</v>
      </c>
      <c r="U54" s="10" t="n">
        <f aca="false">IF(S54&gt;=$C$3,T54/S54,"")</f>
        <v>1</v>
      </c>
      <c r="V54" s="8" t="n">
        <v>6</v>
      </c>
      <c r="W54" s="8" t="n">
        <v>6</v>
      </c>
      <c r="X54" s="10" t="n">
        <f aca="false">IF(V54&gt;=$C$3,W54/V54,"")</f>
        <v>1</v>
      </c>
      <c r="Y54" s="8" t="n">
        <f aca="false">COUNT(F54,I54,L54,O54,R54,U54,X54)</f>
        <v>7</v>
      </c>
      <c r="Z54" s="11" t="n">
        <f aca="false">IF(Y54=0,"n/a",AVERAGE(F54,I54,L54,O54,R54,U54,X54))</f>
        <v>1</v>
      </c>
      <c r="AA54" s="12" t="n">
        <f aca="false">IF(Y54=0,"",MIN(F54,I54,L54,O54,R54,U54,X54))</f>
        <v>1</v>
      </c>
      <c r="AB54" s="11" t="n">
        <f aca="false">IF(Y54=0,"",MAX(F54,I54,L54,O54,R54,U54,X54))</f>
        <v>1</v>
      </c>
      <c r="AC54" s="8" t="str">
        <f aca="false">IF(Y54&lt;2,"",IF(AB54-AA54&gt;$F$3,"Review",""))</f>
        <v/>
      </c>
      <c r="AD54" s="9" t="n">
        <f aca="false">IF(ISNUMBER(Z54),C54*Z54,"")</f>
        <v>53539.87</v>
      </c>
    </row>
    <row r="55" customFormat="false" ht="15" hidden="false" customHeight="false" outlineLevel="0" collapsed="false">
      <c r="A55" s="8" t="s">
        <v>91</v>
      </c>
      <c r="B55" s="8" t="s">
        <v>27</v>
      </c>
      <c r="C55" s="9" t="n">
        <v>5896.49</v>
      </c>
      <c r="D55" s="8" t="n">
        <v>48</v>
      </c>
      <c r="E55" s="8" t="n">
        <v>48</v>
      </c>
      <c r="F55" s="10" t="n">
        <f aca="false">IF(D55&gt;=$C$3,E55/D55,"")</f>
        <v>1</v>
      </c>
      <c r="G55" s="8" t="n">
        <v>8</v>
      </c>
      <c r="H55" s="8" t="n">
        <v>8</v>
      </c>
      <c r="I55" s="10" t="n">
        <f aca="false">IF(G55&gt;=$C$3,H55/G55,"")</f>
        <v>1</v>
      </c>
      <c r="J55" s="8" t="n">
        <v>2</v>
      </c>
      <c r="K55" s="8" t="n">
        <v>2</v>
      </c>
      <c r="L55" s="10" t="str">
        <f aca="false">IF(J55&gt;=$C$3,K55/J55,"")</f>
        <v/>
      </c>
      <c r="M55" s="8" t="n">
        <v>6</v>
      </c>
      <c r="N55" s="8" t="n">
        <v>6</v>
      </c>
      <c r="O55" s="10" t="n">
        <f aca="false">IF(M55&gt;=$C$3,N55/M55,"")</f>
        <v>1</v>
      </c>
      <c r="P55" s="8" t="n">
        <v>1</v>
      </c>
      <c r="Q55" s="8" t="n">
        <v>1</v>
      </c>
      <c r="R55" s="10" t="str">
        <f aca="false">IF(P55&gt;=$C$3,Q55/P55,"")</f>
        <v/>
      </c>
      <c r="S55" s="8" t="n">
        <v>0</v>
      </c>
      <c r="T55" s="8" t="n">
        <v>0</v>
      </c>
      <c r="U55" s="10" t="str">
        <f aca="false">IF(S55&gt;=$C$3,T55/S55,"")</f>
        <v/>
      </c>
      <c r="V55" s="8" t="n">
        <v>18</v>
      </c>
      <c r="W55" s="8" t="n">
        <v>18</v>
      </c>
      <c r="X55" s="10" t="n">
        <f aca="false">IF(V55&gt;=$C$3,W55/V55,"")</f>
        <v>1</v>
      </c>
      <c r="Y55" s="8" t="n">
        <f aca="false">COUNT(F55,I55,L55,O55,R55,U55,X55)</f>
        <v>4</v>
      </c>
      <c r="Z55" s="11" t="n">
        <f aca="false">IF(Y55=0,"n/a",AVERAGE(F55,I55,L55,O55,R55,U55,X55))</f>
        <v>1</v>
      </c>
      <c r="AA55" s="12" t="n">
        <f aca="false">IF(Y55=0,"",MIN(F55,I55,L55,O55,R55,U55,X55))</f>
        <v>1</v>
      </c>
      <c r="AB55" s="11" t="n">
        <f aca="false">IF(Y55=0,"",MAX(F55,I55,L55,O55,R55,U55,X55))</f>
        <v>1</v>
      </c>
      <c r="AC55" s="8" t="str">
        <f aca="false">IF(Y55&lt;2,"",IF(AB55-AA55&gt;$F$3,"Review",""))</f>
        <v/>
      </c>
      <c r="AD55" s="9" t="n">
        <f aca="false">IF(ISNUMBER(Z55),C55*Z55,"")</f>
        <v>5896.49</v>
      </c>
    </row>
    <row r="56" customFormat="false" ht="15" hidden="false" customHeight="false" outlineLevel="0" collapsed="false">
      <c r="A56" s="8" t="s">
        <v>92</v>
      </c>
      <c r="B56" s="8" t="s">
        <v>69</v>
      </c>
      <c r="C56" s="9" t="n">
        <v>130453.11</v>
      </c>
      <c r="D56" s="8" t="n">
        <v>557</v>
      </c>
      <c r="E56" s="8" t="n">
        <v>113</v>
      </c>
      <c r="F56" s="10" t="n">
        <f aca="false">IF(D56&gt;=$C$3,E56/D56,"")</f>
        <v>0.202872531418312</v>
      </c>
      <c r="G56" s="8" t="n">
        <v>91</v>
      </c>
      <c r="H56" s="8" t="n">
        <v>8</v>
      </c>
      <c r="I56" s="10" t="n">
        <f aca="false">IF(G56&gt;=$C$3,H56/G56,"")</f>
        <v>0.0879120879120879</v>
      </c>
      <c r="J56" s="8" t="n">
        <v>32</v>
      </c>
      <c r="K56" s="8" t="n">
        <v>0</v>
      </c>
      <c r="L56" s="10" t="n">
        <f aca="false">IF(J56&gt;=$C$3,K56/J56,"")</f>
        <v>0</v>
      </c>
      <c r="M56" s="8" t="n">
        <v>126</v>
      </c>
      <c r="N56" s="8" t="n">
        <v>5</v>
      </c>
      <c r="O56" s="10" t="n">
        <f aca="false">IF(M56&gt;=$C$3,N56/M56,"")</f>
        <v>0.0396825396825397</v>
      </c>
      <c r="P56" s="8" t="n">
        <v>76</v>
      </c>
      <c r="Q56" s="8" t="n">
        <v>11</v>
      </c>
      <c r="R56" s="10" t="n">
        <f aca="false">IF(P56&gt;=$C$3,Q56/P56,"")</f>
        <v>0.144736842105263</v>
      </c>
      <c r="S56" s="8" t="n">
        <v>49</v>
      </c>
      <c r="T56" s="8" t="n">
        <v>10</v>
      </c>
      <c r="U56" s="10" t="n">
        <f aca="false">IF(S56&gt;=$C$3,T56/S56,"")</f>
        <v>0.204081632653061</v>
      </c>
      <c r="V56" s="8" t="n">
        <v>87</v>
      </c>
      <c r="W56" s="8" t="n">
        <v>4</v>
      </c>
      <c r="X56" s="10" t="n">
        <f aca="false">IF(V56&gt;=$C$3,W56/V56,"")</f>
        <v>0.0459770114942529</v>
      </c>
      <c r="Y56" s="8" t="n">
        <f aca="false">COUNT(F56,I56,L56,O56,R56,U56,X56)</f>
        <v>7</v>
      </c>
      <c r="Z56" s="11" t="n">
        <f aca="false">IF(Y56=0,"n/a",AVERAGE(F56,I56,L56,O56,R56,U56,X56))</f>
        <v>0.103608949323645</v>
      </c>
      <c r="AA56" s="12" t="n">
        <f aca="false">IF(Y56=0,"",MIN(F56,I56,L56,O56,R56,U56,X56))</f>
        <v>0</v>
      </c>
      <c r="AB56" s="11" t="n">
        <f aca="false">IF(Y56=0,"",MAX(F56,I56,L56,O56,R56,U56,X56))</f>
        <v>0.204081632653061</v>
      </c>
      <c r="AC56" s="8" t="str">
        <f aca="false">IF(Y56&lt;2,"",IF(AB56-AA56&gt;$F$3,"Review",""))</f>
        <v/>
      </c>
      <c r="AD56" s="9" t="n">
        <f aca="false">IF(ISNUMBER(Z56),C56*Z56,"")</f>
        <v>13516.1096631019</v>
      </c>
    </row>
    <row r="57" customFormat="false" ht="15" hidden="false" customHeight="false" outlineLevel="0" collapsed="false">
      <c r="A57" s="8" t="s">
        <v>93</v>
      </c>
      <c r="B57" s="8" t="s">
        <v>60</v>
      </c>
      <c r="C57" s="9" t="n">
        <v>662.47</v>
      </c>
      <c r="D57" s="8" t="n">
        <v>2</v>
      </c>
      <c r="E57" s="8" t="n">
        <v>1</v>
      </c>
      <c r="F57" s="10" t="str">
        <f aca="false">IF(D57&gt;=$C$3,E57/D57,"")</f>
        <v/>
      </c>
      <c r="G57" s="8" t="n">
        <v>0</v>
      </c>
      <c r="H57" s="8" t="n">
        <v>0</v>
      </c>
      <c r="I57" s="10" t="str">
        <f aca="false">IF(G57&gt;=$C$3,H57/G57,"")</f>
        <v/>
      </c>
      <c r="J57" s="8" t="n">
        <v>2</v>
      </c>
      <c r="K57" s="8" t="n">
        <v>1</v>
      </c>
      <c r="L57" s="10" t="str">
        <f aca="false">IF(J57&gt;=$C$3,K57/J57,"")</f>
        <v/>
      </c>
      <c r="M57" s="8" t="n">
        <v>0</v>
      </c>
      <c r="N57" s="8" t="n">
        <v>0</v>
      </c>
      <c r="O57" s="10" t="str">
        <f aca="false">IF(M57&gt;=$C$3,N57/M57,"")</f>
        <v/>
      </c>
      <c r="P57" s="8" t="n">
        <v>0</v>
      </c>
      <c r="Q57" s="8" t="n">
        <v>0</v>
      </c>
      <c r="R57" s="10" t="str">
        <f aca="false">IF(P57&gt;=$C$3,Q57/P57,"")</f>
        <v/>
      </c>
      <c r="S57" s="8" t="n">
        <v>0</v>
      </c>
      <c r="T57" s="8" t="n">
        <v>0</v>
      </c>
      <c r="U57" s="10" t="str">
        <f aca="false">IF(S57&gt;=$C$3,T57/S57,"")</f>
        <v/>
      </c>
      <c r="V57" s="8" t="n">
        <v>9</v>
      </c>
      <c r="W57" s="8" t="n">
        <v>2</v>
      </c>
      <c r="X57" s="10" t="n">
        <f aca="false">IF(V57&gt;=$C$3,W57/V57,"")</f>
        <v>0.222222222222222</v>
      </c>
      <c r="Y57" s="8" t="n">
        <f aca="false">COUNT(F57,I57,L57,O57,R57,U57,X57)</f>
        <v>1</v>
      </c>
      <c r="Z57" s="11" t="n">
        <f aca="false">IF(Y57=0,"n/a",AVERAGE(F57,I57,L57,O57,R57,U57,X57))</f>
        <v>0.222222222222222</v>
      </c>
      <c r="AA57" s="12" t="n">
        <f aca="false">IF(Y57=0,"",MIN(F57,I57,L57,O57,R57,U57,X57))</f>
        <v>0.222222222222222</v>
      </c>
      <c r="AB57" s="11" t="n">
        <f aca="false">IF(Y57=0,"",MAX(F57,I57,L57,O57,R57,U57,X57))</f>
        <v>0.222222222222222</v>
      </c>
      <c r="AC57" s="8" t="str">
        <f aca="false">IF(Y57&lt;2,"",IF(AB57-AA57&gt;$F$3,"Review",""))</f>
        <v/>
      </c>
      <c r="AD57" s="9" t="n">
        <f aca="false">IF(ISNUMBER(Z57),C57*Z57,"")</f>
        <v>147.215555555556</v>
      </c>
    </row>
    <row r="58" customFormat="false" ht="15" hidden="false" customHeight="false" outlineLevel="0" collapsed="false">
      <c r="A58" s="8" t="s">
        <v>94</v>
      </c>
      <c r="B58" s="8" t="s">
        <v>29</v>
      </c>
      <c r="C58" s="9" t="n">
        <v>1781.11</v>
      </c>
      <c r="D58" s="8" t="n">
        <v>24</v>
      </c>
      <c r="E58" s="8" t="n">
        <v>24</v>
      </c>
      <c r="F58" s="10" t="n">
        <f aca="false">IF(D58&gt;=$C$3,E58/D58,"")</f>
        <v>1</v>
      </c>
      <c r="G58" s="8" t="n">
        <v>2</v>
      </c>
      <c r="H58" s="8" t="n">
        <v>2</v>
      </c>
      <c r="I58" s="10" t="str">
        <f aca="false">IF(G58&gt;=$C$3,H58/G58,"")</f>
        <v/>
      </c>
      <c r="J58" s="8" t="n">
        <v>2</v>
      </c>
      <c r="K58" s="8" t="n">
        <v>2</v>
      </c>
      <c r="L58" s="10" t="str">
        <f aca="false">IF(J58&gt;=$C$3,K58/J58,"")</f>
        <v/>
      </c>
      <c r="M58" s="8" t="n">
        <v>0</v>
      </c>
      <c r="N58" s="8" t="n">
        <v>0</v>
      </c>
      <c r="O58" s="10" t="str">
        <f aca="false">IF(M58&gt;=$C$3,N58/M58,"")</f>
        <v/>
      </c>
      <c r="P58" s="8" t="n">
        <v>2</v>
      </c>
      <c r="Q58" s="8" t="n">
        <v>2</v>
      </c>
      <c r="R58" s="10" t="str">
        <f aca="false">IF(P58&gt;=$C$3,Q58/P58,"")</f>
        <v/>
      </c>
      <c r="S58" s="8" t="n">
        <v>1</v>
      </c>
      <c r="T58" s="8" t="n">
        <v>1</v>
      </c>
      <c r="U58" s="10" t="str">
        <f aca="false">IF(S58&gt;=$C$3,T58/S58,"")</f>
        <v/>
      </c>
      <c r="V58" s="8" t="n">
        <v>7</v>
      </c>
      <c r="W58" s="8" t="n">
        <v>7</v>
      </c>
      <c r="X58" s="10" t="n">
        <f aca="false">IF(V58&gt;=$C$3,W58/V58,"")</f>
        <v>1</v>
      </c>
      <c r="Y58" s="8" t="n">
        <f aca="false">COUNT(F58,I58,L58,O58,R58,U58,X58)</f>
        <v>2</v>
      </c>
      <c r="Z58" s="11" t="n">
        <f aca="false">IF(Y58=0,"n/a",AVERAGE(F58,I58,L58,O58,R58,U58,X58))</f>
        <v>1</v>
      </c>
      <c r="AA58" s="12" t="n">
        <f aca="false">IF(Y58=0,"",MIN(F58,I58,L58,O58,R58,U58,X58))</f>
        <v>1</v>
      </c>
      <c r="AB58" s="11" t="n">
        <f aca="false">IF(Y58=0,"",MAX(F58,I58,L58,O58,R58,U58,X58))</f>
        <v>1</v>
      </c>
      <c r="AC58" s="8" t="str">
        <f aca="false">IF(Y58&lt;2,"",IF(AB58-AA58&gt;$F$3,"Review",""))</f>
        <v/>
      </c>
      <c r="AD58" s="9" t="n">
        <f aca="false">IF(ISNUMBER(Z58),C58*Z58,"")</f>
        <v>1781.11</v>
      </c>
    </row>
    <row r="59" customFormat="false" ht="15" hidden="false" customHeight="false" outlineLevel="0" collapsed="false">
      <c r="A59" s="8" t="s">
        <v>95</v>
      </c>
      <c r="B59" s="8" t="s">
        <v>69</v>
      </c>
      <c r="C59" s="9" t="n">
        <v>34008.96</v>
      </c>
      <c r="D59" s="8" t="n">
        <v>97</v>
      </c>
      <c r="E59" s="8" t="n">
        <v>7</v>
      </c>
      <c r="F59" s="10" t="n">
        <f aca="false">IF(D59&gt;=$C$3,E59/D59,"")</f>
        <v>0.0721649484536082</v>
      </c>
      <c r="G59" s="8" t="n">
        <v>26</v>
      </c>
      <c r="H59" s="8" t="n">
        <v>0</v>
      </c>
      <c r="I59" s="10" t="n">
        <f aca="false">IF(G59&gt;=$C$3,H59/G59,"")</f>
        <v>0</v>
      </c>
      <c r="J59" s="8" t="n">
        <v>20</v>
      </c>
      <c r="K59" s="8" t="n">
        <v>2</v>
      </c>
      <c r="L59" s="10" t="n">
        <f aca="false">IF(J59&gt;=$C$3,K59/J59,"")</f>
        <v>0.1</v>
      </c>
      <c r="M59" s="8" t="n">
        <v>16</v>
      </c>
      <c r="N59" s="8" t="n">
        <v>0</v>
      </c>
      <c r="O59" s="10" t="n">
        <f aca="false">IF(M59&gt;=$C$3,N59/M59,"")</f>
        <v>0</v>
      </c>
      <c r="P59" s="8" t="n">
        <v>0</v>
      </c>
      <c r="Q59" s="8" t="n">
        <v>0</v>
      </c>
      <c r="R59" s="10" t="str">
        <f aca="false">IF(P59&gt;=$C$3,Q59/P59,"")</f>
        <v/>
      </c>
      <c r="S59" s="8" t="n">
        <v>5</v>
      </c>
      <c r="T59" s="8" t="n">
        <v>0</v>
      </c>
      <c r="U59" s="10" t="n">
        <f aca="false">IF(S59&gt;=$C$3,T59/S59,"")</f>
        <v>0</v>
      </c>
      <c r="V59" s="8" t="n">
        <v>94</v>
      </c>
      <c r="W59" s="8" t="n">
        <v>10</v>
      </c>
      <c r="X59" s="10" t="n">
        <f aca="false">IF(V59&gt;=$C$3,W59/V59,"")</f>
        <v>0.106382978723404</v>
      </c>
      <c r="Y59" s="8" t="n">
        <f aca="false">COUNT(F59,I59,L59,O59,R59,U59,X59)</f>
        <v>6</v>
      </c>
      <c r="Z59" s="11" t="n">
        <f aca="false">IF(Y59=0,"n/a",AVERAGE(F59,I59,L59,O59,R59,U59,X59))</f>
        <v>0.0464246545295021</v>
      </c>
      <c r="AA59" s="12" t="n">
        <f aca="false">IF(Y59=0,"",MIN(F59,I59,L59,O59,R59,U59,X59))</f>
        <v>0</v>
      </c>
      <c r="AB59" s="11" t="n">
        <f aca="false">IF(Y59=0,"",MAX(F59,I59,L59,O59,R59,U59,X59))</f>
        <v>0.106382978723404</v>
      </c>
      <c r="AC59" s="8" t="str">
        <f aca="false">IF(Y59&lt;2,"",IF(AB59-AA59&gt;$F$3,"Review",""))</f>
        <v/>
      </c>
      <c r="AD59" s="9" t="n">
        <f aca="false">IF(ISNUMBER(Z59),C59*Z59,"")</f>
        <v>1578.85421890766</v>
      </c>
    </row>
    <row r="60" customFormat="false" ht="15" hidden="false" customHeight="false" outlineLevel="0" collapsed="false">
      <c r="A60" s="8" t="s">
        <v>96</v>
      </c>
      <c r="B60" s="8" t="s">
        <v>97</v>
      </c>
      <c r="C60" s="9" t="n">
        <v>1115.28</v>
      </c>
      <c r="D60" s="8" t="n">
        <v>376</v>
      </c>
      <c r="E60" s="8" t="n">
        <v>94</v>
      </c>
      <c r="F60" s="10" t="n">
        <f aca="false">IF(D60&gt;=$C$3,E60/D60,"")</f>
        <v>0.25</v>
      </c>
      <c r="G60" s="8" t="n">
        <v>110</v>
      </c>
      <c r="H60" s="8" t="n">
        <v>13</v>
      </c>
      <c r="I60" s="10" t="n">
        <f aca="false">IF(G60&gt;=$C$3,H60/G60,"")</f>
        <v>0.118181818181818</v>
      </c>
      <c r="J60" s="8" t="n">
        <v>24</v>
      </c>
      <c r="K60" s="8" t="n">
        <v>8</v>
      </c>
      <c r="L60" s="10" t="n">
        <f aca="false">IF(J60&gt;=$C$3,K60/J60,"")</f>
        <v>0.333333333333333</v>
      </c>
      <c r="M60" s="8" t="n">
        <v>59</v>
      </c>
      <c r="N60" s="8" t="n">
        <v>26</v>
      </c>
      <c r="O60" s="10" t="n">
        <f aca="false">IF(M60&gt;=$C$3,N60/M60,"")</f>
        <v>0.440677966101695</v>
      </c>
      <c r="P60" s="8" t="n">
        <v>22</v>
      </c>
      <c r="Q60" s="8" t="n">
        <v>6</v>
      </c>
      <c r="R60" s="10" t="n">
        <f aca="false">IF(P60&gt;=$C$3,Q60/P60,"")</f>
        <v>0.272727272727273</v>
      </c>
      <c r="S60" s="8" t="n">
        <v>21</v>
      </c>
      <c r="T60" s="8" t="n">
        <v>5</v>
      </c>
      <c r="U60" s="10" t="n">
        <f aca="false">IF(S60&gt;=$C$3,T60/S60,"")</f>
        <v>0.238095238095238</v>
      </c>
      <c r="V60" s="8" t="n">
        <v>33</v>
      </c>
      <c r="W60" s="8" t="n">
        <v>5</v>
      </c>
      <c r="X60" s="10" t="n">
        <f aca="false">IF(V60&gt;=$C$3,W60/V60,"")</f>
        <v>0.151515151515152</v>
      </c>
      <c r="Y60" s="8" t="n">
        <f aca="false">COUNT(F60,I60,L60,O60,R60,U60,X60)</f>
        <v>7</v>
      </c>
      <c r="Z60" s="11" t="n">
        <f aca="false">IF(Y60=0,"n/a",AVERAGE(F60,I60,L60,O60,R60,U60,X60))</f>
        <v>0.257790111422073</v>
      </c>
      <c r="AA60" s="12" t="n">
        <f aca="false">IF(Y60=0,"",MIN(F60,I60,L60,O60,R60,U60,X60))</f>
        <v>0.118181818181818</v>
      </c>
      <c r="AB60" s="11" t="n">
        <f aca="false">IF(Y60=0,"",MAX(F60,I60,L60,O60,R60,U60,X60))</f>
        <v>0.440677966101695</v>
      </c>
      <c r="AC60" s="8" t="str">
        <f aca="false">IF(Y60&lt;2,"",IF(AB60-AA60&gt;$F$3,"Review",""))</f>
        <v/>
      </c>
      <c r="AD60" s="9" t="n">
        <f aca="false">IF(ISNUMBER(Z60),C60*Z60,"")</f>
        <v>287.508155466809</v>
      </c>
    </row>
    <row r="61" customFormat="false" ht="15" hidden="false" customHeight="false" outlineLevel="0" collapsed="false">
      <c r="A61" s="8" t="s">
        <v>98</v>
      </c>
      <c r="B61" s="8" t="s">
        <v>84</v>
      </c>
      <c r="C61" s="9" t="n">
        <v>376.39</v>
      </c>
      <c r="D61" s="8" t="n">
        <v>60</v>
      </c>
      <c r="E61" s="8" t="n">
        <v>58</v>
      </c>
      <c r="F61" s="10" t="n">
        <f aca="false">IF(D61&gt;=$C$3,E61/D61,"")</f>
        <v>0.966666666666667</v>
      </c>
      <c r="G61" s="8" t="n">
        <v>3</v>
      </c>
      <c r="H61" s="8" t="n">
        <v>3</v>
      </c>
      <c r="I61" s="10" t="n">
        <f aca="false">IF(G61&gt;=$C$3,H61/G61,"")</f>
        <v>1</v>
      </c>
      <c r="J61" s="8" t="n">
        <v>1</v>
      </c>
      <c r="K61" s="8" t="n">
        <v>1</v>
      </c>
      <c r="L61" s="10" t="str">
        <f aca="false">IF(J61&gt;=$C$3,K61/J61,"")</f>
        <v/>
      </c>
      <c r="M61" s="8" t="n">
        <v>30</v>
      </c>
      <c r="N61" s="8" t="n">
        <v>30</v>
      </c>
      <c r="O61" s="10" t="n">
        <f aca="false">IF(M61&gt;=$C$3,N61/M61,"")</f>
        <v>1</v>
      </c>
      <c r="P61" s="8" t="n">
        <v>1</v>
      </c>
      <c r="Q61" s="8" t="n">
        <v>1</v>
      </c>
      <c r="R61" s="10" t="str">
        <f aca="false">IF(P61&gt;=$C$3,Q61/P61,"")</f>
        <v/>
      </c>
      <c r="S61" s="8" t="n">
        <v>5</v>
      </c>
      <c r="T61" s="8" t="n">
        <v>5</v>
      </c>
      <c r="U61" s="10" t="n">
        <f aca="false">IF(S61&gt;=$C$3,T61/S61,"")</f>
        <v>1</v>
      </c>
      <c r="V61" s="8" t="n">
        <v>4</v>
      </c>
      <c r="W61" s="8" t="n">
        <v>4</v>
      </c>
      <c r="X61" s="10" t="n">
        <f aca="false">IF(V61&gt;=$C$3,W61/V61,"")</f>
        <v>1</v>
      </c>
      <c r="Y61" s="8" t="n">
        <f aca="false">COUNT(F61,I61,L61,O61,R61,U61,X61)</f>
        <v>5</v>
      </c>
      <c r="Z61" s="11" t="n">
        <f aca="false">IF(Y61=0,"n/a",AVERAGE(F61,I61,L61,O61,R61,U61,X61))</f>
        <v>0.993333333333333</v>
      </c>
      <c r="AA61" s="12" t="n">
        <f aca="false">IF(Y61=0,"",MIN(F61,I61,L61,O61,R61,U61,X61))</f>
        <v>0.966666666666667</v>
      </c>
      <c r="AB61" s="11" t="n">
        <f aca="false">IF(Y61=0,"",MAX(F61,I61,L61,O61,R61,U61,X61))</f>
        <v>1</v>
      </c>
      <c r="AC61" s="8" t="str">
        <f aca="false">IF(Y61&lt;2,"",IF(AB61-AA61&gt;$F$3,"Review",""))</f>
        <v/>
      </c>
      <c r="AD61" s="9" t="n">
        <f aca="false">IF(ISNUMBER(Z61),C61*Z61,"")</f>
        <v>373.880733333333</v>
      </c>
    </row>
    <row r="62" customFormat="false" ht="15" hidden="false" customHeight="false" outlineLevel="0" collapsed="false">
      <c r="A62" s="8" t="s">
        <v>99</v>
      </c>
      <c r="B62" s="8" t="s">
        <v>31</v>
      </c>
      <c r="C62" s="9" t="n">
        <v>18803.98</v>
      </c>
      <c r="D62" s="8" t="n">
        <v>130</v>
      </c>
      <c r="E62" s="8" t="n">
        <v>70</v>
      </c>
      <c r="F62" s="10" t="n">
        <f aca="false">IF(D62&gt;=$C$3,E62/D62,"")</f>
        <v>0.538461538461538</v>
      </c>
      <c r="G62" s="8" t="n">
        <v>88</v>
      </c>
      <c r="H62" s="8" t="n">
        <v>24</v>
      </c>
      <c r="I62" s="10" t="n">
        <f aca="false">IF(G62&gt;=$C$3,H62/G62,"")</f>
        <v>0.272727272727273</v>
      </c>
      <c r="J62" s="8" t="n">
        <v>0</v>
      </c>
      <c r="K62" s="8" t="n">
        <v>0</v>
      </c>
      <c r="L62" s="10" t="str">
        <f aca="false">IF(J62&gt;=$C$3,K62/J62,"")</f>
        <v/>
      </c>
      <c r="M62" s="8" t="n">
        <v>38</v>
      </c>
      <c r="N62" s="8" t="n">
        <v>20</v>
      </c>
      <c r="O62" s="10" t="n">
        <f aca="false">IF(M62&gt;=$C$3,N62/M62,"")</f>
        <v>0.526315789473684</v>
      </c>
      <c r="P62" s="8" t="n">
        <v>12</v>
      </c>
      <c r="Q62" s="8" t="n">
        <v>0</v>
      </c>
      <c r="R62" s="10" t="n">
        <f aca="false">IF(P62&gt;=$C$3,Q62/P62,"")</f>
        <v>0</v>
      </c>
      <c r="S62" s="8" t="n">
        <v>2</v>
      </c>
      <c r="T62" s="8" t="n">
        <v>2</v>
      </c>
      <c r="U62" s="10" t="str">
        <f aca="false">IF(S62&gt;=$C$3,T62/S62,"")</f>
        <v/>
      </c>
      <c r="V62" s="8" t="n">
        <v>0</v>
      </c>
      <c r="W62" s="8" t="n">
        <v>0</v>
      </c>
      <c r="X62" s="10" t="str">
        <f aca="false">IF(V62&gt;=$C$3,W62/V62,"")</f>
        <v/>
      </c>
      <c r="Y62" s="8" t="n">
        <f aca="false">COUNT(F62,I62,L62,O62,R62,U62,X62)</f>
        <v>4</v>
      </c>
      <c r="Z62" s="11" t="n">
        <f aca="false">IF(Y62=0,"n/a",AVERAGE(F62,I62,L62,O62,R62,U62,X62))</f>
        <v>0.334376150165624</v>
      </c>
      <c r="AA62" s="12" t="n">
        <f aca="false">IF(Y62=0,"",MIN(F62,I62,L62,O62,R62,U62,X62))</f>
        <v>0</v>
      </c>
      <c r="AB62" s="11" t="n">
        <f aca="false">IF(Y62=0,"",MAX(F62,I62,L62,O62,R62,U62,X62))</f>
        <v>0.538461538461538</v>
      </c>
      <c r="AC62" s="8" t="str">
        <f aca="false">IF(Y62&lt;2,"",IF(AB62-AA62&gt;$F$3,"Review",""))</f>
        <v>Review</v>
      </c>
      <c r="AD62" s="9" t="n">
        <f aca="false">IF(ISNUMBER(Z62),C62*Z62,"")</f>
        <v>6287.60244019139</v>
      </c>
    </row>
    <row r="63" customFormat="false" ht="15" hidden="false" customHeight="false" outlineLevel="0" collapsed="false">
      <c r="A63" s="8" t="s">
        <v>100</v>
      </c>
      <c r="B63" s="8" t="s">
        <v>43</v>
      </c>
      <c r="C63" s="9" t="n">
        <v>5234.47</v>
      </c>
      <c r="D63" s="8" t="n">
        <v>70</v>
      </c>
      <c r="E63" s="8" t="n">
        <v>59</v>
      </c>
      <c r="F63" s="10" t="n">
        <f aca="false">IF(D63&gt;=$C$3,E63/D63,"")</f>
        <v>0.842857142857143</v>
      </c>
      <c r="G63" s="8" t="n">
        <v>7</v>
      </c>
      <c r="H63" s="8" t="n">
        <v>6</v>
      </c>
      <c r="I63" s="10" t="n">
        <f aca="false">IF(G63&gt;=$C$3,H63/G63,"")</f>
        <v>0.857142857142857</v>
      </c>
      <c r="J63" s="8" t="n">
        <v>3</v>
      </c>
      <c r="K63" s="8" t="n">
        <v>2</v>
      </c>
      <c r="L63" s="10" t="n">
        <f aca="false">IF(J63&gt;=$C$3,K63/J63,"")</f>
        <v>0.666666666666667</v>
      </c>
      <c r="M63" s="8" t="n">
        <v>5</v>
      </c>
      <c r="N63" s="8" t="n">
        <v>4</v>
      </c>
      <c r="O63" s="10" t="n">
        <f aca="false">IF(M63&gt;=$C$3,N63/M63,"")</f>
        <v>0.8</v>
      </c>
      <c r="P63" s="8" t="n">
        <v>2</v>
      </c>
      <c r="Q63" s="8" t="n">
        <v>2</v>
      </c>
      <c r="R63" s="10" t="str">
        <f aca="false">IF(P63&gt;=$C$3,Q63/P63,"")</f>
        <v/>
      </c>
      <c r="S63" s="8" t="n">
        <v>0</v>
      </c>
      <c r="T63" s="8" t="n">
        <v>0</v>
      </c>
      <c r="U63" s="10" t="str">
        <f aca="false">IF(S63&gt;=$C$3,T63/S63,"")</f>
        <v/>
      </c>
      <c r="V63" s="8" t="n">
        <v>5</v>
      </c>
      <c r="W63" s="8" t="n">
        <v>5</v>
      </c>
      <c r="X63" s="10" t="n">
        <f aca="false">IF(V63&gt;=$C$3,W63/V63,"")</f>
        <v>1</v>
      </c>
      <c r="Y63" s="8" t="n">
        <f aca="false">COUNT(F63,I63,L63,O63,R63,U63,X63)</f>
        <v>5</v>
      </c>
      <c r="Z63" s="11" t="n">
        <f aca="false">IF(Y63=0,"n/a",AVERAGE(F63,I63,L63,O63,R63,U63,X63))</f>
        <v>0.833333333333333</v>
      </c>
      <c r="AA63" s="12" t="n">
        <f aca="false">IF(Y63=0,"",MIN(F63,I63,L63,O63,R63,U63,X63))</f>
        <v>0.666666666666667</v>
      </c>
      <c r="AB63" s="11" t="n">
        <f aca="false">IF(Y63=0,"",MAX(F63,I63,L63,O63,R63,U63,X63))</f>
        <v>1</v>
      </c>
      <c r="AC63" s="8" t="str">
        <f aca="false">IF(Y63&lt;2,"",IF(AB63-AA63&gt;$F$3,"Review",""))</f>
        <v/>
      </c>
      <c r="AD63" s="9" t="n">
        <f aca="false">IF(ISNUMBER(Z63),C63*Z63,"")</f>
        <v>4362.05833333333</v>
      </c>
    </row>
    <row r="64" customFormat="false" ht="15" hidden="false" customHeight="false" outlineLevel="0" collapsed="false">
      <c r="A64" s="8" t="s">
        <v>101</v>
      </c>
      <c r="B64" s="8" t="s">
        <v>25</v>
      </c>
      <c r="C64" s="9" t="n">
        <v>1044.77</v>
      </c>
      <c r="D64" s="8" t="n">
        <v>57</v>
      </c>
      <c r="E64" s="8" t="n">
        <v>27</v>
      </c>
      <c r="F64" s="10" t="n">
        <f aca="false">IF(D64&gt;=$C$3,E64/D64,"")</f>
        <v>0.473684210526316</v>
      </c>
      <c r="G64" s="8" t="n">
        <v>7</v>
      </c>
      <c r="H64" s="8" t="n">
        <v>3</v>
      </c>
      <c r="I64" s="10" t="n">
        <f aca="false">IF(G64&gt;=$C$3,H64/G64,"")</f>
        <v>0.428571428571429</v>
      </c>
      <c r="J64" s="8" t="n">
        <v>3</v>
      </c>
      <c r="K64" s="8" t="n">
        <v>1</v>
      </c>
      <c r="L64" s="10" t="n">
        <f aca="false">IF(J64&gt;=$C$3,K64/J64,"")</f>
        <v>0.333333333333333</v>
      </c>
      <c r="M64" s="8" t="n">
        <v>8</v>
      </c>
      <c r="N64" s="8" t="n">
        <v>5</v>
      </c>
      <c r="O64" s="10" t="n">
        <f aca="false">IF(M64&gt;=$C$3,N64/M64,"")</f>
        <v>0.625</v>
      </c>
      <c r="P64" s="8" t="n">
        <v>3</v>
      </c>
      <c r="Q64" s="8" t="n">
        <v>1</v>
      </c>
      <c r="R64" s="10" t="n">
        <f aca="false">IF(P64&gt;=$C$3,Q64/P64,"")</f>
        <v>0.333333333333333</v>
      </c>
      <c r="S64" s="8" t="n">
        <v>3</v>
      </c>
      <c r="T64" s="8" t="n">
        <v>1</v>
      </c>
      <c r="U64" s="10" t="n">
        <f aca="false">IF(S64&gt;=$C$3,T64/S64,"")</f>
        <v>0.333333333333333</v>
      </c>
      <c r="V64" s="8" t="n">
        <v>14</v>
      </c>
      <c r="W64" s="8" t="n">
        <v>7</v>
      </c>
      <c r="X64" s="10" t="n">
        <f aca="false">IF(V64&gt;=$C$3,W64/V64,"")</f>
        <v>0.5</v>
      </c>
      <c r="Y64" s="8" t="n">
        <f aca="false">COUNT(F64,I64,L64,O64,R64,U64,X64)</f>
        <v>7</v>
      </c>
      <c r="Z64" s="11" t="n">
        <f aca="false">IF(Y64=0,"n/a",AVERAGE(F64,I64,L64,O64,R64,U64,X64))</f>
        <v>0.432465091299678</v>
      </c>
      <c r="AA64" s="12" t="n">
        <f aca="false">IF(Y64=0,"",MIN(F64,I64,L64,O64,R64,U64,X64))</f>
        <v>0.333333333333333</v>
      </c>
      <c r="AB64" s="11" t="n">
        <f aca="false">IF(Y64=0,"",MAX(F64,I64,L64,O64,R64,U64,X64))</f>
        <v>0.625</v>
      </c>
      <c r="AC64" s="8" t="str">
        <f aca="false">IF(Y64&lt;2,"",IF(AB64-AA64&gt;$F$3,"Review",""))</f>
        <v/>
      </c>
      <c r="AD64" s="9" t="n">
        <f aca="false">IF(ISNUMBER(Z64),C64*Z64,"")</f>
        <v>451.826553437164</v>
      </c>
    </row>
    <row r="65" customFormat="false" ht="15" hidden="false" customHeight="false" outlineLevel="0" collapsed="false">
      <c r="A65" s="8" t="s">
        <v>102</v>
      </c>
      <c r="B65" s="8" t="s">
        <v>43</v>
      </c>
      <c r="C65" s="9" t="n">
        <v>7496</v>
      </c>
      <c r="D65" s="8" t="n">
        <v>130</v>
      </c>
      <c r="E65" s="8" t="n">
        <v>68</v>
      </c>
      <c r="F65" s="10" t="n">
        <f aca="false">IF(D65&gt;=$C$3,E65/D65,"")</f>
        <v>0.523076923076923</v>
      </c>
      <c r="G65" s="8" t="n">
        <v>10</v>
      </c>
      <c r="H65" s="8" t="n">
        <v>6</v>
      </c>
      <c r="I65" s="10" t="n">
        <f aca="false">IF(G65&gt;=$C$3,H65/G65,"")</f>
        <v>0.6</v>
      </c>
      <c r="J65" s="8" t="n">
        <v>7</v>
      </c>
      <c r="K65" s="8" t="n">
        <v>4</v>
      </c>
      <c r="L65" s="10" t="n">
        <f aca="false">IF(J65&gt;=$C$3,K65/J65,"")</f>
        <v>0.571428571428571</v>
      </c>
      <c r="M65" s="8" t="n">
        <v>40</v>
      </c>
      <c r="N65" s="8" t="n">
        <v>29</v>
      </c>
      <c r="O65" s="10" t="n">
        <f aca="false">IF(M65&gt;=$C$3,N65/M65,"")</f>
        <v>0.725</v>
      </c>
      <c r="P65" s="8" t="n">
        <v>11</v>
      </c>
      <c r="Q65" s="8" t="n">
        <v>10</v>
      </c>
      <c r="R65" s="10" t="n">
        <f aca="false">IF(P65&gt;=$C$3,Q65/P65,"")</f>
        <v>0.909090909090909</v>
      </c>
      <c r="S65" s="8" t="n">
        <v>3</v>
      </c>
      <c r="T65" s="8" t="n">
        <v>2</v>
      </c>
      <c r="U65" s="10" t="n">
        <f aca="false">IF(S65&gt;=$C$3,T65/S65,"")</f>
        <v>0.666666666666667</v>
      </c>
      <c r="V65" s="8" t="n">
        <v>25</v>
      </c>
      <c r="W65" s="8" t="n">
        <v>14</v>
      </c>
      <c r="X65" s="10" t="n">
        <f aca="false">IF(V65&gt;=$C$3,W65/V65,"")</f>
        <v>0.56</v>
      </c>
      <c r="Y65" s="8" t="n">
        <f aca="false">COUNT(F65,I65,L65,O65,R65,U65,X65)</f>
        <v>7</v>
      </c>
      <c r="Z65" s="11" t="n">
        <f aca="false">IF(Y65=0,"n/a",AVERAGE(F65,I65,L65,O65,R65,U65,X65))</f>
        <v>0.650751867180439</v>
      </c>
      <c r="AA65" s="12" t="n">
        <f aca="false">IF(Y65=0,"",MIN(F65,I65,L65,O65,R65,U65,X65))</f>
        <v>0.523076923076923</v>
      </c>
      <c r="AB65" s="11" t="n">
        <f aca="false">IF(Y65=0,"",MAX(F65,I65,L65,O65,R65,U65,X65))</f>
        <v>0.909090909090909</v>
      </c>
      <c r="AC65" s="8" t="str">
        <f aca="false">IF(Y65&lt;2,"",IF(AB65-AA65&gt;$F$3,"Review",""))</f>
        <v/>
      </c>
      <c r="AD65" s="9" t="n">
        <f aca="false">IF(ISNUMBER(Z65),C65*Z65,"")</f>
        <v>4878.03599638457</v>
      </c>
    </row>
    <row r="66" customFormat="false" ht="15" hidden="false" customHeight="false" outlineLevel="0" collapsed="false">
      <c r="A66" s="8" t="s">
        <v>103</v>
      </c>
      <c r="B66" s="8" t="s">
        <v>38</v>
      </c>
      <c r="C66" s="9" t="n">
        <v>3407.51</v>
      </c>
      <c r="D66" s="8" t="n">
        <v>6</v>
      </c>
      <c r="E66" s="8" t="n">
        <v>6</v>
      </c>
      <c r="F66" s="10" t="n">
        <f aca="false">IF(D66&gt;=$C$3,E66/D66,"")</f>
        <v>1</v>
      </c>
      <c r="G66" s="8" t="n">
        <v>0</v>
      </c>
      <c r="H66" s="8" t="n">
        <v>0</v>
      </c>
      <c r="I66" s="10" t="str">
        <f aca="false">IF(G66&gt;=$C$3,H66/G66,"")</f>
        <v/>
      </c>
      <c r="J66" s="8" t="n">
        <v>0</v>
      </c>
      <c r="K66" s="8" t="n">
        <v>0</v>
      </c>
      <c r="L66" s="10" t="str">
        <f aca="false">IF(J66&gt;=$C$3,K66/J66,"")</f>
        <v/>
      </c>
      <c r="M66" s="8" t="n">
        <v>0</v>
      </c>
      <c r="N66" s="8" t="n">
        <v>0</v>
      </c>
      <c r="O66" s="10" t="str">
        <f aca="false">IF(M66&gt;=$C$3,N66/M66,"")</f>
        <v/>
      </c>
      <c r="P66" s="8" t="n">
        <v>0</v>
      </c>
      <c r="Q66" s="8" t="n">
        <v>0</v>
      </c>
      <c r="R66" s="10" t="str">
        <f aca="false">IF(P66&gt;=$C$3,Q66/P66,"")</f>
        <v/>
      </c>
      <c r="S66" s="8" t="n">
        <v>0</v>
      </c>
      <c r="T66" s="8" t="n">
        <v>0</v>
      </c>
      <c r="U66" s="10" t="str">
        <f aca="false">IF(S66&gt;=$C$3,T66/S66,"")</f>
        <v/>
      </c>
      <c r="V66" s="8" t="n">
        <v>7</v>
      </c>
      <c r="W66" s="8" t="n">
        <v>7</v>
      </c>
      <c r="X66" s="10" t="n">
        <f aca="false">IF(V66&gt;=$C$3,W66/V66,"")</f>
        <v>1</v>
      </c>
      <c r="Y66" s="8" t="n">
        <f aca="false">COUNT(F66,I66,L66,O66,R66,U66,X66)</f>
        <v>2</v>
      </c>
      <c r="Z66" s="11" t="n">
        <f aca="false">IF(Y66=0,"n/a",AVERAGE(F66,I66,L66,O66,R66,U66,X66))</f>
        <v>1</v>
      </c>
      <c r="AA66" s="12" t="n">
        <f aca="false">IF(Y66=0,"",MIN(F66,I66,L66,O66,R66,U66,X66))</f>
        <v>1</v>
      </c>
      <c r="AB66" s="11" t="n">
        <f aca="false">IF(Y66=0,"",MAX(F66,I66,L66,O66,R66,U66,X66))</f>
        <v>1</v>
      </c>
      <c r="AC66" s="8" t="str">
        <f aca="false">IF(Y66&lt;2,"",IF(AB66-AA66&gt;$F$3,"Review",""))</f>
        <v/>
      </c>
      <c r="AD66" s="9" t="n">
        <f aca="false">IF(ISNUMBER(Z66),C66*Z66,"")</f>
        <v>3407.51</v>
      </c>
    </row>
    <row r="67" customFormat="false" ht="15" hidden="false" customHeight="false" outlineLevel="0" collapsed="false">
      <c r="A67" s="8" t="s">
        <v>104</v>
      </c>
      <c r="B67" s="8" t="s">
        <v>105</v>
      </c>
      <c r="C67" s="9" t="n">
        <v>5357.19</v>
      </c>
      <c r="D67" s="8" t="n">
        <v>175</v>
      </c>
      <c r="E67" s="8" t="n">
        <v>128</v>
      </c>
      <c r="F67" s="10" t="n">
        <f aca="false">IF(D67&gt;=$C$3,E67/D67,"")</f>
        <v>0.731428571428571</v>
      </c>
      <c r="G67" s="8" t="n">
        <v>14</v>
      </c>
      <c r="H67" s="8" t="n">
        <v>10</v>
      </c>
      <c r="I67" s="10" t="n">
        <f aca="false">IF(G67&gt;=$C$3,H67/G67,"")</f>
        <v>0.714285714285714</v>
      </c>
      <c r="J67" s="8" t="n">
        <v>9</v>
      </c>
      <c r="K67" s="8" t="n">
        <v>5</v>
      </c>
      <c r="L67" s="10" t="n">
        <f aca="false">IF(J67&gt;=$C$3,K67/J67,"")</f>
        <v>0.555555555555556</v>
      </c>
      <c r="M67" s="8" t="n">
        <v>152</v>
      </c>
      <c r="N67" s="8" t="n">
        <v>16</v>
      </c>
      <c r="O67" s="10" t="n">
        <f aca="false">IF(M67&gt;=$C$3,N67/M67,"")</f>
        <v>0.105263157894737</v>
      </c>
      <c r="P67" s="8" t="n">
        <v>11</v>
      </c>
      <c r="Q67" s="8" t="n">
        <v>10</v>
      </c>
      <c r="R67" s="10" t="n">
        <f aca="false">IF(P67&gt;=$C$3,Q67/P67,"")</f>
        <v>0.909090909090909</v>
      </c>
      <c r="S67" s="8" t="n">
        <v>6</v>
      </c>
      <c r="T67" s="8" t="n">
        <v>6</v>
      </c>
      <c r="U67" s="10" t="n">
        <f aca="false">IF(S67&gt;=$C$3,T67/S67,"")</f>
        <v>1</v>
      </c>
      <c r="V67" s="8" t="n">
        <v>61</v>
      </c>
      <c r="W67" s="8" t="n">
        <v>39</v>
      </c>
      <c r="X67" s="10" t="n">
        <f aca="false">IF(V67&gt;=$C$3,W67/V67,"")</f>
        <v>0.639344262295082</v>
      </c>
      <c r="Y67" s="8" t="n">
        <f aca="false">COUNT(F67,I67,L67,O67,R67,U67,X67)</f>
        <v>7</v>
      </c>
      <c r="Z67" s="11" t="n">
        <f aca="false">IF(Y67=0,"n/a",AVERAGE(F67,I67,L67,O67,R67,U67,X67))</f>
        <v>0.664995452935796</v>
      </c>
      <c r="AA67" s="12" t="n">
        <f aca="false">IF(Y67=0,"",MIN(F67,I67,L67,O67,R67,U67,X67))</f>
        <v>0.105263157894737</v>
      </c>
      <c r="AB67" s="11" t="n">
        <f aca="false">IF(Y67=0,"",MAX(F67,I67,L67,O67,R67,U67,X67))</f>
        <v>1</v>
      </c>
      <c r="AC67" s="8" t="str">
        <f aca="false">IF(Y67&lt;2,"",IF(AB67-AA67&gt;$F$3,"Review",""))</f>
        <v>Review</v>
      </c>
      <c r="AD67" s="9" t="n">
        <f aca="false">IF(ISNUMBER(Z67),C67*Z67,"")</f>
        <v>3562.50699051312</v>
      </c>
    </row>
    <row r="68" customFormat="false" ht="15" hidden="false" customHeight="false" outlineLevel="0" collapsed="false">
      <c r="A68" s="8" t="s">
        <v>106</v>
      </c>
      <c r="B68" s="8" t="s">
        <v>43</v>
      </c>
      <c r="C68" s="9" t="n">
        <v>11366.06</v>
      </c>
      <c r="D68" s="8" t="n">
        <v>229</v>
      </c>
      <c r="E68" s="8" t="n">
        <v>229</v>
      </c>
      <c r="F68" s="10" t="n">
        <f aca="false">IF(D68&gt;=$C$3,E68/D68,"")</f>
        <v>1</v>
      </c>
      <c r="G68" s="8" t="n">
        <v>14</v>
      </c>
      <c r="H68" s="8" t="n">
        <v>14</v>
      </c>
      <c r="I68" s="10" t="n">
        <f aca="false">IF(G68&gt;=$C$3,H68/G68,"")</f>
        <v>1</v>
      </c>
      <c r="J68" s="8" t="n">
        <v>6</v>
      </c>
      <c r="K68" s="8" t="n">
        <v>6</v>
      </c>
      <c r="L68" s="10" t="n">
        <f aca="false">IF(J68&gt;=$C$3,K68/J68,"")</f>
        <v>1</v>
      </c>
      <c r="M68" s="8" t="n">
        <v>11</v>
      </c>
      <c r="N68" s="8" t="n">
        <v>11</v>
      </c>
      <c r="O68" s="10" t="n">
        <f aca="false">IF(M68&gt;=$C$3,N68/M68,"")</f>
        <v>1</v>
      </c>
      <c r="P68" s="8" t="n">
        <v>7</v>
      </c>
      <c r="Q68" s="8" t="n">
        <v>7</v>
      </c>
      <c r="R68" s="10" t="n">
        <f aca="false">IF(P68&gt;=$C$3,Q68/P68,"")</f>
        <v>1</v>
      </c>
      <c r="S68" s="8" t="n">
        <v>4</v>
      </c>
      <c r="T68" s="8" t="n">
        <v>4</v>
      </c>
      <c r="U68" s="10" t="n">
        <f aca="false">IF(S68&gt;=$C$3,T68/S68,"")</f>
        <v>1</v>
      </c>
      <c r="V68" s="8" t="n">
        <v>16</v>
      </c>
      <c r="W68" s="8" t="n">
        <v>16</v>
      </c>
      <c r="X68" s="10" t="n">
        <f aca="false">IF(V68&gt;=$C$3,W68/V68,"")</f>
        <v>1</v>
      </c>
      <c r="Y68" s="8" t="n">
        <f aca="false">COUNT(F68,I68,L68,O68,R68,U68,X68)</f>
        <v>7</v>
      </c>
      <c r="Z68" s="11" t="n">
        <f aca="false">IF(Y68=0,"n/a",AVERAGE(F68,I68,L68,O68,R68,U68,X68))</f>
        <v>1</v>
      </c>
      <c r="AA68" s="12" t="n">
        <f aca="false">IF(Y68=0,"",MIN(F68,I68,L68,O68,R68,U68,X68))</f>
        <v>1</v>
      </c>
      <c r="AB68" s="11" t="n">
        <f aca="false">IF(Y68=0,"",MAX(F68,I68,L68,O68,R68,U68,X68))</f>
        <v>1</v>
      </c>
      <c r="AC68" s="8" t="str">
        <f aca="false">IF(Y68&lt;2,"",IF(AB68-AA68&gt;$F$3,"Review",""))</f>
        <v/>
      </c>
      <c r="AD68" s="9" t="n">
        <f aca="false">IF(ISNUMBER(Z68),C68*Z68,"")</f>
        <v>11366.06</v>
      </c>
    </row>
    <row r="69" customFormat="false" ht="15" hidden="false" customHeight="false" outlineLevel="0" collapsed="false">
      <c r="A69" s="8" t="s">
        <v>107</v>
      </c>
      <c r="B69" s="8" t="s">
        <v>108</v>
      </c>
      <c r="C69" s="9" t="n">
        <v>135.07</v>
      </c>
      <c r="D69" s="8" t="n">
        <v>54</v>
      </c>
      <c r="E69" s="8" t="n">
        <v>54</v>
      </c>
      <c r="F69" s="10" t="n">
        <f aca="false">IF(D69&gt;=$C$3,E69/D69,"")</f>
        <v>1</v>
      </c>
      <c r="G69" s="8" t="n">
        <v>10</v>
      </c>
      <c r="H69" s="8" t="n">
        <v>10</v>
      </c>
      <c r="I69" s="10" t="n">
        <f aca="false">IF(G69&gt;=$C$3,H69/G69,"")</f>
        <v>1</v>
      </c>
      <c r="J69" s="8" t="n">
        <v>2</v>
      </c>
      <c r="K69" s="8" t="n">
        <v>2</v>
      </c>
      <c r="L69" s="10" t="str">
        <f aca="false">IF(J69&gt;=$C$3,K69/J69,"")</f>
        <v/>
      </c>
      <c r="M69" s="8" t="n">
        <v>6</v>
      </c>
      <c r="N69" s="8" t="n">
        <v>6</v>
      </c>
      <c r="O69" s="10" t="n">
        <f aca="false">IF(M69&gt;=$C$3,N69/M69,"")</f>
        <v>1</v>
      </c>
      <c r="P69" s="8" t="n">
        <v>4</v>
      </c>
      <c r="Q69" s="8" t="n">
        <v>4</v>
      </c>
      <c r="R69" s="10" t="n">
        <f aca="false">IF(P69&gt;=$C$3,Q69/P69,"")</f>
        <v>1</v>
      </c>
      <c r="S69" s="8" t="n">
        <v>3</v>
      </c>
      <c r="T69" s="8" t="n">
        <v>3</v>
      </c>
      <c r="U69" s="10" t="n">
        <f aca="false">IF(S69&gt;=$C$3,T69/S69,"")</f>
        <v>1</v>
      </c>
      <c r="V69" s="8" t="n">
        <v>5</v>
      </c>
      <c r="W69" s="8" t="n">
        <v>5</v>
      </c>
      <c r="X69" s="10" t="n">
        <f aca="false">IF(V69&gt;=$C$3,W69/V69,"")</f>
        <v>1</v>
      </c>
      <c r="Y69" s="8" t="n">
        <f aca="false">COUNT(F69,I69,L69,O69,R69,U69,X69)</f>
        <v>6</v>
      </c>
      <c r="Z69" s="11" t="n">
        <f aca="false">IF(Y69=0,"n/a",AVERAGE(F69,I69,L69,O69,R69,U69,X69))</f>
        <v>1</v>
      </c>
      <c r="AA69" s="12" t="n">
        <f aca="false">IF(Y69=0,"",MIN(F69,I69,L69,O69,R69,U69,X69))</f>
        <v>1</v>
      </c>
      <c r="AB69" s="11" t="n">
        <f aca="false">IF(Y69=0,"",MAX(F69,I69,L69,O69,R69,U69,X69))</f>
        <v>1</v>
      </c>
      <c r="AC69" s="8" t="str">
        <f aca="false">IF(Y69&lt;2,"",IF(AB69-AA69&gt;$F$3,"Review",""))</f>
        <v/>
      </c>
      <c r="AD69" s="9" t="n">
        <f aca="false">IF(ISNUMBER(Z69),C69*Z69,"")</f>
        <v>135.07</v>
      </c>
    </row>
    <row r="70" customFormat="false" ht="15" hidden="false" customHeight="false" outlineLevel="0" collapsed="false">
      <c r="A70" s="8" t="s">
        <v>109</v>
      </c>
      <c r="B70" s="8" t="s">
        <v>29</v>
      </c>
      <c r="C70" s="9" t="n">
        <v>3193.58</v>
      </c>
      <c r="D70" s="8" t="n">
        <v>195</v>
      </c>
      <c r="E70" s="8" t="n">
        <v>62</v>
      </c>
      <c r="F70" s="10" t="n">
        <f aca="false">IF(D70&gt;=$C$3,E70/D70,"")</f>
        <v>0.317948717948718</v>
      </c>
      <c r="G70" s="8" t="n">
        <v>54</v>
      </c>
      <c r="H70" s="8" t="n">
        <v>16</v>
      </c>
      <c r="I70" s="10" t="n">
        <f aca="false">IF(G70&gt;=$C$3,H70/G70,"")</f>
        <v>0.296296296296296</v>
      </c>
      <c r="J70" s="8" t="n">
        <v>13</v>
      </c>
      <c r="K70" s="8" t="n">
        <v>8</v>
      </c>
      <c r="L70" s="10" t="n">
        <f aca="false">IF(J70&gt;=$C$3,K70/J70,"")</f>
        <v>0.615384615384615</v>
      </c>
      <c r="M70" s="8" t="n">
        <v>23</v>
      </c>
      <c r="N70" s="8" t="n">
        <v>9</v>
      </c>
      <c r="O70" s="10" t="n">
        <f aca="false">IF(M70&gt;=$C$3,N70/M70,"")</f>
        <v>0.391304347826087</v>
      </c>
      <c r="P70" s="8" t="n">
        <v>11</v>
      </c>
      <c r="Q70" s="8" t="n">
        <v>4</v>
      </c>
      <c r="R70" s="10" t="n">
        <f aca="false">IF(P70&gt;=$C$3,Q70/P70,"")</f>
        <v>0.363636363636364</v>
      </c>
      <c r="S70" s="8" t="n">
        <v>14</v>
      </c>
      <c r="T70" s="8" t="n">
        <v>6</v>
      </c>
      <c r="U70" s="10" t="n">
        <f aca="false">IF(S70&gt;=$C$3,T70/S70,"")</f>
        <v>0.428571428571429</v>
      </c>
      <c r="V70" s="8" t="n">
        <v>69</v>
      </c>
      <c r="W70" s="8" t="n">
        <v>35</v>
      </c>
      <c r="X70" s="10" t="n">
        <f aca="false">IF(V70&gt;=$C$3,W70/V70,"")</f>
        <v>0.507246376811594</v>
      </c>
      <c r="Y70" s="8" t="n">
        <f aca="false">COUNT(F70,I70,L70,O70,R70,U70,X70)</f>
        <v>7</v>
      </c>
      <c r="Z70" s="11" t="n">
        <f aca="false">IF(Y70=0,"n/a",AVERAGE(F70,I70,L70,O70,R70,U70,X70))</f>
        <v>0.4171983066393</v>
      </c>
      <c r="AA70" s="12" t="n">
        <f aca="false">IF(Y70=0,"",MIN(F70,I70,L70,O70,R70,U70,X70))</f>
        <v>0.296296296296296</v>
      </c>
      <c r="AB70" s="11" t="n">
        <f aca="false">IF(Y70=0,"",MAX(F70,I70,L70,O70,R70,U70,X70))</f>
        <v>0.615384615384615</v>
      </c>
      <c r="AC70" s="8" t="str">
        <f aca="false">IF(Y70&lt;2,"",IF(AB70-AA70&gt;$F$3,"Review",""))</f>
        <v/>
      </c>
      <c r="AD70" s="9" t="n">
        <f aca="false">IF(ISNUMBER(Z70),C70*Z70,"")</f>
        <v>1332.35616811714</v>
      </c>
    </row>
    <row r="71" customFormat="false" ht="15" hidden="false" customHeight="false" outlineLevel="0" collapsed="false">
      <c r="A71" s="8" t="s">
        <v>110</v>
      </c>
      <c r="B71" s="8" t="s">
        <v>105</v>
      </c>
      <c r="C71" s="9" t="n">
        <v>1206.55</v>
      </c>
      <c r="D71" s="8" t="n">
        <v>94</v>
      </c>
      <c r="E71" s="8" t="n">
        <v>45</v>
      </c>
      <c r="F71" s="10" t="n">
        <f aca="false">IF(D71&gt;=$C$3,E71/D71,"")</f>
        <v>0.478723404255319</v>
      </c>
      <c r="G71" s="8" t="n">
        <v>14</v>
      </c>
      <c r="H71" s="8" t="n">
        <v>4</v>
      </c>
      <c r="I71" s="10" t="n">
        <f aca="false">IF(G71&gt;=$C$3,H71/G71,"")</f>
        <v>0.285714285714286</v>
      </c>
      <c r="J71" s="8" t="n">
        <v>3</v>
      </c>
      <c r="K71" s="8" t="n">
        <v>1</v>
      </c>
      <c r="L71" s="10" t="n">
        <f aca="false">IF(J71&gt;=$C$3,K71/J71,"")</f>
        <v>0.333333333333333</v>
      </c>
      <c r="M71" s="8" t="n">
        <v>9</v>
      </c>
      <c r="N71" s="8" t="n">
        <v>8</v>
      </c>
      <c r="O71" s="10" t="n">
        <f aca="false">IF(M71&gt;=$C$3,N71/M71,"")</f>
        <v>0.888888888888889</v>
      </c>
      <c r="P71" s="8" t="n">
        <v>21</v>
      </c>
      <c r="Q71" s="8" t="n">
        <v>14</v>
      </c>
      <c r="R71" s="10" t="n">
        <f aca="false">IF(P71&gt;=$C$3,Q71/P71,"")</f>
        <v>0.666666666666667</v>
      </c>
      <c r="S71" s="8" t="n">
        <v>5</v>
      </c>
      <c r="T71" s="8" t="n">
        <v>4</v>
      </c>
      <c r="U71" s="10" t="n">
        <f aca="false">IF(S71&gt;=$C$3,T71/S71,"")</f>
        <v>0.8</v>
      </c>
      <c r="V71" s="8" t="n">
        <v>13</v>
      </c>
      <c r="W71" s="8" t="n">
        <v>8</v>
      </c>
      <c r="X71" s="10" t="n">
        <f aca="false">IF(V71&gt;=$C$3,W71/V71,"")</f>
        <v>0.615384615384615</v>
      </c>
      <c r="Y71" s="8" t="n">
        <f aca="false">COUNT(F71,I71,L71,O71,R71,U71,X71)</f>
        <v>7</v>
      </c>
      <c r="Z71" s="11" t="n">
        <f aca="false">IF(Y71=0,"n/a",AVERAGE(F71,I71,L71,O71,R71,U71,X71))</f>
        <v>0.581244456320444</v>
      </c>
      <c r="AA71" s="12" t="n">
        <f aca="false">IF(Y71=0,"",MIN(F71,I71,L71,O71,R71,U71,X71))</f>
        <v>0.285714285714286</v>
      </c>
      <c r="AB71" s="11" t="n">
        <f aca="false">IF(Y71=0,"",MAX(F71,I71,L71,O71,R71,U71,X71))</f>
        <v>0.888888888888889</v>
      </c>
      <c r="AC71" s="8" t="str">
        <f aca="false">IF(Y71&lt;2,"",IF(AB71-AA71&gt;$F$3,"Review",""))</f>
        <v>Review</v>
      </c>
      <c r="AD71" s="9" t="n">
        <f aca="false">IF(ISNUMBER(Z71),C71*Z71,"")</f>
        <v>701.300498773432</v>
      </c>
    </row>
    <row r="72" customFormat="false" ht="15" hidden="false" customHeight="false" outlineLevel="0" collapsed="false">
      <c r="A72" s="8" t="s">
        <v>111</v>
      </c>
      <c r="B72" s="8" t="s">
        <v>38</v>
      </c>
      <c r="C72" s="9" t="n">
        <v>11022.87</v>
      </c>
      <c r="D72" s="8" t="n">
        <v>105</v>
      </c>
      <c r="E72" s="8" t="n">
        <v>73</v>
      </c>
      <c r="F72" s="10" t="n">
        <f aca="false">IF(D72&gt;=$C$3,E72/D72,"")</f>
        <v>0.695238095238095</v>
      </c>
      <c r="G72" s="8" t="n">
        <v>32</v>
      </c>
      <c r="H72" s="8" t="n">
        <v>8</v>
      </c>
      <c r="I72" s="10" t="n">
        <f aca="false">IF(G72&gt;=$C$3,H72/G72,"")</f>
        <v>0.25</v>
      </c>
      <c r="J72" s="8" t="n">
        <v>9</v>
      </c>
      <c r="K72" s="8" t="n">
        <v>4</v>
      </c>
      <c r="L72" s="10" t="n">
        <f aca="false">IF(J72&gt;=$C$3,K72/J72,"")</f>
        <v>0.444444444444444</v>
      </c>
      <c r="M72" s="8" t="n">
        <v>12</v>
      </c>
      <c r="N72" s="8" t="n">
        <v>7</v>
      </c>
      <c r="O72" s="10" t="n">
        <f aca="false">IF(M72&gt;=$C$3,N72/M72,"")</f>
        <v>0.583333333333333</v>
      </c>
      <c r="P72" s="8" t="n">
        <v>7</v>
      </c>
      <c r="Q72" s="8" t="n">
        <v>1</v>
      </c>
      <c r="R72" s="10" t="n">
        <f aca="false">IF(P72&gt;=$C$3,Q72/P72,"")</f>
        <v>0.142857142857143</v>
      </c>
      <c r="S72" s="8" t="n">
        <v>0</v>
      </c>
      <c r="T72" s="8" t="n">
        <v>0</v>
      </c>
      <c r="U72" s="10" t="str">
        <f aca="false">IF(S72&gt;=$C$3,T72/S72,"")</f>
        <v/>
      </c>
      <c r="V72" s="8" t="n">
        <v>91</v>
      </c>
      <c r="W72" s="8" t="n">
        <v>30</v>
      </c>
      <c r="X72" s="10" t="n">
        <f aca="false">IF(V72&gt;=$C$3,W72/V72,"")</f>
        <v>0.32967032967033</v>
      </c>
      <c r="Y72" s="8" t="n">
        <f aca="false">COUNT(F72,I72,L72,O72,R72,U72,X72)</f>
        <v>6</v>
      </c>
      <c r="Z72" s="11" t="n">
        <f aca="false">IF(Y72=0,"n/a",AVERAGE(F72,I72,L72,O72,R72,U72,X72))</f>
        <v>0.407590557590558</v>
      </c>
      <c r="AA72" s="12" t="n">
        <f aca="false">IF(Y72=0,"",MIN(F72,I72,L72,O72,R72,U72,X72))</f>
        <v>0.142857142857143</v>
      </c>
      <c r="AB72" s="11" t="n">
        <f aca="false">IF(Y72=0,"",MAX(F72,I72,L72,O72,R72,U72,X72))</f>
        <v>0.695238095238095</v>
      </c>
      <c r="AC72" s="8" t="str">
        <f aca="false">IF(Y72&lt;2,"",IF(AB72-AA72&gt;$F$3,"Review",""))</f>
        <v>Review</v>
      </c>
      <c r="AD72" s="9" t="n">
        <f aca="false">IF(ISNUMBER(Z72),C72*Z72,"")</f>
        <v>4492.81772954823</v>
      </c>
    </row>
    <row r="73" customFormat="false" ht="15" hidden="false" customHeight="false" outlineLevel="0" collapsed="false">
      <c r="A73" s="8" t="s">
        <v>112</v>
      </c>
      <c r="B73" s="8" t="s">
        <v>38</v>
      </c>
      <c r="C73" s="9" t="n">
        <v>1942.31</v>
      </c>
      <c r="D73" s="8" t="n">
        <v>33</v>
      </c>
      <c r="E73" s="8" t="n">
        <v>33</v>
      </c>
      <c r="F73" s="10" t="n">
        <f aca="false">IF(D73&gt;=$C$3,E73/D73,"")</f>
        <v>1</v>
      </c>
      <c r="G73" s="8" t="n">
        <v>4</v>
      </c>
      <c r="H73" s="8" t="n">
        <v>2</v>
      </c>
      <c r="I73" s="10" t="n">
        <f aca="false">IF(G73&gt;=$C$3,H73/G73,"")</f>
        <v>0.5</v>
      </c>
      <c r="J73" s="8" t="n">
        <v>1</v>
      </c>
      <c r="K73" s="8" t="n">
        <v>1</v>
      </c>
      <c r="L73" s="10" t="str">
        <f aca="false">IF(J73&gt;=$C$3,K73/J73,"")</f>
        <v/>
      </c>
      <c r="M73" s="8" t="n">
        <v>2</v>
      </c>
      <c r="N73" s="8" t="n">
        <v>2</v>
      </c>
      <c r="O73" s="10" t="str">
        <f aca="false">IF(M73&gt;=$C$3,N73/M73,"")</f>
        <v/>
      </c>
      <c r="P73" s="8" t="n">
        <v>0</v>
      </c>
      <c r="Q73" s="8" t="n">
        <v>0</v>
      </c>
      <c r="R73" s="10" t="str">
        <f aca="false">IF(P73&gt;=$C$3,Q73/P73,"")</f>
        <v/>
      </c>
      <c r="S73" s="8" t="n">
        <v>0</v>
      </c>
      <c r="T73" s="8" t="n">
        <v>0</v>
      </c>
      <c r="U73" s="10" t="str">
        <f aca="false">IF(S73&gt;=$C$3,T73/S73,"")</f>
        <v/>
      </c>
      <c r="V73" s="8" t="n">
        <v>27</v>
      </c>
      <c r="W73" s="8" t="n">
        <v>27</v>
      </c>
      <c r="X73" s="10" t="n">
        <f aca="false">IF(V73&gt;=$C$3,W73/V73,"")</f>
        <v>1</v>
      </c>
      <c r="Y73" s="8" t="n">
        <f aca="false">COUNT(F73,I73,L73,O73,R73,U73,X73)</f>
        <v>3</v>
      </c>
      <c r="Z73" s="11" t="n">
        <f aca="false">IF(Y73=0,"n/a",AVERAGE(F73,I73,L73,O73,R73,U73,X73))</f>
        <v>0.833333333333333</v>
      </c>
      <c r="AA73" s="12" t="n">
        <f aca="false">IF(Y73=0,"",MIN(F73,I73,L73,O73,R73,U73,X73))</f>
        <v>0.5</v>
      </c>
      <c r="AB73" s="11" t="n">
        <f aca="false">IF(Y73=0,"",MAX(F73,I73,L73,O73,R73,U73,X73))</f>
        <v>1</v>
      </c>
      <c r="AC73" s="8" t="str">
        <f aca="false">IF(Y73&lt;2,"",IF(AB73-AA73&gt;$F$3,"Review",""))</f>
        <v/>
      </c>
      <c r="AD73" s="9" t="n">
        <f aca="false">IF(ISNUMBER(Z73),C73*Z73,"")</f>
        <v>1618.59166666667</v>
      </c>
    </row>
    <row r="74" customFormat="false" ht="15" hidden="false" customHeight="false" outlineLevel="0" collapsed="false">
      <c r="A74" s="8" t="s">
        <v>113</v>
      </c>
      <c r="B74" s="8" t="s">
        <v>114</v>
      </c>
      <c r="C74" s="9" t="n">
        <v>175.06</v>
      </c>
      <c r="D74" s="8" t="n">
        <v>11</v>
      </c>
      <c r="E74" s="8" t="n">
        <v>11</v>
      </c>
      <c r="F74" s="10" t="n">
        <f aca="false">IF(D74&gt;=$C$3,E74/D74,"")</f>
        <v>1</v>
      </c>
      <c r="G74" s="8" t="n">
        <v>2</v>
      </c>
      <c r="H74" s="8" t="n">
        <v>2</v>
      </c>
      <c r="I74" s="10" t="str">
        <f aca="false">IF(G74&gt;=$C$3,H74/G74,"")</f>
        <v/>
      </c>
      <c r="J74" s="8" t="n">
        <v>5</v>
      </c>
      <c r="K74" s="8" t="n">
        <v>5</v>
      </c>
      <c r="L74" s="10" t="n">
        <f aca="false">IF(J74&gt;=$C$3,K74/J74,"")</f>
        <v>1</v>
      </c>
      <c r="M74" s="8" t="n">
        <v>1</v>
      </c>
      <c r="N74" s="8" t="n">
        <v>1</v>
      </c>
      <c r="O74" s="10" t="str">
        <f aca="false">IF(M74&gt;=$C$3,N74/M74,"")</f>
        <v/>
      </c>
      <c r="P74" s="8" t="n">
        <v>1</v>
      </c>
      <c r="Q74" s="8" t="n">
        <v>1</v>
      </c>
      <c r="R74" s="10" t="str">
        <f aca="false">IF(P74&gt;=$C$3,Q74/P74,"")</f>
        <v/>
      </c>
      <c r="S74" s="8" t="n">
        <v>5</v>
      </c>
      <c r="T74" s="8" t="n">
        <v>5</v>
      </c>
      <c r="U74" s="10" t="n">
        <f aca="false">IF(S74&gt;=$C$3,T74/S74,"")</f>
        <v>1</v>
      </c>
      <c r="V74" s="8" t="n">
        <v>17</v>
      </c>
      <c r="W74" s="8" t="n">
        <v>17</v>
      </c>
      <c r="X74" s="10" t="n">
        <f aca="false">IF(V74&gt;=$C$3,W74/V74,"")</f>
        <v>1</v>
      </c>
      <c r="Y74" s="8" t="n">
        <f aca="false">COUNT(F74,I74,L74,O74,R74,U74,X74)</f>
        <v>4</v>
      </c>
      <c r="Z74" s="11" t="n">
        <f aca="false">IF(Y74=0,"n/a",AVERAGE(F74,I74,L74,O74,R74,U74,X74))</f>
        <v>1</v>
      </c>
      <c r="AA74" s="12" t="n">
        <f aca="false">IF(Y74=0,"",MIN(F74,I74,L74,O74,R74,U74,X74))</f>
        <v>1</v>
      </c>
      <c r="AB74" s="11" t="n">
        <f aca="false">IF(Y74=0,"",MAX(F74,I74,L74,O74,R74,U74,X74))</f>
        <v>1</v>
      </c>
      <c r="AC74" s="8" t="str">
        <f aca="false">IF(Y74&lt;2,"",IF(AB74-AA74&gt;$F$3,"Review",""))</f>
        <v/>
      </c>
      <c r="AD74" s="9" t="n">
        <f aca="false">IF(ISNUMBER(Z74),C74*Z74,"")</f>
        <v>175.06</v>
      </c>
    </row>
    <row r="75" customFormat="false" ht="15" hidden="false" customHeight="false" outlineLevel="0" collapsed="false">
      <c r="A75" s="8" t="s">
        <v>115</v>
      </c>
      <c r="B75" s="8" t="s">
        <v>27</v>
      </c>
      <c r="C75" s="9" t="n">
        <v>21671.77</v>
      </c>
      <c r="D75" s="8" t="n">
        <v>12</v>
      </c>
      <c r="E75" s="8" t="n">
        <v>3</v>
      </c>
      <c r="F75" s="10" t="n">
        <f aca="false">IF(D75&gt;=$C$3,E75/D75,"")</f>
        <v>0.25</v>
      </c>
      <c r="G75" s="8" t="n">
        <v>10</v>
      </c>
      <c r="H75" s="8" t="n">
        <v>1</v>
      </c>
      <c r="I75" s="10" t="n">
        <f aca="false">IF(G75&gt;=$C$3,H75/G75,"")</f>
        <v>0.1</v>
      </c>
      <c r="J75" s="8" t="n">
        <v>14</v>
      </c>
      <c r="K75" s="8" t="n">
        <v>2</v>
      </c>
      <c r="L75" s="10" t="n">
        <f aca="false">IF(J75&gt;=$C$3,K75/J75,"")</f>
        <v>0.142857142857143</v>
      </c>
      <c r="M75" s="8" t="n">
        <v>3</v>
      </c>
      <c r="N75" s="8" t="n">
        <v>1</v>
      </c>
      <c r="O75" s="10" t="n">
        <f aca="false">IF(M75&gt;=$C$3,N75/M75,"")</f>
        <v>0.333333333333333</v>
      </c>
      <c r="P75" s="8" t="n">
        <v>12</v>
      </c>
      <c r="Q75" s="8" t="n">
        <v>0</v>
      </c>
      <c r="R75" s="10" t="n">
        <f aca="false">IF(P75&gt;=$C$3,Q75/P75,"")</f>
        <v>0</v>
      </c>
      <c r="S75" s="8" t="n">
        <v>2</v>
      </c>
      <c r="T75" s="8" t="n">
        <v>0</v>
      </c>
      <c r="U75" s="10" t="str">
        <f aca="false">IF(S75&gt;=$C$3,T75/S75,"")</f>
        <v/>
      </c>
      <c r="V75" s="8" t="n">
        <v>54</v>
      </c>
      <c r="W75" s="8" t="n">
        <v>8</v>
      </c>
      <c r="X75" s="10" t="n">
        <f aca="false">IF(V75&gt;=$C$3,W75/V75,"")</f>
        <v>0.148148148148148</v>
      </c>
      <c r="Y75" s="8" t="n">
        <f aca="false">COUNT(F75,I75,L75,O75,R75,U75,X75)</f>
        <v>6</v>
      </c>
      <c r="Z75" s="11" t="n">
        <f aca="false">IF(Y75=0,"n/a",AVERAGE(F75,I75,L75,O75,R75,U75,X75))</f>
        <v>0.162389770723104</v>
      </c>
      <c r="AA75" s="12" t="n">
        <f aca="false">IF(Y75=0,"",MIN(F75,I75,L75,O75,R75,U75,X75))</f>
        <v>0</v>
      </c>
      <c r="AB75" s="11" t="n">
        <f aca="false">IF(Y75=0,"",MAX(F75,I75,L75,O75,R75,U75,X75))</f>
        <v>0.333333333333333</v>
      </c>
      <c r="AC75" s="8" t="str">
        <f aca="false">IF(Y75&lt;2,"",IF(AB75-AA75&gt;$F$3,"Review",""))</f>
        <v/>
      </c>
      <c r="AD75" s="9" t="n">
        <f aca="false">IF(ISNUMBER(Z75),C75*Z75,"")</f>
        <v>3519.27376146384</v>
      </c>
    </row>
    <row r="76" customFormat="false" ht="15" hidden="false" customHeight="false" outlineLevel="0" collapsed="false">
      <c r="A76" s="8" t="s">
        <v>116</v>
      </c>
      <c r="B76" s="8" t="s">
        <v>117</v>
      </c>
      <c r="C76" s="9" t="n">
        <v>38106.07</v>
      </c>
      <c r="D76" s="8" t="n">
        <v>638</v>
      </c>
      <c r="E76" s="8" t="n">
        <v>72</v>
      </c>
      <c r="F76" s="10" t="n">
        <f aca="false">IF(D76&gt;=$C$3,E76/D76,"")</f>
        <v>0.112852664576803</v>
      </c>
      <c r="G76" s="8" t="n">
        <v>170</v>
      </c>
      <c r="H76" s="8" t="n">
        <v>7</v>
      </c>
      <c r="I76" s="10" t="n">
        <f aca="false">IF(G76&gt;=$C$3,H76/G76,"")</f>
        <v>0.0411764705882353</v>
      </c>
      <c r="J76" s="8" t="n">
        <v>26</v>
      </c>
      <c r="K76" s="8" t="n">
        <v>4</v>
      </c>
      <c r="L76" s="10" t="n">
        <f aca="false">IF(J76&gt;=$C$3,K76/J76,"")</f>
        <v>0.153846153846154</v>
      </c>
      <c r="M76" s="8" t="n">
        <v>82</v>
      </c>
      <c r="N76" s="8" t="n">
        <v>10</v>
      </c>
      <c r="O76" s="10" t="n">
        <f aca="false">IF(M76&gt;=$C$3,N76/M76,"")</f>
        <v>0.121951219512195</v>
      </c>
      <c r="P76" s="8" t="n">
        <v>37</v>
      </c>
      <c r="Q76" s="8" t="n">
        <v>9</v>
      </c>
      <c r="R76" s="10" t="n">
        <f aca="false">IF(P76&gt;=$C$3,Q76/P76,"")</f>
        <v>0.243243243243243</v>
      </c>
      <c r="S76" s="8" t="n">
        <v>23</v>
      </c>
      <c r="T76" s="8" t="n">
        <v>4</v>
      </c>
      <c r="U76" s="10" t="n">
        <f aca="false">IF(S76&gt;=$C$3,T76/S76,"")</f>
        <v>0.173913043478261</v>
      </c>
      <c r="V76" s="8" t="n">
        <v>205</v>
      </c>
      <c r="W76" s="8" t="n">
        <v>7</v>
      </c>
      <c r="X76" s="10" t="n">
        <f aca="false">IF(V76&gt;=$C$3,W76/V76,"")</f>
        <v>0.0341463414634146</v>
      </c>
      <c r="Y76" s="8" t="n">
        <f aca="false">COUNT(F76,I76,L76,O76,R76,U76,X76)</f>
        <v>7</v>
      </c>
      <c r="Z76" s="11" t="n">
        <f aca="false">IF(Y76=0,"n/a",AVERAGE(F76,I76,L76,O76,R76,U76,X76))</f>
        <v>0.125875590958329</v>
      </c>
      <c r="AA76" s="12" t="n">
        <f aca="false">IF(Y76=0,"",MIN(F76,I76,L76,O76,R76,U76,X76))</f>
        <v>0.0341463414634146</v>
      </c>
      <c r="AB76" s="11" t="n">
        <f aca="false">IF(Y76=0,"",MAX(F76,I76,L76,O76,R76,U76,X76))</f>
        <v>0.243243243243243</v>
      </c>
      <c r="AC76" s="8" t="str">
        <f aca="false">IF(Y76&lt;2,"",IF(AB76-AA76&gt;$F$3,"Review",""))</f>
        <v/>
      </c>
      <c r="AD76" s="9" t="n">
        <f aca="false">IF(ISNUMBER(Z76),C76*Z76,"")</f>
        <v>4796.62408034947</v>
      </c>
    </row>
    <row r="77" customFormat="false" ht="15" hidden="false" customHeight="false" outlineLevel="0" collapsed="false">
      <c r="A77" s="8" t="s">
        <v>118</v>
      </c>
      <c r="B77" s="8" t="s">
        <v>67</v>
      </c>
      <c r="C77" s="9" t="n">
        <v>457.96</v>
      </c>
      <c r="D77" s="8" t="n">
        <v>54</v>
      </c>
      <c r="E77" s="8" t="n">
        <v>52</v>
      </c>
      <c r="F77" s="10" t="n">
        <f aca="false">IF(D77&gt;=$C$3,E77/D77,"")</f>
        <v>0.962962962962963</v>
      </c>
      <c r="G77" s="8" t="n">
        <v>11</v>
      </c>
      <c r="H77" s="8" t="n">
        <v>11</v>
      </c>
      <c r="I77" s="10" t="n">
        <f aca="false">IF(G77&gt;=$C$3,H77/G77,"")</f>
        <v>1</v>
      </c>
      <c r="J77" s="8" t="n">
        <v>1</v>
      </c>
      <c r="K77" s="8" t="n">
        <v>1</v>
      </c>
      <c r="L77" s="10" t="str">
        <f aca="false">IF(J77&gt;=$C$3,K77/J77,"")</f>
        <v/>
      </c>
      <c r="M77" s="8" t="n">
        <v>48</v>
      </c>
      <c r="N77" s="8" t="n">
        <v>4</v>
      </c>
      <c r="O77" s="10" t="n">
        <f aca="false">IF(M77&gt;=$C$3,N77/M77,"")</f>
        <v>0.0833333333333333</v>
      </c>
      <c r="P77" s="8" t="n">
        <v>0</v>
      </c>
      <c r="Q77" s="8" t="n">
        <v>0</v>
      </c>
      <c r="R77" s="10" t="str">
        <f aca="false">IF(P77&gt;=$C$3,Q77/P77,"")</f>
        <v/>
      </c>
      <c r="S77" s="8" t="n">
        <v>5</v>
      </c>
      <c r="T77" s="8" t="n">
        <v>2</v>
      </c>
      <c r="U77" s="10" t="n">
        <f aca="false">IF(S77&gt;=$C$3,T77/S77,"")</f>
        <v>0.4</v>
      </c>
      <c r="V77" s="8" t="n">
        <v>3</v>
      </c>
      <c r="W77" s="8" t="n">
        <v>3</v>
      </c>
      <c r="X77" s="10" t="n">
        <f aca="false">IF(V77&gt;=$C$3,W77/V77,"")</f>
        <v>1</v>
      </c>
      <c r="Y77" s="8" t="n">
        <f aca="false">COUNT(F77,I77,L77,O77,R77,U77,X77)</f>
        <v>5</v>
      </c>
      <c r="Z77" s="11" t="n">
        <f aca="false">IF(Y77=0,"n/a",AVERAGE(F77,I77,L77,O77,R77,U77,X77))</f>
        <v>0.689259259259259</v>
      </c>
      <c r="AA77" s="12" t="n">
        <f aca="false">IF(Y77=0,"",MIN(F77,I77,L77,O77,R77,U77,X77))</f>
        <v>0.0833333333333333</v>
      </c>
      <c r="AB77" s="11" t="n">
        <f aca="false">IF(Y77=0,"",MAX(F77,I77,L77,O77,R77,U77,X77))</f>
        <v>1</v>
      </c>
      <c r="AC77" s="8" t="str">
        <f aca="false">IF(Y77&lt;2,"",IF(AB77-AA77&gt;$F$3,"Review",""))</f>
        <v>Review</v>
      </c>
      <c r="AD77" s="9" t="n">
        <f aca="false">IF(ISNUMBER(Z77),C77*Z77,"")</f>
        <v>315.65317037037</v>
      </c>
    </row>
    <row r="78" customFormat="false" ht="15" hidden="false" customHeight="false" outlineLevel="0" collapsed="false">
      <c r="A78" s="8" t="s">
        <v>119</v>
      </c>
      <c r="B78" s="8" t="s">
        <v>120</v>
      </c>
      <c r="C78" s="9" t="n">
        <v>64.81</v>
      </c>
      <c r="D78" s="8" t="n">
        <v>13</v>
      </c>
      <c r="E78" s="8" t="n">
        <v>8</v>
      </c>
      <c r="F78" s="10" t="n">
        <f aca="false">IF(D78&gt;=$C$3,E78/D78,"")</f>
        <v>0.615384615384615</v>
      </c>
      <c r="G78" s="8" t="n">
        <v>9</v>
      </c>
      <c r="H78" s="8" t="n">
        <v>5</v>
      </c>
      <c r="I78" s="10" t="n">
        <f aca="false">IF(G78&gt;=$C$3,H78/G78,"")</f>
        <v>0.555555555555556</v>
      </c>
      <c r="J78" s="8" t="n">
        <v>2</v>
      </c>
      <c r="K78" s="8" t="n">
        <v>2</v>
      </c>
      <c r="L78" s="10" t="str">
        <f aca="false">IF(J78&gt;=$C$3,K78/J78,"")</f>
        <v/>
      </c>
      <c r="M78" s="8" t="n">
        <v>17</v>
      </c>
      <c r="N78" s="8" t="n">
        <v>0</v>
      </c>
      <c r="O78" s="10" t="n">
        <f aca="false">IF(M78&gt;=$C$3,N78/M78,"")</f>
        <v>0</v>
      </c>
      <c r="P78" s="8" t="n">
        <v>0</v>
      </c>
      <c r="Q78" s="8" t="n">
        <v>0</v>
      </c>
      <c r="R78" s="10" t="str">
        <f aca="false">IF(P78&gt;=$C$3,Q78/P78,"")</f>
        <v/>
      </c>
      <c r="S78" s="8" t="n">
        <v>1</v>
      </c>
      <c r="T78" s="8" t="n">
        <v>0</v>
      </c>
      <c r="U78" s="10" t="str">
        <f aca="false">IF(S78&gt;=$C$3,T78/S78,"")</f>
        <v/>
      </c>
      <c r="V78" s="8" t="n">
        <v>8</v>
      </c>
      <c r="W78" s="8" t="n">
        <v>0</v>
      </c>
      <c r="X78" s="10" t="n">
        <f aca="false">IF(V78&gt;=$C$3,W78/V78,"")</f>
        <v>0</v>
      </c>
      <c r="Y78" s="8" t="n">
        <f aca="false">COUNT(F78,I78,L78,O78,R78,U78,X78)</f>
        <v>4</v>
      </c>
      <c r="Z78" s="11" t="n">
        <f aca="false">IF(Y78=0,"n/a",AVERAGE(F78,I78,L78,O78,R78,U78,X78))</f>
        <v>0.292735042735043</v>
      </c>
      <c r="AA78" s="12" t="n">
        <f aca="false">IF(Y78=0,"",MIN(F78,I78,L78,O78,R78,U78,X78))</f>
        <v>0</v>
      </c>
      <c r="AB78" s="11" t="n">
        <f aca="false">IF(Y78=0,"",MAX(F78,I78,L78,O78,R78,U78,X78))</f>
        <v>0.615384615384615</v>
      </c>
      <c r="AC78" s="8" t="str">
        <f aca="false">IF(Y78&lt;2,"",IF(AB78-AA78&gt;$F$3,"Review",""))</f>
        <v>Review</v>
      </c>
      <c r="AD78" s="9" t="n">
        <f aca="false">IF(ISNUMBER(Z78),C78*Z78,"")</f>
        <v>18.9721581196581</v>
      </c>
    </row>
    <row r="79" customFormat="false" ht="15" hidden="false" customHeight="false" outlineLevel="0" collapsed="false">
      <c r="A79" s="8" t="s">
        <v>121</v>
      </c>
      <c r="B79" s="8" t="s">
        <v>122</v>
      </c>
      <c r="C79" s="9" t="n">
        <v>1162.12</v>
      </c>
      <c r="D79" s="8" t="n">
        <v>177</v>
      </c>
      <c r="E79" s="8" t="n">
        <v>52</v>
      </c>
      <c r="F79" s="10" t="n">
        <f aca="false">IF(D79&gt;=$C$3,E79/D79,"")</f>
        <v>0.293785310734463</v>
      </c>
      <c r="G79" s="8" t="n">
        <v>24</v>
      </c>
      <c r="H79" s="8" t="n">
        <v>8</v>
      </c>
      <c r="I79" s="10" t="n">
        <f aca="false">IF(G79&gt;=$C$3,H79/G79,"")</f>
        <v>0.333333333333333</v>
      </c>
      <c r="J79" s="8" t="n">
        <v>0</v>
      </c>
      <c r="K79" s="8" t="n">
        <v>0</v>
      </c>
      <c r="L79" s="10" t="str">
        <f aca="false">IF(J79&gt;=$C$3,K79/J79,"")</f>
        <v/>
      </c>
      <c r="M79" s="8" t="n">
        <v>2</v>
      </c>
      <c r="N79" s="8" t="n">
        <v>1</v>
      </c>
      <c r="O79" s="10" t="str">
        <f aca="false">IF(M79&gt;=$C$3,N79/M79,"")</f>
        <v/>
      </c>
      <c r="P79" s="8" t="n">
        <v>9</v>
      </c>
      <c r="Q79" s="8" t="n">
        <v>7</v>
      </c>
      <c r="R79" s="10" t="n">
        <f aca="false">IF(P79&gt;=$C$3,Q79/P79,"")</f>
        <v>0.777777777777778</v>
      </c>
      <c r="S79" s="8" t="n">
        <v>1</v>
      </c>
      <c r="T79" s="8" t="n">
        <v>0</v>
      </c>
      <c r="U79" s="10" t="str">
        <f aca="false">IF(S79&gt;=$C$3,T79/S79,"")</f>
        <v/>
      </c>
      <c r="V79" s="8" t="n">
        <v>8</v>
      </c>
      <c r="W79" s="8" t="n">
        <v>3</v>
      </c>
      <c r="X79" s="10" t="n">
        <f aca="false">IF(V79&gt;=$C$3,W79/V79,"")</f>
        <v>0.375</v>
      </c>
      <c r="Y79" s="8" t="n">
        <f aca="false">COUNT(F79,I79,L79,O79,R79,U79,X79)</f>
        <v>4</v>
      </c>
      <c r="Z79" s="11" t="n">
        <f aca="false">IF(Y79=0,"n/a",AVERAGE(F79,I79,L79,O79,R79,U79,X79))</f>
        <v>0.444974105461394</v>
      </c>
      <c r="AA79" s="12" t="n">
        <f aca="false">IF(Y79=0,"",MIN(F79,I79,L79,O79,R79,U79,X79))</f>
        <v>0.293785310734463</v>
      </c>
      <c r="AB79" s="11" t="n">
        <f aca="false">IF(Y79=0,"",MAX(F79,I79,L79,O79,R79,U79,X79))</f>
        <v>0.777777777777778</v>
      </c>
      <c r="AC79" s="8" t="str">
        <f aca="false">IF(Y79&lt;2,"",IF(AB79-AA79&gt;$F$3,"Review",""))</f>
        <v/>
      </c>
      <c r="AD79" s="9" t="n">
        <f aca="false">IF(ISNUMBER(Z79),C79*Z79,"")</f>
        <v>517.113307438795</v>
      </c>
    </row>
    <row r="80" customFormat="false" ht="15" hidden="false" customHeight="false" outlineLevel="0" collapsed="false">
      <c r="A80" s="8" t="s">
        <v>123</v>
      </c>
      <c r="B80" s="8" t="s">
        <v>43</v>
      </c>
      <c r="C80" s="9" t="n">
        <v>2015.78</v>
      </c>
      <c r="D80" s="8" t="n">
        <v>43</v>
      </c>
      <c r="E80" s="8" t="n">
        <v>42</v>
      </c>
      <c r="F80" s="10" t="n">
        <f aca="false">IF(D80&gt;=$C$3,E80/D80,"")</f>
        <v>0.976744186046512</v>
      </c>
      <c r="G80" s="8" t="n">
        <v>7</v>
      </c>
      <c r="H80" s="8" t="n">
        <v>5</v>
      </c>
      <c r="I80" s="10" t="n">
        <f aca="false">IF(G80&gt;=$C$3,H80/G80,"")</f>
        <v>0.714285714285714</v>
      </c>
      <c r="J80" s="8" t="n">
        <v>1</v>
      </c>
      <c r="K80" s="8" t="n">
        <v>1</v>
      </c>
      <c r="L80" s="10" t="str">
        <f aca="false">IF(J80&gt;=$C$3,K80/J80,"")</f>
        <v/>
      </c>
      <c r="M80" s="8" t="n">
        <v>5</v>
      </c>
      <c r="N80" s="8" t="n">
        <v>5</v>
      </c>
      <c r="O80" s="10" t="n">
        <f aca="false">IF(M80&gt;=$C$3,N80/M80,"")</f>
        <v>1</v>
      </c>
      <c r="P80" s="8" t="n">
        <v>2</v>
      </c>
      <c r="Q80" s="8" t="n">
        <v>2</v>
      </c>
      <c r="R80" s="10" t="str">
        <f aca="false">IF(P80&gt;=$C$3,Q80/P80,"")</f>
        <v/>
      </c>
      <c r="S80" s="8" t="n">
        <v>0</v>
      </c>
      <c r="T80" s="8" t="n">
        <v>0</v>
      </c>
      <c r="U80" s="10" t="str">
        <f aca="false">IF(S80&gt;=$C$3,T80/S80,"")</f>
        <v/>
      </c>
      <c r="V80" s="8" t="n">
        <v>3</v>
      </c>
      <c r="W80" s="8" t="n">
        <v>3</v>
      </c>
      <c r="X80" s="10" t="n">
        <f aca="false">IF(V80&gt;=$C$3,W80/V80,"")</f>
        <v>1</v>
      </c>
      <c r="Y80" s="8" t="n">
        <f aca="false">COUNT(F80,I80,L80,O80,R80,U80,X80)</f>
        <v>4</v>
      </c>
      <c r="Z80" s="11" t="n">
        <f aca="false">IF(Y80=0,"n/a",AVERAGE(F80,I80,L80,O80,R80,U80,X80))</f>
        <v>0.922757475083057</v>
      </c>
      <c r="AA80" s="12" t="n">
        <f aca="false">IF(Y80=0,"",MIN(F80,I80,L80,O80,R80,U80,X80))</f>
        <v>0.714285714285714</v>
      </c>
      <c r="AB80" s="11" t="n">
        <f aca="false">IF(Y80=0,"",MAX(F80,I80,L80,O80,R80,U80,X80))</f>
        <v>1</v>
      </c>
      <c r="AC80" s="8" t="str">
        <f aca="false">IF(Y80&lt;2,"",IF(AB80-AA80&gt;$F$3,"Review",""))</f>
        <v/>
      </c>
      <c r="AD80" s="9" t="n">
        <f aca="false">IF(ISNUMBER(Z80),C80*Z80,"")</f>
        <v>1860.07606312292</v>
      </c>
    </row>
    <row r="81" customFormat="false" ht="15" hidden="false" customHeight="false" outlineLevel="0" collapsed="false">
      <c r="A81" s="8" t="s">
        <v>124</v>
      </c>
      <c r="B81" s="8" t="s">
        <v>108</v>
      </c>
      <c r="C81" s="9" t="n">
        <v>304.87</v>
      </c>
      <c r="D81" s="8" t="n">
        <v>20</v>
      </c>
      <c r="E81" s="8" t="n">
        <v>20</v>
      </c>
      <c r="F81" s="10" t="n">
        <f aca="false">IF(D81&gt;=$C$3,E81/D81,"")</f>
        <v>1</v>
      </c>
      <c r="G81" s="8" t="n">
        <v>2</v>
      </c>
      <c r="H81" s="8" t="n">
        <v>1</v>
      </c>
      <c r="I81" s="10" t="str">
        <f aca="false">IF(G81&gt;=$C$3,H81/G81,"")</f>
        <v/>
      </c>
      <c r="J81" s="8" t="n">
        <v>7</v>
      </c>
      <c r="K81" s="8" t="n">
        <v>6</v>
      </c>
      <c r="L81" s="10" t="n">
        <f aca="false">IF(J81&gt;=$C$3,K81/J81,"")</f>
        <v>0.857142857142857</v>
      </c>
      <c r="M81" s="8" t="n">
        <v>2</v>
      </c>
      <c r="N81" s="8" t="n">
        <v>2</v>
      </c>
      <c r="O81" s="10" t="str">
        <f aca="false">IF(M81&gt;=$C$3,N81/M81,"")</f>
        <v/>
      </c>
      <c r="P81" s="8" t="n">
        <v>0</v>
      </c>
      <c r="Q81" s="8" t="n">
        <v>0</v>
      </c>
      <c r="R81" s="10" t="str">
        <f aca="false">IF(P81&gt;=$C$3,Q81/P81,"")</f>
        <v/>
      </c>
      <c r="S81" s="8" t="n">
        <v>0</v>
      </c>
      <c r="T81" s="8" t="n">
        <v>0</v>
      </c>
      <c r="U81" s="10" t="str">
        <f aca="false">IF(S81&gt;=$C$3,T81/S81,"")</f>
        <v/>
      </c>
      <c r="V81" s="8" t="n">
        <v>4</v>
      </c>
      <c r="W81" s="8" t="n">
        <v>1</v>
      </c>
      <c r="X81" s="10" t="n">
        <f aca="false">IF(V81&gt;=$C$3,W81/V81,"")</f>
        <v>0.25</v>
      </c>
      <c r="Y81" s="8" t="n">
        <f aca="false">COUNT(F81,I81,L81,O81,R81,U81,X81)</f>
        <v>3</v>
      </c>
      <c r="Z81" s="11" t="n">
        <f aca="false">IF(Y81=0,"n/a",AVERAGE(F81,I81,L81,O81,R81,U81,X81))</f>
        <v>0.702380952380952</v>
      </c>
      <c r="AA81" s="12" t="n">
        <f aca="false">IF(Y81=0,"",MIN(F81,I81,L81,O81,R81,U81,X81))</f>
        <v>0.25</v>
      </c>
      <c r="AB81" s="11" t="n">
        <f aca="false">IF(Y81=0,"",MAX(F81,I81,L81,O81,R81,U81,X81))</f>
        <v>1</v>
      </c>
      <c r="AC81" s="8" t="str">
        <f aca="false">IF(Y81&lt;2,"",IF(AB81-AA81&gt;$F$3,"Review",""))</f>
        <v>Review</v>
      </c>
      <c r="AD81" s="9" t="n">
        <f aca="false">IF(ISNUMBER(Z81),C81*Z81,"")</f>
        <v>214.134880952381</v>
      </c>
    </row>
    <row r="82" customFormat="false" ht="15" hidden="false" customHeight="false" outlineLevel="0" collapsed="false">
      <c r="A82" s="8" t="s">
        <v>125</v>
      </c>
      <c r="B82" s="8" t="s">
        <v>84</v>
      </c>
      <c r="C82" s="9" t="n">
        <v>12587.3</v>
      </c>
      <c r="D82" s="8" t="n">
        <v>36</v>
      </c>
      <c r="E82" s="8" t="n">
        <v>36</v>
      </c>
      <c r="F82" s="10" t="n">
        <f aca="false">IF(D82&gt;=$C$3,E82/D82,"")</f>
        <v>1</v>
      </c>
      <c r="G82" s="8" t="n">
        <v>0</v>
      </c>
      <c r="H82" s="8" t="n">
        <v>0</v>
      </c>
      <c r="I82" s="10" t="str">
        <f aca="false">IF(G82&gt;=$C$3,H82/G82,"")</f>
        <v/>
      </c>
      <c r="J82" s="8" t="n">
        <v>2</v>
      </c>
      <c r="K82" s="8" t="n">
        <v>2</v>
      </c>
      <c r="L82" s="10" t="str">
        <f aca="false">IF(J82&gt;=$C$3,K82/J82,"")</f>
        <v/>
      </c>
      <c r="M82" s="8" t="n">
        <v>1</v>
      </c>
      <c r="N82" s="8" t="n">
        <v>1</v>
      </c>
      <c r="O82" s="10" t="str">
        <f aca="false">IF(M82&gt;=$C$3,N82/M82,"")</f>
        <v/>
      </c>
      <c r="P82" s="8" t="n">
        <v>5</v>
      </c>
      <c r="Q82" s="8" t="n">
        <v>4</v>
      </c>
      <c r="R82" s="10" t="n">
        <f aca="false">IF(P82&gt;=$C$3,Q82/P82,"")</f>
        <v>0.8</v>
      </c>
      <c r="S82" s="8" t="n">
        <v>3</v>
      </c>
      <c r="T82" s="8" t="n">
        <v>3</v>
      </c>
      <c r="U82" s="10" t="n">
        <f aca="false">IF(S82&gt;=$C$3,T82/S82,"")</f>
        <v>1</v>
      </c>
      <c r="V82" s="8" t="n">
        <v>8</v>
      </c>
      <c r="W82" s="8" t="n">
        <v>8</v>
      </c>
      <c r="X82" s="10" t="n">
        <f aca="false">IF(V82&gt;=$C$3,W82/V82,"")</f>
        <v>1</v>
      </c>
      <c r="Y82" s="8" t="n">
        <f aca="false">COUNT(F82,I82,L82,O82,R82,U82,X82)</f>
        <v>4</v>
      </c>
      <c r="Z82" s="11" t="n">
        <f aca="false">IF(Y82=0,"n/a",AVERAGE(F82,I82,L82,O82,R82,U82,X82))</f>
        <v>0.95</v>
      </c>
      <c r="AA82" s="12" t="n">
        <f aca="false">IF(Y82=0,"",MIN(F82,I82,L82,O82,R82,U82,X82))</f>
        <v>0.8</v>
      </c>
      <c r="AB82" s="11" t="n">
        <f aca="false">IF(Y82=0,"",MAX(F82,I82,L82,O82,R82,U82,X82))</f>
        <v>1</v>
      </c>
      <c r="AC82" s="8" t="str">
        <f aca="false">IF(Y82&lt;2,"",IF(AB82-AA82&gt;$F$3,"Review",""))</f>
        <v/>
      </c>
      <c r="AD82" s="9" t="n">
        <f aca="false">IF(ISNUMBER(Z82),C82*Z82,"")</f>
        <v>11957.935</v>
      </c>
    </row>
    <row r="83" customFormat="false" ht="15" hidden="false" customHeight="false" outlineLevel="0" collapsed="false">
      <c r="A83" s="8" t="s">
        <v>126</v>
      </c>
      <c r="B83" s="8" t="s">
        <v>27</v>
      </c>
      <c r="C83" s="9" t="n">
        <v>2931.42</v>
      </c>
      <c r="D83" s="8" t="n">
        <v>48</v>
      </c>
      <c r="E83" s="8" t="n">
        <v>48</v>
      </c>
      <c r="F83" s="10" t="n">
        <f aca="false">IF(D83&gt;=$C$3,E83/D83,"")</f>
        <v>1</v>
      </c>
      <c r="G83" s="8" t="n">
        <v>5</v>
      </c>
      <c r="H83" s="8" t="n">
        <v>5</v>
      </c>
      <c r="I83" s="10" t="n">
        <f aca="false">IF(G83&gt;=$C$3,H83/G83,"")</f>
        <v>1</v>
      </c>
      <c r="J83" s="8" t="n">
        <v>3</v>
      </c>
      <c r="K83" s="8" t="n">
        <v>3</v>
      </c>
      <c r="L83" s="10" t="n">
        <f aca="false">IF(J83&gt;=$C$3,K83/J83,"")</f>
        <v>1</v>
      </c>
      <c r="M83" s="8" t="n">
        <v>15</v>
      </c>
      <c r="N83" s="8" t="n">
        <v>15</v>
      </c>
      <c r="O83" s="10" t="n">
        <f aca="false">IF(M83&gt;=$C$3,N83/M83,"")</f>
        <v>1</v>
      </c>
      <c r="P83" s="8" t="n">
        <v>0</v>
      </c>
      <c r="Q83" s="8" t="n">
        <v>0</v>
      </c>
      <c r="R83" s="10" t="str">
        <f aca="false">IF(P83&gt;=$C$3,Q83/P83,"")</f>
        <v/>
      </c>
      <c r="S83" s="8" t="n">
        <v>0</v>
      </c>
      <c r="T83" s="8" t="n">
        <v>0</v>
      </c>
      <c r="U83" s="10" t="str">
        <f aca="false">IF(S83&gt;=$C$3,T83/S83,"")</f>
        <v/>
      </c>
      <c r="V83" s="8" t="n">
        <v>14</v>
      </c>
      <c r="W83" s="8" t="n">
        <v>14</v>
      </c>
      <c r="X83" s="10" t="n">
        <f aca="false">IF(V83&gt;=$C$3,W83/V83,"")</f>
        <v>1</v>
      </c>
      <c r="Y83" s="8" t="n">
        <f aca="false">COUNT(F83,I83,L83,O83,R83,U83,X83)</f>
        <v>5</v>
      </c>
      <c r="Z83" s="11" t="n">
        <f aca="false">IF(Y83=0,"n/a",AVERAGE(F83,I83,L83,O83,R83,U83,X83))</f>
        <v>1</v>
      </c>
      <c r="AA83" s="12" t="n">
        <f aca="false">IF(Y83=0,"",MIN(F83,I83,L83,O83,R83,U83,X83))</f>
        <v>1</v>
      </c>
      <c r="AB83" s="11" t="n">
        <f aca="false">IF(Y83=0,"",MAX(F83,I83,L83,O83,R83,U83,X83))</f>
        <v>1</v>
      </c>
      <c r="AC83" s="8" t="str">
        <f aca="false">IF(Y83&lt;2,"",IF(AB83-AA83&gt;$F$3,"Review",""))</f>
        <v/>
      </c>
      <c r="AD83" s="9" t="n">
        <f aca="false">IF(ISNUMBER(Z83),C83*Z83,"")</f>
        <v>2931.42</v>
      </c>
    </row>
    <row r="84" customFormat="false" ht="15" hidden="false" customHeight="false" outlineLevel="0" collapsed="false">
      <c r="A84" s="8" t="s">
        <v>127</v>
      </c>
      <c r="B84" s="8" t="s">
        <v>128</v>
      </c>
      <c r="C84" s="9" t="n">
        <v>0.23</v>
      </c>
      <c r="D84" s="8" t="n">
        <v>91</v>
      </c>
      <c r="E84" s="8" t="n">
        <v>91</v>
      </c>
      <c r="F84" s="10" t="n">
        <f aca="false">IF(D84&gt;=$C$3,E84/D84,"")</f>
        <v>1</v>
      </c>
      <c r="G84" s="8" t="n">
        <v>15</v>
      </c>
      <c r="H84" s="8" t="n">
        <v>15</v>
      </c>
      <c r="I84" s="10" t="n">
        <f aca="false">IF(G84&gt;=$C$3,H84/G84,"")</f>
        <v>1</v>
      </c>
      <c r="J84" s="8" t="n">
        <v>6</v>
      </c>
      <c r="K84" s="8" t="n">
        <v>6</v>
      </c>
      <c r="L84" s="10" t="n">
        <f aca="false">IF(J84&gt;=$C$3,K84/J84,"")</f>
        <v>1</v>
      </c>
      <c r="M84" s="8" t="n">
        <v>15</v>
      </c>
      <c r="N84" s="8" t="n">
        <v>15</v>
      </c>
      <c r="O84" s="10" t="n">
        <f aca="false">IF(M84&gt;=$C$3,N84/M84,"")</f>
        <v>1</v>
      </c>
      <c r="P84" s="8" t="n">
        <v>3</v>
      </c>
      <c r="Q84" s="8" t="n">
        <v>3</v>
      </c>
      <c r="R84" s="10" t="n">
        <f aca="false">IF(P84&gt;=$C$3,Q84/P84,"")</f>
        <v>1</v>
      </c>
      <c r="S84" s="8" t="n">
        <v>3</v>
      </c>
      <c r="T84" s="8" t="n">
        <v>3</v>
      </c>
      <c r="U84" s="10" t="n">
        <f aca="false">IF(S84&gt;=$C$3,T84/S84,"")</f>
        <v>1</v>
      </c>
      <c r="V84" s="8" t="n">
        <v>10</v>
      </c>
      <c r="W84" s="8" t="n">
        <v>10</v>
      </c>
      <c r="X84" s="10" t="n">
        <f aca="false">IF(V84&gt;=$C$3,W84/V84,"")</f>
        <v>1</v>
      </c>
      <c r="Y84" s="8" t="n">
        <f aca="false">COUNT(F84,I84,L84,O84,R84,U84,X84)</f>
        <v>7</v>
      </c>
      <c r="Z84" s="11" t="n">
        <f aca="false">IF(Y84=0,"n/a",AVERAGE(F84,I84,L84,O84,R84,U84,X84))</f>
        <v>1</v>
      </c>
      <c r="AA84" s="12" t="n">
        <f aca="false">IF(Y84=0,"",MIN(F84,I84,L84,O84,R84,U84,X84))</f>
        <v>1</v>
      </c>
      <c r="AB84" s="11" t="n">
        <f aca="false">IF(Y84=0,"",MAX(F84,I84,L84,O84,R84,U84,X84))</f>
        <v>1</v>
      </c>
      <c r="AC84" s="8" t="str">
        <f aca="false">IF(Y84&lt;2,"",IF(AB84-AA84&gt;$F$3,"Review",""))</f>
        <v/>
      </c>
      <c r="AD84" s="9" t="n">
        <f aca="false">IF(ISNUMBER(Z84),C84*Z84,"")</f>
        <v>0.23</v>
      </c>
    </row>
    <row r="85" customFormat="false" ht="15" hidden="false" customHeight="false" outlineLevel="0" collapsed="false">
      <c r="A85" s="8" t="s">
        <v>129</v>
      </c>
      <c r="B85" s="8" t="s">
        <v>43</v>
      </c>
      <c r="C85" s="9" t="n">
        <v>2714.83</v>
      </c>
      <c r="D85" s="8" t="n">
        <v>115</v>
      </c>
      <c r="E85" s="8" t="n">
        <v>114</v>
      </c>
      <c r="F85" s="10" t="n">
        <f aca="false">IF(D85&gt;=$C$3,E85/D85,"")</f>
        <v>0.991304347826087</v>
      </c>
      <c r="G85" s="8" t="n">
        <v>9</v>
      </c>
      <c r="H85" s="8" t="n">
        <v>8</v>
      </c>
      <c r="I85" s="10" t="n">
        <f aca="false">IF(G85&gt;=$C$3,H85/G85,"")</f>
        <v>0.888888888888889</v>
      </c>
      <c r="J85" s="8" t="n">
        <v>12</v>
      </c>
      <c r="K85" s="8" t="n">
        <v>12</v>
      </c>
      <c r="L85" s="10" t="n">
        <f aca="false">IF(J85&gt;=$C$3,K85/J85,"")</f>
        <v>1</v>
      </c>
      <c r="M85" s="8" t="n">
        <v>11</v>
      </c>
      <c r="N85" s="8" t="n">
        <v>11</v>
      </c>
      <c r="O85" s="10" t="n">
        <f aca="false">IF(M85&gt;=$C$3,N85/M85,"")</f>
        <v>1</v>
      </c>
      <c r="P85" s="8" t="n">
        <v>10</v>
      </c>
      <c r="Q85" s="8" t="n">
        <v>10</v>
      </c>
      <c r="R85" s="10" t="n">
        <f aca="false">IF(P85&gt;=$C$3,Q85/P85,"")</f>
        <v>1</v>
      </c>
      <c r="S85" s="8" t="n">
        <v>3</v>
      </c>
      <c r="T85" s="8" t="n">
        <v>3</v>
      </c>
      <c r="U85" s="10" t="n">
        <f aca="false">IF(S85&gt;=$C$3,T85/S85,"")</f>
        <v>1</v>
      </c>
      <c r="V85" s="8" t="n">
        <v>26</v>
      </c>
      <c r="W85" s="8" t="n">
        <v>14</v>
      </c>
      <c r="X85" s="10" t="n">
        <f aca="false">IF(V85&gt;=$C$3,W85/V85,"")</f>
        <v>0.538461538461538</v>
      </c>
      <c r="Y85" s="8" t="n">
        <f aca="false">COUNT(F85,I85,L85,O85,R85,U85,X85)</f>
        <v>7</v>
      </c>
      <c r="Z85" s="11" t="n">
        <f aca="false">IF(Y85=0,"n/a",AVERAGE(F85,I85,L85,O85,R85,U85,X85))</f>
        <v>0.916950682168073</v>
      </c>
      <c r="AA85" s="12" t="n">
        <f aca="false">IF(Y85=0,"",MIN(F85,I85,L85,O85,R85,U85,X85))</f>
        <v>0.538461538461538</v>
      </c>
      <c r="AB85" s="11" t="n">
        <f aca="false">IF(Y85=0,"",MAX(F85,I85,L85,O85,R85,U85,X85))</f>
        <v>1</v>
      </c>
      <c r="AC85" s="8" t="str">
        <f aca="false">IF(Y85&lt;2,"",IF(AB85-AA85&gt;$F$3,"Review",""))</f>
        <v/>
      </c>
      <c r="AD85" s="9" t="n">
        <f aca="false">IF(ISNUMBER(Z85),C85*Z85,"")</f>
        <v>2489.36522047035</v>
      </c>
    </row>
    <row r="86" customFormat="false" ht="15" hidden="false" customHeight="false" outlineLevel="0" collapsed="false">
      <c r="A86" s="8" t="s">
        <v>130</v>
      </c>
      <c r="B86" s="8" t="s">
        <v>45</v>
      </c>
      <c r="C86" s="9" t="n">
        <v>106496.78</v>
      </c>
      <c r="D86" s="8" t="n">
        <v>413</v>
      </c>
      <c r="E86" s="8" t="n">
        <v>141</v>
      </c>
      <c r="F86" s="10" t="n">
        <f aca="false">IF(D86&gt;=$C$3,E86/D86,"")</f>
        <v>0.341404358353511</v>
      </c>
      <c r="G86" s="8" t="n">
        <v>131</v>
      </c>
      <c r="H86" s="8" t="n">
        <v>23</v>
      </c>
      <c r="I86" s="10" t="n">
        <f aca="false">IF(G86&gt;=$C$3,H86/G86,"")</f>
        <v>0.175572519083969</v>
      </c>
      <c r="J86" s="8" t="n">
        <v>47</v>
      </c>
      <c r="K86" s="8" t="n">
        <v>2</v>
      </c>
      <c r="L86" s="10" t="n">
        <f aca="false">IF(J86&gt;=$C$3,K86/J86,"")</f>
        <v>0.0425531914893617</v>
      </c>
      <c r="M86" s="8" t="n">
        <v>154</v>
      </c>
      <c r="N86" s="8" t="n">
        <v>13</v>
      </c>
      <c r="O86" s="10" t="n">
        <f aca="false">IF(M86&gt;=$C$3,N86/M86,"")</f>
        <v>0.0844155844155844</v>
      </c>
      <c r="P86" s="8" t="n">
        <v>26</v>
      </c>
      <c r="Q86" s="8" t="n">
        <v>1</v>
      </c>
      <c r="R86" s="10" t="n">
        <f aca="false">IF(P86&gt;=$C$3,Q86/P86,"")</f>
        <v>0.0384615384615385</v>
      </c>
      <c r="S86" s="8" t="n">
        <v>68</v>
      </c>
      <c r="T86" s="8" t="n">
        <v>16</v>
      </c>
      <c r="U86" s="10" t="n">
        <f aca="false">IF(S86&gt;=$C$3,T86/S86,"")</f>
        <v>0.235294117647059</v>
      </c>
      <c r="V86" s="8" t="n">
        <v>142</v>
      </c>
      <c r="W86" s="8" t="n">
        <v>43</v>
      </c>
      <c r="X86" s="10" t="n">
        <f aca="false">IF(V86&gt;=$C$3,W86/V86,"")</f>
        <v>0.302816901408451</v>
      </c>
      <c r="Y86" s="8" t="n">
        <f aca="false">COUNT(F86,I86,L86,O86,R86,U86,X86)</f>
        <v>7</v>
      </c>
      <c r="Z86" s="11" t="n">
        <f aca="false">IF(Y86=0,"n/a",AVERAGE(F86,I86,L86,O86,R86,U86,X86))</f>
        <v>0.174359744408496</v>
      </c>
      <c r="AA86" s="12" t="n">
        <f aca="false">IF(Y86=0,"",MIN(F86,I86,L86,O86,R86,U86,X86))</f>
        <v>0.0384615384615385</v>
      </c>
      <c r="AB86" s="11" t="n">
        <f aca="false">IF(Y86=0,"",MAX(F86,I86,L86,O86,R86,U86,X86))</f>
        <v>0.341404358353511</v>
      </c>
      <c r="AC86" s="8" t="str">
        <f aca="false">IF(Y86&lt;2,"",IF(AB86-AA86&gt;$F$3,"Review",""))</f>
        <v/>
      </c>
      <c r="AD86" s="9" t="n">
        <f aca="false">IF(ISNUMBER(Z86),C86*Z86,"")</f>
        <v>18568.7513411279</v>
      </c>
    </row>
    <row r="87" customFormat="false" ht="15" hidden="false" customHeight="false" outlineLevel="0" collapsed="false">
      <c r="A87" s="8" t="s">
        <v>131</v>
      </c>
      <c r="B87" s="8" t="s">
        <v>29</v>
      </c>
      <c r="C87" s="9" t="n">
        <v>46739.27</v>
      </c>
      <c r="D87" s="8" t="n">
        <v>1219</v>
      </c>
      <c r="E87" s="8" t="n">
        <v>422</v>
      </c>
      <c r="F87" s="10" t="n">
        <f aca="false">IF(D87&gt;=$C$3,E87/D87,"")</f>
        <v>0.346185397867104</v>
      </c>
      <c r="G87" s="8" t="n">
        <v>111</v>
      </c>
      <c r="H87" s="8" t="n">
        <v>39</v>
      </c>
      <c r="I87" s="10" t="n">
        <f aca="false">IF(G87&gt;=$C$3,H87/G87,"")</f>
        <v>0.351351351351351</v>
      </c>
      <c r="J87" s="8" t="n">
        <v>84</v>
      </c>
      <c r="K87" s="8" t="n">
        <v>39</v>
      </c>
      <c r="L87" s="10" t="n">
        <f aca="false">IF(J87&gt;=$C$3,K87/J87,"")</f>
        <v>0.464285714285714</v>
      </c>
      <c r="M87" s="8" t="n">
        <v>145</v>
      </c>
      <c r="N87" s="8" t="n">
        <v>58</v>
      </c>
      <c r="O87" s="10" t="n">
        <f aca="false">IF(M87&gt;=$C$3,N87/M87,"")</f>
        <v>0.4</v>
      </c>
      <c r="P87" s="8" t="n">
        <v>32</v>
      </c>
      <c r="Q87" s="8" t="n">
        <v>14</v>
      </c>
      <c r="R87" s="10" t="n">
        <f aca="false">IF(P87&gt;=$C$3,Q87/P87,"")</f>
        <v>0.4375</v>
      </c>
      <c r="S87" s="8" t="n">
        <v>218</v>
      </c>
      <c r="T87" s="8" t="n">
        <v>131</v>
      </c>
      <c r="U87" s="10" t="n">
        <f aca="false">IF(S87&gt;=$C$3,T87/S87,"")</f>
        <v>0.600917431192661</v>
      </c>
      <c r="V87" s="8" t="n">
        <v>561</v>
      </c>
      <c r="W87" s="8" t="n">
        <v>105</v>
      </c>
      <c r="X87" s="10" t="n">
        <f aca="false">IF(V87&gt;=$C$3,W87/V87,"")</f>
        <v>0.18716577540107</v>
      </c>
      <c r="Y87" s="8" t="n">
        <f aca="false">COUNT(F87,I87,L87,O87,R87,U87,X87)</f>
        <v>7</v>
      </c>
      <c r="Z87" s="11" t="n">
        <f aca="false">IF(Y87=0,"n/a",AVERAGE(F87,I87,L87,O87,R87,U87,X87))</f>
        <v>0.398200810013986</v>
      </c>
      <c r="AA87" s="12" t="n">
        <f aca="false">IF(Y87=0,"",MIN(F87,I87,L87,O87,R87,U87,X87))</f>
        <v>0.18716577540107</v>
      </c>
      <c r="AB87" s="11" t="n">
        <f aca="false">IF(Y87=0,"",MAX(F87,I87,L87,O87,R87,U87,X87))</f>
        <v>0.600917431192661</v>
      </c>
      <c r="AC87" s="8" t="str">
        <f aca="false">IF(Y87&lt;2,"",IF(AB87-AA87&gt;$F$3,"Review",""))</f>
        <v/>
      </c>
      <c r="AD87" s="9" t="n">
        <f aca="false">IF(ISNUMBER(Z87),C87*Z87,"")</f>
        <v>18611.6151734624</v>
      </c>
    </row>
    <row r="88" customFormat="false" ht="15" hidden="false" customHeight="false" outlineLevel="0" collapsed="false">
      <c r="A88" s="8" t="s">
        <v>132</v>
      </c>
      <c r="B88" s="8" t="s">
        <v>31</v>
      </c>
      <c r="C88" s="9" t="n">
        <v>1210.6</v>
      </c>
      <c r="D88" s="8" t="n">
        <v>9</v>
      </c>
      <c r="E88" s="8" t="n">
        <v>6</v>
      </c>
      <c r="F88" s="10" t="n">
        <f aca="false">IF(D88&gt;=$C$3,E88/D88,"")</f>
        <v>0.666666666666667</v>
      </c>
      <c r="G88" s="8" t="n">
        <v>0</v>
      </c>
      <c r="H88" s="8" t="n">
        <v>0</v>
      </c>
      <c r="I88" s="10" t="str">
        <f aca="false">IF(G88&gt;=$C$3,H88/G88,"")</f>
        <v/>
      </c>
      <c r="J88" s="8" t="n">
        <v>0</v>
      </c>
      <c r="K88" s="8" t="n">
        <v>0</v>
      </c>
      <c r="L88" s="10" t="str">
        <f aca="false">IF(J88&gt;=$C$3,K88/J88,"")</f>
        <v/>
      </c>
      <c r="M88" s="8" t="n">
        <v>5</v>
      </c>
      <c r="N88" s="8" t="n">
        <v>5</v>
      </c>
      <c r="O88" s="10" t="n">
        <f aca="false">IF(M88&gt;=$C$3,N88/M88,"")</f>
        <v>1</v>
      </c>
      <c r="P88" s="8" t="n">
        <v>2</v>
      </c>
      <c r="Q88" s="8" t="n">
        <v>2</v>
      </c>
      <c r="R88" s="10" t="str">
        <f aca="false">IF(P88&gt;=$C$3,Q88/P88,"")</f>
        <v/>
      </c>
      <c r="S88" s="8" t="n">
        <v>1</v>
      </c>
      <c r="T88" s="8" t="n">
        <v>1</v>
      </c>
      <c r="U88" s="10" t="str">
        <f aca="false">IF(S88&gt;=$C$3,T88/S88,"")</f>
        <v/>
      </c>
      <c r="V88" s="8" t="n">
        <v>8</v>
      </c>
      <c r="W88" s="8" t="n">
        <v>8</v>
      </c>
      <c r="X88" s="10" t="n">
        <f aca="false">IF(V88&gt;=$C$3,W88/V88,"")</f>
        <v>1</v>
      </c>
      <c r="Y88" s="8" t="n">
        <f aca="false">COUNT(F88,I88,L88,O88,R88,U88,X88)</f>
        <v>3</v>
      </c>
      <c r="Z88" s="11" t="n">
        <f aca="false">IF(Y88=0,"n/a",AVERAGE(F88,I88,L88,O88,R88,U88,X88))</f>
        <v>0.888888888888889</v>
      </c>
      <c r="AA88" s="12" t="n">
        <f aca="false">IF(Y88=0,"",MIN(F88,I88,L88,O88,R88,U88,X88))</f>
        <v>0.666666666666667</v>
      </c>
      <c r="AB88" s="11" t="n">
        <f aca="false">IF(Y88=0,"",MAX(F88,I88,L88,O88,R88,U88,X88))</f>
        <v>1</v>
      </c>
      <c r="AC88" s="8" t="str">
        <f aca="false">IF(Y88&lt;2,"",IF(AB88-AA88&gt;$F$3,"Review",""))</f>
        <v/>
      </c>
      <c r="AD88" s="9" t="n">
        <f aca="false">IF(ISNUMBER(Z88),C88*Z88,"")</f>
        <v>1076.08888888889</v>
      </c>
    </row>
    <row r="89" customFormat="false" ht="15" hidden="false" customHeight="false" outlineLevel="0" collapsed="false">
      <c r="A89" s="8" t="s">
        <v>133</v>
      </c>
      <c r="B89" s="8" t="s">
        <v>134</v>
      </c>
      <c r="C89" s="9" t="n">
        <v>16781.35</v>
      </c>
      <c r="D89" s="8" t="n">
        <v>366</v>
      </c>
      <c r="E89" s="8" t="n">
        <v>318</v>
      </c>
      <c r="F89" s="10" t="n">
        <f aca="false">IF(D89&gt;=$C$3,E89/D89,"")</f>
        <v>0.868852459016393</v>
      </c>
      <c r="G89" s="8" t="n">
        <v>35</v>
      </c>
      <c r="H89" s="8" t="n">
        <v>24</v>
      </c>
      <c r="I89" s="10" t="n">
        <f aca="false">IF(G89&gt;=$C$3,H89/G89,"")</f>
        <v>0.685714285714286</v>
      </c>
      <c r="J89" s="8" t="n">
        <v>9</v>
      </c>
      <c r="K89" s="8" t="n">
        <v>8</v>
      </c>
      <c r="L89" s="10" t="n">
        <f aca="false">IF(J89&gt;=$C$3,K89/J89,"")</f>
        <v>0.888888888888889</v>
      </c>
      <c r="M89" s="8" t="n">
        <v>73</v>
      </c>
      <c r="N89" s="8" t="n">
        <v>28</v>
      </c>
      <c r="O89" s="10" t="n">
        <f aca="false">IF(M89&gt;=$C$3,N89/M89,"")</f>
        <v>0.383561643835616</v>
      </c>
      <c r="P89" s="8" t="n">
        <v>6</v>
      </c>
      <c r="Q89" s="8" t="n">
        <v>6</v>
      </c>
      <c r="R89" s="10" t="n">
        <f aca="false">IF(P89&gt;=$C$3,Q89/P89,"")</f>
        <v>1</v>
      </c>
      <c r="S89" s="8" t="n">
        <v>29</v>
      </c>
      <c r="T89" s="8" t="n">
        <v>19</v>
      </c>
      <c r="U89" s="10" t="n">
        <f aca="false">IF(S89&gt;=$C$3,T89/S89,"")</f>
        <v>0.655172413793103</v>
      </c>
      <c r="V89" s="8" t="n">
        <v>54</v>
      </c>
      <c r="W89" s="8" t="n">
        <v>33</v>
      </c>
      <c r="X89" s="10" t="n">
        <f aca="false">IF(V89&gt;=$C$3,W89/V89,"")</f>
        <v>0.611111111111111</v>
      </c>
      <c r="Y89" s="8" t="n">
        <f aca="false">COUNT(F89,I89,L89,O89,R89,U89,X89)</f>
        <v>7</v>
      </c>
      <c r="Z89" s="11" t="n">
        <f aca="false">IF(Y89=0,"n/a",AVERAGE(F89,I89,L89,O89,R89,U89,X89))</f>
        <v>0.727614400337057</v>
      </c>
      <c r="AA89" s="12" t="n">
        <f aca="false">IF(Y89=0,"",MIN(F89,I89,L89,O89,R89,U89,X89))</f>
        <v>0.383561643835616</v>
      </c>
      <c r="AB89" s="11" t="n">
        <f aca="false">IF(Y89=0,"",MAX(F89,I89,L89,O89,R89,U89,X89))</f>
        <v>1</v>
      </c>
      <c r="AC89" s="8" t="str">
        <f aca="false">IF(Y89&lt;2,"",IF(AB89-AA89&gt;$F$3,"Review",""))</f>
        <v>Review</v>
      </c>
      <c r="AD89" s="9" t="n">
        <f aca="false">IF(ISNUMBER(Z89),C89*Z89,"")</f>
        <v>12210.3519170963</v>
      </c>
    </row>
    <row r="90" customFormat="false" ht="15" hidden="false" customHeight="false" outlineLevel="0" collapsed="false">
      <c r="A90" s="8" t="s">
        <v>135</v>
      </c>
      <c r="B90" s="8" t="s">
        <v>136</v>
      </c>
      <c r="C90" s="9" t="n">
        <v>417765.21</v>
      </c>
      <c r="D90" s="8" t="n">
        <v>68</v>
      </c>
      <c r="E90" s="8" t="n">
        <v>68</v>
      </c>
      <c r="F90" s="10" t="n">
        <f aca="false">IF(D90&gt;=$C$3,E90/D90,"")</f>
        <v>1</v>
      </c>
      <c r="G90" s="8" t="n">
        <v>6</v>
      </c>
      <c r="H90" s="8" t="n">
        <v>6</v>
      </c>
      <c r="I90" s="10" t="n">
        <f aca="false">IF(G90&gt;=$C$3,H90/G90,"")</f>
        <v>1</v>
      </c>
      <c r="J90" s="8" t="n">
        <v>4</v>
      </c>
      <c r="K90" s="8" t="n">
        <v>4</v>
      </c>
      <c r="L90" s="10" t="n">
        <f aca="false">IF(J90&gt;=$C$3,K90/J90,"")</f>
        <v>1</v>
      </c>
      <c r="M90" s="8" t="n">
        <v>8</v>
      </c>
      <c r="N90" s="8" t="n">
        <v>8</v>
      </c>
      <c r="O90" s="10" t="n">
        <f aca="false">IF(M90&gt;=$C$3,N90/M90,"")</f>
        <v>1</v>
      </c>
      <c r="P90" s="8" t="n">
        <v>7</v>
      </c>
      <c r="Q90" s="8" t="n">
        <v>7</v>
      </c>
      <c r="R90" s="10" t="n">
        <f aca="false">IF(P90&gt;=$C$3,Q90/P90,"")</f>
        <v>1</v>
      </c>
      <c r="S90" s="8" t="n">
        <v>4</v>
      </c>
      <c r="T90" s="8" t="n">
        <v>4</v>
      </c>
      <c r="U90" s="10" t="n">
        <f aca="false">IF(S90&gt;=$C$3,T90/S90,"")</f>
        <v>1</v>
      </c>
      <c r="V90" s="8" t="n">
        <v>0</v>
      </c>
      <c r="W90" s="8" t="n">
        <v>0</v>
      </c>
      <c r="X90" s="10" t="str">
        <f aca="false">IF(V90&gt;=$C$3,W90/V90,"")</f>
        <v/>
      </c>
      <c r="Y90" s="8" t="n">
        <f aca="false">COUNT(F90,I90,L90,O90,R90,U90,X90)</f>
        <v>6</v>
      </c>
      <c r="Z90" s="11" t="n">
        <f aca="false">IF(Y90=0,"n/a",AVERAGE(F90,I90,L90,O90,R90,U90,X90))</f>
        <v>1</v>
      </c>
      <c r="AA90" s="12" t="n">
        <f aca="false">IF(Y90=0,"",MIN(F90,I90,L90,O90,R90,U90,X90))</f>
        <v>1</v>
      </c>
      <c r="AB90" s="11" t="n">
        <f aca="false">IF(Y90=0,"",MAX(F90,I90,L90,O90,R90,U90,X90))</f>
        <v>1</v>
      </c>
      <c r="AC90" s="8" t="str">
        <f aca="false">IF(Y90&lt;2,"",IF(AB90-AA90&gt;$F$3,"Review",""))</f>
        <v/>
      </c>
      <c r="AD90" s="9" t="n">
        <f aca="false">IF(ISNUMBER(Z90),C90*Z90,"")</f>
        <v>417765.21</v>
      </c>
    </row>
    <row r="91" customFormat="false" ht="15" hidden="false" customHeight="false" outlineLevel="0" collapsed="false">
      <c r="A91" s="8" t="s">
        <v>137</v>
      </c>
      <c r="B91" s="8" t="s">
        <v>54</v>
      </c>
      <c r="C91" s="9" t="n">
        <v>8000.57</v>
      </c>
      <c r="D91" s="8" t="n">
        <v>65</v>
      </c>
      <c r="E91" s="8" t="n">
        <v>31</v>
      </c>
      <c r="F91" s="10" t="n">
        <f aca="false">IF(D91&gt;=$C$3,E91/D91,"")</f>
        <v>0.476923076923077</v>
      </c>
      <c r="G91" s="8" t="n">
        <v>22</v>
      </c>
      <c r="H91" s="8" t="n">
        <v>3</v>
      </c>
      <c r="I91" s="10" t="n">
        <f aca="false">IF(G91&gt;=$C$3,H91/G91,"")</f>
        <v>0.136363636363636</v>
      </c>
      <c r="J91" s="8" t="n">
        <v>8</v>
      </c>
      <c r="K91" s="8" t="n">
        <v>1</v>
      </c>
      <c r="L91" s="10" t="n">
        <f aca="false">IF(J91&gt;=$C$3,K91/J91,"")</f>
        <v>0.125</v>
      </c>
      <c r="M91" s="8" t="n">
        <v>16</v>
      </c>
      <c r="N91" s="8" t="n">
        <v>5</v>
      </c>
      <c r="O91" s="10" t="n">
        <f aca="false">IF(M91&gt;=$C$3,N91/M91,"")</f>
        <v>0.3125</v>
      </c>
      <c r="P91" s="8" t="n">
        <v>15</v>
      </c>
      <c r="Q91" s="8" t="n">
        <v>7</v>
      </c>
      <c r="R91" s="10" t="n">
        <f aca="false">IF(P91&gt;=$C$3,Q91/P91,"")</f>
        <v>0.466666666666667</v>
      </c>
      <c r="S91" s="8" t="n">
        <v>1</v>
      </c>
      <c r="T91" s="8" t="n">
        <v>1</v>
      </c>
      <c r="U91" s="10" t="str">
        <f aca="false">IF(S91&gt;=$C$3,T91/S91,"")</f>
        <v/>
      </c>
      <c r="V91" s="8" t="n">
        <v>22</v>
      </c>
      <c r="W91" s="8" t="n">
        <v>11</v>
      </c>
      <c r="X91" s="10" t="n">
        <f aca="false">IF(V91&gt;=$C$3,W91/V91,"")</f>
        <v>0.5</v>
      </c>
      <c r="Y91" s="8" t="n">
        <f aca="false">COUNT(F91,I91,L91,O91,R91,U91,X91)</f>
        <v>6</v>
      </c>
      <c r="Z91" s="11" t="n">
        <f aca="false">IF(Y91=0,"n/a",AVERAGE(F91,I91,L91,O91,R91,U91,X91))</f>
        <v>0.33624222999223</v>
      </c>
      <c r="AA91" s="12" t="n">
        <f aca="false">IF(Y91=0,"",MIN(F91,I91,L91,O91,R91,U91,X91))</f>
        <v>0.125</v>
      </c>
      <c r="AB91" s="11" t="n">
        <f aca="false">IF(Y91=0,"",MAX(F91,I91,L91,O91,R91,U91,X91))</f>
        <v>0.5</v>
      </c>
      <c r="AC91" s="8" t="str">
        <f aca="false">IF(Y91&lt;2,"",IF(AB91-AA91&gt;$F$3,"Review",""))</f>
        <v/>
      </c>
      <c r="AD91" s="9" t="n">
        <f aca="false">IF(ISNUMBER(Z91),C91*Z91,"")</f>
        <v>2690.12949800894</v>
      </c>
    </row>
    <row r="92" customFormat="false" ht="15" hidden="false" customHeight="false" outlineLevel="0" collapsed="false">
      <c r="A92" s="8" t="s">
        <v>138</v>
      </c>
      <c r="B92" s="8" t="s">
        <v>43</v>
      </c>
      <c r="C92" s="9" t="n">
        <v>4183.29</v>
      </c>
      <c r="D92" s="8" t="n">
        <v>97</v>
      </c>
      <c r="E92" s="8" t="n">
        <v>87</v>
      </c>
      <c r="F92" s="10" t="n">
        <f aca="false">IF(D92&gt;=$C$3,E92/D92,"")</f>
        <v>0.896907216494845</v>
      </c>
      <c r="G92" s="8" t="n">
        <v>11</v>
      </c>
      <c r="H92" s="8" t="n">
        <v>10</v>
      </c>
      <c r="I92" s="10" t="n">
        <f aca="false">IF(G92&gt;=$C$3,H92/G92,"")</f>
        <v>0.909090909090909</v>
      </c>
      <c r="J92" s="8" t="n">
        <v>4</v>
      </c>
      <c r="K92" s="8" t="n">
        <v>3</v>
      </c>
      <c r="L92" s="10" t="n">
        <f aca="false">IF(J92&gt;=$C$3,K92/J92,"")</f>
        <v>0.75</v>
      </c>
      <c r="M92" s="8" t="n">
        <v>8</v>
      </c>
      <c r="N92" s="8" t="n">
        <v>6</v>
      </c>
      <c r="O92" s="10" t="n">
        <f aca="false">IF(M92&gt;=$C$3,N92/M92,"")</f>
        <v>0.75</v>
      </c>
      <c r="P92" s="8" t="n">
        <v>3</v>
      </c>
      <c r="Q92" s="8" t="n">
        <v>1</v>
      </c>
      <c r="R92" s="10" t="n">
        <f aca="false">IF(P92&gt;=$C$3,Q92/P92,"")</f>
        <v>0.333333333333333</v>
      </c>
      <c r="S92" s="8" t="n">
        <v>1</v>
      </c>
      <c r="T92" s="8" t="n">
        <v>1</v>
      </c>
      <c r="U92" s="10" t="str">
        <f aca="false">IF(S92&gt;=$C$3,T92/S92,"")</f>
        <v/>
      </c>
      <c r="V92" s="8" t="n">
        <v>12</v>
      </c>
      <c r="W92" s="8" t="n">
        <v>6</v>
      </c>
      <c r="X92" s="10" t="n">
        <f aca="false">IF(V92&gt;=$C$3,W92/V92,"")</f>
        <v>0.5</v>
      </c>
      <c r="Y92" s="8" t="n">
        <f aca="false">COUNT(F92,I92,L92,O92,R92,U92,X92)</f>
        <v>6</v>
      </c>
      <c r="Z92" s="11" t="n">
        <f aca="false">IF(Y92=0,"n/a",AVERAGE(F92,I92,L92,O92,R92,U92,X92))</f>
        <v>0.689888576486515</v>
      </c>
      <c r="AA92" s="12" t="n">
        <f aca="false">IF(Y92=0,"",MIN(F92,I92,L92,O92,R92,U92,X92))</f>
        <v>0.333333333333333</v>
      </c>
      <c r="AB92" s="11" t="n">
        <f aca="false">IF(Y92=0,"",MAX(F92,I92,L92,O92,R92,U92,X92))</f>
        <v>0.909090909090909</v>
      </c>
      <c r="AC92" s="8" t="str">
        <f aca="false">IF(Y92&lt;2,"",IF(AB92-AA92&gt;$F$3,"Review",""))</f>
        <v>Review</v>
      </c>
      <c r="AD92" s="9" t="n">
        <f aca="false">IF(ISNUMBER(Z92),C92*Z92,"")</f>
        <v>2886.00398313027</v>
      </c>
    </row>
    <row r="93" customFormat="false" ht="15" hidden="false" customHeight="false" outlineLevel="0" collapsed="false">
      <c r="A93" s="8" t="s">
        <v>139</v>
      </c>
      <c r="B93" s="8" t="s">
        <v>31</v>
      </c>
      <c r="C93" s="9" t="n">
        <v>59407.06</v>
      </c>
      <c r="D93" s="8" t="n">
        <v>304</v>
      </c>
      <c r="E93" s="8" t="n">
        <v>303</v>
      </c>
      <c r="F93" s="10" t="n">
        <f aca="false">IF(D93&gt;=$C$3,E93/D93,"")</f>
        <v>0.99671052631579</v>
      </c>
      <c r="G93" s="8" t="n">
        <v>37</v>
      </c>
      <c r="H93" s="8" t="n">
        <v>35</v>
      </c>
      <c r="I93" s="10" t="n">
        <f aca="false">IF(G93&gt;=$C$3,H93/G93,"")</f>
        <v>0.945945945945946</v>
      </c>
      <c r="J93" s="8" t="n">
        <v>16</v>
      </c>
      <c r="K93" s="8" t="n">
        <v>16</v>
      </c>
      <c r="L93" s="10" t="n">
        <f aca="false">IF(J93&gt;=$C$3,K93/J93,"")</f>
        <v>1</v>
      </c>
      <c r="M93" s="8" t="n">
        <v>17</v>
      </c>
      <c r="N93" s="8" t="n">
        <v>17</v>
      </c>
      <c r="O93" s="10" t="n">
        <f aca="false">IF(M93&gt;=$C$3,N93/M93,"")</f>
        <v>1</v>
      </c>
      <c r="P93" s="8" t="n">
        <v>26</v>
      </c>
      <c r="Q93" s="8" t="n">
        <v>26</v>
      </c>
      <c r="R93" s="10" t="n">
        <f aca="false">IF(P93&gt;=$C$3,Q93/P93,"")</f>
        <v>1</v>
      </c>
      <c r="S93" s="8" t="n">
        <v>15</v>
      </c>
      <c r="T93" s="8" t="n">
        <v>15</v>
      </c>
      <c r="U93" s="10" t="n">
        <f aca="false">IF(S93&gt;=$C$3,T93/S93,"")</f>
        <v>1</v>
      </c>
      <c r="V93" s="8" t="n">
        <v>25</v>
      </c>
      <c r="W93" s="8" t="n">
        <v>25</v>
      </c>
      <c r="X93" s="10" t="n">
        <f aca="false">IF(V93&gt;=$C$3,W93/V93,"")</f>
        <v>1</v>
      </c>
      <c r="Y93" s="8" t="n">
        <f aca="false">COUNT(F93,I93,L93,O93,R93,U93,X93)</f>
        <v>7</v>
      </c>
      <c r="Z93" s="11" t="n">
        <f aca="false">IF(Y93=0,"n/a",AVERAGE(F93,I93,L93,O93,R93,U93,X93))</f>
        <v>0.991808067465962</v>
      </c>
      <c r="AA93" s="12" t="n">
        <f aca="false">IF(Y93=0,"",MIN(F93,I93,L93,O93,R93,U93,X93))</f>
        <v>0.945945945945946</v>
      </c>
      <c r="AB93" s="11" t="n">
        <f aca="false">IF(Y93=0,"",MAX(F93,I93,L93,O93,R93,U93,X93))</f>
        <v>1</v>
      </c>
      <c r="AC93" s="8" t="str">
        <f aca="false">IF(Y93&lt;2,"",IF(AB93-AA93&gt;$F$3,"Review",""))</f>
        <v/>
      </c>
      <c r="AD93" s="9" t="n">
        <f aca="false">IF(ISNUMBER(Z93),C93*Z93,"")</f>
        <v>58920.4013724345</v>
      </c>
    </row>
    <row r="94" customFormat="false" ht="15" hidden="false" customHeight="false" outlineLevel="0" collapsed="false">
      <c r="A94" s="8" t="s">
        <v>140</v>
      </c>
      <c r="B94" s="8" t="s">
        <v>105</v>
      </c>
      <c r="C94" s="9" t="n">
        <v>703.44</v>
      </c>
      <c r="D94" s="8" t="n">
        <v>37</v>
      </c>
      <c r="E94" s="8" t="n">
        <v>37</v>
      </c>
      <c r="F94" s="10" t="n">
        <f aca="false">IF(D94&gt;=$C$3,E94/D94,"")</f>
        <v>1</v>
      </c>
      <c r="G94" s="8" t="n">
        <v>3</v>
      </c>
      <c r="H94" s="8" t="n">
        <v>1</v>
      </c>
      <c r="I94" s="10" t="n">
        <f aca="false">IF(G94&gt;=$C$3,H94/G94,"")</f>
        <v>0.333333333333333</v>
      </c>
      <c r="J94" s="8" t="n">
        <v>3</v>
      </c>
      <c r="K94" s="8" t="n">
        <v>3</v>
      </c>
      <c r="L94" s="10" t="n">
        <f aca="false">IF(J94&gt;=$C$3,K94/J94,"")</f>
        <v>1</v>
      </c>
      <c r="M94" s="8" t="n">
        <v>7</v>
      </c>
      <c r="N94" s="8" t="n">
        <v>5</v>
      </c>
      <c r="O94" s="10" t="n">
        <f aca="false">IF(M94&gt;=$C$3,N94/M94,"")</f>
        <v>0.714285714285714</v>
      </c>
      <c r="P94" s="8" t="n">
        <v>3</v>
      </c>
      <c r="Q94" s="8" t="n">
        <v>1</v>
      </c>
      <c r="R94" s="10" t="n">
        <f aca="false">IF(P94&gt;=$C$3,Q94/P94,"")</f>
        <v>0.333333333333333</v>
      </c>
      <c r="S94" s="8" t="n">
        <v>0</v>
      </c>
      <c r="T94" s="8" t="n">
        <v>0</v>
      </c>
      <c r="U94" s="10" t="str">
        <f aca="false">IF(S94&gt;=$C$3,T94/S94,"")</f>
        <v/>
      </c>
      <c r="V94" s="8" t="n">
        <v>8</v>
      </c>
      <c r="W94" s="8" t="n">
        <v>6</v>
      </c>
      <c r="X94" s="10" t="n">
        <f aca="false">IF(V94&gt;=$C$3,W94/V94,"")</f>
        <v>0.75</v>
      </c>
      <c r="Y94" s="8" t="n">
        <f aca="false">COUNT(F94,I94,L94,O94,R94,U94,X94)</f>
        <v>6</v>
      </c>
      <c r="Z94" s="11" t="n">
        <f aca="false">IF(Y94=0,"n/a",AVERAGE(F94,I94,L94,O94,R94,U94,X94))</f>
        <v>0.688492063492064</v>
      </c>
      <c r="AA94" s="12" t="n">
        <f aca="false">IF(Y94=0,"",MIN(F94,I94,L94,O94,R94,U94,X94))</f>
        <v>0.333333333333333</v>
      </c>
      <c r="AB94" s="11" t="n">
        <f aca="false">IF(Y94=0,"",MAX(F94,I94,L94,O94,R94,U94,X94))</f>
        <v>1</v>
      </c>
      <c r="AC94" s="8" t="str">
        <f aca="false">IF(Y94&lt;2,"",IF(AB94-AA94&gt;$F$3,"Review",""))</f>
        <v>Review</v>
      </c>
      <c r="AD94" s="9" t="n">
        <f aca="false">IF(ISNUMBER(Z94),C94*Z94,"")</f>
        <v>484.312857142857</v>
      </c>
    </row>
    <row r="95" customFormat="false" ht="15" hidden="false" customHeight="false" outlineLevel="0" collapsed="false">
      <c r="A95" s="8" t="s">
        <v>141</v>
      </c>
      <c r="B95" s="8" t="s">
        <v>29</v>
      </c>
      <c r="C95" s="9" t="n">
        <v>1894.78</v>
      </c>
      <c r="D95" s="8" t="n">
        <v>8</v>
      </c>
      <c r="E95" s="8" t="n">
        <v>8</v>
      </c>
      <c r="F95" s="10" t="n">
        <f aca="false">IF(D95&gt;=$C$3,E95/D95,"")</f>
        <v>1</v>
      </c>
      <c r="G95" s="8" t="n">
        <v>8</v>
      </c>
      <c r="H95" s="8" t="n">
        <v>8</v>
      </c>
      <c r="I95" s="10" t="n">
        <f aca="false">IF(G95&gt;=$C$3,H95/G95,"")</f>
        <v>1</v>
      </c>
      <c r="J95" s="8" t="n">
        <v>0</v>
      </c>
      <c r="K95" s="8" t="n">
        <v>0</v>
      </c>
      <c r="L95" s="10" t="str">
        <f aca="false">IF(J95&gt;=$C$3,K95/J95,"")</f>
        <v/>
      </c>
      <c r="M95" s="8" t="n">
        <v>24</v>
      </c>
      <c r="N95" s="8" t="n">
        <v>24</v>
      </c>
      <c r="O95" s="10" t="n">
        <f aca="false">IF(M95&gt;=$C$3,N95/M95,"")</f>
        <v>1</v>
      </c>
      <c r="P95" s="8" t="n">
        <v>0</v>
      </c>
      <c r="Q95" s="8" t="n">
        <v>0</v>
      </c>
      <c r="R95" s="10" t="str">
        <f aca="false">IF(P95&gt;=$C$3,Q95/P95,"")</f>
        <v/>
      </c>
      <c r="S95" s="8" t="n">
        <v>0</v>
      </c>
      <c r="T95" s="8" t="n">
        <v>0</v>
      </c>
      <c r="U95" s="10" t="str">
        <f aca="false">IF(S95&gt;=$C$3,T95/S95,"")</f>
        <v/>
      </c>
      <c r="V95" s="8" t="n">
        <v>0</v>
      </c>
      <c r="W95" s="8" t="n">
        <v>0</v>
      </c>
      <c r="X95" s="10" t="str">
        <f aca="false">IF(V95&gt;=$C$3,W95/V95,"")</f>
        <v/>
      </c>
      <c r="Y95" s="8" t="n">
        <f aca="false">COUNT(F95,I95,L95,O95,R95,U95,X95)</f>
        <v>3</v>
      </c>
      <c r="Z95" s="11" t="n">
        <f aca="false">IF(Y95=0,"n/a",AVERAGE(F95,I95,L95,O95,R95,U95,X95))</f>
        <v>1</v>
      </c>
      <c r="AA95" s="12" t="n">
        <f aca="false">IF(Y95=0,"",MIN(F95,I95,L95,O95,R95,U95,X95))</f>
        <v>1</v>
      </c>
      <c r="AB95" s="11" t="n">
        <f aca="false">IF(Y95=0,"",MAX(F95,I95,L95,O95,R95,U95,X95))</f>
        <v>1</v>
      </c>
      <c r="AC95" s="8" t="str">
        <f aca="false">IF(Y95&lt;2,"",IF(AB95-AA95&gt;$F$3,"Review",""))</f>
        <v/>
      </c>
      <c r="AD95" s="9" t="n">
        <f aca="false">IF(ISNUMBER(Z95),C95*Z95,"")</f>
        <v>1894.78</v>
      </c>
    </row>
    <row r="96" customFormat="false" ht="15" hidden="false" customHeight="false" outlineLevel="0" collapsed="false">
      <c r="A96" s="8" t="s">
        <v>142</v>
      </c>
      <c r="B96" s="8" t="s">
        <v>29</v>
      </c>
      <c r="C96" s="9" t="n">
        <v>117.07</v>
      </c>
      <c r="D96" s="8" t="n">
        <v>3</v>
      </c>
      <c r="E96" s="8" t="n">
        <v>3</v>
      </c>
      <c r="F96" s="10" t="n">
        <f aca="false">IF(D96&gt;=$C$3,E96/D96,"")</f>
        <v>1</v>
      </c>
      <c r="G96" s="8" t="n">
        <v>0</v>
      </c>
      <c r="H96" s="8" t="n">
        <v>0</v>
      </c>
      <c r="I96" s="10" t="str">
        <f aca="false">IF(G96&gt;=$C$3,H96/G96,"")</f>
        <v/>
      </c>
      <c r="J96" s="8" t="n">
        <v>0</v>
      </c>
      <c r="K96" s="8" t="n">
        <v>0</v>
      </c>
      <c r="L96" s="10" t="str">
        <f aca="false">IF(J96&gt;=$C$3,K96/J96,"")</f>
        <v/>
      </c>
      <c r="M96" s="8" t="n">
        <v>0</v>
      </c>
      <c r="N96" s="8" t="n">
        <v>0</v>
      </c>
      <c r="O96" s="10" t="str">
        <f aca="false">IF(M96&gt;=$C$3,N96/M96,"")</f>
        <v/>
      </c>
      <c r="P96" s="8" t="n">
        <v>0</v>
      </c>
      <c r="Q96" s="8" t="n">
        <v>0</v>
      </c>
      <c r="R96" s="10" t="str">
        <f aca="false">IF(P96&gt;=$C$3,Q96/P96,"")</f>
        <v/>
      </c>
      <c r="S96" s="8" t="n">
        <v>0</v>
      </c>
      <c r="T96" s="8" t="n">
        <v>0</v>
      </c>
      <c r="U96" s="10" t="str">
        <f aca="false">IF(S96&gt;=$C$3,T96/S96,"")</f>
        <v/>
      </c>
      <c r="V96" s="8" t="n">
        <v>2</v>
      </c>
      <c r="W96" s="8" t="n">
        <v>2</v>
      </c>
      <c r="X96" s="10" t="str">
        <f aca="false">IF(V96&gt;=$C$3,W96/V96,"")</f>
        <v/>
      </c>
      <c r="Y96" s="8" t="n">
        <f aca="false">COUNT(F96,I96,L96,O96,R96,U96,X96)</f>
        <v>1</v>
      </c>
      <c r="Z96" s="11" t="n">
        <f aca="false">IF(Y96=0,"n/a",AVERAGE(F96,I96,L96,O96,R96,U96,X96))</f>
        <v>1</v>
      </c>
      <c r="AA96" s="12" t="n">
        <f aca="false">IF(Y96=0,"",MIN(F96,I96,L96,O96,R96,U96,X96))</f>
        <v>1</v>
      </c>
      <c r="AB96" s="11" t="n">
        <f aca="false">IF(Y96=0,"",MAX(F96,I96,L96,O96,R96,U96,X96))</f>
        <v>1</v>
      </c>
      <c r="AC96" s="8" t="str">
        <f aca="false">IF(Y96&lt;2,"",IF(AB96-AA96&gt;$F$3,"Review",""))</f>
        <v/>
      </c>
      <c r="AD96" s="9" t="n">
        <f aca="false">IF(ISNUMBER(Z96),C96*Z96,"")</f>
        <v>117.07</v>
      </c>
    </row>
    <row r="97" customFormat="false" ht="15" hidden="false" customHeight="false" outlineLevel="0" collapsed="false">
      <c r="A97" s="8" t="s">
        <v>143</v>
      </c>
      <c r="B97" s="8" t="s">
        <v>144</v>
      </c>
      <c r="C97" s="9" t="n">
        <v>16792.84</v>
      </c>
      <c r="D97" s="8" t="n">
        <v>271</v>
      </c>
      <c r="E97" s="8" t="n">
        <v>198</v>
      </c>
      <c r="F97" s="10" t="n">
        <f aca="false">IF(D97&gt;=$C$3,E97/D97,"")</f>
        <v>0.730627306273063</v>
      </c>
      <c r="G97" s="8" t="n">
        <v>58</v>
      </c>
      <c r="H97" s="8" t="n">
        <v>47</v>
      </c>
      <c r="I97" s="10" t="n">
        <f aca="false">IF(G97&gt;=$C$3,H97/G97,"")</f>
        <v>0.810344827586207</v>
      </c>
      <c r="J97" s="8" t="n">
        <v>50</v>
      </c>
      <c r="K97" s="8" t="n">
        <v>42</v>
      </c>
      <c r="L97" s="10" t="n">
        <f aca="false">IF(J97&gt;=$C$3,K97/J97,"")</f>
        <v>0.84</v>
      </c>
      <c r="M97" s="8" t="n">
        <v>44</v>
      </c>
      <c r="N97" s="8" t="n">
        <v>32</v>
      </c>
      <c r="O97" s="10" t="n">
        <f aca="false">IF(M97&gt;=$C$3,N97/M97,"")</f>
        <v>0.727272727272727</v>
      </c>
      <c r="P97" s="8" t="n">
        <v>11</v>
      </c>
      <c r="Q97" s="8" t="n">
        <v>8</v>
      </c>
      <c r="R97" s="10" t="n">
        <f aca="false">IF(P97&gt;=$C$3,Q97/P97,"")</f>
        <v>0.727272727272727</v>
      </c>
      <c r="S97" s="8" t="n">
        <v>28</v>
      </c>
      <c r="T97" s="8" t="n">
        <v>26</v>
      </c>
      <c r="U97" s="10" t="n">
        <f aca="false">IF(S97&gt;=$C$3,T97/S97,"")</f>
        <v>0.928571428571429</v>
      </c>
      <c r="V97" s="8" t="n">
        <v>46</v>
      </c>
      <c r="W97" s="8" t="n">
        <v>31</v>
      </c>
      <c r="X97" s="10" t="n">
        <f aca="false">IF(V97&gt;=$C$3,W97/V97,"")</f>
        <v>0.673913043478261</v>
      </c>
      <c r="Y97" s="8" t="n">
        <f aca="false">COUNT(F97,I97,L97,O97,R97,U97,X97)</f>
        <v>7</v>
      </c>
      <c r="Z97" s="11" t="n">
        <f aca="false">IF(Y97=0,"n/a",AVERAGE(F97,I97,L97,O97,R97,U97,X97))</f>
        <v>0.776857437207773</v>
      </c>
      <c r="AA97" s="12" t="n">
        <f aca="false">IF(Y97=0,"",MIN(F97,I97,L97,O97,R97,U97,X97))</f>
        <v>0.673913043478261</v>
      </c>
      <c r="AB97" s="11" t="n">
        <f aca="false">IF(Y97=0,"",MAX(F97,I97,L97,O97,R97,U97,X97))</f>
        <v>0.928571428571429</v>
      </c>
      <c r="AC97" s="8" t="str">
        <f aca="false">IF(Y97&lt;2,"",IF(AB97-AA97&gt;$F$3,"Review",""))</f>
        <v/>
      </c>
      <c r="AD97" s="9" t="n">
        <f aca="false">IF(ISNUMBER(Z97),C97*Z97,"")</f>
        <v>13045.6426458402</v>
      </c>
    </row>
    <row r="98" customFormat="false" ht="15" hidden="false" customHeight="false" outlineLevel="0" collapsed="false">
      <c r="A98" s="8" t="s">
        <v>145</v>
      </c>
      <c r="B98" s="8" t="s">
        <v>146</v>
      </c>
      <c r="C98" s="9" t="n">
        <v>4745.88</v>
      </c>
      <c r="D98" s="8" t="n">
        <v>35</v>
      </c>
      <c r="E98" s="8" t="n">
        <v>35</v>
      </c>
      <c r="F98" s="10" t="n">
        <f aca="false">IF(D98&gt;=$C$3,E98/D98,"")</f>
        <v>1</v>
      </c>
      <c r="G98" s="8" t="n">
        <v>2</v>
      </c>
      <c r="H98" s="8" t="n">
        <v>2</v>
      </c>
      <c r="I98" s="10" t="str">
        <f aca="false">IF(G98&gt;=$C$3,H98/G98,"")</f>
        <v/>
      </c>
      <c r="J98" s="8" t="n">
        <v>6</v>
      </c>
      <c r="K98" s="8" t="n">
        <v>6</v>
      </c>
      <c r="L98" s="10" t="n">
        <f aca="false">IF(J98&gt;=$C$3,K98/J98,"")</f>
        <v>1</v>
      </c>
      <c r="M98" s="8" t="n">
        <v>2</v>
      </c>
      <c r="N98" s="8" t="n">
        <v>2</v>
      </c>
      <c r="O98" s="10" t="str">
        <f aca="false">IF(M98&gt;=$C$3,N98/M98,"")</f>
        <v/>
      </c>
      <c r="P98" s="8" t="n">
        <v>0</v>
      </c>
      <c r="Q98" s="8" t="n">
        <v>0</v>
      </c>
      <c r="R98" s="10" t="str">
        <f aca="false">IF(P98&gt;=$C$3,Q98/P98,"")</f>
        <v/>
      </c>
      <c r="S98" s="8" t="n">
        <v>1</v>
      </c>
      <c r="T98" s="8" t="n">
        <v>1</v>
      </c>
      <c r="U98" s="10" t="str">
        <f aca="false">IF(S98&gt;=$C$3,T98/S98,"")</f>
        <v/>
      </c>
      <c r="V98" s="8" t="n">
        <v>24</v>
      </c>
      <c r="W98" s="8" t="n">
        <v>24</v>
      </c>
      <c r="X98" s="10" t="n">
        <f aca="false">IF(V98&gt;=$C$3,W98/V98,"")</f>
        <v>1</v>
      </c>
      <c r="Y98" s="8" t="n">
        <f aca="false">COUNT(F98,I98,L98,O98,R98,U98,X98)</f>
        <v>3</v>
      </c>
      <c r="Z98" s="11" t="n">
        <f aca="false">IF(Y98=0,"n/a",AVERAGE(F98,I98,L98,O98,R98,U98,X98))</f>
        <v>1</v>
      </c>
      <c r="AA98" s="12" t="n">
        <f aca="false">IF(Y98=0,"",MIN(F98,I98,L98,O98,R98,U98,X98))</f>
        <v>1</v>
      </c>
      <c r="AB98" s="11" t="n">
        <f aca="false">IF(Y98=0,"",MAX(F98,I98,L98,O98,R98,U98,X98))</f>
        <v>1</v>
      </c>
      <c r="AC98" s="8" t="str">
        <f aca="false">IF(Y98&lt;2,"",IF(AB98-AA98&gt;$F$3,"Review",""))</f>
        <v/>
      </c>
      <c r="AD98" s="9" t="n">
        <f aca="false">IF(ISNUMBER(Z98),C98*Z98,"")</f>
        <v>4745.88</v>
      </c>
    </row>
    <row r="99" customFormat="false" ht="15" hidden="false" customHeight="false" outlineLevel="0" collapsed="false">
      <c r="A99" s="8" t="s">
        <v>147</v>
      </c>
      <c r="B99" s="8" t="s">
        <v>29</v>
      </c>
      <c r="C99" s="9" t="n">
        <v>5838.25</v>
      </c>
      <c r="D99" s="8" t="n">
        <v>218</v>
      </c>
      <c r="E99" s="8" t="n">
        <v>155</v>
      </c>
      <c r="F99" s="10" t="n">
        <f aca="false">IF(D99&gt;=$C$3,E99/D99,"")</f>
        <v>0.711009174311927</v>
      </c>
      <c r="G99" s="8" t="n">
        <v>47</v>
      </c>
      <c r="H99" s="8" t="n">
        <v>22</v>
      </c>
      <c r="I99" s="10" t="n">
        <f aca="false">IF(G99&gt;=$C$3,H99/G99,"")</f>
        <v>0.468085106382979</v>
      </c>
      <c r="J99" s="8" t="n">
        <v>14</v>
      </c>
      <c r="K99" s="8" t="n">
        <v>10</v>
      </c>
      <c r="L99" s="10" t="n">
        <f aca="false">IF(J99&gt;=$C$3,K99/J99,"")</f>
        <v>0.714285714285714</v>
      </c>
      <c r="M99" s="8" t="n">
        <v>52</v>
      </c>
      <c r="N99" s="8" t="n">
        <v>48</v>
      </c>
      <c r="O99" s="10" t="n">
        <f aca="false">IF(M99&gt;=$C$3,N99/M99,"")</f>
        <v>0.923076923076923</v>
      </c>
      <c r="P99" s="8" t="n">
        <v>27</v>
      </c>
      <c r="Q99" s="8" t="n">
        <v>24</v>
      </c>
      <c r="R99" s="10" t="n">
        <f aca="false">IF(P99&gt;=$C$3,Q99/P99,"")</f>
        <v>0.888888888888889</v>
      </c>
      <c r="S99" s="8" t="n">
        <v>12</v>
      </c>
      <c r="T99" s="8" t="n">
        <v>12</v>
      </c>
      <c r="U99" s="10" t="n">
        <f aca="false">IF(S99&gt;=$C$3,T99/S99,"")</f>
        <v>1</v>
      </c>
      <c r="V99" s="8" t="n">
        <v>30</v>
      </c>
      <c r="W99" s="8" t="n">
        <v>27</v>
      </c>
      <c r="X99" s="10" t="n">
        <f aca="false">IF(V99&gt;=$C$3,W99/V99,"")</f>
        <v>0.9</v>
      </c>
      <c r="Y99" s="8" t="n">
        <f aca="false">COUNT(F99,I99,L99,O99,R99,U99,X99)</f>
        <v>7</v>
      </c>
      <c r="Z99" s="11" t="n">
        <f aca="false">IF(Y99=0,"n/a",AVERAGE(F99,I99,L99,O99,R99,U99,X99))</f>
        <v>0.800763686706633</v>
      </c>
      <c r="AA99" s="12" t="n">
        <f aca="false">IF(Y99=0,"",MIN(F99,I99,L99,O99,R99,U99,X99))</f>
        <v>0.468085106382979</v>
      </c>
      <c r="AB99" s="11" t="n">
        <f aca="false">IF(Y99=0,"",MAX(F99,I99,L99,O99,R99,U99,X99))</f>
        <v>1</v>
      </c>
      <c r="AC99" s="8" t="str">
        <f aca="false">IF(Y99&lt;2,"",IF(AB99-AA99&gt;$F$3,"Review",""))</f>
        <v>Review</v>
      </c>
      <c r="AD99" s="9" t="n">
        <f aca="false">IF(ISNUMBER(Z99),C99*Z99,"")</f>
        <v>4675.058593915</v>
      </c>
    </row>
    <row r="100" customFormat="false" ht="15" hidden="false" customHeight="false" outlineLevel="0" collapsed="false">
      <c r="A100" s="8" t="s">
        <v>148</v>
      </c>
      <c r="B100" s="8" t="s">
        <v>27</v>
      </c>
      <c r="C100" s="9" t="n">
        <v>4036.55</v>
      </c>
      <c r="D100" s="8" t="n">
        <v>55</v>
      </c>
      <c r="E100" s="8" t="n">
        <v>55</v>
      </c>
      <c r="F100" s="10" t="n">
        <f aca="false">IF(D100&gt;=$C$3,E100/D100,"")</f>
        <v>1</v>
      </c>
      <c r="G100" s="8" t="n">
        <v>5</v>
      </c>
      <c r="H100" s="8" t="n">
        <v>5</v>
      </c>
      <c r="I100" s="10" t="n">
        <f aca="false">IF(G100&gt;=$C$3,H100/G100,"")</f>
        <v>1</v>
      </c>
      <c r="J100" s="8" t="n">
        <v>2</v>
      </c>
      <c r="K100" s="8" t="n">
        <v>2</v>
      </c>
      <c r="L100" s="10" t="str">
        <f aca="false">IF(J100&gt;=$C$3,K100/J100,"")</f>
        <v/>
      </c>
      <c r="M100" s="8" t="n">
        <v>3</v>
      </c>
      <c r="N100" s="8" t="n">
        <v>3</v>
      </c>
      <c r="O100" s="10" t="n">
        <f aca="false">IF(M100&gt;=$C$3,N100/M100,"")</f>
        <v>1</v>
      </c>
      <c r="P100" s="8" t="n">
        <v>0</v>
      </c>
      <c r="Q100" s="8" t="n">
        <v>0</v>
      </c>
      <c r="R100" s="10" t="str">
        <f aca="false">IF(P100&gt;=$C$3,Q100/P100,"")</f>
        <v/>
      </c>
      <c r="S100" s="8" t="n">
        <v>2</v>
      </c>
      <c r="T100" s="8" t="n">
        <v>2</v>
      </c>
      <c r="U100" s="10" t="str">
        <f aca="false">IF(S100&gt;=$C$3,T100/S100,"")</f>
        <v/>
      </c>
      <c r="V100" s="8" t="n">
        <v>11</v>
      </c>
      <c r="W100" s="8" t="n">
        <v>11</v>
      </c>
      <c r="X100" s="10" t="n">
        <f aca="false">IF(V100&gt;=$C$3,W100/V100,"")</f>
        <v>1</v>
      </c>
      <c r="Y100" s="8" t="n">
        <f aca="false">COUNT(F100,I100,L100,O100,R100,U100,X100)</f>
        <v>4</v>
      </c>
      <c r="Z100" s="11" t="n">
        <f aca="false">IF(Y100=0,"n/a",AVERAGE(F100,I100,L100,O100,R100,U100,X100))</f>
        <v>1</v>
      </c>
      <c r="AA100" s="12" t="n">
        <f aca="false">IF(Y100=0,"",MIN(F100,I100,L100,O100,R100,U100,X100))</f>
        <v>1</v>
      </c>
      <c r="AB100" s="11" t="n">
        <f aca="false">IF(Y100=0,"",MAX(F100,I100,L100,O100,R100,U100,X100))</f>
        <v>1</v>
      </c>
      <c r="AC100" s="8" t="str">
        <f aca="false">IF(Y100&lt;2,"",IF(AB100-AA100&gt;$F$3,"Review",""))</f>
        <v/>
      </c>
      <c r="AD100" s="9" t="n">
        <f aca="false">IF(ISNUMBER(Z100),C100*Z100,"")</f>
        <v>4036.55</v>
      </c>
    </row>
    <row r="101" customFormat="false" ht="15" hidden="false" customHeight="false" outlineLevel="0" collapsed="false">
      <c r="A101" s="8" t="s">
        <v>149</v>
      </c>
      <c r="B101" s="8" t="s">
        <v>43</v>
      </c>
      <c r="C101" s="9" t="n">
        <v>7654.85</v>
      </c>
      <c r="D101" s="8" t="n">
        <v>59</v>
      </c>
      <c r="E101" s="8" t="n">
        <v>50</v>
      </c>
      <c r="F101" s="10" t="n">
        <f aca="false">IF(D101&gt;=$C$3,E101/D101,"")</f>
        <v>0.847457627118644</v>
      </c>
      <c r="G101" s="8" t="n">
        <v>7</v>
      </c>
      <c r="H101" s="8" t="n">
        <v>5</v>
      </c>
      <c r="I101" s="10" t="n">
        <f aca="false">IF(G101&gt;=$C$3,H101/G101,"")</f>
        <v>0.714285714285714</v>
      </c>
      <c r="J101" s="8" t="n">
        <v>3</v>
      </c>
      <c r="K101" s="8" t="n">
        <v>3</v>
      </c>
      <c r="L101" s="10" t="n">
        <f aca="false">IF(J101&gt;=$C$3,K101/J101,"")</f>
        <v>1</v>
      </c>
      <c r="M101" s="8" t="n">
        <v>7</v>
      </c>
      <c r="N101" s="8" t="n">
        <v>7</v>
      </c>
      <c r="O101" s="10" t="n">
        <f aca="false">IF(M101&gt;=$C$3,N101/M101,"")</f>
        <v>1</v>
      </c>
      <c r="P101" s="8" t="n">
        <v>2</v>
      </c>
      <c r="Q101" s="8" t="n">
        <v>2</v>
      </c>
      <c r="R101" s="10" t="str">
        <f aca="false">IF(P101&gt;=$C$3,Q101/P101,"")</f>
        <v/>
      </c>
      <c r="S101" s="8" t="n">
        <v>1</v>
      </c>
      <c r="T101" s="8" t="n">
        <v>1</v>
      </c>
      <c r="U101" s="10" t="str">
        <f aca="false">IF(S101&gt;=$C$3,T101/S101,"")</f>
        <v/>
      </c>
      <c r="V101" s="8" t="n">
        <v>20</v>
      </c>
      <c r="W101" s="8" t="n">
        <v>17</v>
      </c>
      <c r="X101" s="10" t="n">
        <f aca="false">IF(V101&gt;=$C$3,W101/V101,"")</f>
        <v>0.85</v>
      </c>
      <c r="Y101" s="8" t="n">
        <f aca="false">COUNT(F101,I101,L101,O101,R101,U101,X101)</f>
        <v>5</v>
      </c>
      <c r="Z101" s="11" t="n">
        <f aca="false">IF(Y101=0,"n/a",AVERAGE(F101,I101,L101,O101,R101,U101,X101))</f>
        <v>0.882348668280872</v>
      </c>
      <c r="AA101" s="12" t="n">
        <f aca="false">IF(Y101=0,"",MIN(F101,I101,L101,O101,R101,U101,X101))</f>
        <v>0.714285714285714</v>
      </c>
      <c r="AB101" s="11" t="n">
        <f aca="false">IF(Y101=0,"",MAX(F101,I101,L101,O101,R101,U101,X101))</f>
        <v>1</v>
      </c>
      <c r="AC101" s="8" t="str">
        <f aca="false">IF(Y101&lt;2,"",IF(AB101-AA101&gt;$F$3,"Review",""))</f>
        <v/>
      </c>
      <c r="AD101" s="9" t="n">
        <f aca="false">IF(ISNUMBER(Z101),C101*Z101,"")</f>
        <v>6754.24670338983</v>
      </c>
    </row>
    <row r="102" customFormat="false" ht="15" hidden="false" customHeight="false" outlineLevel="0" collapsed="false">
      <c r="A102" s="8" t="s">
        <v>150</v>
      </c>
      <c r="B102" s="8" t="s">
        <v>151</v>
      </c>
      <c r="C102" s="9" t="n">
        <v>693.76</v>
      </c>
      <c r="D102" s="8" t="n">
        <v>31</v>
      </c>
      <c r="E102" s="8" t="n">
        <v>31</v>
      </c>
      <c r="F102" s="10" t="n">
        <f aca="false">IF(D102&gt;=$C$3,E102/D102,"")</f>
        <v>1</v>
      </c>
      <c r="G102" s="8" t="n">
        <v>4</v>
      </c>
      <c r="H102" s="8" t="n">
        <v>2</v>
      </c>
      <c r="I102" s="10" t="n">
        <f aca="false">IF(G102&gt;=$C$3,H102/G102,"")</f>
        <v>0.5</v>
      </c>
      <c r="J102" s="8" t="n">
        <v>1</v>
      </c>
      <c r="K102" s="8" t="n">
        <v>1</v>
      </c>
      <c r="L102" s="10" t="str">
        <f aca="false">IF(J102&gt;=$C$3,K102/J102,"")</f>
        <v/>
      </c>
      <c r="M102" s="8" t="n">
        <v>0</v>
      </c>
      <c r="N102" s="8" t="n">
        <v>0</v>
      </c>
      <c r="O102" s="10" t="str">
        <f aca="false">IF(M102&gt;=$C$3,N102/M102,"")</f>
        <v/>
      </c>
      <c r="P102" s="8" t="n">
        <v>1</v>
      </c>
      <c r="Q102" s="8" t="n">
        <v>1</v>
      </c>
      <c r="R102" s="10" t="str">
        <f aca="false">IF(P102&gt;=$C$3,Q102/P102,"")</f>
        <v/>
      </c>
      <c r="S102" s="8" t="n">
        <v>0</v>
      </c>
      <c r="T102" s="8" t="n">
        <v>0</v>
      </c>
      <c r="U102" s="10" t="str">
        <f aca="false">IF(S102&gt;=$C$3,T102/S102,"")</f>
        <v/>
      </c>
      <c r="V102" s="8" t="n">
        <v>3</v>
      </c>
      <c r="W102" s="8" t="n">
        <v>3</v>
      </c>
      <c r="X102" s="10" t="n">
        <f aca="false">IF(V102&gt;=$C$3,W102/V102,"")</f>
        <v>1</v>
      </c>
      <c r="Y102" s="8" t="n">
        <f aca="false">COUNT(F102,I102,L102,O102,R102,U102,X102)</f>
        <v>3</v>
      </c>
      <c r="Z102" s="11" t="n">
        <f aca="false">IF(Y102=0,"n/a",AVERAGE(F102,I102,L102,O102,R102,U102,X102))</f>
        <v>0.833333333333333</v>
      </c>
      <c r="AA102" s="12" t="n">
        <f aca="false">IF(Y102=0,"",MIN(F102,I102,L102,O102,R102,U102,X102))</f>
        <v>0.5</v>
      </c>
      <c r="AB102" s="11" t="n">
        <f aca="false">IF(Y102=0,"",MAX(F102,I102,L102,O102,R102,U102,X102))</f>
        <v>1</v>
      </c>
      <c r="AC102" s="8" t="str">
        <f aca="false">IF(Y102&lt;2,"",IF(AB102-AA102&gt;$F$3,"Review",""))</f>
        <v/>
      </c>
      <c r="AD102" s="9" t="n">
        <f aca="false">IF(ISNUMBER(Z102),C102*Z102,"")</f>
        <v>578.133333333333</v>
      </c>
    </row>
    <row r="103" customFormat="false" ht="15" hidden="false" customHeight="false" outlineLevel="0" collapsed="false">
      <c r="A103" s="8" t="s">
        <v>152</v>
      </c>
      <c r="B103" s="8" t="s">
        <v>153</v>
      </c>
      <c r="C103" s="9" t="n">
        <v>3640.13</v>
      </c>
      <c r="D103" s="8" t="n">
        <v>372</v>
      </c>
      <c r="E103" s="8" t="n">
        <v>206</v>
      </c>
      <c r="F103" s="10" t="n">
        <f aca="false">IF(D103&gt;=$C$3,E103/D103,"")</f>
        <v>0.553763440860215</v>
      </c>
      <c r="G103" s="8" t="n">
        <v>107</v>
      </c>
      <c r="H103" s="8" t="n">
        <v>51</v>
      </c>
      <c r="I103" s="10" t="n">
        <f aca="false">IF(G103&gt;=$C$3,H103/G103,"")</f>
        <v>0.476635514018692</v>
      </c>
      <c r="J103" s="8" t="n">
        <v>58</v>
      </c>
      <c r="K103" s="8" t="n">
        <v>18</v>
      </c>
      <c r="L103" s="10" t="n">
        <f aca="false">IF(J103&gt;=$C$3,K103/J103,"")</f>
        <v>0.310344827586207</v>
      </c>
      <c r="M103" s="8" t="n">
        <v>68</v>
      </c>
      <c r="N103" s="8" t="n">
        <v>29</v>
      </c>
      <c r="O103" s="10" t="n">
        <f aca="false">IF(M103&gt;=$C$3,N103/M103,"")</f>
        <v>0.426470588235294</v>
      </c>
      <c r="P103" s="8" t="n">
        <v>25</v>
      </c>
      <c r="Q103" s="8" t="n">
        <v>13</v>
      </c>
      <c r="R103" s="10" t="n">
        <f aca="false">IF(P103&gt;=$C$3,Q103/P103,"")</f>
        <v>0.52</v>
      </c>
      <c r="S103" s="8" t="n">
        <v>7</v>
      </c>
      <c r="T103" s="8" t="n">
        <v>6</v>
      </c>
      <c r="U103" s="10" t="n">
        <f aca="false">IF(S103&gt;=$C$3,T103/S103,"")</f>
        <v>0.857142857142857</v>
      </c>
      <c r="V103" s="8" t="n">
        <v>105</v>
      </c>
      <c r="W103" s="8" t="n">
        <v>27</v>
      </c>
      <c r="X103" s="10" t="n">
        <f aca="false">IF(V103&gt;=$C$3,W103/V103,"")</f>
        <v>0.257142857142857</v>
      </c>
      <c r="Y103" s="8" t="n">
        <f aca="false">COUNT(F103,I103,L103,O103,R103,U103,X103)</f>
        <v>7</v>
      </c>
      <c r="Z103" s="11" t="n">
        <f aca="false">IF(Y103=0,"n/a",AVERAGE(F103,I103,L103,O103,R103,U103,X103))</f>
        <v>0.485928583569446</v>
      </c>
      <c r="AA103" s="12" t="n">
        <f aca="false">IF(Y103=0,"",MIN(F103,I103,L103,O103,R103,U103,X103))</f>
        <v>0.257142857142857</v>
      </c>
      <c r="AB103" s="11" t="n">
        <f aca="false">IF(Y103=0,"",MAX(F103,I103,L103,O103,R103,U103,X103))</f>
        <v>0.857142857142857</v>
      </c>
      <c r="AC103" s="8" t="str">
        <f aca="false">IF(Y103&lt;2,"",IF(AB103-AA103&gt;$F$3,"Review",""))</f>
        <v>Review</v>
      </c>
      <c r="AD103" s="9" t="n">
        <f aca="false">IF(ISNUMBER(Z103),C103*Z103,"")</f>
        <v>1768.84321490865</v>
      </c>
    </row>
    <row r="104" customFormat="false" ht="15" hidden="false" customHeight="false" outlineLevel="0" collapsed="false">
      <c r="A104" s="8" t="s">
        <v>154</v>
      </c>
      <c r="B104" s="8" t="s">
        <v>31</v>
      </c>
      <c r="C104" s="9" t="n">
        <v>570.1</v>
      </c>
      <c r="D104" s="8" t="n">
        <v>0</v>
      </c>
      <c r="E104" s="8" t="n">
        <v>0</v>
      </c>
      <c r="F104" s="10" t="str">
        <f aca="false">IF(D104&gt;=$C$3,E104/D104,"")</f>
        <v/>
      </c>
      <c r="G104" s="8" t="n">
        <v>0</v>
      </c>
      <c r="H104" s="8" t="n">
        <v>0</v>
      </c>
      <c r="I104" s="10" t="str">
        <f aca="false">IF(G104&gt;=$C$3,H104/G104,"")</f>
        <v/>
      </c>
      <c r="J104" s="8" t="n">
        <v>0</v>
      </c>
      <c r="K104" s="8" t="n">
        <v>0</v>
      </c>
      <c r="L104" s="10" t="str">
        <f aca="false">IF(J104&gt;=$C$3,K104/J104,"")</f>
        <v/>
      </c>
      <c r="M104" s="8" t="n">
        <v>0</v>
      </c>
      <c r="N104" s="8" t="n">
        <v>0</v>
      </c>
      <c r="O104" s="10" t="str">
        <f aca="false">IF(M104&gt;=$C$3,N104/M104,"")</f>
        <v/>
      </c>
      <c r="P104" s="8" t="n">
        <v>0</v>
      </c>
      <c r="Q104" s="8" t="n">
        <v>0</v>
      </c>
      <c r="R104" s="10" t="str">
        <f aca="false">IF(P104&gt;=$C$3,Q104/P104,"")</f>
        <v/>
      </c>
      <c r="S104" s="8" t="n">
        <v>0</v>
      </c>
      <c r="T104" s="8" t="n">
        <v>0</v>
      </c>
      <c r="U104" s="10" t="str">
        <f aca="false">IF(S104&gt;=$C$3,T104/S104,"")</f>
        <v/>
      </c>
      <c r="V104" s="8" t="n">
        <v>12</v>
      </c>
      <c r="W104" s="8" t="n">
        <v>12</v>
      </c>
      <c r="X104" s="10" t="n">
        <f aca="false">IF(V104&gt;=$C$3,W104/V104,"")</f>
        <v>1</v>
      </c>
      <c r="Y104" s="8" t="n">
        <f aca="false">COUNT(F104,I104,L104,O104,R104,U104,X104)</f>
        <v>1</v>
      </c>
      <c r="Z104" s="11" t="n">
        <f aca="false">IF(Y104=0,"n/a",AVERAGE(F104,I104,L104,O104,R104,U104,X104))</f>
        <v>1</v>
      </c>
      <c r="AA104" s="12" t="n">
        <f aca="false">IF(Y104=0,"",MIN(F104,I104,L104,O104,R104,U104,X104))</f>
        <v>1</v>
      </c>
      <c r="AB104" s="11" t="n">
        <f aca="false">IF(Y104=0,"",MAX(F104,I104,L104,O104,R104,U104,X104))</f>
        <v>1</v>
      </c>
      <c r="AC104" s="8" t="str">
        <f aca="false">IF(Y104&lt;2,"",IF(AB104-AA104&gt;$F$3,"Review",""))</f>
        <v/>
      </c>
      <c r="AD104" s="9" t="n">
        <f aca="false">IF(ISNUMBER(Z104),C104*Z104,"")</f>
        <v>570.1</v>
      </c>
    </row>
    <row r="105" customFormat="false" ht="15" hidden="false" customHeight="false" outlineLevel="0" collapsed="false">
      <c r="A105" s="8" t="s">
        <v>155</v>
      </c>
      <c r="B105" s="8" t="s">
        <v>41</v>
      </c>
      <c r="C105" s="9" t="n">
        <v>5976.94</v>
      </c>
      <c r="D105" s="8" t="n">
        <v>303</v>
      </c>
      <c r="E105" s="8" t="n">
        <v>79</v>
      </c>
      <c r="F105" s="10" t="n">
        <f aca="false">IF(D105&gt;=$C$3,E105/D105,"")</f>
        <v>0.260726072607261</v>
      </c>
      <c r="G105" s="8" t="n">
        <v>65</v>
      </c>
      <c r="H105" s="8" t="n">
        <v>7</v>
      </c>
      <c r="I105" s="10" t="n">
        <f aca="false">IF(G105&gt;=$C$3,H105/G105,"")</f>
        <v>0.107692307692308</v>
      </c>
      <c r="J105" s="8" t="n">
        <v>28</v>
      </c>
      <c r="K105" s="8" t="n">
        <v>10</v>
      </c>
      <c r="L105" s="10" t="n">
        <f aca="false">IF(J105&gt;=$C$3,K105/J105,"")</f>
        <v>0.357142857142857</v>
      </c>
      <c r="M105" s="8" t="n">
        <v>60</v>
      </c>
      <c r="N105" s="8" t="n">
        <v>9</v>
      </c>
      <c r="O105" s="10" t="n">
        <f aca="false">IF(M105&gt;=$C$3,N105/M105,"")</f>
        <v>0.15</v>
      </c>
      <c r="P105" s="8" t="n">
        <v>11</v>
      </c>
      <c r="Q105" s="8" t="n">
        <v>3</v>
      </c>
      <c r="R105" s="10" t="n">
        <f aca="false">IF(P105&gt;=$C$3,Q105/P105,"")</f>
        <v>0.272727272727273</v>
      </c>
      <c r="S105" s="8" t="n">
        <v>4</v>
      </c>
      <c r="T105" s="8" t="n">
        <v>1</v>
      </c>
      <c r="U105" s="10" t="n">
        <f aca="false">IF(S105&gt;=$C$3,T105/S105,"")</f>
        <v>0.25</v>
      </c>
      <c r="V105" s="8" t="n">
        <v>91</v>
      </c>
      <c r="W105" s="8" t="n">
        <v>26</v>
      </c>
      <c r="X105" s="10" t="n">
        <f aca="false">IF(V105&gt;=$C$3,W105/V105,"")</f>
        <v>0.285714285714286</v>
      </c>
      <c r="Y105" s="8" t="n">
        <f aca="false">COUNT(F105,I105,L105,O105,R105,U105,X105)</f>
        <v>7</v>
      </c>
      <c r="Z105" s="11" t="n">
        <f aca="false">IF(Y105=0,"n/a",AVERAGE(F105,I105,L105,O105,R105,U105,X105))</f>
        <v>0.240571827983426</v>
      </c>
      <c r="AA105" s="12" t="n">
        <f aca="false">IF(Y105=0,"",MIN(F105,I105,L105,O105,R105,U105,X105))</f>
        <v>0.107692307692308</v>
      </c>
      <c r="AB105" s="11" t="n">
        <f aca="false">IF(Y105=0,"",MAX(F105,I105,L105,O105,R105,U105,X105))</f>
        <v>0.357142857142857</v>
      </c>
      <c r="AC105" s="8" t="str">
        <f aca="false">IF(Y105&lt;2,"",IF(AB105-AA105&gt;$F$3,"Review",""))</f>
        <v/>
      </c>
      <c r="AD105" s="9" t="n">
        <f aca="false">IF(ISNUMBER(Z105),C105*Z105,"")</f>
        <v>1437.88338154726</v>
      </c>
    </row>
    <row r="106" customFormat="false" ht="15" hidden="false" customHeight="false" outlineLevel="0" collapsed="false">
      <c r="A106" s="8" t="s">
        <v>156</v>
      </c>
      <c r="B106" s="8" t="s">
        <v>29</v>
      </c>
      <c r="C106" s="9" t="n">
        <v>1845.67</v>
      </c>
      <c r="D106" s="8" t="n">
        <v>52</v>
      </c>
      <c r="E106" s="8" t="n">
        <v>49</v>
      </c>
      <c r="F106" s="10" t="n">
        <f aca="false">IF(D106&gt;=$C$3,E106/D106,"")</f>
        <v>0.942307692307692</v>
      </c>
      <c r="G106" s="8" t="n">
        <v>9</v>
      </c>
      <c r="H106" s="8" t="n">
        <v>9</v>
      </c>
      <c r="I106" s="10" t="n">
        <f aca="false">IF(G106&gt;=$C$3,H106/G106,"")</f>
        <v>1</v>
      </c>
      <c r="J106" s="8" t="n">
        <v>6</v>
      </c>
      <c r="K106" s="8" t="n">
        <v>6</v>
      </c>
      <c r="L106" s="10" t="n">
        <f aca="false">IF(J106&gt;=$C$3,K106/J106,"")</f>
        <v>1</v>
      </c>
      <c r="M106" s="8" t="n">
        <v>4</v>
      </c>
      <c r="N106" s="8" t="n">
        <v>4</v>
      </c>
      <c r="O106" s="10" t="n">
        <f aca="false">IF(M106&gt;=$C$3,N106/M106,"")</f>
        <v>1</v>
      </c>
      <c r="P106" s="8" t="n">
        <v>5</v>
      </c>
      <c r="Q106" s="8" t="n">
        <v>5</v>
      </c>
      <c r="R106" s="10" t="n">
        <f aca="false">IF(P106&gt;=$C$3,Q106/P106,"")</f>
        <v>1</v>
      </c>
      <c r="S106" s="8" t="n">
        <v>6</v>
      </c>
      <c r="T106" s="8" t="n">
        <v>6</v>
      </c>
      <c r="U106" s="10" t="n">
        <f aca="false">IF(S106&gt;=$C$3,T106/S106,"")</f>
        <v>1</v>
      </c>
      <c r="V106" s="8" t="n">
        <v>29</v>
      </c>
      <c r="W106" s="8" t="n">
        <v>29</v>
      </c>
      <c r="X106" s="10" t="n">
        <f aca="false">IF(V106&gt;=$C$3,W106/V106,"")</f>
        <v>1</v>
      </c>
      <c r="Y106" s="8" t="n">
        <f aca="false">COUNT(F106,I106,L106,O106,R106,U106,X106)</f>
        <v>7</v>
      </c>
      <c r="Z106" s="11" t="n">
        <f aca="false">IF(Y106=0,"n/a",AVERAGE(F106,I106,L106,O106,R106,U106,X106))</f>
        <v>0.991758241758242</v>
      </c>
      <c r="AA106" s="12" t="n">
        <f aca="false">IF(Y106=0,"",MIN(F106,I106,L106,O106,R106,U106,X106))</f>
        <v>0.942307692307692</v>
      </c>
      <c r="AB106" s="11" t="n">
        <f aca="false">IF(Y106=0,"",MAX(F106,I106,L106,O106,R106,U106,X106))</f>
        <v>1</v>
      </c>
      <c r="AC106" s="8" t="str">
        <f aca="false">IF(Y106&lt;2,"",IF(AB106-AA106&gt;$F$3,"Review",""))</f>
        <v/>
      </c>
      <c r="AD106" s="9" t="n">
        <f aca="false">IF(ISNUMBER(Z106),C106*Z106,"")</f>
        <v>1830.45843406593</v>
      </c>
    </row>
    <row r="107" customFormat="false" ht="15" hidden="false" customHeight="false" outlineLevel="0" collapsed="false">
      <c r="A107" s="8" t="s">
        <v>157</v>
      </c>
      <c r="B107" s="8" t="s">
        <v>128</v>
      </c>
      <c r="C107" s="9" t="n">
        <v>8758.04</v>
      </c>
      <c r="D107" s="8" t="n">
        <v>149</v>
      </c>
      <c r="E107" s="8" t="n">
        <v>149</v>
      </c>
      <c r="F107" s="10" t="n">
        <f aca="false">IF(D107&gt;=$C$3,E107/D107,"")</f>
        <v>1</v>
      </c>
      <c r="G107" s="8" t="n">
        <v>25</v>
      </c>
      <c r="H107" s="8" t="n">
        <v>24</v>
      </c>
      <c r="I107" s="10" t="n">
        <f aca="false">IF(G107&gt;=$C$3,H107/G107,"")</f>
        <v>0.96</v>
      </c>
      <c r="J107" s="8" t="n">
        <v>14</v>
      </c>
      <c r="K107" s="8" t="n">
        <v>14</v>
      </c>
      <c r="L107" s="10" t="n">
        <f aca="false">IF(J107&gt;=$C$3,K107/J107,"")</f>
        <v>1</v>
      </c>
      <c r="M107" s="8" t="n">
        <v>16</v>
      </c>
      <c r="N107" s="8" t="n">
        <v>16</v>
      </c>
      <c r="O107" s="10" t="n">
        <f aca="false">IF(M107&gt;=$C$3,N107/M107,"")</f>
        <v>1</v>
      </c>
      <c r="P107" s="8" t="n">
        <v>7</v>
      </c>
      <c r="Q107" s="8" t="n">
        <v>7</v>
      </c>
      <c r="R107" s="10" t="n">
        <f aca="false">IF(P107&gt;=$C$3,Q107/P107,"")</f>
        <v>1</v>
      </c>
      <c r="S107" s="8" t="n">
        <v>4</v>
      </c>
      <c r="T107" s="8" t="n">
        <v>4</v>
      </c>
      <c r="U107" s="10" t="n">
        <f aca="false">IF(S107&gt;=$C$3,T107/S107,"")</f>
        <v>1</v>
      </c>
      <c r="V107" s="8" t="n">
        <v>33</v>
      </c>
      <c r="W107" s="8" t="n">
        <v>30</v>
      </c>
      <c r="X107" s="10" t="n">
        <f aca="false">IF(V107&gt;=$C$3,W107/V107,"")</f>
        <v>0.909090909090909</v>
      </c>
      <c r="Y107" s="8" t="n">
        <f aca="false">COUNT(F107,I107,L107,O107,R107,U107,X107)</f>
        <v>7</v>
      </c>
      <c r="Z107" s="11" t="n">
        <f aca="false">IF(Y107=0,"n/a",AVERAGE(F107,I107,L107,O107,R107,U107,X107))</f>
        <v>0.981298701298701</v>
      </c>
      <c r="AA107" s="12" t="n">
        <f aca="false">IF(Y107=0,"",MIN(F107,I107,L107,O107,R107,U107,X107))</f>
        <v>0.909090909090909</v>
      </c>
      <c r="AB107" s="11" t="n">
        <f aca="false">IF(Y107=0,"",MAX(F107,I107,L107,O107,R107,U107,X107))</f>
        <v>1</v>
      </c>
      <c r="AC107" s="8" t="str">
        <f aca="false">IF(Y107&lt;2,"",IF(AB107-AA107&gt;$F$3,"Review",""))</f>
        <v/>
      </c>
      <c r="AD107" s="9" t="n">
        <f aca="false">IF(ISNUMBER(Z107),C107*Z107,"")</f>
        <v>8594.25327792208</v>
      </c>
    </row>
    <row r="108" customFormat="false" ht="15" hidden="false" customHeight="false" outlineLevel="0" collapsed="false">
      <c r="A108" s="8" t="s">
        <v>158</v>
      </c>
      <c r="B108" s="8" t="s">
        <v>38</v>
      </c>
      <c r="C108" s="9" t="n">
        <v>38680.23</v>
      </c>
      <c r="D108" s="8" t="n">
        <v>293</v>
      </c>
      <c r="E108" s="8" t="n">
        <v>10</v>
      </c>
      <c r="F108" s="10" t="n">
        <f aca="false">IF(D108&gt;=$C$3,E108/D108,"")</f>
        <v>0.0341296928327645</v>
      </c>
      <c r="G108" s="8" t="n">
        <v>140</v>
      </c>
      <c r="H108" s="8" t="n">
        <v>5</v>
      </c>
      <c r="I108" s="10" t="n">
        <f aca="false">IF(G108&gt;=$C$3,H108/G108,"")</f>
        <v>0.0357142857142857</v>
      </c>
      <c r="J108" s="8" t="n">
        <v>104</v>
      </c>
      <c r="K108" s="8" t="n">
        <v>1</v>
      </c>
      <c r="L108" s="10" t="n">
        <f aca="false">IF(J108&gt;=$C$3,K108/J108,"")</f>
        <v>0.00961538461538462</v>
      </c>
      <c r="M108" s="8" t="n">
        <v>149</v>
      </c>
      <c r="N108" s="8" t="n">
        <v>6</v>
      </c>
      <c r="O108" s="10" t="n">
        <f aca="false">IF(M108&gt;=$C$3,N108/M108,"")</f>
        <v>0.0402684563758389</v>
      </c>
      <c r="P108" s="8" t="n">
        <v>65</v>
      </c>
      <c r="Q108" s="8" t="n">
        <v>2</v>
      </c>
      <c r="R108" s="10" t="n">
        <f aca="false">IF(P108&gt;=$C$3,Q108/P108,"")</f>
        <v>0.0307692307692308</v>
      </c>
      <c r="S108" s="8" t="n">
        <v>16</v>
      </c>
      <c r="T108" s="8" t="n">
        <v>0</v>
      </c>
      <c r="U108" s="10" t="n">
        <f aca="false">IF(S108&gt;=$C$3,T108/S108,"")</f>
        <v>0</v>
      </c>
      <c r="V108" s="8" t="n">
        <v>127</v>
      </c>
      <c r="W108" s="8" t="n">
        <v>9</v>
      </c>
      <c r="X108" s="10" t="n">
        <f aca="false">IF(V108&gt;=$C$3,W108/V108,"")</f>
        <v>0.0708661417322835</v>
      </c>
      <c r="Y108" s="8" t="n">
        <f aca="false">COUNT(F108,I108,L108,O108,R108,U108,X108)</f>
        <v>7</v>
      </c>
      <c r="Z108" s="11" t="n">
        <f aca="false">IF(Y108=0,"n/a",AVERAGE(F108,I108,L108,O108,R108,U108,X108))</f>
        <v>0.0316233131485411</v>
      </c>
      <c r="AA108" s="12" t="n">
        <f aca="false">IF(Y108=0,"",MIN(F108,I108,L108,O108,R108,U108,X108))</f>
        <v>0</v>
      </c>
      <c r="AB108" s="11" t="n">
        <f aca="false">IF(Y108=0,"",MAX(F108,I108,L108,O108,R108,U108,X108))</f>
        <v>0.0708661417322835</v>
      </c>
      <c r="AC108" s="8" t="str">
        <f aca="false">IF(Y108&lt;2,"",IF(AB108-AA108&gt;$F$3,"Review",""))</f>
        <v/>
      </c>
      <c r="AD108" s="9" t="n">
        <f aca="false">IF(ISNUMBER(Z108),C108*Z108,"")</f>
        <v>1223.1970259476</v>
      </c>
    </row>
    <row r="109" customFormat="false" ht="15" hidden="false" customHeight="false" outlineLevel="0" collapsed="false">
      <c r="A109" s="8" t="s">
        <v>159</v>
      </c>
      <c r="B109" s="8" t="s">
        <v>105</v>
      </c>
      <c r="C109" s="9" t="n">
        <v>46507.62</v>
      </c>
      <c r="D109" s="8" t="n">
        <v>362</v>
      </c>
      <c r="E109" s="8" t="n">
        <v>234</v>
      </c>
      <c r="F109" s="10" t="n">
        <f aca="false">IF(D109&gt;=$C$3,E109/D109,"")</f>
        <v>0.646408839779006</v>
      </c>
      <c r="G109" s="8" t="n">
        <v>68</v>
      </c>
      <c r="H109" s="8" t="n">
        <v>24</v>
      </c>
      <c r="I109" s="10" t="n">
        <f aca="false">IF(G109&gt;=$C$3,H109/G109,"")</f>
        <v>0.352941176470588</v>
      </c>
      <c r="J109" s="8" t="n">
        <v>59</v>
      </c>
      <c r="K109" s="8" t="n">
        <v>11</v>
      </c>
      <c r="L109" s="10" t="n">
        <f aca="false">IF(J109&gt;=$C$3,K109/J109,"")</f>
        <v>0.186440677966102</v>
      </c>
      <c r="M109" s="8" t="n">
        <v>84</v>
      </c>
      <c r="N109" s="8" t="n">
        <v>16</v>
      </c>
      <c r="O109" s="10" t="n">
        <f aca="false">IF(M109&gt;=$C$3,N109/M109,"")</f>
        <v>0.19047619047619</v>
      </c>
      <c r="P109" s="8" t="n">
        <v>56</v>
      </c>
      <c r="Q109" s="8" t="n">
        <v>28</v>
      </c>
      <c r="R109" s="10" t="n">
        <f aca="false">IF(P109&gt;=$C$3,Q109/P109,"")</f>
        <v>0.5</v>
      </c>
      <c r="S109" s="8" t="n">
        <v>88</v>
      </c>
      <c r="T109" s="8" t="n">
        <v>37</v>
      </c>
      <c r="U109" s="10" t="n">
        <f aca="false">IF(S109&gt;=$C$3,T109/S109,"")</f>
        <v>0.420454545454545</v>
      </c>
      <c r="V109" s="8" t="n">
        <v>57</v>
      </c>
      <c r="W109" s="8" t="n">
        <v>20</v>
      </c>
      <c r="X109" s="10" t="n">
        <f aca="false">IF(V109&gt;=$C$3,W109/V109,"")</f>
        <v>0.350877192982456</v>
      </c>
      <c r="Y109" s="8" t="n">
        <f aca="false">COUNT(F109,I109,L109,O109,R109,U109,X109)</f>
        <v>7</v>
      </c>
      <c r="Z109" s="11" t="n">
        <f aca="false">IF(Y109=0,"n/a",AVERAGE(F109,I109,L109,O109,R109,U109,X109))</f>
        <v>0.378228374732698</v>
      </c>
      <c r="AA109" s="12" t="n">
        <f aca="false">IF(Y109=0,"",MIN(F109,I109,L109,O109,R109,U109,X109))</f>
        <v>0.186440677966102</v>
      </c>
      <c r="AB109" s="11" t="n">
        <f aca="false">IF(Y109=0,"",MAX(F109,I109,L109,O109,R109,U109,X109))</f>
        <v>0.646408839779006</v>
      </c>
      <c r="AC109" s="8" t="str">
        <f aca="false">IF(Y109&lt;2,"",IF(AB109-AA109&gt;$F$3,"Review",""))</f>
        <v/>
      </c>
      <c r="AD109" s="9" t="n">
        <f aca="false">IF(ISNUMBER(Z109),C109*Z109,"")</f>
        <v>17590.5015252859</v>
      </c>
    </row>
    <row r="110" customFormat="false" ht="15" hidden="false" customHeight="false" outlineLevel="0" collapsed="false">
      <c r="A110" s="8" t="s">
        <v>160</v>
      </c>
      <c r="B110" s="8" t="s">
        <v>31</v>
      </c>
      <c r="C110" s="9" t="n">
        <v>280.98</v>
      </c>
      <c r="D110" s="8" t="n">
        <v>14</v>
      </c>
      <c r="E110" s="8" t="n">
        <v>12</v>
      </c>
      <c r="F110" s="10" t="n">
        <f aca="false">IF(D110&gt;=$C$3,E110/D110,"")</f>
        <v>0.857142857142857</v>
      </c>
      <c r="G110" s="8" t="n">
        <v>0</v>
      </c>
      <c r="H110" s="8" t="n">
        <v>0</v>
      </c>
      <c r="I110" s="10" t="str">
        <f aca="false">IF(G110&gt;=$C$3,H110/G110,"")</f>
        <v/>
      </c>
      <c r="J110" s="8" t="n">
        <v>0</v>
      </c>
      <c r="K110" s="8" t="n">
        <v>0</v>
      </c>
      <c r="L110" s="10" t="str">
        <f aca="false">IF(J110&gt;=$C$3,K110/J110,"")</f>
        <v/>
      </c>
      <c r="M110" s="8" t="n">
        <v>0</v>
      </c>
      <c r="N110" s="8" t="n">
        <v>0</v>
      </c>
      <c r="O110" s="10" t="str">
        <f aca="false">IF(M110&gt;=$C$3,N110/M110,"")</f>
        <v/>
      </c>
      <c r="P110" s="8" t="n">
        <v>0</v>
      </c>
      <c r="Q110" s="8" t="n">
        <v>0</v>
      </c>
      <c r="R110" s="10" t="str">
        <f aca="false">IF(P110&gt;=$C$3,Q110/P110,"")</f>
        <v/>
      </c>
      <c r="S110" s="8" t="n">
        <v>0</v>
      </c>
      <c r="T110" s="8" t="n">
        <v>0</v>
      </c>
      <c r="U110" s="10" t="str">
        <f aca="false">IF(S110&gt;=$C$3,T110/S110,"")</f>
        <v/>
      </c>
      <c r="V110" s="8" t="n">
        <v>12</v>
      </c>
      <c r="W110" s="8" t="n">
        <v>12</v>
      </c>
      <c r="X110" s="10" t="n">
        <f aca="false">IF(V110&gt;=$C$3,W110/V110,"")</f>
        <v>1</v>
      </c>
      <c r="Y110" s="8" t="n">
        <f aca="false">COUNT(F110,I110,L110,O110,R110,U110,X110)</f>
        <v>2</v>
      </c>
      <c r="Z110" s="11" t="n">
        <f aca="false">IF(Y110=0,"n/a",AVERAGE(F110,I110,L110,O110,R110,U110,X110))</f>
        <v>0.928571428571429</v>
      </c>
      <c r="AA110" s="12" t="n">
        <f aca="false">IF(Y110=0,"",MIN(F110,I110,L110,O110,R110,U110,X110))</f>
        <v>0.857142857142857</v>
      </c>
      <c r="AB110" s="11" t="n">
        <f aca="false">IF(Y110=0,"",MAX(F110,I110,L110,O110,R110,U110,X110))</f>
        <v>1</v>
      </c>
      <c r="AC110" s="8" t="str">
        <f aca="false">IF(Y110&lt;2,"",IF(AB110-AA110&gt;$F$3,"Review",""))</f>
        <v/>
      </c>
      <c r="AD110" s="9" t="n">
        <f aca="false">IF(ISNUMBER(Z110),C110*Z110,"")</f>
        <v>260.91</v>
      </c>
    </row>
    <row r="111" customFormat="false" ht="15" hidden="false" customHeight="false" outlineLevel="0" collapsed="false">
      <c r="A111" s="8" t="s">
        <v>161</v>
      </c>
      <c r="B111" s="8" t="s">
        <v>54</v>
      </c>
      <c r="C111" s="9" t="n">
        <v>8362.23</v>
      </c>
      <c r="D111" s="8" t="n">
        <v>68</v>
      </c>
      <c r="E111" s="8" t="n">
        <v>65</v>
      </c>
      <c r="F111" s="10" t="n">
        <f aca="false">IF(D111&gt;=$C$3,E111/D111,"")</f>
        <v>0.955882352941177</v>
      </c>
      <c r="G111" s="8" t="n">
        <v>12</v>
      </c>
      <c r="H111" s="8" t="n">
        <v>12</v>
      </c>
      <c r="I111" s="10" t="n">
        <f aca="false">IF(G111&gt;=$C$3,H111/G111,"")</f>
        <v>1</v>
      </c>
      <c r="J111" s="8" t="n">
        <v>3</v>
      </c>
      <c r="K111" s="8" t="n">
        <v>3</v>
      </c>
      <c r="L111" s="10" t="n">
        <f aca="false">IF(J111&gt;=$C$3,K111/J111,"")</f>
        <v>1</v>
      </c>
      <c r="M111" s="8" t="n">
        <v>14</v>
      </c>
      <c r="N111" s="8" t="n">
        <v>13</v>
      </c>
      <c r="O111" s="10" t="n">
        <f aca="false">IF(M111&gt;=$C$3,N111/M111,"")</f>
        <v>0.928571428571429</v>
      </c>
      <c r="P111" s="8" t="n">
        <v>7</v>
      </c>
      <c r="Q111" s="8" t="n">
        <v>7</v>
      </c>
      <c r="R111" s="10" t="n">
        <f aca="false">IF(P111&gt;=$C$3,Q111/P111,"")</f>
        <v>1</v>
      </c>
      <c r="S111" s="8" t="n">
        <v>6</v>
      </c>
      <c r="T111" s="8" t="n">
        <v>6</v>
      </c>
      <c r="U111" s="10" t="n">
        <f aca="false">IF(S111&gt;=$C$3,T111/S111,"")</f>
        <v>1</v>
      </c>
      <c r="V111" s="8" t="n">
        <v>3</v>
      </c>
      <c r="W111" s="8" t="n">
        <v>3</v>
      </c>
      <c r="X111" s="10" t="n">
        <f aca="false">IF(V111&gt;=$C$3,W111/V111,"")</f>
        <v>1</v>
      </c>
      <c r="Y111" s="8" t="n">
        <f aca="false">COUNT(F111,I111,L111,O111,R111,U111,X111)</f>
        <v>7</v>
      </c>
      <c r="Z111" s="11" t="n">
        <f aca="false">IF(Y111=0,"n/a",AVERAGE(F111,I111,L111,O111,R111,U111,X111))</f>
        <v>0.983493397358944</v>
      </c>
      <c r="AA111" s="12" t="n">
        <f aca="false">IF(Y111=0,"",MIN(F111,I111,L111,O111,R111,U111,X111))</f>
        <v>0.928571428571429</v>
      </c>
      <c r="AB111" s="11" t="n">
        <f aca="false">IF(Y111=0,"",MAX(F111,I111,L111,O111,R111,U111,X111))</f>
        <v>1</v>
      </c>
      <c r="AC111" s="8" t="str">
        <f aca="false">IF(Y111&lt;2,"",IF(AB111-AA111&gt;$F$3,"Review",""))</f>
        <v/>
      </c>
      <c r="AD111" s="9" t="n">
        <f aca="false">IF(ISNUMBER(Z111),C111*Z111,"")</f>
        <v>8224.19799219688</v>
      </c>
    </row>
    <row r="112" customFormat="false" ht="15" hidden="false" customHeight="false" outlineLevel="0" collapsed="false">
      <c r="A112" s="8" t="s">
        <v>162</v>
      </c>
      <c r="B112" s="8" t="s">
        <v>43</v>
      </c>
      <c r="C112" s="9" t="n">
        <v>29883.81</v>
      </c>
      <c r="D112" s="8" t="n">
        <v>192</v>
      </c>
      <c r="E112" s="8" t="n">
        <v>192</v>
      </c>
      <c r="F112" s="10" t="n">
        <f aca="false">IF(D112&gt;=$C$3,E112/D112,"")</f>
        <v>1</v>
      </c>
      <c r="G112" s="8" t="n">
        <v>15</v>
      </c>
      <c r="H112" s="8" t="n">
        <v>15</v>
      </c>
      <c r="I112" s="10" t="n">
        <f aca="false">IF(G112&gt;=$C$3,H112/G112,"")</f>
        <v>1</v>
      </c>
      <c r="J112" s="8" t="n">
        <v>5</v>
      </c>
      <c r="K112" s="8" t="n">
        <v>5</v>
      </c>
      <c r="L112" s="10" t="n">
        <f aca="false">IF(J112&gt;=$C$3,K112/J112,"")</f>
        <v>1</v>
      </c>
      <c r="M112" s="8" t="n">
        <v>27</v>
      </c>
      <c r="N112" s="8" t="n">
        <v>27</v>
      </c>
      <c r="O112" s="10" t="n">
        <f aca="false">IF(M112&gt;=$C$3,N112/M112,"")</f>
        <v>1</v>
      </c>
      <c r="P112" s="8" t="n">
        <v>128</v>
      </c>
      <c r="Q112" s="8" t="n">
        <v>40</v>
      </c>
      <c r="R112" s="10" t="n">
        <f aca="false">IF(P112&gt;=$C$3,Q112/P112,"")</f>
        <v>0.3125</v>
      </c>
      <c r="S112" s="8" t="n">
        <v>12</v>
      </c>
      <c r="T112" s="8" t="n">
        <v>12</v>
      </c>
      <c r="U112" s="10" t="n">
        <f aca="false">IF(S112&gt;=$C$3,T112/S112,"")</f>
        <v>1</v>
      </c>
      <c r="V112" s="8" t="n">
        <v>14</v>
      </c>
      <c r="W112" s="8" t="n">
        <v>14</v>
      </c>
      <c r="X112" s="10" t="n">
        <f aca="false">IF(V112&gt;=$C$3,W112/V112,"")</f>
        <v>1</v>
      </c>
      <c r="Y112" s="8" t="n">
        <f aca="false">COUNT(F112,I112,L112,O112,R112,U112,X112)</f>
        <v>7</v>
      </c>
      <c r="Z112" s="11" t="n">
        <f aca="false">IF(Y112=0,"n/a",AVERAGE(F112,I112,L112,O112,R112,U112,X112))</f>
        <v>0.901785714285714</v>
      </c>
      <c r="AA112" s="12" t="n">
        <f aca="false">IF(Y112=0,"",MIN(F112,I112,L112,O112,R112,U112,X112))</f>
        <v>0.3125</v>
      </c>
      <c r="AB112" s="11" t="n">
        <f aca="false">IF(Y112=0,"",MAX(F112,I112,L112,O112,R112,U112,X112))</f>
        <v>1</v>
      </c>
      <c r="AC112" s="8" t="str">
        <f aca="false">IF(Y112&lt;2,"",IF(AB112-AA112&gt;$F$3,"Review",""))</f>
        <v>Review</v>
      </c>
      <c r="AD112" s="9" t="n">
        <f aca="false">IF(ISNUMBER(Z112),C112*Z112,"")</f>
        <v>26948.7929464286</v>
      </c>
    </row>
    <row r="113" customFormat="false" ht="15" hidden="false" customHeight="false" outlineLevel="0" collapsed="false">
      <c r="A113" s="8" t="s">
        <v>163</v>
      </c>
      <c r="B113" s="8" t="s">
        <v>38</v>
      </c>
      <c r="C113" s="9" t="n">
        <v>8244.44</v>
      </c>
      <c r="D113" s="8" t="n">
        <v>267</v>
      </c>
      <c r="E113" s="8" t="n">
        <v>221</v>
      </c>
      <c r="F113" s="10" t="n">
        <f aca="false">IF(D113&gt;=$C$3,E113/D113,"")</f>
        <v>0.827715355805244</v>
      </c>
      <c r="G113" s="8" t="n">
        <v>48</v>
      </c>
      <c r="H113" s="8" t="n">
        <v>45</v>
      </c>
      <c r="I113" s="10" t="n">
        <f aca="false">IF(G113&gt;=$C$3,H113/G113,"")</f>
        <v>0.9375</v>
      </c>
      <c r="J113" s="8" t="n">
        <v>11</v>
      </c>
      <c r="K113" s="8" t="n">
        <v>8</v>
      </c>
      <c r="L113" s="10" t="n">
        <f aca="false">IF(J113&gt;=$C$3,K113/J113,"")</f>
        <v>0.727272727272727</v>
      </c>
      <c r="M113" s="8" t="n">
        <v>40</v>
      </c>
      <c r="N113" s="8" t="n">
        <v>36</v>
      </c>
      <c r="O113" s="10" t="n">
        <f aca="false">IF(M113&gt;=$C$3,N113/M113,"")</f>
        <v>0.9</v>
      </c>
      <c r="P113" s="8" t="n">
        <v>10</v>
      </c>
      <c r="Q113" s="8" t="n">
        <v>8</v>
      </c>
      <c r="R113" s="10" t="n">
        <f aca="false">IF(P113&gt;=$C$3,Q113/P113,"")</f>
        <v>0.8</v>
      </c>
      <c r="S113" s="8" t="n">
        <v>13</v>
      </c>
      <c r="T113" s="8" t="n">
        <v>10</v>
      </c>
      <c r="U113" s="10" t="n">
        <f aca="false">IF(S113&gt;=$C$3,T113/S113,"")</f>
        <v>0.769230769230769</v>
      </c>
      <c r="V113" s="8" t="n">
        <v>59</v>
      </c>
      <c r="W113" s="8" t="n">
        <v>17</v>
      </c>
      <c r="X113" s="10" t="n">
        <f aca="false">IF(V113&gt;=$C$3,W113/V113,"")</f>
        <v>0.288135593220339</v>
      </c>
      <c r="Y113" s="8" t="n">
        <f aca="false">COUNT(F113,I113,L113,O113,R113,U113,X113)</f>
        <v>7</v>
      </c>
      <c r="Z113" s="11" t="n">
        <f aca="false">IF(Y113=0,"n/a",AVERAGE(F113,I113,L113,O113,R113,U113,X113))</f>
        <v>0.749979206504154</v>
      </c>
      <c r="AA113" s="12" t="n">
        <f aca="false">IF(Y113=0,"",MIN(F113,I113,L113,O113,R113,U113,X113))</f>
        <v>0.288135593220339</v>
      </c>
      <c r="AB113" s="11" t="n">
        <f aca="false">IF(Y113=0,"",MAX(F113,I113,L113,O113,R113,U113,X113))</f>
        <v>0.9375</v>
      </c>
      <c r="AC113" s="8" t="str">
        <f aca="false">IF(Y113&lt;2,"",IF(AB113-AA113&gt;$F$3,"Review",""))</f>
        <v>Review</v>
      </c>
      <c r="AD113" s="9" t="n">
        <f aca="false">IF(ISNUMBER(Z113),C113*Z113,"")</f>
        <v>6183.15856927111</v>
      </c>
    </row>
    <row r="114" customFormat="false" ht="15" hidden="false" customHeight="false" outlineLevel="0" collapsed="false">
      <c r="A114" s="8" t="s">
        <v>164</v>
      </c>
      <c r="B114" s="8" t="s">
        <v>105</v>
      </c>
      <c r="C114" s="9" t="n">
        <v>3113.83</v>
      </c>
      <c r="D114" s="8" t="n">
        <v>96</v>
      </c>
      <c r="E114" s="8" t="n">
        <v>95</v>
      </c>
      <c r="F114" s="10" t="n">
        <f aca="false">IF(D114&gt;=$C$3,E114/D114,"")</f>
        <v>0.989583333333333</v>
      </c>
      <c r="G114" s="8" t="n">
        <v>9</v>
      </c>
      <c r="H114" s="8" t="n">
        <v>8</v>
      </c>
      <c r="I114" s="10" t="n">
        <f aca="false">IF(G114&gt;=$C$3,H114/G114,"")</f>
        <v>0.888888888888889</v>
      </c>
      <c r="J114" s="8" t="n">
        <v>2</v>
      </c>
      <c r="K114" s="8" t="n">
        <v>1</v>
      </c>
      <c r="L114" s="10" t="str">
        <f aca="false">IF(J114&gt;=$C$3,K114/J114,"")</f>
        <v/>
      </c>
      <c r="M114" s="8" t="n">
        <v>18</v>
      </c>
      <c r="N114" s="8" t="n">
        <v>17</v>
      </c>
      <c r="O114" s="10" t="n">
        <f aca="false">IF(M114&gt;=$C$3,N114/M114,"")</f>
        <v>0.944444444444444</v>
      </c>
      <c r="P114" s="8" t="n">
        <v>9</v>
      </c>
      <c r="Q114" s="8" t="n">
        <v>8</v>
      </c>
      <c r="R114" s="10" t="n">
        <f aca="false">IF(P114&gt;=$C$3,Q114/P114,"")</f>
        <v>0.888888888888889</v>
      </c>
      <c r="S114" s="8" t="n">
        <v>4</v>
      </c>
      <c r="T114" s="8" t="n">
        <v>3</v>
      </c>
      <c r="U114" s="10" t="n">
        <f aca="false">IF(S114&gt;=$C$3,T114/S114,"")</f>
        <v>0.75</v>
      </c>
      <c r="V114" s="8" t="n">
        <v>16</v>
      </c>
      <c r="W114" s="8" t="n">
        <v>15</v>
      </c>
      <c r="X114" s="10" t="n">
        <f aca="false">IF(V114&gt;=$C$3,W114/V114,"")</f>
        <v>0.9375</v>
      </c>
      <c r="Y114" s="8" t="n">
        <f aca="false">COUNT(F114,I114,L114,O114,R114,U114,X114)</f>
        <v>6</v>
      </c>
      <c r="Z114" s="11" t="n">
        <f aca="false">IF(Y114=0,"n/a",AVERAGE(F114,I114,L114,O114,R114,U114,X114))</f>
        <v>0.899884259259259</v>
      </c>
      <c r="AA114" s="12" t="n">
        <f aca="false">IF(Y114=0,"",MIN(F114,I114,L114,O114,R114,U114,X114))</f>
        <v>0.75</v>
      </c>
      <c r="AB114" s="11" t="n">
        <f aca="false">IF(Y114=0,"",MAX(F114,I114,L114,O114,R114,U114,X114))</f>
        <v>0.989583333333333</v>
      </c>
      <c r="AC114" s="8" t="str">
        <f aca="false">IF(Y114&lt;2,"",IF(AB114-AA114&gt;$F$3,"Review",""))</f>
        <v/>
      </c>
      <c r="AD114" s="9" t="n">
        <f aca="false">IF(ISNUMBER(Z114),C114*Z114,"")</f>
        <v>2802.08660300926</v>
      </c>
    </row>
    <row r="115" customFormat="false" ht="15" hidden="false" customHeight="false" outlineLevel="0" collapsed="false">
      <c r="A115" s="8" t="s">
        <v>165</v>
      </c>
      <c r="B115" s="8" t="s">
        <v>69</v>
      </c>
      <c r="C115" s="9" t="n">
        <v>140084.73</v>
      </c>
      <c r="D115" s="8" t="n">
        <v>665</v>
      </c>
      <c r="E115" s="8" t="n">
        <v>254</v>
      </c>
      <c r="F115" s="10" t="n">
        <f aca="false">IF(D115&gt;=$C$3,E115/D115,"")</f>
        <v>0.381954887218045</v>
      </c>
      <c r="G115" s="8" t="n">
        <v>54</v>
      </c>
      <c r="H115" s="8" t="n">
        <v>16</v>
      </c>
      <c r="I115" s="10" t="n">
        <f aca="false">IF(G115&gt;=$C$3,H115/G115,"")</f>
        <v>0.296296296296296</v>
      </c>
      <c r="J115" s="8" t="n">
        <v>39</v>
      </c>
      <c r="K115" s="8" t="n">
        <v>5</v>
      </c>
      <c r="L115" s="10" t="n">
        <f aca="false">IF(J115&gt;=$C$3,K115/J115,"")</f>
        <v>0.128205128205128</v>
      </c>
      <c r="M115" s="8" t="n">
        <v>80</v>
      </c>
      <c r="N115" s="8" t="n">
        <v>10</v>
      </c>
      <c r="O115" s="10" t="n">
        <f aca="false">IF(M115&gt;=$C$3,N115/M115,"")</f>
        <v>0.125</v>
      </c>
      <c r="P115" s="8" t="n">
        <v>66</v>
      </c>
      <c r="Q115" s="8" t="n">
        <v>16</v>
      </c>
      <c r="R115" s="10" t="n">
        <f aca="false">IF(P115&gt;=$C$3,Q115/P115,"")</f>
        <v>0.242424242424242</v>
      </c>
      <c r="S115" s="8" t="n">
        <v>60</v>
      </c>
      <c r="T115" s="8" t="n">
        <v>14</v>
      </c>
      <c r="U115" s="10" t="n">
        <f aca="false">IF(S115&gt;=$C$3,T115/S115,"")</f>
        <v>0.233333333333333</v>
      </c>
      <c r="V115" s="8" t="n">
        <v>45</v>
      </c>
      <c r="W115" s="8" t="n">
        <v>16</v>
      </c>
      <c r="X115" s="10" t="n">
        <f aca="false">IF(V115&gt;=$C$3,W115/V115,"")</f>
        <v>0.355555555555556</v>
      </c>
      <c r="Y115" s="8" t="n">
        <f aca="false">COUNT(F115,I115,L115,O115,R115,U115,X115)</f>
        <v>7</v>
      </c>
      <c r="Z115" s="11" t="n">
        <f aca="false">IF(Y115=0,"n/a",AVERAGE(F115,I115,L115,O115,R115,U115,X115))</f>
        <v>0.251824206147514</v>
      </c>
      <c r="AA115" s="12" t="n">
        <f aca="false">IF(Y115=0,"",MIN(F115,I115,L115,O115,R115,U115,X115))</f>
        <v>0.125</v>
      </c>
      <c r="AB115" s="11" t="n">
        <f aca="false">IF(Y115=0,"",MAX(F115,I115,L115,O115,R115,U115,X115))</f>
        <v>0.381954887218045</v>
      </c>
      <c r="AC115" s="8" t="str">
        <f aca="false">IF(Y115&lt;2,"",IF(AB115-AA115&gt;$F$3,"Review",""))</f>
        <v/>
      </c>
      <c r="AD115" s="9" t="n">
        <f aca="false">IF(ISNUMBER(Z115),C115*Z115,"")</f>
        <v>35276.7259256389</v>
      </c>
    </row>
    <row r="116" customFormat="false" ht="15" hidden="false" customHeight="false" outlineLevel="0" collapsed="false">
      <c r="A116" s="8" t="s">
        <v>166</v>
      </c>
      <c r="B116" s="8" t="s">
        <v>167</v>
      </c>
      <c r="C116" s="9" t="n">
        <v>6450.54</v>
      </c>
      <c r="D116" s="8" t="n">
        <v>78</v>
      </c>
      <c r="E116" s="8" t="n">
        <v>47</v>
      </c>
      <c r="F116" s="10" t="n">
        <f aca="false">IF(D116&gt;=$C$3,E116/D116,"")</f>
        <v>0.602564102564103</v>
      </c>
      <c r="G116" s="8" t="n">
        <v>3</v>
      </c>
      <c r="H116" s="8" t="n">
        <v>1</v>
      </c>
      <c r="I116" s="10" t="n">
        <f aca="false">IF(G116&gt;=$C$3,H116/G116,"")</f>
        <v>0.333333333333333</v>
      </c>
      <c r="J116" s="8" t="n">
        <v>0</v>
      </c>
      <c r="K116" s="8" t="n">
        <v>0</v>
      </c>
      <c r="L116" s="10" t="str">
        <f aca="false">IF(J116&gt;=$C$3,K116/J116,"")</f>
        <v/>
      </c>
      <c r="M116" s="8" t="n">
        <v>0</v>
      </c>
      <c r="N116" s="8" t="n">
        <v>0</v>
      </c>
      <c r="O116" s="10" t="str">
        <f aca="false">IF(M116&gt;=$C$3,N116/M116,"")</f>
        <v/>
      </c>
      <c r="P116" s="8" t="n">
        <v>0</v>
      </c>
      <c r="Q116" s="8" t="n">
        <v>0</v>
      </c>
      <c r="R116" s="10" t="str">
        <f aca="false">IF(P116&gt;=$C$3,Q116/P116,"")</f>
        <v/>
      </c>
      <c r="S116" s="8" t="n">
        <v>1</v>
      </c>
      <c r="T116" s="8" t="n">
        <v>1</v>
      </c>
      <c r="U116" s="10" t="str">
        <f aca="false">IF(S116&gt;=$C$3,T116/S116,"")</f>
        <v/>
      </c>
      <c r="V116" s="8" t="n">
        <v>29</v>
      </c>
      <c r="W116" s="8" t="n">
        <v>12</v>
      </c>
      <c r="X116" s="10" t="n">
        <f aca="false">IF(V116&gt;=$C$3,W116/V116,"")</f>
        <v>0.413793103448276</v>
      </c>
      <c r="Y116" s="8" t="n">
        <f aca="false">COUNT(F116,I116,L116,O116,R116,U116,X116)</f>
        <v>3</v>
      </c>
      <c r="Z116" s="11" t="n">
        <f aca="false">IF(Y116=0,"n/a",AVERAGE(F116,I116,L116,O116,R116,U116,X116))</f>
        <v>0.449896846448571</v>
      </c>
      <c r="AA116" s="12" t="n">
        <f aca="false">IF(Y116=0,"",MIN(F116,I116,L116,O116,R116,U116,X116))</f>
        <v>0.333333333333333</v>
      </c>
      <c r="AB116" s="11" t="n">
        <f aca="false">IF(Y116=0,"",MAX(F116,I116,L116,O116,R116,U116,X116))</f>
        <v>0.602564102564103</v>
      </c>
      <c r="AC116" s="8" t="str">
        <f aca="false">IF(Y116&lt;2,"",IF(AB116-AA116&gt;$F$3,"Review",""))</f>
        <v/>
      </c>
      <c r="AD116" s="9" t="n">
        <f aca="false">IF(ISNUMBER(Z116),C116*Z116,"")</f>
        <v>2902.07760389036</v>
      </c>
    </row>
    <row r="117" customFormat="false" ht="15" hidden="false" customHeight="false" outlineLevel="0" collapsed="false">
      <c r="A117" s="8" t="s">
        <v>168</v>
      </c>
      <c r="B117" s="8" t="s">
        <v>105</v>
      </c>
      <c r="C117" s="9" t="n">
        <v>22355.46</v>
      </c>
      <c r="D117" s="8" t="n">
        <v>48</v>
      </c>
      <c r="E117" s="8" t="n">
        <v>48</v>
      </c>
      <c r="F117" s="10" t="n">
        <f aca="false">IF(D117&gt;=$C$3,E117/D117,"")</f>
        <v>1</v>
      </c>
      <c r="G117" s="8" t="n">
        <v>9</v>
      </c>
      <c r="H117" s="8" t="n">
        <v>9</v>
      </c>
      <c r="I117" s="10" t="n">
        <f aca="false">IF(G117&gt;=$C$3,H117/G117,"")</f>
        <v>1</v>
      </c>
      <c r="J117" s="8" t="n">
        <v>8</v>
      </c>
      <c r="K117" s="8" t="n">
        <v>8</v>
      </c>
      <c r="L117" s="10" t="n">
        <f aca="false">IF(J117&gt;=$C$3,K117/J117,"")</f>
        <v>1</v>
      </c>
      <c r="M117" s="8" t="n">
        <v>6</v>
      </c>
      <c r="N117" s="8" t="n">
        <v>6</v>
      </c>
      <c r="O117" s="10" t="n">
        <f aca="false">IF(M117&gt;=$C$3,N117/M117,"")</f>
        <v>1</v>
      </c>
      <c r="P117" s="8" t="n">
        <v>6</v>
      </c>
      <c r="Q117" s="8" t="n">
        <v>6</v>
      </c>
      <c r="R117" s="10" t="n">
        <f aca="false">IF(P117&gt;=$C$3,Q117/P117,"")</f>
        <v>1</v>
      </c>
      <c r="S117" s="8" t="n">
        <v>8</v>
      </c>
      <c r="T117" s="8" t="n">
        <v>8</v>
      </c>
      <c r="U117" s="10" t="n">
        <f aca="false">IF(S117&gt;=$C$3,T117/S117,"")</f>
        <v>1</v>
      </c>
      <c r="V117" s="8" t="n">
        <v>10</v>
      </c>
      <c r="W117" s="8" t="n">
        <v>9</v>
      </c>
      <c r="X117" s="10" t="n">
        <f aca="false">IF(V117&gt;=$C$3,W117/V117,"")</f>
        <v>0.9</v>
      </c>
      <c r="Y117" s="8" t="n">
        <f aca="false">COUNT(F117,I117,L117,O117,R117,U117,X117)</f>
        <v>7</v>
      </c>
      <c r="Z117" s="11" t="n">
        <f aca="false">IF(Y117=0,"n/a",AVERAGE(F117,I117,L117,O117,R117,U117,X117))</f>
        <v>0.985714285714286</v>
      </c>
      <c r="AA117" s="12" t="n">
        <f aca="false">IF(Y117=0,"",MIN(F117,I117,L117,O117,R117,U117,X117))</f>
        <v>0.9</v>
      </c>
      <c r="AB117" s="11" t="n">
        <f aca="false">IF(Y117=0,"",MAX(F117,I117,L117,O117,R117,U117,X117))</f>
        <v>1</v>
      </c>
      <c r="AC117" s="8" t="str">
        <f aca="false">IF(Y117&lt;2,"",IF(AB117-AA117&gt;$F$3,"Review",""))</f>
        <v/>
      </c>
      <c r="AD117" s="9" t="n">
        <f aca="false">IF(ISNUMBER(Z117),C117*Z117,"")</f>
        <v>22036.0962857143</v>
      </c>
    </row>
    <row r="118" customFormat="false" ht="15" hidden="false" customHeight="false" outlineLevel="0" collapsed="false">
      <c r="A118" s="8" t="s">
        <v>169</v>
      </c>
      <c r="B118" s="8" t="s">
        <v>31</v>
      </c>
      <c r="C118" s="9" t="n">
        <v>2202.64</v>
      </c>
      <c r="D118" s="8" t="n">
        <v>17</v>
      </c>
      <c r="E118" s="8" t="n">
        <v>17</v>
      </c>
      <c r="F118" s="10" t="n">
        <f aca="false">IF(D118&gt;=$C$3,E118/D118,"")</f>
        <v>1</v>
      </c>
      <c r="G118" s="8" t="n">
        <v>2</v>
      </c>
      <c r="H118" s="8" t="n">
        <v>2</v>
      </c>
      <c r="I118" s="10" t="str">
        <f aca="false">IF(G118&gt;=$C$3,H118/G118,"")</f>
        <v/>
      </c>
      <c r="J118" s="8" t="n">
        <v>2</v>
      </c>
      <c r="K118" s="8" t="n">
        <v>2</v>
      </c>
      <c r="L118" s="10" t="str">
        <f aca="false">IF(J118&gt;=$C$3,K118/J118,"")</f>
        <v/>
      </c>
      <c r="M118" s="8" t="n">
        <v>2</v>
      </c>
      <c r="N118" s="8" t="n">
        <v>2</v>
      </c>
      <c r="O118" s="10" t="str">
        <f aca="false">IF(M118&gt;=$C$3,N118/M118,"")</f>
        <v/>
      </c>
      <c r="P118" s="8" t="n">
        <v>0</v>
      </c>
      <c r="Q118" s="8" t="n">
        <v>0</v>
      </c>
      <c r="R118" s="10" t="str">
        <f aca="false">IF(P118&gt;=$C$3,Q118/P118,"")</f>
        <v/>
      </c>
      <c r="S118" s="8" t="n">
        <v>0</v>
      </c>
      <c r="T118" s="8" t="n">
        <v>0</v>
      </c>
      <c r="U118" s="10" t="str">
        <f aca="false">IF(S118&gt;=$C$3,T118/S118,"")</f>
        <v/>
      </c>
      <c r="V118" s="8" t="n">
        <v>6</v>
      </c>
      <c r="W118" s="8" t="n">
        <v>3</v>
      </c>
      <c r="X118" s="10" t="n">
        <f aca="false">IF(V118&gt;=$C$3,W118/V118,"")</f>
        <v>0.5</v>
      </c>
      <c r="Y118" s="8" t="n">
        <f aca="false">COUNT(F118,I118,L118,O118,R118,U118,X118)</f>
        <v>2</v>
      </c>
      <c r="Z118" s="11" t="n">
        <f aca="false">IF(Y118=0,"n/a",AVERAGE(F118,I118,L118,O118,R118,U118,X118))</f>
        <v>0.75</v>
      </c>
      <c r="AA118" s="12" t="n">
        <f aca="false">IF(Y118=0,"",MIN(F118,I118,L118,O118,R118,U118,X118))</f>
        <v>0.5</v>
      </c>
      <c r="AB118" s="11" t="n">
        <f aca="false">IF(Y118=0,"",MAX(F118,I118,L118,O118,R118,U118,X118))</f>
        <v>1</v>
      </c>
      <c r="AC118" s="8" t="str">
        <f aca="false">IF(Y118&lt;2,"",IF(AB118-AA118&gt;$F$3,"Review",""))</f>
        <v/>
      </c>
      <c r="AD118" s="9" t="n">
        <f aca="false">IF(ISNUMBER(Z118),C118*Z118,"")</f>
        <v>1651.98</v>
      </c>
    </row>
    <row r="119" customFormat="false" ht="15" hidden="false" customHeight="false" outlineLevel="0" collapsed="false">
      <c r="A119" s="8" t="s">
        <v>170</v>
      </c>
      <c r="B119" s="8" t="s">
        <v>29</v>
      </c>
      <c r="C119" s="9" t="n">
        <v>49365.77</v>
      </c>
      <c r="D119" s="8" t="n">
        <v>649</v>
      </c>
      <c r="E119" s="8" t="n">
        <v>87</v>
      </c>
      <c r="F119" s="10" t="n">
        <f aca="false">IF(D119&gt;=$C$3,E119/D119,"")</f>
        <v>0.134052388289676</v>
      </c>
      <c r="G119" s="8" t="n">
        <v>234</v>
      </c>
      <c r="H119" s="8" t="n">
        <v>8</v>
      </c>
      <c r="I119" s="10" t="n">
        <f aca="false">IF(G119&gt;=$C$3,H119/G119,"")</f>
        <v>0.0341880341880342</v>
      </c>
      <c r="J119" s="8" t="n">
        <v>50</v>
      </c>
      <c r="K119" s="8" t="n">
        <v>5</v>
      </c>
      <c r="L119" s="10" t="n">
        <f aca="false">IF(J119&gt;=$C$3,K119/J119,"")</f>
        <v>0.1</v>
      </c>
      <c r="M119" s="8" t="n">
        <v>180</v>
      </c>
      <c r="N119" s="8" t="n">
        <v>9</v>
      </c>
      <c r="O119" s="10" t="n">
        <f aca="false">IF(M119&gt;=$C$3,N119/M119,"")</f>
        <v>0.05</v>
      </c>
      <c r="P119" s="8" t="n">
        <v>62</v>
      </c>
      <c r="Q119" s="8" t="n">
        <v>9</v>
      </c>
      <c r="R119" s="10" t="n">
        <f aca="false">IF(P119&gt;=$C$3,Q119/P119,"")</f>
        <v>0.145161290322581</v>
      </c>
      <c r="S119" s="8" t="n">
        <v>18</v>
      </c>
      <c r="T119" s="8" t="n">
        <v>5</v>
      </c>
      <c r="U119" s="10" t="n">
        <f aca="false">IF(S119&gt;=$C$3,T119/S119,"")</f>
        <v>0.277777777777778</v>
      </c>
      <c r="V119" s="8" t="n">
        <v>482</v>
      </c>
      <c r="W119" s="8" t="n">
        <v>32</v>
      </c>
      <c r="X119" s="10" t="n">
        <f aca="false">IF(V119&gt;=$C$3,W119/V119,"")</f>
        <v>0.0663900414937759</v>
      </c>
      <c r="Y119" s="8" t="n">
        <f aca="false">COUNT(F119,I119,L119,O119,R119,U119,X119)</f>
        <v>7</v>
      </c>
      <c r="Z119" s="11" t="n">
        <f aca="false">IF(Y119=0,"n/a",AVERAGE(F119,I119,L119,O119,R119,U119,X119))</f>
        <v>0.115367076010264</v>
      </c>
      <c r="AA119" s="12" t="n">
        <f aca="false">IF(Y119=0,"",MIN(F119,I119,L119,O119,R119,U119,X119))</f>
        <v>0.0341880341880342</v>
      </c>
      <c r="AB119" s="11" t="n">
        <f aca="false">IF(Y119=0,"",MAX(F119,I119,L119,O119,R119,U119,X119))</f>
        <v>0.277777777777778</v>
      </c>
      <c r="AC119" s="8" t="str">
        <f aca="false">IF(Y119&lt;2,"",IF(AB119-AA119&gt;$F$3,"Review",""))</f>
        <v/>
      </c>
      <c r="AD119" s="9" t="n">
        <f aca="false">IF(ISNUMBER(Z119),C119*Z119,"")</f>
        <v>5695.18453989519</v>
      </c>
    </row>
    <row r="120" customFormat="false" ht="15" hidden="false" customHeight="false" outlineLevel="0" collapsed="false">
      <c r="A120" s="8" t="s">
        <v>171</v>
      </c>
      <c r="B120" s="8" t="s">
        <v>45</v>
      </c>
      <c r="C120" s="9" t="n">
        <v>6050.02</v>
      </c>
      <c r="D120" s="8" t="n">
        <v>65</v>
      </c>
      <c r="E120" s="8" t="n">
        <v>32</v>
      </c>
      <c r="F120" s="10" t="n">
        <f aca="false">IF(D120&gt;=$C$3,E120/D120,"")</f>
        <v>0.492307692307692</v>
      </c>
      <c r="G120" s="8" t="n">
        <v>18</v>
      </c>
      <c r="H120" s="8" t="n">
        <v>4</v>
      </c>
      <c r="I120" s="10" t="n">
        <f aca="false">IF(G120&gt;=$C$3,H120/G120,"")</f>
        <v>0.222222222222222</v>
      </c>
      <c r="J120" s="8" t="n">
        <v>7</v>
      </c>
      <c r="K120" s="8" t="n">
        <v>2</v>
      </c>
      <c r="L120" s="10" t="n">
        <f aca="false">IF(J120&gt;=$C$3,K120/J120,"")</f>
        <v>0.285714285714286</v>
      </c>
      <c r="M120" s="8" t="n">
        <v>8</v>
      </c>
      <c r="N120" s="8" t="n">
        <v>4</v>
      </c>
      <c r="O120" s="10" t="n">
        <f aca="false">IF(M120&gt;=$C$3,N120/M120,"")</f>
        <v>0.5</v>
      </c>
      <c r="P120" s="8" t="n">
        <v>8</v>
      </c>
      <c r="Q120" s="8" t="n">
        <v>3</v>
      </c>
      <c r="R120" s="10" t="n">
        <f aca="false">IF(P120&gt;=$C$3,Q120/P120,"")</f>
        <v>0.375</v>
      </c>
      <c r="S120" s="8" t="n">
        <v>2</v>
      </c>
      <c r="T120" s="8" t="n">
        <v>1</v>
      </c>
      <c r="U120" s="10" t="str">
        <f aca="false">IF(S120&gt;=$C$3,T120/S120,"")</f>
        <v/>
      </c>
      <c r="V120" s="8" t="n">
        <v>17</v>
      </c>
      <c r="W120" s="8" t="n">
        <v>2</v>
      </c>
      <c r="X120" s="10" t="n">
        <f aca="false">IF(V120&gt;=$C$3,W120/V120,"")</f>
        <v>0.117647058823529</v>
      </c>
      <c r="Y120" s="8" t="n">
        <f aca="false">COUNT(F120,I120,L120,O120,R120,U120,X120)</f>
        <v>6</v>
      </c>
      <c r="Z120" s="11" t="n">
        <f aca="false">IF(Y120=0,"n/a",AVERAGE(F120,I120,L120,O120,R120,U120,X120))</f>
        <v>0.332148543177955</v>
      </c>
      <c r="AA120" s="12" t="n">
        <f aca="false">IF(Y120=0,"",MIN(F120,I120,L120,O120,R120,U120,X120))</f>
        <v>0.117647058823529</v>
      </c>
      <c r="AB120" s="11" t="n">
        <f aca="false">IF(Y120=0,"",MAX(F120,I120,L120,O120,R120,U120,X120))</f>
        <v>0.5</v>
      </c>
      <c r="AC120" s="8" t="str">
        <f aca="false">IF(Y120&lt;2,"",IF(AB120-AA120&gt;$F$3,"Review",""))</f>
        <v/>
      </c>
      <c r="AD120" s="9" t="n">
        <f aca="false">IF(ISNUMBER(Z120),C120*Z120,"")</f>
        <v>2009.50532919749</v>
      </c>
    </row>
    <row r="121" customFormat="false" ht="15" hidden="false" customHeight="false" outlineLevel="0" collapsed="false">
      <c r="A121" s="8" t="s">
        <v>172</v>
      </c>
      <c r="B121" s="8" t="s">
        <v>36</v>
      </c>
      <c r="C121" s="9" t="n">
        <v>5770.02</v>
      </c>
      <c r="D121" s="8" t="n">
        <v>111</v>
      </c>
      <c r="E121" s="8" t="n">
        <v>100</v>
      </c>
      <c r="F121" s="10" t="n">
        <f aca="false">IF(D121&gt;=$C$3,E121/D121,"")</f>
        <v>0.900900900900901</v>
      </c>
      <c r="G121" s="8" t="n">
        <v>7</v>
      </c>
      <c r="H121" s="8" t="n">
        <v>4</v>
      </c>
      <c r="I121" s="10" t="n">
        <f aca="false">IF(G121&gt;=$C$3,H121/G121,"")</f>
        <v>0.571428571428571</v>
      </c>
      <c r="J121" s="8" t="n">
        <v>0</v>
      </c>
      <c r="K121" s="8" t="n">
        <v>0</v>
      </c>
      <c r="L121" s="10" t="str">
        <f aca="false">IF(J121&gt;=$C$3,K121/J121,"")</f>
        <v/>
      </c>
      <c r="M121" s="8" t="n">
        <v>191</v>
      </c>
      <c r="N121" s="8" t="n">
        <v>4</v>
      </c>
      <c r="O121" s="10" t="n">
        <f aca="false">IF(M121&gt;=$C$3,N121/M121,"")</f>
        <v>0.0209424083769634</v>
      </c>
      <c r="P121" s="8" t="n">
        <v>2</v>
      </c>
      <c r="Q121" s="8" t="n">
        <v>2</v>
      </c>
      <c r="R121" s="10" t="str">
        <f aca="false">IF(P121&gt;=$C$3,Q121/P121,"")</f>
        <v/>
      </c>
      <c r="S121" s="8" t="n">
        <v>76</v>
      </c>
      <c r="T121" s="8" t="n">
        <v>5</v>
      </c>
      <c r="U121" s="10" t="n">
        <f aca="false">IF(S121&gt;=$C$3,T121/S121,"")</f>
        <v>0.0657894736842105</v>
      </c>
      <c r="V121" s="8" t="n">
        <v>23</v>
      </c>
      <c r="W121" s="8" t="n">
        <v>18</v>
      </c>
      <c r="X121" s="10" t="n">
        <f aca="false">IF(V121&gt;=$C$3,W121/V121,"")</f>
        <v>0.782608695652174</v>
      </c>
      <c r="Y121" s="8" t="n">
        <f aca="false">COUNT(F121,I121,L121,O121,R121,U121,X121)</f>
        <v>5</v>
      </c>
      <c r="Z121" s="11" t="n">
        <f aca="false">IF(Y121=0,"n/a",AVERAGE(F121,I121,L121,O121,R121,U121,X121))</f>
        <v>0.468334010008564</v>
      </c>
      <c r="AA121" s="12" t="n">
        <f aca="false">IF(Y121=0,"",MIN(F121,I121,L121,O121,R121,U121,X121))</f>
        <v>0.0209424083769634</v>
      </c>
      <c r="AB121" s="11" t="n">
        <f aca="false">IF(Y121=0,"",MAX(F121,I121,L121,O121,R121,U121,X121))</f>
        <v>0.900900900900901</v>
      </c>
      <c r="AC121" s="8" t="str">
        <f aca="false">IF(Y121&lt;2,"",IF(AB121-AA121&gt;$F$3,"Review",""))</f>
        <v>Review</v>
      </c>
      <c r="AD121" s="9" t="n">
        <f aca="false">IF(ISNUMBER(Z121),C121*Z121,"")</f>
        <v>2702.29660442962</v>
      </c>
    </row>
    <row r="122" customFormat="false" ht="15" hidden="false" customHeight="false" outlineLevel="0" collapsed="false">
      <c r="A122" s="8" t="s">
        <v>173</v>
      </c>
      <c r="B122" s="8" t="s">
        <v>31</v>
      </c>
      <c r="C122" s="9" t="n">
        <v>32204.47</v>
      </c>
      <c r="D122" s="8" t="n">
        <v>271</v>
      </c>
      <c r="E122" s="8" t="n">
        <v>271</v>
      </c>
      <c r="F122" s="10" t="n">
        <f aca="false">IF(D122&gt;=$C$3,E122/D122,"")</f>
        <v>1</v>
      </c>
      <c r="G122" s="8" t="n">
        <v>68</v>
      </c>
      <c r="H122" s="8" t="n">
        <v>68</v>
      </c>
      <c r="I122" s="10" t="n">
        <f aca="false">IF(G122&gt;=$C$3,H122/G122,"")</f>
        <v>1</v>
      </c>
      <c r="J122" s="8" t="n">
        <v>16</v>
      </c>
      <c r="K122" s="8" t="n">
        <v>16</v>
      </c>
      <c r="L122" s="10" t="n">
        <f aca="false">IF(J122&gt;=$C$3,K122/J122,"")</f>
        <v>1</v>
      </c>
      <c r="M122" s="8" t="n">
        <v>15</v>
      </c>
      <c r="N122" s="8" t="n">
        <v>15</v>
      </c>
      <c r="O122" s="10" t="n">
        <f aca="false">IF(M122&gt;=$C$3,N122/M122,"")</f>
        <v>1</v>
      </c>
      <c r="P122" s="8" t="n">
        <v>15</v>
      </c>
      <c r="Q122" s="8" t="n">
        <v>15</v>
      </c>
      <c r="R122" s="10" t="n">
        <f aca="false">IF(P122&gt;=$C$3,Q122/P122,"")</f>
        <v>1</v>
      </c>
      <c r="S122" s="8" t="n">
        <v>15</v>
      </c>
      <c r="T122" s="8" t="n">
        <v>15</v>
      </c>
      <c r="U122" s="10" t="n">
        <f aca="false">IF(S122&gt;=$C$3,T122/S122,"")</f>
        <v>1</v>
      </c>
      <c r="V122" s="8" t="n">
        <v>40</v>
      </c>
      <c r="W122" s="8" t="n">
        <v>40</v>
      </c>
      <c r="X122" s="10" t="n">
        <f aca="false">IF(V122&gt;=$C$3,W122/V122,"")</f>
        <v>1</v>
      </c>
      <c r="Y122" s="8" t="n">
        <f aca="false">COUNT(F122,I122,L122,O122,R122,U122,X122)</f>
        <v>7</v>
      </c>
      <c r="Z122" s="11" t="n">
        <f aca="false">IF(Y122=0,"n/a",AVERAGE(F122,I122,L122,O122,R122,U122,X122))</f>
        <v>1</v>
      </c>
      <c r="AA122" s="12" t="n">
        <f aca="false">IF(Y122=0,"",MIN(F122,I122,L122,O122,R122,U122,X122))</f>
        <v>1</v>
      </c>
      <c r="AB122" s="11" t="n">
        <f aca="false">IF(Y122=0,"",MAX(F122,I122,L122,O122,R122,U122,X122))</f>
        <v>1</v>
      </c>
      <c r="AC122" s="8" t="str">
        <f aca="false">IF(Y122&lt;2,"",IF(AB122-AA122&gt;$F$3,"Review",""))</f>
        <v/>
      </c>
      <c r="AD122" s="9" t="n">
        <f aca="false">IF(ISNUMBER(Z122),C122*Z122,"")</f>
        <v>32204.47</v>
      </c>
    </row>
    <row r="123" customFormat="false" ht="15" hidden="false" customHeight="false" outlineLevel="0" collapsed="false">
      <c r="A123" s="8" t="s">
        <v>174</v>
      </c>
      <c r="B123" s="8" t="s">
        <v>105</v>
      </c>
      <c r="C123" s="9" t="n">
        <v>7904.67</v>
      </c>
      <c r="D123" s="8" t="n">
        <v>91</v>
      </c>
      <c r="E123" s="8" t="n">
        <v>91</v>
      </c>
      <c r="F123" s="10" t="n">
        <f aca="false">IF(D123&gt;=$C$3,E123/D123,"")</f>
        <v>1</v>
      </c>
      <c r="G123" s="8" t="n">
        <v>8</v>
      </c>
      <c r="H123" s="8" t="n">
        <v>8</v>
      </c>
      <c r="I123" s="10" t="n">
        <f aca="false">IF(G123&gt;=$C$3,H123/G123,"")</f>
        <v>1</v>
      </c>
      <c r="J123" s="8" t="n">
        <v>2</v>
      </c>
      <c r="K123" s="8" t="n">
        <v>2</v>
      </c>
      <c r="L123" s="10" t="str">
        <f aca="false">IF(J123&gt;=$C$3,K123/J123,"")</f>
        <v/>
      </c>
      <c r="M123" s="8" t="n">
        <v>7</v>
      </c>
      <c r="N123" s="8" t="n">
        <v>7</v>
      </c>
      <c r="O123" s="10" t="n">
        <f aca="false">IF(M123&gt;=$C$3,N123/M123,"")</f>
        <v>1</v>
      </c>
      <c r="P123" s="8" t="n">
        <v>2</v>
      </c>
      <c r="Q123" s="8" t="n">
        <v>2</v>
      </c>
      <c r="R123" s="10" t="str">
        <f aca="false">IF(P123&gt;=$C$3,Q123/P123,"")</f>
        <v/>
      </c>
      <c r="S123" s="8" t="n">
        <v>2</v>
      </c>
      <c r="T123" s="8" t="n">
        <v>2</v>
      </c>
      <c r="U123" s="10" t="str">
        <f aca="false">IF(S123&gt;=$C$3,T123/S123,"")</f>
        <v/>
      </c>
      <c r="V123" s="8" t="n">
        <v>10</v>
      </c>
      <c r="W123" s="8" t="n">
        <v>10</v>
      </c>
      <c r="X123" s="10" t="n">
        <f aca="false">IF(V123&gt;=$C$3,W123/V123,"")</f>
        <v>1</v>
      </c>
      <c r="Y123" s="8" t="n">
        <f aca="false">COUNT(F123,I123,L123,O123,R123,U123,X123)</f>
        <v>4</v>
      </c>
      <c r="Z123" s="11" t="n">
        <f aca="false">IF(Y123=0,"n/a",AVERAGE(F123,I123,L123,O123,R123,U123,X123))</f>
        <v>1</v>
      </c>
      <c r="AA123" s="12" t="n">
        <f aca="false">IF(Y123=0,"",MIN(F123,I123,L123,O123,R123,U123,X123))</f>
        <v>1</v>
      </c>
      <c r="AB123" s="11" t="n">
        <f aca="false">IF(Y123=0,"",MAX(F123,I123,L123,O123,R123,U123,X123))</f>
        <v>1</v>
      </c>
      <c r="AC123" s="8" t="str">
        <f aca="false">IF(Y123&lt;2,"",IF(AB123-AA123&gt;$F$3,"Review",""))</f>
        <v/>
      </c>
      <c r="AD123" s="9" t="n">
        <f aca="false">IF(ISNUMBER(Z123),C123*Z123,"")</f>
        <v>7904.67</v>
      </c>
    </row>
    <row r="124" customFormat="false" ht="15" hidden="false" customHeight="false" outlineLevel="0" collapsed="false">
      <c r="A124" s="8" t="s">
        <v>175</v>
      </c>
      <c r="B124" s="8" t="s">
        <v>54</v>
      </c>
      <c r="C124" s="9" t="n">
        <v>22018.81</v>
      </c>
      <c r="D124" s="8" t="n">
        <v>238</v>
      </c>
      <c r="E124" s="8" t="n">
        <v>38</v>
      </c>
      <c r="F124" s="10" t="n">
        <f aca="false">IF(D124&gt;=$C$3,E124/D124,"")</f>
        <v>0.159663865546218</v>
      </c>
      <c r="G124" s="8" t="n">
        <v>38</v>
      </c>
      <c r="H124" s="8" t="n">
        <v>3</v>
      </c>
      <c r="I124" s="10" t="n">
        <f aca="false">IF(G124&gt;=$C$3,H124/G124,"")</f>
        <v>0.0789473684210526</v>
      </c>
      <c r="J124" s="8" t="n">
        <v>12</v>
      </c>
      <c r="K124" s="8" t="n">
        <v>2</v>
      </c>
      <c r="L124" s="10" t="n">
        <f aca="false">IF(J124&gt;=$C$3,K124/J124,"")</f>
        <v>0.166666666666667</v>
      </c>
      <c r="M124" s="8" t="n">
        <v>27</v>
      </c>
      <c r="N124" s="8" t="n">
        <v>3</v>
      </c>
      <c r="O124" s="10" t="n">
        <f aca="false">IF(M124&gt;=$C$3,N124/M124,"")</f>
        <v>0.111111111111111</v>
      </c>
      <c r="P124" s="8" t="n">
        <v>7</v>
      </c>
      <c r="Q124" s="8" t="n">
        <v>0</v>
      </c>
      <c r="R124" s="10" t="n">
        <f aca="false">IF(P124&gt;=$C$3,Q124/P124,"")</f>
        <v>0</v>
      </c>
      <c r="S124" s="8" t="n">
        <v>15</v>
      </c>
      <c r="T124" s="8" t="n">
        <v>3</v>
      </c>
      <c r="U124" s="10" t="n">
        <f aca="false">IF(S124&gt;=$C$3,T124/S124,"")</f>
        <v>0.2</v>
      </c>
      <c r="V124" s="8" t="n">
        <v>32</v>
      </c>
      <c r="W124" s="8" t="n">
        <v>4</v>
      </c>
      <c r="X124" s="10" t="n">
        <f aca="false">IF(V124&gt;=$C$3,W124/V124,"")</f>
        <v>0.125</v>
      </c>
      <c r="Y124" s="8" t="n">
        <f aca="false">COUNT(F124,I124,L124,O124,R124,U124,X124)</f>
        <v>7</v>
      </c>
      <c r="Z124" s="11" t="n">
        <f aca="false">IF(Y124=0,"n/a",AVERAGE(F124,I124,L124,O124,R124,U124,X124))</f>
        <v>0.120198430249293</v>
      </c>
      <c r="AA124" s="12" t="n">
        <f aca="false">IF(Y124=0,"",MIN(F124,I124,L124,O124,R124,U124,X124))</f>
        <v>0</v>
      </c>
      <c r="AB124" s="11" t="n">
        <f aca="false">IF(Y124=0,"",MAX(F124,I124,L124,O124,R124,U124,X124))</f>
        <v>0.2</v>
      </c>
      <c r="AC124" s="8" t="str">
        <f aca="false">IF(Y124&lt;2,"",IF(AB124-AA124&gt;$F$3,"Review",""))</f>
        <v/>
      </c>
      <c r="AD124" s="9" t="n">
        <f aca="false">IF(ISNUMBER(Z124),C124*Z124,"")</f>
        <v>2646.62639795743</v>
      </c>
    </row>
    <row r="125" customFormat="false" ht="15" hidden="false" customHeight="false" outlineLevel="0" collapsed="false">
      <c r="A125" s="8" t="s">
        <v>176</v>
      </c>
      <c r="B125" s="8" t="s">
        <v>29</v>
      </c>
      <c r="C125" s="9" t="n">
        <v>54682.27</v>
      </c>
      <c r="D125" s="8" t="n">
        <v>136</v>
      </c>
      <c r="E125" s="8" t="n">
        <v>135</v>
      </c>
      <c r="F125" s="10" t="n">
        <f aca="false">IF(D125&gt;=$C$3,E125/D125,"")</f>
        <v>0.992647058823529</v>
      </c>
      <c r="G125" s="8" t="n">
        <v>16</v>
      </c>
      <c r="H125" s="8" t="n">
        <v>16</v>
      </c>
      <c r="I125" s="10" t="n">
        <f aca="false">IF(G125&gt;=$C$3,H125/G125,"")</f>
        <v>1</v>
      </c>
      <c r="J125" s="8" t="n">
        <v>4</v>
      </c>
      <c r="K125" s="8" t="n">
        <v>4</v>
      </c>
      <c r="L125" s="10" t="n">
        <f aca="false">IF(J125&gt;=$C$3,K125/J125,"")</f>
        <v>1</v>
      </c>
      <c r="M125" s="8" t="n">
        <v>21</v>
      </c>
      <c r="N125" s="8" t="n">
        <v>21</v>
      </c>
      <c r="O125" s="10" t="n">
        <f aca="false">IF(M125&gt;=$C$3,N125/M125,"")</f>
        <v>1</v>
      </c>
      <c r="P125" s="8" t="n">
        <v>26</v>
      </c>
      <c r="Q125" s="8" t="n">
        <v>26</v>
      </c>
      <c r="R125" s="10" t="n">
        <f aca="false">IF(P125&gt;=$C$3,Q125/P125,"")</f>
        <v>1</v>
      </c>
      <c r="S125" s="8" t="n">
        <v>21</v>
      </c>
      <c r="T125" s="8" t="n">
        <v>21</v>
      </c>
      <c r="U125" s="10" t="n">
        <f aca="false">IF(S125&gt;=$C$3,T125/S125,"")</f>
        <v>1</v>
      </c>
      <c r="V125" s="8" t="n">
        <v>10</v>
      </c>
      <c r="W125" s="8" t="n">
        <v>10</v>
      </c>
      <c r="X125" s="10" t="n">
        <f aca="false">IF(V125&gt;=$C$3,W125/V125,"")</f>
        <v>1</v>
      </c>
      <c r="Y125" s="8" t="n">
        <f aca="false">COUNT(F125,I125,L125,O125,R125,U125,X125)</f>
        <v>7</v>
      </c>
      <c r="Z125" s="11" t="n">
        <f aca="false">IF(Y125=0,"n/a",AVERAGE(F125,I125,L125,O125,R125,U125,X125))</f>
        <v>0.998949579831933</v>
      </c>
      <c r="AA125" s="12" t="n">
        <f aca="false">IF(Y125=0,"",MIN(F125,I125,L125,O125,R125,U125,X125))</f>
        <v>0.992647058823529</v>
      </c>
      <c r="AB125" s="11" t="n">
        <f aca="false">IF(Y125=0,"",MAX(F125,I125,L125,O125,R125,U125,X125))</f>
        <v>1</v>
      </c>
      <c r="AC125" s="8" t="str">
        <f aca="false">IF(Y125&lt;2,"",IF(AB125-AA125&gt;$F$3,"Review",""))</f>
        <v/>
      </c>
      <c r="AD125" s="9" t="n">
        <f aca="false">IF(ISNUMBER(Z125),C125*Z125,"")</f>
        <v>54624.8306407563</v>
      </c>
    </row>
    <row r="126" customFormat="false" ht="15" hidden="false" customHeight="false" outlineLevel="0" collapsed="false">
      <c r="A126" s="8" t="s">
        <v>177</v>
      </c>
      <c r="B126" s="8" t="s">
        <v>36</v>
      </c>
      <c r="C126" s="9" t="n">
        <v>1176.33</v>
      </c>
      <c r="D126" s="8" t="n">
        <v>45</v>
      </c>
      <c r="E126" s="8" t="n">
        <v>45</v>
      </c>
      <c r="F126" s="10" t="n">
        <f aca="false">IF(D126&gt;=$C$3,E126/D126,"")</f>
        <v>1</v>
      </c>
      <c r="G126" s="8" t="n">
        <v>2</v>
      </c>
      <c r="H126" s="8" t="n">
        <v>2</v>
      </c>
      <c r="I126" s="10" t="str">
        <f aca="false">IF(G126&gt;=$C$3,H126/G126,"")</f>
        <v/>
      </c>
      <c r="J126" s="8" t="n">
        <v>7</v>
      </c>
      <c r="K126" s="8" t="n">
        <v>7</v>
      </c>
      <c r="L126" s="10" t="n">
        <f aca="false">IF(J126&gt;=$C$3,K126/J126,"")</f>
        <v>1</v>
      </c>
      <c r="M126" s="8" t="n">
        <v>1</v>
      </c>
      <c r="N126" s="8" t="n">
        <v>1</v>
      </c>
      <c r="O126" s="10" t="str">
        <f aca="false">IF(M126&gt;=$C$3,N126/M126,"")</f>
        <v/>
      </c>
      <c r="P126" s="8" t="n">
        <v>7</v>
      </c>
      <c r="Q126" s="8" t="n">
        <v>3</v>
      </c>
      <c r="R126" s="10" t="n">
        <f aca="false">IF(P126&gt;=$C$3,Q126/P126,"")</f>
        <v>0.428571428571429</v>
      </c>
      <c r="S126" s="8" t="n">
        <v>6</v>
      </c>
      <c r="T126" s="8" t="n">
        <v>6</v>
      </c>
      <c r="U126" s="10" t="n">
        <f aca="false">IF(S126&gt;=$C$3,T126/S126,"")</f>
        <v>1</v>
      </c>
      <c r="V126" s="8" t="n">
        <v>1</v>
      </c>
      <c r="W126" s="8" t="n">
        <v>1</v>
      </c>
      <c r="X126" s="10" t="str">
        <f aca="false">IF(V126&gt;=$C$3,W126/V126,"")</f>
        <v/>
      </c>
      <c r="Y126" s="8" t="n">
        <f aca="false">COUNT(F126,I126,L126,O126,R126,U126,X126)</f>
        <v>4</v>
      </c>
      <c r="Z126" s="11" t="n">
        <f aca="false">IF(Y126=0,"n/a",AVERAGE(F126,I126,L126,O126,R126,U126,X126))</f>
        <v>0.857142857142857</v>
      </c>
      <c r="AA126" s="12" t="n">
        <f aca="false">IF(Y126=0,"",MIN(F126,I126,L126,O126,R126,U126,X126))</f>
        <v>0.428571428571429</v>
      </c>
      <c r="AB126" s="11" t="n">
        <f aca="false">IF(Y126=0,"",MAX(F126,I126,L126,O126,R126,U126,X126))</f>
        <v>1</v>
      </c>
      <c r="AC126" s="8" t="str">
        <f aca="false">IF(Y126&lt;2,"",IF(AB126-AA126&gt;$F$3,"Review",""))</f>
        <v>Review</v>
      </c>
      <c r="AD126" s="9" t="n">
        <f aca="false">IF(ISNUMBER(Z126),C126*Z126,"")</f>
        <v>1008.28285714286</v>
      </c>
    </row>
    <row r="127" customFormat="false" ht="15" hidden="false" customHeight="false" outlineLevel="0" collapsed="false">
      <c r="A127" s="8" t="s">
        <v>178</v>
      </c>
      <c r="B127" s="8" t="s">
        <v>25</v>
      </c>
      <c r="C127" s="9" t="n">
        <v>843.51</v>
      </c>
      <c r="D127" s="8" t="n">
        <v>28</v>
      </c>
      <c r="E127" s="8" t="n">
        <v>28</v>
      </c>
      <c r="F127" s="10" t="n">
        <f aca="false">IF(D127&gt;=$C$3,E127/D127,"")</f>
        <v>1</v>
      </c>
      <c r="G127" s="8" t="n">
        <v>11</v>
      </c>
      <c r="H127" s="8" t="n">
        <v>11</v>
      </c>
      <c r="I127" s="10" t="n">
        <f aca="false">IF(G127&gt;=$C$3,H127/G127,"")</f>
        <v>1</v>
      </c>
      <c r="J127" s="8" t="n">
        <v>4</v>
      </c>
      <c r="K127" s="8" t="n">
        <v>4</v>
      </c>
      <c r="L127" s="10" t="n">
        <f aca="false">IF(J127&gt;=$C$3,K127/J127,"")</f>
        <v>1</v>
      </c>
      <c r="M127" s="8" t="n">
        <v>6</v>
      </c>
      <c r="N127" s="8" t="n">
        <v>6</v>
      </c>
      <c r="O127" s="10" t="n">
        <f aca="false">IF(M127&gt;=$C$3,N127/M127,"")</f>
        <v>1</v>
      </c>
      <c r="P127" s="8" t="n">
        <v>1</v>
      </c>
      <c r="Q127" s="8" t="n">
        <v>1</v>
      </c>
      <c r="R127" s="10" t="str">
        <f aca="false">IF(P127&gt;=$C$3,Q127/P127,"")</f>
        <v/>
      </c>
      <c r="S127" s="8" t="n">
        <v>6</v>
      </c>
      <c r="T127" s="8" t="n">
        <v>6</v>
      </c>
      <c r="U127" s="10" t="n">
        <f aca="false">IF(S127&gt;=$C$3,T127/S127,"")</f>
        <v>1</v>
      </c>
      <c r="V127" s="8" t="n">
        <v>8</v>
      </c>
      <c r="W127" s="8" t="n">
        <v>8</v>
      </c>
      <c r="X127" s="10" t="n">
        <f aca="false">IF(V127&gt;=$C$3,W127/V127,"")</f>
        <v>1</v>
      </c>
      <c r="Y127" s="8" t="n">
        <f aca="false">COUNT(F127,I127,L127,O127,R127,U127,X127)</f>
        <v>6</v>
      </c>
      <c r="Z127" s="11" t="n">
        <f aca="false">IF(Y127=0,"n/a",AVERAGE(F127,I127,L127,O127,R127,U127,X127))</f>
        <v>1</v>
      </c>
      <c r="AA127" s="12" t="n">
        <f aca="false">IF(Y127=0,"",MIN(F127,I127,L127,O127,R127,U127,X127))</f>
        <v>1</v>
      </c>
      <c r="AB127" s="11" t="n">
        <f aca="false">IF(Y127=0,"",MAX(F127,I127,L127,O127,R127,U127,X127))</f>
        <v>1</v>
      </c>
      <c r="AC127" s="8" t="str">
        <f aca="false">IF(Y127&lt;2,"",IF(AB127-AA127&gt;$F$3,"Review",""))</f>
        <v/>
      </c>
      <c r="AD127" s="9" t="n">
        <f aca="false">IF(ISNUMBER(Z127),C127*Z127,"")</f>
        <v>843.51</v>
      </c>
    </row>
    <row r="128" customFormat="false" ht="15" hidden="false" customHeight="false" outlineLevel="0" collapsed="false">
      <c r="A128" s="8" t="s">
        <v>179</v>
      </c>
      <c r="B128" s="8" t="s">
        <v>180</v>
      </c>
      <c r="C128" s="9" t="n">
        <v>1127.64</v>
      </c>
      <c r="D128" s="8" t="n">
        <v>5</v>
      </c>
      <c r="E128" s="8" t="n">
        <v>5</v>
      </c>
      <c r="F128" s="10" t="n">
        <f aca="false">IF(D128&gt;=$C$3,E128/D128,"")</f>
        <v>1</v>
      </c>
      <c r="G128" s="8" t="n">
        <v>1</v>
      </c>
      <c r="H128" s="8" t="n">
        <v>1</v>
      </c>
      <c r="I128" s="10" t="str">
        <f aca="false">IF(G128&gt;=$C$3,H128/G128,"")</f>
        <v/>
      </c>
      <c r="J128" s="8" t="n">
        <v>0</v>
      </c>
      <c r="K128" s="8" t="n">
        <v>0</v>
      </c>
      <c r="L128" s="10" t="str">
        <f aca="false">IF(J128&gt;=$C$3,K128/J128,"")</f>
        <v/>
      </c>
      <c r="M128" s="8" t="n">
        <v>0</v>
      </c>
      <c r="N128" s="8" t="n">
        <v>0</v>
      </c>
      <c r="O128" s="10" t="str">
        <f aca="false">IF(M128&gt;=$C$3,N128/M128,"")</f>
        <v/>
      </c>
      <c r="P128" s="8" t="n">
        <v>0</v>
      </c>
      <c r="Q128" s="8" t="n">
        <v>0</v>
      </c>
      <c r="R128" s="10" t="str">
        <f aca="false">IF(P128&gt;=$C$3,Q128/P128,"")</f>
        <v/>
      </c>
      <c r="S128" s="8" t="n">
        <v>1</v>
      </c>
      <c r="T128" s="8" t="n">
        <v>1</v>
      </c>
      <c r="U128" s="10" t="str">
        <f aca="false">IF(S128&gt;=$C$3,T128/S128,"")</f>
        <v/>
      </c>
      <c r="V128" s="8" t="n">
        <v>12</v>
      </c>
      <c r="W128" s="8" t="n">
        <v>12</v>
      </c>
      <c r="X128" s="10" t="n">
        <f aca="false">IF(V128&gt;=$C$3,W128/V128,"")</f>
        <v>1</v>
      </c>
      <c r="Y128" s="8" t="n">
        <f aca="false">COUNT(F128,I128,L128,O128,R128,U128,X128)</f>
        <v>2</v>
      </c>
      <c r="Z128" s="11" t="n">
        <f aca="false">IF(Y128=0,"n/a",AVERAGE(F128,I128,L128,O128,R128,U128,X128))</f>
        <v>1</v>
      </c>
      <c r="AA128" s="12" t="n">
        <f aca="false">IF(Y128=0,"",MIN(F128,I128,L128,O128,R128,U128,X128))</f>
        <v>1</v>
      </c>
      <c r="AB128" s="11" t="n">
        <f aca="false">IF(Y128=0,"",MAX(F128,I128,L128,O128,R128,U128,X128))</f>
        <v>1</v>
      </c>
      <c r="AC128" s="8" t="str">
        <f aca="false">IF(Y128&lt;2,"",IF(AB128-AA128&gt;$F$3,"Review",""))</f>
        <v/>
      </c>
      <c r="AD128" s="9" t="n">
        <f aca="false">IF(ISNUMBER(Z128),C128*Z128,"")</f>
        <v>1127.64</v>
      </c>
    </row>
    <row r="129" customFormat="false" ht="15" hidden="false" customHeight="false" outlineLevel="0" collapsed="false">
      <c r="A129" s="8" t="s">
        <v>181</v>
      </c>
      <c r="B129" s="8" t="s">
        <v>29</v>
      </c>
      <c r="C129" s="9" t="n">
        <v>71.73</v>
      </c>
      <c r="D129" s="8" t="n">
        <v>85</v>
      </c>
      <c r="E129" s="8" t="n">
        <v>83</v>
      </c>
      <c r="F129" s="10" t="n">
        <f aca="false">IF(D129&gt;=$C$3,E129/D129,"")</f>
        <v>0.976470588235294</v>
      </c>
      <c r="G129" s="8" t="n">
        <v>19</v>
      </c>
      <c r="H129" s="8" t="n">
        <v>19</v>
      </c>
      <c r="I129" s="10" t="n">
        <f aca="false">IF(G129&gt;=$C$3,H129/G129,"")</f>
        <v>1</v>
      </c>
      <c r="J129" s="8" t="n">
        <v>2</v>
      </c>
      <c r="K129" s="8" t="n">
        <v>2</v>
      </c>
      <c r="L129" s="10" t="str">
        <f aca="false">IF(J129&gt;=$C$3,K129/J129,"")</f>
        <v/>
      </c>
      <c r="M129" s="8" t="n">
        <v>18</v>
      </c>
      <c r="N129" s="8" t="n">
        <v>18</v>
      </c>
      <c r="O129" s="10" t="n">
        <f aca="false">IF(M129&gt;=$C$3,N129/M129,"")</f>
        <v>1</v>
      </c>
      <c r="P129" s="8" t="n">
        <v>24</v>
      </c>
      <c r="Q129" s="8" t="n">
        <v>24</v>
      </c>
      <c r="R129" s="10" t="n">
        <f aca="false">IF(P129&gt;=$C$3,Q129/P129,"")</f>
        <v>1</v>
      </c>
      <c r="S129" s="8" t="n">
        <v>8</v>
      </c>
      <c r="T129" s="8" t="n">
        <v>8</v>
      </c>
      <c r="U129" s="10" t="n">
        <f aca="false">IF(S129&gt;=$C$3,T129/S129,"")</f>
        <v>1</v>
      </c>
      <c r="V129" s="8" t="n">
        <v>5</v>
      </c>
      <c r="W129" s="8" t="n">
        <v>5</v>
      </c>
      <c r="X129" s="10" t="n">
        <f aca="false">IF(V129&gt;=$C$3,W129/V129,"")</f>
        <v>1</v>
      </c>
      <c r="Y129" s="8" t="n">
        <f aca="false">COUNT(F129,I129,L129,O129,R129,U129,X129)</f>
        <v>6</v>
      </c>
      <c r="Z129" s="11" t="n">
        <f aca="false">IF(Y129=0,"n/a",AVERAGE(F129,I129,L129,O129,R129,U129,X129))</f>
        <v>0.996078431372549</v>
      </c>
      <c r="AA129" s="12" t="n">
        <f aca="false">IF(Y129=0,"",MIN(F129,I129,L129,O129,R129,U129,X129))</f>
        <v>0.976470588235294</v>
      </c>
      <c r="AB129" s="11" t="n">
        <f aca="false">IF(Y129=0,"",MAX(F129,I129,L129,O129,R129,U129,X129))</f>
        <v>1</v>
      </c>
      <c r="AC129" s="8" t="str">
        <f aca="false">IF(Y129&lt;2,"",IF(AB129-AA129&gt;$F$3,"Review",""))</f>
        <v/>
      </c>
      <c r="AD129" s="9" t="n">
        <f aca="false">IF(ISNUMBER(Z129),C129*Z129,"")</f>
        <v>71.4487058823529</v>
      </c>
    </row>
    <row r="130" customFormat="false" ht="15" hidden="false" customHeight="false" outlineLevel="0" collapsed="false">
      <c r="A130" s="8" t="s">
        <v>182</v>
      </c>
      <c r="B130" s="8" t="s">
        <v>29</v>
      </c>
      <c r="C130" s="9" t="n">
        <v>20408.58</v>
      </c>
      <c r="D130" s="8" t="n">
        <v>164</v>
      </c>
      <c r="E130" s="8" t="n">
        <v>164</v>
      </c>
      <c r="F130" s="10" t="n">
        <f aca="false">IF(D130&gt;=$C$3,E130/D130,"")</f>
        <v>1</v>
      </c>
      <c r="G130" s="8" t="n">
        <v>12</v>
      </c>
      <c r="H130" s="8" t="n">
        <v>12</v>
      </c>
      <c r="I130" s="10" t="n">
        <f aca="false">IF(G130&gt;=$C$3,H130/G130,"")</f>
        <v>1</v>
      </c>
      <c r="J130" s="8" t="n">
        <v>6</v>
      </c>
      <c r="K130" s="8" t="n">
        <v>6</v>
      </c>
      <c r="L130" s="10" t="n">
        <f aca="false">IF(J130&gt;=$C$3,K130/J130,"")</f>
        <v>1</v>
      </c>
      <c r="M130" s="8" t="n">
        <v>15</v>
      </c>
      <c r="N130" s="8" t="n">
        <v>15</v>
      </c>
      <c r="O130" s="10" t="n">
        <f aca="false">IF(M130&gt;=$C$3,N130/M130,"")</f>
        <v>1</v>
      </c>
      <c r="P130" s="8" t="n">
        <v>13</v>
      </c>
      <c r="Q130" s="8" t="n">
        <v>12</v>
      </c>
      <c r="R130" s="10" t="n">
        <f aca="false">IF(P130&gt;=$C$3,Q130/P130,"")</f>
        <v>0.923076923076923</v>
      </c>
      <c r="S130" s="8" t="n">
        <v>6</v>
      </c>
      <c r="T130" s="8" t="n">
        <v>6</v>
      </c>
      <c r="U130" s="10" t="n">
        <f aca="false">IF(S130&gt;=$C$3,T130/S130,"")</f>
        <v>1</v>
      </c>
      <c r="V130" s="8" t="n">
        <v>27</v>
      </c>
      <c r="W130" s="8" t="n">
        <v>27</v>
      </c>
      <c r="X130" s="10" t="n">
        <f aca="false">IF(V130&gt;=$C$3,W130/V130,"")</f>
        <v>1</v>
      </c>
      <c r="Y130" s="8" t="n">
        <f aca="false">COUNT(F130,I130,L130,O130,R130,U130,X130)</f>
        <v>7</v>
      </c>
      <c r="Z130" s="11" t="n">
        <f aca="false">IF(Y130=0,"n/a",AVERAGE(F130,I130,L130,O130,R130,U130,X130))</f>
        <v>0.989010989010989</v>
      </c>
      <c r="AA130" s="12" t="n">
        <f aca="false">IF(Y130=0,"",MIN(F130,I130,L130,O130,R130,U130,X130))</f>
        <v>0.923076923076923</v>
      </c>
      <c r="AB130" s="11" t="n">
        <f aca="false">IF(Y130=0,"",MAX(F130,I130,L130,O130,R130,U130,X130))</f>
        <v>1</v>
      </c>
      <c r="AC130" s="8" t="str">
        <f aca="false">IF(Y130&lt;2,"",IF(AB130-AA130&gt;$F$3,"Review",""))</f>
        <v/>
      </c>
      <c r="AD130" s="9" t="n">
        <f aca="false">IF(ISNUMBER(Z130),C130*Z130,"")</f>
        <v>20184.3098901099</v>
      </c>
    </row>
    <row r="131" customFormat="false" ht="15" hidden="false" customHeight="false" outlineLevel="0" collapsed="false">
      <c r="A131" s="8" t="s">
        <v>183</v>
      </c>
      <c r="B131" s="8" t="s">
        <v>29</v>
      </c>
      <c r="C131" s="9" t="n">
        <v>8072.59</v>
      </c>
      <c r="D131" s="8" t="n">
        <v>125</v>
      </c>
      <c r="E131" s="8" t="n">
        <v>125</v>
      </c>
      <c r="F131" s="10" t="n">
        <f aca="false">IF(D131&gt;=$C$3,E131/D131,"")</f>
        <v>1</v>
      </c>
      <c r="G131" s="8" t="n">
        <v>16</v>
      </c>
      <c r="H131" s="8" t="n">
        <v>16</v>
      </c>
      <c r="I131" s="10" t="n">
        <f aca="false">IF(G131&gt;=$C$3,H131/G131,"")</f>
        <v>1</v>
      </c>
      <c r="J131" s="8" t="n">
        <v>6</v>
      </c>
      <c r="K131" s="8" t="n">
        <v>6</v>
      </c>
      <c r="L131" s="10" t="n">
        <f aca="false">IF(J131&gt;=$C$3,K131/J131,"")</f>
        <v>1</v>
      </c>
      <c r="M131" s="8" t="n">
        <v>31</v>
      </c>
      <c r="N131" s="8" t="n">
        <v>31</v>
      </c>
      <c r="O131" s="10" t="n">
        <f aca="false">IF(M131&gt;=$C$3,N131/M131,"")</f>
        <v>1</v>
      </c>
      <c r="P131" s="8" t="n">
        <v>18</v>
      </c>
      <c r="Q131" s="8" t="n">
        <v>18</v>
      </c>
      <c r="R131" s="10" t="n">
        <f aca="false">IF(P131&gt;=$C$3,Q131/P131,"")</f>
        <v>1</v>
      </c>
      <c r="S131" s="8" t="n">
        <v>3</v>
      </c>
      <c r="T131" s="8" t="n">
        <v>3</v>
      </c>
      <c r="U131" s="10" t="n">
        <f aca="false">IF(S131&gt;=$C$3,T131/S131,"")</f>
        <v>1</v>
      </c>
      <c r="V131" s="8" t="n">
        <v>37</v>
      </c>
      <c r="W131" s="8" t="n">
        <v>37</v>
      </c>
      <c r="X131" s="10" t="n">
        <f aca="false">IF(V131&gt;=$C$3,W131/V131,"")</f>
        <v>1</v>
      </c>
      <c r="Y131" s="8" t="n">
        <f aca="false">COUNT(F131,I131,L131,O131,R131,U131,X131)</f>
        <v>7</v>
      </c>
      <c r="Z131" s="11" t="n">
        <f aca="false">IF(Y131=0,"n/a",AVERAGE(F131,I131,L131,O131,R131,U131,X131))</f>
        <v>1</v>
      </c>
      <c r="AA131" s="12" t="n">
        <f aca="false">IF(Y131=0,"",MIN(F131,I131,L131,O131,R131,U131,X131))</f>
        <v>1</v>
      </c>
      <c r="AB131" s="11" t="n">
        <f aca="false">IF(Y131=0,"",MAX(F131,I131,L131,O131,R131,U131,X131))</f>
        <v>1</v>
      </c>
      <c r="AC131" s="8" t="str">
        <f aca="false">IF(Y131&lt;2,"",IF(AB131-AA131&gt;$F$3,"Review",""))</f>
        <v/>
      </c>
      <c r="AD131" s="9" t="n">
        <f aca="false">IF(ISNUMBER(Z131),C131*Z131,"")</f>
        <v>8072.59</v>
      </c>
    </row>
    <row r="132" customFormat="false" ht="15" hidden="false" customHeight="false" outlineLevel="0" collapsed="false">
      <c r="A132" s="8" t="s">
        <v>184</v>
      </c>
      <c r="B132" s="8" t="s">
        <v>27</v>
      </c>
      <c r="C132" s="9" t="n">
        <v>71311.67</v>
      </c>
      <c r="D132" s="8" t="n">
        <v>586</v>
      </c>
      <c r="E132" s="8" t="n">
        <v>4</v>
      </c>
      <c r="F132" s="10" t="n">
        <f aca="false">IF(D132&gt;=$C$3,E132/D132,"")</f>
        <v>0.0068259385665529</v>
      </c>
      <c r="G132" s="8" t="n">
        <v>120</v>
      </c>
      <c r="H132" s="8" t="n">
        <v>1</v>
      </c>
      <c r="I132" s="10" t="n">
        <f aca="false">IF(G132&gt;=$C$3,H132/G132,"")</f>
        <v>0.00833333333333333</v>
      </c>
      <c r="J132" s="8" t="n">
        <v>47</v>
      </c>
      <c r="K132" s="8" t="n">
        <v>1</v>
      </c>
      <c r="L132" s="10" t="n">
        <f aca="false">IF(J132&gt;=$C$3,K132/J132,"")</f>
        <v>0.0212765957446809</v>
      </c>
      <c r="M132" s="8" t="n">
        <v>77</v>
      </c>
      <c r="N132" s="8" t="n">
        <v>1</v>
      </c>
      <c r="O132" s="10" t="n">
        <f aca="false">IF(M132&gt;=$C$3,N132/M132,"")</f>
        <v>0.012987012987013</v>
      </c>
      <c r="P132" s="8" t="n">
        <v>52</v>
      </c>
      <c r="Q132" s="8" t="n">
        <v>0</v>
      </c>
      <c r="R132" s="10" t="n">
        <f aca="false">IF(P132&gt;=$C$3,Q132/P132,"")</f>
        <v>0</v>
      </c>
      <c r="S132" s="8" t="n">
        <v>58</v>
      </c>
      <c r="T132" s="8" t="n">
        <v>0</v>
      </c>
      <c r="U132" s="10" t="n">
        <f aca="false">IF(S132&gt;=$C$3,T132/S132,"")</f>
        <v>0</v>
      </c>
      <c r="V132" s="8" t="n">
        <v>81</v>
      </c>
      <c r="W132" s="8" t="n">
        <v>2</v>
      </c>
      <c r="X132" s="10" t="n">
        <f aca="false">IF(V132&gt;=$C$3,W132/V132,"")</f>
        <v>0.0246913580246914</v>
      </c>
      <c r="Y132" s="8" t="n">
        <f aca="false">COUNT(F132,I132,L132,O132,R132,U132,X132)</f>
        <v>7</v>
      </c>
      <c r="Z132" s="11" t="n">
        <f aca="false">IF(Y132=0,"n/a",AVERAGE(F132,I132,L132,O132,R132,U132,X132))</f>
        <v>0.0105877483794673</v>
      </c>
      <c r="AA132" s="12" t="n">
        <f aca="false">IF(Y132=0,"",MIN(F132,I132,L132,O132,R132,U132,X132))</f>
        <v>0</v>
      </c>
      <c r="AB132" s="11" t="n">
        <f aca="false">IF(Y132=0,"",MAX(F132,I132,L132,O132,R132,U132,X132))</f>
        <v>0.0246913580246914</v>
      </c>
      <c r="AC132" s="8" t="str">
        <f aca="false">IF(Y132&lt;2,"",IF(AB132-AA132&gt;$F$3,"Review",""))</f>
        <v/>
      </c>
      <c r="AD132" s="9" t="n">
        <f aca="false">IF(ISNUMBER(Z132),C132*Z132,"")</f>
        <v>755.03001847961</v>
      </c>
    </row>
    <row r="133" customFormat="false" ht="15" hidden="false" customHeight="false" outlineLevel="0" collapsed="false">
      <c r="A133" s="8" t="s">
        <v>185</v>
      </c>
      <c r="B133" s="8" t="s">
        <v>41</v>
      </c>
      <c r="C133" s="9" t="n">
        <v>19666.38</v>
      </c>
      <c r="D133" s="8" t="n">
        <v>950</v>
      </c>
      <c r="E133" s="8" t="n">
        <v>166</v>
      </c>
      <c r="F133" s="10" t="n">
        <f aca="false">IF(D133&gt;=$C$3,E133/D133,"")</f>
        <v>0.174736842105263</v>
      </c>
      <c r="G133" s="8" t="n">
        <v>156</v>
      </c>
      <c r="H133" s="8" t="n">
        <v>9</v>
      </c>
      <c r="I133" s="10" t="n">
        <f aca="false">IF(G133&gt;=$C$3,H133/G133,"")</f>
        <v>0.0576923076923077</v>
      </c>
      <c r="J133" s="8" t="n">
        <v>29</v>
      </c>
      <c r="K133" s="8" t="n">
        <v>10</v>
      </c>
      <c r="L133" s="10" t="n">
        <f aca="false">IF(J133&gt;=$C$3,K133/J133,"")</f>
        <v>0.344827586206897</v>
      </c>
      <c r="M133" s="8" t="n">
        <v>149</v>
      </c>
      <c r="N133" s="8" t="n">
        <v>8</v>
      </c>
      <c r="O133" s="10" t="n">
        <f aca="false">IF(M133&gt;=$C$3,N133/M133,"")</f>
        <v>0.0536912751677852</v>
      </c>
      <c r="P133" s="8" t="n">
        <v>33</v>
      </c>
      <c r="Q133" s="8" t="n">
        <v>13</v>
      </c>
      <c r="R133" s="10" t="n">
        <f aca="false">IF(P133&gt;=$C$3,Q133/P133,"")</f>
        <v>0.393939393939394</v>
      </c>
      <c r="S133" s="8" t="n">
        <v>120</v>
      </c>
      <c r="T133" s="8" t="n">
        <v>5</v>
      </c>
      <c r="U133" s="10" t="n">
        <f aca="false">IF(S133&gt;=$C$3,T133/S133,"")</f>
        <v>0.0416666666666667</v>
      </c>
      <c r="V133" s="8" t="n">
        <v>146</v>
      </c>
      <c r="W133" s="8" t="n">
        <v>34</v>
      </c>
      <c r="X133" s="10" t="n">
        <f aca="false">IF(V133&gt;=$C$3,W133/V133,"")</f>
        <v>0.232876712328767</v>
      </c>
      <c r="Y133" s="8" t="n">
        <f aca="false">COUNT(F133,I133,L133,O133,R133,U133,X133)</f>
        <v>7</v>
      </c>
      <c r="Z133" s="11" t="n">
        <f aca="false">IF(Y133=0,"n/a",AVERAGE(F133,I133,L133,O133,R133,U133,X133))</f>
        <v>0.185632969158154</v>
      </c>
      <c r="AA133" s="12" t="n">
        <f aca="false">IF(Y133=0,"",MIN(F133,I133,L133,O133,R133,U133,X133))</f>
        <v>0.0416666666666667</v>
      </c>
      <c r="AB133" s="11" t="n">
        <f aca="false">IF(Y133=0,"",MAX(F133,I133,L133,O133,R133,U133,X133))</f>
        <v>0.393939393939394</v>
      </c>
      <c r="AC133" s="8" t="str">
        <f aca="false">IF(Y133&lt;2,"",IF(AB133-AA133&gt;$F$3,"Review",""))</f>
        <v/>
      </c>
      <c r="AD133" s="9" t="n">
        <f aca="false">IF(ISNUMBER(Z133),C133*Z133,"")</f>
        <v>3650.72851199254</v>
      </c>
    </row>
    <row r="134" customFormat="false" ht="15" hidden="false" customHeight="false" outlineLevel="0" collapsed="false">
      <c r="A134" s="8" t="s">
        <v>186</v>
      </c>
      <c r="B134" s="8" t="s">
        <v>45</v>
      </c>
      <c r="C134" s="9" t="n">
        <v>18439.5</v>
      </c>
      <c r="D134" s="8" t="n">
        <v>250</v>
      </c>
      <c r="E134" s="8" t="n">
        <v>60</v>
      </c>
      <c r="F134" s="10" t="n">
        <f aca="false">IF(D134&gt;=$C$3,E134/D134,"")</f>
        <v>0.24</v>
      </c>
      <c r="G134" s="8" t="n">
        <v>61</v>
      </c>
      <c r="H134" s="8" t="n">
        <v>5</v>
      </c>
      <c r="I134" s="10" t="n">
        <f aca="false">IF(G134&gt;=$C$3,H134/G134,"")</f>
        <v>0.0819672131147541</v>
      </c>
      <c r="J134" s="8" t="n">
        <v>17</v>
      </c>
      <c r="K134" s="8" t="n">
        <v>0</v>
      </c>
      <c r="L134" s="10" t="n">
        <f aca="false">IF(J134&gt;=$C$3,K134/J134,"")</f>
        <v>0</v>
      </c>
      <c r="M134" s="8" t="n">
        <v>38</v>
      </c>
      <c r="N134" s="8" t="n">
        <v>18</v>
      </c>
      <c r="O134" s="10" t="n">
        <f aca="false">IF(M134&gt;=$C$3,N134/M134,"")</f>
        <v>0.473684210526316</v>
      </c>
      <c r="P134" s="8" t="n">
        <v>37</v>
      </c>
      <c r="Q134" s="8" t="n">
        <v>8</v>
      </c>
      <c r="R134" s="10" t="n">
        <f aca="false">IF(P134&gt;=$C$3,Q134/P134,"")</f>
        <v>0.216216216216216</v>
      </c>
      <c r="S134" s="8" t="n">
        <v>7</v>
      </c>
      <c r="T134" s="8" t="n">
        <v>2</v>
      </c>
      <c r="U134" s="10" t="n">
        <f aca="false">IF(S134&gt;=$C$3,T134/S134,"")</f>
        <v>0.285714285714286</v>
      </c>
      <c r="V134" s="8" t="n">
        <v>65</v>
      </c>
      <c r="W134" s="8" t="n">
        <v>4</v>
      </c>
      <c r="X134" s="10" t="n">
        <f aca="false">IF(V134&gt;=$C$3,W134/V134,"")</f>
        <v>0.0615384615384615</v>
      </c>
      <c r="Y134" s="8" t="n">
        <f aca="false">COUNT(F134,I134,L134,O134,R134,U134,X134)</f>
        <v>7</v>
      </c>
      <c r="Z134" s="11" t="n">
        <f aca="false">IF(Y134=0,"n/a",AVERAGE(F134,I134,L134,O134,R134,U134,X134))</f>
        <v>0.194160055301433</v>
      </c>
      <c r="AA134" s="12" t="n">
        <f aca="false">IF(Y134=0,"",MIN(F134,I134,L134,O134,R134,U134,X134))</f>
        <v>0</v>
      </c>
      <c r="AB134" s="11" t="n">
        <f aca="false">IF(Y134=0,"",MAX(F134,I134,L134,O134,R134,U134,X134))</f>
        <v>0.473684210526316</v>
      </c>
      <c r="AC134" s="8" t="str">
        <f aca="false">IF(Y134&lt;2,"",IF(AB134-AA134&gt;$F$3,"Review",""))</f>
        <v/>
      </c>
      <c r="AD134" s="9" t="n">
        <f aca="false">IF(ISNUMBER(Z134),C134*Z134,"")</f>
        <v>3580.21433973078</v>
      </c>
    </row>
    <row r="135" customFormat="false" ht="15" hidden="false" customHeight="false" outlineLevel="0" collapsed="false">
      <c r="A135" s="8" t="s">
        <v>187</v>
      </c>
      <c r="B135" s="8" t="s">
        <v>27</v>
      </c>
      <c r="C135" s="9" t="n">
        <v>1308.54</v>
      </c>
      <c r="D135" s="8" t="n">
        <v>9</v>
      </c>
      <c r="E135" s="8" t="n">
        <v>1</v>
      </c>
      <c r="F135" s="10" t="n">
        <f aca="false">IF(D135&gt;=$C$3,E135/D135,"")</f>
        <v>0.111111111111111</v>
      </c>
      <c r="G135" s="8" t="n">
        <v>3</v>
      </c>
      <c r="H135" s="8" t="n">
        <v>0</v>
      </c>
      <c r="I135" s="10" t="n">
        <f aca="false">IF(G135&gt;=$C$3,H135/G135,"")</f>
        <v>0</v>
      </c>
      <c r="J135" s="8" t="n">
        <v>0</v>
      </c>
      <c r="K135" s="8" t="n">
        <v>0</v>
      </c>
      <c r="L135" s="10" t="str">
        <f aca="false">IF(J135&gt;=$C$3,K135/J135,"")</f>
        <v/>
      </c>
      <c r="M135" s="8" t="n">
        <v>0</v>
      </c>
      <c r="N135" s="8" t="n">
        <v>0</v>
      </c>
      <c r="O135" s="10" t="str">
        <f aca="false">IF(M135&gt;=$C$3,N135/M135,"")</f>
        <v/>
      </c>
      <c r="P135" s="8" t="n">
        <v>3</v>
      </c>
      <c r="Q135" s="8" t="n">
        <v>3</v>
      </c>
      <c r="R135" s="10" t="n">
        <f aca="false">IF(P135&gt;=$C$3,Q135/P135,"")</f>
        <v>1</v>
      </c>
      <c r="S135" s="8" t="n">
        <v>0</v>
      </c>
      <c r="T135" s="8" t="n">
        <v>0</v>
      </c>
      <c r="U135" s="10" t="str">
        <f aca="false">IF(S135&gt;=$C$3,T135/S135,"")</f>
        <v/>
      </c>
      <c r="V135" s="8" t="n">
        <v>0</v>
      </c>
      <c r="W135" s="8" t="n">
        <v>0</v>
      </c>
      <c r="X135" s="10" t="str">
        <f aca="false">IF(V135&gt;=$C$3,W135/V135,"")</f>
        <v/>
      </c>
      <c r="Y135" s="8" t="n">
        <f aca="false">COUNT(F135,I135,L135,O135,R135,U135,X135)</f>
        <v>3</v>
      </c>
      <c r="Z135" s="11" t="n">
        <f aca="false">IF(Y135=0,"n/a",AVERAGE(F135,I135,L135,O135,R135,U135,X135))</f>
        <v>0.37037037037037</v>
      </c>
      <c r="AA135" s="12" t="n">
        <f aca="false">IF(Y135=0,"",MIN(F135,I135,L135,O135,R135,U135,X135))</f>
        <v>0</v>
      </c>
      <c r="AB135" s="11" t="n">
        <f aca="false">IF(Y135=0,"",MAX(F135,I135,L135,O135,R135,U135,X135))</f>
        <v>1</v>
      </c>
      <c r="AC135" s="8" t="str">
        <f aca="false">IF(Y135&lt;2,"",IF(AB135-AA135&gt;$F$3,"Review",""))</f>
        <v>Review</v>
      </c>
      <c r="AD135" s="9" t="n">
        <f aca="false">IF(ISNUMBER(Z135),C135*Z135,"")</f>
        <v>484.644444444445</v>
      </c>
    </row>
    <row r="136" customFormat="false" ht="15" hidden="false" customHeight="false" outlineLevel="0" collapsed="false">
      <c r="A136" s="8" t="s">
        <v>188</v>
      </c>
      <c r="B136" s="8" t="s">
        <v>29</v>
      </c>
      <c r="C136" s="9" t="n">
        <v>3067.39</v>
      </c>
      <c r="D136" s="8" t="n">
        <v>59</v>
      </c>
      <c r="E136" s="8" t="n">
        <v>59</v>
      </c>
      <c r="F136" s="10" t="n">
        <f aca="false">IF(D136&gt;=$C$3,E136/D136,"")</f>
        <v>1</v>
      </c>
      <c r="G136" s="8" t="n">
        <v>6</v>
      </c>
      <c r="H136" s="8" t="n">
        <v>6</v>
      </c>
      <c r="I136" s="10" t="n">
        <f aca="false">IF(G136&gt;=$C$3,H136/G136,"")</f>
        <v>1</v>
      </c>
      <c r="J136" s="8" t="n">
        <v>3</v>
      </c>
      <c r="K136" s="8" t="n">
        <v>3</v>
      </c>
      <c r="L136" s="10" t="n">
        <f aca="false">IF(J136&gt;=$C$3,K136/J136,"")</f>
        <v>1</v>
      </c>
      <c r="M136" s="8" t="n">
        <v>5</v>
      </c>
      <c r="N136" s="8" t="n">
        <v>5</v>
      </c>
      <c r="O136" s="10" t="n">
        <f aca="false">IF(M136&gt;=$C$3,N136/M136,"")</f>
        <v>1</v>
      </c>
      <c r="P136" s="8" t="n">
        <v>2</v>
      </c>
      <c r="Q136" s="8" t="n">
        <v>2</v>
      </c>
      <c r="R136" s="10" t="str">
        <f aca="false">IF(P136&gt;=$C$3,Q136/P136,"")</f>
        <v/>
      </c>
      <c r="S136" s="8" t="n">
        <v>2</v>
      </c>
      <c r="T136" s="8" t="n">
        <v>2</v>
      </c>
      <c r="U136" s="10" t="str">
        <f aca="false">IF(S136&gt;=$C$3,T136/S136,"")</f>
        <v/>
      </c>
      <c r="V136" s="8" t="n">
        <v>22</v>
      </c>
      <c r="W136" s="8" t="n">
        <v>22</v>
      </c>
      <c r="X136" s="10" t="n">
        <f aca="false">IF(V136&gt;=$C$3,W136/V136,"")</f>
        <v>1</v>
      </c>
      <c r="Y136" s="8" t="n">
        <f aca="false">COUNT(F136,I136,L136,O136,R136,U136,X136)</f>
        <v>5</v>
      </c>
      <c r="Z136" s="11" t="n">
        <f aca="false">IF(Y136=0,"n/a",AVERAGE(F136,I136,L136,O136,R136,U136,X136))</f>
        <v>1</v>
      </c>
      <c r="AA136" s="12" t="n">
        <f aca="false">IF(Y136=0,"",MIN(F136,I136,L136,O136,R136,U136,X136))</f>
        <v>1</v>
      </c>
      <c r="AB136" s="11" t="n">
        <f aca="false">IF(Y136=0,"",MAX(F136,I136,L136,O136,R136,U136,X136))</f>
        <v>1</v>
      </c>
      <c r="AC136" s="8" t="str">
        <f aca="false">IF(Y136&lt;2,"",IF(AB136-AA136&gt;$F$3,"Review",""))</f>
        <v/>
      </c>
      <c r="AD136" s="9" t="n">
        <f aca="false">IF(ISNUMBER(Z136),C136*Z136,"")</f>
        <v>3067.39</v>
      </c>
    </row>
    <row r="137" customFormat="false" ht="15" hidden="false" customHeight="false" outlineLevel="0" collapsed="false">
      <c r="A137" s="8" t="s">
        <v>189</v>
      </c>
      <c r="B137" s="8" t="s">
        <v>29</v>
      </c>
      <c r="C137" s="9" t="n">
        <v>32830.17</v>
      </c>
      <c r="D137" s="8" t="n">
        <v>366</v>
      </c>
      <c r="E137" s="8" t="n">
        <v>366</v>
      </c>
      <c r="F137" s="10" t="n">
        <f aca="false">IF(D137&gt;=$C$3,E137/D137,"")</f>
        <v>1</v>
      </c>
      <c r="G137" s="8" t="n">
        <v>30</v>
      </c>
      <c r="H137" s="8" t="n">
        <v>30</v>
      </c>
      <c r="I137" s="10" t="n">
        <f aca="false">IF(G137&gt;=$C$3,H137/G137,"")</f>
        <v>1</v>
      </c>
      <c r="J137" s="8" t="n">
        <v>4</v>
      </c>
      <c r="K137" s="8" t="n">
        <v>4</v>
      </c>
      <c r="L137" s="10" t="n">
        <f aca="false">IF(J137&gt;=$C$3,K137/J137,"")</f>
        <v>1</v>
      </c>
      <c r="M137" s="8" t="n">
        <v>54</v>
      </c>
      <c r="N137" s="8" t="n">
        <v>54</v>
      </c>
      <c r="O137" s="10" t="n">
        <f aca="false">IF(M137&gt;=$C$3,N137/M137,"")</f>
        <v>1</v>
      </c>
      <c r="P137" s="8" t="n">
        <v>18</v>
      </c>
      <c r="Q137" s="8" t="n">
        <v>18</v>
      </c>
      <c r="R137" s="10" t="n">
        <f aca="false">IF(P137&gt;=$C$3,Q137/P137,"")</f>
        <v>1</v>
      </c>
      <c r="S137" s="8" t="n">
        <v>15</v>
      </c>
      <c r="T137" s="8" t="n">
        <v>15</v>
      </c>
      <c r="U137" s="10" t="n">
        <f aca="false">IF(S137&gt;=$C$3,T137/S137,"")</f>
        <v>1</v>
      </c>
      <c r="V137" s="8" t="n">
        <v>25</v>
      </c>
      <c r="W137" s="8" t="n">
        <v>25</v>
      </c>
      <c r="X137" s="10" t="n">
        <f aca="false">IF(V137&gt;=$C$3,W137/V137,"")</f>
        <v>1</v>
      </c>
      <c r="Y137" s="8" t="n">
        <f aca="false">COUNT(F137,I137,L137,O137,R137,U137,X137)</f>
        <v>7</v>
      </c>
      <c r="Z137" s="11" t="n">
        <f aca="false">IF(Y137=0,"n/a",AVERAGE(F137,I137,L137,O137,R137,U137,X137))</f>
        <v>1</v>
      </c>
      <c r="AA137" s="12" t="n">
        <f aca="false">IF(Y137=0,"",MIN(F137,I137,L137,O137,R137,U137,X137))</f>
        <v>1</v>
      </c>
      <c r="AB137" s="11" t="n">
        <f aca="false">IF(Y137=0,"",MAX(F137,I137,L137,O137,R137,U137,X137))</f>
        <v>1</v>
      </c>
      <c r="AC137" s="8" t="str">
        <f aca="false">IF(Y137&lt;2,"",IF(AB137-AA137&gt;$F$3,"Review",""))</f>
        <v/>
      </c>
      <c r="AD137" s="9" t="n">
        <f aca="false">IF(ISNUMBER(Z137),C137*Z137,"")</f>
        <v>32830.17</v>
      </c>
    </row>
    <row r="138" customFormat="false" ht="15" hidden="false" customHeight="false" outlineLevel="0" collapsed="false">
      <c r="A138" s="8" t="s">
        <v>190</v>
      </c>
      <c r="B138" s="8" t="s">
        <v>31</v>
      </c>
      <c r="C138" s="9" t="n">
        <v>7074.72</v>
      </c>
      <c r="D138" s="8" t="n">
        <v>127</v>
      </c>
      <c r="E138" s="8" t="n">
        <v>127</v>
      </c>
      <c r="F138" s="10" t="n">
        <f aca="false">IF(D138&gt;=$C$3,E138/D138,"")</f>
        <v>1</v>
      </c>
      <c r="G138" s="8" t="n">
        <v>37</v>
      </c>
      <c r="H138" s="8" t="n">
        <v>37</v>
      </c>
      <c r="I138" s="10" t="n">
        <f aca="false">IF(G138&gt;=$C$3,H138/G138,"")</f>
        <v>1</v>
      </c>
      <c r="J138" s="8" t="n">
        <v>0</v>
      </c>
      <c r="K138" s="8" t="n">
        <v>0</v>
      </c>
      <c r="L138" s="10" t="str">
        <f aca="false">IF(J138&gt;=$C$3,K138/J138,"")</f>
        <v/>
      </c>
      <c r="M138" s="8" t="n">
        <v>7</v>
      </c>
      <c r="N138" s="8" t="n">
        <v>7</v>
      </c>
      <c r="O138" s="10" t="n">
        <f aca="false">IF(M138&gt;=$C$3,N138/M138,"")</f>
        <v>1</v>
      </c>
      <c r="P138" s="8" t="n">
        <v>12</v>
      </c>
      <c r="Q138" s="8" t="n">
        <v>9</v>
      </c>
      <c r="R138" s="10" t="n">
        <f aca="false">IF(P138&gt;=$C$3,Q138/P138,"")</f>
        <v>0.75</v>
      </c>
      <c r="S138" s="8" t="n">
        <v>2</v>
      </c>
      <c r="T138" s="8" t="n">
        <v>2</v>
      </c>
      <c r="U138" s="10" t="str">
        <f aca="false">IF(S138&gt;=$C$3,T138/S138,"")</f>
        <v/>
      </c>
      <c r="V138" s="8" t="n">
        <v>0</v>
      </c>
      <c r="W138" s="8" t="n">
        <v>0</v>
      </c>
      <c r="X138" s="10" t="str">
        <f aca="false">IF(V138&gt;=$C$3,W138/V138,"")</f>
        <v/>
      </c>
      <c r="Y138" s="8" t="n">
        <f aca="false">COUNT(F138,I138,L138,O138,R138,U138,X138)</f>
        <v>4</v>
      </c>
      <c r="Z138" s="11" t="n">
        <f aca="false">IF(Y138=0,"n/a",AVERAGE(F138,I138,L138,O138,R138,U138,X138))</f>
        <v>0.9375</v>
      </c>
      <c r="AA138" s="12" t="n">
        <f aca="false">IF(Y138=0,"",MIN(F138,I138,L138,O138,R138,U138,X138))</f>
        <v>0.75</v>
      </c>
      <c r="AB138" s="11" t="n">
        <f aca="false">IF(Y138=0,"",MAX(F138,I138,L138,O138,R138,U138,X138))</f>
        <v>1</v>
      </c>
      <c r="AC138" s="8" t="str">
        <f aca="false">IF(Y138&lt;2,"",IF(AB138-AA138&gt;$F$3,"Review",""))</f>
        <v/>
      </c>
      <c r="AD138" s="9" t="n">
        <f aca="false">IF(ISNUMBER(Z138),C138*Z138,"")</f>
        <v>6632.55</v>
      </c>
    </row>
    <row r="139" customFormat="false" ht="15" hidden="false" customHeight="false" outlineLevel="0" collapsed="false">
      <c r="A139" s="8" t="s">
        <v>191</v>
      </c>
      <c r="B139" s="8" t="s">
        <v>192</v>
      </c>
      <c r="C139" s="9" t="n">
        <v>77.4</v>
      </c>
      <c r="D139" s="8" t="n">
        <v>59</v>
      </c>
      <c r="E139" s="8" t="n">
        <v>59</v>
      </c>
      <c r="F139" s="10" t="n">
        <f aca="false">IF(D139&gt;=$C$3,E139/D139,"")</f>
        <v>1</v>
      </c>
      <c r="G139" s="8" t="n">
        <v>9</v>
      </c>
      <c r="H139" s="8" t="n">
        <v>9</v>
      </c>
      <c r="I139" s="10" t="n">
        <f aca="false">IF(G139&gt;=$C$3,H139/G139,"")</f>
        <v>1</v>
      </c>
      <c r="J139" s="8" t="n">
        <v>0</v>
      </c>
      <c r="K139" s="8" t="n">
        <v>0</v>
      </c>
      <c r="L139" s="10" t="str">
        <f aca="false">IF(J139&gt;=$C$3,K139/J139,"")</f>
        <v/>
      </c>
      <c r="M139" s="8" t="n">
        <v>6</v>
      </c>
      <c r="N139" s="8" t="n">
        <v>6</v>
      </c>
      <c r="O139" s="10" t="n">
        <f aca="false">IF(M139&gt;=$C$3,N139/M139,"")</f>
        <v>1</v>
      </c>
      <c r="P139" s="8" t="n">
        <v>1</v>
      </c>
      <c r="Q139" s="8" t="n">
        <v>0</v>
      </c>
      <c r="R139" s="10" t="str">
        <f aca="false">IF(P139&gt;=$C$3,Q139/P139,"")</f>
        <v/>
      </c>
      <c r="S139" s="8" t="n">
        <v>2</v>
      </c>
      <c r="T139" s="8" t="n">
        <v>2</v>
      </c>
      <c r="U139" s="10" t="str">
        <f aca="false">IF(S139&gt;=$C$3,T139/S139,"")</f>
        <v/>
      </c>
      <c r="V139" s="8" t="n">
        <v>1</v>
      </c>
      <c r="W139" s="8" t="n">
        <v>1</v>
      </c>
      <c r="X139" s="10" t="str">
        <f aca="false">IF(V139&gt;=$C$3,W139/V139,"")</f>
        <v/>
      </c>
      <c r="Y139" s="8" t="n">
        <f aca="false">COUNT(F139,I139,L139,O139,R139,U139,X139)</f>
        <v>3</v>
      </c>
      <c r="Z139" s="11" t="n">
        <f aca="false">IF(Y139=0,"n/a",AVERAGE(F139,I139,L139,O139,R139,U139,X139))</f>
        <v>1</v>
      </c>
      <c r="AA139" s="12" t="n">
        <f aca="false">IF(Y139=0,"",MIN(F139,I139,L139,O139,R139,U139,X139))</f>
        <v>1</v>
      </c>
      <c r="AB139" s="11" t="n">
        <f aca="false">IF(Y139=0,"",MAX(F139,I139,L139,O139,R139,U139,X139))</f>
        <v>1</v>
      </c>
      <c r="AC139" s="8" t="str">
        <f aca="false">IF(Y139&lt;2,"",IF(AB139-AA139&gt;$F$3,"Review",""))</f>
        <v/>
      </c>
      <c r="AD139" s="9" t="n">
        <f aca="false">IF(ISNUMBER(Z139),C139*Z139,"")</f>
        <v>77.4</v>
      </c>
    </row>
    <row r="140" customFormat="false" ht="15" hidden="false" customHeight="false" outlineLevel="0" collapsed="false">
      <c r="A140" s="8" t="s">
        <v>193</v>
      </c>
      <c r="B140" s="8" t="s">
        <v>194</v>
      </c>
      <c r="C140" s="9" t="n">
        <v>7276.73</v>
      </c>
      <c r="D140" s="8" t="n">
        <v>0</v>
      </c>
      <c r="E140" s="8" t="n">
        <v>0</v>
      </c>
      <c r="F140" s="10" t="str">
        <f aca="false">IF(D140&gt;=$C$3,E140/D140,"")</f>
        <v/>
      </c>
      <c r="G140" s="8" t="n">
        <v>0</v>
      </c>
      <c r="H140" s="8" t="n">
        <v>0</v>
      </c>
      <c r="I140" s="10" t="str">
        <f aca="false">IF(G140&gt;=$C$3,H140/G140,"")</f>
        <v/>
      </c>
      <c r="J140" s="8" t="n">
        <v>1</v>
      </c>
      <c r="K140" s="8" t="n">
        <v>1</v>
      </c>
      <c r="L140" s="10" t="str">
        <f aca="false">IF(J140&gt;=$C$3,K140/J140,"")</f>
        <v/>
      </c>
      <c r="M140" s="8" t="n">
        <v>0</v>
      </c>
      <c r="N140" s="8" t="n">
        <v>0</v>
      </c>
      <c r="O140" s="10" t="str">
        <f aca="false">IF(M140&gt;=$C$3,N140/M140,"")</f>
        <v/>
      </c>
      <c r="P140" s="8" t="n">
        <v>1</v>
      </c>
      <c r="Q140" s="8" t="n">
        <v>1</v>
      </c>
      <c r="R140" s="10" t="str">
        <f aca="false">IF(P140&gt;=$C$3,Q140/P140,"")</f>
        <v/>
      </c>
      <c r="S140" s="8" t="n">
        <v>1</v>
      </c>
      <c r="T140" s="8" t="n">
        <v>1</v>
      </c>
      <c r="U140" s="10" t="str">
        <f aca="false">IF(S140&gt;=$C$3,T140/S140,"")</f>
        <v/>
      </c>
      <c r="V140" s="8" t="n">
        <v>19</v>
      </c>
      <c r="W140" s="8" t="n">
        <v>18</v>
      </c>
      <c r="X140" s="10" t="n">
        <f aca="false">IF(V140&gt;=$C$3,W140/V140,"")</f>
        <v>0.947368421052632</v>
      </c>
      <c r="Y140" s="8" t="n">
        <f aca="false">COUNT(F140,I140,L140,O140,R140,U140,X140)</f>
        <v>1</v>
      </c>
      <c r="Z140" s="11" t="n">
        <f aca="false">IF(Y140=0,"n/a",AVERAGE(F140,I140,L140,O140,R140,U140,X140))</f>
        <v>0.947368421052632</v>
      </c>
      <c r="AA140" s="12" t="n">
        <f aca="false">IF(Y140=0,"",MIN(F140,I140,L140,O140,R140,U140,X140))</f>
        <v>0.947368421052632</v>
      </c>
      <c r="AB140" s="11" t="n">
        <f aca="false">IF(Y140=0,"",MAX(F140,I140,L140,O140,R140,U140,X140))</f>
        <v>0.947368421052632</v>
      </c>
      <c r="AC140" s="8" t="str">
        <f aca="false">IF(Y140&lt;2,"",IF(AB140-AA140&gt;$F$3,"Review",""))</f>
        <v/>
      </c>
      <c r="AD140" s="9" t="n">
        <f aca="false">IF(ISNUMBER(Z140),C140*Z140,"")</f>
        <v>6893.74421052632</v>
      </c>
    </row>
    <row r="141" customFormat="false" ht="15" hidden="false" customHeight="false" outlineLevel="0" collapsed="false">
      <c r="A141" s="8" t="s">
        <v>195</v>
      </c>
      <c r="B141" s="8" t="s">
        <v>194</v>
      </c>
      <c r="C141" s="9" t="n">
        <v>1202.23</v>
      </c>
      <c r="D141" s="8" t="n">
        <v>20</v>
      </c>
      <c r="E141" s="8" t="n">
        <v>20</v>
      </c>
      <c r="F141" s="10" t="n">
        <f aca="false">IF(D141&gt;=$C$3,E141/D141,"")</f>
        <v>1</v>
      </c>
      <c r="G141" s="8" t="n">
        <v>1</v>
      </c>
      <c r="H141" s="8" t="n">
        <v>1</v>
      </c>
      <c r="I141" s="10" t="str">
        <f aca="false">IF(G141&gt;=$C$3,H141/G141,"")</f>
        <v/>
      </c>
      <c r="J141" s="8" t="n">
        <v>1</v>
      </c>
      <c r="K141" s="8" t="n">
        <v>1</v>
      </c>
      <c r="L141" s="10" t="str">
        <f aca="false">IF(J141&gt;=$C$3,K141/J141,"")</f>
        <v/>
      </c>
      <c r="M141" s="8" t="n">
        <v>1</v>
      </c>
      <c r="N141" s="8" t="n">
        <v>1</v>
      </c>
      <c r="O141" s="10" t="str">
        <f aca="false">IF(M141&gt;=$C$3,N141/M141,"")</f>
        <v/>
      </c>
      <c r="P141" s="8" t="n">
        <v>0</v>
      </c>
      <c r="Q141" s="8" t="n">
        <v>0</v>
      </c>
      <c r="R141" s="10" t="str">
        <f aca="false">IF(P141&gt;=$C$3,Q141/P141,"")</f>
        <v/>
      </c>
      <c r="S141" s="8" t="n">
        <v>0</v>
      </c>
      <c r="T141" s="8" t="n">
        <v>0</v>
      </c>
      <c r="U141" s="10" t="str">
        <f aca="false">IF(S141&gt;=$C$3,T141/S141,"")</f>
        <v/>
      </c>
      <c r="V141" s="8" t="n">
        <v>5</v>
      </c>
      <c r="W141" s="8" t="n">
        <v>5</v>
      </c>
      <c r="X141" s="10" t="n">
        <f aca="false">IF(V141&gt;=$C$3,W141/V141,"")</f>
        <v>1</v>
      </c>
      <c r="Y141" s="8" t="n">
        <f aca="false">COUNT(F141,I141,L141,O141,R141,U141,X141)</f>
        <v>2</v>
      </c>
      <c r="Z141" s="11" t="n">
        <f aca="false">IF(Y141=0,"n/a",AVERAGE(F141,I141,L141,O141,R141,U141,X141))</f>
        <v>1</v>
      </c>
      <c r="AA141" s="12" t="n">
        <f aca="false">IF(Y141=0,"",MIN(F141,I141,L141,O141,R141,U141,X141))</f>
        <v>1</v>
      </c>
      <c r="AB141" s="11" t="n">
        <f aca="false">IF(Y141=0,"",MAX(F141,I141,L141,O141,R141,U141,X141))</f>
        <v>1</v>
      </c>
      <c r="AC141" s="8" t="str">
        <f aca="false">IF(Y141&lt;2,"",IF(AB141-AA141&gt;$F$3,"Review",""))</f>
        <v/>
      </c>
      <c r="AD141" s="9" t="n">
        <f aca="false">IF(ISNUMBER(Z141),C141*Z141,"")</f>
        <v>1202.23</v>
      </c>
    </row>
    <row r="142" customFormat="false" ht="15" hidden="false" customHeight="false" outlineLevel="0" collapsed="false">
      <c r="A142" s="8" t="s">
        <v>196</v>
      </c>
      <c r="B142" s="8" t="s">
        <v>194</v>
      </c>
      <c r="C142" s="9" t="n">
        <v>262.84</v>
      </c>
      <c r="D142" s="8" t="n">
        <v>105</v>
      </c>
      <c r="E142" s="8" t="n">
        <v>105</v>
      </c>
      <c r="F142" s="10" t="n">
        <f aca="false">IF(D142&gt;=$C$3,E142/D142,"")</f>
        <v>1</v>
      </c>
      <c r="G142" s="8" t="n">
        <v>9</v>
      </c>
      <c r="H142" s="8" t="n">
        <v>9</v>
      </c>
      <c r="I142" s="10" t="n">
        <f aca="false">IF(G142&gt;=$C$3,H142/G142,"")</f>
        <v>1</v>
      </c>
      <c r="J142" s="8" t="n">
        <v>4</v>
      </c>
      <c r="K142" s="8" t="n">
        <v>0</v>
      </c>
      <c r="L142" s="10" t="n">
        <f aca="false">IF(J142&gt;=$C$3,K142/J142,"")</f>
        <v>0</v>
      </c>
      <c r="M142" s="8" t="n">
        <v>12</v>
      </c>
      <c r="N142" s="8" t="n">
        <v>12</v>
      </c>
      <c r="O142" s="10" t="n">
        <f aca="false">IF(M142&gt;=$C$3,N142/M142,"")</f>
        <v>1</v>
      </c>
      <c r="P142" s="8" t="n">
        <v>3</v>
      </c>
      <c r="Q142" s="8" t="n">
        <v>3</v>
      </c>
      <c r="R142" s="10" t="n">
        <f aca="false">IF(P142&gt;=$C$3,Q142/P142,"")</f>
        <v>1</v>
      </c>
      <c r="S142" s="8" t="n">
        <v>5</v>
      </c>
      <c r="T142" s="8" t="n">
        <v>4</v>
      </c>
      <c r="U142" s="10" t="n">
        <f aca="false">IF(S142&gt;=$C$3,T142/S142,"")</f>
        <v>0.8</v>
      </c>
      <c r="V142" s="8" t="n">
        <v>8</v>
      </c>
      <c r="W142" s="8" t="n">
        <v>1</v>
      </c>
      <c r="X142" s="10" t="n">
        <f aca="false">IF(V142&gt;=$C$3,W142/V142,"")</f>
        <v>0.125</v>
      </c>
      <c r="Y142" s="8" t="n">
        <f aca="false">COUNT(F142,I142,L142,O142,R142,U142,X142)</f>
        <v>7</v>
      </c>
      <c r="Z142" s="11" t="n">
        <f aca="false">IF(Y142=0,"n/a",AVERAGE(F142,I142,L142,O142,R142,U142,X142))</f>
        <v>0.703571428571429</v>
      </c>
      <c r="AA142" s="12" t="n">
        <f aca="false">IF(Y142=0,"",MIN(F142,I142,L142,O142,R142,U142,X142))</f>
        <v>0</v>
      </c>
      <c r="AB142" s="11" t="n">
        <f aca="false">IF(Y142=0,"",MAX(F142,I142,L142,O142,R142,U142,X142))</f>
        <v>1</v>
      </c>
      <c r="AC142" s="8" t="str">
        <f aca="false">IF(Y142&lt;2,"",IF(AB142-AA142&gt;$F$3,"Review",""))</f>
        <v>Review</v>
      </c>
      <c r="AD142" s="9" t="n">
        <f aca="false">IF(ISNUMBER(Z142),C142*Z142,"")</f>
        <v>184.926714285714</v>
      </c>
    </row>
    <row r="143" customFormat="false" ht="15" hidden="false" customHeight="false" outlineLevel="0" collapsed="false">
      <c r="A143" s="8" t="s">
        <v>197</v>
      </c>
      <c r="B143" s="8" t="s">
        <v>43</v>
      </c>
      <c r="C143" s="9" t="n">
        <v>11040.91</v>
      </c>
      <c r="D143" s="8" t="n">
        <v>80</v>
      </c>
      <c r="E143" s="8" t="n">
        <v>80</v>
      </c>
      <c r="F143" s="10" t="n">
        <f aca="false">IF(D143&gt;=$C$3,E143/D143,"")</f>
        <v>1</v>
      </c>
      <c r="G143" s="8" t="n">
        <v>18</v>
      </c>
      <c r="H143" s="8" t="n">
        <v>18</v>
      </c>
      <c r="I143" s="10" t="n">
        <f aca="false">IF(G143&gt;=$C$3,H143/G143,"")</f>
        <v>1</v>
      </c>
      <c r="J143" s="8" t="n">
        <v>6</v>
      </c>
      <c r="K143" s="8" t="n">
        <v>6</v>
      </c>
      <c r="L143" s="10" t="n">
        <f aca="false">IF(J143&gt;=$C$3,K143/J143,"")</f>
        <v>1</v>
      </c>
      <c r="M143" s="8" t="n">
        <v>10</v>
      </c>
      <c r="N143" s="8" t="n">
        <v>10</v>
      </c>
      <c r="O143" s="10" t="n">
        <f aca="false">IF(M143&gt;=$C$3,N143/M143,"")</f>
        <v>1</v>
      </c>
      <c r="P143" s="8" t="n">
        <v>0</v>
      </c>
      <c r="Q143" s="8" t="n">
        <v>0</v>
      </c>
      <c r="R143" s="10" t="str">
        <f aca="false">IF(P143&gt;=$C$3,Q143/P143,"")</f>
        <v/>
      </c>
      <c r="S143" s="8" t="n">
        <v>0</v>
      </c>
      <c r="T143" s="8" t="n">
        <v>0</v>
      </c>
      <c r="U143" s="10" t="str">
        <f aca="false">IF(S143&gt;=$C$3,T143/S143,"")</f>
        <v/>
      </c>
      <c r="V143" s="8" t="n">
        <v>14</v>
      </c>
      <c r="W143" s="8" t="n">
        <v>14</v>
      </c>
      <c r="X143" s="10" t="n">
        <f aca="false">IF(V143&gt;=$C$3,W143/V143,"")</f>
        <v>1</v>
      </c>
      <c r="Y143" s="8" t="n">
        <f aca="false">COUNT(F143,I143,L143,O143,R143,U143,X143)</f>
        <v>5</v>
      </c>
      <c r="Z143" s="11" t="n">
        <f aca="false">IF(Y143=0,"n/a",AVERAGE(F143,I143,L143,O143,R143,U143,X143))</f>
        <v>1</v>
      </c>
      <c r="AA143" s="12" t="n">
        <f aca="false">IF(Y143=0,"",MIN(F143,I143,L143,O143,R143,U143,X143))</f>
        <v>1</v>
      </c>
      <c r="AB143" s="11" t="n">
        <f aca="false">IF(Y143=0,"",MAX(F143,I143,L143,O143,R143,U143,X143))</f>
        <v>1</v>
      </c>
      <c r="AC143" s="8" t="str">
        <f aca="false">IF(Y143&lt;2,"",IF(AB143-AA143&gt;$F$3,"Review",""))</f>
        <v/>
      </c>
      <c r="AD143" s="9" t="n">
        <f aca="false">IF(ISNUMBER(Z143),C143*Z143,"")</f>
        <v>11040.91</v>
      </c>
    </row>
    <row r="144" customFormat="false" ht="15" hidden="false" customHeight="false" outlineLevel="0" collapsed="false">
      <c r="A144" s="8" t="s">
        <v>198</v>
      </c>
      <c r="B144" s="8" t="s">
        <v>31</v>
      </c>
      <c r="C144" s="9" t="n">
        <v>6629.25</v>
      </c>
      <c r="D144" s="8" t="n">
        <v>106</v>
      </c>
      <c r="E144" s="8" t="n">
        <v>105</v>
      </c>
      <c r="F144" s="10" t="n">
        <f aca="false">IF(D144&gt;=$C$3,E144/D144,"")</f>
        <v>0.990566037735849</v>
      </c>
      <c r="G144" s="8" t="n">
        <v>11</v>
      </c>
      <c r="H144" s="8" t="n">
        <v>11</v>
      </c>
      <c r="I144" s="10" t="n">
        <f aca="false">IF(G144&gt;=$C$3,H144/G144,"")</f>
        <v>1</v>
      </c>
      <c r="J144" s="8" t="n">
        <v>2</v>
      </c>
      <c r="K144" s="8" t="n">
        <v>2</v>
      </c>
      <c r="L144" s="10" t="str">
        <f aca="false">IF(J144&gt;=$C$3,K144/J144,"")</f>
        <v/>
      </c>
      <c r="M144" s="8" t="n">
        <v>8</v>
      </c>
      <c r="N144" s="8" t="n">
        <v>8</v>
      </c>
      <c r="O144" s="10" t="n">
        <f aca="false">IF(M144&gt;=$C$3,N144/M144,"")</f>
        <v>1</v>
      </c>
      <c r="P144" s="8" t="n">
        <v>10</v>
      </c>
      <c r="Q144" s="8" t="n">
        <v>10</v>
      </c>
      <c r="R144" s="10" t="n">
        <f aca="false">IF(P144&gt;=$C$3,Q144/P144,"")</f>
        <v>1</v>
      </c>
      <c r="S144" s="8" t="n">
        <v>3</v>
      </c>
      <c r="T144" s="8" t="n">
        <v>3</v>
      </c>
      <c r="U144" s="10" t="n">
        <f aca="false">IF(S144&gt;=$C$3,T144/S144,"")</f>
        <v>1</v>
      </c>
      <c r="V144" s="8" t="n">
        <v>6</v>
      </c>
      <c r="W144" s="8" t="n">
        <v>6</v>
      </c>
      <c r="X144" s="10" t="n">
        <f aca="false">IF(V144&gt;=$C$3,W144/V144,"")</f>
        <v>1</v>
      </c>
      <c r="Y144" s="8" t="n">
        <f aca="false">COUNT(F144,I144,L144,O144,R144,U144,X144)</f>
        <v>6</v>
      </c>
      <c r="Z144" s="11" t="n">
        <f aca="false">IF(Y144=0,"n/a",AVERAGE(F144,I144,L144,O144,R144,U144,X144))</f>
        <v>0.998427672955975</v>
      </c>
      <c r="AA144" s="12" t="n">
        <f aca="false">IF(Y144=0,"",MIN(F144,I144,L144,O144,R144,U144,X144))</f>
        <v>0.990566037735849</v>
      </c>
      <c r="AB144" s="11" t="n">
        <f aca="false">IF(Y144=0,"",MAX(F144,I144,L144,O144,R144,U144,X144))</f>
        <v>1</v>
      </c>
      <c r="AC144" s="8" t="str">
        <f aca="false">IF(Y144&lt;2,"",IF(AB144-AA144&gt;$F$3,"Review",""))</f>
        <v/>
      </c>
      <c r="AD144" s="9" t="n">
        <f aca="false">IF(ISNUMBER(Z144),C144*Z144,"")</f>
        <v>6618.8266509434</v>
      </c>
    </row>
    <row r="145" customFormat="false" ht="15" hidden="false" customHeight="false" outlineLevel="0" collapsed="false">
      <c r="A145" s="8" t="s">
        <v>199</v>
      </c>
      <c r="B145" s="8" t="s">
        <v>27</v>
      </c>
      <c r="C145" s="9" t="n">
        <v>2812.77</v>
      </c>
      <c r="D145" s="8" t="n">
        <v>39</v>
      </c>
      <c r="E145" s="8" t="n">
        <v>39</v>
      </c>
      <c r="F145" s="10" t="n">
        <f aca="false">IF(D145&gt;=$C$3,E145/D145,"")</f>
        <v>1</v>
      </c>
      <c r="G145" s="8" t="n">
        <v>5</v>
      </c>
      <c r="H145" s="8" t="n">
        <v>5</v>
      </c>
      <c r="I145" s="10" t="n">
        <f aca="false">IF(G145&gt;=$C$3,H145/G145,"")</f>
        <v>1</v>
      </c>
      <c r="J145" s="8" t="n">
        <v>1</v>
      </c>
      <c r="K145" s="8" t="n">
        <v>1</v>
      </c>
      <c r="L145" s="10" t="str">
        <f aca="false">IF(J145&gt;=$C$3,K145/J145,"")</f>
        <v/>
      </c>
      <c r="M145" s="8" t="n">
        <v>4</v>
      </c>
      <c r="N145" s="8" t="n">
        <v>4</v>
      </c>
      <c r="O145" s="10" t="n">
        <f aca="false">IF(M145&gt;=$C$3,N145/M145,"")</f>
        <v>1</v>
      </c>
      <c r="P145" s="8" t="n">
        <v>3</v>
      </c>
      <c r="Q145" s="8" t="n">
        <v>3</v>
      </c>
      <c r="R145" s="10" t="n">
        <f aca="false">IF(P145&gt;=$C$3,Q145/P145,"")</f>
        <v>1</v>
      </c>
      <c r="S145" s="8" t="n">
        <v>4</v>
      </c>
      <c r="T145" s="8" t="n">
        <v>4</v>
      </c>
      <c r="U145" s="10" t="n">
        <f aca="false">IF(S145&gt;=$C$3,T145/S145,"")</f>
        <v>1</v>
      </c>
      <c r="V145" s="8" t="n">
        <v>7</v>
      </c>
      <c r="W145" s="8" t="n">
        <v>7</v>
      </c>
      <c r="X145" s="10" t="n">
        <f aca="false">IF(V145&gt;=$C$3,W145/V145,"")</f>
        <v>1</v>
      </c>
      <c r="Y145" s="8" t="n">
        <f aca="false">COUNT(F145,I145,L145,O145,R145,U145,X145)</f>
        <v>6</v>
      </c>
      <c r="Z145" s="11" t="n">
        <f aca="false">IF(Y145=0,"n/a",AVERAGE(F145,I145,L145,O145,R145,U145,X145))</f>
        <v>1</v>
      </c>
      <c r="AA145" s="12" t="n">
        <f aca="false">IF(Y145=0,"",MIN(F145,I145,L145,O145,R145,U145,X145))</f>
        <v>1</v>
      </c>
      <c r="AB145" s="11" t="n">
        <f aca="false">IF(Y145=0,"",MAX(F145,I145,L145,O145,R145,U145,X145))</f>
        <v>1</v>
      </c>
      <c r="AC145" s="8" t="str">
        <f aca="false">IF(Y145&lt;2,"",IF(AB145-AA145&gt;$F$3,"Review",""))</f>
        <v/>
      </c>
      <c r="AD145" s="9" t="n">
        <f aca="false">IF(ISNUMBER(Z145),C145*Z145,"")</f>
        <v>2812.77</v>
      </c>
    </row>
    <row r="146" customFormat="false" ht="15" hidden="false" customHeight="false" outlineLevel="0" collapsed="false">
      <c r="A146" s="8" t="s">
        <v>200</v>
      </c>
      <c r="B146" s="8" t="s">
        <v>36</v>
      </c>
      <c r="C146" s="9" t="n">
        <v>36428.56</v>
      </c>
      <c r="D146" s="8" t="n">
        <v>207</v>
      </c>
      <c r="E146" s="8" t="n">
        <v>149</v>
      </c>
      <c r="F146" s="10" t="n">
        <f aca="false">IF(D146&gt;=$C$3,E146/D146,"")</f>
        <v>0.719806763285024</v>
      </c>
      <c r="G146" s="8" t="n">
        <v>30</v>
      </c>
      <c r="H146" s="8" t="n">
        <v>12</v>
      </c>
      <c r="I146" s="10" t="n">
        <f aca="false">IF(G146&gt;=$C$3,H146/G146,"")</f>
        <v>0.4</v>
      </c>
      <c r="J146" s="8" t="n">
        <v>13</v>
      </c>
      <c r="K146" s="8" t="n">
        <v>7</v>
      </c>
      <c r="L146" s="10" t="n">
        <f aca="false">IF(J146&gt;=$C$3,K146/J146,"")</f>
        <v>0.538461538461538</v>
      </c>
      <c r="M146" s="8" t="n">
        <v>30</v>
      </c>
      <c r="N146" s="8" t="n">
        <v>20</v>
      </c>
      <c r="O146" s="10" t="n">
        <f aca="false">IF(M146&gt;=$C$3,N146/M146,"")</f>
        <v>0.666666666666667</v>
      </c>
      <c r="P146" s="8" t="n">
        <v>27</v>
      </c>
      <c r="Q146" s="8" t="n">
        <v>15</v>
      </c>
      <c r="R146" s="10" t="n">
        <f aca="false">IF(P146&gt;=$C$3,Q146/P146,"")</f>
        <v>0.555555555555556</v>
      </c>
      <c r="S146" s="8" t="n">
        <v>17</v>
      </c>
      <c r="T146" s="8" t="n">
        <v>12</v>
      </c>
      <c r="U146" s="10" t="n">
        <f aca="false">IF(S146&gt;=$C$3,T146/S146,"")</f>
        <v>0.705882352941177</v>
      </c>
      <c r="V146" s="8" t="n">
        <v>27</v>
      </c>
      <c r="W146" s="8" t="n">
        <v>20</v>
      </c>
      <c r="X146" s="10" t="n">
        <f aca="false">IF(V146&gt;=$C$3,W146/V146,"")</f>
        <v>0.740740740740741</v>
      </c>
      <c r="Y146" s="8" t="n">
        <f aca="false">COUNT(F146,I146,L146,O146,R146,U146,X146)</f>
        <v>7</v>
      </c>
      <c r="Z146" s="11" t="n">
        <f aca="false">IF(Y146=0,"n/a",AVERAGE(F146,I146,L146,O146,R146,U146,X146))</f>
        <v>0.618159088235815</v>
      </c>
      <c r="AA146" s="12" t="n">
        <f aca="false">IF(Y146=0,"",MIN(F146,I146,L146,O146,R146,U146,X146))</f>
        <v>0.4</v>
      </c>
      <c r="AB146" s="11" t="n">
        <f aca="false">IF(Y146=0,"",MAX(F146,I146,L146,O146,R146,U146,X146))</f>
        <v>0.740740740740741</v>
      </c>
      <c r="AC146" s="8" t="str">
        <f aca="false">IF(Y146&lt;2,"",IF(AB146-AA146&gt;$F$3,"Review",""))</f>
        <v/>
      </c>
      <c r="AD146" s="9" t="n">
        <f aca="false">IF(ISNUMBER(Z146),C146*Z146,"")</f>
        <v>22518.6454353437</v>
      </c>
    </row>
    <row r="147" customFormat="false" ht="15" hidden="false" customHeight="false" outlineLevel="0" collapsed="false">
      <c r="A147" s="8" t="s">
        <v>201</v>
      </c>
      <c r="B147" s="8" t="s">
        <v>43</v>
      </c>
      <c r="C147" s="9" t="n">
        <v>142879.93</v>
      </c>
      <c r="D147" s="8" t="n">
        <v>48</v>
      </c>
      <c r="E147" s="8" t="n">
        <v>48</v>
      </c>
      <c r="F147" s="10" t="n">
        <f aca="false">IF(D147&gt;=$C$3,E147/D147,"")</f>
        <v>1</v>
      </c>
      <c r="G147" s="8" t="n">
        <v>19</v>
      </c>
      <c r="H147" s="8" t="n">
        <v>17</v>
      </c>
      <c r="I147" s="10" t="n">
        <f aca="false">IF(G147&gt;=$C$3,H147/G147,"")</f>
        <v>0.894736842105263</v>
      </c>
      <c r="J147" s="8" t="n">
        <v>18</v>
      </c>
      <c r="K147" s="8" t="n">
        <v>18</v>
      </c>
      <c r="L147" s="10" t="n">
        <f aca="false">IF(J147&gt;=$C$3,K147/J147,"")</f>
        <v>1</v>
      </c>
      <c r="M147" s="8" t="n">
        <v>18</v>
      </c>
      <c r="N147" s="8" t="n">
        <v>18</v>
      </c>
      <c r="O147" s="10" t="n">
        <f aca="false">IF(M147&gt;=$C$3,N147/M147,"")</f>
        <v>1</v>
      </c>
      <c r="P147" s="8" t="n">
        <v>11</v>
      </c>
      <c r="Q147" s="8" t="n">
        <v>9</v>
      </c>
      <c r="R147" s="10" t="n">
        <f aca="false">IF(P147&gt;=$C$3,Q147/P147,"")</f>
        <v>0.818181818181818</v>
      </c>
      <c r="S147" s="8" t="n">
        <v>14</v>
      </c>
      <c r="T147" s="8" t="n">
        <v>14</v>
      </c>
      <c r="U147" s="10" t="n">
        <f aca="false">IF(S147&gt;=$C$3,T147/S147,"")</f>
        <v>1</v>
      </c>
      <c r="V147" s="8" t="n">
        <v>19</v>
      </c>
      <c r="W147" s="8" t="n">
        <v>15</v>
      </c>
      <c r="X147" s="10" t="n">
        <f aca="false">IF(V147&gt;=$C$3,W147/V147,"")</f>
        <v>0.789473684210526</v>
      </c>
      <c r="Y147" s="8" t="n">
        <f aca="false">COUNT(F147,I147,L147,O147,R147,U147,X147)</f>
        <v>7</v>
      </c>
      <c r="Z147" s="11" t="n">
        <f aca="false">IF(Y147=0,"n/a",AVERAGE(F147,I147,L147,O147,R147,U147,X147))</f>
        <v>0.928913192071087</v>
      </c>
      <c r="AA147" s="12" t="n">
        <f aca="false">IF(Y147=0,"",MIN(F147,I147,L147,O147,R147,U147,X147))</f>
        <v>0.789473684210526</v>
      </c>
      <c r="AB147" s="11" t="n">
        <f aca="false">IF(Y147=0,"",MAX(F147,I147,L147,O147,R147,U147,X147))</f>
        <v>1</v>
      </c>
      <c r="AC147" s="8" t="str">
        <f aca="false">IF(Y147&lt;2,"",IF(AB147-AA147&gt;$F$3,"Review",""))</f>
        <v/>
      </c>
      <c r="AD147" s="9" t="n">
        <f aca="false">IF(ISNUMBER(Z147),C147*Z147,"")</f>
        <v>132723.051859193</v>
      </c>
    </row>
    <row r="148" customFormat="false" ht="15" hidden="false" customHeight="false" outlineLevel="0" collapsed="false">
      <c r="A148" s="8" t="s">
        <v>202</v>
      </c>
      <c r="B148" s="8" t="s">
        <v>146</v>
      </c>
      <c r="C148" s="9" t="n">
        <v>16205.48</v>
      </c>
      <c r="D148" s="8" t="n">
        <v>113</v>
      </c>
      <c r="E148" s="8" t="n">
        <v>29</v>
      </c>
      <c r="F148" s="10" t="n">
        <f aca="false">IF(D148&gt;=$C$3,E148/D148,"")</f>
        <v>0.256637168141593</v>
      </c>
      <c r="G148" s="8" t="n">
        <v>2</v>
      </c>
      <c r="H148" s="8" t="n">
        <v>0</v>
      </c>
      <c r="I148" s="10" t="str">
        <f aca="false">IF(G148&gt;=$C$3,H148/G148,"")</f>
        <v/>
      </c>
      <c r="J148" s="8" t="n">
        <v>16</v>
      </c>
      <c r="K148" s="8" t="n">
        <v>5</v>
      </c>
      <c r="L148" s="10" t="n">
        <f aca="false">IF(J148&gt;=$C$3,K148/J148,"")</f>
        <v>0.3125</v>
      </c>
      <c r="M148" s="8" t="n">
        <v>13</v>
      </c>
      <c r="N148" s="8" t="n">
        <v>3</v>
      </c>
      <c r="O148" s="10" t="n">
        <f aca="false">IF(M148&gt;=$C$3,N148/M148,"")</f>
        <v>0.230769230769231</v>
      </c>
      <c r="P148" s="8" t="n">
        <v>2</v>
      </c>
      <c r="Q148" s="8" t="n">
        <v>0</v>
      </c>
      <c r="R148" s="10" t="str">
        <f aca="false">IF(P148&gt;=$C$3,Q148/P148,"")</f>
        <v/>
      </c>
      <c r="S148" s="8" t="n">
        <v>9</v>
      </c>
      <c r="T148" s="8" t="n">
        <v>2</v>
      </c>
      <c r="U148" s="10" t="n">
        <f aca="false">IF(S148&gt;=$C$3,T148/S148,"")</f>
        <v>0.222222222222222</v>
      </c>
      <c r="V148" s="8" t="n">
        <v>103</v>
      </c>
      <c r="W148" s="8" t="n">
        <v>30</v>
      </c>
      <c r="X148" s="10" t="n">
        <f aca="false">IF(V148&gt;=$C$3,W148/V148,"")</f>
        <v>0.29126213592233</v>
      </c>
      <c r="Y148" s="8" t="n">
        <f aca="false">COUNT(F148,I148,L148,O148,R148,U148,X148)</f>
        <v>5</v>
      </c>
      <c r="Z148" s="11" t="n">
        <f aca="false">IF(Y148=0,"n/a",AVERAGE(F148,I148,L148,O148,R148,U148,X148))</f>
        <v>0.262678151411075</v>
      </c>
      <c r="AA148" s="12" t="n">
        <f aca="false">IF(Y148=0,"",MIN(F148,I148,L148,O148,R148,U148,X148))</f>
        <v>0.222222222222222</v>
      </c>
      <c r="AB148" s="11" t="n">
        <f aca="false">IF(Y148=0,"",MAX(F148,I148,L148,O148,R148,U148,X148))</f>
        <v>0.3125</v>
      </c>
      <c r="AC148" s="8" t="str">
        <f aca="false">IF(Y148&lt;2,"",IF(AB148-AA148&gt;$F$3,"Review",""))</f>
        <v/>
      </c>
      <c r="AD148" s="9" t="n">
        <f aca="false">IF(ISNUMBER(Z148),C148*Z148,"")</f>
        <v>4256.82552912915</v>
      </c>
    </row>
    <row r="149" customFormat="false" ht="15" hidden="false" customHeight="false" outlineLevel="0" collapsed="false">
      <c r="A149" s="8" t="s">
        <v>203</v>
      </c>
      <c r="B149" s="8" t="s">
        <v>204</v>
      </c>
      <c r="C149" s="9" t="n">
        <v>2485.93</v>
      </c>
      <c r="D149" s="8" t="n">
        <v>47</v>
      </c>
      <c r="E149" s="8" t="n">
        <v>47</v>
      </c>
      <c r="F149" s="10" t="n">
        <f aca="false">IF(D149&gt;=$C$3,E149/D149,"")</f>
        <v>1</v>
      </c>
      <c r="G149" s="8" t="n">
        <v>44</v>
      </c>
      <c r="H149" s="8" t="n">
        <v>44</v>
      </c>
      <c r="I149" s="10" t="n">
        <f aca="false">IF(G149&gt;=$C$3,H149/G149,"")</f>
        <v>1</v>
      </c>
      <c r="J149" s="8" t="n">
        <v>27</v>
      </c>
      <c r="K149" s="8" t="n">
        <v>27</v>
      </c>
      <c r="L149" s="10" t="n">
        <f aca="false">IF(J149&gt;=$C$3,K149/J149,"")</f>
        <v>1</v>
      </c>
      <c r="M149" s="8" t="n">
        <v>35</v>
      </c>
      <c r="N149" s="8" t="n">
        <v>35</v>
      </c>
      <c r="O149" s="10" t="n">
        <f aca="false">IF(M149&gt;=$C$3,N149/M149,"")</f>
        <v>1</v>
      </c>
      <c r="P149" s="8" t="n">
        <v>6</v>
      </c>
      <c r="Q149" s="8" t="n">
        <v>6</v>
      </c>
      <c r="R149" s="10" t="n">
        <f aca="false">IF(P149&gt;=$C$3,Q149/P149,"")</f>
        <v>1</v>
      </c>
      <c r="S149" s="8" t="n">
        <v>13</v>
      </c>
      <c r="T149" s="8" t="n">
        <v>13</v>
      </c>
      <c r="U149" s="10" t="n">
        <f aca="false">IF(S149&gt;=$C$3,T149/S149,"")</f>
        <v>1</v>
      </c>
      <c r="V149" s="8" t="n">
        <v>27</v>
      </c>
      <c r="W149" s="8" t="n">
        <v>27</v>
      </c>
      <c r="X149" s="10" t="n">
        <f aca="false">IF(V149&gt;=$C$3,W149/V149,"")</f>
        <v>1</v>
      </c>
      <c r="Y149" s="8" t="n">
        <f aca="false">COUNT(F149,I149,L149,O149,R149,U149,X149)</f>
        <v>7</v>
      </c>
      <c r="Z149" s="11" t="n">
        <f aca="false">IF(Y149=0,"n/a",AVERAGE(F149,I149,L149,O149,R149,U149,X149))</f>
        <v>1</v>
      </c>
      <c r="AA149" s="12" t="n">
        <f aca="false">IF(Y149=0,"",MIN(F149,I149,L149,O149,R149,U149,X149))</f>
        <v>1</v>
      </c>
      <c r="AB149" s="11" t="n">
        <f aca="false">IF(Y149=0,"",MAX(F149,I149,L149,O149,R149,U149,X149))</f>
        <v>1</v>
      </c>
      <c r="AC149" s="8" t="str">
        <f aca="false">IF(Y149&lt;2,"",IF(AB149-AA149&gt;$F$3,"Review",""))</f>
        <v/>
      </c>
      <c r="AD149" s="9" t="n">
        <f aca="false">IF(ISNUMBER(Z149),C149*Z149,"")</f>
        <v>2485.93</v>
      </c>
    </row>
    <row r="150" customFormat="false" ht="15" hidden="false" customHeight="false" outlineLevel="0" collapsed="false">
      <c r="A150" s="8" t="s">
        <v>205</v>
      </c>
      <c r="B150" s="8" t="s">
        <v>31</v>
      </c>
      <c r="C150" s="9" t="n">
        <v>53526.71</v>
      </c>
      <c r="D150" s="8" t="n">
        <v>221</v>
      </c>
      <c r="E150" s="8" t="n">
        <v>187</v>
      </c>
      <c r="F150" s="10" t="n">
        <f aca="false">IF(D150&gt;=$C$3,E150/D150,"")</f>
        <v>0.846153846153846</v>
      </c>
      <c r="G150" s="8" t="n">
        <v>29</v>
      </c>
      <c r="H150" s="8" t="n">
        <v>23</v>
      </c>
      <c r="I150" s="10" t="n">
        <f aca="false">IF(G150&gt;=$C$3,H150/G150,"")</f>
        <v>0.793103448275862</v>
      </c>
      <c r="J150" s="8" t="n">
        <v>26</v>
      </c>
      <c r="K150" s="8" t="n">
        <v>22</v>
      </c>
      <c r="L150" s="10" t="n">
        <f aca="false">IF(J150&gt;=$C$3,K150/J150,"")</f>
        <v>0.846153846153846</v>
      </c>
      <c r="M150" s="8" t="n">
        <v>26</v>
      </c>
      <c r="N150" s="8" t="n">
        <v>16</v>
      </c>
      <c r="O150" s="10" t="n">
        <f aca="false">IF(M150&gt;=$C$3,N150/M150,"")</f>
        <v>0.615384615384615</v>
      </c>
      <c r="P150" s="8" t="n">
        <v>15</v>
      </c>
      <c r="Q150" s="8" t="n">
        <v>13</v>
      </c>
      <c r="R150" s="10" t="n">
        <f aca="false">IF(P150&gt;=$C$3,Q150/P150,"")</f>
        <v>0.866666666666667</v>
      </c>
      <c r="S150" s="8" t="n">
        <v>13</v>
      </c>
      <c r="T150" s="8" t="n">
        <v>12</v>
      </c>
      <c r="U150" s="10" t="n">
        <f aca="false">IF(S150&gt;=$C$3,T150/S150,"")</f>
        <v>0.923076923076923</v>
      </c>
      <c r="V150" s="8" t="n">
        <v>99</v>
      </c>
      <c r="W150" s="8" t="n">
        <v>86</v>
      </c>
      <c r="X150" s="10" t="n">
        <f aca="false">IF(V150&gt;=$C$3,W150/V150,"")</f>
        <v>0.868686868686869</v>
      </c>
      <c r="Y150" s="8" t="n">
        <f aca="false">COUNT(F150,I150,L150,O150,R150,U150,X150)</f>
        <v>7</v>
      </c>
      <c r="Z150" s="11" t="n">
        <f aca="false">IF(Y150=0,"n/a",AVERAGE(F150,I150,L150,O150,R150,U150,X150))</f>
        <v>0.822746602056947</v>
      </c>
      <c r="AA150" s="12" t="n">
        <f aca="false">IF(Y150=0,"",MIN(F150,I150,L150,O150,R150,U150,X150))</f>
        <v>0.615384615384615</v>
      </c>
      <c r="AB150" s="11" t="n">
        <f aca="false">IF(Y150=0,"",MAX(F150,I150,L150,O150,R150,U150,X150))</f>
        <v>0.923076923076923</v>
      </c>
      <c r="AC150" s="8" t="str">
        <f aca="false">IF(Y150&lt;2,"",IF(AB150-AA150&gt;$F$3,"Review",""))</f>
        <v/>
      </c>
      <c r="AD150" s="9" t="n">
        <f aca="false">IF(ISNUMBER(Z150),C150*Z150,"")</f>
        <v>44038.9187717876</v>
      </c>
    </row>
    <row r="151" customFormat="false" ht="15" hidden="false" customHeight="false" outlineLevel="0" collapsed="false">
      <c r="A151" s="8" t="s">
        <v>206</v>
      </c>
      <c r="B151" s="8" t="s">
        <v>29</v>
      </c>
      <c r="C151" s="9" t="n">
        <v>3923.58</v>
      </c>
      <c r="D151" s="8" t="n">
        <v>10</v>
      </c>
      <c r="E151" s="8" t="n">
        <v>10</v>
      </c>
      <c r="F151" s="10" t="n">
        <f aca="false">IF(D151&gt;=$C$3,E151/D151,"")</f>
        <v>1</v>
      </c>
      <c r="G151" s="8" t="n">
        <v>4</v>
      </c>
      <c r="H151" s="8" t="n">
        <v>4</v>
      </c>
      <c r="I151" s="10" t="n">
        <f aca="false">IF(G151&gt;=$C$3,H151/G151,"")</f>
        <v>1</v>
      </c>
      <c r="J151" s="8" t="n">
        <v>0</v>
      </c>
      <c r="K151" s="8" t="n">
        <v>0</v>
      </c>
      <c r="L151" s="10" t="str">
        <f aca="false">IF(J151&gt;=$C$3,K151/J151,"")</f>
        <v/>
      </c>
      <c r="M151" s="8" t="n">
        <v>2</v>
      </c>
      <c r="N151" s="8" t="n">
        <v>2</v>
      </c>
      <c r="O151" s="10" t="str">
        <f aca="false">IF(M151&gt;=$C$3,N151/M151,"")</f>
        <v/>
      </c>
      <c r="P151" s="8" t="n">
        <v>5</v>
      </c>
      <c r="Q151" s="8" t="n">
        <v>5</v>
      </c>
      <c r="R151" s="10" t="n">
        <f aca="false">IF(P151&gt;=$C$3,Q151/P151,"")</f>
        <v>1</v>
      </c>
      <c r="S151" s="8" t="n">
        <v>0</v>
      </c>
      <c r="T151" s="8" t="n">
        <v>0</v>
      </c>
      <c r="U151" s="10" t="str">
        <f aca="false">IF(S151&gt;=$C$3,T151/S151,"")</f>
        <v/>
      </c>
      <c r="V151" s="8" t="n">
        <v>11</v>
      </c>
      <c r="W151" s="8" t="n">
        <v>11</v>
      </c>
      <c r="X151" s="10" t="n">
        <f aca="false">IF(V151&gt;=$C$3,W151/V151,"")</f>
        <v>1</v>
      </c>
      <c r="Y151" s="8" t="n">
        <f aca="false">COUNT(F151,I151,L151,O151,R151,U151,X151)</f>
        <v>4</v>
      </c>
      <c r="Z151" s="11" t="n">
        <f aca="false">IF(Y151=0,"n/a",AVERAGE(F151,I151,L151,O151,R151,U151,X151))</f>
        <v>1</v>
      </c>
      <c r="AA151" s="12" t="n">
        <f aca="false">IF(Y151=0,"",MIN(F151,I151,L151,O151,R151,U151,X151))</f>
        <v>1</v>
      </c>
      <c r="AB151" s="11" t="n">
        <f aca="false">IF(Y151=0,"",MAX(F151,I151,L151,O151,R151,U151,X151))</f>
        <v>1</v>
      </c>
      <c r="AC151" s="8" t="str">
        <f aca="false">IF(Y151&lt;2,"",IF(AB151-AA151&gt;$F$3,"Review",""))</f>
        <v/>
      </c>
      <c r="AD151" s="9" t="n">
        <f aca="false">IF(ISNUMBER(Z151),C151*Z151,"")</f>
        <v>3923.58</v>
      </c>
    </row>
    <row r="152" customFormat="false" ht="15" hidden="false" customHeight="false" outlineLevel="0" collapsed="false">
      <c r="A152" s="8" t="s">
        <v>207</v>
      </c>
      <c r="B152" s="8" t="s">
        <v>27</v>
      </c>
      <c r="C152" s="9" t="n">
        <v>13615.47</v>
      </c>
      <c r="D152" s="8" t="n">
        <v>141</v>
      </c>
      <c r="E152" s="8" t="n">
        <v>17</v>
      </c>
      <c r="F152" s="10" t="n">
        <f aca="false">IF(D152&gt;=$C$3,E152/D152,"")</f>
        <v>0.120567375886525</v>
      </c>
      <c r="G152" s="8" t="n">
        <v>26</v>
      </c>
      <c r="H152" s="8" t="n">
        <v>1</v>
      </c>
      <c r="I152" s="10" t="n">
        <f aca="false">IF(G152&gt;=$C$3,H152/G152,"")</f>
        <v>0.0384615384615385</v>
      </c>
      <c r="J152" s="8" t="n">
        <v>5</v>
      </c>
      <c r="K152" s="8" t="n">
        <v>1</v>
      </c>
      <c r="L152" s="10" t="n">
        <f aca="false">IF(J152&gt;=$C$3,K152/J152,"")</f>
        <v>0.2</v>
      </c>
      <c r="M152" s="8" t="n">
        <v>12</v>
      </c>
      <c r="N152" s="8" t="n">
        <v>3</v>
      </c>
      <c r="O152" s="10" t="n">
        <f aca="false">IF(M152&gt;=$C$3,N152/M152,"")</f>
        <v>0.25</v>
      </c>
      <c r="P152" s="8" t="n">
        <v>21</v>
      </c>
      <c r="Q152" s="8" t="n">
        <v>3</v>
      </c>
      <c r="R152" s="10" t="n">
        <f aca="false">IF(P152&gt;=$C$3,Q152/P152,"")</f>
        <v>0.142857142857143</v>
      </c>
      <c r="S152" s="8" t="n">
        <v>1</v>
      </c>
      <c r="T152" s="8" t="n">
        <v>0</v>
      </c>
      <c r="U152" s="10" t="str">
        <f aca="false">IF(S152&gt;=$C$3,T152/S152,"")</f>
        <v/>
      </c>
      <c r="V152" s="8" t="n">
        <v>53</v>
      </c>
      <c r="W152" s="8" t="n">
        <v>18</v>
      </c>
      <c r="X152" s="10" t="n">
        <f aca="false">IF(V152&gt;=$C$3,W152/V152,"")</f>
        <v>0.339622641509434</v>
      </c>
      <c r="Y152" s="8" t="n">
        <f aca="false">COUNT(F152,I152,L152,O152,R152,U152,X152)</f>
        <v>6</v>
      </c>
      <c r="Z152" s="11" t="n">
        <f aca="false">IF(Y152=0,"n/a",AVERAGE(F152,I152,L152,O152,R152,U152,X152))</f>
        <v>0.18191811645244</v>
      </c>
      <c r="AA152" s="12" t="n">
        <f aca="false">IF(Y152=0,"",MIN(F152,I152,L152,O152,R152,U152,X152))</f>
        <v>0.0384615384615385</v>
      </c>
      <c r="AB152" s="11" t="n">
        <f aca="false">IF(Y152=0,"",MAX(F152,I152,L152,O152,R152,U152,X152))</f>
        <v>0.339622641509434</v>
      </c>
      <c r="AC152" s="8" t="str">
        <f aca="false">IF(Y152&lt;2,"",IF(AB152-AA152&gt;$F$3,"Review",""))</f>
        <v/>
      </c>
      <c r="AD152" s="9" t="n">
        <f aca="false">IF(ISNUMBER(Z152),C152*Z152,"")</f>
        <v>2476.9006570147</v>
      </c>
    </row>
    <row r="153" customFormat="false" ht="15" hidden="false" customHeight="false" outlineLevel="0" collapsed="false">
      <c r="A153" s="8" t="s">
        <v>208</v>
      </c>
      <c r="B153" s="8" t="s">
        <v>43</v>
      </c>
      <c r="C153" s="9" t="n">
        <v>520.76</v>
      </c>
      <c r="D153" s="8" t="n">
        <v>23</v>
      </c>
      <c r="E153" s="8" t="n">
        <v>23</v>
      </c>
      <c r="F153" s="10" t="n">
        <f aca="false">IF(D153&gt;=$C$3,E153/D153,"")</f>
        <v>1</v>
      </c>
      <c r="G153" s="8" t="n">
        <v>1</v>
      </c>
      <c r="H153" s="8" t="n">
        <v>1</v>
      </c>
      <c r="I153" s="10" t="str">
        <f aca="false">IF(G153&gt;=$C$3,H153/G153,"")</f>
        <v/>
      </c>
      <c r="J153" s="8" t="n">
        <v>2</v>
      </c>
      <c r="K153" s="8" t="n">
        <v>2</v>
      </c>
      <c r="L153" s="10" t="str">
        <f aca="false">IF(J153&gt;=$C$3,K153/J153,"")</f>
        <v/>
      </c>
      <c r="M153" s="8" t="n">
        <v>2</v>
      </c>
      <c r="N153" s="8" t="n">
        <v>2</v>
      </c>
      <c r="O153" s="10" t="str">
        <f aca="false">IF(M153&gt;=$C$3,N153/M153,"")</f>
        <v/>
      </c>
      <c r="P153" s="8" t="n">
        <v>4</v>
      </c>
      <c r="Q153" s="8" t="n">
        <v>4</v>
      </c>
      <c r="R153" s="10" t="n">
        <f aca="false">IF(P153&gt;=$C$3,Q153/P153,"")</f>
        <v>1</v>
      </c>
      <c r="S153" s="8" t="n">
        <v>0</v>
      </c>
      <c r="T153" s="8" t="n">
        <v>0</v>
      </c>
      <c r="U153" s="10" t="str">
        <f aca="false">IF(S153&gt;=$C$3,T153/S153,"")</f>
        <v/>
      </c>
      <c r="V153" s="8" t="n">
        <v>1</v>
      </c>
      <c r="W153" s="8" t="n">
        <v>1</v>
      </c>
      <c r="X153" s="10" t="str">
        <f aca="false">IF(V153&gt;=$C$3,W153/V153,"")</f>
        <v/>
      </c>
      <c r="Y153" s="8" t="n">
        <f aca="false">COUNT(F153,I153,L153,O153,R153,U153,X153)</f>
        <v>2</v>
      </c>
      <c r="Z153" s="11" t="n">
        <f aca="false">IF(Y153=0,"n/a",AVERAGE(F153,I153,L153,O153,R153,U153,X153))</f>
        <v>1</v>
      </c>
      <c r="AA153" s="12" t="n">
        <f aca="false">IF(Y153=0,"",MIN(F153,I153,L153,O153,R153,U153,X153))</f>
        <v>1</v>
      </c>
      <c r="AB153" s="11" t="n">
        <f aca="false">IF(Y153=0,"",MAX(F153,I153,L153,O153,R153,U153,X153))</f>
        <v>1</v>
      </c>
      <c r="AC153" s="8" t="str">
        <f aca="false">IF(Y153&lt;2,"",IF(AB153-AA153&gt;$F$3,"Review",""))</f>
        <v/>
      </c>
      <c r="AD153" s="9" t="n">
        <f aca="false">IF(ISNUMBER(Z153),C153*Z153,"")</f>
        <v>520.76</v>
      </c>
    </row>
    <row r="154" customFormat="false" ht="15" hidden="false" customHeight="false" outlineLevel="0" collapsed="false">
      <c r="A154" s="8" t="s">
        <v>209</v>
      </c>
      <c r="B154" s="8" t="s">
        <v>43</v>
      </c>
      <c r="C154" s="9" t="n">
        <v>1326.8</v>
      </c>
      <c r="D154" s="8" t="n">
        <v>28</v>
      </c>
      <c r="E154" s="8" t="n">
        <v>28</v>
      </c>
      <c r="F154" s="10" t="n">
        <f aca="false">IF(D154&gt;=$C$3,E154/D154,"")</f>
        <v>1</v>
      </c>
      <c r="G154" s="8" t="n">
        <v>2</v>
      </c>
      <c r="H154" s="8" t="n">
        <v>2</v>
      </c>
      <c r="I154" s="10" t="str">
        <f aca="false">IF(G154&gt;=$C$3,H154/G154,"")</f>
        <v/>
      </c>
      <c r="J154" s="8" t="n">
        <v>2</v>
      </c>
      <c r="K154" s="8" t="n">
        <v>2</v>
      </c>
      <c r="L154" s="10" t="str">
        <f aca="false">IF(J154&gt;=$C$3,K154/J154,"")</f>
        <v/>
      </c>
      <c r="M154" s="8" t="n">
        <v>9</v>
      </c>
      <c r="N154" s="8" t="n">
        <v>7</v>
      </c>
      <c r="O154" s="10" t="n">
        <f aca="false">IF(M154&gt;=$C$3,N154/M154,"")</f>
        <v>0.777777777777778</v>
      </c>
      <c r="P154" s="8" t="n">
        <v>3</v>
      </c>
      <c r="Q154" s="8" t="n">
        <v>3</v>
      </c>
      <c r="R154" s="10" t="n">
        <f aca="false">IF(P154&gt;=$C$3,Q154/P154,"")</f>
        <v>1</v>
      </c>
      <c r="S154" s="8" t="n">
        <v>0</v>
      </c>
      <c r="T154" s="8" t="n">
        <v>0</v>
      </c>
      <c r="U154" s="10" t="str">
        <f aca="false">IF(S154&gt;=$C$3,T154/S154,"")</f>
        <v/>
      </c>
      <c r="V154" s="8" t="n">
        <v>1</v>
      </c>
      <c r="W154" s="8" t="n">
        <v>1</v>
      </c>
      <c r="X154" s="10" t="str">
        <f aca="false">IF(V154&gt;=$C$3,W154/V154,"")</f>
        <v/>
      </c>
      <c r="Y154" s="8" t="n">
        <f aca="false">COUNT(F154,I154,L154,O154,R154,U154,X154)</f>
        <v>3</v>
      </c>
      <c r="Z154" s="11" t="n">
        <f aca="false">IF(Y154=0,"n/a",AVERAGE(F154,I154,L154,O154,R154,U154,X154))</f>
        <v>0.925925925925926</v>
      </c>
      <c r="AA154" s="12" t="n">
        <f aca="false">IF(Y154=0,"",MIN(F154,I154,L154,O154,R154,U154,X154))</f>
        <v>0.777777777777778</v>
      </c>
      <c r="AB154" s="11" t="n">
        <f aca="false">IF(Y154=0,"",MAX(F154,I154,L154,O154,R154,U154,X154))</f>
        <v>1</v>
      </c>
      <c r="AC154" s="8" t="str">
        <f aca="false">IF(Y154&lt;2,"",IF(AB154-AA154&gt;$F$3,"Review",""))</f>
        <v/>
      </c>
      <c r="AD154" s="9" t="n">
        <f aca="false">IF(ISNUMBER(Z154),C154*Z154,"")</f>
        <v>1228.51851851852</v>
      </c>
    </row>
    <row r="155" customFormat="false" ht="15" hidden="false" customHeight="false" outlineLevel="0" collapsed="false">
      <c r="A155" s="8" t="s">
        <v>210</v>
      </c>
      <c r="B155" s="8" t="s">
        <v>43</v>
      </c>
      <c r="C155" s="9" t="n">
        <v>528.18</v>
      </c>
      <c r="D155" s="8" t="n">
        <v>128</v>
      </c>
      <c r="E155" s="8" t="n">
        <v>69</v>
      </c>
      <c r="F155" s="10" t="n">
        <f aca="false">IF(D155&gt;=$C$3,E155/D155,"")</f>
        <v>0.5390625</v>
      </c>
      <c r="G155" s="8" t="n">
        <v>20</v>
      </c>
      <c r="H155" s="8" t="n">
        <v>5</v>
      </c>
      <c r="I155" s="10" t="n">
        <f aca="false">IF(G155&gt;=$C$3,H155/G155,"")</f>
        <v>0.25</v>
      </c>
      <c r="J155" s="8" t="n">
        <v>3</v>
      </c>
      <c r="K155" s="8" t="n">
        <v>3</v>
      </c>
      <c r="L155" s="10" t="n">
        <f aca="false">IF(J155&gt;=$C$3,K155/J155,"")</f>
        <v>1</v>
      </c>
      <c r="M155" s="8" t="n">
        <v>15</v>
      </c>
      <c r="N155" s="8" t="n">
        <v>6</v>
      </c>
      <c r="O155" s="10" t="n">
        <f aca="false">IF(M155&gt;=$C$3,N155/M155,"")</f>
        <v>0.4</v>
      </c>
      <c r="P155" s="8" t="n">
        <v>21</v>
      </c>
      <c r="Q155" s="8" t="n">
        <v>14</v>
      </c>
      <c r="R155" s="10" t="n">
        <f aca="false">IF(P155&gt;=$C$3,Q155/P155,"")</f>
        <v>0.666666666666667</v>
      </c>
      <c r="S155" s="8" t="n">
        <v>2</v>
      </c>
      <c r="T155" s="8" t="n">
        <v>0</v>
      </c>
      <c r="U155" s="10" t="str">
        <f aca="false">IF(S155&gt;=$C$3,T155/S155,"")</f>
        <v/>
      </c>
      <c r="V155" s="8" t="n">
        <v>2</v>
      </c>
      <c r="W155" s="8" t="n">
        <v>2</v>
      </c>
      <c r="X155" s="10" t="str">
        <f aca="false">IF(V155&gt;=$C$3,W155/V155,"")</f>
        <v/>
      </c>
      <c r="Y155" s="8" t="n">
        <f aca="false">COUNT(F155,I155,L155,O155,R155,U155,X155)</f>
        <v>5</v>
      </c>
      <c r="Z155" s="11" t="n">
        <f aca="false">IF(Y155=0,"n/a",AVERAGE(F155,I155,L155,O155,R155,U155,X155))</f>
        <v>0.571145833333333</v>
      </c>
      <c r="AA155" s="12" t="n">
        <f aca="false">IF(Y155=0,"",MIN(F155,I155,L155,O155,R155,U155,X155))</f>
        <v>0.25</v>
      </c>
      <c r="AB155" s="11" t="n">
        <f aca="false">IF(Y155=0,"",MAX(F155,I155,L155,O155,R155,U155,X155))</f>
        <v>1</v>
      </c>
      <c r="AC155" s="8" t="str">
        <f aca="false">IF(Y155&lt;2,"",IF(AB155-AA155&gt;$F$3,"Review",""))</f>
        <v>Review</v>
      </c>
      <c r="AD155" s="9" t="n">
        <f aca="false">IF(ISNUMBER(Z155),C155*Z155,"")</f>
        <v>301.66780625</v>
      </c>
    </row>
    <row r="156" customFormat="false" ht="15" hidden="false" customHeight="false" outlineLevel="0" collapsed="false">
      <c r="A156" s="8" t="s">
        <v>211</v>
      </c>
      <c r="B156" s="8" t="s">
        <v>31</v>
      </c>
      <c r="C156" s="9" t="n">
        <v>17324.19</v>
      </c>
      <c r="D156" s="8" t="n">
        <v>254</v>
      </c>
      <c r="E156" s="8" t="n">
        <v>194</v>
      </c>
      <c r="F156" s="10" t="n">
        <f aca="false">IF(D156&gt;=$C$3,E156/D156,"")</f>
        <v>0.763779527559055</v>
      </c>
      <c r="G156" s="8" t="n">
        <v>40</v>
      </c>
      <c r="H156" s="8" t="n">
        <v>13</v>
      </c>
      <c r="I156" s="10" t="n">
        <f aca="false">IF(G156&gt;=$C$3,H156/G156,"")</f>
        <v>0.325</v>
      </c>
      <c r="J156" s="8" t="n">
        <v>11</v>
      </c>
      <c r="K156" s="8" t="n">
        <v>4</v>
      </c>
      <c r="L156" s="10" t="n">
        <f aca="false">IF(J156&gt;=$C$3,K156/J156,"")</f>
        <v>0.363636363636364</v>
      </c>
      <c r="M156" s="8" t="n">
        <v>66</v>
      </c>
      <c r="N156" s="8" t="n">
        <v>17</v>
      </c>
      <c r="O156" s="10" t="n">
        <f aca="false">IF(M156&gt;=$C$3,N156/M156,"")</f>
        <v>0.257575757575758</v>
      </c>
      <c r="P156" s="8" t="n">
        <v>14</v>
      </c>
      <c r="Q156" s="8" t="n">
        <v>7</v>
      </c>
      <c r="R156" s="10" t="n">
        <f aca="false">IF(P156&gt;=$C$3,Q156/P156,"")</f>
        <v>0.5</v>
      </c>
      <c r="S156" s="8" t="n">
        <v>10</v>
      </c>
      <c r="T156" s="8" t="n">
        <v>4</v>
      </c>
      <c r="U156" s="10" t="n">
        <f aca="false">IF(S156&gt;=$C$3,T156/S156,"")</f>
        <v>0.4</v>
      </c>
      <c r="V156" s="8" t="n">
        <v>34</v>
      </c>
      <c r="W156" s="8" t="n">
        <v>11</v>
      </c>
      <c r="X156" s="10" t="n">
        <f aca="false">IF(V156&gt;=$C$3,W156/V156,"")</f>
        <v>0.323529411764706</v>
      </c>
      <c r="Y156" s="8" t="n">
        <f aca="false">COUNT(F156,I156,L156,O156,R156,U156,X156)</f>
        <v>7</v>
      </c>
      <c r="Z156" s="11" t="n">
        <f aca="false">IF(Y156=0,"n/a",AVERAGE(F156,I156,L156,O156,R156,U156,X156))</f>
        <v>0.419074437219412</v>
      </c>
      <c r="AA156" s="12" t="n">
        <f aca="false">IF(Y156=0,"",MIN(F156,I156,L156,O156,R156,U156,X156))</f>
        <v>0.257575757575758</v>
      </c>
      <c r="AB156" s="11" t="n">
        <f aca="false">IF(Y156=0,"",MAX(F156,I156,L156,O156,R156,U156,X156))</f>
        <v>0.763779527559055</v>
      </c>
      <c r="AC156" s="8" t="str">
        <f aca="false">IF(Y156&lt;2,"",IF(AB156-AA156&gt;$F$3,"Review",""))</f>
        <v>Review</v>
      </c>
      <c r="AD156" s="9" t="n">
        <f aca="false">IF(ISNUMBER(Z156),C156*Z156,"")</f>
        <v>7260.12517453216</v>
      </c>
    </row>
    <row r="158" customFormat="false" ht="15" hidden="false" customHeight="false" outlineLevel="0" collapsed="false">
      <c r="A158" s="3" t="s">
        <v>212</v>
      </c>
    </row>
    <row r="159" customFormat="false" ht="15" hidden="false" customHeight="false" outlineLevel="0" collapsed="false">
      <c r="A159" s="13" t="s">
        <v>213</v>
      </c>
    </row>
    <row r="160" customFormat="false" ht="15" hidden="false" customHeight="false" outlineLevel="0" collapsed="false">
      <c r="A160" s="13" t="s">
        <v>214</v>
      </c>
    </row>
    <row r="161" customFormat="false" ht="15" hidden="false" customHeight="false" outlineLevel="0" collapsed="false">
      <c r="A161" s="13" t="s">
        <v>215</v>
      </c>
    </row>
    <row r="162" customFormat="false" ht="15" hidden="false" customHeight="false" outlineLevel="0" collapsed="false">
      <c r="A162" s="13" t="s">
        <v>216</v>
      </c>
    </row>
  </sheetData>
  <autoFilter ref="A5:AD156"/>
  <mergeCells count="8">
    <mergeCell ref="D4:F4"/>
    <mergeCell ref="G4:I4"/>
    <mergeCell ref="J4:L4"/>
    <mergeCell ref="M4:O4"/>
    <mergeCell ref="P4:R4"/>
    <mergeCell ref="S4:U4"/>
    <mergeCell ref="V4:X4"/>
    <mergeCell ref="Y4:A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14" t="s">
        <v>218</v>
      </c>
      <c r="B3" s="14" t="s">
        <v>219</v>
      </c>
      <c r="C3" s="14" t="s">
        <v>220</v>
      </c>
      <c r="D3" s="14" t="s">
        <v>221</v>
      </c>
    </row>
    <row r="4" customFormat="false" ht="23.85" hidden="false" customHeight="false" outlineLevel="0" collapsed="false">
      <c r="A4" s="15" t="s">
        <v>222</v>
      </c>
      <c r="B4" s="15" t="s">
        <v>223</v>
      </c>
      <c r="C4" s="15" t="s">
        <v>224</v>
      </c>
      <c r="D4" s="16" t="n">
        <v>151077</v>
      </c>
    </row>
    <row r="5" customFormat="false" ht="15" hidden="false" customHeight="false" outlineLevel="0" collapsed="false">
      <c r="A5" s="15" t="s">
        <v>225</v>
      </c>
      <c r="B5" s="15" t="s">
        <v>226</v>
      </c>
      <c r="C5" s="15" t="s">
        <v>227</v>
      </c>
      <c r="D5" s="16" t="n">
        <v>29568</v>
      </c>
    </row>
    <row r="6" customFormat="false" ht="23.85" hidden="false" customHeight="false" outlineLevel="0" collapsed="false">
      <c r="A6" s="15" t="s">
        <v>228</v>
      </c>
      <c r="B6" s="15" t="s">
        <v>229</v>
      </c>
      <c r="C6" s="15" t="s">
        <v>230</v>
      </c>
      <c r="D6" s="16" t="n">
        <v>11456</v>
      </c>
    </row>
    <row r="7" customFormat="false" ht="23.85" hidden="false" customHeight="false" outlineLevel="0" collapsed="false">
      <c r="A7" s="15" t="s">
        <v>231</v>
      </c>
      <c r="B7" s="15" t="s">
        <v>232</v>
      </c>
      <c r="C7" s="15" t="s">
        <v>233</v>
      </c>
      <c r="D7" s="16" t="n">
        <v>31749</v>
      </c>
    </row>
    <row r="8" customFormat="false" ht="23.85" hidden="false" customHeight="false" outlineLevel="0" collapsed="false">
      <c r="A8" s="15" t="s">
        <v>234</v>
      </c>
      <c r="B8" s="15" t="s">
        <v>235</v>
      </c>
      <c r="C8" s="15" t="s">
        <v>236</v>
      </c>
      <c r="D8" s="16" t="n">
        <v>12422</v>
      </c>
    </row>
    <row r="9" customFormat="false" ht="23.85" hidden="false" customHeight="false" outlineLevel="0" collapsed="false">
      <c r="A9" s="15" t="s">
        <v>237</v>
      </c>
      <c r="B9" s="15" t="s">
        <v>238</v>
      </c>
      <c r="C9" s="15" t="s">
        <v>239</v>
      </c>
      <c r="D9" s="16" t="n">
        <v>17187</v>
      </c>
    </row>
    <row r="10" customFormat="false" ht="35.05" hidden="false" customHeight="false" outlineLevel="0" collapsed="false">
      <c r="A10" s="15" t="s">
        <v>240</v>
      </c>
      <c r="B10" s="15" t="s">
        <v>241</v>
      </c>
      <c r="C10" s="15" t="s">
        <v>242</v>
      </c>
      <c r="D10" s="16" t="n">
        <v>35740</v>
      </c>
    </row>
    <row r="11" customFormat="false" ht="15" hidden="false" customHeight="false" outlineLevel="0" collapsed="false">
      <c r="A11" s="15" t="s">
        <v>243</v>
      </c>
      <c r="B11" s="15" t="s">
        <v>244</v>
      </c>
      <c r="C11" s="15" t="s">
        <v>245</v>
      </c>
      <c r="D11" s="16" t="s">
        <v>246</v>
      </c>
    </row>
    <row r="13" customFormat="false" ht="15" hidden="false" customHeight="false" outlineLevel="0" collapsed="false">
      <c r="A13" s="3" t="s">
        <v>247</v>
      </c>
    </row>
    <row r="14" customFormat="false" ht="30" hidden="false" customHeight="true" outlineLevel="0" collapsed="false">
      <c r="A14" s="17" t="s">
        <v>248</v>
      </c>
      <c r="B14" s="17"/>
      <c r="C14" s="17"/>
      <c r="D14" s="17"/>
    </row>
    <row r="15" customFormat="false" ht="30" hidden="false" customHeight="true" outlineLevel="0" collapsed="false">
      <c r="A15" s="17" t="s">
        <v>249</v>
      </c>
      <c r="B15" s="17"/>
      <c r="C15" s="17"/>
      <c r="D15" s="17"/>
    </row>
    <row r="16" customFormat="false" ht="30" hidden="false" customHeight="true" outlineLevel="0" collapsed="false">
      <c r="A16" s="17" t="s">
        <v>250</v>
      </c>
      <c r="B16" s="17"/>
      <c r="C16" s="17"/>
      <c r="D16" s="17"/>
    </row>
    <row r="18" customFormat="false" ht="15" hidden="false" customHeight="false" outlineLevel="0" collapsed="false">
      <c r="A18" s="3" t="s">
        <v>251</v>
      </c>
    </row>
    <row r="19" customFormat="false" ht="30" hidden="false" customHeight="true" outlineLevel="0" collapsed="false">
      <c r="A19" s="17" t="s">
        <v>252</v>
      </c>
      <c r="B19" s="17"/>
      <c r="C19" s="17"/>
      <c r="D19" s="17"/>
    </row>
    <row r="20" customFormat="false" ht="30" hidden="false" customHeight="true" outlineLevel="0" collapsed="false">
      <c r="A20" s="17" t="s">
        <v>253</v>
      </c>
      <c r="B20" s="17"/>
      <c r="C20" s="17"/>
      <c r="D20" s="17"/>
    </row>
    <row r="21" customFormat="false" ht="30" hidden="false" customHeight="true" outlineLevel="0" collapsed="false">
      <c r="A21" s="17" t="s">
        <v>254</v>
      </c>
      <c r="B21" s="17"/>
      <c r="C21" s="17"/>
      <c r="D21" s="17"/>
    </row>
    <row r="22" customFormat="false" ht="30" hidden="false" customHeight="true" outlineLevel="0" collapsed="false">
      <c r="A22" s="17" t="s">
        <v>255</v>
      </c>
      <c r="B22" s="17"/>
      <c r="C22" s="17"/>
      <c r="D22" s="17"/>
    </row>
  </sheetData>
  <mergeCells count="7">
    <mergeCell ref="A14:D14"/>
    <mergeCell ref="A15:D15"/>
    <mergeCell ref="A16:D16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2026-10-08T05:52:24Z</dcterms:created>
  <dc:creator>openpyxl</dc:creator>
  <dc:description/>
  <dc:language>en-US</dc:language>
  <cp:lastModifiedBy/>
  <dcterms:modified xsi:type="dcterms:W3CDTF">2026-10-08T05:52:24Z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