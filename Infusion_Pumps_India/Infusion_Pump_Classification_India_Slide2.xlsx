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 Matrix" sheetId="1" state="visible" r:id="rId1"/>
    <sheet name="Product Evidence" sheetId="2" state="visible" r:id="rId2"/>
    <sheet name="Revenue" sheetId="3" state="visible" r:id="rId3"/>
    <sheet name="Clean URL Map" sheetId="4" state="visible" r:id="rId4"/>
    <sheet name="Method &amp; Caveats" sheetId="5" state="visible" r:id="rId5"/>
  </sheets>
  <definedNames>
    <definedName name="_xlnm._FilterDatabase" localSheetId="1" hidden="1">'Product Evidence'!$A$1:$M$19</definedName>
    <definedName name="_xlnm._FilterDatabase" localSheetId="3" hidden="1">'Clean URL Map'!$A$1:$F$27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0B1F6B"/>
      <sz val="13"/>
    </font>
    <font>
      <name val="Arial"/>
      <i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sz val="8"/>
    </font>
    <font>
      <name val="Arial"/>
      <color rgb="000563C1"/>
      <sz val="9"/>
      <u val="single"/>
    </font>
    <font>
      <name val="Arial"/>
      <b val="1"/>
      <sz val="12"/>
    </font>
    <font>
      <name val="Arial"/>
      <color rgb="000000FF"/>
    </font>
    <font>
      <name val="Arial"/>
      <color rgb="000000FF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0E0E0"/>
      </patternFill>
    </fill>
    <fill>
      <patternFill patternType="solid">
        <fgColor rgb="000B1F6B"/>
      </patternFill>
    </fill>
    <fill>
      <patternFill patternType="solid">
        <fgColor rgb="003D5DA8"/>
      </patternFill>
    </fill>
    <fill>
      <patternFill patternType="solid">
        <fgColor rgb="00FFFF00"/>
      </patternFill>
    </fill>
    <fill>
      <patternFill patternType="solid">
        <fgColor rgb="00F8CBC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4" borderId="1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7" borderId="0" pivotButton="0" quotePrefix="0" xfId="0"/>
    <xf numFmtId="164" fontId="10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erumoindia.com/sites/default/files/2025-11/Smart%20Infusion%20System.pdf" TargetMode="External" Id="rId1" /><Relationship Type="http://schemas.openxmlformats.org/officeDocument/2006/relationships/hyperlink" Target="https://terumoindia.com/medication-management/terufusiontm-advanced-infusion-systems" TargetMode="External" Id="rId2" /><Relationship Type="http://schemas.openxmlformats.org/officeDocument/2006/relationships/hyperlink" Target="https://terumoindia.com/sites/default/files/2025-11/Smart%20Infusion%20System.pdf" TargetMode="External" Id="rId3" /><Relationship Type="http://schemas.openxmlformats.org/officeDocument/2006/relationships/hyperlink" Target="https://terumoindia.com/medication-management/terufusiontm-advanced-infusion-systems" TargetMode="External" Id="rId4" /><Relationship Type="http://schemas.openxmlformats.org/officeDocument/2006/relationships/hyperlink" Target="https://www.mindray.com/in/products/infusion-system/benefusion-1-series/" TargetMode="External" Id="rId5" /><Relationship Type="http://schemas.openxmlformats.org/officeDocument/2006/relationships/hyperlink" Target="https://www.mindray.com/in/products/infusion-system/benefusion-1-series/" TargetMode="External" Id="rId6" /><Relationship Type="http://schemas.openxmlformats.org/officeDocument/2006/relationships/hyperlink" Target="https://www.mindray.com/in/products/infusion-system/benefusion-3-series/" TargetMode="External" Id="rId7" /><Relationship Type="http://schemas.openxmlformats.org/officeDocument/2006/relationships/hyperlink" Target="https://www.mindray.com/in/products/infusion-system/benefusion-3-series/" TargetMode="External" Id="rId8" /><Relationship Type="http://schemas.openxmlformats.org/officeDocument/2006/relationships/hyperlink" Target="https://www.mindray.com/in/products/infusion-system/benefusion-5-series/" TargetMode="External" Id="rId9" /><Relationship Type="http://schemas.openxmlformats.org/officeDocument/2006/relationships/hyperlink" Target="https://www.mindray.com/in/products/infusion-system/benefusion-5-series/" TargetMode="External" Id="rId10" /><Relationship Type="http://schemas.openxmlformats.org/officeDocument/2006/relationships/hyperlink" Target="https://www.mindray.com/in/products/infusion-system/benefusion-e-series/" TargetMode="External" Id="rId11" /><Relationship Type="http://schemas.openxmlformats.org/officeDocument/2006/relationships/hyperlink" Target="https://www.mindray.com/in/products/infusion-system/benefusion-e-series/" TargetMode="External" Id="rId12" /><Relationship Type="http://schemas.openxmlformats.org/officeDocument/2006/relationships/hyperlink" Target="https://www.mindray.com/in/products/infusion-system/benefusion-u-series/" TargetMode="External" Id="rId13" /><Relationship Type="http://schemas.openxmlformats.org/officeDocument/2006/relationships/hyperlink" Target="https://www.mindray.com/in/products/infusion-system/benefusion-u-series/" TargetMode="External" Id="rId14" /><Relationship Type="http://schemas.openxmlformats.org/officeDocument/2006/relationships/hyperlink" Target="https://www.indiamart.com/proddetail/smiths-medical-syringe-pump-graseby-2000-2852038109462.html" TargetMode="External" Id="rId15" /><Relationship Type="http://schemas.openxmlformats.org/officeDocument/2006/relationships/hyperlink" Target="https://www.honmed.in/product-page/syringe-pump-graseby-2100" TargetMode="External" Id="rId16" /><Relationship Type="http://schemas.openxmlformats.org/officeDocument/2006/relationships/hyperlink" Target="https://www.indiamart.com/proddetail/mri-compatible-syringe-infusion-pump-medfusion-4000-21117047897.html" TargetMode="External" Id="rId17" /><Relationship Type="http://schemas.openxmlformats.org/officeDocument/2006/relationships/hyperlink" Target="https://www.medikabazaar.com/products/smiths-medical-graseby-1200-infusion-pump-mbpgmdcispisff16979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erumo.com/system/files/document/2026-05/FinancialResults_26Q4_E.pdf" TargetMode="External" Id="rId1" /><Relationship Type="http://schemas.openxmlformats.org/officeDocument/2006/relationships/hyperlink" Target="https://www.terumo.com/system/files/document/2026-05/FinancialResults_26Q4_E.pdf" TargetMode="External" Id="rId2" /><Relationship Type="http://schemas.openxmlformats.org/officeDocument/2006/relationships/hyperlink" Target="http://static.cninfo.com.cn/finalpage/2026-03-31/1225059011.PDF" TargetMode="External" Id="rId3" /><Relationship Type="http://schemas.openxmlformats.org/officeDocument/2006/relationships/hyperlink" Target="http://static.cninfo.com.cn/finalpage/2026-03-31/1225059011.PDF" TargetMode="External" Id="rId4" /><Relationship Type="http://schemas.openxmlformats.org/officeDocument/2006/relationships/hyperlink" Target="https://ir.icumed.com/news-releases/news-release-details/icu-medical-announces-fourth-quarter-2025-results-and-provides" TargetMode="External" Id="rId5" /><Relationship Type="http://schemas.openxmlformats.org/officeDocument/2006/relationships/hyperlink" Target="https://ir.icumed.com/news-releases/news-release-details/icu-medical-announces-fourth-quarter-2025-results-and-provides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terumoindia.com/medication-management/terufusiontm-advanced-infusion-systems" TargetMode="External" Id="rId1" /><Relationship Type="http://schemas.openxmlformats.org/officeDocument/2006/relationships/hyperlink" Target="https://terumoindia.com/sites/default/files/2025-11/Smart%20Infusion%20System.pdf" TargetMode="External" Id="rId2" /><Relationship Type="http://schemas.openxmlformats.org/officeDocument/2006/relationships/hyperlink" Target="https://terumoindia.com/terufusion-connected-pumps" TargetMode="External" Id="rId3" /><Relationship Type="http://schemas.openxmlformats.org/officeDocument/2006/relationships/hyperlink" Target="https://www.terumo.com/system/files/document/2026-05/FinancialResults_26Q4_E.pdf" TargetMode="External" Id="rId4" /><Relationship Type="http://schemas.openxmlformats.org/officeDocument/2006/relationships/hyperlink" Target="https://www.mindray.com/in/products/infusion-system/" TargetMode="External" Id="rId5" /><Relationship Type="http://schemas.openxmlformats.org/officeDocument/2006/relationships/hyperlink" Target="https://www.mindray.com/in/products/infusion-system/benefusion-1-series/" TargetMode="External" Id="rId6" /><Relationship Type="http://schemas.openxmlformats.org/officeDocument/2006/relationships/hyperlink" Target="https://www.mindray.com/in/products/infusion-system/benefusion-3-series/" TargetMode="External" Id="rId7" /><Relationship Type="http://schemas.openxmlformats.org/officeDocument/2006/relationships/hyperlink" Target="https://www.mindray.com/in/products/infusion-system/benefusion-5-series/" TargetMode="External" Id="rId8" /><Relationship Type="http://schemas.openxmlformats.org/officeDocument/2006/relationships/hyperlink" Target="https://www.mindray.com/in/products/infusion-system/benefusion-e-series/" TargetMode="External" Id="rId9" /><Relationship Type="http://schemas.openxmlformats.org/officeDocument/2006/relationships/hyperlink" Target="https://www.mindray.com/in/products/infusion-system/benefusion-u-series/" TargetMode="External" Id="rId10" /><Relationship Type="http://schemas.openxmlformats.org/officeDocument/2006/relationships/hyperlink" Target="http://5.imimg.com/data5/SELLER/Doc/2025/12/571961803/KS/IN/JK/2785113/infusion-pump-uvp.pdf" TargetMode="External" Id="rId11" /><Relationship Type="http://schemas.openxmlformats.org/officeDocument/2006/relationships/hyperlink" Target="https://5.imimg.com/data5/SELLER/Doc/2022/1/TX/CI/VD/17862303/mindray-benefusion-sp3-syringe-pump.pdf" TargetMode="External" Id="rId12" /><Relationship Type="http://schemas.openxmlformats.org/officeDocument/2006/relationships/hyperlink" Target="http://mindray.sy/wp-content/uploads/2019/12/VP5-OperatorManual.pdf" TargetMode="External" Id="rId13" /><Relationship Type="http://schemas.openxmlformats.org/officeDocument/2006/relationships/hyperlink" Target="https://ecomed.co.za/wp-content/uploads/2025/03/Syringe-driver-PCA-BeneFusion-eSP-PCA_Data-Sheet_ENG_20241203.pdf" TargetMode="External" Id="rId14" /><Relationship Type="http://schemas.openxmlformats.org/officeDocument/2006/relationships/hyperlink" Target="http://static.cninfo.com.cn/finalpage/2026-03-31/1225059011.PDF" TargetMode="External" Id="rId15" /><Relationship Type="http://schemas.openxmlformats.org/officeDocument/2006/relationships/hyperlink" Target="https://finance.biggo.com/news/Vmaddp0BOIb5XxavmPY-" TargetMode="External" Id="rId16" /><Relationship Type="http://schemas.openxmlformats.org/officeDocument/2006/relationships/hyperlink" Target="https://www.indiamart.com/proddetail/mri-compatible-syringe-infusion-pump-medfusion-4000-21117047897.html" TargetMode="External" Id="rId17" /><Relationship Type="http://schemas.openxmlformats.org/officeDocument/2006/relationships/hyperlink" Target="https://www.icumed.com/products/infusion-therapy/infusion-pumps-and-software/medfusion-syringe-pumps/medfusion-4000-wireless-syringe-infusion-pump/" TargetMode="External" Id="rId18" /><Relationship Type="http://schemas.openxmlformats.org/officeDocument/2006/relationships/hyperlink" Target="https://www.indiamart.com/proddetail/smiths-medical-syringe-pump-graseby-2000-2852038109462.html" TargetMode="External" Id="rId19" /><Relationship Type="http://schemas.openxmlformats.org/officeDocument/2006/relationships/hyperlink" Target="https://www.honmed.in/product-page/syringe-pump-graseby-2100" TargetMode="External" Id="rId20" /><Relationship Type="http://schemas.openxmlformats.org/officeDocument/2006/relationships/hyperlink" Target="https://www.indiamart.com/proddetail/smith-syringe-infusion-pump-graseby-2100-21099225197.html" TargetMode="External" Id="rId21" /><Relationship Type="http://schemas.openxmlformats.org/officeDocument/2006/relationships/hyperlink" Target="https://www.indiamart.com/proddetail/smiths-medical-graseby-1200-volumetric-infusion-pump-2853092683762.html" TargetMode="External" Id="rId22" /><Relationship Type="http://schemas.openxmlformats.org/officeDocument/2006/relationships/hyperlink" Target="https://www.medikabazaar.com/products/smiths-medical-graseby-1200-infusion-pump-mbpgmdcispisff16979" TargetMode="External" Id="rId23" /><Relationship Type="http://schemas.openxmlformats.org/officeDocument/2006/relationships/hyperlink" Target="http://www.hospimax.com/medical-devices/smithsmedical/Graseby%201200%20LVP%20Brochure%20(FINAL).pdf" TargetMode="External" Id="rId24" /><Relationship Type="http://schemas.openxmlformats.org/officeDocument/2006/relationships/hyperlink" Target="https://ir.icumed.com/news-releases/news-release-details/icu-medical-announces-fourth-quarter-2025-results-and-provides" TargetMode="External" Id="rId25" /><Relationship Type="http://schemas.openxmlformats.org/officeDocument/2006/relationships/hyperlink" Target="https://ir.icumed.com/static-files/d27738f3-0a46-4a32-8d61-0efc3a3852bc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4" customWidth="1" min="9" max="9"/>
    <col width="60" customWidth="1" min="10" max="10"/>
    <col width="4" customWidth="1" min="11" max="11"/>
    <col width="48" customWidth="1" min="12" max="12"/>
  </cols>
  <sheetData>
    <row r="1">
      <c r="A1" s="1" t="inlineStr">
        <is>
          <t>Task 2.2 | Infusion Pumps Market Assessment in India | Key Players (2/8) - corrected classification (Terumo, Mindray, ICU Medical)</t>
        </is>
      </c>
    </row>
    <row r="2">
      <c r="A2" s="2" t="inlineStr">
        <is>
          <t>Criteria: Standard = no drug library, no connectivity | Smart = drug library, no connectivity | Smart** = drug library, connectivity optional (add-on module / WiFi variant) | Connected = drug library + integrated connectivity</t>
        </is>
      </c>
    </row>
    <row r="3">
      <c r="K3" s="3" t="n"/>
      <c r="L3" s="4" t="inlineStr">
        <is>
          <t>Listed on official India website</t>
        </is>
      </c>
    </row>
    <row r="4">
      <c r="A4" s="5" t="inlineStr">
        <is>
          <t>Company</t>
        </is>
      </c>
      <c r="B4" s="6" t="n"/>
      <c r="C4" s="7" t="n"/>
      <c r="D4" s="5" t="inlineStr">
        <is>
          <t>Syringe Pump</t>
        </is>
      </c>
      <c r="E4" s="6" t="n"/>
      <c r="F4" s="7" t="n"/>
      <c r="G4" s="5" t="inlineStr">
        <is>
          <t>Volumetric Pump</t>
        </is>
      </c>
      <c r="H4" s="6" t="n"/>
      <c r="I4" s="7" t="n"/>
      <c r="J4" s="5" t="inlineStr">
        <is>
          <t>Changes vs sample</t>
        </is>
      </c>
      <c r="K4" s="8" t="n"/>
      <c r="L4" s="4" t="inlineStr">
        <is>
          <t>Listed on Indian distributor (third-party) website only</t>
        </is>
      </c>
    </row>
    <row r="5">
      <c r="A5" s="9" t="inlineStr">
        <is>
          <t>Name</t>
        </is>
      </c>
      <c r="B5" s="9" t="inlineStr">
        <is>
          <t>HQ</t>
        </is>
      </c>
      <c r="C5" s="9" t="inlineStr">
        <is>
          <t>Revenue</t>
        </is>
      </c>
      <c r="D5" s="9" t="inlineStr">
        <is>
          <t>Standard</t>
        </is>
      </c>
      <c r="E5" s="9" t="inlineStr">
        <is>
          <t>Smart</t>
        </is>
      </c>
      <c r="F5" s="9" t="inlineStr">
        <is>
          <t>Connected</t>
        </is>
      </c>
      <c r="G5" s="9" t="inlineStr">
        <is>
          <t>Standard</t>
        </is>
      </c>
      <c r="H5" s="9" t="inlineStr">
        <is>
          <t>Smart</t>
        </is>
      </c>
      <c r="I5" s="9" t="inlineStr">
        <is>
          <t>Connected</t>
        </is>
      </c>
      <c r="J5" s="10" t="n"/>
      <c r="K5" s="11" t="n"/>
      <c r="L5" s="4" t="inlineStr">
        <is>
          <t>Not disclosed on Indian websites</t>
        </is>
      </c>
    </row>
    <row r="6" ht="32" customHeight="1">
      <c r="A6" s="12" t="inlineStr">
        <is>
          <t>Terumo</t>
        </is>
      </c>
      <c r="B6" s="13" t="inlineStr">
        <is>
          <t>Japan</t>
        </is>
      </c>
      <c r="C6" s="13" t="inlineStr">
        <is>
          <t>JPY 1,131.9B FY25 revenue (Apr-25 to Mar-26) (~USD 7.15B*)
of which Medical Care Solutions (incl. infusion &amp; syringe pumps): JPY 216.1B
Source: Terumo FY2025 Financial Results</t>
        </is>
      </c>
      <c r="D6" s="14" t="inlineStr">
        <is>
          <t>TERUFUSION Syringe Pump Type SS3 TE-SS730</t>
        </is>
      </c>
      <c r="E6" s="15" t="n"/>
      <c r="F6" s="14" t="inlineStr">
        <is>
          <t>TERUFUSION Syringe Pump Type SS3 TE-SS830</t>
        </is>
      </c>
      <c r="G6" s="14" t="inlineStr">
        <is>
          <t>TERUFUSION Infusion Pump Type LM3 TE-LM730</t>
        </is>
      </c>
      <c r="H6" s="15" t="n"/>
      <c r="I6" s="14" t="inlineStr">
        <is>
          <t>TERUFUSION Infusion Pump Type LM3 TE-LM830</t>
        </is>
      </c>
      <c r="J6" s="13" t="inlineStr">
        <is>
          <t>- TE-SS730 &amp; TE-LM730: Smart -&gt; Standard (brochure: 'Standard pumps without IT functions'; library mode is 830-only)
- TE-SS830 &amp; TE-LM830 Connected confirmed (built-in wireless LAN)</t>
        </is>
      </c>
    </row>
    <row r="7" ht="32" customHeight="1">
      <c r="A7" s="12" t="inlineStr">
        <is>
          <t>Mindray</t>
        </is>
      </c>
      <c r="B7" s="13" t="inlineStr">
        <is>
          <t>China</t>
        </is>
      </c>
      <c r="C7" s="13" t="inlineStr">
        <is>
          <t>CNY 33.28B FY25 revenue (~USD 4.96B*)
of which Life Information &amp; Support (incl. infusion pumps): CNY 9.84B
Source: Mindray 2025 Annual Report (SZSE filing)</t>
        </is>
      </c>
      <c r="D7" s="14" t="inlineStr">
        <is>
          <t>BeneFusion 1 Series (SP1)</t>
        </is>
      </c>
      <c r="E7" s="14" t="inlineStr">
        <is>
          <t>BeneFusion 5 Series (SP5)**</t>
        </is>
      </c>
      <c r="F7" s="14" t="inlineStr">
        <is>
          <t>BeneFusion e Series (eSP)</t>
        </is>
      </c>
      <c r="G7" s="14" t="inlineStr">
        <is>
          <t>BeneFusion 1 Series (VP1)</t>
        </is>
      </c>
      <c r="H7" s="14" t="inlineStr">
        <is>
          <t>BeneFusion 5 Series (VP5)**</t>
        </is>
      </c>
      <c r="I7" s="14" t="inlineStr">
        <is>
          <t>BeneFusion e Series (eVP)</t>
        </is>
      </c>
      <c r="J7" s="13" t="inlineStr">
        <is>
          <t>- 5 Series: Smart -&gt; Smart** (wireless module optional; DS5 dock)
- e Series (eSP/eVP): Smart -&gt; Connected (DERS + wired/wireless CMS monitoring)
- 1/3 Series Standard and u Series Connected confirmed
- 3 Series has a 200-drug name list without dose limits: kept Standard (decision needed)</t>
        </is>
      </c>
    </row>
    <row r="8" ht="32" customHeight="1">
      <c r="A8" s="10" t="n"/>
      <c r="B8" s="10" t="n"/>
      <c r="C8" s="10" t="n"/>
      <c r="D8" s="14" t="inlineStr">
        <is>
          <t>BeneFusion 3 Series (SP3)</t>
        </is>
      </c>
      <c r="E8" s="16" t="n"/>
      <c r="F8" s="14" t="inlineStr">
        <is>
          <t>BeneFusion u Series (uSP / uDSP)</t>
        </is>
      </c>
      <c r="G8" s="14" t="inlineStr">
        <is>
          <t>BeneFusion 3 Series (VP3)</t>
        </is>
      </c>
      <c r="H8" s="16" t="n"/>
      <c r="I8" s="14" t="inlineStr">
        <is>
          <t>BeneFusion u Series (uVP)</t>
        </is>
      </c>
      <c r="J8" s="10" t="n"/>
    </row>
    <row r="9" ht="32" customHeight="1">
      <c r="A9" s="12" t="inlineStr">
        <is>
          <t>ICU Medical</t>
        </is>
      </c>
      <c r="B9" s="13" t="inlineStr">
        <is>
          <t>United States</t>
        </is>
      </c>
      <c r="C9" s="13" t="inlineStr">
        <is>
          <t>USD 2.23B FY25 revenue
of which Infusion Systems (global): USD 684.2M
Source: ICU Medical Q4/FY2025 results release</t>
        </is>
      </c>
      <c r="D9" s="17" t="inlineStr">
        <is>
          <t>Graseby 2000</t>
        </is>
      </c>
      <c r="E9" s="15" t="n"/>
      <c r="F9" s="17" t="inlineStr">
        <is>
          <t>Medfusion 4000</t>
        </is>
      </c>
      <c r="G9" s="17" t="inlineStr">
        <is>
          <t>Graseby 1200</t>
        </is>
      </c>
      <c r="H9" s="15" t="n"/>
      <c r="I9" s="15" t="n"/>
      <c r="J9" s="13" t="inlineStr">
        <is>
          <t>- No change in classification (Graseby 2000/2100 &amp; 1200 Standard; Medfusion 4000 Connected; all distributor-only, peach)</t>
        </is>
      </c>
    </row>
    <row r="10" ht="32" customHeight="1">
      <c r="A10" s="10" t="n"/>
      <c r="B10" s="10" t="n"/>
      <c r="C10" s="10" t="n"/>
      <c r="D10" s="17" t="inlineStr">
        <is>
          <t>Graseby 2100</t>
        </is>
      </c>
      <c r="E10" s="10" t="n"/>
      <c r="F10" s="16" t="n"/>
      <c r="G10" s="16" t="n"/>
      <c r="H10" s="10" t="n"/>
      <c r="I10" s="10" t="n"/>
      <c r="J10" s="10" t="n"/>
    </row>
    <row r="12">
      <c r="A12" s="18" t="inlineStr">
        <is>
          <t>** Smart** = drug library + connectivity optional (optional wireless module / docking station).  * USD converted at ECB reference rates of 5-Oct-2026 (latest available): USD/JPY 158.23, USD/CNY 6.705 (cross rates via EUR).</t>
        </is>
      </c>
    </row>
    <row r="13">
      <c r="A13" s="18" t="inlineStr">
        <is>
          <t>Specialty anaesthesia (TCI) pumps are excluded from scope. Product-level evidence and URLs: see 'Product Evidence' tab.</t>
        </is>
      </c>
    </row>
  </sheetData>
  <mergeCells count="21">
    <mergeCell ref="H9:H10"/>
    <mergeCell ref="J9:J10"/>
    <mergeCell ref="B6"/>
    <mergeCell ref="A7:A8"/>
    <mergeCell ref="C9:C10"/>
    <mergeCell ref="E9:E10"/>
    <mergeCell ref="D4:F4"/>
    <mergeCell ref="J4:J5"/>
    <mergeCell ref="G4:I4"/>
    <mergeCell ref="C6"/>
    <mergeCell ref="J7:J8"/>
    <mergeCell ref="A4:C4"/>
    <mergeCell ref="B9:B10"/>
    <mergeCell ref="A6"/>
    <mergeCell ref="H6"/>
    <mergeCell ref="J6"/>
    <mergeCell ref="C7:C8"/>
    <mergeCell ref="I9:I10"/>
    <mergeCell ref="A9:A10"/>
    <mergeCell ref="B7:B8"/>
    <mergeCell ref="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44" customWidth="1" min="4" max="4"/>
    <col width="50" customWidth="1" min="5" max="5"/>
    <col width="13" customWidth="1" min="6" max="6"/>
    <col width="18" customWidth="1" min="7" max="7"/>
    <col width="44" customWidth="1" min="8" max="8"/>
    <col width="55" customWidth="1" min="9" max="9"/>
    <col width="16" customWidth="1" min="10" max="10"/>
    <col width="32" customWidth="1" min="11" max="11"/>
    <col width="44" customWidth="1" min="12" max="12"/>
    <col width="32" customWidth="1" min="13" max="13"/>
  </cols>
  <sheetData>
    <row r="1">
      <c r="A1" s="5" t="inlineStr">
        <is>
          <t>Company</t>
        </is>
      </c>
      <c r="B1" s="5" t="inlineStr">
        <is>
          <t>Product</t>
        </is>
      </c>
      <c r="C1" s="5" t="inlineStr">
        <is>
          <t>Pump type</t>
        </is>
      </c>
      <c r="D1" s="5" t="inlineStr">
        <is>
          <t>Drug library - evidence (quoted)</t>
        </is>
      </c>
      <c r="E1" s="5" t="inlineStr">
        <is>
          <t>Connectivity - evidence (quoted)</t>
        </is>
      </c>
      <c r="F1" s="5" t="inlineStr">
        <is>
          <t>Classification</t>
        </is>
      </c>
      <c r="G1" s="5" t="inlineStr">
        <is>
          <t>India listing source</t>
        </is>
      </c>
      <c r="H1" s="5" t="inlineStr">
        <is>
          <t>Primary URL (India, client-viewable)</t>
        </is>
      </c>
      <c r="I1" s="5" t="inlineStr">
        <is>
          <t>Supporting URL(s) / brochure page</t>
        </is>
      </c>
      <c r="J1" s="5" t="inlineStr">
        <is>
          <t>Sample slide said</t>
        </is>
      </c>
      <c r="K1" s="5" t="inlineStr">
        <is>
          <t>Change vs sample</t>
        </is>
      </c>
      <c r="L1" s="5" t="inlineStr">
        <is>
          <t>Notes</t>
        </is>
      </c>
      <c r="M1" s="5" t="inlineStr">
        <is>
          <t>Evidence screenshot (evidence/ folder)</t>
        </is>
      </c>
    </row>
    <row r="2">
      <c r="A2" s="13" t="inlineStr">
        <is>
          <t>Terumo</t>
        </is>
      </c>
      <c r="B2" s="19" t="inlineStr">
        <is>
          <t>TERUFUSION Syringe Pump Type SS3 TE-SS730</t>
        </is>
      </c>
      <c r="C2" s="13" t="inlineStr">
        <is>
          <t>Syringe</t>
        </is>
      </c>
      <c r="D2" s="13" t="inlineStr">
        <is>
          <t>None. Brochure spec table: 'Library mode (TE-SS830 only)'.</t>
        </is>
      </c>
      <c r="E2" s="13" t="inlineStr">
        <is>
          <t>None. Brochure p.2 groups TE-SS730 under 'Standard Pumps' - 'Standard pumps without IT functions'. RS-232C port on TE-SS732 variant only (not counted as connectivity).</t>
        </is>
      </c>
      <c r="F2" s="12" t="inlineStr">
        <is>
          <t>Standard</t>
        </is>
      </c>
      <c r="G2" s="19" t="inlineStr">
        <is>
          <t>Official India website</t>
        </is>
      </c>
      <c r="H2" s="20" t="inlineStr">
        <is>
          <t>https://terumoindia.com/sites/default/files/2025-11/Smart%20Infusion%20System.pdf</t>
        </is>
      </c>
      <c r="I2" s="13" t="inlineStr">
        <is>
          <t>Brochure p.2 (Smart vs Standard panel) and p.4 (spec table). India product page: https://terumoindia.com/medication-management/terufusiontm-advanced-infusion-systems</t>
        </is>
      </c>
      <c r="J2" s="13" t="inlineStr">
        <is>
          <t>Smart</t>
        </is>
      </c>
      <c r="K2" s="13" t="inlineStr">
        <is>
          <t>RECLASSIFY Smart -&gt; Standard (no drug library, no IT function)</t>
        </is>
      </c>
      <c r="L2" s="13" t="inlineStr">
        <is>
          <t>Shown in the brochure hosted on terumoindia.com (Aug-2018 edition); the India web page text names only the Smart pumps. Included on the slide per project team decision.</t>
        </is>
      </c>
      <c r="M2" s="13" t="inlineStr">
        <is>
          <t>Terumo_IN_brochure_p2_Smart_vs_Standard.jpg; Terumo_IN_brochure_p4_IT_solution_specs.jpg; Terumo_IN_Terufusion_Advanced_Infusion.jpg</t>
        </is>
      </c>
    </row>
    <row r="3">
      <c r="A3" s="13" t="inlineStr">
        <is>
          <t>Terumo</t>
        </is>
      </c>
      <c r="B3" s="19" t="inlineStr">
        <is>
          <t>TERUFUSION Syringe Pump Type SS3 TE-SS830</t>
        </is>
      </c>
      <c r="C3" s="13" t="inlineStr">
        <is>
          <t>Syringe</t>
        </is>
      </c>
      <c r="D3" s="13" t="inlineStr">
        <is>
          <t>Brochure p.4 'Smart Pumps [TE-LM830 / TE-SS830] only' - 'Drug library function minimizes human error'; spec: 'Library mode (TE-SS830 only)'. India page: 'integrated drug library'.</t>
        </is>
      </c>
      <c r="E3" s="13" t="inlineStr">
        <is>
          <t>Brochure spec table: 'External communication function (wireless LAN)' - TE-SS830 only; 'Links with Hospital Information Systems (HIS)'. India page: 'remote monitoring', Pump Monitoring System (PMS) software.</t>
        </is>
      </c>
      <c r="F3" s="12" t="inlineStr">
        <is>
          <t>Connected</t>
        </is>
      </c>
      <c r="G3" s="19" t="inlineStr">
        <is>
          <t>Official India website</t>
        </is>
      </c>
      <c r="H3" s="20" t="inlineStr">
        <is>
          <t>https://terumoindia.com/medication-management/terufusiontm-advanced-infusion-systems</t>
        </is>
      </c>
      <c r="I3" s="13" t="inlineStr">
        <is>
          <t>Brochure p.2 &amp; p.4: https://terumoindia.com/sites/default/files/2025-11/Smart%20Infusion%20System.pdf | Launch release (Aug-2025): https://terumoindia.com/terufusion-connected-pumps</t>
        </is>
      </c>
      <c r="J3" s="13" t="inlineStr">
        <is>
          <t>Connected</t>
        </is>
      </c>
      <c r="K3" s="13" t="inlineStr">
        <is>
          <t>Confirmed</t>
        </is>
      </c>
      <c r="L3" s="13" t="inlineStr">
        <is>
          <t>Wireless LAN is built into the 830 models (the 730 models have none).</t>
        </is>
      </c>
      <c r="M3" s="13" t="inlineStr">
        <is>
          <t>Terumo_IN_brochure_p2_Smart_vs_Standard.jpg; Terumo_IN_brochure_p4_IT_solution_specs.jpg; Terumo_IN_Terufusion_Advanced_Infusion.jpg</t>
        </is>
      </c>
    </row>
    <row r="4">
      <c r="A4" s="13" t="inlineStr">
        <is>
          <t>Terumo</t>
        </is>
      </c>
      <c r="B4" s="19" t="inlineStr">
        <is>
          <t>TERUFUSION Infusion Pump Type LM3 TE-LM730</t>
        </is>
      </c>
      <c r="C4" s="13" t="inlineStr">
        <is>
          <t>Volumetric</t>
        </is>
      </c>
      <c r="D4" s="13" t="inlineStr">
        <is>
          <t>None. Brochure spec table: 'Library mode (TE-LM830 only)'.</t>
        </is>
      </c>
      <c r="E4" s="13" t="inlineStr">
        <is>
          <t>None. Brochure p.2 groups TE-LM730 under 'Standard Pumps' - 'without IT functions'. RS-232C on TE-LM732 variants only (not counted).</t>
        </is>
      </c>
      <c r="F4" s="12" t="inlineStr">
        <is>
          <t>Standard</t>
        </is>
      </c>
      <c r="G4" s="19" t="inlineStr">
        <is>
          <t>Official India website</t>
        </is>
      </c>
      <c r="H4" s="20" t="inlineStr">
        <is>
          <t>https://terumoindia.com/sites/default/files/2025-11/Smart%20Infusion%20System.pdf</t>
        </is>
      </c>
      <c r="I4" s="13" t="inlineStr">
        <is>
          <t>Brochure p.2 and p.4. India product page: https://terumoindia.com/medication-management/terufusiontm-advanced-infusion-systems</t>
        </is>
      </c>
      <c r="J4" s="13" t="inlineStr">
        <is>
          <t>Smart</t>
        </is>
      </c>
      <c r="K4" s="13" t="inlineStr">
        <is>
          <t>RECLASSIFY Smart -&gt; Standard (no drug library, no IT function)</t>
        </is>
      </c>
      <c r="L4" s="13" t="inlineStr">
        <is>
          <t>Same as TE-SS730: India-hosted brochure; included per project team decision.</t>
        </is>
      </c>
      <c r="M4" s="13" t="inlineStr">
        <is>
          <t>Terumo_IN_brochure_p2_Smart_vs_Standard.jpg; Terumo_IN_brochure_p4_IT_solution_specs.jpg; Terumo_IN_Terufusion_Advanced_Infusion.jpg</t>
        </is>
      </c>
    </row>
    <row r="5">
      <c r="A5" s="13" t="inlineStr">
        <is>
          <t>Terumo</t>
        </is>
      </c>
      <c r="B5" s="19" t="inlineStr">
        <is>
          <t>TERUFUSION Infusion Pump Type LM3 TE-LM830</t>
        </is>
      </c>
      <c r="C5" s="13" t="inlineStr">
        <is>
          <t>Volumetric</t>
        </is>
      </c>
      <c r="D5" s="13" t="inlineStr">
        <is>
          <t>Brochure: 'Library mode (TE-LM830 only)'; Drug Library Manager TE-SW800B 'TE-LM830 only'. India page: 'integrated drug library'.</t>
        </is>
      </c>
      <c r="E5" s="13" t="inlineStr">
        <is>
          <t>Brochure spec table: 'External communication function (wireless LAN)' - TE-LM830 only. India page: remote monitoring via PMS software.</t>
        </is>
      </c>
      <c r="F5" s="12" t="inlineStr">
        <is>
          <t>Connected</t>
        </is>
      </c>
      <c r="G5" s="19" t="inlineStr">
        <is>
          <t>Official India website</t>
        </is>
      </c>
      <c r="H5" s="20" t="inlineStr">
        <is>
          <t>https://terumoindia.com/medication-management/terufusiontm-advanced-infusion-systems</t>
        </is>
      </c>
      <c r="I5" s="13" t="inlineStr">
        <is>
          <t>Brochure p.2 &amp; p.4: https://terumoindia.com/sites/default/files/2025-11/Smart%20Infusion%20System.pdf | Launch release: https://terumoindia.com/terufusion-connected-pumps</t>
        </is>
      </c>
      <c r="J5" s="13" t="inlineStr">
        <is>
          <t>Connected</t>
        </is>
      </c>
      <c r="K5" s="13" t="inlineStr">
        <is>
          <t>Confirmed</t>
        </is>
      </c>
      <c r="L5" s="13" t="inlineStr"/>
      <c r="M5" s="13" t="inlineStr">
        <is>
          <t>Terumo_IN_brochure_p2_Smart_vs_Standard.jpg; Terumo_IN_brochure_p4_IT_solution_specs.jpg; Terumo_IN_Terufusion_Advanced_Infusion.jpg</t>
        </is>
      </c>
    </row>
    <row r="6">
      <c r="A6" s="13" t="inlineStr">
        <is>
          <t>Mindray</t>
        </is>
      </c>
      <c r="B6" s="19" t="inlineStr">
        <is>
          <t>BeneFusion 1 Series (SP1)</t>
        </is>
      </c>
      <c r="C6" s="13" t="inlineStr">
        <is>
          <t>Syringe</t>
        </is>
      </c>
      <c r="D6" s="13" t="inlineStr">
        <is>
          <t>None mentioned on India page (features: compact, fast start, battery, IP34, EN-1789).</t>
        </is>
      </c>
      <c r="E6" s="13" t="inlineStr">
        <is>
          <t>None mentioned.</t>
        </is>
      </c>
      <c r="F6" s="12" t="inlineStr">
        <is>
          <t>Standard</t>
        </is>
      </c>
      <c r="G6" s="19" t="inlineStr">
        <is>
          <t>Official India website</t>
        </is>
      </c>
      <c r="H6" s="20" t="inlineStr">
        <is>
          <t>https://www.mindray.com/in/products/infusion-system/benefusion-1-series/</t>
        </is>
      </c>
      <c r="I6" s="13" t="inlineStr"/>
      <c r="J6" s="13" t="inlineStr">
        <is>
          <t>Standard</t>
        </is>
      </c>
      <c r="K6" s="13" t="inlineStr">
        <is>
          <t>Confirmed</t>
        </is>
      </c>
      <c r="L6" s="13" t="inlineStr">
        <is>
          <t>India page shows both a syringe and a volumetric pump in the hero image.</t>
        </is>
      </c>
      <c r="M6" s="13" t="inlineStr">
        <is>
          <t>Mindray_IN_BeneFusion_1_Series.jpg</t>
        </is>
      </c>
    </row>
    <row r="7">
      <c r="A7" s="13" t="inlineStr">
        <is>
          <t>Mindray</t>
        </is>
      </c>
      <c r="B7" s="19" t="inlineStr">
        <is>
          <t>BeneFusion 1 Series (VP1)</t>
        </is>
      </c>
      <c r="C7" s="13" t="inlineStr">
        <is>
          <t>Volumetric</t>
        </is>
      </c>
      <c r="D7" s="13" t="inlineStr">
        <is>
          <t>None mentioned on India page.</t>
        </is>
      </c>
      <c r="E7" s="13" t="inlineStr">
        <is>
          <t>None mentioned.</t>
        </is>
      </c>
      <c r="F7" s="12" t="inlineStr">
        <is>
          <t>Standard</t>
        </is>
      </c>
      <c r="G7" s="19" t="inlineStr">
        <is>
          <t>Official India website</t>
        </is>
      </c>
      <c r="H7" s="20" t="inlineStr">
        <is>
          <t>https://www.mindray.com/in/products/infusion-system/benefusion-1-series/</t>
        </is>
      </c>
      <c r="I7" s="13" t="inlineStr"/>
      <c r="J7" s="13" t="inlineStr">
        <is>
          <t>Standard</t>
        </is>
      </c>
      <c r="K7" s="13" t="inlineStr">
        <is>
          <t>Confirmed</t>
        </is>
      </c>
      <c r="L7" s="13" t="inlineStr"/>
      <c r="M7" s="13" t="inlineStr">
        <is>
          <t>Mindray_IN_BeneFusion_1_Series.jpg</t>
        </is>
      </c>
    </row>
    <row r="8">
      <c r="A8" s="13" t="inlineStr">
        <is>
          <t>Mindray</t>
        </is>
      </c>
      <c r="B8" s="19" t="inlineStr">
        <is>
          <t>BeneFusion 3 Series (SP3)</t>
        </is>
      </c>
      <c r="C8" s="13" t="inlineStr">
        <is>
          <t>Syringe</t>
        </is>
      </c>
      <c r="D8" s="13" t="inlineStr">
        <is>
          <t>India page: none mentioned. Data sheet hosted on IndiaMart: 'Drug library up to 200 drugs; ON/OFF switchable' - a drug-name list; no dose limits (DERS) stated.</t>
        </is>
      </c>
      <c r="E8" s="13" t="inlineStr">
        <is>
          <t>None. India page: docking station only (power/cable management).</t>
        </is>
      </c>
      <c r="F8" s="12" t="inlineStr">
        <is>
          <t>Standard</t>
        </is>
      </c>
      <c r="G8" s="19" t="inlineStr">
        <is>
          <t>Official India website</t>
        </is>
      </c>
      <c r="H8" s="20" t="inlineStr">
        <is>
          <t>https://www.mindray.com/in/products/infusion-system/benefusion-3-series/</t>
        </is>
      </c>
      <c r="I8" s="13" t="inlineStr">
        <is>
          <t>SP3 data sheet (IndiaMart-hosted): https://5.imimg.com/data5/SELLER/Doc/2022/1/TX/CI/VD/17862303/mindray-benefusion-sp3-syringe-pump.pdf</t>
        </is>
      </c>
      <c r="J8" s="13" t="inlineStr">
        <is>
          <t>Standard</t>
        </is>
      </c>
      <c r="K8" s="13" t="inlineStr">
        <is>
          <t>Kept Standard - DECISION NEEDED (see note)</t>
        </is>
      </c>
      <c r="L8" s="13" t="inlineStr">
        <is>
          <t>Judgement call: if a drug-NAME library without dose limits counts as a 'drug library', SP3/VP3 move to Smart. Kept Standard, as in the sample, because there are no dose limits (DERS).</t>
        </is>
      </c>
      <c r="M8" s="13" t="inlineStr">
        <is>
          <t>Mindray_IN_BeneFusion_3_Series.jpg; Mindray_SP3_datasheet_IndiaMart.jpg</t>
        </is>
      </c>
    </row>
    <row r="9">
      <c r="A9" s="13" t="inlineStr">
        <is>
          <t>Mindray</t>
        </is>
      </c>
      <c r="B9" s="19" t="inlineStr">
        <is>
          <t>BeneFusion 3 Series (VP3)</t>
        </is>
      </c>
      <c r="C9" s="13" t="inlineStr">
        <is>
          <t>Volumetric</t>
        </is>
      </c>
      <c r="D9" s="13" t="inlineStr">
        <is>
          <t>India page: none mentioned. VP3 data sheet: 'Drug library up to 200 drugs; ON/OFF switchable' - no dose limits stated.</t>
        </is>
      </c>
      <c r="E9" s="13" t="inlineStr">
        <is>
          <t>None.</t>
        </is>
      </c>
      <c r="F9" s="12" t="inlineStr">
        <is>
          <t>Standard</t>
        </is>
      </c>
      <c r="G9" s="19" t="inlineStr">
        <is>
          <t>Official India website</t>
        </is>
      </c>
      <c r="H9" s="20" t="inlineStr">
        <is>
          <t>https://www.mindray.com/in/products/infusion-system/benefusion-3-series/</t>
        </is>
      </c>
      <c r="I9" s="13" t="inlineStr">
        <is>
          <t>India page hero/product images show volumetric + syringe 3 Series pumps.</t>
        </is>
      </c>
      <c r="J9" s="13" t="inlineStr">
        <is>
          <t>Standard</t>
        </is>
      </c>
      <c r="K9" s="13" t="inlineStr">
        <is>
          <t>Kept Standard - DECISION NEEDED (see note)</t>
        </is>
      </c>
      <c r="L9" s="13" t="inlineStr">
        <is>
          <t>Same judgement call as SP3.</t>
        </is>
      </c>
      <c r="M9" s="13" t="inlineStr">
        <is>
          <t>Mindray_IN_BeneFusion_3_Series.jpg; Mindray_SP3_datasheet_IndiaMart.jpg</t>
        </is>
      </c>
    </row>
    <row r="10">
      <c r="A10" s="13" t="inlineStr">
        <is>
          <t>Mindray</t>
        </is>
      </c>
      <c r="B10" s="19" t="inlineStr">
        <is>
          <t>BeneFusion 5 Series (SP5)</t>
        </is>
      </c>
      <c r="C10" s="13" t="inlineStr">
        <is>
          <t>Syringe</t>
        </is>
      </c>
      <c r="D10" s="13" t="inlineStr">
        <is>
          <t>India page: 'Dose Error Reduction System (DERS) - The DERS Drug Library ... alert ... when the soft/hard limit is reached'.</t>
        </is>
      </c>
      <c r="E10" s="13" t="inlineStr">
        <is>
          <t>India page: connectivity via 'DS5 Docking Station' and 'BeneFusion CS5 Central Infusion Supervision System'. VP5 operator manual s.7.4: 'Wireless Networking (Optional)'; 'The wireless module ... [is] optional'.</t>
        </is>
      </c>
      <c r="F10" s="12" t="inlineStr">
        <is>
          <t>Smart**</t>
        </is>
      </c>
      <c r="G10" s="19" t="inlineStr">
        <is>
          <t>Official India website</t>
        </is>
      </c>
      <c r="H10" s="20" t="inlineStr">
        <is>
          <t>https://www.mindray.com/in/products/infusion-system/benefusion-5-series/</t>
        </is>
      </c>
      <c r="I10" s="13" t="inlineStr">
        <is>
          <t>VP5 operator manual s.7.4: http://mindray.sy/wp-content/uploads/2019/12/VP5-OperatorManual.pdf</t>
        </is>
      </c>
      <c r="J10" s="13" t="inlineStr">
        <is>
          <t>Smart</t>
        </is>
      </c>
      <c r="K10" s="13" t="inlineStr">
        <is>
          <t>RECLASSIFY Smart -&gt; Smart** (connectivity via optional wireless module / DS5 dock)</t>
        </is>
      </c>
      <c r="L10" s="13" t="inlineStr">
        <is>
          <t>India page also lists 'SP5 TCI/DTCI' - a software mode of SP5 (not counted separately, same as Perfusor Space TCI).</t>
        </is>
      </c>
      <c r="M10" s="13" t="inlineStr">
        <is>
          <t>Mindray_IN_BeneFusion_5_Series.jpg</t>
        </is>
      </c>
    </row>
    <row r="11">
      <c r="A11" s="13" t="inlineStr">
        <is>
          <t>Mindray</t>
        </is>
      </c>
      <c r="B11" s="19" t="inlineStr">
        <is>
          <t>BeneFusion 5 Series (VP5)</t>
        </is>
      </c>
      <c r="C11" s="13" t="inlineStr">
        <is>
          <t>Volumetric</t>
        </is>
      </c>
      <c r="D11" s="13" t="inlineStr">
        <is>
          <t>India page: DERS Drug Library (5 Series).</t>
        </is>
      </c>
      <c r="E11" s="13" t="inlineStr">
        <is>
          <t>VP5 operator manual s.7.4: 'Wireless Networking (Optional)'. India page: DS5 dock / CS5 central supervision.</t>
        </is>
      </c>
      <c r="F11" s="12" t="inlineStr">
        <is>
          <t>Smart**</t>
        </is>
      </c>
      <c r="G11" s="19" t="inlineStr">
        <is>
          <t>Official India website</t>
        </is>
      </c>
      <c r="H11" s="20" t="inlineStr">
        <is>
          <t>https://www.mindray.com/in/products/infusion-system/benefusion-5-series/</t>
        </is>
      </c>
      <c r="I11" s="13" t="inlineStr">
        <is>
          <t>VP5 operator manual s.7.4: http://mindray.sy/wp-content/uploads/2019/12/VP5-OperatorManual.pdf</t>
        </is>
      </c>
      <c r="J11" s="13" t="inlineStr">
        <is>
          <t>Smart</t>
        </is>
      </c>
      <c r="K11" s="13" t="inlineStr">
        <is>
          <t>RECLASSIFY Smart -&gt; Smart**</t>
        </is>
      </c>
      <c r="L11" s="13" t="inlineStr">
        <is>
          <t>VP5 is not named in the India page text; the 5 Series product images show the pump stack.</t>
        </is>
      </c>
      <c r="M11" s="13" t="inlineStr">
        <is>
          <t>Mindray_IN_BeneFusion_5_Series.jpg</t>
        </is>
      </c>
    </row>
    <row r="12">
      <c r="A12" s="13" t="inlineStr">
        <is>
          <t>Mindray</t>
        </is>
      </c>
      <c r="B12" s="19" t="inlineStr">
        <is>
          <t>BeneFusion e Series (eSP)</t>
        </is>
      </c>
      <c r="C12" s="13" t="inlineStr">
        <is>
          <t>Syringe</t>
        </is>
      </c>
      <c r="D12" s="13" t="inlineStr">
        <is>
          <t>India page: 'SafeDose DERS helps prevent dosing error with hard or soft limits restriction'. Data sheet: 'Drug library up to 5000 drugs'.</t>
        </is>
      </c>
      <c r="E12" s="13" t="inlineStr">
        <is>
          <t>India page: 'Integrated Central Monitoring - BeneVision CMS offers one-stop monitoring of all patients' vital sign and infusion treatment details'. eSP data sheet: 'Communication: Wired/wireless' (not marked optional).</t>
        </is>
      </c>
      <c r="F12" s="12" t="inlineStr">
        <is>
          <t>Connected</t>
        </is>
      </c>
      <c r="G12" s="19" t="inlineStr">
        <is>
          <t>Official India website</t>
        </is>
      </c>
      <c r="H12" s="20" t="inlineStr">
        <is>
          <t>https://www.mindray.com/in/products/infusion-system/benefusion-e-series/</t>
        </is>
      </c>
      <c r="I12" s="13" t="inlineStr">
        <is>
          <t>eSP (PCA) data sheet, Connectivity section: https://ecomed.co.za/wp-content/uploads/2025/03/Syringe-driver-PCA-BeneFusion-eSP-PCA_Data-Sheet_ENG_20241203.pdf</t>
        </is>
      </c>
      <c r="J12" s="13" t="inlineStr">
        <is>
          <t>Smart</t>
        </is>
      </c>
      <c r="K12" s="13" t="inlineStr">
        <is>
          <t>RECLASSIFY Smart -&gt; Connected (drug library + wired/wireless central monitoring)</t>
        </is>
      </c>
      <c r="L12" s="13" t="inlineStr">
        <is>
          <t>Data sheet is from a South African distributor (global Mindray document); the India page shows connectivity on its own.</t>
        </is>
      </c>
      <c r="M12" s="13" t="inlineStr">
        <is>
          <t>Mindray_IN_BeneFusion_e_Series.jpg</t>
        </is>
      </c>
    </row>
    <row r="13">
      <c r="A13" s="13" t="inlineStr">
        <is>
          <t>Mindray</t>
        </is>
      </c>
      <c r="B13" s="19" t="inlineStr">
        <is>
          <t>BeneFusion e Series (eVP)</t>
        </is>
      </c>
      <c r="C13" s="13" t="inlineStr">
        <is>
          <t>Volumetric</t>
        </is>
      </c>
      <c r="D13" s="13" t="inlineStr">
        <is>
          <t>India page: SafeDose DERS (hard/soft limits).</t>
        </is>
      </c>
      <c r="E13" s="13" t="inlineStr">
        <is>
          <t>India page: Integrated Central Monitoring (BeneVision CMS). e Series data sheets: 'Communication: Wired/wireless'.</t>
        </is>
      </c>
      <c r="F13" s="12" t="inlineStr">
        <is>
          <t>Connected</t>
        </is>
      </c>
      <c r="G13" s="19" t="inlineStr">
        <is>
          <t>Official India website</t>
        </is>
      </c>
      <c r="H13" s="20" t="inlineStr">
        <is>
          <t>https://www.mindray.com/in/products/infusion-system/benefusion-e-series/</t>
        </is>
      </c>
      <c r="I13" s="13" t="inlineStr">
        <is>
          <t>e Series brochure / data sheets (global)</t>
        </is>
      </c>
      <c r="J13" s="13" t="inlineStr">
        <is>
          <t>Smart</t>
        </is>
      </c>
      <c r="K13" s="13" t="inlineStr">
        <is>
          <t>RECLASSIFY Smart -&gt; Connected</t>
        </is>
      </c>
      <c r="L13" s="13" t="inlineStr"/>
      <c r="M13" s="13" t="inlineStr">
        <is>
          <t>Mindray_IN_BeneFusion_e_Series.jpg</t>
        </is>
      </c>
    </row>
    <row r="14">
      <c r="A14" s="13" t="inlineStr">
        <is>
          <t>Mindray</t>
        </is>
      </c>
      <c r="B14" s="19" t="inlineStr">
        <is>
          <t>BeneFusion u Series (uSP / uDSP)</t>
        </is>
      </c>
      <c r="C14" s="13" t="inlineStr">
        <is>
          <t>Syringe</t>
        </is>
      </c>
      <c r="D14" s="13" t="inlineStr">
        <is>
          <t>u Series brochure (IndiaMart-hosted) p.2: 'Departmental drug library - Customized drug library for varied care units'. uSP data sheet: 'Drug library up to 5000 drugs'; DERS optional.</t>
        </is>
      </c>
      <c r="E14" s="13" t="inlineStr">
        <is>
          <t>India page: 'Comprehensive integration, better connectivity ... Access the HIS/CIS/EMR system through the HL7 protocol'. uSP data sheet: 'Communication: Wired/wireless'.</t>
        </is>
      </c>
      <c r="F14" s="12" t="inlineStr">
        <is>
          <t>Connected</t>
        </is>
      </c>
      <c r="G14" s="19" t="inlineStr">
        <is>
          <t>Official India website</t>
        </is>
      </c>
      <c r="H14" s="20" t="inlineStr">
        <is>
          <t>https://www.mindray.com/in/products/infusion-system/benefusion-u-series/</t>
        </is>
      </c>
      <c r="I14" s="13" t="inlineStr">
        <is>
          <t>u Series brochure (IndiaMart-hosted): http://5.imimg.com/data5/SELLER/Doc/2025/12/571961803/KS/IN/JK/2785113/infusion-pump-uvp.pdf | uSP data sheet: https://ecomed.co.za/wp-content/uploads/2025/03/BeneFusion-uSP_Data-Sheet_ENG_230120.pdf</t>
        </is>
      </c>
      <c r="J14" s="13" t="inlineStr">
        <is>
          <t>Connected</t>
        </is>
      </c>
      <c r="K14" s="13" t="inlineStr">
        <is>
          <t>Confirmed</t>
        </is>
      </c>
      <c r="L14" s="13" t="inlineStr">
        <is>
          <t>The India page itself does not mention the drug library; that evidence comes from the brochure.</t>
        </is>
      </c>
      <c r="M14" s="13" t="inlineStr">
        <is>
          <t>Mindray_IN_BeneFusion_u_Series.jpg; Mindray_uSeries_brochure_IndiaMart_p2.jpg</t>
        </is>
      </c>
    </row>
    <row r="15">
      <c r="A15" s="13" t="inlineStr">
        <is>
          <t>Mindray</t>
        </is>
      </c>
      <c r="B15" s="19" t="inlineStr">
        <is>
          <t>BeneFusion u Series (uVP)</t>
        </is>
      </c>
      <c r="C15" s="13" t="inlineStr">
        <is>
          <t>Volumetric</t>
        </is>
      </c>
      <c r="D15" s="13" t="inlineStr">
        <is>
          <t>u Series brochure (IndiaMart-hosted) p.2: 'Departmental drug library'.</t>
        </is>
      </c>
      <c r="E15" s="13" t="inlineStr">
        <is>
          <t>India page: HL7 connectivity to HIS/CIS/EMR; centralised monitoring.</t>
        </is>
      </c>
      <c r="F15" s="12" t="inlineStr">
        <is>
          <t>Connected</t>
        </is>
      </c>
      <c r="G15" s="19" t="inlineStr">
        <is>
          <t>Official India website</t>
        </is>
      </c>
      <c r="H15" s="20" t="inlineStr">
        <is>
          <t>https://www.mindray.com/in/products/infusion-system/benefusion-u-series/</t>
        </is>
      </c>
      <c r="I15" s="13" t="inlineStr">
        <is>
          <t>u Series brochure (IndiaMart-hosted): http://5.imimg.com/data5/SELLER/Doc/2025/12/571961803/KS/IN/JK/2785113/infusion-pump-uvp.pdf</t>
        </is>
      </c>
      <c r="J15" s="13" t="inlineStr">
        <is>
          <t>Connected</t>
        </is>
      </c>
      <c r="K15" s="13" t="inlineStr">
        <is>
          <t>Confirmed</t>
        </is>
      </c>
      <c r="L15" s="13" t="inlineStr"/>
      <c r="M15" s="13" t="inlineStr">
        <is>
          <t>Mindray_IN_BeneFusion_u_Series.jpg; Mindray_uSeries_brochure_IndiaMart_p2.jpg</t>
        </is>
      </c>
    </row>
    <row r="16">
      <c r="A16" s="13" t="inlineStr">
        <is>
          <t>ICU Medical</t>
        </is>
      </c>
      <c r="B16" s="21" t="inlineStr">
        <is>
          <t>Graseby 2000</t>
        </is>
      </c>
      <c r="C16" s="13" t="inlineStr">
        <is>
          <t>Syringe</t>
        </is>
      </c>
      <c r="D16" s="13" t="inlineStr">
        <is>
          <t>None. Distributor text: rate / VTBI programming, '4-step programming sequence'.</t>
        </is>
      </c>
      <c r="E16" s="13" t="inlineStr">
        <is>
          <t>None.</t>
        </is>
      </c>
      <c r="F16" s="12" t="inlineStr">
        <is>
          <t>Standard</t>
        </is>
      </c>
      <c r="G16" s="21" t="inlineStr">
        <is>
          <t>Third-party (India distributor)</t>
        </is>
      </c>
      <c r="H16" s="22" t="inlineStr">
        <is>
          <t>https://www.indiamart.com/proddetail/smiths-medical-syringe-pump-graseby-2000-2852038109462.html</t>
        </is>
      </c>
      <c r="I16" s="13" t="inlineStr">
        <is>
          <t>Honmed (Graseby 2000 range text): https://www.honmed.in/product-page/syringe-pump-graseby-2100</t>
        </is>
      </c>
      <c r="J16" s="13" t="inlineStr">
        <is>
          <t>Standard (peach)</t>
        </is>
      </c>
      <c r="K16" s="13" t="inlineStr">
        <is>
          <t>Confirmed</t>
        </is>
      </c>
      <c r="L16" s="13" t="inlineStr">
        <is>
          <t>IndiaMart listing verified by project team (Oct-2026): seller Nature's Global Service, New Delhi, Rs 30,000; image shows a Graseby 2000.</t>
        </is>
      </c>
      <c r="M16" s="13" t="inlineStr">
        <is>
          <t>IndiaMart_Graseby_2000_team_check.jpg; Honmed_Graseby_2100.jpg</t>
        </is>
      </c>
    </row>
    <row r="17">
      <c r="A17" s="13" t="inlineStr">
        <is>
          <t>ICU Medical</t>
        </is>
      </c>
      <c r="B17" s="21" t="inlineStr">
        <is>
          <t>Graseby 2100</t>
        </is>
      </c>
      <c r="C17" s="13" t="inlineStr">
        <is>
          <t>Syringe</t>
        </is>
      </c>
      <c r="D17" s="13" t="inlineStr">
        <is>
          <t>None. Honmed: '2100 ... also features Bodyweight Programming' (dose calculation, not a drug library).</t>
        </is>
      </c>
      <c r="E17" s="13" t="inlineStr">
        <is>
          <t>None.</t>
        </is>
      </c>
      <c r="F17" s="12" t="inlineStr">
        <is>
          <t>Standard</t>
        </is>
      </c>
      <c r="G17" s="21" t="inlineStr">
        <is>
          <t>Third-party (India distributor)</t>
        </is>
      </c>
      <c r="H17" s="22" t="inlineStr">
        <is>
          <t>https://www.honmed.in/product-page/syringe-pump-graseby-2100</t>
        </is>
      </c>
      <c r="I17" s="13" t="inlineStr">
        <is>
          <t>IndiaMart: https://www.indiamart.com/proddetail/smith-syringe-infusion-pump-graseby-2100-21099225197.html</t>
        </is>
      </c>
      <c r="J17" s="13" t="inlineStr">
        <is>
          <t>Standard (peach)</t>
        </is>
      </c>
      <c r="K17" s="13" t="inlineStr">
        <is>
          <t>Confirmed</t>
        </is>
      </c>
      <c r="L17" s="13" t="inlineStr">
        <is>
          <t>IndiaMart listing verified by project team: seller Apex Medical India (Mark.Inc), Lucknow, Rs 30,000; pump screen shows WEIGHT / DRUG MASS fields (body-weight mode).</t>
        </is>
      </c>
      <c r="M17" s="13" t="inlineStr">
        <is>
          <t>Honmed_Graseby_2100.jpg; IndiaMart_Graseby_2100_team_check.jpg</t>
        </is>
      </c>
    </row>
    <row r="18">
      <c r="A18" s="13" t="inlineStr">
        <is>
          <t>ICU Medical</t>
        </is>
      </c>
      <c r="B18" s="21" t="inlineStr">
        <is>
          <t>Medfusion 4000</t>
        </is>
      </c>
      <c r="C18" s="13" t="inlineStr">
        <is>
          <t>Syringe</t>
        </is>
      </c>
      <c r="D18" s="13" t="inlineStr">
        <is>
          <t>ICU page: 'Default into the drug library', 'Quick Library feature'.</t>
        </is>
      </c>
      <c r="E18" s="13" t="inlineStr">
        <is>
          <t>ICU page: 'Wireless connectivity with the PharmGuard Server enables updates to the drug library ... EMR integration'. Product name: 'Medfusion 4000 Wireless Syringe Infusion Pump'.</t>
        </is>
      </c>
      <c r="F18" s="12" t="inlineStr">
        <is>
          <t>Connected</t>
        </is>
      </c>
      <c r="G18" s="21" t="inlineStr">
        <is>
          <t>Third-party (India distributor)</t>
        </is>
      </c>
      <c r="H18" s="22" t="inlineStr">
        <is>
          <t>https://www.indiamart.com/proddetail/mri-compatible-syringe-infusion-pump-medfusion-4000-21117047897.html</t>
        </is>
      </c>
      <c r="I18" s="13" t="inlineStr">
        <is>
          <t>Features from ICU global page: https://www.icumed.com/products/infusion-therapy/infusion-pumps-and-software/medfusion-syringe-pumps/medfusion-4000-wireless-syringe-infusion-pump/</t>
        </is>
      </c>
      <c r="J18" s="13" t="inlineStr">
        <is>
          <t>Connected (peach)</t>
        </is>
      </c>
      <c r="K18" s="13" t="inlineStr">
        <is>
          <t>Confirmed</t>
        </is>
      </c>
      <c r="L18" s="13" t="inlineStr">
        <is>
          <t>IndiaMart listing verified by project team: seller Apex Medical India (Mark.Inc), Lucknow, Rs 1,80,000; product photo shows the 'PharmGuard Medication Safety' start screen (drug library). ICU Medical has no India product website.</t>
        </is>
      </c>
      <c r="M18" s="13" t="inlineStr">
        <is>
          <t>IndiaMart_Medfusion_4000_team_check.jpg; ICU_Global_Medfusion_4000.jpg</t>
        </is>
      </c>
    </row>
    <row r="19">
      <c r="A19" s="13" t="inlineStr">
        <is>
          <t>ICU Medical</t>
        </is>
      </c>
      <c r="B19" s="21" t="inlineStr">
        <is>
          <t>Graseby 1200</t>
        </is>
      </c>
      <c r="C19" s="13" t="inlineStr">
        <is>
          <t>Volumetric</t>
        </is>
      </c>
      <c r="D19" s="13" t="inlineStr">
        <is>
          <t>None in India brochure (Smiths Medical, ref IN193908GB, lists Indian IV-set brands Romsons, Polymed).</t>
        </is>
      </c>
      <c r="E19" s="13" t="inlineStr">
        <is>
          <t>India brochure: 'Standard RS232 interface' only (not counted).</t>
        </is>
      </c>
      <c r="F19" s="12" t="inlineStr">
        <is>
          <t>Standard</t>
        </is>
      </c>
      <c r="G19" s="21" t="inlineStr">
        <is>
          <t>Third-party (India distributor)</t>
        </is>
      </c>
      <c r="H19" s="22" t="inlineStr">
        <is>
          <t>https://www.medikabazaar.com/products/smiths-medical-graseby-1200-infusion-pump-mbpgmdcispisff16979</t>
        </is>
      </c>
      <c r="I19" s="13" t="inlineStr">
        <is>
          <t>IndiaMart: https://www.indiamart.com/proddetail/smiths-medical-graseby-1200-volumetric-infusion-pump-2853092683762.html | India brochure (Hospimax): http://www.hospimax.com/medical-devices/smithsmedical/Graseby%201200%20LVP%20Brochure%20(FINAL).pdf</t>
        </is>
      </c>
      <c r="J19" s="13" t="inlineStr">
        <is>
          <t>Standard (peach)</t>
        </is>
      </c>
      <c r="K19" s="13" t="inlineStr">
        <is>
          <t>Confirmed</t>
        </is>
      </c>
      <c r="L19" s="13" t="inlineStr">
        <is>
          <t>Medikabazaar (Rs 48,825) is primary - its photo shows the Graseby 1200 volumetric pump. IndiaMart listing (team-verified: Horizon Medical Technologies, New Delhi, Rs 55,000) is titled Graseby 1200 but its photo shows a Graseby 2000 SYRINGE pump - use as supporting only. Some non-Indian distributors list a newer 'Graseby 1200' with a 2,000-drug library - not seen on Indian sites.</t>
        </is>
      </c>
      <c r="M19" s="13" t="inlineStr">
        <is>
          <t>Medikabazaar_Graseby_1200.jpg; IndiaMart_Graseby_1200_team_check.jpg; Graseby_1200_India_brochure_Hospimax_p2.jpg; ..._p3.jpg</t>
        </is>
      </c>
    </row>
  </sheetData>
  <autoFilter ref="A1:M1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8" customWidth="1" min="3" max="3"/>
    <col width="9" customWidth="1" min="4" max="4"/>
    <col width="14" customWidth="1" min="5" max="5"/>
    <col width="14" customWidth="1" min="6" max="6"/>
    <col width="22" customWidth="1" min="7" max="7"/>
    <col width="30" customWidth="1" min="8" max="8"/>
    <col width="50" customWidth="1" min="9" max="9"/>
    <col width="50" customWidth="1" min="10" max="10"/>
    <col width="50" customWidth="1" min="11" max="11"/>
  </cols>
  <sheetData>
    <row r="1">
      <c r="A1" s="23" t="inlineStr">
        <is>
          <t>Revenue cross-check (FY2025)</t>
        </is>
      </c>
    </row>
    <row r="2">
      <c r="A2" s="4" t="inlineStr">
        <is>
          <t>EUR/USD (input)</t>
        </is>
      </c>
      <c r="B2" s="24" t="n">
        <v>1.1204</v>
      </c>
      <c r="C2" s="2" t="inlineStr">
        <is>
          <t>ECB euro reference rates, latest available (5-Oct-2026): https://data.ecb.europa.eu/data/datasets/EXR  - USD crosses derived below</t>
        </is>
      </c>
    </row>
    <row r="3">
      <c r="A3" s="4" t="inlineStr">
        <is>
          <t>EUR/JPY (input)</t>
        </is>
      </c>
      <c r="B3" s="24" t="n">
        <v>177.28</v>
      </c>
      <c r="C3" s="2">
        <f>"Implied USD/JPY: "&amp;TEXT(B3/B2,"0.00")</f>
        <v/>
      </c>
    </row>
    <row r="4">
      <c r="A4" s="4" t="inlineStr">
        <is>
          <t>EUR/CNY (input)</t>
        </is>
      </c>
      <c r="B4" s="24" t="n">
        <v>7.5118</v>
      </c>
      <c r="C4" s="2">
        <f>"Implied USD/CNY: "&amp;TEXT(B4/B2,"0.000")</f>
        <v/>
      </c>
    </row>
    <row r="6">
      <c r="A6" s="5" t="inlineStr">
        <is>
          <t>Company</t>
        </is>
      </c>
      <c r="B6" s="5" t="inlineStr">
        <is>
          <t>Metric</t>
        </is>
      </c>
      <c r="C6" s="5" t="inlineStr">
        <is>
          <t>Period</t>
        </is>
      </c>
      <c r="D6" s="5" t="inlineStr">
        <is>
          <t>Currency</t>
        </is>
      </c>
      <c r="E6" s="5" t="inlineStr">
        <is>
          <t>Value (local, mn)</t>
        </is>
      </c>
      <c r="F6" s="5" t="inlineStr">
        <is>
          <t>Value (USD bn) - formula</t>
        </is>
      </c>
      <c r="G6" s="5" t="inlineStr">
        <is>
          <t>Sample slide</t>
        </is>
      </c>
      <c r="H6" s="5" t="inlineStr">
        <is>
          <t>Check</t>
        </is>
      </c>
      <c r="I6" s="5" t="inlineStr">
        <is>
          <t>Source URL</t>
        </is>
      </c>
      <c r="J6" s="5" t="inlineStr">
        <is>
          <t>Page / location</t>
        </is>
      </c>
      <c r="K6" s="5" t="inlineStr">
        <is>
          <t>Comment</t>
        </is>
      </c>
    </row>
    <row r="7">
      <c r="A7" s="13" t="inlineStr">
        <is>
          <t>Terumo</t>
        </is>
      </c>
      <c r="B7" s="13" t="inlineStr">
        <is>
          <t>Group revenue</t>
        </is>
      </c>
      <c r="C7" s="13" t="inlineStr">
        <is>
          <t>FY2025 (Apr-25 to Mar-26)</t>
        </is>
      </c>
      <c r="D7" s="13" t="inlineStr">
        <is>
          <t>JPY</t>
        </is>
      </c>
      <c r="E7" s="25" t="n">
        <v>1131877</v>
      </c>
      <c r="F7" s="26">
        <f>IF(E7="","n/a",E7/($B$3/$B$2)/1000)</f>
        <v/>
      </c>
      <c r="G7" s="13" t="inlineStr">
        <is>
          <t>~$7.2B (FY25)</t>
        </is>
      </c>
      <c r="H7" s="13" t="inlineStr">
        <is>
          <t>Matches (USD 7.15B at latest ECB cross rate)</t>
        </is>
      </c>
      <c r="I7" s="13" t="inlineStr">
        <is>
          <t>https://www.terumo.com/system/files/document/2026-05/FinancialResults_26Q4_E.pdf</t>
        </is>
      </c>
      <c r="J7" s="13" t="inlineStr">
        <is>
          <t>PDF p.1 (summary) and p.6: 'Revenue totaled JPY 1,131.9 billion, an increase of 9.2%'</t>
        </is>
      </c>
      <c r="K7" s="13" t="inlineStr">
        <is>
          <t>IFRS consolidated.</t>
        </is>
      </c>
    </row>
    <row r="8">
      <c r="A8" s="13" t="inlineStr">
        <is>
          <t>Terumo</t>
        </is>
      </c>
      <c r="B8" s="13" t="inlineStr">
        <is>
          <t>Medical Care Solutions Company revenue (incl. infusion &amp; syringe pumps)</t>
        </is>
      </c>
      <c r="C8" s="13" t="inlineStr">
        <is>
          <t>FY2025</t>
        </is>
      </c>
      <c r="D8" s="13" t="inlineStr">
        <is>
          <t>JPY</t>
        </is>
      </c>
      <c r="E8" s="25" t="n">
        <v>216138</v>
      </c>
      <c r="F8" s="26">
        <f>IF(E8="","n/a",E8/($B$3/$B$2)/1000)</f>
        <v/>
      </c>
      <c r="G8" s="13" t="inlineStr">
        <is>
          <t>-</t>
        </is>
      </c>
      <c r="H8" s="13" t="inlineStr">
        <is>
          <t>Closest infusion proxy</t>
        </is>
      </c>
      <c r="I8" s="13" t="inlineStr">
        <is>
          <t>https://www.terumo.com/system/files/document/2026-05/FinancialResults_26Q4_E.pdf</t>
        </is>
      </c>
      <c r="J8" s="13" t="inlineStr">
        <is>
          <t>PDF p.7 (segment table); p.19 lists 'Syringes, Infusion pumps, Syringe pumps ...' under Hospital Care Solutions</t>
        </is>
      </c>
      <c r="K8" s="13" t="inlineStr">
        <is>
          <t>Also includes syringes, IV solutions, PD fluid, pharmaceutical solutions. Pump-only revenue not disclosed.</t>
        </is>
      </c>
    </row>
    <row r="9">
      <c r="A9" s="13" t="inlineStr">
        <is>
          <t>Mindray</t>
        </is>
      </c>
      <c r="B9" s="13" t="inlineStr">
        <is>
          <t>Group operating revenue</t>
        </is>
      </c>
      <c r="C9" s="13" t="inlineStr">
        <is>
          <t>FY2025 (Dec-25)</t>
        </is>
      </c>
      <c r="D9" s="13" t="inlineStr">
        <is>
          <t>CNY</t>
        </is>
      </c>
      <c r="E9" s="25" t="n">
        <v>33282.1594</v>
      </c>
      <c r="F9" s="26">
        <f>IF(E9="","n/a",E9/($B$4/$B$2)/1000)</f>
        <v/>
      </c>
      <c r="G9" s="13" t="inlineStr">
        <is>
          <t>~$4.9B (FY25)</t>
        </is>
      </c>
      <c r="H9" s="13" t="inlineStr">
        <is>
          <t>Matches (USD 4.96B at latest ECB cross rate)</t>
        </is>
      </c>
      <c r="I9" s="13" t="inlineStr">
        <is>
          <t>http://static.cninfo.com.cn/finalpage/2026-03-31/1225059011.PDF</t>
        </is>
      </c>
      <c r="J9" s="13" t="inlineStr">
        <is>
          <t>Annual report summary PDF p.3: '营业收入 3,328,215.94 万元，较上年同期下降 9.38%' (CNY 33,282mn, -9.4%)</t>
        </is>
      </c>
      <c r="K9" s="13" t="inlineStr">
        <is>
          <t>Official SZSE filing via CNINFO (Chinese). Full annual report: http://static.cninfo.com.cn/finalpage/2026-03-31/1225059012.PDF  Sample's source (BigGo) is a news site.</t>
        </is>
      </c>
    </row>
    <row r="10">
      <c r="A10" s="13" t="inlineStr">
        <is>
          <t>Mindray</t>
        </is>
      </c>
      <c r="B10" s="13" t="inlineStr">
        <is>
          <t>Life Information &amp; Support revenue (incl. infusion pumps)</t>
        </is>
      </c>
      <c r="C10" s="13" t="inlineStr">
        <is>
          <t>FY2025</t>
        </is>
      </c>
      <c r="D10" s="13" t="inlineStr">
        <is>
          <t>CNY</t>
        </is>
      </c>
      <c r="E10" s="25" t="n">
        <v>9836.7237</v>
      </c>
      <c r="F10" s="26">
        <f>IF(E10="","n/a",E10/($B$4/$B$2)/1000)</f>
        <v/>
      </c>
      <c r="G10" s="13" t="inlineStr">
        <is>
          <t>-</t>
        </is>
      </c>
      <c r="H10" s="13" t="inlineStr">
        <is>
          <t>Closest infusion proxy</t>
        </is>
      </c>
      <c r="I10" s="13" t="inlineStr">
        <is>
          <t>http://static.cninfo.com.cn/finalpage/2026-03-31/1225059011.PDF</t>
        </is>
      </c>
      <c r="J10" s="13" t="inlineStr">
        <is>
          <t>Annual report summary PDF p.9: '生命信息与支持业务实现营业收入 983,672.37 万元，同比下降 19.80%'; product list incl. '输注泵' (infusion pumps)</t>
        </is>
      </c>
      <c r="K10" s="13" t="inlineStr">
        <is>
          <t>Also includes monitors, anaesthesia, ventilators, defibrillators, OR lights/tables. Pump-only revenue not disclosed.</t>
        </is>
      </c>
    </row>
    <row r="11">
      <c r="A11" s="13" t="inlineStr">
        <is>
          <t>ICU Medical</t>
        </is>
      </c>
      <c r="B11" s="13" t="inlineStr">
        <is>
          <t>Total revenues</t>
        </is>
      </c>
      <c r="C11" s="13" t="inlineStr">
        <is>
          <t>FY2025 (Dec-25)</t>
        </is>
      </c>
      <c r="D11" s="13" t="inlineStr">
        <is>
          <t>USD</t>
        </is>
      </c>
      <c r="E11" s="25" t="n">
        <v>2231.262</v>
      </c>
      <c r="F11" s="26">
        <f>IF(E11="","n/a",E11/($B$2/$B$2)/1000)</f>
        <v/>
      </c>
      <c r="G11" s="13" t="inlineStr">
        <is>
          <t>~$2.2B (FY 2025)</t>
        </is>
      </c>
      <c r="H11" s="13" t="inlineStr">
        <is>
          <t>Matches</t>
        </is>
      </c>
      <c r="I11" s="13" t="inlineStr">
        <is>
          <t>https://ir.icumed.com/news-releases/news-release-details/icu-medical-announces-fourth-quarter-2025-results-and-provides</t>
        </is>
      </c>
      <c r="J11" s="13" t="inlineStr">
        <is>
          <t>Results table: 'TOTAL REVENUES ... 2,231,262' (USD thousands, twelve months)</t>
        </is>
      </c>
      <c r="K11" s="13" t="inlineStr">
        <is>
          <t>Also in FY2025 10-K (SEC).</t>
        </is>
      </c>
    </row>
    <row r="12">
      <c r="A12" s="13" t="inlineStr">
        <is>
          <t>ICU Medical</t>
        </is>
      </c>
      <c r="B12" s="13" t="inlineStr">
        <is>
          <t>Infusion Systems revenue (global)</t>
        </is>
      </c>
      <c r="C12" s="13" t="inlineStr">
        <is>
          <t>FY2025</t>
        </is>
      </c>
      <c r="D12" s="13" t="inlineStr">
        <is>
          <t>USD</t>
        </is>
      </c>
      <c r="E12" s="25" t="n">
        <v>684.208</v>
      </c>
      <c r="F12" s="26">
        <f>IF(E12="","n/a",E12/($B$2/$B$2)/1000)</f>
        <v/>
      </c>
      <c r="G12" s="13" t="inlineStr">
        <is>
          <t>~$684.2M (Global Infusion Pumps Revenue)</t>
        </is>
      </c>
      <c r="H12" s="13" t="inlineStr">
        <is>
          <t>Matches; label as 'Infusion Systems' (incl. LVP &amp; syringe pumps, dedicated sets, software)</t>
        </is>
      </c>
      <c r="I12" s="13" t="inlineStr">
        <is>
          <t>https://ir.icumed.com/news-releases/news-release-details/icu-medical-announces-fourth-quarter-2025-results-and-provides</t>
        </is>
      </c>
      <c r="J12" s="13" t="inlineStr">
        <is>
          <t>Revenue by product line table: 'Infusion Systems ... 684.2'</t>
        </is>
      </c>
      <c r="K12" s="13" t="inlineStr">
        <is>
          <t>Not pump-hardware-only: includes dedicated sets and software.</t>
        </is>
      </c>
    </row>
  </sheetData>
  <hyperlinks>
    <hyperlink xmlns:r="http://schemas.openxmlformats.org/officeDocument/2006/relationships" ref="I7" r:id="rId1"/>
    <hyperlink xmlns:r="http://schemas.openxmlformats.org/officeDocument/2006/relationships" ref="I8" r:id="rId2"/>
    <hyperlink xmlns:r="http://schemas.openxmlformats.org/officeDocument/2006/relationships" ref="I9" r:id="rId3"/>
    <hyperlink xmlns:r="http://schemas.openxmlformats.org/officeDocument/2006/relationships" ref="I10" r:id="rId4"/>
    <hyperlink xmlns:r="http://schemas.openxmlformats.org/officeDocument/2006/relationships" ref="I11" r:id="rId5"/>
    <hyperlink xmlns:r="http://schemas.openxmlformats.org/officeDocument/2006/relationships" ref="I12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70" customWidth="1" min="3" max="3"/>
    <col width="30" customWidth="1" min="4" max="4"/>
    <col width="24" customWidth="1" min="5" max="5"/>
    <col width="60" customWidth="1" min="6" max="6"/>
  </cols>
  <sheetData>
    <row r="1">
      <c r="A1" s="5" t="inlineStr">
        <is>
          <t>Company</t>
        </is>
      </c>
      <c r="B1" s="5" t="inlineStr">
        <is>
          <t>Product / purpose</t>
        </is>
      </c>
      <c r="C1" s="5" t="inlineStr">
        <is>
          <t>URL (client-facing)</t>
        </is>
      </c>
      <c r="D1" s="5" t="inlineStr">
        <is>
          <t>Source type</t>
        </is>
      </c>
      <c r="E1" s="5" t="inlineStr">
        <is>
          <t>Status</t>
        </is>
      </c>
      <c r="F1" s="5" t="inlineStr">
        <is>
          <t>Reason / note</t>
        </is>
      </c>
    </row>
    <row r="2">
      <c r="A2" s="13" t="inlineStr">
        <is>
          <t>Terumo</t>
        </is>
      </c>
      <c r="B2" s="13" t="inlineStr">
        <is>
          <t>Terufusion Advanced Infusion Systems (India product page)</t>
        </is>
      </c>
      <c r="C2" s="27" t="inlineStr">
        <is>
          <t>https://terumoindia.com/medication-management/terufusiontm-advanced-infusion-systems</t>
        </is>
      </c>
      <c r="D2" s="19" t="inlineStr">
        <is>
          <t>Official India website</t>
        </is>
      </c>
      <c r="E2" s="13" t="inlineStr">
        <is>
          <t>KEEP</t>
        </is>
      </c>
      <c r="F2" s="13" t="inlineStr">
        <is>
          <t>Names Smart Syringe Pump, Smart Infusion Pump, PMS software; 'integrated drug library'</t>
        </is>
      </c>
    </row>
    <row r="3">
      <c r="A3" s="13" t="inlineStr">
        <is>
          <t>Terumo</t>
        </is>
      </c>
      <c r="B3" s="13" t="inlineStr">
        <is>
          <t>Smart Infusion System brochure (p.2 Smart vs Standard; p.4 specs)</t>
        </is>
      </c>
      <c r="C3" s="27" t="inlineStr">
        <is>
          <t>https://terumoindia.com/sites/default/files/2025-11/Smart%20Infusion%20System.pdf</t>
        </is>
      </c>
      <c r="D3" s="19" t="inlineStr">
        <is>
          <t>Brochure on official India website</t>
        </is>
      </c>
      <c r="E3" s="13" t="inlineStr">
        <is>
          <t>KEEP</t>
        </is>
      </c>
      <c r="F3" s="13" t="inlineStr">
        <is>
          <t>Key evidence: 730 = 'Standard pumps without IT functions'; wireless LAN &amp; library mode = 830 only</t>
        </is>
      </c>
    </row>
    <row r="4">
      <c r="A4" s="13" t="inlineStr">
        <is>
          <t>Terumo</t>
        </is>
      </c>
      <c r="B4" s="13" t="inlineStr">
        <is>
          <t>Launch press release, Aug-2025 (India)</t>
        </is>
      </c>
      <c r="C4" s="27" t="inlineStr">
        <is>
          <t>https://terumoindia.com/terufusion-connected-pumps</t>
        </is>
      </c>
      <c r="D4" s="19" t="inlineStr">
        <is>
          <t>Official India website</t>
        </is>
      </c>
      <c r="E4" s="13" t="inlineStr">
        <is>
          <t>KEEP</t>
        </is>
      </c>
      <c r="F4" s="13" t="inlineStr">
        <is>
          <t>Confirms India launch of the connected system</t>
        </is>
      </c>
    </row>
    <row r="5">
      <c r="A5" s="13" t="inlineStr">
        <is>
          <t>Terumo</t>
        </is>
      </c>
      <c r="B5" s="13" t="inlineStr">
        <is>
          <t>FY2025 Financial Results (revenue)</t>
        </is>
      </c>
      <c r="C5" s="27" t="inlineStr">
        <is>
          <t>https://www.terumo.com/system/files/document/2026-05/FinancialResults_26Q4_E.pdf</t>
        </is>
      </c>
      <c r="D5" s="13" t="inlineStr">
        <is>
          <t>Company financial results</t>
        </is>
      </c>
      <c r="E5" s="13" t="inlineStr">
        <is>
          <t>KEEP</t>
        </is>
      </c>
      <c r="F5" s="13" t="inlineStr">
        <is>
          <t>p.1/p.6 group revenue; p.7 segment; p.19 segment products</t>
        </is>
      </c>
    </row>
    <row r="6">
      <c r="A6" s="13" t="inlineStr">
        <is>
          <t>Mindray</t>
        </is>
      </c>
      <c r="B6" s="13" t="inlineStr">
        <is>
          <t>India - Infusion System range (lists 1, 3, 5, e, u Series)</t>
        </is>
      </c>
      <c r="C6" s="27" t="inlineStr">
        <is>
          <t>https://www.mindray.com/in/products/infusion-system/</t>
        </is>
      </c>
      <c r="D6" s="19" t="inlineStr">
        <is>
          <t>Official India website</t>
        </is>
      </c>
      <c r="E6" s="13" t="inlineStr">
        <is>
          <t>KEEP</t>
        </is>
      </c>
      <c r="F6" s="13" t="inlineStr">
        <is>
          <t>Master list</t>
        </is>
      </c>
    </row>
    <row r="7">
      <c r="A7" s="13" t="inlineStr">
        <is>
          <t>Mindray</t>
        </is>
      </c>
      <c r="B7" s="13" t="inlineStr">
        <is>
          <t>BeneFusion 1 Series</t>
        </is>
      </c>
      <c r="C7" s="27" t="inlineStr">
        <is>
          <t>https://www.mindray.com/in/products/infusion-system/benefusion-1-series/</t>
        </is>
      </c>
      <c r="D7" s="19" t="inlineStr">
        <is>
          <t>Official India website</t>
        </is>
      </c>
      <c r="E7" s="13" t="inlineStr">
        <is>
          <t>KEEP</t>
        </is>
      </c>
      <c r="F7" s="13" t="inlineStr">
        <is>
          <t>Standard</t>
        </is>
      </c>
    </row>
    <row r="8">
      <c r="A8" s="13" t="inlineStr">
        <is>
          <t>Mindray</t>
        </is>
      </c>
      <c r="B8" s="13" t="inlineStr">
        <is>
          <t>BeneFusion 3 Series</t>
        </is>
      </c>
      <c r="C8" s="27" t="inlineStr">
        <is>
          <t>https://www.mindray.com/in/products/infusion-system/benefusion-3-series/</t>
        </is>
      </c>
      <c r="D8" s="19" t="inlineStr">
        <is>
          <t>Official India website</t>
        </is>
      </c>
      <c r="E8" s="13" t="inlineStr">
        <is>
          <t>ADDED</t>
        </is>
      </c>
      <c r="F8" s="13" t="inlineStr">
        <is>
          <t>Was missing from source list; Standard</t>
        </is>
      </c>
    </row>
    <row r="9">
      <c r="A9" s="13" t="inlineStr">
        <is>
          <t>Mindray</t>
        </is>
      </c>
      <c r="B9" s="13" t="inlineStr">
        <is>
          <t>BeneFusion 5 Series</t>
        </is>
      </c>
      <c r="C9" s="27" t="inlineStr">
        <is>
          <t>https://www.mindray.com/in/products/infusion-system/benefusion-5-series/</t>
        </is>
      </c>
      <c r="D9" s="19" t="inlineStr">
        <is>
          <t>Official India website</t>
        </is>
      </c>
      <c r="E9" s="13" t="inlineStr">
        <is>
          <t>ADDED</t>
        </is>
      </c>
      <c r="F9" s="13" t="inlineStr">
        <is>
          <t>DERS drug library + DS5/CS5 connectivity (Smart**)</t>
        </is>
      </c>
    </row>
    <row r="10">
      <c r="A10" s="13" t="inlineStr">
        <is>
          <t>Mindray</t>
        </is>
      </c>
      <c r="B10" s="13" t="inlineStr">
        <is>
          <t>BeneFusion e Series</t>
        </is>
      </c>
      <c r="C10" s="27" t="inlineStr">
        <is>
          <t>https://www.mindray.com/in/products/infusion-system/benefusion-e-series/</t>
        </is>
      </c>
      <c r="D10" s="19" t="inlineStr">
        <is>
          <t>Official India website</t>
        </is>
      </c>
      <c r="E10" s="13" t="inlineStr">
        <is>
          <t>KEEP</t>
        </is>
      </c>
      <c r="F10" s="13" t="inlineStr">
        <is>
          <t>SafeDose DERS + Integrated Central Monitoring</t>
        </is>
      </c>
    </row>
    <row r="11">
      <c r="A11" s="13" t="inlineStr">
        <is>
          <t>Mindray</t>
        </is>
      </c>
      <c r="B11" s="13" t="inlineStr">
        <is>
          <t>BeneFusion u Series</t>
        </is>
      </c>
      <c r="C11" s="27" t="inlineStr">
        <is>
          <t>https://www.mindray.com/in/products/infusion-system/benefusion-u-series/</t>
        </is>
      </c>
      <c r="D11" s="19" t="inlineStr">
        <is>
          <t>Official India website</t>
        </is>
      </c>
      <c r="E11" s="13" t="inlineStr">
        <is>
          <t>KEEP</t>
        </is>
      </c>
      <c r="F11" s="13" t="inlineStr">
        <is>
          <t>HL7 connectivity</t>
        </is>
      </c>
    </row>
    <row r="12">
      <c r="A12" s="13" t="inlineStr">
        <is>
          <t>Mindray</t>
        </is>
      </c>
      <c r="B12" s="13" t="inlineStr">
        <is>
          <t>u Series brochure (IndiaMart-hosted) p.2</t>
        </is>
      </c>
      <c r="C12" s="27" t="inlineStr">
        <is>
          <t>http://5.imimg.com/data5/SELLER/Doc/2025/12/571961803/KS/IN/JK/2785113/infusion-pump-uvp.pdf</t>
        </is>
      </c>
      <c r="D12" s="21" t="inlineStr">
        <is>
          <t>Third-party (India distributor)</t>
        </is>
      </c>
      <c r="E12" s="13" t="inlineStr">
        <is>
          <t>ADDED (peach)</t>
        </is>
      </c>
      <c r="F12" s="13" t="inlineStr">
        <is>
          <t>'Departmental drug library'</t>
        </is>
      </c>
    </row>
    <row r="13">
      <c r="A13" s="13" t="inlineStr">
        <is>
          <t>Mindray</t>
        </is>
      </c>
      <c r="B13" s="13" t="inlineStr">
        <is>
          <t>SP3 data sheet (IndiaMart-hosted)</t>
        </is>
      </c>
      <c r="C13" s="27" t="inlineStr">
        <is>
          <t>https://5.imimg.com/data5/SELLER/Doc/2022/1/TX/CI/VD/17862303/mindray-benefusion-sp3-syringe-pump.pdf</t>
        </is>
      </c>
      <c r="D13" s="21" t="inlineStr">
        <is>
          <t>Third-party (India distributor)</t>
        </is>
      </c>
      <c r="E13" s="13" t="inlineStr">
        <is>
          <t>ADDED (peach)</t>
        </is>
      </c>
      <c r="F13" s="13" t="inlineStr">
        <is>
          <t>'Drug library up to 200 drugs' - name list, no dose limits</t>
        </is>
      </c>
    </row>
    <row r="14">
      <c r="A14" s="13" t="inlineStr">
        <is>
          <t>Mindray</t>
        </is>
      </c>
      <c r="B14" s="13" t="inlineStr">
        <is>
          <t>VP5 operator manual s.7.4</t>
        </is>
      </c>
      <c r="C14" s="27" t="inlineStr">
        <is>
          <t>http://mindray.sy/wp-content/uploads/2019/12/VP5-OperatorManual.pdf</t>
        </is>
      </c>
      <c r="D14" s="13" t="inlineStr">
        <is>
          <t>Company manual (via distributor, Syria)</t>
        </is>
      </c>
      <c r="E14" s="13" t="inlineStr">
        <is>
          <t>ADDED (backup)</t>
        </is>
      </c>
      <c r="F14" s="13" t="inlineStr">
        <is>
          <t>'Wireless Networking (Optional)'</t>
        </is>
      </c>
    </row>
    <row r="15">
      <c r="A15" s="13" t="inlineStr">
        <is>
          <t>Mindray</t>
        </is>
      </c>
      <c r="B15" s="13" t="inlineStr">
        <is>
          <t>eSP (PCA) data sheet</t>
        </is>
      </c>
      <c r="C15" s="27" t="inlineStr">
        <is>
          <t>https://ecomed.co.za/wp-content/uploads/2025/03/Syringe-driver-PCA-BeneFusion-eSP-PCA_Data-Sheet_ENG_20241203.pdf</t>
        </is>
      </c>
      <c r="D15" s="13" t="inlineStr">
        <is>
          <t>Company data sheet (via distributor, S. Africa)</t>
        </is>
      </c>
      <c r="E15" s="13" t="inlineStr">
        <is>
          <t>ADDED (backup)</t>
        </is>
      </c>
      <c r="F15" s="13" t="inlineStr">
        <is>
          <t>'Communication: Wired/wireless'; drug library 5000 drugs</t>
        </is>
      </c>
    </row>
    <row r="16">
      <c r="A16" s="13" t="inlineStr">
        <is>
          <t>Mindray</t>
        </is>
      </c>
      <c r="B16" s="13" t="inlineStr">
        <is>
          <t>2025 Annual Report summary (revenue, p.3 &amp; p.9)</t>
        </is>
      </c>
      <c r="C16" s="27" t="inlineStr">
        <is>
          <t>http://static.cninfo.com.cn/finalpage/2026-03-31/1225059011.PDF</t>
        </is>
      </c>
      <c r="D16" s="13" t="inlineStr">
        <is>
          <t>Company annual report (SZSE / CNINFO)</t>
        </is>
      </c>
      <c r="E16" s="13" t="inlineStr">
        <is>
          <t>ADDED</t>
        </is>
      </c>
      <c r="F16" s="13" t="inlineStr">
        <is>
          <t>Official source; replaces news article</t>
        </is>
      </c>
    </row>
    <row r="17">
      <c r="A17" s="13" t="inlineStr">
        <is>
          <t>Mindray</t>
        </is>
      </c>
      <c r="B17" s="13" t="inlineStr">
        <is>
          <t>BigGo Finance article (revenue)</t>
        </is>
      </c>
      <c r="C17" s="27" t="inlineStr">
        <is>
          <t>https://finance.biggo.com/news/Vmaddp0BOIb5XxavmPY-</t>
        </is>
      </c>
      <c r="D17" s="13" t="inlineStr">
        <is>
          <t>News aggregator</t>
        </is>
      </c>
      <c r="E17" s="28" t="inlineStr">
        <is>
          <t>DROP</t>
        </is>
      </c>
      <c r="F17" s="13" t="inlineStr">
        <is>
          <t>Unofficial; its segment table has unit errors (e.g., '122.41' for CNY 12.24B). Use annual report</t>
        </is>
      </c>
    </row>
    <row r="18">
      <c r="A18" s="13" t="inlineStr">
        <is>
          <t>ICU Medical</t>
        </is>
      </c>
      <c r="B18" s="13" t="inlineStr">
        <is>
          <t>Medfusion 4000 (IndiaMart listing)</t>
        </is>
      </c>
      <c r="C18" s="27" t="inlineStr">
        <is>
          <t>https://www.indiamart.com/proddetail/mri-compatible-syringe-infusion-pump-medfusion-4000-21117047897.html</t>
        </is>
      </c>
      <c r="D18" s="21" t="inlineStr">
        <is>
          <t>Third-party (India distributor)</t>
        </is>
      </c>
      <c r="E18" s="13" t="inlineStr">
        <is>
          <t>KEEP (peach) - team-verified</t>
        </is>
      </c>
      <c r="F18" s="13" t="inlineStr">
        <is>
          <t>Apex Medical India, Lucknow, Rs 1,80,000</t>
        </is>
      </c>
    </row>
    <row r="19">
      <c r="A19" s="13" t="inlineStr">
        <is>
          <t>ICU Medical</t>
        </is>
      </c>
      <c r="B19" s="13" t="inlineStr">
        <is>
          <t>Medfusion 4000 Wireless (ICU global page)</t>
        </is>
      </c>
      <c r="C19" s="27" t="inlineStr">
        <is>
          <t>https://www.icumed.com/products/infusion-therapy/infusion-pumps-and-software/medfusion-syringe-pumps/medfusion-4000-wireless-syringe-infusion-pump/</t>
        </is>
      </c>
      <c r="D19" s="13" t="inlineStr">
        <is>
          <t>Global website</t>
        </is>
      </c>
      <c r="E19" s="13" t="inlineStr">
        <is>
          <t>KEEP (backup)</t>
        </is>
      </c>
      <c r="F19" s="13" t="inlineStr">
        <is>
          <t>Feature proof only: drug library + wireless PharmGuard</t>
        </is>
      </c>
    </row>
    <row r="20">
      <c r="A20" s="13" t="inlineStr">
        <is>
          <t>ICU Medical</t>
        </is>
      </c>
      <c r="B20" s="13" t="inlineStr">
        <is>
          <t>Graseby 2000 (IndiaMart listing)</t>
        </is>
      </c>
      <c r="C20" s="27" t="inlineStr">
        <is>
          <t>https://www.indiamart.com/proddetail/smiths-medical-syringe-pump-graseby-2000-2852038109462.html</t>
        </is>
      </c>
      <c r="D20" s="21" t="inlineStr">
        <is>
          <t>Third-party (India distributor)</t>
        </is>
      </c>
      <c r="E20" s="13" t="inlineStr">
        <is>
          <t>ADDED (peach) - team-verified</t>
        </is>
      </c>
      <c r="F20" s="13" t="inlineStr">
        <is>
          <t>Nature's Global Service, New Delhi, Rs 30,000. Sample had no URL for Graseby 2000/2100</t>
        </is>
      </c>
    </row>
    <row r="21">
      <c r="A21" s="13" t="inlineStr">
        <is>
          <t>ICU Medical</t>
        </is>
      </c>
      <c r="B21" s="13" t="inlineStr">
        <is>
          <t>Graseby 2100 (Honmed, India)</t>
        </is>
      </c>
      <c r="C21" s="27" t="inlineStr">
        <is>
          <t>https://www.honmed.in/product-page/syringe-pump-graseby-2100</t>
        </is>
      </c>
      <c r="D21" s="21" t="inlineStr">
        <is>
          <t>Third-party (India distributor)</t>
        </is>
      </c>
      <c r="E21" s="13" t="inlineStr">
        <is>
          <t>ADDED (peach)</t>
        </is>
      </c>
      <c r="F21" s="13" t="inlineStr">
        <is>
          <t>Graseby 2000 range description; no drug library</t>
        </is>
      </c>
    </row>
    <row r="22">
      <c r="A22" s="13" t="inlineStr">
        <is>
          <t>ICU Medical</t>
        </is>
      </c>
      <c r="B22" s="13" t="inlineStr">
        <is>
          <t>Graseby 2100 (IndiaMart listing)</t>
        </is>
      </c>
      <c r="C22" s="27" t="inlineStr">
        <is>
          <t>https://www.indiamart.com/proddetail/smith-syringe-infusion-pump-graseby-2100-21099225197.html</t>
        </is>
      </c>
      <c r="D22" s="21" t="inlineStr">
        <is>
          <t>Third-party (India distributor)</t>
        </is>
      </c>
      <c r="E22" s="13" t="inlineStr">
        <is>
          <t>ADDED (peach) - team-verified</t>
        </is>
      </c>
      <c r="F22" s="13" t="inlineStr">
        <is>
          <t>Apex Medical India, Lucknow, Rs 30,000</t>
        </is>
      </c>
    </row>
    <row r="23">
      <c r="A23" s="13" t="inlineStr">
        <is>
          <t>ICU Medical</t>
        </is>
      </c>
      <c r="B23" s="13" t="inlineStr">
        <is>
          <t>Graseby 1200 (IndiaMart listing)</t>
        </is>
      </c>
      <c r="C23" s="27" t="inlineStr">
        <is>
          <t>https://www.indiamart.com/proddetail/smiths-medical-graseby-1200-volumetric-infusion-pump-2853092683762.html</t>
        </is>
      </c>
      <c r="D23" s="21" t="inlineStr">
        <is>
          <t>Third-party (India distributor)</t>
        </is>
      </c>
      <c r="E23" s="13" t="inlineStr">
        <is>
          <t>SUPPORTING ONLY (peach) - team-verified</t>
        </is>
      </c>
      <c r="F23" s="13" t="inlineStr">
        <is>
          <t>Horizon Medical Technologies, New Delhi, Rs 55,000. CAUTION: listing photo shows a Graseby 2000 syringe pump - show Medikabazaar to clients instead</t>
        </is>
      </c>
    </row>
    <row r="24">
      <c r="A24" s="13" t="inlineStr">
        <is>
          <t>ICU Medical</t>
        </is>
      </c>
      <c r="B24" s="13" t="inlineStr">
        <is>
          <t>Graseby 1200 (Medikabazaar)</t>
        </is>
      </c>
      <c r="C24" s="27" t="inlineStr">
        <is>
          <t>https://www.medikabazaar.com/products/smiths-medical-graseby-1200-infusion-pump-mbpgmdcispisff16979</t>
        </is>
      </c>
      <c r="D24" s="21" t="inlineStr">
        <is>
          <t>Third-party (India distributor)</t>
        </is>
      </c>
      <c r="E24" s="13" t="inlineStr">
        <is>
          <t>KEEP (peach) - PRIMARY</t>
        </is>
      </c>
      <c r="F24" s="13" t="inlineStr">
        <is>
          <t>Tracking parameters removed; photo shows the 1200 volumetric pump; Rs 48,825</t>
        </is>
      </c>
    </row>
    <row r="25">
      <c r="A25" s="13" t="inlineStr">
        <is>
          <t>ICU Medical</t>
        </is>
      </c>
      <c r="B25" s="13" t="inlineStr">
        <is>
          <t>Graseby 1200 India brochure (Hospimax)</t>
        </is>
      </c>
      <c r="C25" s="27" t="inlineStr">
        <is>
          <t>http://www.hospimax.com/medical-devices/smithsmedical/Graseby%201200%20LVP%20Brochure%20(FINAL).pdf</t>
        </is>
      </c>
      <c r="D25" s="21" t="inlineStr">
        <is>
          <t>Third-party (India distributor)</t>
        </is>
      </c>
      <c r="E25" s="13" t="inlineStr">
        <is>
          <t>ADDED (peach)</t>
        </is>
      </c>
      <c r="F25" s="13" t="inlineStr">
        <is>
          <t>India brochure: RS232 only, no drug library</t>
        </is>
      </c>
    </row>
    <row r="26">
      <c r="A26" s="13" t="inlineStr">
        <is>
          <t>ICU Medical</t>
        </is>
      </c>
      <c r="B26" s="13" t="inlineStr">
        <is>
          <t>Q4/FY2025 results release (revenue)</t>
        </is>
      </c>
      <c r="C26" s="27" t="inlineStr">
        <is>
          <t>https://ir.icumed.com/news-releases/news-release-details/icu-medical-announces-fourth-quarter-2025-results-and-provides</t>
        </is>
      </c>
      <c r="D26" s="13" t="inlineStr">
        <is>
          <t>Company results release</t>
        </is>
      </c>
      <c r="E26" s="13" t="inlineStr">
        <is>
          <t>KEEP</t>
        </is>
      </c>
      <c r="F26" s="13" t="inlineStr">
        <is>
          <t>Total USD 2,231.3mn; Infusion Systems USD 684.2mn</t>
        </is>
      </c>
    </row>
    <row r="27">
      <c r="A27" s="13" t="inlineStr">
        <is>
          <t>ICU Medical</t>
        </is>
      </c>
      <c r="B27" s="13" t="inlineStr">
        <is>
          <t>IR static file (FY2025)</t>
        </is>
      </c>
      <c r="C27" s="27" t="inlineStr">
        <is>
          <t>https://ir.icumed.com/static-files/d27738f3-0a46-4a32-8d61-0efc3a3852bc</t>
        </is>
      </c>
      <c r="D27" s="13" t="inlineStr">
        <is>
          <t>Company IR document</t>
        </is>
      </c>
      <c r="E27" s="28" t="inlineStr">
        <is>
          <t>DROP</t>
        </is>
      </c>
      <c r="F27" s="13" t="inlineStr">
        <is>
          <t>130-page document; the results release above is enough for the two figures</t>
        </is>
      </c>
    </row>
  </sheetData>
  <autoFilter ref="A1:F2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3" t="inlineStr">
        <is>
          <t>Method, assumptions and caveats</t>
        </is>
      </c>
    </row>
    <row r="3" ht="42" customHeight="1">
      <c r="A3" s="29" t="inlineStr">
        <is>
          <t>1. Scope: India market, Terumo, Mindray, ICU Medical (slide 2/8); general-purpose syringe and volumetric pumps. Specialty anaesthesia/TCI pumps are excluded; TCI modes of general pumps (e.g., SP5 TCI) are not counted separately. Checked October 2026.</t>
        </is>
      </c>
    </row>
    <row r="4" ht="42" customHeight="1">
      <c r="A4" s="29" t="inlineStr">
        <is>
          <t>2. Source priority: (1) company India website, including brochures hosted on it; (2) Indian distributor websites incl. IndiaMart and IndiaMart-hosted brochures (imimg.com), marked peach; (3) global company pages/data sheets, used only as backup for features and never as proof of India availability.</t>
        </is>
      </c>
    </row>
    <row r="5" ht="42" customHeight="1">
      <c r="A5" s="29" t="inlineStr">
        <is>
          <t>3. Classification rules (same as slide 1): optional wireless module / docking station / separate WiFi variant = Smart**. RS232 / nurse-call ports are NOT counted as connectivity. Body-weight dose calculation (Graseby 2100) is NOT a drug library.</t>
        </is>
      </c>
    </row>
    <row r="6" ht="42" customHeight="1">
      <c r="A6" s="29" t="inlineStr">
        <is>
          <t>4. Judgement call (Mindray 3 Series): data sheets show a drug-NAME library (up to 200 drugs) with no dose limits. Kept Standard, as in the sample; it moves to Smart if any drug library counts.</t>
        </is>
      </c>
    </row>
    <row r="7" ht="42" customHeight="1">
      <c r="A7" s="29" t="inlineStr">
        <is>
          <t>5. Terumo TE-SS730 / TE-LM730 appear in the India-hosted brochure (2018 edition) but not in the India web page text; included per project team decision.</t>
        </is>
      </c>
    </row>
    <row r="8" ht="42" customHeight="1">
      <c r="A8" s="29" t="inlineStr">
        <is>
          <t>6. Graseby: kept under ICU Medical (project team confirmed ICU Medical / Smiths Medical is the manufacturer supplying India). Note for reference: graseby.com is now operated by Lianying Graseby Medical (China), and ICU's FY2025 10-K does not name Graseby.</t>
        </is>
      </c>
    </row>
    <row r="9" ht="42" customHeight="1">
      <c r="A9" s="29" t="inlineStr">
        <is>
          <t>7. IndiaMart blocks automated access from this environment (HTTP 429); all four IndiaMart listings (Medfusion 4000, Graseby 2000, 2100, 1200) were verified manually by the project team (screenshots in evidence/). smiths-medical.com (incl. /en-in) was unreachable.</t>
        </is>
      </c>
    </row>
    <row r="10" ht="42" customHeight="1">
      <c r="A10" s="29" t="inlineStr">
        <is>
          <t>8. Revenue: official sources only on the slide (Terumo FY results, Mindray SZSE annual report, ICU results release). USD uses ECB reference rates of 5-Oct-2026 (latest), crossed via EUR: USD/JPY 158.23, USD/CNY 6.705 - editable inputs on the Revenue tab. No company reports pump-only revenue; segment figures are the closest proxies.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2026-10-05T19:28:51Z</dcterms:created>
  <dcterms:modified xsi:type="dcterms:W3CDTF">2026-10-05T19:28:51Z</dcterms:modified>
</cp:coreProperties>
</file>