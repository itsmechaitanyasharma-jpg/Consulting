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2x2 Matrix" sheetId="2" state="visible" r:id="rId4"/>
    <sheet name="Methodology" sheetId="3" state="visible" r:id="rId5"/>
    <sheet name="Filters, Assumptions &amp; Limits" sheetId="4" state="visible" r:id="rId6"/>
    <sheet name="Scoring" sheetId="5" state="visible" r:id="rId7"/>
    <sheet name="Shortlisted Drugs X Company (7)" sheetId="6" state="visible" r:id="rId8"/>
    <sheet name="Route of Administration" sheetId="7" state="visible" r:id="rId9"/>
    <sheet name="Injectable Value" sheetId="8" state="visible" r:id="rId10"/>
    <sheet name="Drug Use &amp; Market Evidence" sheetId="9" state="visible" r:id="rId11"/>
  </sheets>
  <definedNames>
    <definedName function="false" hidden="true" localSheetId="8" name="_xlnm._FilterDatabase" vbProcedure="false">'Drug Use &amp; Market Evidence'!$A$4:$J$669</definedName>
    <definedName function="false" hidden="true" localSheetId="7" name="_xlnm._FilterDatabase" vbProcedure="false">'Injectable Value'!$A$27:$AA$178</definedName>
    <definedName function="false" hidden="false" localSheetId="2" name="_xlnm.Print_Area" vbProcedure="false">Methodology!$A$1:$P$28</definedName>
    <definedName function="false" hidden="true" localSheetId="4" name="_xlnm._FilterDatabase" vbProcedure="false">Scoring!$A$28:$AL$361</definedName>
    <definedName function="false" hidden="true" localSheetId="5" name="_xlnm._FilterDatabase" vbProcedure="false">'Shortlisted Drugs X Company (7)'!$B$2:$AE$698</definedName>
    <definedName function="false" hidden="true" localSheetId="0" name="_xlnm._FilterDatabase" vbProcedure="false">Summary!$A$4:$N$337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<sst xmlns="http://schemas.openxmlformats.org/spreadsheetml/2006/main" count="24126" uniqueCount="5058">
  <si>
    <t xml:space="preserve">SurTrac co-packaging – priority companies and drugs</t>
  </si>
  <si>
    <t xml:space="preserve">Companies are listed best first: most Priority 1 drugs, then the largest injectable export value across their Priority 1 and 2 drugs. Within each company, drugs are listed by priority, then by injectable export value. Priority 1 = high price and high injectable shipments (top-right of the 2x2); Priority 2 = one of the two is high; Priority 3 = both are lower. "High" means at or above the median of all in-scope pairs (cut-offs in Scoring C3 and E3). Only drugs that a label in the 7 geographies allows as an ID, IM or SC injection are listed; drugs whose prices are all USD 5 or less are listed last as excluded.</t>
  </si>
  <si>
    <t xml:space="preserve">Pack per unit shows strength and fill per vial, ampoule or syringe. Price is the average per unit across the company's packs priced above USD 5 (per dose for multi-dose vaccine vials). Injectable shipments and injectable export value are India-wide figures for the drug (the same for every company), worked out in the Injectable Value tab. Markets are countries where the company or its group holds a licence. The method is on the Methodology tab; every rule and caveat is on the Filters, Assumptions &amp; Limits tab.</t>
  </si>
  <si>
    <t xml:space="preserve">Company rank</t>
  </si>
  <si>
    <t xml:space="preserve">Company</t>
  </si>
  <si>
    <t xml:space="preserve">Drug rank</t>
  </si>
  <si>
    <t xml:space="preserve">Priority</t>
  </si>
  <si>
    <t xml:space="preserve">Where it sits on the 2x2</t>
  </si>
  <si>
    <t xml:space="preserve">Drug</t>
  </si>
  <si>
    <t xml:space="preserve">Product name</t>
  </si>
  <si>
    <t xml:space="preserve">What the drug treats</t>
  </si>
  <si>
    <t xml:space="preserve">Presentation</t>
  </si>
  <si>
    <t xml:space="preserve">Pack per unit</t>
  </si>
  <si>
    <t xml:space="preserve">Average price per unit (USD)</t>
  </si>
  <si>
    <t xml:space="preserve">Injectable shipments (FY24)</t>
  </si>
  <si>
    <t xml:space="preserve">Injectable export value (USD thousand)</t>
  </si>
  <si>
    <t xml:space="preserve">Markets where the company holds a licence</t>
  </si>
  <si>
    <t xml:space="preserve">Sort order (working)</t>
  </si>
  <si>
    <t xml:space="preserve">2x2 matrix – price per unit vs injectable shipments</t>
  </si>
  <si>
    <t xml:space="preserve">Choose a company in the yellow cell. Each bubble is one of its drugs; bubble size = injectable export value. Both axes use a log scale. The axis lines cross at the median cut-offs (price USD 25.36 per unit; 146 injectable shipments), so the top-right box is Priority 1. Colours: dark blue = Priority 1, light blue = Priority 2, grey = Priority 3. Drugs with no price, and drugs excluded on price, are listed but not plotted. The data comes straight from the Scoring tab.</t>
  </si>
  <si>
    <t xml:space="preserve">Company:</t>
  </si>
  <si>
    <t xml:space="preserve">Intas</t>
  </si>
  <si>
    <t xml:space="preserve">Drugs in scope</t>
  </si>
  <si>
    <t xml:space="preserve">#</t>
  </si>
  <si>
    <t xml:space="preserve">Bubble label</t>
  </si>
  <si>
    <t xml:space="preserve">Chart data – Priority 1 price</t>
  </si>
  <si>
    <t xml:space="preserve">Chart data – Priority 1 shipments</t>
  </si>
  <si>
    <t xml:space="preserve">Chart data – Priority 1 bubble</t>
  </si>
  <si>
    <t xml:space="preserve">Chart data – Priority 2 price</t>
  </si>
  <si>
    <t xml:space="preserve">Chart data – Priority 2 shipments</t>
  </si>
  <si>
    <t xml:space="preserve">Chart data – Priority 2 bubble</t>
  </si>
  <si>
    <t xml:space="preserve">Chart data – Priority 3 price</t>
  </si>
  <si>
    <t xml:space="preserve">Chart data – Priority 3 shipments</t>
  </si>
  <si>
    <t xml:space="preserve">Chart data – Priority 3 bubble</t>
  </si>
  <si>
    <t xml:space="preserve">Row in Scoring</t>
  </si>
  <si>
    <t xml:space="preserve">The hidden columns I–R hold the chart data (#N/A there simply means "nothing to plot" and is expected). Light-blue rows are Priority 1.</t>
  </si>
  <si>
    <t xml:space="preserve">Methodology – how we chose which drugs to pitch SurTrac to, company by company</t>
  </si>
  <si>
    <t xml:space="preserve">1. From your shortlist to Priority 1</t>
  </si>
  <si>
    <t xml:space="preserve">Starting list</t>
  </si>
  <si>
    <t xml:space="preserve">Can it be given by syringe?</t>
  </si>
  <si>
    <t xml:space="preserve">Is it worth a safety syringe?</t>
  </si>
  <si>
    <t xml:space="preserve">Placed on the 2x2</t>
  </si>
  <si>
    <t xml:space="preserve">Priority 1</t>
  </si>
  <si>
    <t xml:space="preserve">►</t>
  </si>
  <si>
    <t xml:space="preserve">drug–company pairs from your shortlist: 19 Indian injectable makers, 151 drugs</t>
  </si>
  <si>
    <t xml:space="preserve">pairs placed by price per unit and injectable shipments; the box sets the priority</t>
  </si>
  <si>
    <t xml:space="preserve">2. The 2x2 – the box sets the priority</t>
  </si>
  <si>
    <t xml:space="preserve">3. How each measure is built</t>
  </si>
  <si>
    <t xml:space="preserve">Priority 2</t>
  </si>
  <si>
    <t xml:space="preserve">Measure</t>
  </si>
  <si>
    <t xml:space="preserve">How it is worked out</t>
  </si>
  <si>
    <t xml:space="preserve">Where the data comes from</t>
  </si>
  <si>
    <t xml:space="preserve">Price per unit (USD) – horizontal axis</t>
  </si>
  <si>
    <t xml:space="preserve">Average price per vial, ampoule or prefilled syringe of the company's packs priced above USD 5 (per dose for multi-dose vaccine vials).</t>
  </si>
  <si>
    <t xml:space="preserve">The company's own price where found; otherwise another maker's price (US CMS ASP, VA FSS, NHS Drug Tariff, PBS, SA SEP, AIFA, German list).</t>
  </si>
  <si>
    <t xml:space="preserve">Priority 3</t>
  </si>
  <si>
    <t xml:space="preserve">Injectable shipments – vertical axis</t>
  </si>
  <si>
    <t xml:space="preserve">India FY24 export shipments of the drug, all forms × its injectable share (Injectable Value tab, col AC).</t>
  </si>
  <si>
    <t xml:space="preserve">Volza India export data, FY24 (HS 3002 + 3004).</t>
  </si>
  <si>
    <t xml:space="preserve">Injectable share</t>
  </si>
  <si>
    <t xml:space="preserve">Injectable products ÷ all registered products of the drug in each geography's register, then averaged (a geography counts if it lists 3 or more products).</t>
  </si>
  <si>
    <t xml:space="preserve">Official registers: EMA Art. 57, MHRA, Health Canada DPD, TGA ARTG, SA SEP, UAE EDE, FDA NDC.</t>
  </si>
  <si>
    <t xml:space="preserve">Injectable export value (USD thousand) – bubble size</t>
  </si>
  <si>
    <t xml:space="preserve">India FY24 export value of the drug × the same injectable share (Injectable Value tab, col AA).</t>
  </si>
  <si>
    <t xml:space="preserve">Volza India export data, FY24.</t>
  </si>
  <si>
    <t xml:space="preserve">Ranking</t>
  </si>
  <si>
    <t xml:space="preserve">Companies: most Priority 1 drugs first; ties broken by the injectable export value of their Priority 1 and 2 drugs. Drugs: by priority, then by injectable export value.</t>
  </si>
  <si>
    <t xml:space="preserve">Scoring tab.</t>
  </si>
  <si>
    <t xml:space="preserve">4. Why injectable shipments, not all shipments</t>
  </si>
  <si>
    <t xml:space="preserve">5. Caveats to mention to the client</t>
  </si>
  <si>
    <t xml:space="preserve">All shipments</t>
  </si>
  <si>
    <t xml:space="preserve">Injectable shipments</t>
  </si>
  <si>
    <t xml:space="preserve">■</t>
  </si>
  <si>
    <t xml:space="preserve">Aripiprazole</t>
  </si>
  <si>
    <t xml:space="preserve">Phenylephrine</t>
  </si>
  <si>
    <t xml:space="preserve">Naloxone</t>
  </si>
  <si>
    <t xml:space="preserve">Ceftriaxone</t>
  </si>
  <si>
    <t xml:space="preserve">Counting all shipments would make drugs sold mostly as tablets, syrups or eye drops look like big syringe opportunities. The share keeps only the injectable part; a drug sold only as an injection (ceftriaxone) is unchanged.</t>
  </si>
  <si>
    <t xml:space="preserve">Sources:</t>
  </si>
  <si>
    <t xml:space="preserve">MHRA products register</t>
  </si>
  <si>
    <t xml:space="preserve">Health Canada DPD</t>
  </si>
  <si>
    <t xml:space="preserve">EMA Article 57 database</t>
  </si>
  <si>
    <t xml:space="preserve">FDA NDC Directory</t>
  </si>
  <si>
    <t xml:space="preserve">DailyMed (US labels)</t>
  </si>
  <si>
    <t xml:space="preserve">Also TGA ARTG (Australia), South Africa SEP, UAE EDE, Volza India export data (FY24) and the price sources listed on the Filters, Assumptions &amp; Limits tab. Every number on this page updates automatically if a cut-off or a route decision is changed.</t>
  </si>
  <si>
    <t xml:space="preserve">Filters, assumptions and limitations</t>
  </si>
  <si>
    <t xml:space="preserve">Everything that shapes the list and the ranking, in one place. The numbers in the "Effect on the list" column update automatically.</t>
  </si>
  <si>
    <t xml:space="preserve">Type</t>
  </si>
  <si>
    <t xml:space="preserve">Topic</t>
  </si>
  <si>
    <t xml:space="preserve">What we did</t>
  </si>
  <si>
    <t xml:space="preserve">Why</t>
  </si>
  <si>
    <t xml:space="preserve">Effect on the list</t>
  </si>
  <si>
    <t xml:space="preserve">Where to find it</t>
  </si>
  <si>
    <t xml:space="preserve">F1</t>
  </si>
  <si>
    <t xml:space="preserve">Filter</t>
  </si>
  <si>
    <t xml:space="preserve">All drug–company pairs in your shortlist (tab Shortlisted Drugs X Company (6)): 19 Indian injectable makers, 151 drugs, 696 packs.</t>
  </si>
  <si>
    <t xml:space="preserve">Client shortlist.</t>
  </si>
  <si>
    <t xml:space="preserve">Shortlisted Drugs X Company (7); Scoring</t>
  </si>
  <si>
    <t xml:space="preserve">F2</t>
  </si>
  <si>
    <t xml:space="preserve">Route of injection (ID, IM or SC)</t>
  </si>
  <si>
    <t xml:space="preserve">A drug stays in only if a label of its standard formulation, in at least one of the 7 geographies (US, UK, EU/EEA, Canada, Australia, South Africa, UAE), allows an intradermal, intramuscular or subcutaneous injection. IV may also be allowed. Drugs given only by IV, or only by other routes (epidural, nerve block, into the spine or the eye, infiltration without SC), are excluded. We read every US label (DailyMed), every UK injectable label on the MHRA register, and the route fields of the EU, Canada, Australia, South Africa and UAE registers; a route counts only when the label text confirms it. On top of this, the presentation behind every remaining pair was checked against the company's own label (or the standard label where every maker's label agrees); pairs whose product is IV only are excluded (Route of Administration, step 2).</t>
  </si>
  <si>
    <t xml:space="preserve">SurTrac's retractable syringe protects health-care workers from needles that have been in a patient. IV drugs go through a drip line with needle-free connectors, so there is no such needle.</t>
  </si>
  <si>
    <t xml:space="preserve">Route of Administration (step 1, cols A–I; step 2, cols K–R)</t>
  </si>
  <si>
    <t xml:space="preserve">F3</t>
  </si>
  <si>
    <t xml:space="preserve">Low price (USD 5)</t>
  </si>
  <si>
    <t xml:space="preserve">A pair is excluded when every priced pack is USD 5 per unit or less. One pack above USD 5 is enough to stay in. Where the low price comes only from another market, the Notes column says so.</t>
  </si>
  <si>
    <t xml:space="preserve">A cheap injectable cannot carry the cost of a safety syringe in the pack.</t>
  </si>
  <si>
    <t xml:space="preserve">Scoring "Why excluded"; listed last in the Summary</t>
  </si>
  <si>
    <t xml:space="preserve">F4</t>
  </si>
  <si>
    <t xml:space="preserve">Markets</t>
  </si>
  <si>
    <t xml:space="preserve">No market filter. Tier 1 markets (US, UK, Northern Ireland, Germany, France, Netherlands, Belgium, Canada – the strictest sharps-safety rules) are shown for information only.</t>
  </si>
  <si>
    <t xml:space="preserve">Client steer: the manufacturer decides where to sell.</t>
  </si>
  <si>
    <t xml:space="preserve">—</t>
  </si>
  <si>
    <t xml:space="preserve">Shortlisted Drugs X Company (7) cols U–W</t>
  </si>
  <si>
    <t xml:space="preserve">F5</t>
  </si>
  <si>
    <t xml:space="preserve">Pairs with no price</t>
  </si>
  <si>
    <t xml:space="preserve">Kept. They cannot be placed on the price axis, so they are Priority 2 if their shipments are at or above the cut-off, otherwise Priority 3. They are listed in the 2x2 Matrix but not plotted.</t>
  </si>
  <si>
    <t xml:space="preserve">No price found is not evidence of a low price.</t>
  </si>
  <si>
    <t xml:space="preserve">Scoring Notes ("No price found")</t>
  </si>
  <si>
    <t xml:space="preserve">A1</t>
  </si>
  <si>
    <t xml:space="preserve">Assumption</t>
  </si>
  <si>
    <t xml:space="preserve">What the 2x2 measures</t>
  </si>
  <si>
    <t xml:space="preserve">Horizontal axis: average price per unit (USD). Vertical axis: injectable shipments = India FY24 shipments of the drug (all forms) × its injectable share. Bubble: injectable export value = India FY24 export value × the same share. We tested raw all-form shipments and rejected them as the volume measure.</t>
  </si>
  <si>
    <t xml:space="preserve">All-form shipments overstate drugs that are mostly tablets – e.g. aripiprazole has 1,331 shipments, of which about 113 are injectable; phenylephrine has 1,963, of which about 226. Export value is kept for the bubble, not the axis, because it already contains price and would count price twice.</t>
  </si>
  <si>
    <t xml:space="preserve">Injectable Value cols Z–AC; Scoring; 2x2 Matrix; Methodology</t>
  </si>
  <si>
    <t xml:space="preserve">A2</t>
  </si>
  <si>
    <t xml:space="preserve">Priority = box on the 2x2</t>
  </si>
  <si>
    <t xml:space="preserve">Priority 1 = price and injectable shipments both at or above their cut-offs (top-right). Priority 2 = one of the two. Priority 3 = both below. The cut-offs are the medians of the in-scope pairs; type over the yellow cells in Scoring to test other values.</t>
  </si>
  <si>
    <t xml:space="preserve">A simple, data-driven split; the client sees the same picture as the chart.</t>
  </si>
  <si>
    <t xml:space="preserve">Scoring C3 and E3</t>
  </si>
  <si>
    <t xml:space="preserve">A3</t>
  </si>
  <si>
    <t xml:space="preserve">Order of companies and drugs</t>
  </si>
  <si>
    <t xml:space="preserve">Companies: most Priority 1 drugs first; ties broken by the injectable export value of their Priority 1 and 2 drugs. Within a company: by priority, then by injectable export value.</t>
  </si>
  <si>
    <t xml:space="preserve">Rewards companies with more top-right drugs; ties broken by market size.</t>
  </si>
  <si>
    <t xml:space="preserve">Scoring company ranking</t>
  </si>
  <si>
    <t xml:space="preserve">A4</t>
  </si>
  <si>
    <t xml:space="preserve">Price per unit</t>
  </si>
  <si>
    <t xml:space="preserve">Price per vial, ampoule or prefilled syringe, averaged over the company's packs priced above USD 5. Multi-dose vaccine vials with a stated number of doses are priced per dose.</t>
  </si>
  <si>
    <t xml:space="preserve">Like-for-like with one syringe per injection.</t>
  </si>
  <si>
    <t xml:space="preserve">Shortlisted Drugs X Company (7) col N; Scoring</t>
  </si>
  <si>
    <t xml:space="preserve">A5</t>
  </si>
  <si>
    <t xml:space="preserve">Where prices come from</t>
  </si>
  <si>
    <t xml:space="preserve">Best available, in this order: the company's own price → another maker's price in a market where the company holds a licence → another maker's price in another market. Sources: your country tabs, US CMS ASP and VA FSS, Australia PBS, South Africa SEP, NHS Drug Tariff and dm+d, Italy AIFA, German pharmacy prices.</t>
  </si>
  <si>
    <t xml:space="preserve">Company prices first; stand-in prices only where no company price exists.</t>
  </si>
  <si>
    <t xml:space="preserve">Scoring "How the price was found"</t>
  </si>
  <si>
    <t xml:space="preserve">A6</t>
  </si>
  <si>
    <t xml:space="preserve">Exchange rates</t>
  </si>
  <si>
    <t xml:space="preserve">USD per GBP 1.322, per EUR 1.13, per AUD 0.70, per ZAR 0.0608 (Oct 2026).</t>
  </si>
  <si>
    <t xml:space="preserve">One set of rates for comparability.</t>
  </si>
  <si>
    <t xml:space="preserve">Shortlisted Drugs X Company (7) price notes</t>
  </si>
  <si>
    <t xml:space="preserve">A7</t>
  </si>
  <si>
    <t xml:space="preserve">For each drug: injectable products ÷ all registered products, in each of the 7 geographies' official registers (EMA Article 57, MHRA, Health Canada DPD, TGA ARTG, South Africa SEP, UAE EDE, FDA NDC), then averaged. A geography counts only if it lists at least 3 products; US unapproved homeopathic listings are left out.</t>
  </si>
  <si>
    <t xml:space="preserve">India's export data mixes all dosage forms; the share keeps only the injectable part, using official data.</t>
  </si>
  <si>
    <t xml:space="preserve">Injectable Value (worked examples at the top)</t>
  </si>
  <si>
    <t xml:space="preserve">A8</t>
  </si>
  <si>
    <t xml:space="preserve">How route evidence is read</t>
  </si>
  <si>
    <t xml:space="preserve">A route counts if any label of the standard formulation allows it. Special formulations sold separately are ignored (e.g. long-acting granisetron SC, trastuzumab SC). Label text wins over database fields when they disagree. Routes allowed only as a fallback are noted but not counted (cyclophosphamide IM "where IV is impracticable", Belgium).</t>
  </si>
  <si>
    <t xml:space="preserve">Keeps the test objective and traceable to a label.</t>
  </si>
  <si>
    <t xml:space="preserve">Route of Administration cols E and I</t>
  </si>
  <si>
    <t xml:space="preserve">L1</t>
  </si>
  <si>
    <t xml:space="preserve">Limitation</t>
  </si>
  <si>
    <t xml:space="preserve">What the label allows vs how the drug is used</t>
  </si>
  <si>
    <t xml:space="preserve">The route test reads what the label allows, not how the drug is mostly given. Several in-scope drugs are mainly given IV in hospitals (e.g. cefazolin, cefepime, midazolam, hydrocortisone, ondansetron, phenylephrine, ephedrine).</t>
  </si>
  <si>
    <t xml:space="preserve">Check the IM / SC share of these drugs in expert interviews (hospital pharmacist, ward or emergency nurse).</t>
  </si>
  <si>
    <t xml:space="preserve">Route of Administration col C</t>
  </si>
  <si>
    <t xml:space="preserve">L2</t>
  </si>
  <si>
    <t xml:space="preserve">Fit in the pack not tested</t>
  </si>
  <si>
    <t xml:space="preserve">The list does not test whether a syringe can go in the pack. Prefilled-only products are already a syringe; cancer drugs given SC (bortezomib, azacitidine) are usually prepared in hospital pharmacies; powders and vials above 10 mL may need a transfer device.</t>
  </si>
  <si>
    <t xml:space="preserve">Confirm pack format and dose preparation with each company.</t>
  </si>
  <si>
    <t xml:space="preserve">Scoring Notes and "Fits a 1–10 mL syringe?"</t>
  </si>
  <si>
    <t xml:space="preserve">L3</t>
  </si>
  <si>
    <t xml:space="preserve">Stand-in prices</t>
  </si>
  <si>
    <t xml:space="preserve">A stand-in price can be higher or lower than the company's real price, and the same drug can differ widely between companies because the prices come from different markets. Some US prices in the source workbook are Drugs.com discount cash prices, which can be well below the Medicare payment limit (per vial: plerixafor USD 344 vs 1,031; bortezomib 3.5 mg USD 22 vs 92; fulvestrant 250 mg USD 30 vs 50).</t>
  </si>
  <si>
    <t xml:space="preserve">Confirm prices of Priority 1 drugs priced from stand-ins in the company meeting.</t>
  </si>
  <si>
    <t xml:space="preserve">Shortlisted Drugs X Company (7) col P</t>
  </si>
  <si>
    <t xml:space="preserve">L4</t>
  </si>
  <si>
    <t xml:space="preserve">Multi-dose vials</t>
  </si>
  <si>
    <t xml:space="preserve">Multi-dose vials without a stated number of doses (e.g. 10 mL testosterone, cyanocobalamin, naloxone, neostigmine) are priced per vial, which overstates the value per injection.</t>
  </si>
  <si>
    <t xml:space="preserve">Dose varies by patient, so there is no objective split.</t>
  </si>
  <si>
    <t xml:space="preserve">Shortlisted Drugs X Company (7) col G</t>
  </si>
  <si>
    <t xml:space="preserve">L5</t>
  </si>
  <si>
    <t xml:space="preserve">Volume is for the drug, not the company</t>
  </si>
  <si>
    <t xml:space="preserve">Shipments and export values are India totals for the drug – the same for every company that makes it. They size the market, not the company's sales.</t>
  </si>
  <si>
    <t xml:space="preserve">No public company-by-drug data; pulling shipments by exporter would make this company-specific.</t>
  </si>
  <si>
    <t xml:space="preserve">Injectable Value; Scoring volume columns</t>
  </si>
  <si>
    <t xml:space="preserve">L6</t>
  </si>
  <si>
    <t xml:space="preserve">A shipment is a consignment</t>
  </si>
  <si>
    <t xml:space="preserve">A shipment is one export record in Volza (one consignment), not a number of units: one shipment can carry 100 vials or a million. The injectable share removes tablets, syrups and creams but cannot turn consignments into units.</t>
  </si>
  <si>
    <t xml:space="preserve">Best volume measure available.</t>
  </si>
  <si>
    <t xml:space="preserve">Injectable Value col AB</t>
  </si>
  <si>
    <t xml:space="preserve">L7</t>
  </si>
  <si>
    <t xml:space="preserve">The injectable share is an estimate</t>
  </si>
  <si>
    <t xml:space="preserve">It counts registered products, not units sold: five tablet strengths count as five products even if one injection outsells them all. Australia and the US include consumer-health and over-the-counter listings, which lowers the share for drugs that are mostly tablets.</t>
  </si>
  <si>
    <t xml:space="preserve">Official, consistent and checkable across all 7 geographies.</t>
  </si>
  <si>
    <t xml:space="preserve">Injectable Value</t>
  </si>
  <si>
    <t xml:space="preserve">L8</t>
  </si>
  <si>
    <t xml:space="preserve">Missing pack details</t>
  </si>
  <si>
    <t xml:space="preserve">Some packs do not state the container or fill volume in the source data.</t>
  </si>
  <si>
    <t xml:space="preserve">Shown as "(container not stated)" or "Not stated".</t>
  </si>
  <si>
    <t xml:space="preserve">Summary "Pack per unit"</t>
  </si>
  <si>
    <t xml:space="preserve">L9</t>
  </si>
  <si>
    <t xml:space="preserve">Label coverage and judgement calls</t>
  </si>
  <si>
    <t xml:space="preserve">Routes were checked in the 7 geographies only; labels elsewhere may differ. Two judgement calls are kept out but can be switched in (Route of Administration col D): ropivacaine (labelled for "infiltration", never SC by name) and cyclophosphamide (IM only as a fallback in Belgium).</t>
  </si>
  <si>
    <t xml:space="preserve">Strict reading of the ID / IM / SC scope.</t>
  </si>
  <si>
    <t xml:space="preserve">Route of Administration col I</t>
  </si>
  <si>
    <t xml:space="preserve">L10</t>
  </si>
  <si>
    <t xml:space="preserve">A licence is not a launch</t>
  </si>
  <si>
    <t xml:space="preserve">Markets are where the company holds a licence (EMA Article 57 and your country tabs); a licence does not prove the product is on sale.</t>
  </si>
  <si>
    <t xml:space="preserve">Confirm where the product is sold in the company meeting.</t>
  </si>
  <si>
    <t xml:space="preserve">Drug Use &amp; Market Evidence</t>
  </si>
  <si>
    <t xml:space="preserve">L11</t>
  </si>
  <si>
    <t xml:space="preserve">Pairs sitting on a cut-off</t>
  </si>
  <si>
    <t xml:space="preserve">A pair exactly on a cut-off counts as high. Fulvestrant (146 injectable shipments, the same as the median) is Priority 1 at 9 companies only because of this tie; one shipment fewer would make it Priority 2.</t>
  </si>
  <si>
    <t xml:space="preserve">Kept as a pure median rule, with no judgement; mention these pairs as borderline when presenting.</t>
  </si>
  <si>
    <t xml:space="preserve">L12</t>
  </si>
  <si>
    <t xml:space="preserve">Data dates</t>
  </si>
  <si>
    <t xml:space="preserve">Prices Sep–Oct 2026; EMA Article 57 05-Aug-2026; FDA NDC Directory 07-Oct-2026; MHRA labels and Health Canada DPD checked 08-Oct-2026; India exports and shipments FY24 (Volza). Prices of 4 Priority 1 pairs updated to company prices 08-Oct-2026.</t>
  </si>
  <si>
    <t xml:space="preserve">A point-in-time snapshot.</t>
  </si>
  <si>
    <t xml:space="preserve">Source tabs</t>
  </si>
  <si>
    <t xml:space="preserve">Scoring – every drug–company pair placed on the 2x2</t>
  </si>
  <si>
    <t xml:space="preserve">Each pair is placed by its price per unit (horizontal) and its injectable shipments (vertical); bubble size is its injectable export value. The volume and bubble numbers come from the Injectable Value tab. The two cut-offs below are the medians of the in-scope pairs – type over them to test other values (the priorities update, but the lines on the 2x2 chart stay at the medians).</t>
  </si>
  <si>
    <t xml:space="preserve">Cut-offs:</t>
  </si>
  <si>
    <t xml:space="preserve">Price per unit (USD)</t>
  </si>
  <si>
    <t xml:space="preserve">Company ranking</t>
  </si>
  <si>
    <t xml:space="preserve">Priority 1 drugs</t>
  </si>
  <si>
    <t xml:space="preserve">Priority 2 drugs</t>
  </si>
  <si>
    <t xml:space="preserve">Priority 3 drugs</t>
  </si>
  <si>
    <t xml:space="preserve">Injectable export value of Priority 1 and 2 drugs (USD thousand)</t>
  </si>
  <si>
    <t xml:space="preserve">Alembic</t>
  </si>
  <si>
    <t xml:space="preserve">Aurobindo</t>
  </si>
  <si>
    <t xml:space="preserve">Cipla</t>
  </si>
  <si>
    <t xml:space="preserve">Dr. Reddy's</t>
  </si>
  <si>
    <t xml:space="preserve">Emcure</t>
  </si>
  <si>
    <t xml:space="preserve">Glenmark</t>
  </si>
  <si>
    <t xml:space="preserve">Hetero</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</si>
  <si>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</si>
  <si>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</si>
  <si>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</si>
  <si>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</si>
  <si>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</si>
  <si>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</si>
  <si>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</si>
  <si>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</si>
  <si>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</si>
  <si>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</si>
  <si>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</si>
  <si>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Drug–company pairs</t>
  </si>
  <si>
    <t xml:space="preserve">Drug and result</t>
  </si>
  <si>
    <t xml:space="preserve">Price – horizontal axis</t>
  </si>
  <si>
    <t xml:space="preserve">Volume – vertical axis</t>
  </si>
  <si>
    <t xml:space="preserve">Market size – bubble</t>
  </si>
  <si>
    <t xml:space="preserve">Route and pack</t>
  </si>
  <si>
    <t xml:space="preserve">Markets and pitch</t>
  </si>
  <si>
    <t xml:space="preserve">Working columns – used by the formulas, no need to read</t>
  </si>
  <si>
    <t xml:space="preserve">Rank within company</t>
  </si>
  <si>
    <t xml:space="preserve">Why excluded</t>
  </si>
  <si>
    <t xml:space="preserve">How the price was found</t>
  </si>
  <si>
    <t xml:space="preserve">India shipments, all forms (FY24)</t>
  </si>
  <si>
    <t xml:space="preserve">India export value, all forms (USD thousand)</t>
  </si>
  <si>
    <t xml:space="preserve">Injection routes on the label</t>
  </si>
  <si>
    <t xml:space="preserve">In scope? (ID, IM or SC route)</t>
  </si>
  <si>
    <t xml:space="preserve">Fits a 1–10 mL syringe?</t>
  </si>
  <si>
    <t xml:space="preserve">Notes</t>
  </si>
  <si>
    <t xml:space="preserve">Tier 1 markets (strictest sharps-safety rules)</t>
  </si>
  <si>
    <t xml:space="preserve">Number of markets</t>
  </si>
  <si>
    <t xml:space="preserve">Markets (short list for the Summary)</t>
  </si>
  <si>
    <t xml:space="preserve">Pitch angle</t>
  </si>
  <si>
    <t xml:space="preserve">Company full name</t>
  </si>
  <si>
    <t xml:space="preserve">Source for what the drug treats</t>
  </si>
  <si>
    <t xml:space="preserve">Average price of all priced packs (USD)</t>
  </si>
  <si>
    <t xml:space="preserve">Lookup key (drug | company)</t>
  </si>
  <si>
    <t xml:space="preserve">Packs with a price</t>
  </si>
  <si>
    <t xml:space="preserve">Packs priced above USD 5</t>
  </si>
  <si>
    <t xml:space="preserve">Packs with a company or same-market price</t>
  </si>
  <si>
    <t xml:space="preserve">Sort order for Summary and 2x2</t>
  </si>
  <si>
    <t xml:space="preserve">Ordering value (priority, then bubble)</t>
  </si>
  <si>
    <t xml:space="preserve">Price, if in scope (for the median)</t>
  </si>
  <si>
    <t xml:space="preserve">Injectable shipments, if in scope (for the median)</t>
  </si>
  <si>
    <t xml:space="preserve">Carboprost</t>
  </si>
  <si>
    <t xml:space="preserve">Carboprost Tromethamine; Carboprost Alembic</t>
  </si>
  <si>
    <t xml:space="preserve">Women's health: postpartum haemorrhage, pregnancy termination</t>
  </si>
  <si>
    <t xml:space="preserve">Vial</t>
  </si>
  <si>
    <t xml:space="preserve">0.25 mg/1 mL vial</t>
  </si>
  <si>
    <t xml:space="preserve">Yes</t>
  </si>
  <si>
    <t xml:space="preserve">US</t>
  </si>
  <si>
    <t xml:space="preserve">US | EU/EEA (2): Malta, Sweden</t>
  </si>
  <si>
    <t xml:space="preserve">Differentiation in crowded generic market</t>
  </si>
  <si>
    <t xml:space="preserve">Alembic Pharmaceuticals</t>
  </si>
  <si>
    <t xml:space="preserve">https://dailymed.nlm.nih.gov/dailymed/search.cfm?labeltype=all&amp;query=carboprost</t>
  </si>
  <si>
    <t xml:space="preserve">Diazepam</t>
  </si>
  <si>
    <t xml:space="preserve">Neurology: status epilepticus, seizures, acute anxiety and sedation</t>
  </si>
  <si>
    <t xml:space="preserve">Prefilled syringe</t>
  </si>
  <si>
    <t xml:space="preserve">10 mg/2 mL pre-filled syringe</t>
  </si>
  <si>
    <t xml:space="preserve">Safety upgrade of existing prefilled syringe</t>
  </si>
  <si>
    <t xml:space="preserve">https://dailymed.nlm.nih.gov/dailymed/search.cfm?labeltype=all&amp;query=diazepam+injection</t>
  </si>
  <si>
    <t xml:space="preserve">Fulvestrant</t>
  </si>
  <si>
    <t xml:space="preserve">Oncology: hormone receptor-positive advanced breast cancer</t>
  </si>
  <si>
    <t xml:space="preserve">250 mg/5 mL pre-filled syringe</t>
  </si>
  <si>
    <t xml:space="preserve">https://dailymed.nlm.nih.gov/dailymed/search.cfm?labeltype=all&amp;query=fulvestrant</t>
  </si>
  <si>
    <t xml:space="preserve">Methotrexate</t>
  </si>
  <si>
    <t xml:space="preserve">Methotrexate Sodium</t>
  </si>
  <si>
    <t xml:space="preserve">Oncology and immunology: leukaemia, lymphoma, bone cancer, rheumatoid arthritis, psoriasis</t>
  </si>
  <si>
    <t xml:space="preserve">1 g/40 mL vial; 50 mg/2 mL vial</t>
  </si>
  <si>
    <t xml:space="preserve">https://dailymed.nlm.nih.gov/dailymed/search.cfm?labeltype=all&amp;query=methotrexate+injection</t>
  </si>
  <si>
    <t xml:space="preserve">Phytonadione</t>
  </si>
  <si>
    <t xml:space="preserve">Haematology: vitamin K for newborn bleeding prevention, warfarin reversal</t>
  </si>
  <si>
    <t xml:space="preserve">1 mg/0.5 mL pre-filled syringe</t>
  </si>
  <si>
    <t xml:space="preserve">https://dailymed.nlm.nih.gov/dailymed/search.cfm?labeltype=all&amp;query=phytonadione</t>
  </si>
  <si>
    <t xml:space="preserve">Triamcinolone Acetonide</t>
  </si>
  <si>
    <t xml:space="preserve">Musculoskeletal and immunology: joint and soft-tissue injections, allergic and skin conditions</t>
  </si>
  <si>
    <t xml:space="preserve">Not stated</t>
  </si>
  <si>
    <t xml:space="preserve">40 mg/mL (container not stated)</t>
  </si>
  <si>
    <t xml:space="preserve">Confirm presentation with company</t>
  </si>
  <si>
    <t xml:space="preserve">https://dailymed.nlm.nih.gov/dailymed/search.cfm?labeltype=all&amp;query=triamcinolone+acetonide+injectable+suspension</t>
  </si>
  <si>
    <t xml:space="preserve">Ampicillin</t>
  </si>
  <si>
    <t xml:space="preserve">Ampicillin Sodium</t>
  </si>
  <si>
    <t xml:space="preserve">Anti-infective: meningitis, endocarditis, neonatal sepsis</t>
  </si>
  <si>
    <t xml:space="preserve">2 g/20 mL vial</t>
  </si>
  <si>
    <t xml:space="preserve">No – &gt;10 mL only</t>
  </si>
  <si>
    <t xml:space="preserve">DE, CA</t>
  </si>
  <si>
    <t xml:space="preserve">Canada | EU/EEA (1): Germany</t>
  </si>
  <si>
    <t xml:space="preserve">Safety-device mandate compliance</t>
  </si>
  <si>
    <t xml:space="preserve">Aurobindo Pharma</t>
  </si>
  <si>
    <t xml:space="preserve">https://dailymed.nlm.nih.gov/dailymed/search.cfm?labeltype=all&amp;query=ampicillin</t>
  </si>
  <si>
    <t xml:space="preserve">Argatroban</t>
  </si>
  <si>
    <t xml:space="preserve">Argatroban In Sodium Chloride</t>
  </si>
  <si>
    <t xml:space="preserve">Haematology: anticoagulant for heparin-induced thrombocytopenia</t>
  </si>
  <si>
    <t xml:space="preserve">50 mg/50 mL vial</t>
  </si>
  <si>
    <t xml:space="preserve">https://dailymed.nlm.nih.gov/dailymed/search.cfm?labeltype=all&amp;query=argatroban</t>
  </si>
  <si>
    <t xml:space="preserve">Azacitidine</t>
  </si>
  <si>
    <t xml:space="preserve">Azacitidine; Azacitidin Puren; Azacitidine Eugia</t>
  </si>
  <si>
    <t xml:space="preserve">Oncology: myelodysplastic syndromes, acute myeloid leukaemia</t>
  </si>
  <si>
    <t xml:space="preserve">25 mg/mL powder vial; 100 mg powder vial</t>
  </si>
  <si>
    <t xml:space="preserve">Powder – check reconstitution volume</t>
  </si>
  <si>
    <t xml:space="preserve">UK, UK-NI, DE, FR, NL, BE</t>
  </si>
  <si>
    <t xml:space="preserve">UK, Australia, UK-NI | EU/EEA (8): Germany, France, Netherlands, Belgium, Italy, Poland, Portugal, Spain</t>
  </si>
  <si>
    <t xml:space="preserve">UK, Australia, UK-NI | EU/EEA (8): Germany, France, Netherlands, Belgium + 4 more</t>
  </si>
  <si>
    <t xml:space="preserve">https://dailymed.nlm.nih.gov/dailymed/search.cfm?labeltype=all&amp;query=azacitidine</t>
  </si>
  <si>
    <t xml:space="preserve">Bortezomib</t>
  </si>
  <si>
    <t xml:space="preserve">Bortezomib; Bortezomib Milpharm; Bortezomib Arrow (+1 more)</t>
  </si>
  <si>
    <t xml:space="preserve">Oncology: multiple myeloma, mantle cell lymphoma</t>
  </si>
  <si>
    <t xml:space="preserve">3.5 mg powder vial</t>
  </si>
  <si>
    <t xml:space="preserve">US, UK, UK-NI, DE, FR, NL, BE</t>
  </si>
  <si>
    <t xml:space="preserve">US, UK, Australia, UK-NI | EU/EEA (8): Germany, France, Netherlands, Belgium, Italy, Poland, Portugal, Spain</t>
  </si>
  <si>
    <t xml:space="preserve">US, UK, Australia, UK-NI | EU/EEA (8): Germany, France, Netherlands, Belgium + 4 more</t>
  </si>
  <si>
    <t xml:space="preserve">https://dailymed.nlm.nih.gov/dailymed/search.cfm?labeltype=all&amp;query=bortezomib</t>
  </si>
  <si>
    <t xml:space="preserve">Bupivacaine</t>
  </si>
  <si>
    <t xml:space="preserve">Bupivan</t>
  </si>
  <si>
    <t xml:space="preserve">Anaesthesia: long-acting local anaesthetic for spinal, epidural and nerve block</t>
  </si>
  <si>
    <t xml:space="preserve">Ampoule</t>
  </si>
  <si>
    <t xml:space="preserve">25 mg/5 mL ampoule</t>
  </si>
  <si>
    <t xml:space="preserve">UK-NI, DE, NL</t>
  </si>
  <si>
    <t xml:space="preserve">UK-NI | EU/EEA (5): Germany, Netherlands, Italy, Portugal, Spain</t>
  </si>
  <si>
    <t xml:space="preserve">https://dailymed.nlm.nih.gov/dailymed/search.cfm?labeltype=all&amp;query=bupivacaine</t>
  </si>
  <si>
    <t xml:space="preserve">Carboprost Tromethamine</t>
  </si>
  <si>
    <t xml:space="preserve">Cefepime</t>
  </si>
  <si>
    <t xml:space="preserve">Auro Cefepime</t>
  </si>
  <si>
    <t xml:space="preserve">Anti-infective: hospital Gram-negative infections, febrile neutropenia</t>
  </si>
  <si>
    <t xml:space="preserve">1000 mg in 20 mL powder vial; 2000 mg in 50 mL powder vial</t>
  </si>
  <si>
    <t xml:space="preserve">Check – powder in &gt;10 mL vial</t>
  </si>
  <si>
    <t xml:space="preserve">South Africa</t>
  </si>
  <si>
    <t xml:space="preserve">https://dailymed.nlm.nih.gov/dailymed/search.cfm?labeltype=all&amp;query=cefepime</t>
  </si>
  <si>
    <t xml:space="preserve">Ceftazidime</t>
  </si>
  <si>
    <t xml:space="preserve">Ceftazidime Arrow</t>
  </si>
  <si>
    <t xml:space="preserve">Anti-infective: Pseudomonas and other hospital Gram-negative infections</t>
  </si>
  <si>
    <t xml:space="preserve">1 g powder vial</t>
  </si>
  <si>
    <t xml:space="preserve">FR</t>
  </si>
  <si>
    <t xml:space="preserve">EU/EEA (1): France</t>
  </si>
  <si>
    <t xml:space="preserve">https://dailymed.nlm.nih.gov/dailymed/search.cfm?labeltype=all&amp;query=ceftazidime</t>
  </si>
  <si>
    <t xml:space="preserve">Ceftriaxon Puren; Ceftriaxone Almus</t>
  </si>
  <si>
    <t xml:space="preserve">Anti-infective: pneumonia, meningitis, sepsis, gonorrhoea, typhoid</t>
  </si>
  <si>
    <t xml:space="preserve">Vial, Ampoule</t>
  </si>
  <si>
    <t xml:space="preserve">DE, FR</t>
  </si>
  <si>
    <t xml:space="preserve">EU/EEA (4): Germany, France, Italy, Portugal</t>
  </si>
  <si>
    <t xml:space="preserve">https://dailymed.nlm.nih.gov/dailymed/search.cfm?labeltype=all&amp;query=ceftriaxone</t>
  </si>
  <si>
    <t xml:space="preserve">Chlorpromazine</t>
  </si>
  <si>
    <t xml:space="preserve">Chlorpromazine Hydrochloride</t>
  </si>
  <si>
    <t xml:space="preserve">Psychiatry: acute psychosis and agitation, severe nausea and vomiting</t>
  </si>
  <si>
    <t xml:space="preserve">25 mg/1 mL ampoule</t>
  </si>
  <si>
    <t xml:space="preserve">https://dailymed.nlm.nih.gov/dailymed/search.cfm?labeltype=all&amp;query=chlorpromazine</t>
  </si>
  <si>
    <t xml:space="preserve">Cyclophosphamide</t>
  </si>
  <si>
    <t xml:space="preserve">Oncology: lymphoma, leukaemia, breast cancer, transplant conditioning</t>
  </si>
  <si>
    <t xml:space="preserve">1 g/5 mL vial; 2 g/10 mL vial; 500 mg/2.5 mL vial</t>
  </si>
  <si>
    <t xml:space="preserve">https://dailymed.nlm.nih.gov/dailymed/search.cfm?labeltype=all&amp;query=cyclophosphamide</t>
  </si>
  <si>
    <t xml:space="preserve">Dactinomycin</t>
  </si>
  <si>
    <t xml:space="preserve">Oncology: childhood tumours (Wilms' tumour, rhabdomyosarcoma, Ewing's sarcoma)</t>
  </si>
  <si>
    <t xml:space="preserve">0.5 mg powder vial</t>
  </si>
  <si>
    <t xml:space="preserve">https://dailymed.nlm.nih.gov/dailymed/search.cfm?labeltype=all&amp;query=dactinomycin</t>
  </si>
  <si>
    <t xml:space="preserve">Daptomycin</t>
  </si>
  <si>
    <t xml:space="preserve">Daptomicina Aurobindo</t>
  </si>
  <si>
    <t xml:space="preserve">Anti-infective: MRSA skin infections and bloodstream infections</t>
  </si>
  <si>
    <t xml:space="preserve">350 mg powder vial</t>
  </si>
  <si>
    <t xml:space="preserve">EU/EEA (5): Germany, France, Italy, Portugal, Spain</t>
  </si>
  <si>
    <t xml:space="preserve">https://dailymed.nlm.nih.gov/dailymed/search.cfm?labeltype=all&amp;query=daptomycin</t>
  </si>
  <si>
    <t xml:space="preserve">Doxorubicin</t>
  </si>
  <si>
    <t xml:space="preserve">Doxorubicin Aurobindo</t>
  </si>
  <si>
    <t xml:space="preserve">Oncology: breast cancer, lymphomas, sarcomas, leukaemia</t>
  </si>
  <si>
    <t xml:space="preserve">10 mg/5 mL vial</t>
  </si>
  <si>
    <t xml:space="preserve">DE, FR, NL</t>
  </si>
  <si>
    <t xml:space="preserve">EU/EEA (6): Germany, France, Netherlands, Italy, Portugal, Spain</t>
  </si>
  <si>
    <t xml:space="preserve">https://dailymed.nlm.nih.gov/dailymed/search.cfm?labeltype=all&amp;query=doxorubicin</t>
  </si>
  <si>
    <t xml:space="preserve">Ephedrine</t>
  </si>
  <si>
    <t xml:space="preserve">Ephedrine Sulfate</t>
  </si>
  <si>
    <t xml:space="preserve">Anaesthesia: low blood pressure during spinal anaesthesia and caesarean section</t>
  </si>
  <si>
    <t xml:space="preserve">50 mg/1 mL vial</t>
  </si>
  <si>
    <t xml:space="preserve">US, FR</t>
  </si>
  <si>
    <t xml:space="preserve">US | EU/EEA (1): France</t>
  </si>
  <si>
    <t xml:space="preserve">https://dailymed.nlm.nih.gov/dailymed/search.cfm?labeltype=all&amp;query=ephedrine+sulfate+injection</t>
  </si>
  <si>
    <t xml:space="preserve">Epirubicin</t>
  </si>
  <si>
    <t xml:space="preserve">Epirubicin Ab</t>
  </si>
  <si>
    <t xml:space="preserve">Oncology: breast cancer after surgery</t>
  </si>
  <si>
    <t xml:space="preserve">50 mg/25 mL vial</t>
  </si>
  <si>
    <t xml:space="preserve">BE</t>
  </si>
  <si>
    <t xml:space="preserve">EU/EEA (4): Belgium, Luxembourg, Portugal, Spain</t>
  </si>
  <si>
    <t xml:space="preserve">https://dailymed.nlm.nih.gov/dailymed/search.cfm?labeltype=all&amp;query=epirubicin</t>
  </si>
  <si>
    <t xml:space="preserve">Eptifibatide</t>
  </si>
  <si>
    <t xml:space="preserve">Cardiovascular: antiplatelet for acute coronary syndrome and angioplasty</t>
  </si>
  <si>
    <t xml:space="preserve">20 mg/10 mL vial</t>
  </si>
  <si>
    <t xml:space="preserve">https://dailymed.nlm.nih.gov/dailymed/search.cfm?labeltype=all&amp;query=eptifibatide</t>
  </si>
  <si>
    <t xml:space="preserve">Ertapenem</t>
  </si>
  <si>
    <t xml:space="preserve">Ertapenem Sodium; Ertapenem; Etamep (+1 more)</t>
  </si>
  <si>
    <t xml:space="preserve">Anti-infective: abdominal, skin and urinary infections, pneumonia</t>
  </si>
  <si>
    <t xml:space="preserve">1 g powder vial; 1 g in 20 mL powder vial</t>
  </si>
  <si>
    <t xml:space="preserve">US, UK-NI, FR, CA</t>
  </si>
  <si>
    <t xml:space="preserve">US, Canada, South Africa, UK-NI | EU/EEA (6): France, Italy, Poland, Portugal, Romania, Spain</t>
  </si>
  <si>
    <t xml:space="preserve">https://dailymed.nlm.nih.gov/dailymed/search.cfm?labeltype=all&amp;query=ertapenem</t>
  </si>
  <si>
    <t xml:space="preserve">Esmolol</t>
  </si>
  <si>
    <t xml:space="preserve">Esmolol Hydrochloride</t>
  </si>
  <si>
    <t xml:space="preserve">Cardiovascular: rapid heart rate control during and after surgery</t>
  </si>
  <si>
    <t xml:space="preserve">Bag</t>
  </si>
  <si>
    <t xml:space="preserve">1 g/100 mL (container not stated); 2 g/100 mL bag</t>
  </si>
  <si>
    <t xml:space="preserve">US | EU/EEA (1): Spain</t>
  </si>
  <si>
    <t xml:space="preserve">https://dailymed.nlm.nih.gov/dailymed/search.cfm?labeltype=all&amp;query=esmolol</t>
  </si>
  <si>
    <t xml:space="preserve">Flucloxacillin</t>
  </si>
  <si>
    <t xml:space="preserve">EUG-Flucloxacillin</t>
  </si>
  <si>
    <t xml:space="preserve">Anti-infective: staphylococcal skin, bone and heart infections</t>
  </si>
  <si>
    <t xml:space="preserve">500 mg powder vial; 1000 mg powder vial; 2000 mg powder vial</t>
  </si>
  <si>
    <t xml:space="preserve">UK-NI, DE, FR, NL, BE</t>
  </si>
  <si>
    <t xml:space="preserve">Australia, UK-NI | EU/EEA (6): Germany, France, Netherlands, Belgium, Luxembourg, Portugal</t>
  </si>
  <si>
    <t xml:space="preserve">https://mhraproducts4853.blob.core.windows.net/docs/b81aa75bd80aa32a460d7fedc1706f40ed574da1</t>
  </si>
  <si>
    <t xml:space="preserve">Fluorouracil</t>
  </si>
  <si>
    <t xml:space="preserve">Oncology: colorectal, breast, gastric, pancreatic and head and neck cancers</t>
  </si>
  <si>
    <t xml:space="preserve">1 g/20 mL vial</t>
  </si>
  <si>
    <t xml:space="preserve">https://dailymed.nlm.nih.gov/dailymed/search.cfm?labeltype=all&amp;query=fluorouracil+injection</t>
  </si>
  <si>
    <t xml:space="preserve">Fluphenazine Decanoate</t>
  </si>
  <si>
    <t xml:space="preserve">Psychiatry: long-acting maintenance treatment for schizophrenia</t>
  </si>
  <si>
    <t xml:space="preserve">125 mg/5 mL vial</t>
  </si>
  <si>
    <t xml:space="preserve">https://dailymed.nlm.nih.gov/dailymed/search.cfm?labeltype=all&amp;query=fluphenazine+decanoate</t>
  </si>
  <si>
    <t xml:space="preserve">Folinic Acid (Leucovorin)</t>
  </si>
  <si>
    <t xml:space="preserve">Folinsäure Aurobindo</t>
  </si>
  <si>
    <t xml:space="preserve">Oncology support: methotrexate rescue, combination therapy in colorectal cancer</t>
  </si>
  <si>
    <t xml:space="preserve">1000 mg/100 mL vial</t>
  </si>
  <si>
    <t xml:space="preserve">DE</t>
  </si>
  <si>
    <t xml:space="preserve">EU/EEA (1): Germany</t>
  </si>
  <si>
    <t xml:space="preserve">https://dailymed.nlm.nih.gov/dailymed/search.cfm?labeltype=all&amp;query=leucovorin+calcium+injection</t>
  </si>
  <si>
    <t xml:space="preserve">Fulvestrant; Fulvestrant Arrow; EUG-Fulvestrant</t>
  </si>
  <si>
    <t xml:space="preserve">UK, DE, FR, NL, BE</t>
  </si>
  <si>
    <t xml:space="preserve">UK, Australia | EU/EEA (8): Germany, France, Netherlands, Belgium, Italy, Poland, Portugal, Spain</t>
  </si>
  <si>
    <t xml:space="preserve">UK, Australia | EU/EEA (8): Germany, France, Netherlands, Belgium + 4 more</t>
  </si>
  <si>
    <t xml:space="preserve">Hydralazine</t>
  </si>
  <si>
    <t xml:space="preserve">Hydralazine Hydrochloride</t>
  </si>
  <si>
    <t xml:space="preserve">Cardiovascular: severe high blood pressure in pregnancy, hypertensive emergency</t>
  </si>
  <si>
    <t xml:space="preserve">20 mg/1 mL vial</t>
  </si>
  <si>
    <t xml:space="preserve">CA</t>
  </si>
  <si>
    <t xml:space="preserve">Canada</t>
  </si>
  <si>
    <t xml:space="preserve">https://dailymed.nlm.nih.gov/dailymed/search.cfm?labeltype=all&amp;query=hydralazine+injection</t>
  </si>
  <si>
    <t xml:space="preserve">Ibandronic Acid</t>
  </si>
  <si>
    <t xml:space="preserve">Ibandronate Sodium</t>
  </si>
  <si>
    <t xml:space="preserve">Bone health: postmenopausal osteoporosis</t>
  </si>
  <si>
    <t xml:space="preserve">3 mg/3 mL pre-filled syringe</t>
  </si>
  <si>
    <t xml:space="preserve">https://dailymed.nlm.nih.gov/dailymed/search.cfm?labeltype=all&amp;query=ibandronate+injection</t>
  </si>
  <si>
    <t xml:space="preserve">Medroxyprogesterone Acetate</t>
  </si>
  <si>
    <t xml:space="preserve">Women's health: three-monthly contraceptive injection</t>
  </si>
  <si>
    <t xml:space="preserve">Vial, Prefilled syringe</t>
  </si>
  <si>
    <t xml:space="preserve">150 mg/1 mL vial; 150 mg/1 mL pre-filled syringe</t>
  </si>
  <si>
    <t xml:space="preserve">https://dailymed.nlm.nih.gov/dailymed/search.cfm?labeltype=all&amp;query=medroxyprogesterone+acetate+injectable</t>
  </si>
  <si>
    <t xml:space="preserve">Melphalan</t>
  </si>
  <si>
    <t xml:space="preserve">Melfalan Eugia</t>
  </si>
  <si>
    <t xml:space="preserve">Oncology: multiple myeloma, stem cell transplant conditioning</t>
  </si>
  <si>
    <t xml:space="preserve">50 mg powder vial</t>
  </si>
  <si>
    <t xml:space="preserve">DE, NL</t>
  </si>
  <si>
    <t xml:space="preserve">EU/EEA (3): Germany, Netherlands, Portugal</t>
  </si>
  <si>
    <t xml:space="preserve">https://dailymed.nlm.nih.gov/dailymed/search.cfm?labeltype=all&amp;query=melphalan+hydrochloride</t>
  </si>
  <si>
    <t xml:space="preserve">Meropenem</t>
  </si>
  <si>
    <t xml:space="preserve">Meropenem Arrow; Meropenem Aurovit; Meropenem Aurovitas (+1 more)</t>
  </si>
  <si>
    <t xml:space="preserve">Anti-infective: severe hospital infections, sepsis, meningitis</t>
  </si>
  <si>
    <t xml:space="preserve">500 mg powder vial; 500 mg/30 mL vial; 1 g/40 mL vial</t>
  </si>
  <si>
    <t xml:space="preserve">UK-NI, DE, FR, BE, CA</t>
  </si>
  <si>
    <t xml:space="preserve">Canada, UK-NI | EU/EEA (8): Germany, France, Belgium, Ireland, Italy, Portugal, Romania, Spain</t>
  </si>
  <si>
    <t xml:space="preserve">Canada, UK-NI | EU/EEA (8): Germany, France, Belgium, Ireland + 4 more</t>
  </si>
  <si>
    <t xml:space="preserve">https://dailymed.nlm.nih.gov/dailymed/search.cfm?labeltype=all&amp;query=meropenem</t>
  </si>
  <si>
    <t xml:space="preserve">Mesna</t>
  </si>
  <si>
    <t xml:space="preserve">Oncology support: protects the bladder during ifosfamide and cyclophosphamide therapy</t>
  </si>
  <si>
    <t xml:space="preserve">1000 mg/10 mL vial</t>
  </si>
  <si>
    <t xml:space="preserve">https://dailymed.nlm.nih.gov/dailymed/search.cfm?labeltype=all&amp;query=mesna</t>
  </si>
  <si>
    <t xml:space="preserve">Methotrexate Sodium Preservative Free</t>
  </si>
  <si>
    <t xml:space="preserve">50 mg/2 mL vial; 200 mg/8 mL vial; 250 mg/10 mL vial</t>
  </si>
  <si>
    <t xml:space="preserve">Methylprednisolone Acetate</t>
  </si>
  <si>
    <t xml:space="preserve">Musculoskeletal and immunology: joint injections for arthritis and bursitis, inflammatory conditions</t>
  </si>
  <si>
    <t xml:space="preserve">40 mg/mL powder vial; 80 mg/mL powder vial</t>
  </si>
  <si>
    <t xml:space="preserve">https://dailymed.nlm.nih.gov/dailymed/search.cfm?labeltype=all&amp;query=methylprednisolone+acetate</t>
  </si>
  <si>
    <t xml:space="preserve">Mitomycin</t>
  </si>
  <si>
    <t xml:space="preserve">Mitomicina Aurovitas</t>
  </si>
  <si>
    <t xml:space="preserve">Oncology: gastric, pancreatic, anal and bladder cancers</t>
  </si>
  <si>
    <t xml:space="preserve">20 mg powder vial</t>
  </si>
  <si>
    <t xml:space="preserve">EU/EEA (2): Portugal, Spain</t>
  </si>
  <si>
    <t xml:space="preserve">https://dailymed.nlm.nih.gov/dailymed/search.cfm?labeltype=all&amp;query=mitomycin</t>
  </si>
  <si>
    <t xml:space="preserve">Nafcillin</t>
  </si>
  <si>
    <t xml:space="preserve">Nafcillin Sodium</t>
  </si>
  <si>
    <t xml:space="preserve">Anti-infective: staphylococcal infections</t>
  </si>
  <si>
    <t xml:space="preserve">1 g powder vial; 2 g powder vial</t>
  </si>
  <si>
    <t xml:space="preserve">https://dailymed.nlm.nih.gov/dailymed/search.cfm?labeltype=all&amp;query=nafcillin</t>
  </si>
  <si>
    <t xml:space="preserve">Naloxone Hydrochloride</t>
  </si>
  <si>
    <t xml:space="preserve">Critical care: reversal of opioid overdose</t>
  </si>
  <si>
    <t xml:space="preserve">2 mg/2 mL pre-filled syringe; 0.4 mg/1 mL vial; 4 mg/10 mL vial</t>
  </si>
  <si>
    <t xml:space="preserve">US, CA</t>
  </si>
  <si>
    <t xml:space="preserve">US, Canada</t>
  </si>
  <si>
    <t xml:space="preserve">https://dailymed.nlm.nih.gov/dailymed/search.cfm?labeltype=all&amp;query=naloxone+hydrochloride+injection</t>
  </si>
  <si>
    <t xml:space="preserve">Ondansetron</t>
  </si>
  <si>
    <t xml:space="preserve">Ondansetron; Ondansetron Ab; Auro-Ondansetron (+1 more)</t>
  </si>
  <si>
    <t xml:space="preserve">Oncology support: nausea and vomiting from chemotherapy and surgery</t>
  </si>
  <si>
    <t xml:space="preserve">2 mg/mL ampoule; 4 mg/2 mL ampoule; 4 mg/2 mL vial; 8 mg/4 mL vial</t>
  </si>
  <si>
    <t xml:space="preserve">UK, UK-NI, DE, BE, CA</t>
  </si>
  <si>
    <t xml:space="preserve">UK, Canada, UK-NI | EU/EEA (7): Germany, Belgium, Italy, Luxembourg, Portugal, Romania, Spain</t>
  </si>
  <si>
    <t xml:space="preserve">UK, Canada, UK-NI | EU/EEA (7): Germany, Belgium, Italy, Luxembourg + 3 more</t>
  </si>
  <si>
    <t xml:space="preserve">https://dailymed.nlm.nih.gov/dailymed/search.cfm?labeltype=all&amp;query=ondansetron+injection</t>
  </si>
  <si>
    <t xml:space="preserve">Oxacillin</t>
  </si>
  <si>
    <t xml:space="preserve">Oxacillin Sodium</t>
  </si>
  <si>
    <t xml:space="preserve">https://dailymed.nlm.nih.gov/dailymed/search.cfm?labeltype=all&amp;query=oxacillin</t>
  </si>
  <si>
    <t xml:space="preserve">Palonosetron</t>
  </si>
  <si>
    <t xml:space="preserve">Palonosetron Hydrochloride</t>
  </si>
  <si>
    <t xml:space="preserve">Oncology support: nausea and vomiting from chemotherapy</t>
  </si>
  <si>
    <t xml:space="preserve">0.25 mg/5 mL vial</t>
  </si>
  <si>
    <t xml:space="preserve">https://dailymed.nlm.nih.gov/dailymed/search.cfm?labeltype=all&amp;query=palonosetron</t>
  </si>
  <si>
    <t xml:space="preserve">Pantoprazole</t>
  </si>
  <si>
    <t xml:space="preserve">Gastroenterology: acid reflux, gastrointestinal bleeding, stress ulcer prevention</t>
  </si>
  <si>
    <t xml:space="preserve">40 mg vial; 40 mg/10 mL vial</t>
  </si>
  <si>
    <t xml:space="preserve">UK, UK-NI, DE, FR, NL, BE, CA</t>
  </si>
  <si>
    <t xml:space="preserve">UK, Canada, UK-NI | EU/EEA (8): Germany, France, Netherlands, Belgium, Italy, Poland, Portugal, Spain</t>
  </si>
  <si>
    <t xml:space="preserve">UK, Canada, UK-NI | EU/EEA (8): Germany, France, Netherlands, Belgium + 4 more</t>
  </si>
  <si>
    <t xml:space="preserve">https://dailymed.nlm.nih.gov/dailymed/search.cfm?labeltype=all&amp;query=pantoprazole+sodium+for+injection</t>
  </si>
  <si>
    <t xml:space="preserve">Plerixafor</t>
  </si>
  <si>
    <t xml:space="preserve">Plerixafor; Plerixafor Arrow; Plerixafor Eugia</t>
  </si>
  <si>
    <t xml:space="preserve">Oncology support: stem cell mobilisation in myeloma and lymphoma</t>
  </si>
  <si>
    <t xml:space="preserve">24 mg/1.2 mL vial</t>
  </si>
  <si>
    <t xml:space="preserve">US, UK, UK-NI, DE, FR, CA</t>
  </si>
  <si>
    <t xml:space="preserve">US, UK, Canada, Australia, UK-NI | EU/EEA (5): Germany, France, Italy, Portugal, Spain</t>
  </si>
  <si>
    <t xml:space="preserve">https://dailymed.nlm.nih.gov/dailymed/search.cfm?labeltype=all&amp;query=plerixafor</t>
  </si>
  <si>
    <t xml:space="preserve">Progesterone</t>
  </si>
  <si>
    <t xml:space="preserve">Women's health: IVF support, absent periods, abnormal uterine bleeding</t>
  </si>
  <si>
    <t xml:space="preserve">500 mg/10 mL vial</t>
  </si>
  <si>
    <t xml:space="preserve">https://dailymed.nlm.nih.gov/dailymed/search.cfm?labeltype=all&amp;query=progesterone+injection</t>
  </si>
  <si>
    <t xml:space="preserve">Regadenoson</t>
  </si>
  <si>
    <t xml:space="preserve">Diagnostics: cardiac stress imaging</t>
  </si>
  <si>
    <t xml:space="preserve">0.4 mg/5 mL pre-filled syringe</t>
  </si>
  <si>
    <t xml:space="preserve">https://dailymed.nlm.nih.gov/dailymed/search.cfm?labeltype=all&amp;query=regadenoson</t>
  </si>
  <si>
    <t xml:space="preserve">Remifentanil</t>
  </si>
  <si>
    <t xml:space="preserve">Remifentanil Hydrochloride Aurobindo</t>
  </si>
  <si>
    <t xml:space="preserve">Anaesthesia: ultra-short-acting opioid pain relief during surgery</t>
  </si>
  <si>
    <t xml:space="preserve">1 mg powder vial</t>
  </si>
  <si>
    <t xml:space="preserve">NL</t>
  </si>
  <si>
    <t xml:space="preserve">EU/EEA (1): Netherlands</t>
  </si>
  <si>
    <t xml:space="preserve">https://dailymed.nlm.nih.gov/dailymed/search.cfm?labeltype=all&amp;query=remifentanil</t>
  </si>
  <si>
    <t xml:space="preserve">Ropivacaine</t>
  </si>
  <si>
    <t xml:space="preserve">Ropivacaine Hydrochloride</t>
  </si>
  <si>
    <t xml:space="preserve">Anaesthesia: local anaesthetic for epidural, labour and nerve block</t>
  </si>
  <si>
    <t xml:space="preserve">40 mg/20 mL vial; 100 mg/20 mL vial; 100 mg/10 mL vial; 150 mg/30 mL vial (+2 more)</t>
  </si>
  <si>
    <t xml:space="preserve">https://dailymed.nlm.nih.gov/dailymed/search.cfm?labeltype=all&amp;query=ropivacaine</t>
  </si>
  <si>
    <t xml:space="preserve">Sildenafil</t>
  </si>
  <si>
    <t xml:space="preserve">Sildenafil Citrate</t>
  </si>
  <si>
    <t xml:space="preserve">Cardiovascular: pulmonary arterial hypertension</t>
  </si>
  <si>
    <t xml:space="preserve">10 mg/12.5 mL vial</t>
  </si>
  <si>
    <t xml:space="preserve">https://dailymed.nlm.nih.gov/dailymed/search.cfm?labeltype=all&amp;query=sildenafil+injection</t>
  </si>
  <si>
    <t xml:space="preserve">Testosterone Cypionate</t>
  </si>
  <si>
    <t xml:space="preserve">Endocrinology: testosterone replacement in male hypogonadism</t>
  </si>
  <si>
    <t xml:space="preserve">1000 mg/10 mL vial; 200 mg/1 mL vial</t>
  </si>
  <si>
    <t xml:space="preserve">https://dailymed.nlm.nih.gov/dailymed/search.cfm?labeltype=all&amp;query=testosterone+cypionate</t>
  </si>
  <si>
    <t xml:space="preserve">Testosterone Enanthate</t>
  </si>
  <si>
    <t xml:space="preserve">Endocrinology: male hypogonadism, delayed puberty</t>
  </si>
  <si>
    <t xml:space="preserve">1000 mg/5 mL vial</t>
  </si>
  <si>
    <t xml:space="preserve">https://dailymed.nlm.nih.gov/dailymed/search.cfm?labeltype=all&amp;query=testosterone+enanthate</t>
  </si>
  <si>
    <t xml:space="preserve">Tirofiban</t>
  </si>
  <si>
    <t xml:space="preserve">Tirofiban Hydrochloride</t>
  </si>
  <si>
    <t xml:space="preserve">Cardiovascular: antiplatelet for acute coronary syndrome</t>
  </si>
  <si>
    <t xml:space="preserve">5 mg/100 mL bag; 12.5 mg/250 mL bag</t>
  </si>
  <si>
    <t xml:space="preserve">US, UK-NI, FR, NL</t>
  </si>
  <si>
    <t xml:space="preserve">US, UK-NI | EU/EEA (4): France, Netherlands, Italy, Portugal</t>
  </si>
  <si>
    <t xml:space="preserve">https://dailymed.nlm.nih.gov/dailymed/search.cfm?labeltype=all&amp;query=tirofiban</t>
  </si>
  <si>
    <t xml:space="preserve">Tranexamic Acid</t>
  </si>
  <si>
    <t xml:space="preserve">Haematology: bleeding control in surgery, trauma and postpartum haemorrhage</t>
  </si>
  <si>
    <t xml:space="preserve">500 mg/5 mL ampoule; 500 mg/5 mL vial</t>
  </si>
  <si>
    <t xml:space="preserve">UK-NI, DE, FR, CA</t>
  </si>
  <si>
    <t xml:space="preserve">Canada, UK-NI | EU/EEA (5): Germany, France, Italy, Poland, Portugal</t>
  </si>
  <si>
    <t xml:space="preserve">https://dailymed.nlm.nih.gov/dailymed/search.cfm?labeltype=all&amp;query=tranexamic+acid+injection</t>
  </si>
  <si>
    <t xml:space="preserve">Vecuronium</t>
  </si>
  <si>
    <t xml:space="preserve">Vecuronium Bromide</t>
  </si>
  <si>
    <t xml:space="preserve">Anaesthesia: muscle relaxant for intubation and surgery</t>
  </si>
  <si>
    <t xml:space="preserve">10 mg vial; 20 mg vial</t>
  </si>
  <si>
    <t xml:space="preserve">https://dailymed.nlm.nih.gov/dailymed/search.cfm?labeltype=all&amp;query=vecuronium</t>
  </si>
  <si>
    <t xml:space="preserve">Verapamil</t>
  </si>
  <si>
    <t xml:space="preserve">Verapamil Hydrochloride</t>
  </si>
  <si>
    <t xml:space="preserve">Cardiovascular: supraventricular tachycardia, atrial fibrillation rate control</t>
  </si>
  <si>
    <t xml:space="preserve">5 mg/2 mL vial</t>
  </si>
  <si>
    <t xml:space="preserve">https://dailymed.nlm.nih.gov/dailymed/search.cfm?labeltype=all&amp;query=verapamil+hydrochloride+injection</t>
  </si>
  <si>
    <t xml:space="preserve">Vinorelbine</t>
  </si>
  <si>
    <t xml:space="preserve">Vinorelbin Aurobindo; Vinorelbin Eugia</t>
  </si>
  <si>
    <t xml:space="preserve">Oncology: non-small cell lung cancer, breast cancer</t>
  </si>
  <si>
    <t xml:space="preserve">10 mg/1 mL vial</t>
  </si>
  <si>
    <t xml:space="preserve">DE, FR, BE</t>
  </si>
  <si>
    <t xml:space="preserve">EU/EEA (7): Germany, France, Belgium, Italy, Luxembourg, Portugal, Spain</t>
  </si>
  <si>
    <t xml:space="preserve">EU/EEA (7): Germany, France, Belgium, Italy + 3 more</t>
  </si>
  <si>
    <t xml:space="preserve">https://dailymed.nlm.nih.gov/dailymed/search.cfm?labeltype=all&amp;query=vinorelbine</t>
  </si>
  <si>
    <t xml:space="preserve">Azacitidine Cipla</t>
  </si>
  <si>
    <t xml:space="preserve">100 mg powder vial</t>
  </si>
  <si>
    <t xml:space="preserve">Australia</t>
  </si>
  <si>
    <t xml:space="preserve">Bleomycin</t>
  </si>
  <si>
    <t xml:space="preserve">Cipla Bleomycin 15K; Cipla Bleomycin</t>
  </si>
  <si>
    <t xml:space="preserve">Oncology: Hodgkin lymphoma, testicular and squamous cell cancers</t>
  </si>
  <si>
    <t xml:space="preserve">15000 IU powder vial; 15 units (15000 IU) in 5 mL powder vial</t>
  </si>
  <si>
    <t xml:space="preserve">Australia, South Africa</t>
  </si>
  <si>
    <t xml:space="preserve">https://dailymed.nlm.nih.gov/dailymed/search.cfm?labeltype=all&amp;query=bleomycin</t>
  </si>
  <si>
    <t xml:space="preserve">Onbort</t>
  </si>
  <si>
    <t xml:space="preserve">3.5 mg/1.4 mL vial</t>
  </si>
  <si>
    <t xml:space="preserve">Cefect</t>
  </si>
  <si>
    <t xml:space="preserve">1 g (container not stated); 2 g (container not stated)</t>
  </si>
  <si>
    <t xml:space="preserve">Daptomycin; Daptomicina Cipla; Cipla Daptomycin</t>
  </si>
  <si>
    <t xml:space="preserve">350 mg/10 mL vial; 350 mg powder vial; 500 mg powder vial</t>
  </si>
  <si>
    <t xml:space="preserve">UK, DE</t>
  </si>
  <si>
    <t xml:space="preserve">UK, Australia | EU/EEA (3): Germany, Portugal, Spain</t>
  </si>
  <si>
    <t xml:space="preserve">Cipla Doxorubicin</t>
  </si>
  <si>
    <t xml:space="preserve">10 mg in 5 mL powder vial; 50 mg in 25 mL powder vial</t>
  </si>
  <si>
    <t xml:space="preserve">Fulvestrant Cipla</t>
  </si>
  <si>
    <t xml:space="preserve">Hydrocortisone</t>
  </si>
  <si>
    <t xml:space="preserve">Hydrocortisone Sodium Succinate; Cipla Hydrocortisone</t>
  </si>
  <si>
    <t xml:space="preserve">Endocrinology and critical care: adrenal crisis, anaphylaxis, severe asthma, shock</t>
  </si>
  <si>
    <t xml:space="preserve">US, Australia</t>
  </si>
  <si>
    <t xml:space="preserve">https://dailymed.nlm.nih.gov/dailymed/search.cfm?labeltype=all&amp;query=hydrocortisone+sodium+succinate</t>
  </si>
  <si>
    <t xml:space="preserve">Isoprenaline (Isoproterenol)</t>
  </si>
  <si>
    <t xml:space="preserve">Cipla Isoprenaline; Isocipraline</t>
  </si>
  <si>
    <t xml:space="preserve">Cardiovascular: heart block, severe slow heart rate</t>
  </si>
  <si>
    <t xml:space="preserve">0.2 mg/1 mL ampoule; 1 mg/5 mL ampoule</t>
  </si>
  <si>
    <t xml:space="preserve">https://dailymed.nlm.nih.gov/dailymed/search.cfm?labeltype=all&amp;query=isoproterenol</t>
  </si>
  <si>
    <t xml:space="preserve">Lanreotide</t>
  </si>
  <si>
    <t xml:space="preserve">Lanreotide Acetate</t>
  </si>
  <si>
    <t xml:space="preserve">Endocrinology and oncology: acromegaly, neuroendocrine tumours</t>
  </si>
  <si>
    <t xml:space="preserve">60 mg/0.2 mL pre-filled syringe; 90 mg/0.3 mL pre-filled syringe; 120 mg/0.5 mL pre-filled syringe</t>
  </si>
  <si>
    <t xml:space="preserve">https://dailymed.nlm.nih.gov/dailymed/search.cfm?labeltype=all&amp;query=lanreotide</t>
  </si>
  <si>
    <t xml:space="preserve">Measles Vaccine</t>
  </si>
  <si>
    <t xml:space="preserve">Measles Vaccine Cipla</t>
  </si>
  <si>
    <t xml:space="preserve">Vaccines: childhood measles immunisation</t>
  </si>
  <si>
    <t xml:space="preserve">1000 CCID50/0.5 mL vial</t>
  </si>
  <si>
    <t xml:space="preserve">https://www.who.int/news-room/fact-sheets/detail/measles</t>
  </si>
  <si>
    <t xml:space="preserve">Cipla Medroxyprogesterone</t>
  </si>
  <si>
    <t xml:space="preserve">150 mg/1 mL vial</t>
  </si>
  <si>
    <t xml:space="preserve">Palocip</t>
  </si>
  <si>
    <t xml:space="preserve">250 mcg/5 mL vial</t>
  </si>
  <si>
    <t xml:space="preserve">Phenylephrine Cipla</t>
  </si>
  <si>
    <t xml:space="preserve">Anaesthesia: low blood pressure during anaesthesia</t>
  </si>
  <si>
    <t xml:space="preserve">https://dailymed.nlm.nih.gov/dailymed/search.cfm?labeltype=all&amp;query=phenylephrine+hydrochloride+injection</t>
  </si>
  <si>
    <t xml:space="preserve">1 mg/0.5 mL pre-filled syringe; 10 mg/1 mL vial</t>
  </si>
  <si>
    <t xml:space="preserve">Streptokinase</t>
  </si>
  <si>
    <t xml:space="preserve">Streptase</t>
  </si>
  <si>
    <t xml:space="preserve">Cardiovascular: clot dissolving for heart attack and pulmonary embolism</t>
  </si>
  <si>
    <t xml:space="preserve">750000 IU powder vial; 1500000 IU powder vial</t>
  </si>
  <si>
    <t xml:space="preserve">https://list.essentialmeds.org/?query=streptokinase</t>
  </si>
  <si>
    <t xml:space="preserve">Sugammadex</t>
  </si>
  <si>
    <t xml:space="preserve">Sugammadex Cipla; Cipla Sugammadex; Senuom</t>
  </si>
  <si>
    <t xml:space="preserve">Anaesthesia: reversal of rocuronium and vecuronium</t>
  </si>
  <si>
    <t xml:space="preserve">200 mg/2 mL vial; 500 mg/5 mL vial</t>
  </si>
  <si>
    <t xml:space="preserve">Australia, South Africa | EU/EEA (2): Germany, Spain</t>
  </si>
  <si>
    <t xml:space="preserve">https://dailymed.nlm.nih.gov/dailymed/search.cfm?labeltype=all&amp;query=sugammadex</t>
  </si>
  <si>
    <t xml:space="preserve">Teicoplanin</t>
  </si>
  <si>
    <t xml:space="preserve">Cipla Teicoplanin</t>
  </si>
  <si>
    <t xml:space="preserve">Anti-infective: MRSA and serious Gram-positive infections</t>
  </si>
  <si>
    <t xml:space="preserve">400 mg in 3 mL powder vial</t>
  </si>
  <si>
    <t xml:space="preserve">https://mhraproducts4853.blob.core.windows.net/docs/45a310f5c66d09f20d9d1eb3a5d48c17c486ac7b</t>
  </si>
  <si>
    <t xml:space="preserve">Testosterone Undecanoate</t>
  </si>
  <si>
    <t xml:space="preserve">Testosterone Cipla</t>
  </si>
  <si>
    <t xml:space="preserve">Endocrinology: long-acting testosterone replacement in male hypogonadism</t>
  </si>
  <si>
    <t xml:space="preserve">1000 mg/4 mL vial</t>
  </si>
  <si>
    <t xml:space="preserve">https://dailymed.nlm.nih.gov/dailymed/search.cfm?labeltype=all&amp;query=testosterone+undecanoate</t>
  </si>
  <si>
    <t xml:space="preserve">Trastuzumab</t>
  </si>
  <si>
    <t xml:space="preserve">Trastucip</t>
  </si>
  <si>
    <t xml:space="preserve">Oncology: HER2-positive breast and gastric cancer</t>
  </si>
  <si>
    <t xml:space="preserve">150 mg powder vial</t>
  </si>
  <si>
    <t xml:space="preserve">https://dailymed.nlm.nih.gov/dailymed/search.cfm?labeltype=all&amp;query=trastuzumab</t>
  </si>
  <si>
    <t xml:space="preserve">Vinblastine</t>
  </si>
  <si>
    <t xml:space="preserve">Cytoblastin Aqueous</t>
  </si>
  <si>
    <t xml:space="preserve">Oncology: Hodgkin lymphoma, testicular cancer, Kaposi's sarcoma</t>
  </si>
  <si>
    <t xml:space="preserve">10 mg/10 mL vial</t>
  </si>
  <si>
    <t xml:space="preserve">https://dailymed.nlm.nih.gov/dailymed/search.cfm?labeltype=all&amp;query=vinblastine</t>
  </si>
  <si>
    <t xml:space="preserve">Cipla Vinorelbine</t>
  </si>
  <si>
    <t xml:space="preserve">10 mg/1 mL vial; 250 mg/5 mL vial</t>
  </si>
  <si>
    <t xml:space="preserve">Azacitidine Betapharm; Azacitidine; Reddaza (+1 more)</t>
  </si>
  <si>
    <t xml:space="preserve">25 mg/mL vial; 100 mg powder vial; 100 mg in 30 mL powder vial</t>
  </si>
  <si>
    <t xml:space="preserve">UK, DE, FR, NL, BE, CA</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</si>
  <si>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</si>
  <si>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</si>
  <si>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Dr. Reddy's Laboratories</t>
  </si>
  <si>
    <t xml:space="preserve">Bivalirudin</t>
  </si>
  <si>
    <t xml:space="preserve">Cardiovascular: anticoagulant during coronary angioplasty</t>
  </si>
  <si>
    <t xml:space="preserve">` powder vial</t>
  </si>
  <si>
    <t xml:space="preserve">https://dailymed.nlm.nih.gov/dailymed/search.cfm?labeltype=all&amp;query=bivalirudin</t>
  </si>
  <si>
    <t xml:space="preserve">Bortezomib; Bortezomib Dr. Reddy's; Bertred</t>
  </si>
  <si>
    <t xml:space="preserve">3.5 mg powder vial; 3.5 mg in 10 mL powder vial</t>
  </si>
  <si>
    <t xml:space="preserve">US, UK, UK-NI, DE, FR, NL, CA</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</si>
  <si>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</si>
  <si>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</si>
  <si>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Carboprost Tromethamine; Carboprost Dr. Reddy's</t>
  </si>
  <si>
    <t xml:space="preserve">0.25 mg/1 mL pre-filled syringe; 250 mcg/1 mL vial</t>
  </si>
  <si>
    <t xml:space="preserve">Cyclophosphamide; Ciclofosfamida Dr. Reddy</t>
  </si>
  <si>
    <t xml:space="preserve">1 g/5 mL vial; 2 g/10 mL vial; 500 mg/2.5 mL vial; 500 mg/1 mL vial</t>
  </si>
  <si>
    <t xml:space="preserve">US, DE, FR</t>
  </si>
  <si>
    <t xml:space="preserve">US | EU/EEA (4): Germany, France, Romania, Spain</t>
  </si>
  <si>
    <t xml:space="preserve">Daptomycin Dr. Reddy's; Daptomicina Dr. Reddy's; Daptomycin (+1 more)</t>
  </si>
  <si>
    <t xml:space="preserve">350 mg powder vial; 500 mg powder vial</t>
  </si>
  <si>
    <t xml:space="preserve">UK, UK-NI, DE, FR, CA</t>
  </si>
  <si>
    <t xml:space="preserve">UK, Canada, Australia, UK-NI | EU/EEA (11): Germany, France, Austria, Finland, Ireland, Italy, Malta, Portugal, Romania, Spain, Sweden</t>
  </si>
  <si>
    <t xml:space="preserve">UK, Canada, Australia, UK-NI | EU/EEA (11): Germany, France, Austria, Finland + 7 more</t>
  </si>
  <si>
    <t xml:space="preserve">Desmopressin</t>
  </si>
  <si>
    <t xml:space="preserve">Desmopressin Acetate</t>
  </si>
  <si>
    <t xml:space="preserve">Endocrinology and haematology: diabetes insipidus, haemophilia A, von Willebrand disease</t>
  </si>
  <si>
    <t xml:space="preserve">0.04 mg/10 mL vial</t>
  </si>
  <si>
    <t xml:space="preserve">https://dailymed.nlm.nih.gov/dailymed/search.cfm?labeltype=all&amp;query=desmopressin</t>
  </si>
  <si>
    <t xml:space="preserve">Eribulin</t>
  </si>
  <si>
    <t xml:space="preserve">Eribulin Mesylate; Eribulin; Eribulin Beta (+2 more)</t>
  </si>
  <si>
    <t xml:space="preserve">Oncology: metastatic breast cancer, liposarcoma</t>
  </si>
  <si>
    <t xml:space="preserve">1 mg/2 mL vial; 0.88 mg/2 mL vial; 880 mcg/2 mL vial</t>
  </si>
  <si>
    <t xml:space="preserve">US, UK, UK-NI, DE, CA</t>
  </si>
  <si>
    <t xml:space="preserve">US, UK, Canada, Australia, South Africa, UK-NI | EU/EEA (2): Germany, Romania</t>
  </si>
  <si>
    <t xml:space="preserve">https://dailymed.nlm.nih.gov/dailymed/search.cfm?labeltype=all&amp;query=eribulin</t>
  </si>
  <si>
    <t xml:space="preserve">1 g vial</t>
  </si>
  <si>
    <t xml:space="preserve">Ferric Carboxymaltose</t>
  </si>
  <si>
    <t xml:space="preserve">Ferricarbo</t>
  </si>
  <si>
    <t xml:space="preserve">Haematology and nephrology: IV iron for iron-deficiency anaemia in kidney disease and heart failure</t>
  </si>
  <si>
    <t xml:space="preserve">500 mg/10 mL vial; 1000 mg/20 mL vial; 100 mg/2 mL vial</t>
  </si>
  <si>
    <t xml:space="preserve">https://dailymed.nlm.nih.gov/dailymed/search.cfm?labeltype=all&amp;query=ferric+carboxymaltose</t>
  </si>
  <si>
    <t xml:space="preserve">Fulvestrant; Fulvestrant Dr. Reddy's; Fulvestrant Beta (+1 more)</t>
  </si>
  <si>
    <t xml:space="preserve">US, UK, UK-NI, DE</t>
  </si>
  <si>
    <t xml:space="preserve">US, UK, South Africa, UK-NI | EU/EEA (10): Germany, Denmark, Ireland, Italy, Norway, Poland, Portugal, Romania, Spain, Sweden</t>
  </si>
  <si>
    <t xml:space="preserve">US, UK, South Africa, UK-NI | EU/EEA (10): Germany, Denmark, Ireland, Italy + 6 more</t>
  </si>
  <si>
    <t xml:space="preserve">Ibandronsäure Beta</t>
  </si>
  <si>
    <t xml:space="preserve">3 mg pre-filled syringe</t>
  </si>
  <si>
    <t xml:space="preserve">2 mg/2 mL pre-filled syringe</t>
  </si>
  <si>
    <t xml:space="preserve">Neostigmine</t>
  </si>
  <si>
    <t xml:space="preserve">Neostigmine Methylsulfate</t>
  </si>
  <si>
    <t xml:space="preserve">Anaesthesia and neurology: reversal of muscle relaxants after surgery, myasthenia gravis</t>
  </si>
  <si>
    <t xml:space="preserve">3 mg/3 mL pre-filled syringe; 5 mg/10 mL vial; 10 mg/10 mL vial</t>
  </si>
  <si>
    <t xml:space="preserve">https://dailymed.nlm.nih.gov/dailymed/search.cfm?labeltype=all&amp;query=neostigmine</t>
  </si>
  <si>
    <t xml:space="preserve">Palonosetron Hydrochloride; Palonosetron Beta; Palonoset</t>
  </si>
  <si>
    <t xml:space="preserve">0.25 mg/5 mL vial; 250 mcg/5 mL vial</t>
  </si>
  <si>
    <t xml:space="preserve">US, DE</t>
  </si>
  <si>
    <t xml:space="preserve">US, Australia | EU/EEA (3): Germany, Italy, Romania</t>
  </si>
  <si>
    <t xml:space="preserve">1 mg/0.5 mL in 1 mL ampoule; 10 mg/1 mL ampoule</t>
  </si>
  <si>
    <t xml:space="preserve">Succinylcholine (Suxamethonium)</t>
  </si>
  <si>
    <t xml:space="preserve">Succinylcholine Chloride</t>
  </si>
  <si>
    <t xml:space="preserve">Anaesthesia: muscle relaxant for rapid intubation</t>
  </si>
  <si>
    <t xml:space="preserve">200 mg/10 mL vial</t>
  </si>
  <si>
    <t xml:space="preserve">https://dailymed.nlm.nih.gov/dailymed/search.cfm?labeltype=all&amp;query=succinylcholine</t>
  </si>
  <si>
    <t xml:space="preserve">Sugammadex Sodium; Sugammadex; Sugammadex-Reddy's (+2 more)</t>
  </si>
  <si>
    <t xml:space="preserve">US, UK, UK-NI, DE, FR, NL</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</si>
  <si>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</si>
  <si>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</si>
  <si>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</si>
  <si>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</si>
  <si>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15 mg powder vial</t>
  </si>
  <si>
    <t xml:space="preserve">https://dailymed.nlm.nih.gov/dailymed/search.cfm?labeltype=all&amp;query=thiotepa</t>
  </si>
  <si>
    <t xml:space="preserve">10 mg/mL (container not stated); 40 mg/mL (container not stated)</t>
  </si>
  <si>
    <t xml:space="preserve">Acetazolamide</t>
  </si>
  <si>
    <t xml:space="preserve">Acetazolamide Tillomed</t>
  </si>
  <si>
    <t xml:space="preserve">Ophthalmology: acute angle-closure glaucoma, raised eye pressure, oedema</t>
  </si>
  <si>
    <t xml:space="preserve">500 mg powder vial</t>
  </si>
  <si>
    <t xml:space="preserve">UK, UK-NI</t>
  </si>
  <si>
    <t xml:space="preserve">Emcure Pharmaceuticals</t>
  </si>
  <si>
    <t xml:space="preserve">https://dailymed.nlm.nih.gov/dailymed/search.cfm?labeltype=all&amp;query=acetazolamide</t>
  </si>
  <si>
    <t xml:space="preserve">Amikacin</t>
  </si>
  <si>
    <t xml:space="preserve">Amikacin; Amikacin Tillomed Laboratories; Amikacin Sulfate (+1 more)</t>
  </si>
  <si>
    <t xml:space="preserve">Anti-infective: serious and drug-resistant Gram-negative infections, resistant TB</t>
  </si>
  <si>
    <t xml:space="preserve">500 mg/2 mL vial</t>
  </si>
  <si>
    <t xml:space="preserve">UK, UK-NI, CA</t>
  </si>
  <si>
    <t xml:space="preserve">UK, Canada, Australia, UK-NI | EU/EEA (1): Malta</t>
  </si>
  <si>
    <t xml:space="preserve">https://dailymed.nlm.nih.gov/dailymed/search.cfm?labeltype=all&amp;query=amikacin</t>
  </si>
  <si>
    <t xml:space="preserve">Ampicillina Tillomed</t>
  </si>
  <si>
    <t xml:space="preserve">EU/EEA (1): Italy</t>
  </si>
  <si>
    <t xml:space="preserve">Azacitidine Tillomed; Azacitidin Tillomed</t>
  </si>
  <si>
    <t xml:space="preserve">UK, UK-NI, DE, FR, NL</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</si>
  <si>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</si>
  <si>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</si>
  <si>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</si>
  <si>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</si>
  <si>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Colistimethate Sodium</t>
  </si>
  <si>
    <t xml:space="preserve">Colistimethate</t>
  </si>
  <si>
    <t xml:space="preserve">Anti-infective: last-line treatment for drug-resistant Gram-negative infections</t>
  </si>
  <si>
    <t xml:space="preserve">150 mg/10 mL vial</t>
  </si>
  <si>
    <t xml:space="preserve">https://dailymed.nlm.nih.gov/dailymed/search.cfm?labeltype=all&amp;query=colistimethate</t>
  </si>
  <si>
    <t xml:space="preserve">1000 mg/100 mL vial; 2000 mg/100 mL vial</t>
  </si>
  <si>
    <t xml:space="preserve">Daptomycin Tillomed; Daptomicina Tillomed</t>
  </si>
  <si>
    <t xml:space="preserve">UK, DE, FR</t>
  </si>
  <si>
    <t xml:space="preserve">UK | EU/EEA (4): Germany, France, Italy, Spain</t>
  </si>
  <si>
    <t xml:space="preserve">Eribulin Tillomed</t>
  </si>
  <si>
    <t xml:space="preserve">0.88 mg/2 mL vial</t>
  </si>
  <si>
    <t xml:space="preserve">FR, NL</t>
  </si>
  <si>
    <t xml:space="preserve">EU/EEA (7): France, Netherlands, Denmark, Ireland, Malta, Norway, Spain</t>
  </si>
  <si>
    <t xml:space="preserve">EU/EEA (7): France, Netherlands, Denmark, Ireland + 3 more</t>
  </si>
  <si>
    <t xml:space="preserve">Esomeprazole</t>
  </si>
  <si>
    <t xml:space="preserve">Esomeprazol Tillomed</t>
  </si>
  <si>
    <t xml:space="preserve">Gastroenterology: acid reflux, prevention of ulcer re-bleeding</t>
  </si>
  <si>
    <t xml:space="preserve">40 mg powder vial</t>
  </si>
  <si>
    <t xml:space="preserve">UK-NI, DE, FR, NL</t>
  </si>
  <si>
    <t xml:space="preserve">UK-NI | EU/EEA (7): Germany, France, Netherlands, Austria, Ireland, Italy, Poland</t>
  </si>
  <si>
    <t xml:space="preserve">UK-NI | EU/EEA (7): Germany, France, Netherlands, Austria + 3 more</t>
  </si>
  <si>
    <t xml:space="preserve">https://dailymed.nlm.nih.gov/dailymed/search.cfm?labeltype=all&amp;query=esomeprazole+sodium</t>
  </si>
  <si>
    <t xml:space="preserve">Isoproterenol Hydrochloride</t>
  </si>
  <si>
    <t xml:space="preserve">0.2 mg/1 mL vial; 1 mg/5 mL vial</t>
  </si>
  <si>
    <t xml:space="preserve">FR, CA</t>
  </si>
  <si>
    <t xml:space="preserve">Canada | EU/EEA (2): France, Portugal</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</si>
  <si>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</si>
  <si>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</si>
  <si>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</si>
  <si>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</si>
  <si>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Milrinone; Milrinon Tillomed</t>
  </si>
  <si>
    <t xml:space="preserve">Cardiovascular: acute heart failure</t>
  </si>
  <si>
    <t xml:space="preserve">UK, UK-NI | EU/EEA (5): Germany, France, Netherlands, Austria, Malta</t>
  </si>
  <si>
    <t xml:space="preserve">https://dailymed.nlm.nih.gov/dailymed/search.cfm?labeltype=all&amp;query=milrinone</t>
  </si>
  <si>
    <t xml:space="preserve">5 mg/10 mL vial; 10 mg/10 mL vial</t>
  </si>
  <si>
    <t xml:space="preserve">Ondansetron Tillomed</t>
  </si>
  <si>
    <t xml:space="preserve">4 mg/2 mL ampoule</t>
  </si>
  <si>
    <t xml:space="preserve">UK, UK-NI, DE, FR</t>
  </si>
  <si>
    <t xml:space="preserve">UK, UK-NI | EU/EEA (3): Germany, France, Italy</t>
  </si>
  <si>
    <t xml:space="preserve">Pentamidine</t>
  </si>
  <si>
    <t xml:space="preserve">Pentamidine Isetionate Tillomed; Pentamidindiisetionat Tillomed; Pentamidine Isetionate (+1 more)</t>
  </si>
  <si>
    <t xml:space="preserve">Anti-infective: Pneumocystis pneumonia, leishmaniasis</t>
  </si>
  <si>
    <t xml:space="preserve">300 mg powder vial; 300 mg in 20 mL powder vial</t>
  </si>
  <si>
    <t xml:space="preserve">UK, UK-NI, DE, FR, NL, CA</t>
  </si>
  <si>
    <t xml:space="preserve">UK, Canada, Australia, UK-NI | EU/EEA (8): Germany, France, Netherlands, Denmark, Finland, Ireland, Norway, Sweden</t>
  </si>
  <si>
    <t xml:space="preserve">UK, Canada, Australia, UK-NI | EU/EEA (8): Germany, France, Netherlands, Denmark + 4 more</t>
  </si>
  <si>
    <t xml:space="preserve">https://dailymed.nlm.nih.gov/dailymed/search.cfm?labeltype=all&amp;query=pentamidine</t>
  </si>
  <si>
    <t xml:space="preserve">Plerixafor; Plerixafor Tillomed</t>
  </si>
  <si>
    <t xml:space="preserve">UK | EU/EEA (3): Germany, France, Italy</t>
  </si>
  <si>
    <t xml:space="preserve">Propofol</t>
  </si>
  <si>
    <t xml:space="preserve">Anaesthesia: general anaesthesia, ICU sedation</t>
  </si>
  <si>
    <t xml:space="preserve">200 mg/20 mL vial</t>
  </si>
  <si>
    <t xml:space="preserve">https://dailymed.nlm.nih.gov/dailymed/search.cfm?labeltype=all&amp;query=propofol</t>
  </si>
  <si>
    <t xml:space="preserve">Sugammadex; Sugammadex Tillomed</t>
  </si>
  <si>
    <t xml:space="preserve">200 mg/2 mL vial</t>
  </si>
  <si>
    <t xml:space="preserve">UK, UK-NI | EU/EEA (5): Germany, France, Netherlands, Italy, Spain</t>
  </si>
  <si>
    <t xml:space="preserve">Azacitidina Glenmark</t>
  </si>
  <si>
    <t xml:space="preserve">EU/EEA (3): Iceland, Slovakia, Spain</t>
  </si>
  <si>
    <t xml:space="preserve">Glenmark Pharmaceuticals</t>
  </si>
  <si>
    <t xml:space="preserve">Bortezomib Glenmark; Bortraczo</t>
  </si>
  <si>
    <t xml:space="preserve">1 mg powder vial; 2.5 mg/1 mL vial; 3.5 mg/1.4 mL vial</t>
  </si>
  <si>
    <t xml:space="preserve">Australia | EU/EEA (11): Germany, France, Netherlands, Denmark, Finland, Italy, Norway, Poland, Slovakia, Spain, Sweden</t>
  </si>
  <si>
    <t xml:space="preserve">Australia | EU/EEA (11): Germany, France, Netherlands, Denmark + 7 more</t>
  </si>
  <si>
    <t xml:space="preserve">Eribulin Mesylate; Eribulin; Eribulin Glenmark Pharmaceuticals Europe</t>
  </si>
  <si>
    <t xml:space="preserve">1 mg/2 mL vial; 0.44 mg/mL vial; 880 mcg/2 mL vial</t>
  </si>
  <si>
    <t xml:space="preserve">US, UK, UK-NI</t>
  </si>
  <si>
    <t xml:space="preserve">US, UK, UK-NI | EU/EEA (6): Denmark, Finland, Italy, Norway, Spain, Sweden</t>
  </si>
  <si>
    <t xml:space="preserve">Fulvestrant; Fulvestrant Glenmark</t>
  </si>
  <si>
    <t xml:space="preserve">250 mg/5 mL pre-filled syringe; 250 mg pre-filled syringe</t>
  </si>
  <si>
    <t xml:space="preserve">US, UK, UK-NI, DE, NL</t>
  </si>
  <si>
    <t xml:space="preserve">US, UK, UK-NI | EU/EEA (5): Germany, Netherlands, Denmark, Spain, Sweden</t>
  </si>
  <si>
    <t xml:space="preserve">Plerixafor Glenmark</t>
  </si>
  <si>
    <t xml:space="preserve">EU/EEA (1): Spain</t>
  </si>
  <si>
    <t xml:space="preserve">Sugammadex; Sugammadex Glenmark</t>
  </si>
  <si>
    <t xml:space="preserve">100 mg/mL vial; 200 mg/2 mL vial</t>
  </si>
  <si>
    <t xml:space="preserve">UK, UK-NI, DE</t>
  </si>
  <si>
    <t xml:space="preserve">UK, UK-NI | EU/EEA (7): Germany, Denmark, Finland, Italy, Norway, Spain, Sweden</t>
  </si>
  <si>
    <t xml:space="preserve">UK, UK-NI | EU/EEA (7): Germany, Denmark, Finland, Italy + 3 more</t>
  </si>
  <si>
    <t xml:space="preserve">Azacitidine; Azacitidine Amarox</t>
  </si>
  <si>
    <t xml:space="preserve">25 mg/mL powder vial</t>
  </si>
  <si>
    <t xml:space="preserve">Hetero Labs</t>
  </si>
  <si>
    <t xml:space="preserve">Bortezomib; Bortezomib Amarox; Bortezomib Hetero (+1 more)</t>
  </si>
  <si>
    <t xml:space="preserve">3.5 mg powder vial; 1 mg/0.4 mL vial; 3.5 mg/1.4 mL vial; 2.5 mg/1 mL vial (+1 more)</t>
  </si>
  <si>
    <t xml:space="preserve">US, UK, Australia, South Africa, UK-NI | EU/EEA (3): Germany, Netherlands, Spain</t>
  </si>
  <si>
    <t xml:space="preserve">Brivaracetam</t>
  </si>
  <si>
    <t xml:space="preserve">Brivaracetam; Brivaracetam Amarox</t>
  </si>
  <si>
    <t xml:space="preserve">Neurology: epilepsy (partial-onset seizures)</t>
  </si>
  <si>
    <t xml:space="preserve">50 mg/5 mL vial</t>
  </si>
  <si>
    <t xml:space="preserve">UK, UK-NI | EU/EEA (3): Germany, Italy, Spain</t>
  </si>
  <si>
    <t xml:space="preserve">https://dailymed.nlm.nih.gov/dailymed/search.cfm?labeltype=all&amp;query=brivaracetam</t>
  </si>
  <si>
    <t xml:space="preserve">25 mg/1 mL vial</t>
  </si>
  <si>
    <t xml:space="preserve">Cyanocobalamin</t>
  </si>
  <si>
    <t xml:space="preserve">Haematology: vitamin B12 deficiency, pernicious anaemia</t>
  </si>
  <si>
    <t xml:space="preserve">1 mg/mL (container not stated)</t>
  </si>
  <si>
    <t xml:space="preserve">https://dailymed.nlm.nih.gov/dailymed/search.cfm?labeltype=all&amp;query=cyanocobalamin+injection</t>
  </si>
  <si>
    <t xml:space="preserve">Daptomycin; Daptomicin Tarbis</t>
  </si>
  <si>
    <t xml:space="preserve">UK, UK-NI, DE, NL</t>
  </si>
  <si>
    <t xml:space="preserve">UK, UK-NI | EU/EEA (3): Germany, Netherlands, Spain</t>
  </si>
  <si>
    <t xml:space="preserve">Glycopyrrolate</t>
  </si>
  <si>
    <t xml:space="preserve">Glyopy</t>
  </si>
  <si>
    <t xml:space="preserve">Anaesthesia: reduces secretions, reversal of muscle relaxants</t>
  </si>
  <si>
    <t xml:space="preserve">5 mg/5 mL vial</t>
  </si>
  <si>
    <t xml:space="preserve">https://dailymed.nlm.nih.gov/dailymed/search.cfm?labeltype=all&amp;query=glycopyrrolate+injection</t>
  </si>
  <si>
    <t xml:space="preserve">0.2 mg/mL (container not stated)</t>
  </si>
  <si>
    <t xml:space="preserve">Lidocaine</t>
  </si>
  <si>
    <t xml:space="preserve">Lidocaine Hydrochloride</t>
  </si>
  <si>
    <t xml:space="preserve">Anaesthesia: local anaesthetic, ventricular arrhythmias</t>
  </si>
  <si>
    <t xml:space="preserve">1% in 20 mL vial</t>
  </si>
  <si>
    <t xml:space="preserve">https://dailymed.nlm.nih.gov/dailymed/search.cfm?labeltype=all&amp;query=lidocaine+hydrochloride+injection</t>
  </si>
  <si>
    <t xml:space="preserve">Magnesium Sulfate</t>
  </si>
  <si>
    <t xml:space="preserve">Women's health and critical care: eclampsia seizures, low magnesium</t>
  </si>
  <si>
    <t xml:space="preserve">25 g/50 mL vial</t>
  </si>
  <si>
    <t xml:space="preserve">https://dailymed.nlm.nih.gov/dailymed/search.cfm?labeltype=all&amp;query=magnesium+sulfate+injection</t>
  </si>
  <si>
    <t xml:space="preserve">Melphalan; Melfalan Amarox; Melfalán Tarbis</t>
  </si>
  <si>
    <t xml:space="preserve">50 mg/2 mL (container not stated)</t>
  </si>
  <si>
    <t xml:space="preserve">Hetnoset</t>
  </si>
  <si>
    <t xml:space="preserve">Pantoprazole; Pantoprazol Amarox</t>
  </si>
  <si>
    <t xml:space="preserve">Plerixafor; Plerixafor Amarox; Heterix</t>
  </si>
  <si>
    <t xml:space="preserve">US, UK, South Africa, UK-NI | EU/EEA (3): Germany, Netherlands, Spain</t>
  </si>
  <si>
    <t xml:space="preserve">10 mg/mL (container not stated)</t>
  </si>
  <si>
    <t xml:space="preserve">Rocuronium</t>
  </si>
  <si>
    <t xml:space="preserve">Rocuronium Bromide Amarox</t>
  </si>
  <si>
    <t xml:space="preserve">UK-NI</t>
  </si>
  <si>
    <t xml:space="preserve">https://dailymed.nlm.nih.gov/dailymed/search.cfm?labeltype=all&amp;query=rocuronium</t>
  </si>
  <si>
    <t xml:space="preserve">Sodium Bicarbonate</t>
  </si>
  <si>
    <t xml:space="preserve">Critical care: metabolic acidosis, cardiac arrest, overdose</t>
  </si>
  <si>
    <t xml:space="preserve">5MEQ/10 mL vial</t>
  </si>
  <si>
    <t xml:space="preserve">https://dailymed.nlm.nih.gov/dailymed/search.cfm?labeltype=all&amp;query=sodium+bicarbonate+injection</t>
  </si>
  <si>
    <t xml:space="preserve">Sugammadex Sodium; Sugammadex; Sugammadex Amarox (+1 more)</t>
  </si>
  <si>
    <t xml:space="preserve">Teicoplanin; Teicoplanin Amarox</t>
  </si>
  <si>
    <t xml:space="preserve">400 mg powder vial</t>
  </si>
  <si>
    <t xml:space="preserve">2.5 mg/mL (container not stated)</t>
  </si>
  <si>
    <t xml:space="preserve">Amiodarone</t>
  </si>
  <si>
    <t xml:space="preserve">Amiodarone Accord; Amiodarone Prefilled Syringe Accord</t>
  </si>
  <si>
    <t xml:space="preserve">Cardiovascular: ventricular arrhythmias, cardiac arrest</t>
  </si>
  <si>
    <t xml:space="preserve">300 mg/10 mL pre-filled syringe</t>
  </si>
  <si>
    <t xml:space="preserve">South Africa, UK-NI</t>
  </si>
  <si>
    <t xml:space="preserve">Intas Pharmaceuticals</t>
  </si>
  <si>
    <t xml:space="preserve">https://dailymed.nlm.nih.gov/dailymed/search.cfm?labeltype=all&amp;query=amiodarone</t>
  </si>
  <si>
    <t xml:space="preserve">Amoxicillin</t>
  </si>
  <si>
    <t xml:space="preserve">Amoxicillin Accord Healthcare</t>
  </si>
  <si>
    <t xml:space="preserve">Anti-infective: serious bacterial infections when oral treatment is not possible</t>
  </si>
  <si>
    <t xml:space="preserve">500 mg (container not stated)</t>
  </si>
  <si>
    <t xml:space="preserve">UK-NI | EU/EEA (1): Portugal</t>
  </si>
  <si>
    <t xml:space="preserve">https://mhraproducts4853.blob.core.windows.net/docs/dd5428de28a35789b58d7a7229157959b1e135fb</t>
  </si>
  <si>
    <t xml:space="preserve">US, UK-NI, DE, FR</t>
  </si>
  <si>
    <t xml:space="preserve">US, UK-NI | EU/EEA (3): Germany, France, Austria</t>
  </si>
  <si>
    <t xml:space="preserve">Atracurium</t>
  </si>
  <si>
    <t xml:space="preserve">Atracurium Accord Healthcare</t>
  </si>
  <si>
    <t xml:space="preserve">https://mhraproducts4853.blob.core.windows.net/docs/924d70784a8c922753ed49a78a38c605f536521c</t>
  </si>
  <si>
    <t xml:space="preserve">Atropine</t>
  </si>
  <si>
    <t xml:space="preserve">Atropine Sulfate; Atropin Accord; Atropina Accord</t>
  </si>
  <si>
    <t xml:space="preserve">Critical care: slow heart rate, pre-anaesthesia, organophosphate poisoning</t>
  </si>
  <si>
    <t xml:space="preserve">0.25 mg/5 mL pre-filled syringe; 0.4 mg/1 mL vial; 0.5 mg/5 mL pre-filled syringe; 1 mg/10 mL pre-filled syringe (+3 more)</t>
  </si>
  <si>
    <t xml:space="preserve">US, UK, UK-NI | EU/EEA (13): Germany, France, Netherlands, Austria, Czech Republic, Denmark, Finland, Italy, Norway, Portugal, Romania, Spain, Sweden</t>
  </si>
  <si>
    <t xml:space="preserve">US, UK, UK-NI | EU/EEA (13): Germany, France, Netherlands, Austria + 9 more</t>
  </si>
  <si>
    <t xml:space="preserve">https://dailymed.nlm.nih.gov/dailymed/search.cfm?labeltype=all&amp;query=atropine</t>
  </si>
  <si>
    <t xml:space="preserve">Azacitidine Accord; Azaccord</t>
  </si>
  <si>
    <t xml:space="preserve">25 mg/mL vial; 100 mg powder vial</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</si>
  <si>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</si>
  <si>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</si>
  <si>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Bivalirudin; Bivalirudin Accord</t>
  </si>
  <si>
    <t xml:space="preserve">250 mg powder vial</t>
  </si>
  <si>
    <t xml:space="preserve">US, UK, UK-NI | EU/EEA (9): Germany, France, Netherlands, Belgium, Austria, Italy, Poland, Portugal, Slovenia</t>
  </si>
  <si>
    <t xml:space="preserve">US, UK, UK-NI | EU/EEA (9): Germany, France, Netherlands, Belgium + 5 more</t>
  </si>
  <si>
    <t xml:space="preserve">Bleomycin; Bleomicina Accord; Bleomycin Accord</t>
  </si>
  <si>
    <t xml:space="preserve">15000 IU powder vial</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</si>
  <si>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</si>
  <si>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</si>
  <si>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Bortezomib; Bortezomib Accord; Bortezomib Intas (+1 more)</t>
  </si>
  <si>
    <t xml:space="preserve">2 mg pre-filled syringe; 3.5 mg/1.4 mL vial; 2.5 mg/1 mL vial; 1 mg powder vial (+2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</si>
  <si>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</si>
  <si>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</si>
  <si>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Cefepim Accord; Cefepime Accord</t>
  </si>
  <si>
    <t xml:space="preserve">EU/EEA (4): Germany, France, Croatia, Portugal</t>
  </si>
  <si>
    <t xml:space="preserve">Ceftriaxone Accord</t>
  </si>
  <si>
    <t xml:space="preserve">1 g (container not stated)</t>
  </si>
  <si>
    <t xml:space="preserve">Cisatracurium</t>
  </si>
  <si>
    <t xml:space="preserve">Cisatracurium; Cisatracurium Accord</t>
  </si>
  <si>
    <t xml:space="preserve">Anaesthesia: muscle relaxant for surgery and ICU ventilation</t>
  </si>
  <si>
    <t xml:space="preserve">150 mg/30 mL vial; 10 mg/5 mL vial; 50 mg/25 mL vial; 20 mg/10 mL vial (+1 more)</t>
  </si>
  <si>
    <t xml:space="preserve">UK, UK-NI, FR, NL</t>
  </si>
  <si>
    <t xml:space="preserve">UK, Australia, UK-NI | EU/EEA (12): France, Netherlands, Austria, Croatia, Cyprus, Denmark, Finland, Hungary, Norway, Poland, Portugal, Spain</t>
  </si>
  <si>
    <t xml:space="preserve">UK, Australia, UK-NI | EU/EEA (12): France, Netherlands, Austria, Croatia + 8 more</t>
  </si>
  <si>
    <t xml:space="preserve">https://dailymed.nlm.nih.gov/dailymed/search.cfm?labeltype=all&amp;query=cisatracurium</t>
  </si>
  <si>
    <t xml:space="preserve">Colistimethate Sodium; Colistimetato Accord</t>
  </si>
  <si>
    <t xml:space="preserve">2 MIU powder vial; 1 MIU powder vial</t>
  </si>
  <si>
    <t xml:space="preserve">UK, UK-NI, FR, NL, BE</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</si>
  <si>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</si>
  <si>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</si>
  <si>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Cyclophosphamide Accord; Cyclophosphamide Intas</t>
  </si>
  <si>
    <t xml:space="preserve">2000 mg powder vial; 500 mg powder vial; 1000 mg powder vial</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</si>
  <si>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</si>
  <si>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</si>
  <si>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Cytarabine</t>
  </si>
  <si>
    <t xml:space="preserve">Cytarabine; Cytarabine Accord; Cytarabine ACC</t>
  </si>
  <si>
    <t xml:space="preserve">Oncology: acute myeloid and acute lymphoblastic leukaemia</t>
  </si>
  <si>
    <t xml:space="preserve">100 mg/5 mL vial; 4000 mg/40 mL vial; 2000 mg/20 mL vial; 500 mg/5 mL vial (+3 more)</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</si>
  <si>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</si>
  <si>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</si>
  <si>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https://dailymed.nlm.nih.gov/dailymed/search.cfm?labeltype=all&amp;query=cytarabine</t>
  </si>
  <si>
    <t xml:space="preserve">Daptomycin; Daptomicin Accord Healthcare; Daptomycin Accord (+1 more)</t>
  </si>
  <si>
    <t xml:space="preserve">350 mg powder vial; 500 mg powder vial; 500 mg/20 mL vial</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</si>
  <si>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</si>
  <si>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</si>
  <si>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Degarelix</t>
  </si>
  <si>
    <t xml:space="preserve">Degarelix; Degarelix Accord</t>
  </si>
  <si>
    <t xml:space="preserve">Oncology: hormone therapy for advanced prostate cancer</t>
  </si>
  <si>
    <t xml:space="preserve">80 mg powder vial</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</si>
  <si>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</si>
  <si>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</si>
  <si>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https://dailymed.nlm.nih.gov/dailymed/search.cfm?labeltype=all&amp;query=degarelix</t>
  </si>
  <si>
    <t xml:space="preserve">Denosumab</t>
  </si>
  <si>
    <t xml:space="preserve">Jubereq; Dostiva</t>
  </si>
  <si>
    <t xml:space="preserve">Bone health and oncology: bone metastases, osteoporosis</t>
  </si>
  <si>
    <t xml:space="preserve">120 mg/1.7 mL vial</t>
  </si>
  <si>
    <t xml:space="preserve">https://dailymed.nlm.nih.gov/dailymed/search.cfm?labeltype=all&amp;query=denosumab</t>
  </si>
  <si>
    <t xml:space="preserve">Doxorubicin Accord; Doxorubicin; Rubexet</t>
  </si>
  <si>
    <t xml:space="preserve">10 mg/5 mL vial; 200 mg/100 mL vial; 50 mg/25 mL vial</t>
  </si>
  <si>
    <t xml:space="preserve">UK-NI, DE, FR, NL, BE, CA</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</si>
  <si>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</si>
  <si>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</si>
  <si>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Epinephrine (Adrenaline)</t>
  </si>
  <si>
    <t xml:space="preserve">Adrenaline Accord</t>
  </si>
  <si>
    <t xml:space="preserve">Critical care: anaphylaxis, cardiac arrest, shock</t>
  </si>
  <si>
    <t xml:space="preserve">1 mg/10 mL pre-filled syringe</t>
  </si>
  <si>
    <t xml:space="preserve">EU/EEA (3): France, Netherlands, Portugal</t>
  </si>
  <si>
    <t xml:space="preserve">https://dailymed.nlm.nih.gov/dailymed/search.cfm?labeltype=all&amp;query=epinephrine+injection</t>
  </si>
  <si>
    <t xml:space="preserve">Epirubicin Hydrochloride; Epirubicin Hydrochloride Accord Healthcare; Epirubicin Accord (+2 more)</t>
  </si>
  <si>
    <t xml:space="preserve">10 mg/5 mL vial; 20 mg/10 mL vial; 50 mg/25 mL vial; 200 mg/100 mL vial</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</si>
  <si>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</si>
  <si>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</si>
  <si>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Eptifibatide Accord</t>
  </si>
  <si>
    <t xml:space="preserve">DE, FR, NL, BE</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</si>
  <si>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</si>
  <si>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</si>
  <si>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Eribuline Accord</t>
  </si>
  <si>
    <t xml:space="preserve">880 mcg/2 mL vial</t>
  </si>
  <si>
    <t xml:space="preserve">EU/EEA (9): France, Austria, Croatia, Czech Republic, Denmark, Estonia, Lithuania, Norway, Sweden</t>
  </si>
  <si>
    <t xml:space="preserve">EU/EEA (9): France, Austria, Croatia, Czech Republic + 5 more</t>
  </si>
  <si>
    <t xml:space="preserve">Esomeprazole; Esomeprazol Accord</t>
  </si>
  <si>
    <t xml:space="preserve">UK, UK-NI, NL</t>
  </si>
  <si>
    <t xml:space="preserve">UK, UK-NI | EU/EEA (4): Netherlands, Ireland, Italy, Portugal</t>
  </si>
  <si>
    <t xml:space="preserve">Floxapen</t>
  </si>
  <si>
    <t xml:space="preserve">Fludarabine Phosphate</t>
  </si>
  <si>
    <t xml:space="preserve">Fludarabine Phosphate; Fludarabin Accord</t>
  </si>
  <si>
    <t xml:space="preserve">Oncology: chronic lymphocytic leukaemia, transplant conditioning</t>
  </si>
  <si>
    <t xml:space="preserve">50 mg/2 mL vial</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</si>
  <si>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</si>
  <si>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</si>
  <si>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https://dailymed.nlm.nih.gov/dailymed/search.cfm?labeltype=all&amp;query=fludarabine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</si>
  <si>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</si>
  <si>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</si>
  <si>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</si>
  <si>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</si>
  <si>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</si>
  <si>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</si>
  <si>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Glycopyrrolate Accord</t>
  </si>
  <si>
    <t xml:space="preserve">0.6 mg/3 mL ampoule</t>
  </si>
  <si>
    <t xml:space="preserve">UK-NI, DE</t>
  </si>
  <si>
    <t xml:space="preserve">Australia, UK-NI | EU/EEA (6): Germany, Austria, Cyprus, Finland, Italy, Sweden</t>
  </si>
  <si>
    <t xml:space="preserve">Hydroxocobalamin</t>
  </si>
  <si>
    <t xml:space="preserve">Hydroxocobalamin Accord Healthcare</t>
  </si>
  <si>
    <t xml:space="preserve">Haematology: vitamin B12 deficiency, cyanide poisoning</t>
  </si>
  <si>
    <t xml:space="preserve">https://mhraproducts4853.blob.core.windows.net/docs/263d32f81753d60c17b4d841aa3115ebcf5eabd7</t>
  </si>
  <si>
    <t xml:space="preserve">Ibandronate Sodium; Ibandronic Acid Accord</t>
  </si>
  <si>
    <t xml:space="preserve">US, UK, DE, FR, NL, BE</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</si>
  <si>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</si>
  <si>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</si>
  <si>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</si>
  <si>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Idarubicin Accord Healthcare</t>
  </si>
  <si>
    <t xml:space="preserve">Oncology: acute myeloid leukaemia</t>
  </si>
  <si>
    <t xml:space="preserve">UK-NI, FR</t>
  </si>
  <si>
    <t xml:space="preserve">UK-NI | EU/EEA (4): France, Finland, Poland, Portugal</t>
  </si>
  <si>
    <t xml:space="preserve">https://dailymed.nlm.nih.gov/dailymed/search.cfm?labeltype=all&amp;query=idarubicin</t>
  </si>
  <si>
    <t xml:space="preserve">Leuprorelin</t>
  </si>
  <si>
    <t xml:space="preserve">Camcevi</t>
  </si>
  <si>
    <t xml:space="preserve">21 mg pre-filled syringe; 21 mg/0.25 mL pre-filled syringe</t>
  </si>
  <si>
    <t xml:space="preserve">https://dailymed.nlm.nih.gov/dailymed/search.cfm?labeltype=all&amp;query=leuprolide</t>
  </si>
  <si>
    <t xml:space="preserve">Lidocaine Accord; Lidocaine Intas</t>
  </si>
  <si>
    <t xml:space="preserve">100 mg/5 mL ampoule; 400 mg/20 mL vial; 40 mg/2 mL ampoule; 200 mg/20 mL vial</t>
  </si>
  <si>
    <t xml:space="preserve">Australia, UK-NI | EU/EEA (7): Austria, Cyprus, Estonia, Lithuania, Norway, Portugal, Sweden</t>
  </si>
  <si>
    <t xml:space="preserve">Australia, UK-NI | EU/EEA (7): Austria, Cyprus, Estonia, Lithuania + 3 more</t>
  </si>
  <si>
    <t xml:space="preserve">Melphalan; Melphalan Accord</t>
  </si>
  <si>
    <t xml:space="preserve">50 mg/1 mL vial; 50 mg powder vial</t>
  </si>
  <si>
    <t xml:space="preserve">Methotrexate; Methotrexate Subcutaneous; Methotrexate Intas</t>
  </si>
  <si>
    <t xml:space="preserve">50 mg/2 mL vial; 500 mg/20 mL vial; 1000 mg/40 mL vial; 10 mg/0.2 mL pre-filled syringe (+2 more)</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</si>
  <si>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</si>
  <si>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</si>
  <si>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Midazolam</t>
  </si>
  <si>
    <t xml:space="preserve">Midazolam Accord; Intas Midazolam</t>
  </si>
  <si>
    <t xml:space="preserve">Anaesthesia: sedation for procedures and ICU, anaesthesia induction, seizures</t>
  </si>
  <si>
    <t xml:space="preserve">Ampoule, Prefilled syringe</t>
  </si>
  <si>
    <t xml:space="preserve">50 mg/10 mL pre-filled syringe; 5 mg/5 mL pre-filled syringe; 15 mg/3 mL ampoule</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</si>
  <si>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</si>
  <si>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</si>
  <si>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https://dailymed.nlm.nih.gov/dailymed/search.cfm?labeltype=all&amp;query=midazolam+injection</t>
  </si>
  <si>
    <t xml:space="preserve">Mitomycin; Mitomicina Accord</t>
  </si>
  <si>
    <t xml:space="preserve">40 mg powder vial; 10 mg powder vial; 20 mg vial</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</si>
  <si>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</si>
  <si>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</si>
  <si>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</si>
  <si>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Mitoxantron Accord</t>
  </si>
  <si>
    <t xml:space="preserve">Oncology and neurology: acute myeloid leukaemia, prostate cancer, multiple sclerosis</t>
  </si>
  <si>
    <t xml:space="preserve">UK-NI, FR, NL</t>
  </si>
  <si>
    <t xml:space="preserve">UK-NI | EU/EEA (3): France, Netherlands, Spain</t>
  </si>
  <si>
    <t xml:space="preserve">https://dailymed.nlm.nih.gov/dailymed/search.cfm?labeltype=all&amp;query=mitoxantrone</t>
  </si>
  <si>
    <t xml:space="preserve">Naloxone Hydrochloride; Naloxone</t>
  </si>
  <si>
    <t xml:space="preserve">0.4 mg/mL (container not stated); 1 mg/mL (container not stated); 400 mcg/mL pre-filled syringe</t>
  </si>
  <si>
    <t xml:space="preserve">US, UK, UK-NI | EU/EEA (12): Germany, France, Netherlands, Austria, Czech Republic, Denmark, Finland, Ireland, Italy, Norway, Portugal, Sweden</t>
  </si>
  <si>
    <t xml:space="preserve">US, UK, UK-NI | EU/EEA (12): Germany, France, Netherlands, Austria + 8 more</t>
  </si>
  <si>
    <t xml:space="preserve">Ondansetron Hydrochloride; Ondansetron; Ondansetron Accord</t>
  </si>
  <si>
    <t xml:space="preserve">Vial, Ampoule, Prefilled syringe</t>
  </si>
  <si>
    <t xml:space="preserve">40 mg/20 mL vial; 8 mg/4 mL pre-filled syringe; 4 mg/2 mL ampoule; 4 mg/2 mL pre-filled syringe</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</si>
  <si>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</si>
  <si>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</si>
  <si>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Paclitaxel</t>
  </si>
  <si>
    <t xml:space="preserve">Oncology: breast, ovarian and lung cancers</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</si>
  <si>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</si>
  <si>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</si>
  <si>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</si>
  <si>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https://dailymed.nlm.nih.gov/dailymed/search.cfm?labeltype=all&amp;query=paclitaxel</t>
  </si>
  <si>
    <t xml:space="preserve">Palonosetron Accord; Palcita</t>
  </si>
  <si>
    <t xml:space="preserve">250 mcg/6 mL vial; 250 mcg/5 mL vial; 0.25 mg/5 mL vial</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</si>
  <si>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</si>
  <si>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</si>
  <si>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Pantoprazole; Pantoprazol Accord</t>
  </si>
  <si>
    <t xml:space="preserve">UK, UK-NI, NL, BE</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</si>
  <si>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</si>
  <si>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</si>
  <si>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</si>
  <si>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</si>
  <si>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0.005 mg/1 mL vial; 0.01 mg/2 mL vial</t>
  </si>
  <si>
    <t xml:space="preserve">US, DE, NL</t>
  </si>
  <si>
    <t xml:space="preserve">US | EU/EEA (5): Germany, Netherlands, Czech Republic, Finland, Portugal</t>
  </si>
  <si>
    <t xml:space="preserve">https://dailymed.nlm.nih.gov/dailymed/search.cfm?labeltype=all&amp;query=paricalcitol+injection</t>
  </si>
  <si>
    <t xml:space="preserve">Pegfilgrastim</t>
  </si>
  <si>
    <t xml:space="preserve">Pelgraz</t>
  </si>
  <si>
    <t xml:space="preserve">Oncology support: prevents low white cell counts after chemotherapy</t>
  </si>
  <si>
    <t xml:space="preserve">6 mg/0.6 mL pre-filled syringe</t>
  </si>
  <si>
    <t xml:space="preserve">https://dailymed.nlm.nih.gov/dailymed/search.cfm?labeltype=all&amp;query=pegfilgrastim</t>
  </si>
  <si>
    <t xml:space="preserve">Phenylephrine Accord; Phenylcord</t>
  </si>
  <si>
    <t xml:space="preserve">10 mg/1 mL vial; 100 mg/10 mL vial</t>
  </si>
  <si>
    <t xml:space="preserve">Phenytoin</t>
  </si>
  <si>
    <t xml:space="preserve">Phenytoin Accord</t>
  </si>
  <si>
    <t xml:space="preserve">Neurology: status epilepticus, seizure prevention</t>
  </si>
  <si>
    <t xml:space="preserve">100 mg/2 mL (container not stated)</t>
  </si>
  <si>
    <t xml:space="preserve">https://dailymed.nlm.nih.gov/dailymed/search.cfm?labeltype=all&amp;query=phenytoin+sodium+injection</t>
  </si>
  <si>
    <t xml:space="preserve">Plerixafor; Plerixafor Accord</t>
  </si>
  <si>
    <t xml:space="preserve">50 mg/mL (container not stated)</t>
  </si>
  <si>
    <t xml:space="preserve">Ranibizumab</t>
  </si>
  <si>
    <t xml:space="preserve">Fovlussea</t>
  </si>
  <si>
    <t xml:space="preserve">Ophthalmology: wet macular degeneration, diabetic macular oedema, retinal vein occlusion</t>
  </si>
  <si>
    <t xml:space="preserve">2.3 mg/0.23 mL vial</t>
  </si>
  <si>
    <t xml:space="preserve">UK</t>
  </si>
  <si>
    <t xml:space="preserve">https://dailymed.nlm.nih.gov/dailymed/search.cfm?labeltype=all&amp;query=ranibizumab</t>
  </si>
  <si>
    <t xml:space="preserve">Rocuronio Accord</t>
  </si>
  <si>
    <t xml:space="preserve">50 mg/5 mL ampoule</t>
  </si>
  <si>
    <t xml:space="preserve">UK-NI | EU/EEA (11): Germany, Netherlands, Austria, Czech Republic, Denmark, Finland, Ireland, Italy, Norway, Portugal, Sweden</t>
  </si>
  <si>
    <t xml:space="preserve">UK-NI | EU/EEA (11): Germany, Netherlands, Austria, Czech Republic + 7 more</t>
  </si>
  <si>
    <t xml:space="preserve">Suxamethonium Intas</t>
  </si>
  <si>
    <t xml:space="preserve">100 mg/2 mL pre-filled syringe</t>
  </si>
  <si>
    <t xml:space="preserve">Sugammadex; Sugammadex Accord</t>
  </si>
  <si>
    <t xml:space="preserve">100 mg/mL vial; 200 mg/2 mL vial; 500 mg/5 mL vial</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</si>
  <si>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</si>
  <si>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</si>
  <si>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Teicoplanina Accord</t>
  </si>
  <si>
    <t xml:space="preserve">200 mg powder vial</t>
  </si>
  <si>
    <t xml:space="preserve">EU/EEA (3): Austria, Portugal, Spain</t>
  </si>
  <si>
    <t xml:space="preserve">Tigecycline</t>
  </si>
  <si>
    <t xml:space="preserve">Tigecycline Accord</t>
  </si>
  <si>
    <t xml:space="preserve">Anti-infective: complicated skin and abdominal infections, drug-resistant bacteria</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</si>
  <si>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</si>
  <si>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</si>
  <si>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https://dailymed.nlm.nih.gov/dailymed/search.cfm?labeltype=all&amp;query=tigecycline</t>
  </si>
  <si>
    <t xml:space="preserve">Ustekinumab</t>
  </si>
  <si>
    <t xml:space="preserve">Imuldosa</t>
  </si>
  <si>
    <t xml:space="preserve">Immunology: psoriasis, psoriatic arthritis, Crohn's disease, ulcerative colitis</t>
  </si>
  <si>
    <t xml:space="preserve">45 mg/0.5 mL pre-filled syringe</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</si>
  <si>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</si>
  <si>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</si>
  <si>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https://dailymed.nlm.nih.gov/dailymed/search.cfm?labeltype=all&amp;query=ustekinumab</t>
  </si>
  <si>
    <t xml:space="preserve">Vincristine</t>
  </si>
  <si>
    <t xml:space="preserve">Accord-Vincristine</t>
  </si>
  <si>
    <t xml:space="preserve">Oncology: acute lymphoblastic leukaemia, lymphomas, childhood tumours</t>
  </si>
  <si>
    <t xml:space="preserve">2 mg/2 mL vial</t>
  </si>
  <si>
    <t xml:space="preserve">https://dailymed.nlm.nih.gov/dailymed/search.cfm?labeltype=all&amp;query=vincristine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</si>
  <si>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</si>
  <si>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</si>
  <si>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</si>
  <si>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Alfentanil</t>
  </si>
  <si>
    <t xml:space="preserve">Alfentanil GH</t>
  </si>
  <si>
    <t xml:space="preserve">Anaesthesia: short-acting opioid pain relief during surgery</t>
  </si>
  <si>
    <t xml:space="preserve">5 mg/10 mL ampoule</t>
  </si>
  <si>
    <t xml:space="preserve">https://dailymed.nlm.nih.gov/dailymed/search.cfm?labeltype=all&amp;query=alfentanil</t>
  </si>
  <si>
    <t xml:space="preserve">Cefazolin</t>
  </si>
  <si>
    <t xml:space="preserve">Cefazolin SXP</t>
  </si>
  <si>
    <t xml:space="preserve">Anti-infective: surgical infection prevention, staphylococcal infections</t>
  </si>
  <si>
    <t xml:space="preserve">1000 mg powder vial</t>
  </si>
  <si>
    <t xml:space="preserve">https://dailymed.nlm.nih.gov/dailymed/search.cfm?labeltype=all&amp;query=cefazolin</t>
  </si>
  <si>
    <t xml:space="preserve">Cisatracurium AJS</t>
  </si>
  <si>
    <t xml:space="preserve">10 mg/5 mL vial; 150 mg/30 mL vial</t>
  </si>
  <si>
    <t xml:space="preserve">Daptomycin Lupin</t>
  </si>
  <si>
    <t xml:space="preserve">10 mg/2 mL (container not stated)</t>
  </si>
  <si>
    <t xml:space="preserve">Droperidol</t>
  </si>
  <si>
    <t xml:space="preserve">Droperidol Lupin; Droperidol AJS</t>
  </si>
  <si>
    <t xml:space="preserve">Anaesthesia: post-operative nausea and vomiting</t>
  </si>
  <si>
    <t xml:space="preserve">2.5 mg/1 mL ampoule; 5 mg/2 mL ampoule</t>
  </si>
  <si>
    <t xml:space="preserve">https://dailymed.nlm.nih.gov/dailymed/search.cfm?labeltype=all&amp;query=droperidol</t>
  </si>
  <si>
    <t xml:space="preserve">Elemental Iron</t>
  </si>
  <si>
    <t xml:space="preserve">Sucrofer</t>
  </si>
  <si>
    <t xml:space="preserve">Haematology and nephrology: IV iron for iron-deficiency anaemia</t>
  </si>
  <si>
    <t xml:space="preserve">100 mg/5 mL vial</t>
  </si>
  <si>
    <t xml:space="preserve">https://dailymed.nlm.nih.gov/dailymed/search.cfm?labeltype=all&amp;query=iron+sucrose</t>
  </si>
  <si>
    <t xml:space="preserve">Ephedrine Hydrochloride AJS</t>
  </si>
  <si>
    <t xml:space="preserve">30 mg/mL ampoule</t>
  </si>
  <si>
    <t xml:space="preserve">Invabex</t>
  </si>
  <si>
    <t xml:space="preserve">1 g in 20 mL powder vial</t>
  </si>
  <si>
    <t xml:space="preserve">Famotidine</t>
  </si>
  <si>
    <t xml:space="preserve">Gastroenterology: ulcers, acid reflux, excess acid secretion</t>
  </si>
  <si>
    <t xml:space="preserve">https://dailymed.nlm.nih.gov/dailymed/search.cfm?labeltype=all&amp;query=famotidine+injection</t>
  </si>
  <si>
    <t xml:space="preserve">Fentanyl</t>
  </si>
  <si>
    <t xml:space="preserve">Fentanyl GH</t>
  </si>
  <si>
    <t xml:space="preserve">Anaesthesia and pain: opioid pain relief in surgery and ICU</t>
  </si>
  <si>
    <t xml:space="preserve">500 mcg/10 mL ampoule; 100 mcg/2 mL ampoule</t>
  </si>
  <si>
    <t xml:space="preserve">https://dailymed.nlm.nih.gov/dailymed/search.cfm?labeltype=all&amp;query=fentanyl+citrate+injection</t>
  </si>
  <si>
    <t xml:space="preserve">Meropenem GH; Meroject</t>
  </si>
  <si>
    <t xml:space="preserve">500 mg powder vial; 1 g powder vial; 1000 mg/30 mL powder vial</t>
  </si>
  <si>
    <t xml:space="preserve">Milrinone GH</t>
  </si>
  <si>
    <t xml:space="preserve">10 mg/10 mL ampoule</t>
  </si>
  <si>
    <t xml:space="preserve">Olanzapine</t>
  </si>
  <si>
    <t xml:space="preserve">Olanzapine GH IM</t>
  </si>
  <si>
    <t xml:space="preserve">Psychiatry: acute agitation in schizophrenia and bipolar mania</t>
  </si>
  <si>
    <t xml:space="preserve">10 mg powder vial</t>
  </si>
  <si>
    <t xml:space="preserve">https://dailymed.nlm.nih.gov/dailymed/search.cfm?labeltype=all&amp;query=olanzapine+for+injection</t>
  </si>
  <si>
    <t xml:space="preserve">Oxytocin</t>
  </si>
  <si>
    <t xml:space="preserve">Oxytocin GH</t>
  </si>
  <si>
    <t xml:space="preserve">Women's health: labour induction, postpartum haemorrhage</t>
  </si>
  <si>
    <t xml:space="preserve">10 IU/1 mL ampoule</t>
  </si>
  <si>
    <t xml:space="preserve">https://dailymed.nlm.nih.gov/dailymed/search.cfm?labeltype=all&amp;query=oxytocin</t>
  </si>
  <si>
    <t xml:space="preserve">Altirem IV</t>
  </si>
  <si>
    <t xml:space="preserve">10 mg/5 mL powder vial; 50 mg/10 mL powder vial</t>
  </si>
  <si>
    <t xml:space="preserve">Sugammadex Sodium; Sugammadex Lupin; Sugammadex LAPL</t>
  </si>
  <si>
    <t xml:space="preserve">Teicoplanin SXP; Dyna Teicoplanin; Teicoplanin PD</t>
  </si>
  <si>
    <t xml:space="preserve">400 mg powder vial; 200 mg in 20 mL powder vial; 400 mg in 20 mL powder vial</t>
  </si>
  <si>
    <t xml:space="preserve">Testosterone PD</t>
  </si>
  <si>
    <t xml:space="preserve">Bortezomib; Bortezomib MSN Laboratories Europe; MSN-Bortezomib</t>
  </si>
  <si>
    <t xml:space="preserve">US, UK, Australia, UK-NI | EU/EEA (1): Ireland</t>
  </si>
  <si>
    <t xml:space="preserve">MSN Laboratories</t>
  </si>
  <si>
    <t xml:space="preserve">Gadobutrol</t>
  </si>
  <si>
    <t xml:space="preserve">Gadobutrol; Gadobutrol MSN Laboratories Europe</t>
  </si>
  <si>
    <t xml:space="preserve">Diagnostics: MRI contrast agent</t>
  </si>
  <si>
    <t xml:space="preserve">2 mmol/2 mL vial; 1 mmol/mL (container not stated)</t>
  </si>
  <si>
    <t xml:space="preserve">https://dailymed.nlm.nih.gov/dailymed/search.cfm?labeltype=all&amp;query=gadobutrol</t>
  </si>
  <si>
    <t xml:space="preserve">US | EU/EEA (8): Bulgaria, Croatia, Czech Republic, Hungary, Ireland, Poland, Romania, Slovakia</t>
  </si>
  <si>
    <t xml:space="preserve">US | EU/EEA (8): Bulgaria, Croatia, Czech Republic, Hungary + 4 more</t>
  </si>
  <si>
    <t xml:space="preserve">Sugammadex Sodium; Sugammadex; Sugammadex MSN</t>
  </si>
  <si>
    <t xml:space="preserve">US, UK</t>
  </si>
  <si>
    <t xml:space="preserve">US, UK, Australia | EU/EEA (8): Croatia, Cyprus, Estonia, Ireland, Latvia, Lithuania, Poland, Slovenia</t>
  </si>
  <si>
    <t xml:space="preserve">US, UK, Australia | EU/EEA (8): Croatia, Cyprus, Estonia, Ireland + 4 more</t>
  </si>
  <si>
    <t xml:space="preserve">Caffeine</t>
  </si>
  <si>
    <t xml:space="preserve">Caffeine Citrate Brown &amp; Burk</t>
  </si>
  <si>
    <t xml:space="preserve">Neonatology: breathing pauses in premature babies</t>
  </si>
  <si>
    <t xml:space="preserve">60 mg caffeine citrate/3 mL vial</t>
  </si>
  <si>
    <t xml:space="preserve">https://dailymed.nlm.nih.gov/dailymed/search.cfm?labeltype=all&amp;query=caffeine+citrate</t>
  </si>
  <si>
    <t xml:space="preserve">Cyclizine</t>
  </si>
  <si>
    <t xml:space="preserve">Cyclact</t>
  </si>
  <si>
    <t xml:space="preserve">Gastroenterology: nausea and vomiting after surgery or with opioids</t>
  </si>
  <si>
    <t xml:space="preserve">50 mg/1 mL ampoule</t>
  </si>
  <si>
    <t xml:space="preserve">Australia, UK-NI</t>
  </si>
  <si>
    <t xml:space="preserve">https://mhraproducts4853.blob.core.windows.net/docs/925bc4c8a8d4a507b955b633951acf444692f0ea</t>
  </si>
  <si>
    <t xml:space="preserve">Diphenhydramine</t>
  </si>
  <si>
    <t xml:space="preserve">Diphenhydramine Hydrochloride</t>
  </si>
  <si>
    <t xml:space="preserve">Allergy: acute allergic reactions, drug-induced dystonia</t>
  </si>
  <si>
    <t xml:space="preserve">https://dailymed.nlm.nih.gov/dailymed/search.cfm?labeltype=all&amp;query=diphenhydramine+injection</t>
  </si>
  <si>
    <t xml:space="preserve">Isoproterenol Hydrochloride; Isoprika</t>
  </si>
  <si>
    <t xml:space="preserve">Levetiracetam</t>
  </si>
  <si>
    <t xml:space="preserve">Levetiracetam WP</t>
  </si>
  <si>
    <t xml:space="preserve">Neurology: epilepsy and status epilepticus when oral treatment is not possible</t>
  </si>
  <si>
    <t xml:space="preserve">500 mg/5 mL vial</t>
  </si>
  <si>
    <t xml:space="preserve">Australia | EU/EEA (2): Germany, Luxembourg</t>
  </si>
  <si>
    <t xml:space="preserve">https://dailymed.nlm.nih.gov/dailymed/search.cfm?labeltype=all&amp;query=levetiracetam+injection</t>
  </si>
  <si>
    <t xml:space="preserve">Lincomycin</t>
  </si>
  <si>
    <t xml:space="preserve">Lincomycin Hydrochloride</t>
  </si>
  <si>
    <t xml:space="preserve">Anti-infective: serious Gram-positive infections in penicillin-allergic patients</t>
  </si>
  <si>
    <t xml:space="preserve">600 mg/2 mL vial</t>
  </si>
  <si>
    <t xml:space="preserve">https://dailymed.nlm.nih.gov/dailymed/search.cfm?labeltype=all&amp;query=lincomycin</t>
  </si>
  <si>
    <t xml:space="preserve">5 mg/2 mL vial; 10 mg/4 mL vial</t>
  </si>
  <si>
    <t xml:space="preserve">Bupivacaine Hydrochloride</t>
  </si>
  <si>
    <t xml:space="preserve">0.25% in 10 mL vial; 0.5% in 30 mL vial</t>
  </si>
  <si>
    <t xml:space="preserve">OneSource Specialty Pharma</t>
  </si>
  <si>
    <t xml:space="preserve">Meropenem Steriscience</t>
  </si>
  <si>
    <t xml:space="preserve">500 mg powder vial; 2 g powder vial</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</si>
  <si>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</si>
  <si>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</si>
  <si>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Methohexital</t>
  </si>
  <si>
    <t xml:space="preserve">Methohexital Sodium</t>
  </si>
  <si>
    <t xml:space="preserve">Anaesthesia: short procedures and electroconvulsive therapy</t>
  </si>
  <si>
    <t xml:space="preserve">500 mg vial</t>
  </si>
  <si>
    <t xml:space="preserve">https://dailymed.nlm.nih.gov/dailymed/search.cfm?labeltype=all&amp;query=methohexital</t>
  </si>
  <si>
    <t xml:space="preserve">Rapifen; Alfentanil Piramal</t>
  </si>
  <si>
    <t xml:space="preserve">2 mL ampoule; 5 mg/10 mL ampoule; 1 mg/2 mL ampoule</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</si>
  <si>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</si>
  <si>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</si>
  <si>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Piramal Pharma</t>
  </si>
  <si>
    <t xml:space="preserve">Baclofen</t>
  </si>
  <si>
    <t xml:space="preserve">Gablofen</t>
  </si>
  <si>
    <t xml:space="preserve">Neurology: severe spasticity via intrathecal pump</t>
  </si>
  <si>
    <t xml:space="preserve">0.05 mg/1 mL pre-filled syringe; 2 mg/mL pre-filled syringe</t>
  </si>
  <si>
    <t xml:space="preserve">US, UK, UK-NI | EU/EEA (6): Germany, France, Netherlands, Belgium, Denmark, Sweden</t>
  </si>
  <si>
    <t xml:space="preserve">https://dailymed.nlm.nih.gov/dailymed/search.cfm?labeltype=all&amp;query=baclofen</t>
  </si>
  <si>
    <t xml:space="preserve">Cisatracurium Besylate</t>
  </si>
  <si>
    <t xml:space="preserve">10 mg/5 mL vial; 200 mg/20 mL vial</t>
  </si>
  <si>
    <t xml:space="preserve">Etomidate</t>
  </si>
  <si>
    <t xml:space="preserve">Hypnomidate</t>
  </si>
  <si>
    <t xml:space="preserve">Anaesthesia: induction of general anaesthesia in unstable patients</t>
  </si>
  <si>
    <t xml:space="preserve">20 mg/10 mL ampoule</t>
  </si>
  <si>
    <t xml:space="preserve">South Africa, UK-NI | EU/EEA (10): Germany, France, Netherlands, Belgium, Austria, Croatia, Czech Republic, Luxembourg, Poland, Spain</t>
  </si>
  <si>
    <t xml:space="preserve">South Africa, UK-NI | EU/EEA (10): Germany, France, Netherlands, Belgium + 6 more</t>
  </si>
  <si>
    <t xml:space="preserve">https://dailymed.nlm.nih.gov/dailymed/search.cfm?labeltype=all&amp;query=etomidate</t>
  </si>
  <si>
    <t xml:space="preserve">Sublimaze</t>
  </si>
  <si>
    <t xml:space="preserve">100 mcg/2 mL ampoule; 500 mcg/10 mL ampoule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</si>
  <si>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</si>
  <si>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</si>
  <si>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Remifentanil Piramal</t>
  </si>
  <si>
    <t xml:space="preserve">1 mg (container not stated)</t>
  </si>
  <si>
    <t xml:space="preserve">Sugammadex; Sugammadex Piramal</t>
  </si>
  <si>
    <t xml:space="preserve">Bindozef</t>
  </si>
  <si>
    <t xml:space="preserve">Strides Pharma Science</t>
  </si>
  <si>
    <t xml:space="preserve">Zetaf</t>
  </si>
  <si>
    <t xml:space="preserve">2 g powder vial; 1 g powder vial</t>
  </si>
  <si>
    <t xml:space="preserve">Cortaject</t>
  </si>
  <si>
    <t xml:space="preserve">Meropenem; Meropenem Strides Pharma</t>
  </si>
  <si>
    <t xml:space="preserve">Piperacillin + Tazobactam</t>
  </si>
  <si>
    <t xml:space="preserve">Auro Piptaz; Auro-Piptaz</t>
  </si>
  <si>
    <t xml:space="preserve">Anti-infective: broad-spectrum hospital infections including pneumonia and sepsis</t>
  </si>
  <si>
    <t xml:space="preserve">2 g + 250 mg powder vial; 4 g + 500 mg powder vial</t>
  </si>
  <si>
    <t xml:space="preserve">https://dailymed.nlm.nih.gov/dailymed/search.cfm?labeltype=all&amp;query=piperacillin+and+tazobactam</t>
  </si>
  <si>
    <t xml:space="preserve">Aripiprazole; Aripena</t>
  </si>
  <si>
    <t xml:space="preserve">Psychiatry: long-acting injection for schizophrenia and bipolar disorder</t>
  </si>
  <si>
    <t xml:space="preserve">300 mg powder vial; 400 mg powder vial</t>
  </si>
  <si>
    <t xml:space="preserve">UK, Australia</t>
  </si>
  <si>
    <t xml:space="preserve">https://dailymed.nlm.nih.gov/dailymed/search.cfm?labeltype=all&amp;query=aripiprazole</t>
  </si>
  <si>
    <t xml:space="preserve">Bortezomib Sun; Taro-Bortezomib; Botigen</t>
  </si>
  <si>
    <t xml:space="preserve">3.5 mg powder vial; 3.5 mg/10 mL vial; 3.5 mg in 10 mL powder vial</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</si>
  <si>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</si>
  <si>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</si>
  <si>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Chlorothiazide</t>
  </si>
  <si>
    <t xml:space="preserve">Chlorothiazide Sodium</t>
  </si>
  <si>
    <t xml:space="preserve">Cardiovascular and renal: IV diuretic for oedema</t>
  </si>
  <si>
    <t xml:space="preserve">500 mg in 18 mL powder vial</t>
  </si>
  <si>
    <t xml:space="preserve">https://dailymed.nlm.nih.gov/dailymed/search.cfm?labeltype=all&amp;query=chlorothiazide</t>
  </si>
  <si>
    <t xml:space="preserve">Doxorubicin Hydrochloride</t>
  </si>
  <si>
    <t xml:space="preserve">US, UK-NI</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</si>
  <si>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</si>
  <si>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</si>
  <si>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</si>
  <si>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Fulvestrant Sun</t>
  </si>
  <si>
    <t xml:space="preserve">UK, UK-NI | EU/EEA (5): Netherlands, Poland, Romania, Spain, Sweden</t>
  </si>
  <si>
    <t xml:space="preserve">Melfalan Sun; Taro-Melphalan</t>
  </si>
  <si>
    <t xml:space="preserve">UK-NI, FR, NL, CA</t>
  </si>
  <si>
    <t xml:space="preserve">Canada, UK-NI | EU/EEA (7): France, Netherlands, Austria, Denmark, Italy, Norway, Sweden</t>
  </si>
  <si>
    <t xml:space="preserve">Canada, UK-NI | EU/EEA (7): France, Netherlands, Austria, Denmark + 3 more</t>
  </si>
  <si>
    <t xml:space="preserve">Meropenem; Meropenem Basics; Meropenem Ranbaxy (+2 more)</t>
  </si>
  <si>
    <t xml:space="preserve">500 mg powder vial; 500 mg/30 mL vial; 1 g/40 mL vial; 1 g powder vial (+1 more)</t>
  </si>
  <si>
    <t xml:space="preserve">UK, UK-NI, DE, NL, CA</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</si>
  <si>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</si>
  <si>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</si>
  <si>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Octreotide</t>
  </si>
  <si>
    <t xml:space="preserve">Octreotide Sun</t>
  </si>
  <si>
    <t xml:space="preserve">Endocrinology and oncology: acromegaly, carcinoid and neuroendocrine tumours</t>
  </si>
  <si>
    <t xml:space="preserve">500 mcg/1 mL ampoule</t>
  </si>
  <si>
    <t xml:space="preserve">Australia, UK-NI | EU/EEA (5): Germany, Denmark, Italy, Spain, Sweden</t>
  </si>
  <si>
    <t xml:space="preserve">https://dailymed.nlm.nih.gov/dailymed/search.cfm?labeltype=all&amp;query=octreotide</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</si>
  <si>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</si>
  <si>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</si>
  <si>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</si>
  <si>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Paricalcitol Sun</t>
  </si>
  <si>
    <t xml:space="preserve">2 mcg/1 mL vial</t>
  </si>
  <si>
    <t xml:space="preserve">EU/EEA (2): Germany, Spain</t>
  </si>
  <si>
    <t xml:space="preserve">Sugammadex Sodium; Sugammadex Sun; Sumabid IV</t>
  </si>
  <si>
    <t xml:space="preserve">US, UK, UK-NI, NL</t>
  </si>
  <si>
    <t xml:space="preserve">US, UK, South Africa, UK-NI | EU/EEA (3): Netherlands, Poland, Romania</t>
  </si>
  <si>
    <t xml:space="preserve">Teicoplanin; Teicoplanin Ranbaxy</t>
  </si>
  <si>
    <t xml:space="preserve">400 mg/20 mL vial; 400 mg powder vial</t>
  </si>
  <si>
    <t xml:space="preserve">UK, UK-NI | EU/EEA (2): Netherlands, Italy</t>
  </si>
  <si>
    <t xml:space="preserve">Terlipressin</t>
  </si>
  <si>
    <t xml:space="preserve">Terlipressin Acetate Sun; Terlipresina Sun</t>
  </si>
  <si>
    <t xml:space="preserve">Hepatology: hepatorenal syndrome, variceal bleeding</t>
  </si>
  <si>
    <t xml:space="preserve">1.02 mg/8.5 mL ampoule; 850 mcg/8.5 mL ampoule</t>
  </si>
  <si>
    <t xml:space="preserve">UK, UK-NI | EU/EEA (9): Germany, France, Netherlands, Denmark, Finland, Italy, Poland, Spain, Sweden</t>
  </si>
  <si>
    <t xml:space="preserve">UK, UK-NI | EU/EEA (9): Germany, France, Netherlands, Denmark + 5 more</t>
  </si>
  <si>
    <t xml:space="preserve">https://dailymed.nlm.nih.gov/dailymed/search.cfm?labeltype=all&amp;query=terlipressin</t>
  </si>
  <si>
    <t xml:space="preserve">Taro-Testosterone Cypionate</t>
  </si>
  <si>
    <t xml:space="preserve">Testosterone; Testosteron Basics; Testosterone Sun</t>
  </si>
  <si>
    <t xml:space="preserve">UK, DE, FR, NL</t>
  </si>
  <si>
    <t xml:space="preserve">UK, Australia | EU/EEA (10): Germany, France, Netherlands, Finland, Hungary, Italy, Norway, Slovakia, Spain, Sweden</t>
  </si>
  <si>
    <t xml:space="preserve">UK, Australia | EU/EEA (10): Germany, France, Netherlands, Finland + 6 more</t>
  </si>
  <si>
    <t xml:space="preserve">Vecuronium Sun; Muscuron</t>
  </si>
  <si>
    <t xml:space="preserve">10 mg/10 mL vial; 10 mg powder vial; 4 mg/2 mL powder vial</t>
  </si>
  <si>
    <t xml:space="preserve">UK, Australia, South Africa, UK-NI | EU/EEA (1): Netherlands</t>
  </si>
  <si>
    <t xml:space="preserve">Fulvestrant Heumann</t>
  </si>
  <si>
    <t xml:space="preserve">Torrent Pharmaceuticals</t>
  </si>
  <si>
    <t xml:space="preserve">Granisetron</t>
  </si>
  <si>
    <t xml:space="preserve">Granisetron; Granisetron Torrent Pharma</t>
  </si>
  <si>
    <t xml:space="preserve">3 mg/3 mL ampoule</t>
  </si>
  <si>
    <t xml:space="preserve">https://dailymed.nlm.nih.gov/dailymed/search.cfm?labeltype=all&amp;query=granisetron</t>
  </si>
  <si>
    <t xml:space="preserve">Levetiracetam Heumann</t>
  </si>
  <si>
    <t xml:space="preserve">Meropenem Heumann</t>
  </si>
  <si>
    <t xml:space="preserve">Paliperidone</t>
  </si>
  <si>
    <t xml:space="preserve">Paliperidon Heumann</t>
  </si>
  <si>
    <t xml:space="preserve">Psychiatry: long-acting injection for schizophrenia</t>
  </si>
  <si>
    <t xml:space="preserve">50 mg/0.5 mL pre-filled syringe</t>
  </si>
  <si>
    <t xml:space="preserve">EU/EEA (2): Germany, Sweden</t>
  </si>
  <si>
    <t xml:space="preserve">https://dailymed.nlm.nih.gov/dailymed/search.cfm?labeltype=all&amp;query=paliperidone+palmitate</t>
  </si>
  <si>
    <t xml:space="preserve">Rocuronium IV Biotech</t>
  </si>
  <si>
    <t xml:space="preserve">Voriconazole</t>
  </si>
  <si>
    <t xml:space="preserve">Voriconazol Heumann</t>
  </si>
  <si>
    <t xml:space="preserve">Anti-infective: invasive aspergillosis and other serious fungal infections</t>
  </si>
  <si>
    <t xml:space="preserve">https://dailymed.nlm.nih.gov/dailymed/search.cfm?labeltype=all&amp;query=voriconazole</t>
  </si>
  <si>
    <t xml:space="preserve">Bleomycin Venus Pharma</t>
  </si>
  <si>
    <t xml:space="preserve">Ceftazidime Venus Pharma</t>
  </si>
  <si>
    <t xml:space="preserve">2 g vial</t>
  </si>
  <si>
    <t xml:space="preserve">2 g powder vial</t>
  </si>
  <si>
    <t xml:space="preserve">Meropenem Venus Pharma; Meropenem Venus</t>
  </si>
  <si>
    <t xml:space="preserve">UK, UK-NI | EU/EEA (8): Germany, France, Netherlands, Belgium, Cyprus, Ireland, Italy, Spain</t>
  </si>
  <si>
    <t xml:space="preserve">UK, UK-NI | EU/EEA (8): Germany, France, Netherlands, Belgium + 4 more</t>
  </si>
  <si>
    <t xml:space="preserve">Adenosine</t>
  </si>
  <si>
    <t xml:space="preserve">Adenosine; Adenosine Wockhardt</t>
  </si>
  <si>
    <t xml:space="preserve">Cardiovascular: rapid heart rhythm conversion, cardiac stress imaging</t>
  </si>
  <si>
    <t xml:space="preserve">6 mg/2 mL vial</t>
  </si>
  <si>
    <t xml:space="preserve">https://dailymed.nlm.nih.gov/dailymed/search.cfm?labeltype=all&amp;query=adenosine</t>
  </si>
  <si>
    <t xml:space="preserve">Amikacin Wockhardt</t>
  </si>
  <si>
    <t xml:space="preserve">Caffeine Citrate</t>
  </si>
  <si>
    <t xml:space="preserve">10 mg/1 mL ampoule; 10 mg/mL (container not stated)</t>
  </si>
  <si>
    <t xml:space="preserve">UK, UK-NI | EU/EEA (2): Ireland, Malta</t>
  </si>
  <si>
    <t xml:space="preserve">250 mg vial; 500 mg vial; 2 g powder vial</t>
  </si>
  <si>
    <t xml:space="preserve">US, UK, UK-NI | EU/EEA (2): Ireland, Malta</t>
  </si>
  <si>
    <t xml:space="preserve">Chlorphenamine</t>
  </si>
  <si>
    <t xml:space="preserve">Allergy: anaphylaxis support, acute allergic reactions</t>
  </si>
  <si>
    <t xml:space="preserve">10 mg/1 mL ampoule</t>
  </si>
  <si>
    <t xml:space="preserve">https://mhraproducts4853.blob.core.windows.net/docs/468e5b0a68665f15d3d30982865bab14c0c28588</t>
  </si>
  <si>
    <t xml:space="preserve">Daptomycin; Daptomycin Wockhardt; Daptomycin WKT</t>
  </si>
  <si>
    <t xml:space="preserve">UK, Australia, UK-NI</t>
  </si>
  <si>
    <t xml:space="preserve">Haloperidol</t>
  </si>
  <si>
    <t xml:space="preserve">Psychiatry: acute agitation, psychosis, delirium</t>
  </si>
  <si>
    <t xml:space="preserve">5 mg/1 mL ampoule</t>
  </si>
  <si>
    <t xml:space="preserve">https://dailymed.nlm.nih.gov/dailymed/search.cfm?labeltype=all&amp;query=haloperidol+lactate</t>
  </si>
  <si>
    <t xml:space="preserve">Hyaluronidase</t>
  </si>
  <si>
    <t xml:space="preserve">Hyalase</t>
  </si>
  <si>
    <t xml:space="preserve">Anaesthesia: improves spread of injected drugs and fluids</t>
  </si>
  <si>
    <t xml:space="preserve">1500 IU powder ampoule</t>
  </si>
  <si>
    <t xml:space="preserve">UK-NI | EU/EEA (2): Ireland, Malta</t>
  </si>
  <si>
    <t xml:space="preserve">https://mhraproducts4853.blob.core.windows.net/docs/04229266643a571563250bd73f7732fba1560cbb</t>
  </si>
  <si>
    <t xml:space="preserve">Hyoscine Hydrobromide</t>
  </si>
  <si>
    <t xml:space="preserve">Palliative care and anaesthesia: reduces secretions, nausea</t>
  </si>
  <si>
    <t xml:space="preserve">600 mcg/1 mL ampoule</t>
  </si>
  <si>
    <t xml:space="preserve">https://mhraproducts4853.blob.core.windows.net/docs/a59d41ba1edb90eeb695d447eeb35327147df3f6</t>
  </si>
  <si>
    <t xml:space="preserve">Metaraminol</t>
  </si>
  <si>
    <t xml:space="preserve">Metaraminol Wockhardt</t>
  </si>
  <si>
    <t xml:space="preserve">10 mg/1 mL ampoule; 5 mg/10 mL ampoule</t>
  </si>
  <si>
    <t xml:space="preserve">https://mhraproducts4853.blob.core.windows.net/docs/a53d61c3e391300f35f11ce363395170f019a5c5</t>
  </si>
  <si>
    <t xml:space="preserve">Milrinone; Milrinone Wockhardt</t>
  </si>
  <si>
    <t xml:space="preserve">UK, UK-NI | EU/EEA (1): Ireland</t>
  </si>
  <si>
    <t xml:space="preserve">Morphine</t>
  </si>
  <si>
    <t xml:space="preserve">Morphine Sulfate</t>
  </si>
  <si>
    <t xml:space="preserve">Pain management: severe acute and palliative pain</t>
  </si>
  <si>
    <t xml:space="preserve">30 mg/1 mL ampoule</t>
  </si>
  <si>
    <t xml:space="preserve">https://dailymed.nlm.nih.gov/dailymed/search.cfm?labeltype=all&amp;query=morphine+sulfate+injection</t>
  </si>
  <si>
    <t xml:space="preserve">Ondansetron Wockhardt</t>
  </si>
  <si>
    <t xml:space="preserve">Protamine</t>
  </si>
  <si>
    <t xml:space="preserve">Protamine Sulfate; Prosulf</t>
  </si>
  <si>
    <t xml:space="preserve">Haematology: heparin reversal in cardiac surgery</t>
  </si>
  <si>
    <t xml:space="preserve">https://dailymed.nlm.nih.gov/dailymed/search.cfm?labeltype=all&amp;query=protamine</t>
  </si>
  <si>
    <t xml:space="preserve">Remifentanil; Remifentanil Wockhardt</t>
  </si>
  <si>
    <t xml:space="preserve">5 mg powder vial</t>
  </si>
  <si>
    <t xml:space="preserve">Sodium Valproate</t>
  </si>
  <si>
    <t xml:space="preserve">Sodium Valproate; Sodium Valproate Wockhardt</t>
  </si>
  <si>
    <t xml:space="preserve">400 mg/4 mL ampoule; 400 mg/4 mL vial; 1000 mg/10 mL ampoule</t>
  </si>
  <si>
    <t xml:space="preserve">https://dailymed.nlm.nih.gov/dailymed/search.cfm?labeltype=all&amp;query=valproate+sodium+injection</t>
  </si>
  <si>
    <t xml:space="preserve">500 mg/5 mL vial; 200 mg/2 mL ampoule</t>
  </si>
  <si>
    <t xml:space="preserve">Vancomycin</t>
  </si>
  <si>
    <t xml:space="preserve">Vancomycin Wockhardt</t>
  </si>
  <si>
    <t xml:space="preserve">https://dailymed.nlm.nih.gov/dailymed/search.cfm?labeltype=all&amp;query=vancomycin+injection</t>
  </si>
  <si>
    <t xml:space="preserve">Acetazolamide Sodium</t>
  </si>
  <si>
    <t xml:space="preserve">Zydus Lifesciences</t>
  </si>
  <si>
    <t xml:space="preserve">Bortezomib; Bortezomib Combix; Zymib</t>
  </si>
  <si>
    <t xml:space="preserve">US, UK, UK-NI, FR</t>
  </si>
  <si>
    <t xml:space="preserve">US, UK, South Africa, UK-NI | EU/EEA (2): France, Spain</t>
  </si>
  <si>
    <t xml:space="preserve">Ceftriaxone Zydus</t>
  </si>
  <si>
    <t xml:space="preserve">1 mg/1 mL vial</t>
  </si>
  <si>
    <t xml:space="preserve">Ethacrynate Sodium</t>
  </si>
  <si>
    <t xml:space="preserve">Cardiovascular and renal: loop diuretic for patients allergic to sulfa drugs</t>
  </si>
  <si>
    <t xml:space="preserve">50 mg (container not stated)</t>
  </si>
  <si>
    <t xml:space="preserve">https://dailymed.nlm.nih.gov/dailymed/search.cfm?labeltype=all&amp;query=ethacrynate+sodium</t>
  </si>
  <si>
    <t xml:space="preserve">2 mg/mL (container not stated)</t>
  </si>
  <si>
    <t xml:space="preserve">Fluorescein Sodium</t>
  </si>
  <si>
    <t xml:space="preserve">Ophthalmology: diagnostic imaging of the retina</t>
  </si>
  <si>
    <t xml:space="preserve">500 mg/5 mL vial; 500 mg/2 mL in 5 mL vial</t>
  </si>
  <si>
    <t xml:space="preserve">https://dailymed.nlm.nih.gov/dailymed/search.cfm?labeltype=all&amp;query=fluorescein</t>
  </si>
  <si>
    <t xml:space="preserve">Haloperidol Decanoate</t>
  </si>
  <si>
    <t xml:space="preserve">50 mg/1 mL vial; 100 mg/1 mL vial</t>
  </si>
  <si>
    <t xml:space="preserve">https://dailymed.nlm.nih.gov/dailymed/search.cfm?labeltype=all&amp;query=haloperidol+decanoate</t>
  </si>
  <si>
    <t xml:space="preserve">Hydrocortisone Sodium Succinate</t>
  </si>
  <si>
    <t xml:space="preserve">100 mg/2 mL vial</t>
  </si>
  <si>
    <t xml:space="preserve">Indocyanine Green</t>
  </si>
  <si>
    <t xml:space="preserve">Diagnostics: lymph node mapping in cancer surgery, cardiac output, liver function, eye imaging</t>
  </si>
  <si>
    <t xml:space="preserve">25 mg (container not stated)</t>
  </si>
  <si>
    <t xml:space="preserve">https://dailymed.nlm.nih.gov/dailymed/search.cfm?labeltype=all&amp;query=indocyanine+green</t>
  </si>
  <si>
    <t xml:space="preserve">Iron Sucrose</t>
  </si>
  <si>
    <t xml:space="preserve">Zypiron</t>
  </si>
  <si>
    <t xml:space="preserve">Haematology and nephrology: IV iron for iron-deficiency anaemia in kidney disease</t>
  </si>
  <si>
    <t xml:space="preserve">Zydus-Ondansetron</t>
  </si>
  <si>
    <t xml:space="preserve">8 mg vial</t>
  </si>
  <si>
    <t xml:space="preserve">Sugammadex Sodium</t>
  </si>
  <si>
    <t xml:space="preserve">2.5 mg/mL vial</t>
  </si>
  <si>
    <t xml:space="preserve">How the priority works: Priority 1 = price and injectable shipments both at or above their cut-offs (top-right of the 2x2). Priority 2 = one of the two at or above its cut-off. Priority 3 = both below. A pair with no price is Priority 2 if its shipments are at or above the cut-off, otherwise Priority 3. Within a company, drugs are listed by priority, then by injectable export value. Pairs are excluded if no label in the 7 geographies allows an ID, IM or SC injection, or if every price is USD 5 or less. The working columns on the far right are hidden – click the + above the column letters to show them.</t>
  </si>
  <si>
    <t xml:space="preserve">FY24 (Volza)</t>
  </si>
  <si>
    <t xml:space="preserve">FY24, HS 3002 + 3004 (Volza)</t>
  </si>
  <si>
    <t xml:space="preserve">Green columns were added by us. Columns N and P (updated price and how it was found) feed the Scoring tab; S–T come from Injectable Value; Z–AB come from Scoring (notes, priority, injectable shipments); AC–AD come from Route of Administration step 1 (drug label) and AE from step 2 (the company's own product).</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</si>
  <si>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</si>
  <si>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</si>
  <si>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</si>
  <si>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</si>
  <si>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</si>
  <si>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</si>
  <si>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</si>
  <si>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</si>
  <si>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</si>
  <si>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</si>
  <si>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</si>
  <si>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</si>
  <si>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per presentation)</t>
  </si>
  <si>
    <t xml:space="preserve">Price status</t>
  </si>
  <si>
    <t xml:space="preserve">Price source</t>
  </si>
  <si>
    <t xml:space="preserve">Price link</t>
  </si>
  <si>
    <t xml:space="preserve">Tier 1 markets</t>
  </si>
  <si>
    <t xml:space="preserve">Notes (from Scoring)</t>
  </si>
  <si>
    <t xml:space="preserve">Priority (from Scoring)</t>
  </si>
  <si>
    <t xml:space="preserve">Injectable shipments (FY24, from Scoring)</t>
  </si>
  <si>
    <t xml:space="preserve">Company's own product allows ID, IM or SC? (Route of Administration, step 2)</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</si>
  <si>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</si>
  <si>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</si>
  <si>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</si>
  <si>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</si>
  <si>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</si>
  <si>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</si>
  <si>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</si>
  <si>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</si>
  <si>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</si>
  <si>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</si>
  <si>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</si>
  <si>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</si>
  <si>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</si>
  <si>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</si>
  <si>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</si>
  <si>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</si>
  <si>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</si>
  <si>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</si>
  <si>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</si>
  <si>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</si>
  <si>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</si>
  <si>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</si>
  <si>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</si>
  <si>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</si>
  <si>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</si>
  <si>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</si>
  <si>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</si>
  <si>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</si>
  <si>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</si>
  <si>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</si>
  <si>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</si>
  <si>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</si>
  <si>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</si>
  <si>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</si>
  <si>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</si>
  <si>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</si>
  <si>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</si>
  <si>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</si>
  <si>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</si>
  <si>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</si>
  <si>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</si>
  <si>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</si>
  <si>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</si>
  <si>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</si>
  <si>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</si>
  <si>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</si>
  <si>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</si>
  <si>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</si>
  <si>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</si>
  <si>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</si>
  <si>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</si>
  <si>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</si>
  <si>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</si>
  <si>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</si>
  <si>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</si>
  <si>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</si>
  <si>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</si>
  <si>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</si>
  <si>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</si>
  <si>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</si>
  <si>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</si>
  <si>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</si>
  <si>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</si>
  <si>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</si>
  <si>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</si>
  <si>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</si>
  <si>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</si>
  <si>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</si>
  <si>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</si>
  <si>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</si>
  <si>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</si>
  <si>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</si>
  <si>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</si>
  <si>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</si>
  <si>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</si>
  <si>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</si>
  <si>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</si>
  <si>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</si>
  <si>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</si>
  <si>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</si>
  <si>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</si>
  <si>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</si>
  <si>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</si>
  <si>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</si>
  <si>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</si>
  <si>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</si>
  <si>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</si>
  <si>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</si>
  <si>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</si>
  <si>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</si>
  <si>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</si>
  <si>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</si>
  <si>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</si>
  <si>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</si>
  <si>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</si>
  <si>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</si>
  <si>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</si>
  <si>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</si>
  <si>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</si>
  <si>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</si>
  <si>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</si>
  <si>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</si>
  <si>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</si>
  <si>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</si>
  <si>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</si>
  <si>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</si>
  <si>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</si>
  <si>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</si>
  <si>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</si>
  <si>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</si>
  <si>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</si>
  <si>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</si>
  <si>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</si>
  <si>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</si>
  <si>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</si>
  <si>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</si>
  <si>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</si>
  <si>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</si>
  <si>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</si>
  <si>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</si>
  <si>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</si>
  <si>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</si>
  <si>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</si>
  <si>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</si>
  <si>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</si>
  <si>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</si>
  <si>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</si>
  <si>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</si>
  <si>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</si>
  <si>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</si>
  <si>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</si>
  <si>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</si>
  <si>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</si>
  <si>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</si>
  <si>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</si>
  <si>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</si>
  <si>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</si>
  <si>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</si>
  <si>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</si>
  <si>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</si>
  <si>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</si>
  <si>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</si>
  <si>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</si>
  <si>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</si>
  <si>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</si>
  <si>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</si>
  <si>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</si>
  <si>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</si>
  <si>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</si>
  <si>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</si>
  <si>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</si>
  <si>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</si>
  <si>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</si>
  <si>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</si>
  <si>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</si>
  <si>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</si>
  <si>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</si>
  <si>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</si>
  <si>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</si>
  <si>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</si>
  <si>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</si>
  <si>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</si>
  <si>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</si>
  <si>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</si>
  <si>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</si>
  <si>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</si>
  <si>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</si>
  <si>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</si>
  <si>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</si>
  <si>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</si>
  <si>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</si>
  <si>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</si>
  <si>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</si>
  <si>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</si>
  <si>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</si>
  <si>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</si>
  <si>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</si>
  <si>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</si>
  <si>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</si>
  <si>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</si>
  <si>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</si>
  <si>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</si>
  <si>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</si>
  <si>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</si>
  <si>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</si>
  <si>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</si>
  <si>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</si>
  <si>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</si>
  <si>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</si>
  <si>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</si>
  <si>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</si>
  <si>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</si>
  <si>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</si>
  <si>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Updated – company price found</t>
  </si>
  <si>
    <t xml:space="preserve">Germany pharmacy price, PUREN Pharma (Aurobindo group), PZN 10855501, 100 mL vial: EUR 334.74 (apomio.de price comparison, 2026 snapshots)</t>
  </si>
  <si>
    <t xml:space="preserve">https://www.apomio.de/preisvergleich/folinsaeure-aurobindo-10mg-ml-injektionsloesung-100-ml-actavis</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</si>
  <si>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</si>
  <si>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</si>
  <si>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</si>
  <si>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</si>
  <si>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</si>
  <si>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</si>
  <si>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</si>
  <si>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</si>
  <si>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</si>
  <si>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</si>
  <si>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</si>
  <si>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</si>
  <si>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</si>
  <si>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</si>
  <si>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</si>
  <si>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</si>
  <si>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</si>
  <si>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</si>
  <si>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</si>
  <si>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</si>
  <si>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</si>
  <si>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</si>
  <si>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</si>
  <si>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</si>
  <si>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</si>
  <si>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</si>
  <si>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</si>
  <si>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</si>
  <si>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</si>
  <si>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</si>
  <si>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</si>
  <si>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</si>
  <si>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</si>
  <si>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</si>
  <si>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</si>
  <si>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</si>
  <si>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</si>
  <si>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</si>
  <si>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</si>
  <si>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</si>
  <si>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</si>
  <si>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</si>
  <si>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</si>
  <si>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</si>
  <si>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</si>
  <si>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</si>
  <si>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</si>
  <si>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</si>
  <si>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</si>
  <si>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</si>
  <si>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</si>
  <si>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</si>
  <si>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</si>
  <si>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</si>
  <si>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</si>
  <si>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</si>
  <si>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</si>
  <si>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</si>
  <si>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</si>
  <si>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</si>
  <si>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</si>
  <si>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</si>
  <si>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</si>
  <si>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</si>
  <si>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</si>
  <si>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</si>
  <si>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</si>
  <si>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</si>
  <si>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</si>
  <si>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</si>
  <si>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</si>
  <si>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</si>
  <si>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</si>
  <si>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</si>
  <si>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</si>
  <si>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</si>
  <si>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</si>
  <si>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</si>
  <si>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</si>
  <si>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</si>
  <si>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</si>
  <si>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</si>
  <si>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</si>
  <si>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</si>
  <si>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</si>
  <si>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</si>
  <si>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</si>
  <si>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</si>
  <si>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</si>
  <si>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</si>
  <si>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</si>
  <si>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</si>
  <si>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</si>
  <si>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</si>
  <si>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</si>
  <si>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</si>
  <si>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</si>
  <si>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</si>
  <si>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</si>
  <si>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</si>
  <si>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</si>
  <si>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</si>
  <si>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</si>
  <si>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</si>
  <si>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</si>
  <si>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</si>
  <si>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</si>
  <si>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</si>
  <si>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</si>
  <si>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</si>
  <si>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</si>
  <si>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</si>
  <si>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</si>
  <si>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</si>
  <si>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</si>
  <si>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Germany pharmacy price, Cipla Europe NV, PZN 16821360, 1 pre-filled syringe: EUR 88.54</t>
  </si>
  <si>
    <t xml:space="preserve">https://www.aponeo.de/rx/16821360-fulvestrant-cipla-250-mg-5-ml-inj-lsg-i-e-f-sp.html</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</si>
  <si>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</si>
  <si>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</si>
  <si>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</si>
  <si>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</si>
  <si>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</si>
  <si>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</si>
  <si>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</si>
  <si>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</si>
  <si>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</si>
  <si>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</si>
  <si>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</si>
  <si>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</si>
  <si>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</si>
  <si>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</si>
  <si>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</si>
  <si>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</si>
  <si>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</si>
  <si>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</si>
  <si>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</si>
  <si>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</si>
  <si>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</si>
  <si>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</si>
  <si>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</si>
  <si>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</si>
  <si>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</si>
  <si>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</si>
  <si>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</si>
  <si>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</si>
  <si>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</si>
  <si>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</si>
  <si>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</si>
  <si>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</si>
  <si>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</si>
  <si>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</si>
  <si>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</si>
  <si>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</si>
  <si>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</si>
  <si>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</si>
  <si>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</si>
  <si>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</si>
  <si>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</si>
  <si>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</si>
  <si>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</si>
  <si>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</si>
  <si>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</si>
  <si>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</si>
  <si>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</si>
  <si>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</si>
  <si>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</si>
  <si>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</si>
  <si>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</si>
  <si>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</si>
  <si>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</si>
  <si>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</si>
  <si>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</si>
  <si>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</si>
  <si>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</si>
  <si>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</si>
  <si>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</si>
  <si>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</si>
  <si>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</si>
  <si>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</si>
  <si>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</si>
  <si>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</si>
  <si>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</si>
  <si>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</si>
  <si>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</si>
  <si>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</si>
  <si>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</si>
  <si>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</si>
  <si>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</si>
  <si>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</si>
  <si>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</si>
  <si>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</si>
  <si>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</si>
  <si>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</si>
  <si>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</si>
  <si>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</si>
  <si>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</si>
  <si>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</si>
  <si>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</si>
  <si>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</si>
  <si>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</si>
  <si>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</si>
  <si>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</si>
  <si>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</si>
  <si>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</si>
  <si>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</si>
  <si>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</si>
  <si>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</si>
  <si>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</si>
  <si>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</si>
  <si>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</si>
  <si>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</si>
  <si>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</si>
  <si>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</si>
  <si>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</si>
  <si>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</si>
  <si>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</si>
  <si>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</si>
  <si>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</si>
  <si>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</si>
  <si>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</si>
  <si>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</si>
  <si>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</si>
  <si>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</si>
  <si>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</si>
  <si>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</si>
  <si>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</si>
  <si>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</si>
  <si>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</si>
  <si>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</si>
  <si>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</si>
  <si>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</si>
  <si>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</si>
  <si>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</si>
  <si>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</si>
  <si>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</si>
  <si>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</si>
  <si>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</si>
  <si>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</si>
  <si>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</si>
  <si>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</si>
  <si>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</si>
  <si>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</si>
  <si>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</si>
  <si>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</si>
  <si>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</si>
  <si>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</si>
  <si>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</si>
  <si>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</si>
  <si>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</si>
  <si>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</si>
  <si>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</si>
  <si>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</si>
  <si>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</si>
  <si>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</si>
  <si>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</si>
  <si>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</si>
  <si>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</si>
  <si>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</si>
  <si>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</si>
  <si>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</si>
  <si>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</si>
  <si>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</si>
  <si>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</si>
  <si>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</si>
  <si>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</si>
  <si>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</si>
  <si>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</si>
  <si>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</si>
  <si>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</si>
  <si>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</si>
  <si>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</si>
  <si>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</si>
  <si>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</si>
  <si>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</si>
  <si>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</si>
  <si>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</si>
  <si>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</si>
  <si>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</si>
  <si>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</si>
  <si>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</si>
  <si>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</si>
  <si>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</si>
  <si>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</si>
  <si>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</si>
  <si>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</si>
  <si>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</si>
  <si>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</si>
  <si>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</si>
  <si>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</si>
  <si>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</si>
  <si>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</si>
  <si>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</si>
  <si>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</si>
  <si>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</si>
  <si>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</si>
  <si>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</si>
  <si>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</si>
  <si>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</si>
  <si>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</si>
  <si>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</si>
  <si>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</si>
  <si>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</si>
  <si>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</si>
  <si>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</si>
  <si>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</si>
  <si>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</si>
  <si>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</si>
  <si>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</si>
  <si>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</si>
  <si>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</si>
  <si>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</si>
  <si>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</si>
  <si>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</si>
  <si>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</si>
  <si>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</si>
  <si>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</si>
  <si>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</si>
  <si>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</si>
  <si>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</si>
  <si>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</si>
  <si>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</si>
  <si>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</si>
  <si>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</si>
  <si>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</si>
  <si>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</si>
  <si>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</si>
  <si>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</si>
  <si>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</si>
  <si>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</si>
  <si>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</si>
  <si>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</si>
  <si>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</si>
  <si>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</si>
  <si>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</si>
  <si>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</si>
  <si>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</si>
  <si>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</si>
  <si>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</si>
  <si>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</si>
  <si>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</si>
  <si>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</si>
  <si>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</si>
  <si>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</si>
  <si>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</si>
  <si>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</si>
  <si>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</si>
  <si>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</si>
  <si>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</si>
  <si>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</si>
  <si>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</si>
  <si>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</si>
  <si>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</si>
  <si>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</si>
  <si>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</si>
  <si>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</si>
  <si>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</si>
  <si>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</si>
  <si>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</si>
  <si>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</si>
  <si>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</si>
  <si>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</si>
  <si>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</si>
  <si>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</si>
  <si>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</si>
  <si>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</si>
  <si>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</si>
  <si>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Spain ex-factory price (PVL), Azacitidina Glenmark 25 mg/mL, 1 vial 100 mg (CN 732038): EUR 354.00</t>
  </si>
  <si>
    <t xml:space="preserve">https://www.vademecum.es/espana/medicamento/50229/azacitidina-glenmark-25-mg-ml-polvo-para-suspension-inyectable-efg</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</si>
  <si>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</si>
  <si>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</si>
  <si>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</si>
  <si>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</si>
  <si>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</si>
  <si>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</si>
  <si>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</si>
  <si>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</si>
  <si>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</si>
  <si>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</si>
  <si>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</si>
  <si>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</si>
  <si>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</si>
  <si>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</si>
  <si>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</si>
  <si>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</si>
  <si>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</si>
  <si>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</si>
  <si>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</si>
  <si>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</si>
  <si>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</si>
  <si>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</si>
  <si>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</si>
  <si>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</si>
  <si>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</si>
  <si>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</si>
  <si>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</si>
  <si>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</si>
  <si>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</si>
  <si>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</si>
  <si>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</si>
  <si>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</si>
  <si>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</si>
  <si>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</si>
  <si>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</si>
  <si>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</si>
  <si>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</si>
  <si>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</si>
  <si>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</si>
  <si>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</si>
  <si>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</si>
  <si>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</si>
  <si>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</si>
  <si>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</si>
  <si>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</si>
  <si>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</si>
  <si>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</si>
  <si>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</si>
  <si>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</si>
  <si>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</si>
  <si>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</si>
  <si>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</si>
  <si>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</si>
  <si>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</si>
  <si>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</si>
  <si>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</si>
  <si>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</si>
  <si>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</si>
  <si>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</si>
  <si>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</si>
  <si>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</si>
  <si>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</si>
  <si>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</si>
  <si>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</si>
  <si>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</si>
  <si>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</si>
  <si>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</si>
  <si>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</si>
  <si>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</si>
  <si>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</si>
  <si>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</si>
  <si>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</si>
  <si>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</si>
  <si>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</si>
  <si>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</si>
  <si>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</si>
  <si>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</si>
  <si>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</si>
  <si>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</si>
  <si>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</si>
  <si>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</si>
  <si>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</si>
  <si>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</si>
  <si>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</si>
  <si>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</si>
  <si>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</si>
  <si>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</si>
  <si>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</si>
  <si>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</si>
  <si>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</si>
  <si>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</si>
  <si>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</si>
  <si>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</si>
  <si>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</si>
  <si>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</si>
  <si>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</si>
  <si>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</si>
  <si>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</si>
  <si>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</si>
  <si>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</si>
  <si>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</si>
  <si>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</si>
  <si>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</si>
  <si>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</si>
  <si>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</si>
  <si>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</si>
  <si>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</si>
  <si>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</si>
  <si>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</si>
  <si>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</si>
  <si>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</si>
  <si>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</si>
  <si>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</si>
  <si>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</si>
  <si>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</si>
  <si>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</si>
  <si>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</si>
  <si>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</si>
  <si>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</si>
  <si>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</si>
  <si>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</si>
  <si>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</si>
  <si>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</si>
  <si>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</si>
  <si>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</si>
  <si>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</si>
  <si>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</si>
  <si>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</si>
  <si>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</si>
  <si>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</si>
  <si>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</si>
  <si>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</si>
  <si>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</si>
  <si>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</si>
  <si>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</si>
  <si>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</si>
  <si>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</si>
  <si>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</si>
  <si>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</si>
  <si>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</si>
  <si>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</si>
  <si>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</si>
  <si>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</si>
  <si>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</si>
  <si>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</si>
  <si>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</si>
  <si>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</si>
  <si>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</si>
  <si>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</si>
  <si>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</si>
  <si>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</si>
  <si>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</si>
  <si>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</si>
  <si>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</si>
  <si>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</si>
  <si>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</si>
  <si>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</si>
  <si>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</si>
  <si>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</si>
  <si>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</si>
  <si>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</si>
  <si>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</si>
  <si>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</si>
  <si>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</si>
  <si>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</si>
  <si>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</si>
  <si>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</si>
  <si>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</si>
  <si>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</si>
  <si>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</si>
  <si>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</si>
  <si>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</si>
  <si>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</si>
  <si>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</si>
  <si>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</si>
  <si>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</si>
  <si>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</si>
  <si>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</si>
  <si>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</si>
  <si>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</si>
  <si>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</si>
  <si>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</si>
  <si>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</si>
  <si>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</si>
  <si>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</si>
  <si>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</si>
  <si>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</si>
  <si>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</si>
  <si>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</si>
  <si>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</si>
  <si>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</si>
  <si>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</si>
  <si>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</si>
  <si>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</si>
  <si>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</si>
  <si>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</si>
  <si>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</si>
  <si>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</si>
  <si>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</si>
  <si>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</si>
  <si>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</si>
  <si>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</si>
  <si>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</si>
  <si>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</si>
  <si>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</si>
  <si>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</si>
  <si>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</si>
  <si>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</si>
  <si>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</si>
  <si>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</si>
  <si>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</si>
  <si>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</si>
  <si>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</si>
  <si>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</si>
  <si>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</si>
  <si>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</si>
  <si>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</si>
  <si>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</si>
  <si>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</si>
  <si>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</si>
  <si>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</si>
  <si>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</si>
  <si>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</si>
  <si>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</si>
  <si>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</si>
  <si>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</si>
  <si>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</si>
  <si>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</si>
  <si>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</si>
  <si>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</si>
  <si>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</si>
  <si>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</si>
  <si>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</si>
  <si>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</si>
  <si>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</si>
  <si>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</si>
  <si>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</si>
  <si>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</si>
  <si>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</si>
  <si>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</si>
  <si>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</si>
  <si>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</si>
  <si>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</si>
  <si>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</si>
  <si>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</si>
  <si>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</si>
  <si>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</si>
  <si>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</si>
  <si>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</si>
  <si>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</si>
  <si>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</si>
  <si>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</si>
  <si>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</si>
  <si>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</si>
  <si>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</si>
  <si>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</si>
  <si>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</si>
  <si>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</si>
  <si>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</si>
  <si>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</si>
  <si>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</si>
  <si>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</si>
  <si>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</si>
  <si>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</si>
  <si>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</si>
  <si>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</si>
  <si>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</si>
  <si>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</si>
  <si>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</si>
  <si>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</si>
  <si>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</si>
  <si>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</si>
  <si>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</si>
  <si>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</si>
  <si>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</si>
  <si>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</si>
  <si>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</si>
  <si>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</si>
  <si>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</si>
  <si>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</si>
  <si>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</si>
  <si>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</si>
  <si>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</si>
  <si>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</si>
  <si>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</si>
  <si>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</si>
  <si>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</si>
  <si>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</si>
  <si>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</si>
  <si>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</si>
  <si>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</si>
  <si>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</si>
  <si>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</si>
  <si>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</si>
  <si>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</si>
  <si>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</si>
  <si>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</si>
  <si>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</si>
  <si>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</si>
  <si>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</si>
  <si>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</si>
  <si>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</si>
  <si>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</si>
  <si>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</si>
  <si>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</si>
  <si>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</si>
  <si>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</si>
  <si>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</si>
  <si>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</si>
  <si>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</si>
  <si>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</si>
  <si>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</si>
  <si>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</si>
  <si>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</si>
  <si>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</si>
  <si>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</si>
  <si>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</si>
  <si>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</si>
  <si>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</si>
  <si>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</si>
  <si>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</si>
  <si>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</si>
  <si>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</si>
  <si>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</si>
  <si>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</si>
  <si>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</si>
  <si>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</si>
  <si>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</si>
  <si>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</si>
  <si>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</si>
  <si>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</si>
  <si>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</si>
  <si>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</si>
  <si>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</si>
  <si>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</si>
  <si>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</si>
  <si>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</si>
  <si>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</si>
  <si>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</si>
  <si>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</si>
  <si>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</si>
  <si>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</si>
  <si>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</si>
  <si>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</si>
  <si>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</si>
  <si>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</si>
  <si>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</si>
  <si>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</si>
  <si>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</si>
  <si>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</si>
  <si>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</si>
  <si>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</si>
  <si>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</si>
  <si>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</si>
  <si>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</si>
  <si>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</si>
  <si>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</si>
  <si>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</si>
  <si>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</si>
  <si>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</si>
  <si>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</si>
  <si>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</si>
  <si>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</si>
  <si>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</si>
  <si>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</si>
  <si>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</si>
  <si>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</si>
  <si>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</si>
  <si>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</si>
  <si>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</si>
  <si>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</si>
  <si>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</si>
  <si>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</si>
  <si>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</si>
  <si>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</si>
  <si>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</si>
  <si>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</si>
  <si>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</si>
  <si>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</si>
  <si>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</si>
  <si>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</si>
  <si>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</si>
  <si>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</si>
  <si>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</si>
  <si>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</si>
  <si>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</si>
  <si>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</si>
  <si>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</si>
  <si>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</si>
  <si>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</si>
  <si>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</si>
  <si>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</si>
  <si>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</si>
  <si>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</si>
  <si>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</si>
  <si>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</si>
  <si>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</si>
  <si>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</si>
  <si>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</si>
  <si>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</si>
  <si>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</si>
  <si>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</si>
  <si>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</si>
  <si>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</si>
  <si>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</si>
  <si>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</si>
  <si>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</si>
  <si>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</si>
  <si>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</si>
  <si>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</si>
  <si>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</si>
  <si>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</si>
  <si>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</si>
  <si>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</si>
  <si>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</si>
  <si>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</si>
  <si>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</si>
  <si>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</si>
  <si>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</si>
  <si>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</si>
  <si>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</si>
  <si>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</si>
  <si>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</si>
  <si>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</si>
  <si>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</si>
  <si>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</si>
  <si>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</si>
  <si>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</si>
  <si>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</si>
  <si>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</si>
  <si>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</si>
  <si>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</si>
  <si>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</si>
  <si>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</si>
  <si>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</si>
  <si>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</si>
  <si>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</si>
  <si>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</si>
  <si>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</si>
  <si>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</si>
  <si>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</si>
  <si>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</si>
  <si>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</si>
  <si>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</si>
  <si>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</si>
  <si>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</si>
  <si>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</si>
  <si>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</si>
  <si>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</si>
  <si>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</si>
  <si>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</si>
  <si>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</si>
  <si>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</si>
  <si>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</si>
  <si>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</si>
  <si>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</si>
  <si>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</si>
  <si>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</si>
  <si>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</si>
  <si>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</si>
  <si>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</si>
  <si>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</si>
  <si>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</si>
  <si>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</si>
  <si>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</si>
  <si>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</si>
  <si>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</si>
  <si>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</si>
  <si>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</si>
  <si>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</si>
  <si>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</si>
  <si>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</si>
  <si>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</si>
  <si>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</si>
  <si>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</si>
  <si>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</si>
  <si>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</si>
  <si>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</si>
  <si>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</si>
  <si>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</si>
  <si>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</si>
  <si>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</si>
  <si>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</si>
  <si>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</si>
  <si>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</si>
  <si>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</si>
  <si>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</si>
  <si>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</si>
  <si>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</si>
  <si>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</si>
  <si>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</si>
  <si>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</si>
  <si>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</si>
  <si>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</si>
  <si>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</si>
  <si>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</si>
  <si>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</si>
  <si>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</si>
  <si>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</si>
  <si>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</si>
  <si>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</si>
  <si>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</si>
  <si>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</si>
  <si>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</si>
  <si>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</si>
  <si>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</si>
  <si>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</si>
  <si>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</si>
  <si>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</si>
  <si>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</si>
  <si>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</si>
  <si>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</si>
  <si>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</si>
  <si>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</si>
  <si>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</si>
  <si>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</si>
  <si>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</si>
  <si>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</si>
  <si>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</si>
  <si>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</si>
  <si>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</si>
  <si>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</si>
  <si>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</si>
  <si>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</si>
  <si>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</si>
  <si>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</si>
  <si>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</si>
  <si>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</si>
  <si>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</si>
  <si>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</si>
  <si>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</si>
  <si>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</si>
  <si>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</si>
  <si>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</si>
  <si>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</si>
  <si>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</si>
  <si>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</si>
  <si>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</si>
  <si>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</si>
  <si>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</si>
  <si>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</si>
  <si>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</si>
  <si>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</si>
  <si>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</si>
  <si>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</si>
  <si>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</si>
  <si>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</si>
  <si>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</si>
  <si>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</si>
  <si>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</si>
  <si>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</si>
  <si>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</si>
  <si>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Germany pharmacy price, Heumann Pharma (Torrent group), PZN 16796219, pack of 2 pre-filled syringes: EUR 136.87, i.e. EUR 68.44 per syringe</t>
  </si>
  <si>
    <t xml:space="preserve">https://www.aponeo.de/rx/16796219-fulvestrant-heumann-250-mg-5ml-inj-lsg-i-e-f-sp.html</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</si>
  <si>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</si>
  <si>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</si>
  <si>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</si>
  <si>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</si>
  <si>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</si>
  <si>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</si>
  <si>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</si>
  <si>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</si>
  <si>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</si>
  <si>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</si>
  <si>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</si>
  <si>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</si>
  <si>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</si>
  <si>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</si>
  <si>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</si>
  <si>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</si>
  <si>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</si>
  <si>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</si>
  <si>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</si>
  <si>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</si>
  <si>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</si>
  <si>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</si>
  <si>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</si>
  <si>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</si>
  <si>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</si>
  <si>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</si>
  <si>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</si>
  <si>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</si>
  <si>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</si>
  <si>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</si>
  <si>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</si>
  <si>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</si>
  <si>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</si>
  <si>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</si>
  <si>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</si>
  <si>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</si>
  <si>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</si>
  <si>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</si>
  <si>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</si>
  <si>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</si>
  <si>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</si>
  <si>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</si>
  <si>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</si>
  <si>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</si>
  <si>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</si>
  <si>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</si>
  <si>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</si>
  <si>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</si>
  <si>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</si>
  <si>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</si>
  <si>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</si>
  <si>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</si>
  <si>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</si>
  <si>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</si>
  <si>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</si>
  <si>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</si>
  <si>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</si>
  <si>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</si>
  <si>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</si>
  <si>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</si>
  <si>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</si>
  <si>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</si>
  <si>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</si>
  <si>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</si>
  <si>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</si>
  <si>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</si>
  <si>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</si>
  <si>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</si>
  <si>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</si>
  <si>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</si>
  <si>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</si>
  <si>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</si>
  <si>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</si>
  <si>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</si>
  <si>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</si>
  <si>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</si>
  <si>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</si>
  <si>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</si>
  <si>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</si>
  <si>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</si>
  <si>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</si>
  <si>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</si>
  <si>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</si>
  <si>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</si>
  <si>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</si>
  <si>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</si>
  <si>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</si>
  <si>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</si>
  <si>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</si>
  <si>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</si>
  <si>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</si>
  <si>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</si>
  <si>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</si>
  <si>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</si>
  <si>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</si>
  <si>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STEP 1 – Can the drug be given by ID, IM or SC injection? Labels in government and public registers (one row per drug)</t>
  </si>
  <si>
    <t xml:space="preserve">STEP 2 – Can the company's own product be given by ID, IM or SC injection? The company's own product label (one row per company and drug that passed step 1 and the price filter)</t>
  </si>
  <si>
    <t xml:space="preserve">Therapeutic area</t>
  </si>
  <si>
    <t xml:space="preserve">In scope? (has an ID, IM or SC route)</t>
  </si>
  <si>
    <t xml:space="preserve">What the label says</t>
  </si>
  <si>
    <t xml:space="preserve">Source link</t>
  </si>
  <si>
    <t xml:space="preserve">How to check</t>
  </si>
  <si>
    <t xml:space="preserve">Second source link</t>
  </si>
  <si>
    <t xml:space="preserve">What the labels in the 7 geographies say (US, UK, EU/EEA, Canada, Australia, South Africa, UAE)</t>
  </si>
  <si>
    <t xml:space="preserve">Product checked</t>
  </si>
  <si>
    <t xml:space="preserve">What the company's label allows</t>
  </si>
  <si>
    <t xml:space="preserve">Result</t>
  </si>
  <si>
    <t xml:space="preserve">How it was checked</t>
  </si>
  <si>
    <t xml:space="preserve">Priority now (from Scoring)</t>
  </si>
  <si>
    <t xml:space="preserve">Key (working)</t>
  </si>
  <si>
    <t xml:space="preserve">IV, IM</t>
  </si>
  <si>
    <t xml:space="preserve">UK SmPC (MHRA, Acetazolamide 500mg powder for solution for injection, diamox sodium 5) – intravenous or intramuscular injection (IV preferred)</t>
  </si>
  <si>
    <t xml:space="preserve">https://mhraproducts4853.blob.core.windows.net/docs/8e489e2a01676dd3c6dd0b4247f5687d5a33a616</t>
  </si>
  <si>
    <t xml:space="preserve">MHRA SmPC (PDF, permanent link) → section 4.2 Posology and method of administration</t>
  </si>
  <si>
    <t xml:space="preserve">https://dailymed.nlm.nih.gov/dailymed/drugInfo.cfm?setid=2b9fb0dd-e42e-4f9b-bf24-98b268d877e5</t>
  </si>
  <si>
    <t xml:space="preserve">Consistent with the decision in col D across the 7 geographies.</t>
  </si>
  <si>
    <t xml:space="preserve">Acetazolamide Tillomed 500 mg powder for solution for injection (UK, PL 11311/0741, Tillomed)</t>
  </si>
  <si>
    <t xml:space="preserve">'Intravenous or intramuscular injection. The direct intravenous route is preferred as intramuscular use is limited by the alkaline pH' – Emcure's US Avet acetazolamide (DailyMed 4dd56001, 60f656ff) is 'For Intravenous Use ... Intramuscular administration is not recommended', so the US presentation is effectively IV only and only the UK Tillomed vial allows IM.</t>
  </si>
  <si>
    <t xml:space="preserve">Pass</t>
  </si>
  <si>
    <t xml:space="preserve">Company label read</t>
  </si>
  <si>
    <t xml:space="preserve">https://mhraproducts4853.blob.core.windows.net/docs/d83e904f4609a9208d270bbb39829b778f6f0825</t>
  </si>
  <si>
    <t xml:space="preserve">Emcure Pharmaceuticals|Acetazolamide</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</si>
  <si>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</si>
  <si>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</si>
  <si>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</si>
  <si>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</si>
  <si>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https://mhraproducts4853.blob.core.windows.net/docs/4d30849abb087d68fb87b3d040af01db85eeea0c</t>
  </si>
  <si>
    <t xml:space="preserve">No ID / IM / SC product found in the 7 geographies.</t>
  </si>
  <si>
    <t xml:space="preserve">Acetazolamide for Injection USP 500 mg single-dose vial (US, Zydus Lifesciences / Zydus Pharmaceuticals USA, ANDA 206533, NDC 70771-1490 / 68382-0076)</t>
  </si>
  <si>
    <t xml:space="preserve">FDA listing route: INTRAVENOUS only. Zydus SPL text not available (discontinued, no DailyMed/openFDA label). All US labels of this product read 'For Intravenous Use ... Intramuscular administration is not recommended' – Not read from Zydus's own label. US labels checked: Avet, Sagent; Health Canada products are also IV only. UK labels (Tillomed, Diamox) allow IM, but no Zydus UK/EU product was found. Product listed as discontinued by firm.</t>
  </si>
  <si>
    <t xml:space="preserve">Fail</t>
  </si>
  <si>
    <t xml:space="preserve">Standard label for this formulation</t>
  </si>
  <si>
    <t xml:space="preserve">https://hellopharmacist.com/ndc/70771-1490-01</t>
  </si>
  <si>
    <t xml:space="preserve">Zydus Lifesciences|Acetazolamide</t>
  </si>
  <si>
    <t xml:space="preserve">UK SmPC (MHRA, Alfentanil 500 micrograms/mL solution for injection) – intravenous only; no current US label</t>
  </si>
  <si>
    <t xml:space="preserve">https://mhraproducts4853.blob.core.windows.net/docs/643a51399a50b9e99afd935c92f31c50fff13070</t>
  </si>
  <si>
    <t xml:space="preserve">EU database lists IM / SC for one product (Rapifen, Luxembourg); not supported by the UK labels (IV only). Kept out.</t>
  </si>
  <si>
    <t xml:space="preserve">250 mg/mL, 2 mL vials</t>
  </si>
  <si>
    <t xml:space="preserve">Intramuscular or intravenous</t>
  </si>
  <si>
    <t xml:space="preserve">Emcure Pharmaceuticals|Amikacin</t>
  </si>
  <si>
    <t xml:space="preserve">US FDA label (DailyMed) – Amikacin Sulfate (Heritage Pharmaceuticals Inc. d/b/a Avet Pharmaceuticals Inc.): route IM, IV</t>
  </si>
  <si>
    <t xml:space="preserve">https://dailymed.nlm.nih.gov/dailymed/drugInfo.cfm?setid=7791d3e1-9287-4f75-b4f0-e5d35cacfd6e</t>
  </si>
  <si>
    <t xml:space="preserve">Ampicillin for Injection USP 250 mg/500 mg/1 g/2 g vials (US, Eugia US LLC / Aurobindo)</t>
  </si>
  <si>
    <t xml:space="preserve">'For Intramuscular or Intravenous Injection'; IM reconstitution table includes the 2 g vial (6.8 mL diluent) – Eugia 10 g Pharmacy Bulk Package is for IV admixture only; single-dose vials incl. 2 g allow IM.</t>
  </si>
  <si>
    <t xml:space="preserve">https://dailymed.nlm.nih.gov/dailymed/drugInfo.cfm?setid=b7bf2897-8272-4c7d-84e9-6fbba0ea63fa</t>
  </si>
  <si>
    <t xml:space="preserve">Aurobindo Pharma|Ampicillin</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</si>
  <si>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</si>
  <si>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</si>
  <si>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https://mhraproducts4853.blob.core.windows.net/docs/5a2e115532e171705b28998071f74799e829e4f9</t>
  </si>
  <si>
    <t xml:space="preserve">Ampicillin for Injection USP 250 mg-2 g vials (US, Heritage/Avet Pharmaceuticals)</t>
  </si>
  <si>
    <t xml:space="preserve">'For Intravenous or Intramuscular Injection'; IM reconstitution table given – Ampicillina Tillomed 1 g (Italy, AIC 050511) is registered as 'polvere per soluzione iniettabile/per infusione'; its SmPC was not opened. Avet product is made by Antibiotice SA (Romania) for Avet.</t>
  </si>
  <si>
    <t xml:space="preserve">https://dailymed.nlm.nih.gov/dailymed/drugInfo.cfm?setid=302e6df7-37c5-4625-8a61-3e2f302addf2</t>
  </si>
  <si>
    <t xml:space="preserve">Emcure Pharmaceuticals|Ampicillin</t>
  </si>
  <si>
    <t xml:space="preserve">UK SmPC (MHRA, Amoxicillin 1 g powder for solution for injection) – intravenous or intramuscular; no US injectable label</t>
  </si>
  <si>
    <t xml:space="preserve">Aripena (aripiprazole) 400 mg powder and diluent for prolonged-release suspension for injection (Australia, Sun Pharma ANZ)</t>
  </si>
  <si>
    <t xml:space="preserve">"intended for intramuscular injection only"; "deep intramuscular deltoid or gluteal injection only: do not administer intravenously or subcutaneously" – TGA PI (licence-acceptance page first). Aripena is 400 mg only; the PI says the 300 mg strength is 'available in another brand'. TGA listed Aripena as in shortage in 2026.</t>
  </si>
  <si>
    <t xml:space="preserve">https://www.ebs.tga.gov.au/ebs/picmi/picmirepository.nsf/pdf?OpenAgent&amp;id=CP-2025-PI-01168-1</t>
  </si>
  <si>
    <t xml:space="preserve">Sun Pharma|Aripiprazole</t>
  </si>
  <si>
    <t xml:space="preserve">US FDA label (DailyMed) – Ampicillin (Eugia US LLC): route IM, IV</t>
  </si>
  <si>
    <t xml:space="preserve">Atropine Sulfate Injection USP 0.4 mg/mL, 20 mL multiple-dose vial (US, Accord)</t>
  </si>
  <si>
    <t xml:space="preserve">'for intravenous, intramuscular, subcutaneous, intraosseous or endotracheal use' – Accord US prefilled syringes (0.25 mg/5 mL, 0.5 mg/5 mL, 1 mg/10 mL; setid c82cb295-ffce-47d6-97ad-a8aa723f4e4f) are IV only - SurTrac fit only for vial presentations.</t>
  </si>
  <si>
    <t xml:space="preserve">https://dailymed.nlm.nih.gov/dailymed/drugInfo.cfm?setid=f3cb74e9-b4ac-4efe-bd8e-8a71970ee7c7</t>
  </si>
  <si>
    <t xml:space="preserve">Intas Pharmaceuticals|Atropine</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</si>
  <si>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</si>
  <si>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</si>
  <si>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https://mhraproducts4853.blob.core.windows.net/docs/247aff47b4c3ceb1b47b5c6aee30a185233aad14</t>
  </si>
  <si>
    <t xml:space="preserve">Subcutaneous or intravenous (all EU azacitidine generics follow the Vidaza label)</t>
  </si>
  <si>
    <t xml:space="preserve">https://www.ema.europa.eu/en/medicines/human/EPAR/azacitidine-accord</t>
  </si>
  <si>
    <t xml:space="preserve">Aurobindo Pharma|Azacitidine</t>
  </si>
  <si>
    <t xml:space="preserve">IM</t>
  </si>
  <si>
    <t xml:space="preserve">US FDA label (DailyMed) – Abilify Asimtufii (Otsuka America Pharmaceutical, Inc): route IM</t>
  </si>
  <si>
    <t xml:space="preserve">https://dailymed.nlm.nih.gov/dailymed/drugInfo.cfm?setid=da4c07fd-1130-4341-bb44-63acfa4162be</t>
  </si>
  <si>
    <t xml:space="preserve">Azacitidine Cipla 100 mg powder for injection, vial (Australia, Cipla Australia Pty Ltd)</t>
  </si>
  <si>
    <t xml:space="preserve">CMI: given "as an injection under the skin (subcutaneously ...) or as an intravenous infusion" – TGA CMI (the URL opens a licence-acceptance page first). Healthdirect lists only 'Intravenous Infusion' for this brand, but the CMI allows both SC and IV. Cipla USA azacitidine NDCs exist but no current DailyMed SPL was found.</t>
  </si>
  <si>
    <t xml:space="preserve">https://www.ebs.tga.gov.au/ebs/picmi/picmirepository.nsf/pdf?OpenAgent&amp;id=CP-2019-CMI-02124-1</t>
  </si>
  <si>
    <t xml:space="preserve">Cipla|Azacitidine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</si>
  <si>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</si>
  <si>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</si>
  <si>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Dr. Reddy's Laboratories|Azacitidine</t>
  </si>
  <si>
    <t xml:space="preserve">IV, IM, SC</t>
  </si>
  <si>
    <t xml:space="preserve">US FDA label (DailyMed) – Atropine Sulfate (Accord Healthcare Inc.): route IM, IV, SC</t>
  </si>
  <si>
    <t xml:space="preserve">Emcure Pharmaceuticals|Azacitidine</t>
  </si>
  <si>
    <t xml:space="preserve">IV, SC</t>
  </si>
  <si>
    <t xml:space="preserve">US FDA label (DailyMed) – Azacitidine (Accord Healthcare Inc.): route IV, SC</t>
  </si>
  <si>
    <t xml:space="preserve">https://dailymed.nlm.nih.gov/dailymed/drugInfo.cfm?setid=70140e11-33f1-2240-e053-2991aa0a0480</t>
  </si>
  <si>
    <t xml:space="preserve">Glenmark Pharmaceuticals|Azacitidine</t>
  </si>
  <si>
    <t xml:space="preserve">Intrathecal</t>
  </si>
  <si>
    <t xml:space="preserve">UK SmPC (MHRA, Baclofen 2 mg/mL solution for infusion) – intrathecal infusion via implanted pump</t>
  </si>
  <si>
    <t xml:space="preserve">https://mhraproducts4853.blob.core.windows.net/docs/38cffb86d463a85be1de8ce8a70b2775c027a0cb</t>
  </si>
  <si>
    <t xml:space="preserve">Hetero Labs|Azacitidine</t>
  </si>
  <si>
    <t xml:space="preserve">US FDA label (DailyMed) – Bivalirudin (Accord Healthcare, Inc.): route IV; no US label lists ID / IM / SC</t>
  </si>
  <si>
    <t xml:space="preserve">https://dailymed.nlm.nih.gov/dailymed/drugInfo.cfm?setid=c20969cb-72d4-469b-9bd8-332250d896c3</t>
  </si>
  <si>
    <t xml:space="preserve">Intas Pharmaceuticals|Azacitidine</t>
  </si>
  <si>
    <t xml:space="preserve">US FDA label (DailyMed) – Bleomycin (Fresenius Kabi USA, LLC): route IM, IV, SC</t>
  </si>
  <si>
    <t xml:space="preserve">https://dailymed.nlm.nih.gov/dailymed/drugInfo.cfm?setid=b5806c40-12ce-48e3-8abd-9f8997ef4428</t>
  </si>
  <si>
    <t xml:space="preserve">15,000 IU powder vial</t>
  </si>
  <si>
    <t xml:space="preserve">Intramuscular, intravenous, subcutaneous, intra-arterial or intrapleural</t>
  </si>
  <si>
    <t xml:space="preserve">https://mhraproducts4853.blob.core.windows.net/docs/bb8555ee31d8ac21ce7ea2481563ab908752699c</t>
  </si>
  <si>
    <t xml:space="preserve">Cipla|Bleomycin</t>
  </si>
  <si>
    <t xml:space="preserve">US FDA label (DailyMed) – Bortezomib (Camber Pharmaceuticals, Inc.): route IV, SC</t>
  </si>
  <si>
    <t xml:space="preserve">https://dailymed.nlm.nih.gov/dailymed/drugInfo.cfm?setid=04aafa6a-a50d-4a47-a831-be8e8bb992ac</t>
  </si>
  <si>
    <t xml:space="preserve">Intas Pharmaceuticals|Bleomycin</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</si>
  <si>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</si>
  <si>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</si>
  <si>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https://mhraproducts4853.blob.core.windows.net/docs/da6e39cbeb26faea8c72a05b7312c32134b623cd</t>
  </si>
  <si>
    <t xml:space="preserve">Bleomycin Venus Pharma 15,000 IU (UK)</t>
  </si>
  <si>
    <t xml:space="preserve">Intravenous, intramuscular, intra-arterial, subcutaneous or intrapleural</t>
  </si>
  <si>
    <t xml:space="preserve">Venus Remedies|Bleomycin</t>
  </si>
  <si>
    <t xml:space="preserve">Epidural, intra-articular, SC, perineural</t>
  </si>
  <si>
    <t xml:space="preserve">UK SmPC (MHRA, Bupivacaine hydrochloride 2.5 mg/mL solution for injection) – epidural, intra-articular, subcutaneous or perineural use</t>
  </si>
  <si>
    <t xml:space="preserve">https://mhraproducts4853.blob.core.windows.net/docs/a9d1ffc9d457cfc0e43514aa459052215983758a</t>
  </si>
  <si>
    <t xml:space="preserve">3.5 mg powder vial or 2.5 mg/mL solution</t>
  </si>
  <si>
    <t xml:space="preserve">Intravenous or subcutaneous</t>
  </si>
  <si>
    <t xml:space="preserve">https://www.geneesmiddeleninformatiebank.nl/smpc/h115403_smpc_en.pdf</t>
  </si>
  <si>
    <t xml:space="preserve">Aurobindo Pharma|Bortezomib</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</si>
  <si>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</si>
  <si>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</si>
  <si>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https://mhraproducts4853.blob.core.windows.net/docs/5f7fabf03215a8e9cbd05bcdca2305b6839d7d56</t>
  </si>
  <si>
    <t xml:space="preserve">Caffeine and sodium benzoate (a different US product) is IM / IV; caffeine citrate labels say not IM. Kept out.</t>
  </si>
  <si>
    <t xml:space="preserve">Onbort 3.5 mg/1.4 mL solution (South Africa)</t>
  </si>
  <si>
    <t xml:space="preserve">Label could not be opened; the South African register lists Hetero as the applicant for Onbort – confirm Cipla's product and route</t>
  </si>
  <si>
    <t xml:space="preserve">To confirm</t>
  </si>
  <si>
    <t xml:space="preserve">https://pi-pil-repository.sahpra.org.za/wp-content/uploads/2025/08/Final_PI-_ONBORT.pdf</t>
  </si>
  <si>
    <t xml:space="preserve">Cipla|Bortezomib</t>
  </si>
  <si>
    <t xml:space="preserve">US FDA label (DailyMed) – CARBOPROST TROMETHAMINE (Alembic Pharmaceuticals Inc.): route IM</t>
  </si>
  <si>
    <t xml:space="preserve">https://dailymed.nlm.nih.gov/dailymed/drugInfo.cfm?setid=c1cde9c7-b005-484f-8497-343c5ecd4f0a</t>
  </si>
  <si>
    <t xml:space="preserve">Dr. Reddy's Laboratories|Bortezomib</t>
  </si>
  <si>
    <t xml:space="preserve">US FDA label (DailyMed) – Cefazolin (A-S Medication Solutions): route IM, IV</t>
  </si>
  <si>
    <t xml:space="preserve">https://dailymed.nlm.nih.gov/dailymed/drugInfo.cfm?setid=8a772acc-726d-40e6-88ee-b6075cbf9b28</t>
  </si>
  <si>
    <t xml:space="preserve">Emcure Pharmaceuticals|Bortezomib</t>
  </si>
  <si>
    <t xml:space="preserve">US FDA label (DailyMed) – Cefepime (Apotex Corp.): route IM, IV</t>
  </si>
  <si>
    <t xml:space="preserve">https://dailymed.nlm.nih.gov/dailymed/drugInfo.cfm?setid=02aa374f-37b4-456a-b5de-cfd3bbb6ce6e</t>
  </si>
  <si>
    <t xml:space="preserve">Bortezomib Glenmark 1 mg / 3.5 mg powder and 2.5 mg/mL solution (EU)</t>
  </si>
  <si>
    <t xml:space="preserve">Glenmark Pharmaceuticals|Bortezomib</t>
  </si>
  <si>
    <t xml:space="preserve">US FDA label (DailyMed) – TAZICEF (Hospira, Inc.): route IM, IV</t>
  </si>
  <si>
    <t xml:space="preserve">https://dailymed.nlm.nih.gov/dailymed/drugInfo.cfm?setid=40d48c5d-650e-461b-a67b-7e65772d1b92</t>
  </si>
  <si>
    <t xml:space="preserve">Hetero Labs|Bortezomib</t>
  </si>
  <si>
    <t xml:space="preserve">US FDA label (DailyMed) – Ceftriaxone Sodium (A-S Medication Solutions): route IM, IV</t>
  </si>
  <si>
    <t xml:space="preserve">https://dailymed.nlm.nih.gov/dailymed/drugInfo.cfm?setid=1aa0a4ee-1b39-4c3d-a7a3-33dded6fe28c</t>
  </si>
  <si>
    <t xml:space="preserve">Intas Pharmaceuticals|Bortezomib</t>
  </si>
  <si>
    <t xml:space="preserve">US FDA label (DailyMed) – Chlorothiazide sodium (Gland Pharma Limited): route IV; no US label lists ID / IM / SC</t>
  </si>
  <si>
    <t xml:space="preserve">https://dailymed.nlm.nih.gov/dailymed/drugInfo.cfm?setid=bf921935-9740-458e-b786-69f76d8ad139</t>
  </si>
  <si>
    <t xml:space="preserve">MSN Laboratories|Bortezomib</t>
  </si>
  <si>
    <t xml:space="preserve">UK SmPC (MHRA, Chlorphenamine 10 mg/mL solution for injection) – intramuscular, subcutaneous or intravenous; no US injectable label</t>
  </si>
  <si>
    <t xml:space="preserve">Sun Pharma|Bortezomib</t>
  </si>
  <si>
    <t xml:space="preserve">US FDA label (DailyMed) – CHLORPROMAZINE HYDROCHLORIDE (Camber Pharmaceuticals, Inc.): route IM</t>
  </si>
  <si>
    <t xml:space="preserve">https://dailymed.nlm.nih.gov/dailymed/drugInfo.cfm?setid=6564346c-661c-41cf-9cef-db6aa15710cd</t>
  </si>
  <si>
    <t xml:space="preserve">Zydus Lifesciences|Bortezomib</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</si>
  <si>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</si>
  <si>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</si>
  <si>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https://mhraproducts4853.blob.core.windows.net/docs/d0f3c58f2a4c68c9ea1ecb8d0bc40104cd51541d</t>
  </si>
  <si>
    <t xml:space="preserve">Bupivacaine HCl Injection USP 0.25%/0.5%/0.75% vials (US, Eugia US LLC – Aurobindo)</t>
  </si>
  <si>
    <t xml:space="preserve">'for infiltration, perineural, caudal, epidural, or retrobulbar use'; 0.25% indicated for 'local infiltration' (vial labels 'For INFILTRATION, NERVE BLOCK, CAUDAL, and EPIDURAL'). Word 'subcutaneous' not used. – Pass rests on local (tissue) infiltration = SC/ID injection; label does not literally say 'subcutaneous'. Local infiltration is only for 0.25%; 0.5% (our 25 mg/5 mL ampoule strength) is for nerve block/epidural. Indian Bupivan label not checked. – Our route filter does not count infiltration unless the label says subcutaneous, and the 0.5% strength in our data is for nerve block / epidural only: confirm whether the company sells 0.25% for SC infiltration</t>
  </si>
  <si>
    <t xml:space="preserve">https://dailymed.nlm.nih.gov/dailymed/drugInfo.cfm?setid=ffecf450-1f01-4721-8e10-251385852612</t>
  </si>
  <si>
    <t xml:space="preserve">Aurobindo Pharma|Bupivacaine</t>
  </si>
  <si>
    <t xml:space="preserve">US FDA label (DailyMed) – COLISTIMETHATE SODIUM (Heritage Pharmaceuticals Inc. d/b/a Avet Pharmaceuticals Inc.): route IM, IV</t>
  </si>
  <si>
    <t xml:space="preserve">https://dailymed.nlm.nih.gov/dailymed/drugInfo.cfm?setid=6a335659-03b0-4a2d-9cd4-7dcf7da96fe6</t>
  </si>
  <si>
    <t xml:space="preserve">Bupivacaine HCl Injection USP 0.25% 10 mL and 0.5% 30 mL vials (US, OneSource Specialty Pharma Ltd labeler)</t>
  </si>
  <si>
    <t xml:space="preserve">'for infiltration, perineural, caudal, epidural, or retrobulbar use'; 0.25% for 'Local infiltration' (up to 70 mL). Word 'subcutaneous' not used. – Pass rests on local infiltration (SC/ID tissue injection); 0.5% is nerve block/epidural only. Second OneSource SPL (50 mL vials) setid 02d0e5f1-5fab-4420-b673-785fd81d7ae2: infiltration, perineural. – Our route filter does not count infiltration unless the label says subcutaneous, and the 0.5% strength in our data is for nerve block / epidural only: confirm whether the company sells 0.25% for SC infiltration</t>
  </si>
  <si>
    <t xml:space="preserve">https://dailymed.nlm.nih.gov/dailymed/drugInfo.cfm?setid=5c10e3a1-7806-40c7-afd2-4c420e141823</t>
  </si>
  <si>
    <t xml:space="preserve">OneSource Specialty Pharma|Bupivacaine</t>
  </si>
  <si>
    <t xml:space="preserve">IM, SC</t>
  </si>
  <si>
    <t xml:space="preserve">US FDA label (DailyMed) – Cyanocobalamin (Gland Pharma Limited): route IM, SC</t>
  </si>
  <si>
    <t xml:space="preserve">https://dailymed.nlm.nih.gov/dailymed/drugInfo.cfm?setid=cd8d188a-fa5d-4580-bcb1-ac8617118cbb</t>
  </si>
  <si>
    <t xml:space="preserve">Carboprost Tromethamine Injection 250 mcg/mL, 1 mL vial (US, Alembic Pharmaceuticals Ltd/Inc)</t>
  </si>
  <si>
    <t xml:space="preserve">"for intramuscular injection"; route IM only – Second Alembic Pharmaceuticals Inc. SPL c1cde9c7-b005-484f-8497-343c5ecd4f0a also exists.</t>
  </si>
  <si>
    <t xml:space="preserve">https://dailymed.nlm.nih.gov/dailymed/drugInfo.cfm?setid=d74a448c-ba91-4490-8550-9e675c39b427</t>
  </si>
  <si>
    <t xml:space="preserve">Alembic Pharmaceuticals|Carboprost</t>
  </si>
  <si>
    <t xml:space="preserve">UK SmPC (MHRA, Cyclizine lactate 50 mg/mL solution for injection) – intramuscular or intravenous use; no US label</t>
  </si>
  <si>
    <t xml:space="preserve">Carboprost Tromethamine Injection 250 mcg/mL, 1 mL single-dose vial (US, Eugia US LLC)</t>
  </si>
  <si>
    <t xml:space="preserve">"for intramuscular injection"; route IM</t>
  </si>
  <si>
    <t xml:space="preserve">https://dailymed.nlm.nih.gov/dailymed/drugInfo.cfm?setid=a4c3b724-8c36-4d18-86b1-5ecee40cfbf4</t>
  </si>
  <si>
    <t xml:space="preserve">Aurobindo Pharma|Carboprost</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</si>
  <si>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</si>
  <si>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</si>
  <si>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https://mhraproducts4853.blob.core.windows.net/docs/4b78838f8f40ca9a987ad8fa476d2a1fdd3a37ff</t>
  </si>
  <si>
    <t xml:space="preserve">Borderline – kept out: Belgian Endoxan SmPC allows IM only "where the IV route is impracticable (inaccessible veins)"; all UK, US, Canada and Australia labels are IV only. Overwrite col D to "Yes" to include.</t>
  </si>
  <si>
    <t xml:space="preserve">Carboprost Tromethamine Injection 250 mcg/mL, single-dose vial and prefilled syringe (US, Dr. Reddy's Laboratories Inc.)</t>
  </si>
  <si>
    <t xml:space="preserve">"for intramuscular injection"; route IM – Other Dr. Reddy's vial SPLs: 1fc164ae-9964-17b3-4b92-d25b0ddb805e, 2fd306a6-bf50-a354-46e5-d9fa8da619af.</t>
  </si>
  <si>
    <t xml:space="preserve">https://dailymed.nlm.nih.gov/dailymed/drugInfo.cfm?setid=ce9f0ea6-69f9-6b68-2811-3b51e34acea6</t>
  </si>
  <si>
    <t xml:space="preserve">Dr. Reddy's Laboratories|Carboprost</t>
  </si>
  <si>
    <t xml:space="preserve">US FDA label (DailyMed) – Cytarabine (Gland Pharma Limited): route IV, SC</t>
  </si>
  <si>
    <t xml:space="preserve">https://dailymed.nlm.nih.gov/dailymed/drugInfo.cfm?setid=7ab50348-ca78-46a5-aba6-c35b6b21fbfe</t>
  </si>
  <si>
    <t xml:space="preserve">Carboprost Tromethamine Injection 250 mcg/mL, 1 mL vial (US, Micro Labs Limited)</t>
  </si>
  <si>
    <t xml:space="preserve">https://dailymed.nlm.nih.gov/dailymed/drugInfo.cfm?setid=a8a6acbf-81db-4fe3-aec8-ee7aa7af4d32</t>
  </si>
  <si>
    <t xml:space="preserve">Micro Labs|Carboprost</t>
  </si>
  <si>
    <t xml:space="preserve">US FDA label (DailyMed) – DACTINOMYCIN (Eugia US LLC): route IV; no US label lists ID / IM / SC</t>
  </si>
  <si>
    <t xml:space="preserve">https://dailymed.nlm.nih.gov/dailymed/drugInfo.cfm?setid=5da55538-2602-4704-a9da-603c9f7ff7dc</t>
  </si>
  <si>
    <t xml:space="preserve">Carboprost Tromethamine Injection 250 mcg/mL, 1 mL vial (US, OneSource Specialty Pharma Limited as labeler)</t>
  </si>
  <si>
    <t xml:space="preserve">"for intramuscular injection"; route IM – OneSource holds its own DailyMed SPL.</t>
  </si>
  <si>
    <t xml:space="preserve">https://dailymed.nlm.nih.gov/dailymed/drugInfo.cfm?setid=461f80d0-b66c-f093-e063-6294a90a8893</t>
  </si>
  <si>
    <t xml:space="preserve">OneSource Specialty Pharma|Carboprost</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</si>
  <si>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</si>
  <si>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</si>
  <si>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https://mhraproducts4853.blob.core.windows.net/docs/455258e3132909d570c60c827b6b3eba6db4e889</t>
  </si>
  <si>
    <t xml:space="preserve">AURO CEFEPIME 1 g powder for injection vial (Australia ARTG 156640; 2 g = ARTG 156639)</t>
  </si>
  <si>
    <t xml:space="preserve">ARTG route of administration: Intravenous, Intramuscular (both 1 g and 2 g entries) – ARTG public summary read, not the full PI; AU sponsor is Strides Pharma Science Pty Ltd under the Auro brand. SA Aurogen 'Auro-Cefepime' PI (500 mg/1 g/2 g) describes deep IM injection per search-index excerpts, but SAHPRA site would not load, so not read directly. Some EU cefepime generics (Kabi, Qilu, Noridem) are IV only.</t>
  </si>
  <si>
    <t xml:space="preserve">https://www.ebs.tga.gov.au/servlet/xmlmillr6?dbid=ebs/PublicHTML/pdfStore.nsf&amp;docid=156640&amp;agid=(PrintDetailsPublic)&amp;actionid=1</t>
  </si>
  <si>
    <t xml:space="preserve">Aurobindo Pharma|Cefepime</t>
  </si>
  <si>
    <t xml:space="preserve">SC</t>
  </si>
  <si>
    <t xml:space="preserve">UK SmPC (MHRA, Degarelix aspire 120 mg powder and solvent for solution for injection,) – subcutaneous use only</t>
  </si>
  <si>
    <t xml:space="preserve">https://mhraproducts4853.blob.core.windows.net/docs/dd69aaa9ebc36b426539f90970d2d38630d8622a</t>
  </si>
  <si>
    <t xml:space="preserve">Cefect (cefepime) 1 g / 2 g (South Africa, Reg. 47/20.1.1/0523 and 0524)</t>
  </si>
  <si>
    <t xml:space="preserve">Cipla label not found or readable (SAHPRA PI repository would not load) – Cefepime labels differ by maker: US, Canada (Apotex, Hikma 1 g) and Spain (Accord, Normon) allow IM, mainly for vials of 1 g or less. Kabi, Qilu, Noridem and MIP (Spain) and the Canadian 2 g vials are IV only. No Cipla cefepime found on DailyMed, MHRA, CIMA, BDPM or Health Canada.</t>
  </si>
  <si>
    <t xml:space="preserve">https://www.rxreasoner.com/drugs/cefect</t>
  </si>
  <si>
    <t xml:space="preserve">Cipla|Cefepime</t>
  </si>
  <si>
    <t xml:space="preserve">US FDA label (DailyMed) – OSVYRTI (Accord BioPharma Inc.): route SC</t>
  </si>
  <si>
    <t xml:space="preserve">https://dailymed.nlm.nih.gov/dailymed/drugInfo.cfm?setid=5f3be096-5100-4d0e-b765-481bbb2672e1</t>
  </si>
  <si>
    <t xml:space="preserve">Cefepima Accord 1 g powder for solution for injection and infusion (Spain, Accord Healthcare S.L.U.)</t>
  </si>
  <si>
    <t xml:space="preserve">'se puede administrar mediante inyeccion intramuscular profunda (IM), inyeccion intravenosa directa ... o perfusion' – Spanish Cefepima Accord 2 g is also registered IM+IV. French Cefepime Accord 2 g is IV only; French 1 g is IM/IV.</t>
  </si>
  <si>
    <t xml:space="preserve">https://cima.aemps.es/cima/dochtml/ft/75148/FT_75148.html</t>
  </si>
  <si>
    <t xml:space="preserve">Intas Pharmaceuticals|Cefepime</t>
  </si>
  <si>
    <t xml:space="preserve">US FDA label (DailyMed) – Desmopressin Acetate (Dr. Reddy's Laboratories Inc.): route IV, SC</t>
  </si>
  <si>
    <t xml:space="preserve">https://dailymed.nlm.nih.gov/dailymed/drugInfo.cfm?setid=60dd8694-58d8-d88e-26f2-f28baa53787e</t>
  </si>
  <si>
    <t xml:space="preserve">BINDOZEF Injection 1 g and 2 g cefepime powder vials (Australia, Strides Pharma Science Pty Ltd, ARTG 170374/170375)</t>
  </si>
  <si>
    <t xml:space="preserve">ARTG route of administration: Intravenous Infusion, Intramuscular, Intravenous (both strengths) – ARTG public summary read; the full PI is not on the TGA PI repository.</t>
  </si>
  <si>
    <t xml:space="preserve">https://www.ebs.tga.gov.au/servlet/xmlmillr6?dbid=ebs/PublicHTML/pdfStore.nsf&amp;docid=170374&amp;agid=(PrintDetailsPublic)&amp;actionid=1</t>
  </si>
  <si>
    <t xml:space="preserve">Strides Pharma Science|Cefepime</t>
  </si>
  <si>
    <t xml:space="preserve">US FDA label (DailyMed) – Diazepam (Alembic Pharmaceuticals Inc.): route IM, IV</t>
  </si>
  <si>
    <t xml:space="preserve">https://dailymed.nlm.nih.gov/dailymed/drugInfo.cfm?setid=6b6ca65b-4ede-47b9-bbf3-05bb67c0c71d</t>
  </si>
  <si>
    <t xml:space="preserve">Ceftazidime Arrow 1 g powder for solution for injection (IM, IV) (France, Eugia Pharma (Malta))</t>
  </si>
  <si>
    <t xml:space="preserve">'doit etre administre par injection intraveineuse ou perfusion, ou par injection intramusculaire profonde' (IV route preferred) – Ceftazidime Arrow 2 g is IV only.</t>
  </si>
  <si>
    <t xml:space="preserve">https://base-donnees-publique.medicaments.gouv.fr/affichageDoc.php?typedoc=R&amp;specid=64318859</t>
  </si>
  <si>
    <t xml:space="preserve">Aurobindo Pharma|Ceftazidime</t>
  </si>
  <si>
    <t xml:space="preserve">US FDA label (DailyMed) – Diphenhydramine Hydrochloride (Gland Pharma Limited): route IM, IV</t>
  </si>
  <si>
    <t xml:space="preserve">https://dailymed.nlm.nih.gov/dailymed/drugInfo.cfm?setid=eeb70724-065c-4a73-8e2e-d6b2a625e8d4</t>
  </si>
  <si>
    <t xml:space="preserve">ZETAF 1 g ceftazidime powder vial (Australia, Strides Pharma Science Pty Ltd, ARTG 170892)</t>
  </si>
  <si>
    <t xml:space="preserve">ARTG route of administration: Intramuscular, Intravenous – ZETAF 2 g (ARTG 170891) is Intravenous only. Only the 1 g vial allows IM.</t>
  </si>
  <si>
    <t xml:space="preserve">https://www.ebs.tga.gov.au/servlet/xmlmillr6?dbid=ebs/PublicHTML/pdfStore.nsf&amp;docid=170892&amp;agid=(PrintDetailsPublic)&amp;actionid=1</t>
  </si>
  <si>
    <t xml:space="preserve">Strides Pharma Science|Ceftazidime</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</si>
  <si>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</si>
  <si>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</si>
  <si>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https://mhraproducts4853.blob.core.windows.net/docs/8472f5b9e8869716ad12ef052d8bedebf43a4b5a</t>
  </si>
  <si>
    <t xml:space="preserve">EU database route field lists IM / SC for one or a few products (data-entry noise, e.g. vincristine listed as epidural); UK, US, Canada and Australia labels say IV only / must not be given IM or SC. Kept out.</t>
  </si>
  <si>
    <t xml:space="preserve">Ceftazidime Venus Pharma 2 g vial (UK)</t>
  </si>
  <si>
    <t xml:space="preserve">"Should be administered by intravenous injection or infusion" – no IM for the 2 g vial</t>
  </si>
  <si>
    <t xml:space="preserve">https://mhraproducts4853.blob.core.windows.net/docs/7018eab6739c49237637d2451247cd04b8f31f20</t>
  </si>
  <si>
    <t xml:space="preserve">Venus Remedies|Ceftazidime</t>
  </si>
  <si>
    <t xml:space="preserve">US FDA label (DailyMed) – Droperidol (American Regent, Inc.): route IM, IV</t>
  </si>
  <si>
    <t xml:space="preserve">https://dailymed.nlm.nih.gov/dailymed/drugInfo.cfm?setid=147e033d-d997-4ef6-8bb5-a9ba372590b2</t>
  </si>
  <si>
    <t xml:space="preserve">Ceftazidime 1 g powder for solution for injection or infusion (UK, Wockhardt UK Ltd, PL 29831/0031)</t>
  </si>
  <si>
    <t xml:space="preserve">1 g: 'administered by intravenous injection or infusion, or by deep intramuscular injection' (IM table for 1 g only). 2 g (PL 29831/0032): 'should be administered by intravenous injection or infusion' with no IM option – Our data lists the 2 g vial, which is IV only (2 g SmPC: https://mhraproducts4853.blob.core.windows.net/docs/39f220823de874a0f31bd1a3d4f738404a168690). Pass rests on Wockhardt's 1 g vial, so if only the 2 g presentation matters, treat as Fail.</t>
  </si>
  <si>
    <t xml:space="preserve">https://mhraproducts4853.blob.core.windows.net/docs/e7eea076320f36d06f5583a2e7c147a08f1773c6</t>
  </si>
  <si>
    <t xml:space="preserve">Wockhardt|Ceftazidime</t>
  </si>
  <si>
    <t xml:space="preserve">UK SmPC (MHRA, Venofer 20 mg/mL soln for inj or conc. for soln for infusion) – Product is iron sucrose (Sucrofer); US iron sucrose and UK iron SmPCs: intravenous only</t>
  </si>
  <si>
    <t xml:space="preserve">https://mhraproducts4853.blob.core.windows.net/docs/1dd806a3b43b1cb3206cd238b17c784533bc42fe</t>
  </si>
  <si>
    <t xml:space="preserve">Ceftriaxone Almus 1 g/3.5 mL powder and solvent for solution for injection (IM) (France, Arrow Generiques)</t>
  </si>
  <si>
    <t xml:space="preserve">Pack registered for 'intramusculaire'; RCP gives IM dosing (e.g. otitis media single 1-2 g IM dose, gonorrhoea 500 mg IM) – Aurobindo also has Ceftriaxone Arrow 1 g/3.5 mL IM (France) and Ceftriaxone Aurobindo 1 g/3.5 mL IM (Italy); the 1 g/10 mL IV and 2 g infusion packs are IV only. Ceftriaxon Puren (Germany) not checked.</t>
  </si>
  <si>
    <t xml:space="preserve">https://base-donnees-publique.medicaments.gouv.fr/affichageDoc.php?typedoc=R&amp;specid=62676989</t>
  </si>
  <si>
    <t xml:space="preserve">Aurobindo Pharma|Ceftriaxone</t>
  </si>
  <si>
    <t xml:space="preserve">Health Canada DPD – Ephedrine Sulfate Injection USP, Sandoz (DIN 00876534, marketed): routes intravenous, intramuscular, subcutaneous; also IM / SC in Australia (DBL Ephedrine Sulfate 30 mg/mL, ARTG 16325), EU (Norway, Portugal) and the Pfizer Ephedrine Sulphate 50 mg/mL label. US and UK labels: IV only.</t>
  </si>
  <si>
    <t xml:space="preserve">https://health-products.canada.ca/dpd-bdpp/info?lang=eng&amp;code=11096</t>
  </si>
  <si>
    <t xml:space="preserve">Health Canada product page → "Route(s) of administration" (second link: Pfizer label PDF, section "Description")</t>
  </si>
  <si>
    <t xml:space="preserve">https://labeling.pfizer.com/ShowLabeling.aspx?id=7153</t>
  </si>
  <si>
    <t xml:space="preserve">Reinstated after the 7-geography check (was IV only on US and UK labels).</t>
  </si>
  <si>
    <t xml:space="preserve">Ceftriaxone Accord 1 g/3.5 mL powder and solvent for solution for injection for IM use (Italy, AIC 039216027, Accord Healthcare S.L.U.)</t>
  </si>
  <si>
    <t xml:space="preserve">Registered pack: 'polvere e solvente per soluzione iniettabile per uso intramuscolare' (with 3.5 mL solvent) – Evidence is the AIFA register pack description (search AIC 039216027 in the CSV). The SmPC text was not opened (codifa.it blocked). The 500 mg/2 mL IM pack is also registered.</t>
  </si>
  <si>
    <t xml:space="preserve">https://drive.aifa.gov.it/farmaci/confezioni.csv</t>
  </si>
  <si>
    <t xml:space="preserve">Intas Pharmaceuticals|Ceftriaxone</t>
  </si>
  <si>
    <t xml:space="preserve">US FDA label (DailyMed) – epinephrine (GLENMARK PHARMACEUTICALS INC., USA): route IM, IV, SC</t>
  </si>
  <si>
    <t xml:space="preserve">https://dailymed.nlm.nih.gov/dailymed/drugInfo.cfm?setid=01fd19cd-190c-4989-b733-60ba95941297</t>
  </si>
  <si>
    <t xml:space="preserve">Ceftriaxone 2 g vial (UK, PL 34985/0008)</t>
  </si>
  <si>
    <t xml:space="preserve">Intravenous, or deep intramuscular injection</t>
  </si>
  <si>
    <t xml:space="preserve">https://mhraproducts4853.blob.core.windows.net/docs/620992012871d9e5a72bdb1e861678d5901cf630</t>
  </si>
  <si>
    <t xml:space="preserve">Venus Remedies|Ceftriaxone</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</si>
  <si>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</si>
  <si>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</si>
  <si>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https://mhraproducts4853.blob.core.windows.net/docs/8aeba99a8f543f374d08351b5b996fa2b4d7f66c</t>
  </si>
  <si>
    <t xml:space="preserve">Ceftriaxone for Injection USP 250 mg/500 mg/1 g/2 g vials (US, Wockhardt Ltd)</t>
  </si>
  <si>
    <t xml:space="preserve">'for intravenous or intramuscular administration'; Directions for Use include 'Intramuscular Administration' – Wockhardt UK also holds ceftriaxone 1 g/2 g (PL 29831/0034, 0033).</t>
  </si>
  <si>
    <t xml:space="preserve">https://dailymed.nlm.nih.gov/dailymed/drugInfo.cfm?setid=3b36beb7-db94-4b07-8c81-bd2b601a6601</t>
  </si>
  <si>
    <t xml:space="preserve">Wockhardt|Ceftriaxone</t>
  </si>
  <si>
    <t xml:space="preserve">US FDA label (DailyMed) – Eptifibatide (Eugia US LLC): route IV; no US label lists ID / IM / SC</t>
  </si>
  <si>
    <t xml:space="preserve">https://dailymed.nlm.nih.gov/dailymed/drugInfo.cfm?setid=00ad7bbe-cadd-4647-b74b-adfc9f2b5e94</t>
  </si>
  <si>
    <t xml:space="preserve">Ceftriaxone Zydus 1 g/3.5 mL powder and solvent for solution for injection (IM) (France, Zydus France)</t>
  </si>
  <si>
    <t xml:space="preserve">Pack registered for 'intramusculaire'; RCP gives IM dosing ('une seule dose de 1 a 2 g de ceftriaxone par voie intramusculaire')</t>
  </si>
  <si>
    <t xml:space="preserve">https://base-donnees-publique.medicaments.gouv.fr/affichageDoc.php?typedoc=R&amp;specid=66127233</t>
  </si>
  <si>
    <t xml:space="preserve">Zydus Lifesciences|Ceftriaxone</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</si>
  <si>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</si>
  <si>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</si>
  <si>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https://mhraproducts4853.blob.core.windows.net/docs/95551de6e371d1b1bed01d2b0a696de15b3e865e</t>
  </si>
  <si>
    <t xml:space="preserve">Chlorphenamine 10 mg/mL solution for injection, 1 mL ampoule (UK, Wockhardt UK Ltd, PL 29831/0585)</t>
  </si>
  <si>
    <t xml:space="preserve">SmPC 4.2: may be given by 'the subcutaneous, intramuscular or intravenous route'.</t>
  </si>
  <si>
    <t xml:space="preserve">https://mhraproducts4853.blob.core.windows.net/docs/f4594f4c3cc23114acb072e65ac513664e1ab8d4</t>
  </si>
  <si>
    <t xml:space="preserve">Wockhardt|Chlorphenamine</t>
  </si>
  <si>
    <t xml:space="preserve">US FDA label (DailyMed) – ERTAPENEM SODIUM (Dr.Reddys Laboratories Inc.,): route IM, IV</t>
  </si>
  <si>
    <t xml:space="preserve">https://dailymed.nlm.nih.gov/dailymed/drugInfo.cfm?setid=32d9f095-ca39-7e22-6264-b54f2daaee57</t>
  </si>
  <si>
    <t xml:space="preserve">Chlorpromazine HCl Injection USP 25 mg/mL, 1 mL and 2 mL ampules (US, Eugia US LLC)</t>
  </si>
  <si>
    <t xml:space="preserve">Ampule label 'For Deep IM Use'; SPL route: intramuscular.</t>
  </si>
  <si>
    <t xml:space="preserve">https://dailymed.nlm.nih.gov/dailymed/drugInfo.cfm?setid=07e6144a-b460-4887-b8e2-dd371c14a55c</t>
  </si>
  <si>
    <t xml:space="preserve">Aurobindo Pharma|Chlorpromazine</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</si>
  <si>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</si>
  <si>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</si>
  <si>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https://mhraproducts4853.blob.core.windows.net/docs/1e3efe74f99ebfa44e3ae295aff22c617a4e3f30</t>
  </si>
  <si>
    <t xml:space="preserve">Chlorpromazine HCl Injection USP 25 mg/mL, 1 mL single-dose vial (US, Camber Pharmaceuticals – Hetero)</t>
  </si>
  <si>
    <t xml:space="preserve">SPL route: intramuscular (IM-only injection product). – Made by Aspiro Pharma Ltd (Hetero group) for Camber.</t>
  </si>
  <si>
    <t xml:space="preserve">Hetero Labs|Chlorpromazine</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</si>
  <si>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</si>
  <si>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</si>
  <si>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https://mhraproducts4853.blob.core.windows.net/docs/4113c6c3738a47332b81c6a02b324e142668494a</t>
  </si>
  <si>
    <t xml:space="preserve">Chlorpromazine HCl Injection USP 25 mg/mL, 1 mL vial (US, Novadoz Pharmaceuticals – MSN)</t>
  </si>
  <si>
    <t xml:space="preserve">SPL route: intramuscular (IM-only injection product).</t>
  </si>
  <si>
    <t xml:space="preserve">https://dailymed.nlm.nih.gov/dailymed/drugInfo.cfm?setid=c0c5f94c-5f4d-43db-8cc2-ffc8a45b64cf</t>
  </si>
  <si>
    <t xml:space="preserve">MSN Laboratories|Chlorpromazine</t>
  </si>
  <si>
    <t xml:space="preserve">US FDA label (DailyMed) – ETHACRYNATE SODIUM (Leading Pharma, LLC): route IV; no US label lists ID / IM / SC</t>
  </si>
  <si>
    <t xml:space="preserve">https://dailymed.nlm.nih.gov/dailymed/drugInfo.cfm?setid=e24e7440-a958-6fd0-6bfe-1bd29e638657</t>
  </si>
  <si>
    <t xml:space="preserve">Chlorpromazine HCl Injection USP 25 mg/mL, 1 mL and 2 mL single-dose vials (US, Zydus Pharmaceuticals USA)</t>
  </si>
  <si>
    <t xml:space="preserve">Vial label 'For Deep Intramuscular Use'; SPL route: IM. – Also under Zydus Lifesciences Ltd: setid d37a4c21-b503-4791-a4d0-2ccc8891d88e.</t>
  </si>
  <si>
    <t xml:space="preserve">https://dailymed.nlm.nih.gov/dailymed/drugInfo.cfm?setid=7cd6dc0d-e98d-40ae-80d4-c15f63056abf</t>
  </si>
  <si>
    <t xml:space="preserve">Zydus Lifesciences|Chlorpromazine</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</si>
  <si>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</si>
  <si>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</si>
  <si>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https://mhraproducts4853.blob.core.windows.net/docs/82a8e8a12348001cf20937cfdc9b77351ca8477f</t>
  </si>
  <si>
    <t xml:space="preserve">Colistimethate for Injection USP 150 mg colistin base vial (US, Heritage/Avet Pharmaceuticals)</t>
  </si>
  <si>
    <t xml:space="preserve">'FOR INTRAMUSCULAR AND INTRAVENOUS USE'; 'suitable for intramuscular or intravenous administration' – EU colistimethate SmPCs are IV, inhalation or intrathecal only. The US label allows IM.</t>
  </si>
  <si>
    <t xml:space="preserve">Emcure Pharmaceuticals|Colistimethate Sodium</t>
  </si>
  <si>
    <t xml:space="preserve">US FDA label (DailyMed) – Famotidine (Baxter Healthcare Corporation): route IV; no US label lists ID / IM / SC</t>
  </si>
  <si>
    <t xml:space="preserve">https://dailymed.nlm.nih.gov/dailymed/drugInfo.cfm?setid=97c33213-f415-4718-8466-9aa50371af70</t>
  </si>
  <si>
    <t xml:space="preserve">Colistimetato de sodio Accord / Accordpharma 1 MIU and 2 MIU powder vials (Spain; also Colistimetato Accord in Italy)</t>
  </si>
  <si>
    <t xml:space="preserve">Spain: 'se administra por via intravenosa en forma de perfusion lenta durante 30-60 minutos'; routes listed IV + inhalation (Accord) or IV + intrathecal + intraventricular (Accordpharma); no IM dosing – No Accord/Intas colistimethate found in the US (DailyMed), UK (MHRA) or Canada. Italian Colistimetato Accord SmPC not opened but follows the same EU-harmonised (IV/inhalation) text. IM is mentioned only in warnings.</t>
  </si>
  <si>
    <t xml:space="preserve">https://cima.aemps.es/cima/dochtml/ft/80899/FT_80899.html</t>
  </si>
  <si>
    <t xml:space="preserve">Intas Pharmaceuticals|Colistimethate Sodium</t>
  </si>
  <si>
    <t xml:space="preserve">US FDA label (DailyMed) – Fentanyl Citrate (Civica, Inc.): route IM, IV</t>
  </si>
  <si>
    <t xml:space="preserve">https://dailymed.nlm.nih.gov/dailymed/drugInfo.cfm?setid=aacf276b-e133-4199-ad3f-67b894744c04</t>
  </si>
  <si>
    <t xml:space="preserve">Cyanocobalamin Injection USP 1,000 mcg/mL, 1 mL multiple-dose vial (US, Zydus)</t>
  </si>
  <si>
    <t xml:space="preserve">'FOR INTRAMUSCULAR OR SUBCUTANEOUS USE ONLY'; dosing 'by intramuscular or deep subcutaneous injection'. – Also Zydus Lifesciences Ltd setid ef300a08-8212-40a9-847a-1b62348896dd. 10 mL/30 mL vials also sold.</t>
  </si>
  <si>
    <t xml:space="preserve">https://dailymed.nlm.nih.gov/dailymed/drugInfo.cfm?setid=e6712877-ace0-441c-99a9-adf567c0b9a2</t>
  </si>
  <si>
    <t xml:space="preserve">Zydus Lifesciences|Cyanocobalamin</t>
  </si>
  <si>
    <t xml:space="preserve">US FDA label (DailyMed) – Ferric Carboxymaltose (Mylan Institutional LLC): route IV; no US label lists ID / IM / SC</t>
  </si>
  <si>
    <t xml:space="preserve">https://dailymed.nlm.nih.gov/dailymed/drugInfo.cfm?setid=7f05ab1e-aed4-4f87-b939-2dc9719aa34c</t>
  </si>
  <si>
    <t xml:space="preserve">Cyclizine Lactate 50 mg/mL solution for injection, 1 mL ampoule (UK, Brown &amp; Burk UK Ltd, PL 25298/0314)</t>
  </si>
  <si>
    <t xml:space="preserve">SmPC 4.2 'Method of Administration: Intramuscularly or intravenously'; '50 mg intramuscularly or intravenously up to three times daily'. – Link to Micro Labs checked 08-Oct-2026: Brown &amp; Burk UK is not a legal subsidiary of Micro Labs Ltd but a promoter-group company. Its only person with significant control is Anand Surana (Companies House 04082256), joint head of Micro Labs with his brother Dilip Surana; its sites are named "Micro House"; and Micro Labs' company presentation lists a Brown &amp; Burk unit in Hosur. Ask Micro Labs to confirm it is the supplier. Companies House: https://find-and-update.company-information.service.gov.uk/company/04082256/persons-with-significant-control</t>
  </si>
  <si>
    <t xml:space="preserve">https://mhraproducts4853.blob.core.windows.net/docs/e49904d5d2051c33d8104eab6cfc6a2fa8c43e61</t>
  </si>
  <si>
    <t xml:space="preserve">Micro Labs|Cyclizine</t>
  </si>
  <si>
    <t xml:space="preserve">IV, IM (also intra-articular, intrapleural)</t>
  </si>
  <si>
    <t xml:space="preserve">UK SmPC (MHRA, Flucloxacillin 1 g powder for solution for injection or infusion) – intravenous, intramuscular, intra-articular or intrapleural; no US label</t>
  </si>
  <si>
    <t xml:space="preserve">https://mhraproducts4853.blob.core.windows.net/docs/4daaeae927ce26807b7140b5958b51d0a2647d2e</t>
  </si>
  <si>
    <t xml:space="preserve">Cytarabine 20 mg/ml (100 mg/5 ml) and 100 mg/ml (500 mg/5 ml to 4 g/40 ml) vials (UK, Accord Healthcare)</t>
  </si>
  <si>
    <t xml:space="preserve">UK SmPC 20 mg/ml: 'intended for intravenous, intramuscular, subcutaneous or intrathecal use'; 100 mg/ml: 'intended for intravenous infusion or injection, or subcutaneous injection' (not intrathecal) – High strengths (2 g/20 ml, 4 g/40 ml) are labelled SC too but practically used for high-dose IV; the 20 mg/ml SmPC (PL 20075/0538): https://mhraproducts4853.blob.core.windows.net/docs/1ddc494c109f1de94b2f7e2c67c9ddf48cae30b6</t>
  </si>
  <si>
    <t xml:space="preserve">https://mhraproducts4853.blob.core.windows.net/docs/85397c6153545a566a96de5d7a5a7bcfbce50c3e</t>
  </si>
  <si>
    <t xml:space="preserve">Intas Pharmaceuticals|Cytarabine</t>
  </si>
  <si>
    <t xml:space="preserve">US FDA label (DailyMed) – Fludarabine phosphate (Actavis Pharma, Inc.): route IV; no US label lists ID / IM / SC</t>
  </si>
  <si>
    <t xml:space="preserve">https://dailymed.nlm.nih.gov/dailymed/drugInfo.cfm?setid=3adca34b-4f65-4e21-8058-3c01fc7fc9bb</t>
  </si>
  <si>
    <t xml:space="preserve">Degarelix Accord 80 mg powder and solvent for solution for injection (EU, Accord Healthcare S.L.U.)</t>
  </si>
  <si>
    <t xml:space="preserve">EU SmPC: 'for subcutaneous use ONLY, not to be administered intravenously'</t>
  </si>
  <si>
    <t xml:space="preserve">https://www.ema.europa.eu/en/documents/product-information/degarelix-accord-epar-product-information_en.pdf</t>
  </si>
  <si>
    <t xml:space="preserve">Intas Pharmaceuticals|Degarelix</t>
  </si>
  <si>
    <t xml:space="preserve">UK SmPC (MHRA, Fluorescein sodium 100 mg/mL solution for injection) – intravenous injection</t>
  </si>
  <si>
    <t xml:space="preserve">https://mhraproducts4853.blob.core.windows.net/docs/06788ea06546464bce35c66ad15e26a8abc06138</t>
  </si>
  <si>
    <t xml:space="preserve">Subcutaneous</t>
  </si>
  <si>
    <t xml:space="preserve">https://www.ema.europa.eu/en/medicines/human/EPAR/xgeva</t>
  </si>
  <si>
    <t xml:space="preserve">Intas Pharmaceuticals|Denosumab</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</si>
  <si>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</si>
  <si>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</si>
  <si>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https://mhraproducts4853.blob.core.windows.net/docs/34e104c5c0cb13b29bac10c994d30a1b4eac42e2</t>
  </si>
  <si>
    <t xml:space="preserve">Desmopressin Acetate Injection USP 40 mcg/10 mL (4 mcg/mL) multiple-dose vial (US, Dr. Reddy's)</t>
  </si>
  <si>
    <t xml:space="preserve">US label: 'for intravenous or subcutaneous use'; diabetes insipidus 'by subcutaneous or intravenous injection' – SC applies to diabetes insipidus; haemophilia A / vWD dosing is IV infusion. DRL also has 4 mcg/mL ampoule label (setid 15179e0c-f677-307f-d1e1-5910de4c212f), 'subcutaneously or by direct intravenous injection'.</t>
  </si>
  <si>
    <t xml:space="preserve">Dr. Reddy's Laboratories|Desmopressin</t>
  </si>
  <si>
    <t xml:space="preserve">US FDA label (DailyMed) – FLUPHENAZINE DECANOATE (Eugia US LLC): route IM, SC</t>
  </si>
  <si>
    <t xml:space="preserve">https://dailymed.nlm.nih.gov/dailymed/drugInfo.cfm?setid=1f532edc-1a2c-4221-80dd-1ac158dd3a72</t>
  </si>
  <si>
    <t xml:space="preserve">Diazepam Injection USP 10 mg/2 mL prefilled single-dose syringe (US, Alembic Pharmaceuticals Inc.)</t>
  </si>
  <si>
    <t xml:space="preserve">'intended for intramuscular or intravenous administration'; preoperative '10 mg, intramuscular (preferred route)'. SPL routes: IM, IV. – Same PFS also listed under Alembic Pharmaceuticals Ltd (setid 1632f040-3b2c-43da-a42f-f2baf5ec778a).</t>
  </si>
  <si>
    <t xml:space="preserve">Alembic Pharmaceuticals|Diazepam</t>
  </si>
  <si>
    <t xml:space="preserve">US FDA label (DailyMed) – Leucovorin Calcium (GLENMARK PHARMACEUTICALS INC., USA): route IM, IV</t>
  </si>
  <si>
    <t xml:space="preserve">https://dailymed.nlm.nih.gov/dailymed/drugInfo.cfm?setid=79d023ab-7d77-48c1-8f47-ea322fd58c2b</t>
  </si>
  <si>
    <t xml:space="preserve">Diazepam Injection USP 10 mg/2 mL prefilled single-dose syringe (US, Dr. Reddy's Laboratories Inc.)</t>
  </si>
  <si>
    <t xml:space="preserve">'intended for intramuscular or intravenous administration'; '10 mg, intramuscular (preferred route)' preop. SPL routes: IM, IV. – Second DRL PFS listing (monocarton pack): setid 9a860a4e-d670-d050-499d-eb1fd6b16176.</t>
  </si>
  <si>
    <t xml:space="preserve">https://dailymed.nlm.nih.gov/dailymed/drugInfo.cfm?setid=2a633cef-6dfc-4186-b595-174db2d8330e</t>
  </si>
  <si>
    <t xml:space="preserve">Dr. Reddy's Laboratories|Diazepam</t>
  </si>
  <si>
    <t xml:space="preserve">US FDA label (DailyMed) – FULVESTRANT (Accord Healthcare Inc.): route IM</t>
  </si>
  <si>
    <t xml:space="preserve">https://dailymed.nlm.nih.gov/dailymed/drugInfo.cfm?setid=b471eb51-488e-5312-e053-2a95a90a8116</t>
  </si>
  <si>
    <t xml:space="preserve">Diazepam Injection USP 10 mg/2 mL single-dose prefilled syringe (US ANDA approval, Lupin, Aug 2026)</t>
  </si>
  <si>
    <t xml:space="preserve">No Lupin label found on DailyMed yet. Every US diazepam injection label checked (Alembic, DRL, Hikma, Hospira, Natco, Sagent, Fresenius, Civica, Baxter) is 'for intramuscular or intravenous administration'; RLD Valium injection same. – URL is the approval news (product = 10 mg/2 mL PFS, RLD Valium). Standard-label example: https://dailymed.nlm.nih.gov/dailymed/drugInfo.cfm?setid=f466f8a3-f31c-44f4-b0e8-444464f20f66</t>
  </si>
  <si>
    <t xml:space="preserve">https://medicaldialogues.in/amp/news/industry/pharma/lupin-secures-usfda-approval-for-diazepam-injection-usp-in-prefilled-syringes-176252</t>
  </si>
  <si>
    <t xml:space="preserve">Lupin|Diazepam</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</si>
  <si>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</si>
  <si>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</si>
  <si>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https://mhraproducts4853.blob.core.windows.net/docs/c43283f4f5fe3bb7b26cf8988a8af88d32c13c93</t>
  </si>
  <si>
    <t xml:space="preserve">Diphenhydramine HCl Injection USP 500 mg/10 mL (50 mg/mL) multi-dose vial (US, Micro Labs Ltd)</t>
  </si>
  <si>
    <t xml:space="preserve">Vial label 'For Intravenous or Intramuscular Use'; SPL routes: IM, IV. Label warns against SC/intradermal use. – IM only (no SC). 1 mL vial/ampule version: setid a1110433-498a-48cb-ac79-5732fd4f8fba ('IV or Deep IM').</t>
  </si>
  <si>
    <t xml:space="preserve">https://dailymed.nlm.nih.gov/dailymed/drugInfo.cfm?setid=c2981222-1671-4ecd-a5a2-286f0663f1ae</t>
  </si>
  <si>
    <t xml:space="preserve">Micro Labs|Diphenhydramine</t>
  </si>
  <si>
    <t xml:space="preserve">US FDA label (DailyMed) – Glycopyrrolate (Accord Healthcare, Inc.,): route IM, IV</t>
  </si>
  <si>
    <t xml:space="preserve">https://dailymed.nlm.nih.gov/dailymed/drugInfo.cfm?setid=871797f0-697a-4a29-a37b-d06219e8f266</t>
  </si>
  <si>
    <t xml:space="preserve">Droperidol Lupin 2.5 mg/1 mL and 5 mg/2 mL glass ampoules (Australia, TGA PI)</t>
  </si>
  <si>
    <t xml:space="preserve">PI: premedication/sedation '2.5 to 5 mg may be administered intramuscularly or by slow intravenous injection'; psychiatric use 'usually given by the intramuscular route in doses of 5 to 25 mg'. – Droperidol AJS (Southern Cross Pharma, same ampoules) PI not separately read.</t>
  </si>
  <si>
    <t xml:space="preserve">https://www.ebs.tga.gov.au/ebs/picmi/picmirepository.nsf/pdf?OpenAgent&amp;id=CP-2017-PI-01601-1</t>
  </si>
  <si>
    <t xml:space="preserve">Lupin|Droperidol</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</si>
  <si>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</si>
  <si>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</si>
  <si>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https://mhraproducts4853.blob.core.windows.net/docs/6d5a76e0c14be3696eb7d7a5c38ab7fba2abf796</t>
  </si>
  <si>
    <t xml:space="preserve">SC only for the extended-release product (Sustol, US); standard granisetron is IV.</t>
  </si>
  <si>
    <t xml:space="preserve">Ephedrine Sulfate Injection USP 50 mg/mL (Canada, Auro Pharma Inc, DIN 02529858)</t>
  </si>
  <si>
    <t xml:space="preserve">Canadian monograph: 'Sterile Solution for Subcutaneous, Intravenous or Intramuscular administration'; 'administered intramuscularly (IM), subcutaneously (SC), or intravenously (IV)' – US Eugia 50 mg/mL vial label is IV only ('for intravenous use'). Canadian DINs (Auro Pharma 101908, Eugia Pharma 102322) list IM/SC/IV but DPD status is 'Approved' (not yet shown as marketed).</t>
  </si>
  <si>
    <t xml:space="preserve">https://health-products.canada.ca/dpd-bdpp/info?lang=eng&amp;code=101908</t>
  </si>
  <si>
    <t xml:space="preserve">Aurobindo Pharma|Ephedrine</t>
  </si>
  <si>
    <t xml:space="preserve">US FDA label (DailyMed) – Haloperidol Lactate (Henry Schein, Inc.): route IM</t>
  </si>
  <si>
    <t xml:space="preserve">https://dailymed.nlm.nih.gov/dailymed/drugInfo.cfm?setid=65df5d2d-79aa-41d4-866a-566e520320f7</t>
  </si>
  <si>
    <t xml:space="preserve">Ephedrine Sulfate Injection USP 50 mg/mL, 1 mL vial (US, Dr. Reddy's Laboratories Inc)</t>
  </si>
  <si>
    <t xml:space="preserve">'EPHEDRINE SULFATE injection, for intravenous use' - IV only – No other Dr. Reddy's ephedrine injection found on MHRA, Health Canada DPD or TGA.</t>
  </si>
  <si>
    <t xml:space="preserve">https://dailymed.nlm.nih.gov/dailymed/drugInfo.cfm?setid=1d1c41c1-8f5f-ee76-c890-4f1f2a3b2e96</t>
  </si>
  <si>
    <t xml:space="preserve">Dr. Reddy's Laboratories|Ephedrine</t>
  </si>
  <si>
    <t xml:space="preserve">US FDA label (DailyMed) – Haloperidol Decanoate (Gland Pharma Limited): route IM</t>
  </si>
  <si>
    <t xml:space="preserve">https://dailymed.nlm.nih.gov/dailymed/drugInfo.cfm?setid=1a0e38cb-fd9f-4962-9f81-5c0023ca6b4c</t>
  </si>
  <si>
    <t xml:space="preserve">Adrenaline Accord 0.1 mg/mL, 10 mL prefilled syringe</t>
  </si>
  <si>
    <t xml:space="preserve">Intravenous or intraosseous only, for cardiac arrest; "not recommended for intramuscular use in acute anaphylaxis"</t>
  </si>
  <si>
    <t xml:space="preserve">https://www.geneesmiddeleninformatiebank.nl/bijsluiters/h132671_piluk.pdf</t>
  </si>
  <si>
    <t xml:space="preserve">Intas Pharmaceuticals|Epinephrine (Adrenaline)</t>
  </si>
  <si>
    <t xml:space="preserve">US FDA label (DailyMed) – AMPHADASE (Amphastar Pharmaceuticals, Inc.): route SC</t>
  </si>
  <si>
    <t xml:space="preserve">https://dailymed.nlm.nih.gov/dailymed/drugInfo.cfm?setid=8396ea96-7cb5-4e26-87a4-90bca9c3c6dd</t>
  </si>
  <si>
    <t xml:space="preserve">Ertapenem 1 g vial (Canada: Auro Pharma, Eugia)</t>
  </si>
  <si>
    <t xml:space="preserve">Intravenous or intramuscular (Health Canada route field). UK / EU ertapenem labels are infusion only</t>
  </si>
  <si>
    <t xml:space="preserve">https://health-products.canada.ca/dpd-bdpp/info?lang=eng&amp;code=98213</t>
  </si>
  <si>
    <t xml:space="preserve">Aurobindo Pharma|Ertapenem</t>
  </si>
  <si>
    <t xml:space="preserve">US FDA label (DailyMed) – HYDRALAZINE HYDROCHLORIDE (Eugia US LLC): route IM, IV</t>
  </si>
  <si>
    <t xml:space="preserve">https://dailymed.nlm.nih.gov/dailymed/drugInfo.cfm?setid=e08d8b6c-a184-4dd5-84ef-bac90e4b1c33</t>
  </si>
  <si>
    <t xml:space="preserve">Ertapenem 1 g vial (Canada, Dr. Reddy's)</t>
  </si>
  <si>
    <t xml:space="preserve">Intravenous or intramuscular (Health Canada route field)</t>
  </si>
  <si>
    <t xml:space="preserve">https://health-products.canada.ca/dpd-bdpp/info?lang=eng&amp;code=100038</t>
  </si>
  <si>
    <t xml:space="preserve">Dr. Reddy's Laboratories|Ertapenem</t>
  </si>
  <si>
    <t xml:space="preserve">US FDA label (DailyMed) – Hydrocortisone sodium succinate (Cipla USA Inc.): route IM, IV</t>
  </si>
  <si>
    <t xml:space="preserve">https://dailymed.nlm.nih.gov/dailymed/drugInfo.cfm?setid=451d6d04-b7d9-47d9-ba71-43cc5b9b3054</t>
  </si>
  <si>
    <t xml:space="preserve">Invabex 1 g powder for solution for injection or infusion (South Africa, Pharma Dynamics (Pty) Ltd, Lupin subsidiary)</t>
  </si>
  <si>
    <t xml:space="preserve">PIL: 'give it to you intravenously (into a vein) or intramuscularly (into a muscle)'; for IM it is dissolved in lidocaine – This is the patient leaflet, not the PI (the SAHPRA PI would not load). UK/EU ertapenem SmPCs are IV infusion only (e.g. Ertapenem Sun/Aurobindo/Steriscience: 'per infusione'). Canada and the US allow IM.</t>
  </si>
  <si>
    <t xml:space="preserve">https://www.mydynamics.co.za/wp-content/uploads/2022/09/Invabex-B4082.pdf</t>
  </si>
  <si>
    <t xml:space="preserve">Lupin|Ertapenem</t>
  </si>
  <si>
    <t xml:space="preserve">US FDA label (DailyMed) – Hydroxocobalamin (Actavis Pharma, Inc.): route IM</t>
  </si>
  <si>
    <t xml:space="preserve">https://dailymed.nlm.nih.gov/dailymed/drugInfo.cfm?setid=a3087a39-f218-4f16-a1e7-17c39bb2eb69</t>
  </si>
  <si>
    <t xml:space="preserve">Fentanyl GH 100 mcg/2 mL and 500 mcg/10 mL ampoules (Australia, Generic Health Pty Ltd – Lupin)</t>
  </si>
  <si>
    <t xml:space="preserve">PI: '50 to 100 micrograms (1 to 2 mL) may be administered intramuscularly 30 to 60 minutes prior to surgery'; maintenance 'intravenously or intramuscularly'.</t>
  </si>
  <si>
    <t xml:space="preserve">https://www.ebs.tga.gov.au/ebs/picmi/picmirepository.nsf/pdf?OpenAgent&amp;id=CP-2020-PI-01039-1</t>
  </si>
  <si>
    <t xml:space="preserve">Lupin|Fentanyl</t>
  </si>
  <si>
    <t xml:space="preserve">SC, IM (IV if required)</t>
  </si>
  <si>
    <t xml:space="preserve">UK SmPC (MHRA, Hyoscine 400 micrograms/mL solution for injection) – subcutaneous or intramuscular injection; no US injectable label</t>
  </si>
  <si>
    <t xml:space="preserve">https://mhraproducts4853.blob.core.windows.net/docs/51e482dd059a807e5b4653144bcf38d462300c8b</t>
  </si>
  <si>
    <t xml:space="preserve">Sublimaze 50 mcg/mL, 2/5/10 mL ampoules (UK, Piramal Critical Care Ltd)</t>
  </si>
  <si>
    <t xml:space="preserve">SmPC 4.2 'Route of administration: Intravenous administration either as a bolus or by infusion. Intramuscular administration.'</t>
  </si>
  <si>
    <t xml:space="preserve">https://mhraproducts4853.blob.core.windows.net/docs/8d4d9e19ffaeb852dc6209267771c728a730e3f3</t>
  </si>
  <si>
    <t xml:space="preserve">Piramal Pharma|Fentanyl</t>
  </si>
  <si>
    <t xml:space="preserve">UK SmPC (MHRA, Bonviva 3 mg solution for injection) – intravenous injection</t>
  </si>
  <si>
    <t xml:space="preserve">https://mhraproducts4853.blob.core.windows.net/docs/13be69adbff91eaa9def74b5879135500983c712</t>
  </si>
  <si>
    <t xml:space="preserve">Floxapen Vials for Injection 500 mg (UK, Accord Healthcare Ltd, PL 20075/0592)</t>
  </si>
  <si>
    <t xml:space="preserve">'Total daily dosage ... by i.v. or i.m. injection'; 'Intramuscular: Add 1.5 ml Water for Injections BP to 250 mg vial contents' – Also lists intrapleural, intra-articular and nebuliser routes.</t>
  </si>
  <si>
    <t xml:space="preserve">https://mhraproducts4853.blob.core.windows.net/docs/ee3f61b3404bdcfddf370e87a4fe2c5fd1bed0b9</t>
  </si>
  <si>
    <t xml:space="preserve">Intas Pharmaceuticals|Flucloxacillin</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</si>
  <si>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</si>
  <si>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</si>
  <si>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https://mhraproducts4853.blob.core.windows.net/docs/201d2a0d9aa57a3569065fb673031d38f685075d</t>
  </si>
  <si>
    <t xml:space="preserve">Fluphenazine Decanoate Injection USP 125 mg/5 mL multiple-dose vial (US, Eugia US LLC)</t>
  </si>
  <si>
    <t xml:space="preserve">Vial label 'For IM or SC Use'; SPL routes: IM, SC.</t>
  </si>
  <si>
    <t xml:space="preserve">Aurobindo Pharma|Fluphenazine Decanoate</t>
  </si>
  <si>
    <t xml:space="preserve">IV, ID, SC</t>
  </si>
  <si>
    <t xml:space="preserve">UK SmPC (MHRA, Zyogreen 2.5 mg/mL  solution for injection) – intravenous, intradermal, subcutaneous or peritumoral injection (lymphatic mapping); US label IV only</t>
  </si>
  <si>
    <t xml:space="preserve">https://mhraproducts4853.blob.core.windows.net/docs/1ed164cb6fbb995109a5ba6e7b3165176762216e</t>
  </si>
  <si>
    <t xml:space="preserve">https://dailymed.nlm.nih.gov/dailymed/drugInfo.cfm?setid=b2de0c9a-0065-4f2c-9983-add39525f3a3</t>
  </si>
  <si>
    <t xml:space="preserve">Fluphenazine Decanoate Injection USP 25 mg/mL, 5 mL multiple-dose vial (US, Novadoz – MSN)</t>
  </si>
  <si>
    <t xml:space="preserve">'Fluphenazine Decanoate Injection may be given intramuscularly or subcutaneously.'</t>
  </si>
  <si>
    <t xml:space="preserve">https://dailymed.nlm.nih.gov/dailymed/drugInfo.cfm?setid=8d7ba627-cf3f-4b94-aee8-8b44cc9400be</t>
  </si>
  <si>
    <t xml:space="preserve">MSN Laboratories|Fluphenazine Decanoate</t>
  </si>
  <si>
    <t xml:space="preserve">US FDA label (DailyMed) – Venofer (American Regent, Inc.): route IV; no US label lists ID / IM / SC</t>
  </si>
  <si>
    <t xml:space="preserve">https://dailymed.nlm.nih.gov/dailymed/drugInfo.cfm?setid=626dc9e5-c6b4-4f9c-9bf4-774fd3ae619a</t>
  </si>
  <si>
    <t xml:space="preserve">Folinsäure Aurobindo 10 mg/mL, 100 mL vial (Germany)</t>
  </si>
  <si>
    <t xml:space="preserve">Intravenous or intramuscular – but a 100 mL (1,000 mg) vial is in practice an infusion product</t>
  </si>
  <si>
    <t xml:space="preserve">Pass – practical IM use unlikely</t>
  </si>
  <si>
    <t xml:space="preserve">https://www.patienteninfo-service.de/gi/20466/html</t>
  </si>
  <si>
    <t xml:space="preserve">Aurobindo Pharma|Folinic Acid (Leucovorin)</t>
  </si>
  <si>
    <t xml:space="preserve">US FDA label (DailyMed) – ISOPROTERENOL (Cipla USA Inc.): route IM, IV, SC</t>
  </si>
  <si>
    <t xml:space="preserve">https://dailymed.nlm.nih.gov/dailymed/drugInfo.cfm?setid=f724120d-da28-4065-9e05-d7dd6afbb546</t>
  </si>
  <si>
    <t xml:space="preserve">250 mg/5 mL prefilled syringe</t>
  </si>
  <si>
    <t xml:space="preserve">Intramuscular only (already a syringe – see Notes)</t>
  </si>
  <si>
    <t xml:space="preserve">Alembic Pharmaceuticals|Fulvestrant</t>
  </si>
  <si>
    <t xml:space="preserve">US FDA label (DailyMed) – Lanreotide Acetate (Cipla USA Inc.): route SC</t>
  </si>
  <si>
    <t xml:space="preserve">https://dailymed.nlm.nih.gov/dailymed/drugInfo.cfm?setid=11da176a-99bc-4ada-8b3f-6bd2b37a6313</t>
  </si>
  <si>
    <t xml:space="preserve">Aurobindo Pharma|Fulvestrant</t>
  </si>
  <si>
    <t xml:space="preserve">SC (some depots IM)</t>
  </si>
  <si>
    <t xml:space="preserve">UK SmPC (MHRA, Prostap 3 dcs 11.25mg powder for prolonged-release suspension for inje) – subcutaneous depot injection; US leuprolide labels also SC</t>
  </si>
  <si>
    <t xml:space="preserve">https://mhraproducts4853.blob.core.windows.net/docs/2570307a3085ad81ffb51a26c670a4968681f7e9</t>
  </si>
  <si>
    <t xml:space="preserve">Cipla|Fulvestrant</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</si>
  <si>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</si>
  <si>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</si>
  <si>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https://mhraproducts4853.blob.core.windows.net/docs/7a8fe1e86f394f14dd27119a87ad9196daa418be</t>
  </si>
  <si>
    <t xml:space="preserve">Dr. Reddy's Laboratories|Fulvestrant</t>
  </si>
  <si>
    <t xml:space="preserve">IV, infiltration (ID, SC), perineural</t>
  </si>
  <si>
    <t xml:space="preserve">UK SmPC (MHRA, Lidocaine 10 mg/mL (1% w/v) solution for injection in pre-filled syrin) – infiltration (intradermal, subcutaneous or submucosal use); US labels list infiltration / IV only</t>
  </si>
  <si>
    <t xml:space="preserve">https://mhraproducts4853.blob.core.windows.net/docs/4d6a2b8a7eed24427d497672070733ad0dc2f1aa</t>
  </si>
  <si>
    <t xml:space="preserve">https://dailymed.nlm.nih.gov/dailymed/drugInfo.cfm?setid=2177b6fe-aa37-6f6b-e063-6294a90af09a</t>
  </si>
  <si>
    <t xml:space="preserve">Glenmark Pharmaceuticals|Fulvestrant</t>
  </si>
  <si>
    <t xml:space="preserve">US FDA label (DailyMed) – lincomycin hydrochloride (Gland Pharma Limited): route IM, IV</t>
  </si>
  <si>
    <t xml:space="preserve">https://dailymed.nlm.nih.gov/dailymed/drugInfo.cfm?setid=c2b5be20-cc6f-4221-9d3e-3f8b5886cd05</t>
  </si>
  <si>
    <t xml:space="preserve">Intas Pharmaceuticals|Fulvestrant</t>
  </si>
  <si>
    <t xml:space="preserve">US FDA label (DailyMed) – Magnesium Sulfate (Camber Pharmaceuticals, Inc.): route IM, IV</t>
  </si>
  <si>
    <t xml:space="preserve">https://dailymed.nlm.nih.gov/dailymed/drugInfo.cfm?setid=647ca293-9e68-4773-947a-0fb064aa6fd1</t>
  </si>
  <si>
    <t xml:space="preserve">Sun Pharma|Fulvestrant</t>
  </si>
  <si>
    <t xml:space="preserve">SC, IM</t>
  </si>
  <si>
    <t xml:space="preserve">UK SmPC (MHRA, Priorix powder and solvent for solution for injection) – subcutaneous or intramuscular injection</t>
  </si>
  <si>
    <t xml:space="preserve">https://mhraproducts4853.blob.core.windows.net/docs/6137d0826ea9251c4cd7449204eef9e37c09728b</t>
  </si>
  <si>
    <t xml:space="preserve">Torrent Pharmaceuticals|Fulvestrant</t>
  </si>
  <si>
    <t xml:space="preserve">US FDA label (DailyMed) – MEDROXYPROGESTERONE ACETATE (Eugia US LLC): route IM</t>
  </si>
  <si>
    <t xml:space="preserve">https://dailymed.nlm.nih.gov/dailymed/drugInfo.cfm?setid=0655670a-d127-4e08-8a23-ace64b2503b2</t>
  </si>
  <si>
    <t xml:space="preserve">Zydus Lifesciences|Fulvestrant</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</si>
  <si>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</si>
  <si>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</si>
  <si>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https://mhraproducts4853.blob.core.windows.net/docs/b72d32face7ce61d71696787ed3106ac25618280</t>
  </si>
  <si>
    <t xml:space="preserve">Glycopyrrolate injection 1 mg/mL, 5 mL vial (Glyopy, Hetero) - company label not found</t>
  </si>
  <si>
    <t xml:space="preserve">All labels found allow IM: e.g. 'For Intramuscular (IM) or Intravenous (IV) administration' (US AuroMedics); UK Accord, Canada JAMP also IM/IV – No Hetero/Camber glycopyrrolate injection found on DailyMed, MHRA, DPD or TGA; 'Glyopy' not found online.</t>
  </si>
  <si>
    <t xml:space="preserve">https://dailymed.nlm.nih.gov/dailymed/drugInfo.cfm?setid=eaebb511-1738-4d11-b9bb-317a8d41316a</t>
  </si>
  <si>
    <t xml:space="preserve">Hetero Labs|Glycopyrrolate</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</si>
  <si>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</si>
  <si>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</si>
  <si>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https://mhraproducts4853.blob.core.windows.net/docs/9ae7aeea49bf816c85c6e16440c212622827183e</t>
  </si>
  <si>
    <t xml:space="preserve">EU database lists IM for one Italian product; label text found says IV. Kept out.</t>
  </si>
  <si>
    <t xml:space="preserve">Haloperidol 5 mg/mL solution for injection, 1 mL ampoule (UK, Wockhardt UK Ltd, PL 29831/0759)</t>
  </si>
  <si>
    <t xml:space="preserve">SmPC: 'recommended for intramuscular administration only'.</t>
  </si>
  <si>
    <t xml:space="preserve">https://mhraproducts4853.blob.core.windows.net/docs/c39d08ff0acc6dc6d5b1523ab09699a21e4f0137</t>
  </si>
  <si>
    <t xml:space="preserve">Wockhardt|Haloperidol</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</si>
  <si>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</si>
  <si>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</si>
  <si>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https://mhraproducts4853.blob.core.windows.net/docs/23dcd067131a54c6fa73c5557a0dab034764ccf5</t>
  </si>
  <si>
    <t xml:space="preserve">Haloperidol Decanoate Injection 50 mg/mL and 100 mg/mL, 1 mL single-dose and 5 mL multiple-dose vials (US, Zydus)</t>
  </si>
  <si>
    <t xml:space="preserve">Carton 'For Intramuscular Use Only'; SPL route: IM. – Also Zydus Lifesciences Ltd setid d21796e5-9f29-4c0a-8eed-70aeb9f0e5e9.</t>
  </si>
  <si>
    <t xml:space="preserve">https://dailymed.nlm.nih.gov/dailymed/drugInfo.cfm?setid=6d2d7612-ad47-4ee7-a42c-945c976d947b</t>
  </si>
  <si>
    <t xml:space="preserve">Zydus Lifesciences|Haloperidol Decanoate</t>
  </si>
  <si>
    <t xml:space="preserve">UK SmPC (MHRA, Metaraminol 10mg/mL solution for injection/infusion) – intravenous infusion or direct intravenous injection; no US label</t>
  </si>
  <si>
    <t xml:space="preserve">https://mhraproducts4853.blob.core.windows.net/docs/6bf77bfee94fc37f9ea2cc41e9601b5d4e59322f</t>
  </si>
  <si>
    <t xml:space="preserve">Hyalase 1500 IU powder for solution for injection/infusion, ampoule (UK, Wockhardt UK Ltd)</t>
  </si>
  <si>
    <t xml:space="preserve">SmPC: used 'with subcutaneous or intramuscular injections' and SC infusion (hypodermoclysis); 'Not to be used for intravenous injections.' – Typically mixed into another SC/IM injection rather than injected alone.</t>
  </si>
  <si>
    <t xml:space="preserve">Wockhardt|Hyaluronidase</t>
  </si>
  <si>
    <t xml:space="preserve">US FDA label (DailyMed) – Methohexital Sodium (Heritage Pharmaceuticals Inc. d/b/a Avet Pharmaceuticals Inc.): route IM, IV</t>
  </si>
  <si>
    <t xml:space="preserve">https://dailymed.nlm.nih.gov/dailymed/drugInfo.cfm?setid=f76d4ab9-2f6c-420b-afec-b9cdfdc083ce</t>
  </si>
  <si>
    <t xml:space="preserve">Hydralazine Hydrochloride Injection USP 20 mg/mL, 1 mL vial (US, Eugia US)</t>
  </si>
  <si>
    <t xml:space="preserve">'available in a 1 mL vial for intravenous and intramuscular administration'; 'may be initiated intramuscularly or as a rapid intravenous bolus' – Canadian Auro Pharma hydralazine injection (DIN code 100550) is listed IV only.</t>
  </si>
  <si>
    <t xml:space="preserve">Aurobindo Pharma|Hydralazine</t>
  </si>
  <si>
    <t xml:space="preserve">US FDA label (DailyMed) – Methotrexate (Accord Healthcare, Inc.): route IM, IV</t>
  </si>
  <si>
    <t xml:space="preserve">https://dailymed.nlm.nih.gov/dailymed/drugInfo.cfm?setid=dd035a9f-cd40-4314-b9d8-2294b8a924e2</t>
  </si>
  <si>
    <t xml:space="preserve">Hydrocortisone Sodium Succinate for Injection USP 100 mg vial (US, Cipla USA)</t>
  </si>
  <si>
    <t xml:space="preserve">US label: 'For Intravenous or Intramuscular Administration'</t>
  </si>
  <si>
    <t xml:space="preserve">Cipla|Hydrocortisone</t>
  </si>
  <si>
    <t xml:space="preserve">US FDA label (DailyMed) – Methylprednisolone Acetate (Eugia US LLC): route IM</t>
  </si>
  <si>
    <t xml:space="preserve">https://dailymed.nlm.nih.gov/dailymed/drugInfo.cfm?setid=a0cbcdb5-f657-49f7-8f86-cc5959d69db0</t>
  </si>
  <si>
    <t xml:space="preserve">Cortaject hydrocortisone 100 mg vial (Strides label not found)</t>
  </si>
  <si>
    <t xml:space="preserve">Hydrocortisone sodium succinate 100 mg labels are 'For Intravenous or Intramuscular Administration' (e.g. Cipla USA) – Could not locate a Cortaject/Strides label (TGA pages unreachable); all hydrocortisone sodium succinate (and sodium phosphate) injection labels seen allow IM.</t>
  </si>
  <si>
    <t xml:space="preserve">Strides Pharma Science|Hydrocortisone</t>
  </si>
  <si>
    <t xml:space="preserve">US FDA label (DailyMed) – Midazolam hydrochloride (Gland Pharma Limited): route IM, IV</t>
  </si>
  <si>
    <t xml:space="preserve">https://dailymed.nlm.nih.gov/dailymed/drugInfo.cfm?setid=23f4df96-1151-4815-8f01-4d79e5aa2145</t>
  </si>
  <si>
    <t xml:space="preserve">Hydrocortisone Sodium Succinate for Injection USP 100 mg vial (US, Zydus Pharmaceuticals USA)</t>
  </si>
  <si>
    <t xml:space="preserve">US label: 'For Intravenous or Intramuscular Administration' – Our data lists 100 mg/2 mL; US product is 100 mg powder vial.</t>
  </si>
  <si>
    <t xml:space="preserve">https://dailymed.nlm.nih.gov/dailymed/drugInfo.cfm?setid=37534164-9de5-4bb3-9f87-341dfcf90883</t>
  </si>
  <si>
    <t xml:space="preserve">Zydus Lifesciences|Hydrocortisone</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</si>
  <si>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</si>
  <si>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</si>
  <si>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https://mhraproducts4853.blob.core.windows.net/docs/d43a7f71f48565822fee9785a9f23d1c36290a30</t>
  </si>
  <si>
    <t xml:space="preserve">Hydroxocobalamin 1 mg/mL solution for injection, 1 mL ampoules (UK, Accord Healthcare Ltd, PL 20075/0691)</t>
  </si>
  <si>
    <t xml:space="preserve">SmPC 4.2 'Method of administration: Intramuscular injection.' – UK product is IM only (no SC/IV).</t>
  </si>
  <si>
    <t xml:space="preserve">https://mhraproducts4853.blob.core.windows.net/docs/bee3b79e5009a9c90b9c1e2b44a7588befda1f1b</t>
  </si>
  <si>
    <t xml:space="preserve">Intas Pharmaceuticals|Hydroxocobalamin</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</si>
  <si>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</si>
  <si>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</si>
  <si>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https://mhraproducts4853.blob.core.windows.net/docs/deb4340f48c538ddac710a914581a07ba8ad754b</t>
  </si>
  <si>
    <t xml:space="preserve">Hyoscine Hydrobromide 600 mcg/mL solution for injection, 1 mL ampoule (UK, Wockhardt UK Ltd, PL 29831/0115)</t>
  </si>
  <si>
    <t xml:space="preserve">SmPC 4.2: given 'by subcutaneous or intramuscular route'; 'may if required also be given by the intravenous route'.</t>
  </si>
  <si>
    <t xml:space="preserve">Wockhardt|Hyoscine Hydrobromide</t>
  </si>
  <si>
    <t xml:space="preserve">US FDA label (DailyMed) – Mitoxantrone (Fresenius Kabi USA, LLC): route IV; no US label lists ID / IM / SC</t>
  </si>
  <si>
    <t xml:space="preserve">https://dailymed.nlm.nih.gov/dailymed/drugInfo.cfm?setid=fcb8ef8a-f770-4416-8fc5-fa01d98c8eee</t>
  </si>
  <si>
    <t xml:space="preserve">Indocyanine Green for Injection USP 25 mg vial kit with 10 mL SWFI (US, Zydus Pharmaceuticals USA)</t>
  </si>
  <si>
    <t xml:space="preserve">US label: 'for intravenous or interstitial use'; interstitial = 4 x 1 mL injections into the cervix (superficial 1-3 mm and deep 1-3 cm) for lymphatic mapping; no ID/IM/SC – Only US label found (approved Aug 2026). Interstitial cervical injection is a needle injection but not ID/IM/SC; ID/SC lymphatic-mapping use is only in other makers' non-US labels.</t>
  </si>
  <si>
    <t xml:space="preserve">https://dailymed.nlm.nih.gov/dailymed/drugInfo.cfm?setid=edf5b8f3-8542-42f7-bc08-f71843c1be4c</t>
  </si>
  <si>
    <t xml:space="preserve">Zydus Lifesciences|Indocyanine Green</t>
  </si>
  <si>
    <t xml:space="preserve">US FDA label (DailyMed) – Morphine Sulfate (Fresenius Kabi USA, LLC): route IM, IV</t>
  </si>
  <si>
    <t xml:space="preserve">https://dailymed.nlm.nih.gov/dailymed/drugInfo.cfm?setid=582f42e5-444e-4246-af8c-e7e28097c69a</t>
  </si>
  <si>
    <t xml:space="preserve">Isoproterenol HCl Injection 0.2 mg/mL, 1 mL and 5 mL (US, Cipla USA)</t>
  </si>
  <si>
    <t xml:space="preserve">Carton: 'Intravenous, Subcutaneous, Intramuscular or Intracardiac Use Only' – Australian Cipla Isoprenaline PI (CP-2022-PI-01316-1) also: 'can be administered by the intravenous, intramuscular, subcutaneous or intracardiac' route.</t>
  </si>
  <si>
    <t xml:space="preserve">Cipla|Isoprenaline (Isoproterenol)</t>
  </si>
  <si>
    <t xml:space="preserve">US FDA label (DailyMed) – Nafcillin (Eugia US LLC): route IM, IV</t>
  </si>
  <si>
    <t xml:space="preserve">https://dailymed.nlm.nih.gov/dailymed/drugInfo.cfm?setid=34821770-929c-40ea-a9e4-d4405dc869e1</t>
  </si>
  <si>
    <t xml:space="preserve">Isoproterenol HCl Injection 0.2 mg/mL, 1 mL and 5 mL vials (US, Avet/Heritage, made by Avet Lifesciences)</t>
  </si>
  <si>
    <t xml:space="preserve">'ISOPROTERENOL HYDROCHLORIDE injection, for intravenous use'; vial 'Intravenous Use Only' – Packs match our data exactly. No other Emcure/Tillomed isoprenaline found in UK/Canada/Australia.</t>
  </si>
  <si>
    <t xml:space="preserve">https://dailymed.nlm.nih.gov/dailymed/drugInfo.cfm?setid=d140b27a-3bf7-4e0f-bb91-02b588184f52</t>
  </si>
  <si>
    <t xml:space="preserve">Emcure Pharmaceuticals|Isoprenaline (Isoproterenol)</t>
  </si>
  <si>
    <t xml:space="preserve">US FDA label (DailyMed) – Naloxone Hydrochloride (Dr. Reddy's Laboratories, Inc.): route IM, IV, SC</t>
  </si>
  <si>
    <t xml:space="preserve">https://dailymed.nlm.nih.gov/dailymed/drugInfo.cfm?setid=b1303f15-c48b-a44d-b28a-72f370094e02</t>
  </si>
  <si>
    <t xml:space="preserve">Isoproterenol HCl Injection 0.2 mg/mL (Hetero) - company label not found</t>
  </si>
  <si>
    <t xml:space="preserve">Unknown; maker labels differ: US Cipla allows IV/SC/IM, US Micro Labs/Avet/Eugia say 'Intravenous Use Only' – No Hetero/Camber isoproterenol on DailyMed (16 labels), DPD, MHRA or TGA; current US generics are mostly IV only.</t>
  </si>
  <si>
    <t xml:space="preserve">https://dailymed.nlm.nih.gov/dailymed/services/v2/spls.json?drug_name=isoproterenol&amp;pagesize=100</t>
  </si>
  <si>
    <t xml:space="preserve">Hetero Labs|Isoprenaline (Isoproterenol)</t>
  </si>
  <si>
    <t xml:space="preserve">IV, SC, IM</t>
  </si>
  <si>
    <t xml:space="preserve">UK SmPC (MHRA, Neostigmine methylsulfate injection bp 2.5mg in 1ml) – subcutaneous or intramuscular injection (myasthenia gravis, urinary retention); US label IV only</t>
  </si>
  <si>
    <t xml:space="preserve">https://mhraproducts4853.blob.core.windows.net/docs/c1a527395c406fbf88130971c80a4e1c80383b39</t>
  </si>
  <si>
    <t xml:space="preserve">https://dailymed.nlm.nih.gov/dailymed/drugInfo.cfm?setid=088f96eb-20b8-48f8-ac83-329f75a44ce1</t>
  </si>
  <si>
    <t xml:space="preserve">Isoprika isoprenaline HCl 0.2 mg/1 mL ampoule (Australia, Micro Labs Pty Ltd, ARTG 358314)</t>
  </si>
  <si>
    <t xml:space="preserve">ARTG routes: 'Intravenous Infusion, Intravenous Bolus, Intramuscular, Intracardial, Subcutaneous' – US Micro Labs ampoules (0.2 mg/1 mL, 1 mg/5 mL; setid 0f6a7651-e7b4-4ada-8ccd-2123d094a113) are 'Intravenous Use Only'. AU presentation allows IM/SC.</t>
  </si>
  <si>
    <t xml:space="preserve">https://www.ebs.tga.gov.au/servlet/xmlmillr6?dbid=ebs/PublicHTML/pdfStore.nsf&amp;docid=358314&amp;agid=(PrintDetailsPublic)&amp;actionid=1</t>
  </si>
  <si>
    <t xml:space="preserve">Micro Labs|Isoprenaline (Isoproterenol)</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</si>
  <si>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</si>
  <si>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</si>
  <si>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</si>
  <si>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Lanreotide Injection 60/90/120 mg single-dose pre-filled syringes (US, Cipla USA; made by Pharmathen)</t>
  </si>
  <si>
    <t xml:space="preserve">US label: 'For deep subcutaneous injection only' – Supplied in its own ready-to-use prefilled syringe with needle, so a separate safety syringe is not used.</t>
  </si>
  <si>
    <t xml:space="preserve">https://dailymed.nlm.nih.gov/dailymed/drugInfo.cfm?setid=2892b4c3-0329-4d29-97ff-3b45283bbab1</t>
  </si>
  <si>
    <t xml:space="preserve">Cipla|Lanreotide</t>
  </si>
  <si>
    <t xml:space="preserve">US FDA label (DailyMed) – Olanzapine (Camber Pharmaceuticals, Inc.): route IM</t>
  </si>
  <si>
    <t xml:space="preserve">https://dailymed.nlm.nih.gov/dailymed/drugInfo.cfm?setid=c1387008-6dc4-4f1e-ae29-fa7a0f0be684</t>
  </si>
  <si>
    <t xml:space="preserve">Camcevi 21 mg prolonged-release suspension, pre-filled syringe (EU, Accord Healthcare S.L.U.)</t>
  </si>
  <si>
    <t xml:space="preserve">EU SmPC: 'administered as a single subcutaneous injection every three months'; 'Intra-arterial or intravenous injection ... must be strictly avoided' – Comes in its own pre-filled syringe.</t>
  </si>
  <si>
    <t xml:space="preserve">https://www.ema.europa.eu/en/documents/product-information/camcevi-epar-product-information_en.pdf</t>
  </si>
  <si>
    <t xml:space="preserve">Intas Pharmaceuticals|Leuprorelin</t>
  </si>
  <si>
    <t xml:space="preserve">US FDA label (DailyMed) – ondansetron (Accord Healthcare, Inc.): route IM, IV</t>
  </si>
  <si>
    <t xml:space="preserve">https://dailymed.nlm.nih.gov/dailymed/drugInfo.cfm?setid=35e0d160-813f-41d7-a382-d2cab6485d9c</t>
  </si>
  <si>
    <t xml:space="preserve">Lincomycin Injection USP 300 mg/mL, 2 mL (600 mg) and 10 mL vials (US, Micro Labs Ltd)</t>
  </si>
  <si>
    <t xml:space="preserve">'Sterile Solution for Intramuscular and Intravenous Use'</t>
  </si>
  <si>
    <t xml:space="preserve">https://dailymed.nlm.nih.gov/dailymed/drugInfo.cfm?setid=20c0e8af-a78f-47f8-ace4-06b80def7003</t>
  </si>
  <si>
    <t xml:space="preserve">Micro Labs|Lincomycin</t>
  </si>
  <si>
    <t xml:space="preserve">US FDA label (DailyMed) – Oxacillin (Eugia US LLC): route IM, IV</t>
  </si>
  <si>
    <t xml:space="preserve">https://dailymed.nlm.nih.gov/dailymed/drugInfo.cfm?setid=81e90279-9889-47bd-974b-334c181f295c</t>
  </si>
  <si>
    <t xml:space="preserve">Magnesium Sulfate Injection USP 50%, 25 g/50 mL vial (US, Camber; made by Aspiro Pharma, Hetero group)</t>
  </si>
  <si>
    <t xml:space="preserve">US label: 'administered by the intravenous (IV) or intramuscular (IM) routes'; 'Deep IM injection of the undiluted (50%) solution is appropriate for adults' – Same label covers 2/10/20/50 mL vials; the 50 mL (25 g) vial is large relative to IM doses (5 g = 10 mL per buttock) but IM is labelled.</t>
  </si>
  <si>
    <t xml:space="preserve">Hetero Labs|Magnesium Sulfate</t>
  </si>
  <si>
    <t xml:space="preserve">US FDA label (DailyMed) – Oxytocin (Cardinal Health 107, LLC): route IM, IV</t>
  </si>
  <si>
    <t xml:space="preserve">https://dailymed.nlm.nih.gov/dailymed/drugInfo.cfm?setid=18fe8365-86e3-414e-84dc-c98e097a2f36</t>
  </si>
  <si>
    <t xml:space="preserve">Measles vaccine live attenuated, 1000 CCID50/0.5 mL dose vial (Cipla label not found; reference: Serum Institute of India, Cipla's vaccine supplier in South Africa)</t>
  </si>
  <si>
    <t xml:space="preserve">Measles vaccine labels: 'Subcutaneous injection' (SII); measles vaccines are labelled SC (some also IM), none IV – Could not open a Cipla-branded measles PI; SAHPRA lists a 'Measles Rubella Cipla' PIL (repository unreachable). Reconstituted multi-dose vial - drawn up into syringe.</t>
  </si>
  <si>
    <t xml:space="preserve">https://www.seruminstitute.com/product_viral_measles.php</t>
  </si>
  <si>
    <t xml:space="preserve">Cipla|Measles Vaccine</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</si>
  <si>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</si>
  <si>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</si>
  <si>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https://mhraproducts4853.blob.core.windows.net/docs/83e81cb065e8691917e531d50b1da4f1dae928b6</t>
  </si>
  <si>
    <t xml:space="preserve">Medroxyprogesterone Acetate Injectable Suspension 150 mg/mL, vial and prefilled syringe (US, Eugia US LLC)</t>
  </si>
  <si>
    <t xml:space="preserve">"for intramuscular use"; route IM (deep IM gluteal/deltoid) – IM only (150 mg/mL); the SC form is the separate 104 mg/0.65 mL product.</t>
  </si>
  <si>
    <t xml:space="preserve">Aurobindo Pharma|Medroxyprogesterone Acetate</t>
  </si>
  <si>
    <t xml:space="preserve">US FDA label (DailyMed) – INVEGA HAFYERA (Janssen Pharmaceuticals, Inc): route IM</t>
  </si>
  <si>
    <t xml:space="preserve">https://dailymed.nlm.nih.gov/dailymed/drugInfo.cfm?setid=6cd61892-d2cb-434d-83ed-5c1b2c4e7a0b</t>
  </si>
  <si>
    <t xml:space="preserve">Medroxyprogesterone acetate 150 mg/mL injection suspension, 1 mL vial (Cipla; label not retrieved)</t>
  </si>
  <si>
    <t xml:space="preserve">Standard 150 mg/mL DMPA labels: "for intramuscular use" (deep IM) – Cipla label not retrieved. A TGA entry for a Cipla MPA 150 mg/1 mL vial appeared in search results, but tga.gov.au returned 503 and there is no Cipla PI in TGA eBS. All 150 mg/mL labels are IM, e.g. the Eugia US label cited here.</t>
  </si>
  <si>
    <t xml:space="preserve">Cipla|Medroxyprogesterone Acetate</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</si>
  <si>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</si>
  <si>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</si>
  <si>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https://mhraproducts4853.blob.core.windows.net/docs/f22c15840604c663970f7da2a79614ac40bca62c</t>
  </si>
  <si>
    <t xml:space="preserve">Methohexital Sodium for Injection USP 500 mg vial (US, OneSource Specialty Pharma)</t>
  </si>
  <si>
    <t xml:space="preserve">'For Intravenous Use in Adults; For Rectal and Intramuscular Use Only in Pediatric Patients' – IM only in paediatric patients (reconstituted 5% solution).</t>
  </si>
  <si>
    <t xml:space="preserve">https://dailymed.nlm.nih.gov/dailymed/drugInfo.cfm?setid=6fb09acf-4937-47a0-a9da-084ec062da6f</t>
  </si>
  <si>
    <t xml:space="preserve">OneSource Specialty Pharma|Methohexital</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</si>
  <si>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</si>
  <si>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</si>
  <si>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https://mhraproducts4853.blob.core.windows.net/docs/9fc4a882e1f84fc1af4503edf9a3e048a47e9f53</t>
  </si>
  <si>
    <t xml:space="preserve">Methotrexate Injection USP 25 mg/mL: 50 mg/2 mL MDV (with preservative) and 1 g/40 mL single-dose PF vial (US, Alembic)</t>
  </si>
  <si>
    <t xml:space="preserve">US label: 'for intravenous, intramuscular, subcutaneous, or intrathecal use'; PF single-dose vials (incl. 25 mg/mL, 40 mL = 1 g) 'for intravenous, intramuscular, subcutaneous, or intrathecal use'; preserved 2 mL MDV 'for intravenous, intramuscular, or subcutaneous use' – 1 g/40 mL is 25 mg/mL (not the 100 mg/mL infusion concentrate) and is labelled IV/IM/SC/IT, though in practice used for high-dose IV; 50 mg/2 mL vial is the realistic IM/SC presentation.</t>
  </si>
  <si>
    <t xml:space="preserve">https://dailymed.nlm.nih.gov/dailymed/drugInfo.cfm?setid=a63364d5-4dfa-49d7-8a5e-c8959ae1d37a</t>
  </si>
  <si>
    <t xml:space="preserve">Alembic Pharmaceuticals|Methotrexate</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</si>
  <si>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</si>
  <si>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</si>
  <si>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https://mhraproducts4853.blob.core.windows.net/docs/5c26c6a145bca6fbb3eda47073599ced86713a2f</t>
  </si>
  <si>
    <t xml:space="preserve">Methotrexate Injection USP 25 mg/mL preservative-free, 50 mg/2 mL, 200 mg/8 mL, 250 mg/10 mL single-dose vials (US, Eugia US)</t>
  </si>
  <si>
    <t xml:space="preserve">US label: preservative-free 'may be administered by intramuscular, intravenous, subcutaneous, or intrathecal injection'; vial label 'For Intravenous, Intramuscular, Subcutaneous and Intrathecal Use Only'</t>
  </si>
  <si>
    <t xml:space="preserve">https://dailymed.nlm.nih.gov/dailymed/drugInfo.cfm?setid=63bb6fbf-dd59-4edc-af8f-d0c397ca1262</t>
  </si>
  <si>
    <t xml:space="preserve">Aurobindo Pharma|Methotrexate</t>
  </si>
  <si>
    <t xml:space="preserve">US FDA label (DailyMed) – UDENYCA (Accord BioPharma, Inc.): route SC</t>
  </si>
  <si>
    <t xml:space="preserve">https://dailymed.nlm.nih.gov/dailymed/drugInfo.cfm?setid=77a8576f-b91e-42ce-b613-2fa3c3d4a571</t>
  </si>
  <si>
    <t xml:space="preserve">Methotrexate 50 mg/2 mL (25 mg/mL) solution for injection (Hetero; no regulated-market label found; Mexico 'Metogist' listed under Hetero)</t>
  </si>
  <si>
    <t xml:space="preserve">25 mg/mL methotrexate injection labels from all makers allow IM (and IV/SC), e.g. US 'for intravenous, intramuscular, subcutaneous, or intrathecal use'; Hetero's Metogist 50 mg/2 mL listed 'Via: intramuscular' – Source is a Mexican drug-database listing (reg. 170M2026 SSA), not the label itself.</t>
  </si>
  <si>
    <t xml:space="preserve">https://www.vademecum.es/mexico/equivalencias/1631576/metogist-solucion-inyectable-50-mg-2-ml</t>
  </si>
  <si>
    <t xml:space="preserve">Hetero Labs|Methotrexate</t>
  </si>
  <si>
    <t xml:space="preserve">US FDA label (DailyMed) – pentamidine isethionate (Heritage Pharmaceuticals Inc. d/b/a Avet Pharmaceuticals Inc.): route IM, IV</t>
  </si>
  <si>
    <t xml:space="preserve">https://dailymed.nlm.nih.gov/dailymed/drugInfo.cfm?setid=5c14fbf2-e21f-44b3-b35c-06919d40d7e0</t>
  </si>
  <si>
    <t xml:space="preserve">25 mg/mL vials and SC prefilled syringes</t>
  </si>
  <si>
    <t xml:space="preserve">Vials: intramuscular, intravenous or intrathecal; syringes: subcutaneous</t>
  </si>
  <si>
    <t xml:space="preserve">Intas Pharmaceuticals|Methotrexate</t>
  </si>
  <si>
    <t xml:space="preserve">UK SmPC (MHRA) – Phenylephrine 10 mg/mL Injection (PL 20072/0226): "For subcutaneous, intramuscular, slow intravenous injection or intravenous infusion"; also IM / SC / IV in Health Canada (Sandoz, Omega – marketed), Australia (Phenylephrine Accord, Baxter, AFT) and EU (Biorphen, Austria). US labels: IV only.</t>
  </si>
  <si>
    <t xml:space="preserve">https://mhraproducts4853.blob.core.windows.net/docs/55fa24b0655197623f40fdf9c0e1d849154bfa80</t>
  </si>
  <si>
    <t xml:space="preserve">https://health-products.canada.ca/dpd-bdpp/info?lang=eng&amp;code=12889</t>
  </si>
  <si>
    <t xml:space="preserve">Reinstated after the 7-geography check (was IV only on the US label).</t>
  </si>
  <si>
    <t xml:space="preserve">Methylprednisolone Acetate Injectable Suspension 40 mg/mL and 80 mg/mL, multi-dose vial (US, Eugia US LLC)</t>
  </si>
  <si>
    <t xml:space="preserve">"for intramuscular, intra-articular, soft tissue, or intralesional injection" – Eugia product is a suspension, not a powder as stated in our data; not for IV use.</t>
  </si>
  <si>
    <t xml:space="preserve">Aurobindo Pharma|Methylprednisolone Acetate</t>
  </si>
  <si>
    <t xml:space="preserve">US FDA label (DailyMed) – PHENYTOIN SODIUM (Acella Pharmaceuticals, LLC): route IM, IV</t>
  </si>
  <si>
    <t xml:space="preserve">https://dailymed.nlm.nih.gov/dailymed/drugInfo.cfm?setid=6922f32f-8bed-4c09-8103-27987bcbd104</t>
  </si>
  <si>
    <t xml:space="preserve">Midazolam 5 mg/mL Solution for Injection or Infusion (UK, Accord Healthcare Ltd, PL 20075/0081)</t>
  </si>
  <si>
    <t xml:space="preserve">SmPC: 'should be administered i.v. or i.m., deep into a large muscle'; deep i.m. dosing given (also rectal) – Accord-UK 1 mg/mL pre-filled syringe SmPC (PL 00142/1263) also gives i.m. dosing. EU 50 mg/10 mL and 5 mg/5 mL PFS not read individually.</t>
  </si>
  <si>
    <t xml:space="preserve">https://mhraproducts4853.blob.core.windows.net/docs/68c2c150f8fa51582b721bd46359383772e1a5c8</t>
  </si>
  <si>
    <t xml:space="preserve">Intas Pharmaceuticals|Midazolam</t>
  </si>
  <si>
    <t xml:space="preserve">US FDA label (DailyMed) – Phytonadione (Alembic Pharmaceuticals Inc.): route IM, IV, SC</t>
  </si>
  <si>
    <t xml:space="preserve">https://dailymed.nlm.nih.gov/dailymed/drugInfo.cfm?setid=b1e53422-c85d-4bb6-af4f-24934cc319b0</t>
  </si>
  <si>
    <t xml:space="preserve">Morphine Sulfate 30 mg/mL solution for injection, 1 mL/2 mL ampoules (UK, Wockhardt UK Ltd, PL 29831/0147)</t>
  </si>
  <si>
    <t xml:space="preserve">SmPC 4.2: 'Morphine Sulfate may be given by the subcutaneous, intramuscular or intravenous route.' – Unlike some high-strength US morphine presentations (IV only), this UK 30 mg/mL ampoule is SC/IM/IV.</t>
  </si>
  <si>
    <t xml:space="preserve">https://mhraproducts4853.blob.core.windows.net/docs/5ea04071d3531da100fbf0a3a5f2e5930568f9a5</t>
  </si>
  <si>
    <t xml:space="preserve">Wockhardt|Morphine</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</si>
  <si>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</si>
  <si>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</si>
  <si>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https://mhraproducts4853.blob.core.windows.net/docs/fb177071badddaa7979eeae36ea28ab48a60b768</t>
  </si>
  <si>
    <t xml:space="preserve">EU database lists IM for some Italian products; label text found says IV infusion. Kept out.</t>
  </si>
  <si>
    <t xml:space="preserve">Nafcillin for Injection USP 1 g and 2 g vials (US, Eugia US LLC)</t>
  </si>
  <si>
    <t xml:space="preserve">'For Intramuscular Use ... add 3.4 mL to the 1 gram vial' (and 6.6 mL to the 2 g vial); IV also – Eugia 10 g Pharmacy Bulk Package (setids 0f21384c, 8ec288e6) is IV admixture only.</t>
  </si>
  <si>
    <t xml:space="preserve">https://dailymed.nlm.nih.gov/dailymed/drugInfo.cfm?setid=90717878-64cb-4ffc-90bc-7b4e81e3d1cd</t>
  </si>
  <si>
    <t xml:space="preserve">Aurobindo Pharma|Nafcillin</t>
  </si>
  <si>
    <t xml:space="preserve">US FDA label (DailyMed) – Plerixafor (Camber Pharmaceuticals, Inc.): route SC</t>
  </si>
  <si>
    <t xml:space="preserve">https://dailymed.nlm.nih.gov/dailymed/drugInfo.cfm?setid=bb8e1167-8378-4e73-9bcb-d69093ec829b</t>
  </si>
  <si>
    <t xml:space="preserve">Nafcillin for Injection USP 1 g and 2 g vials (US, OneSource Specialty Pharma Ltd as labeler/manufacturer)</t>
  </si>
  <si>
    <t xml:space="preserve">'For Intramuscular or Intravenous Injection'; 'For Intramuscular Use ... add 3.4 mL' to the 1 g vial – NDC 83270-309 (1 g) and 83270-310 (2 g).</t>
  </si>
  <si>
    <t xml:space="preserve">https://dailymed.nlm.nih.gov/dailymed/drugInfo.cfm?setid=4b3b8e52-df96-4886-e063-6294a90ac63f</t>
  </si>
  <si>
    <t xml:space="preserve">OneSource Specialty Pharma|Nafcillin</t>
  </si>
  <si>
    <t xml:space="preserve">US FDA label (DailyMed) – Progesterone (Eugia US LLC): route IM</t>
  </si>
  <si>
    <t xml:space="preserve">https://dailymed.nlm.nih.gov/dailymed/drugInfo.cfm?setid=7d19df3b-94ed-4681-beae-9caaf137d014</t>
  </si>
  <si>
    <t xml:space="preserve">Naloxone HCl Injection USP 2 mg/2 mL prefilled syringe (US, Eugia US)</t>
  </si>
  <si>
    <t xml:space="preserve">'For Intravenous, Intramuscular or Subcutaneous Use'; 'may be administered intravenously, intramuscularly, or subcutaneously' – Eugia 0.4 mg/mL and 4 mg/10 mL vial labels also IV/IM/SC; Canadian Auro Pharma naloxone also IV/IM/SC.</t>
  </si>
  <si>
    <t xml:space="preserve">https://dailymed.nlm.nih.gov/dailymed/drugInfo.cfm?setid=8bcf426a-b4fc-4f24-9ad0-fb26168a0b56</t>
  </si>
  <si>
    <t xml:space="preserve">Aurobindo Pharma|Naloxone</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</si>
  <si>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</si>
  <si>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</si>
  <si>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https://mhraproducts4853.blob.core.windows.net/docs/20e325341d4d11f3fa15c459435ae46791d8ba4f</t>
  </si>
  <si>
    <t xml:space="preserve">Naloxone HCl Injection USP 2 mg/2 mL prefilled syringe (US, Dr. Reddy's Laboratories Inc)</t>
  </si>
  <si>
    <t xml:space="preserve">'may be administered intravenously, intramuscularly, or subcutaneously'; 'for intravenous, intramuscular, and subcutaneous administration'</t>
  </si>
  <si>
    <t xml:space="preserve">Dr. Reddy's Laboratories|Naloxone</t>
  </si>
  <si>
    <t xml:space="preserve">US FDA label (DailyMed) – Protamine Sulfate (Fresenius Kabi USA, LLC): route IV; no US label lists ID / IM / SC</t>
  </si>
  <si>
    <t xml:space="preserve">https://dailymed.nlm.nih.gov/dailymed/drugInfo.cfm?setid=7a31fc4c-579f-45cc-9559-39cfad9a57b3</t>
  </si>
  <si>
    <t xml:space="preserve">IM / SC hits are insulin–protamine combinations, not protamine sulfate. Kept out.</t>
  </si>
  <si>
    <t xml:space="preserve">Naloxone 400 micrograms/mL solution for injection in pre-filled syringe (UK, Accord-UK, PL 00142/1286)</t>
  </si>
  <si>
    <t xml:space="preserve">'can be injected intravenously (i.v.) or intramuscularly (i.m.)'</t>
  </si>
  <si>
    <t xml:space="preserve">https://mhraproducts4853.blob.core.windows.net/docs/1b85c921ff22e65de2c4cb817669b364513ade84</t>
  </si>
  <si>
    <t xml:space="preserve">Intas Pharmaceuticals|Naloxone</t>
  </si>
  <si>
    <t xml:space="preserve">Intravitreal</t>
  </si>
  <si>
    <t xml:space="preserve">UK SmPC (MHRA, Lucentis 10 mg/mL solution for injection) – intravitreal injection only</t>
  </si>
  <si>
    <t xml:space="preserve">https://mhraproducts4853.blob.core.windows.net/docs/832a62b9cb979c15814e955526cafbf58d1a120a</t>
  </si>
  <si>
    <t xml:space="preserve">Neostigmine Methylsulfate Injection USP 3 mg/3 mL PFS and 0.5 / 1 mg/mL 10 mL vials (US, Dr. Reddy's)</t>
  </si>
  <si>
    <t xml:space="preserve">PFS: 'single-dose prefilled syringe for intravenous use only'; vials: 'for intravenous use only' - IV only – Vial label setid 81243f47-bd25-bd02-518a-087badcca755 also IV only. No Dr. Reddy's neostigmine found in UK/Canada/Australia (where IM/SC is allowed).</t>
  </si>
  <si>
    <t xml:space="preserve">https://dailymed.nlm.nih.gov/dailymed/drugInfo.cfm?setid=12575d1a-a2c2-37b2-0dcf-31e58bbc2a10</t>
  </si>
  <si>
    <t xml:space="preserve">Dr. Reddy's Laboratories|Neostigmine</t>
  </si>
  <si>
    <t xml:space="preserve">US FDA label (DailyMed) – Regadenoson (Dr. Reddy's Laboratories Inc.): route IV; no US label lists ID / IM / SC</t>
  </si>
  <si>
    <t xml:space="preserve">https://dailymed.nlm.nih.gov/dailymed/drugInfo.cfm?setid=03ef6420-8190-a404-f7f6-def1864a77de</t>
  </si>
  <si>
    <t xml:space="preserve">Neostigmine Methylsulfate Injection USP 0.5 and 1 mg/mL, 10 mL MDV (US, Avet/Heritage, made by Emcure)</t>
  </si>
  <si>
    <t xml:space="preserve">'for intravenous use only'; vial 'For Intravenous Use' - IV only – Packs match our data. No Emcure/Tillomed neostigmine found on MHRA, Health Canada or TGA.</t>
  </si>
  <si>
    <t xml:space="preserve">https://dailymed.nlm.nih.gov/dailymed/drugInfo.cfm?setid=9cc2bfa1-c968-4d01-8162-2ef188974164</t>
  </si>
  <si>
    <t xml:space="preserve">Emcure Pharmaceuticals|Neostigmine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</si>
  <si>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</si>
  <si>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</si>
  <si>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https://mhraproducts4853.blob.core.windows.net/docs/30aabc766650f3de9340032eb4a1823e8a92d0ac</t>
  </si>
  <si>
    <t xml:space="preserve">Oktreotid SUN 500 mikrogram/ml, 1 ml ampoule (Sweden/EU, Sun Pharmaceutical Industries Europe B.V.)</t>
  </si>
  <si>
    <t xml:space="preserve">Swedish SmPC: 'Administreringssatt: Subkutant eller intravenost' (subcutaneous or intravenous)</t>
  </si>
  <si>
    <t xml:space="preserve">https://docetp.mpa.se/LMF/Oktreotid%20SUN%20solution%20for%20injection%20SmPC_09001bee807a5102.pdf</t>
  </si>
  <si>
    <t xml:space="preserve">Sun Pharma|Octreotide</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</si>
  <si>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</si>
  <si>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</si>
  <si>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https://mhraproducts4853.blob.core.windows.net/docs/2db067f28b4a5cee9ffbcda6966ba8e62c165c64</t>
  </si>
  <si>
    <t xml:space="preserve">Olanzapine Lupin IM 10 mg powder for injection, vial (Australia, Lupin; marketed as Olanzapine GH IM via Generic Health)</t>
  </si>
  <si>
    <t xml:space="preserve">"for intramuscular use. Do not administer intravenously or subcutaneously." – TGA PI (licence-acceptance page first). This is short-acting IM olanzapine. The GH brand was not listed separately in TGA eBS.</t>
  </si>
  <si>
    <t xml:space="preserve">https://www.ebs.tga.gov.au/ebs/picmi/picmirepository.nsf/pdf?OpenAgent&amp;id=CP-2026-PI-01223-1</t>
  </si>
  <si>
    <t xml:space="preserve">Lupin|Olanzapine</t>
  </si>
  <si>
    <t xml:space="preserve">Epidural, perineural, infiltration</t>
  </si>
  <si>
    <t xml:space="preserve">UK SmPC (MHRA, Ropivacaine altan 10 mg/mL solution for injection) – epidural, perineural and infiltration – no ID / IM / SC route listed</t>
  </si>
  <si>
    <t xml:space="preserve">https://mhraproducts4853.blob.core.windows.net/docs/e2acf7eb6316bc8cbbaaf53631abd625c75878c8</t>
  </si>
  <si>
    <t xml:space="preserve">Kept out: labels list epidural, perineural and "infiltration" but never SC / ID / IM by name (unlike lidocaine and bupivacaine, whose UK labels name SC). Overwrite col D to "Yes" to treat infiltration as SC.</t>
  </si>
  <si>
    <t xml:space="preserve">Ondansetron Injection USP 2 mg/mL, 2 mL and 20 mL vials (US, Eugia US)</t>
  </si>
  <si>
    <t xml:space="preserve">'ONDANSETRON injection, for intravenous or intramuscular use'; carton 'For Intravenous or Intramuscular Injection' – Canadian Auro-Ondansetron / Eugia-Ondansetron injections are listed IV only (all Canadian ondansetron injections are IV only).</t>
  </si>
  <si>
    <t xml:space="preserve">https://dailymed.nlm.nih.gov/dailymed/drugInfo.cfm?setid=1cc94c7a-617c-4238-8248-e3fabc9612c7</t>
  </si>
  <si>
    <t xml:space="preserve">Aurobindo Pharma|Ondansetron</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</si>
  <si>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</si>
  <si>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</si>
  <si>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https://mhraproducts4853.blob.core.windows.net/docs/02230fedf0f6e67657137dc1b732971ab3782ab2</t>
  </si>
  <si>
    <t xml:space="preserve">Ondansetron Injection USP 2 mg/mL, 4 mg/2 mL vial (US, Avet/Heritage)</t>
  </si>
  <si>
    <t xml:space="preserve">'ONDANSETRON injection, for intravenous or intramuscular use'; vial 'For Intravenous or Intramuscular Injection' – Tillomed 4 mg/2 mL ampoule label itself not located (not on MHRA); Emcure's US (Avet) label read instead.</t>
  </si>
  <si>
    <t xml:space="preserve">https://dailymed.nlm.nih.gov/dailymed/drugInfo.cfm?setid=b746d4db-43e6-4219-9e6b-f53e59581305</t>
  </si>
  <si>
    <t xml:space="preserve">Emcure Pharmaceuticals|Ondansetron</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</si>
  <si>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</si>
  <si>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</si>
  <si>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https://mhraproducts4853.blob.core.windows.net/docs/acf0dbbc5df81cd92e3a113a48e28dc68e8a0cf5</t>
  </si>
  <si>
    <t xml:space="preserve">One US listing (route metadata IM) and one Polish product (SC) – not supported by label text; standard 8.4% is IV. Kept out.</t>
  </si>
  <si>
    <t xml:space="preserve">Ondansetron 2 mg/mL Solution for Injection or Infusion, ampoules (UK, Accord Healthcare Ltd, PL 20075/0082)</t>
  </si>
  <si>
    <t xml:space="preserve">'single dose of 4 mg given by intramuscular or slow intravenous injection'; 8 mg 'slow intravenous or intramuscular injection' – Accord-UK 4 mg PFS (PL 00142/1242) also IV/IM; US Accord 40 mg/20 mL vial IV/IM. Canadian Accord ondansetron injection listed IV only.</t>
  </si>
  <si>
    <t xml:space="preserve">https://mhraproducts4853.blob.core.windows.net/docs/4afca553cf5d6e39fdc331fc8f6280e7afa3b50f</t>
  </si>
  <si>
    <t xml:space="preserve">Intas Pharmaceuticals|Ondansetron</t>
  </si>
  <si>
    <t xml:space="preserve">UK SmPC (MHRA, Sodium valproate 100mg/mL solution for injection or infusion) – intravenous injection or infusion</t>
  </si>
  <si>
    <t xml:space="preserve">https://mhraproducts4853.blob.core.windows.net/docs/0abd36d989a97b306126883cf229d48c54e4d739</t>
  </si>
  <si>
    <t xml:space="preserve">Ondansetron 2 mg/mL Solution for Injection or Infusion, 2 mL ampoule (UK, Wockhardt UK, PL 29831/0154)</t>
  </si>
  <si>
    <t xml:space="preserve">'8mg by slow intravenous or intramuscular injection'; given by 'intravenous or intramuscular injection' – US Wockhardt ondansetron injection label also IV/IM.</t>
  </si>
  <si>
    <t xml:space="preserve">https://mhraproducts4853.blob.core.windows.net/docs/3300dafbb7b5e5b22a969cdd7ff2d2dfcc5cb3dc</t>
  </si>
  <si>
    <t xml:space="preserve">Wockhardt|Ondansetron</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</si>
  <si>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</si>
  <si>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</si>
  <si>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</si>
  <si>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</si>
  <si>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Zydus-Ondansetron 8 mg injection (South Africa, Zydus Healthcare SA) - label not found</t>
  </si>
  <si>
    <t xml:space="preserve">Unknown; ondansetron injections are IV/IM in US/UK/AU but every Canadian label (incl. Zofran) is IV only – SA package insert not found online; SA Zydus listing seen only via a third-party database (not opened). URL shows Canadian Zofran injection listed IV only.</t>
  </si>
  <si>
    <t xml:space="preserve">https://health-products.canada.ca/dpd-bdpp/info?lang=eng&amp;code=43137</t>
  </si>
  <si>
    <t xml:space="preserve">Zydus Lifesciences|Ondansetron</t>
  </si>
  <si>
    <t xml:space="preserve">US FDA label (DailyMed) – Succinylcholine Chloride (Camber Pharmaceuticals, Inc.): route IM, IV</t>
  </si>
  <si>
    <t xml:space="preserve">https://dailymed.nlm.nih.gov/dailymed/drugInfo.cfm?setid=3deac02b-392c-4ee4-9abf-7fe5b8975147</t>
  </si>
  <si>
    <t xml:space="preserve">Oxacillin for Injection USP 1 g and 2 g vials (US, Eugia US LLC)</t>
  </si>
  <si>
    <t xml:space="preserve">'For Intramuscular or Intravenous Injection'; 'For Intramuscular Use ... Add 5.7 mL to the 1 gram vial' – Eugia 10 g Pharmacy Bulk Package (setid 152758c0) is IV only.</t>
  </si>
  <si>
    <t xml:space="preserve">Aurobindo Pharma|Oxacillin</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</si>
  <si>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</si>
  <si>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</si>
  <si>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https://mhraproducts4853.blob.core.windows.net/docs/3489692807cabc9ee757ad292940e8a021f68d01</t>
  </si>
  <si>
    <t xml:space="preserve">Oxacillin for Injection USP 1 g and 2 g single-dose vials (US, Wockhardt USA)</t>
  </si>
  <si>
    <t xml:space="preserve">'For Intramuscular or Intravenous Injection'; 'For Intramuscular Use: ... Add 5.4 mL to the 1 gram vial and 10.6 mL to the 2 gram vial' – Wockhardt 10 g Pharmacy Bulk Package (setid 4149d750) is IV only.</t>
  </si>
  <si>
    <t xml:space="preserve">https://dailymed.nlm.nih.gov/dailymed/drugInfo.cfm?setid=195c2054-0746-421d-8b20-8c751bdd772b</t>
  </si>
  <si>
    <t xml:space="preserve">Wockhardt|Oxacillin</t>
  </si>
  <si>
    <t xml:space="preserve">UK SmPC (MHRA, Teicoplanin 200 mg powder for solution for injection/infusion or oral) – intravenous or intramuscular; no US label</t>
  </si>
  <si>
    <t xml:space="preserve">Oxytocin GH 10 IU/1 mL ampoule (Australia, Generic Health Pty Ltd, Lupin subsidiary)</t>
  </si>
  <si>
    <t xml:space="preserve">Australian CMI: at delivery/to prevent bleeding 'can also be given intramuscularly (into a muscle) or by slow intravenous injection'; induction by IV infusion – Consumer Medicine Information (AUST R 207986), not the full PI.</t>
  </si>
  <si>
    <t xml:space="preserve">https://mydr.com.au/medicines/oxytocin-gh/</t>
  </si>
  <si>
    <t xml:space="preserve">Lupin|Oxytocin</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</si>
  <si>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</si>
  <si>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</si>
  <si>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https://mhraproducts4853.blob.core.windows.net/docs/87e83833753716c061280fd48b95d5801f88bfa9</t>
  </si>
  <si>
    <t xml:space="preserve">Paliperidon Heumann 50 mg depot injection suspension, prefilled syringe (Germany; Heumann label not found)</t>
  </si>
  <si>
    <t xml:space="preserve">Standard paliperidone palmitate depot labels: "nur zur intramuskulären Anwendung bestimmt" – The Heumann Fachinformation was not found. Every paliperidone palmitate depot (Xeplion generics) is IM only; the URL cited is the Paliperidon-ratiopharm Fachinformation.</t>
  </si>
  <si>
    <t xml:space="preserve">https://fachinfo.de/fi/pdf/023946/paliperidon-ratiopharm-r-depot-injektionssuspension</t>
  </si>
  <si>
    <t xml:space="preserve">Torrent Pharmaceuticals|Paliperidone</t>
  </si>
  <si>
    <t xml:space="preserve">US FDA label (DailyMed) – TESTOSTERONE CYPIONATE (Cipla USA Inc.): route IM</t>
  </si>
  <si>
    <t xml:space="preserve">https://dailymed.nlm.nih.gov/dailymed/drugInfo.cfm?setid=78d55bad-4a5b-4e21-aeb8-a4c6346208be</t>
  </si>
  <si>
    <t xml:space="preserve">6 mg/0.6 mL prefilled syringe</t>
  </si>
  <si>
    <t xml:space="preserve">Subcutaneous (already a syringe – see Notes)</t>
  </si>
  <si>
    <t xml:space="preserve">https://www.ema.europa.eu/en/medicines/human/EPAR/pelgraz</t>
  </si>
  <si>
    <t xml:space="preserve">Intas Pharmaceuticals|Pegfilgrastim</t>
  </si>
  <si>
    <t xml:space="preserve">US FDA label (DailyMed) – TESTOSTERONE ENANTHATE (Eugia US LLC): route IM</t>
  </si>
  <si>
    <t xml:space="preserve">https://dailymed.nlm.nih.gov/dailymed/drugInfo.cfm?setid=82a98132-9d5f-40a5-8c4f-f52f2a5de60e</t>
  </si>
  <si>
    <t xml:space="preserve">Pentamidine Tillomed 300 mg powder for injection/infusion or nebuliser (France, Tillomed Pharma)</t>
  </si>
  <si>
    <t xml:space="preserve">Routes registered: inhalation, intramuscular, intravenous; RCP: 'administres le plus facilement par injection intramusculaire' (leishmaniasis) – Avet US pentamidine (DailyMed 5c14fbf2) also allows IM or IV.</t>
  </si>
  <si>
    <t xml:space="preserve">https://base-donnees-publique.medicaments.gouv.fr/affichageDoc.php?typedoc=R&amp;specid=61094142</t>
  </si>
  <si>
    <t xml:space="preserve">Emcure Pharmaceuticals|Pentamidine</t>
  </si>
  <si>
    <t xml:space="preserve">US FDA label (DailyMed) – Aveed (Endo USA, Inc.): route IM</t>
  </si>
  <si>
    <t xml:space="preserve">https://dailymed.nlm.nih.gov/dailymed/drugInfo.cfm?setid=f80f025b-17d8-40af-8739-20ce07902045</t>
  </si>
  <si>
    <t xml:space="preserve">Phenylephrine Accord 10 mg/mL vial (Australia)</t>
  </si>
  <si>
    <t xml:space="preserve">Intravenous, intramuscular or subcutaneous (Australian Injectable Drugs Handbook: Accord vial suitable for IM and SC)</t>
  </si>
  <si>
    <t xml:space="preserve">https://adpha.au/publicassets/245c2e89-4042-ee11-912c-00505696223b/Phenylephrine-v9-1.pdf</t>
  </si>
  <si>
    <t xml:space="preserve">Intas Pharmaceuticals|Phenylephrine</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</si>
  <si>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</si>
  <si>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</si>
  <si>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https://mhraproducts4853.blob.core.windows.net/docs/e04df231228d42c83cc4a6259d7c5c571353c022</t>
  </si>
  <si>
    <t xml:space="preserve">Phytonadione Injectable Emulsion 10 mg/mL vial and 1 mg/0.5 mL (US, Cipla USA)</t>
  </si>
  <si>
    <t xml:space="preserve">US label: 'for intravenous, intramuscular, and subcutaneous use'; 'Administer ... by the subcutaneous route, whenever possible' – Cipla's 1 mg/0.5 mL prefilled syringe (setid 4bc2de7b-6564-4d77-8a65-6be57b706093) has same routes but comes with its own syringe.</t>
  </si>
  <si>
    <t xml:space="preserve">https://dailymed.nlm.nih.gov/dailymed/drugInfo.cfm?setid=1add4de5-0f9c-453e-9dd5-abb8077b566a</t>
  </si>
  <si>
    <t xml:space="preserve">Cipla|Phytonadione</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</si>
  <si>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</si>
  <si>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</si>
  <si>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https://mhraproducts4853.blob.core.windows.net/docs/42d7e79466d433c5192ed2f92d3a915eca41853d</t>
  </si>
  <si>
    <t xml:space="preserve">Phytonadione Injectable Emulsion USP 10 mg/mL ampule (US, Dr. Reddy's; made by Gland)</t>
  </si>
  <si>
    <t xml:space="preserve">US label: 'available for injection by the intravenous, intramuscular and subcutaneous routes'; 'should be given by the subcutaneous route' whenever possible – DRL 1 mg/0.5 mL product on DailyMed is a prefilled syringe (setid 226c0a5c-3e04-65a9-01ac-e67aad9a430a), also IV/IM/SC.</t>
  </si>
  <si>
    <t xml:space="preserve">https://dailymed.nlm.nih.gov/dailymed/drugInfo.cfm?setid=02445c07-7b4b-cd70-54e8-ebefc814f547</t>
  </si>
  <si>
    <t xml:space="preserve">Dr. Reddy's Laboratories|Phytonadione</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</si>
  <si>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</si>
  <si>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</si>
  <si>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https://mhraproducts4853.blob.core.windows.net/docs/e43f2440514458537140b935827096caf459e80d</t>
  </si>
  <si>
    <t xml:space="preserve">Plerixafor Injection 24 mg/1.2 mL single-dose vial (US, Eugia US)</t>
  </si>
  <si>
    <t xml:space="preserve">US label: 'PLERIXAFOR injection, for subcutaneous use'; 'Administer by subcutaneous injection' – Also UK: Eugia (UK) Ltd PL 56284/0007, SC.</t>
  </si>
  <si>
    <t xml:space="preserve">https://dailymed.nlm.nih.gov/dailymed/drugInfo.cfm?setid=30e0d15f-46dd-4a25-9936-34db421e4076</t>
  </si>
  <si>
    <t xml:space="preserve">Aurobindo Pharma|Plerixafor</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</si>
  <si>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</si>
  <si>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</si>
  <si>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https://mhraproducts4853.blob.core.windows.net/docs/65edc2e1545faa366d2c4975093e7970d753f777</t>
  </si>
  <si>
    <t xml:space="preserve">Plerixafor Injection 24 mg/1.2 mL single-dose vial (US, Dr. Reddy's; made by Gland)</t>
  </si>
  <si>
    <t xml:space="preserve">US label: 'PLERIXAFOR injection, for subcutaneous use'</t>
  </si>
  <si>
    <t xml:space="preserve">https://dailymed.nlm.nih.gov/dailymed/drugInfo.cfm?setid=58c9fa02-3701-d411-f946-790a62ddc064</t>
  </si>
  <si>
    <t xml:space="preserve">Dr. Reddy's Laboratories|Plerixafor</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</si>
  <si>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</si>
  <si>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</si>
  <si>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https://mhraproducts4853.blob.core.windows.net/docs/493d4bfda677fb5e534ce5b3f4ea9f88534240a7</t>
  </si>
  <si>
    <t xml:space="preserve">SC trastuzumab (Herceptin SC, Phesgo) is a separate product; the IV biosimilars made by these companies are IV only.</t>
  </si>
  <si>
    <t xml:space="preserve">Plerixafor 20 mg/ml solution for injection, 1.2 ml vial (UK, Tillomed PLGB 11311/0701)</t>
  </si>
  <si>
    <t xml:space="preserve">UK SmPC: 'recommended daily dose of plerixafor by subcutaneous injection (SC)' – Tillomed = Emcure UK subsidiary.</t>
  </si>
  <si>
    <t xml:space="preserve">https://mhraproducts4853.blob.core.windows.net/docs/bfb29ad59eb2d15fa7068c2753e106465ce6e0b4</t>
  </si>
  <si>
    <t xml:space="preserve">Emcure Pharmaceuticals|Plerixafor</t>
  </si>
  <si>
    <t xml:space="preserve">US FDA label (DailyMed) – Triamcinolone Acetonide (Alembic Pharmaceuticals Inc.): route IM</t>
  </si>
  <si>
    <t xml:space="preserve">https://dailymed.nlm.nih.gov/dailymed/drugInfo.cfm?setid=05c2a9cf-a018-48c0-9c73-2d59d52211d2</t>
  </si>
  <si>
    <t xml:space="preserve">Plerixafor Glenmark 20 mg/ml solucion inyectable EFG, 24 mg/1.2 ml vial (Spain, Glenmark Arzneimittel GmbH)</t>
  </si>
  <si>
    <t xml:space="preserve">Spanish SmPC (CIMA): 'Plerixafor es para la inyeccion subcutanea' (for subcutaneous injection)</t>
  </si>
  <si>
    <t xml:space="preserve">https://cima.aemps.es/cima/pdfs/ft/88904/FT_88904.pdf</t>
  </si>
  <si>
    <t xml:space="preserve">Glenmark Pharmaceuticals|Plerixafor</t>
  </si>
  <si>
    <t xml:space="preserve">US FDA label (DailyMed) – IMULDOSA (Accord BioPharma Inc.): route SC, IV</t>
  </si>
  <si>
    <t xml:space="preserve">https://dailymed.nlm.nih.gov/dailymed/drugInfo.cfm?setid=2539a6cf-0fe5-1565-e063-6294a90a3618</t>
  </si>
  <si>
    <t xml:space="preserve">Plerixafor Injection 24 mg/1.2 mL single-dose vial (US, Camber; made by Hetero Labs)</t>
  </si>
  <si>
    <t xml:space="preserve">US label: 'PLERIXAFOR injection, for subcutaneous use' – Also UK: Amarox Ltd PL 49445/0176, SC.</t>
  </si>
  <si>
    <t xml:space="preserve">Hetero Labs|Plerixafor</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</si>
  <si>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</si>
  <si>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</si>
  <si>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https://mhraproducts4853.blob.core.windows.net/docs/0605730a38f8b988fbfaf3fc09d20f3c7376c587</t>
  </si>
  <si>
    <t xml:space="preserve">Plerixafor Accord 20 mg/ml, 24 mg/1.2 ml vial (EU, Accord Healthcare S.L.U.)</t>
  </si>
  <si>
    <t xml:space="preserve">EU SmPC: 'Plerixafor Accord is for subcutaneous injection' – Also UK PLGB 20075/1478, SC.</t>
  </si>
  <si>
    <t xml:space="preserve">https://www.ema.europa.eu/en/documents/product-information/plerixafor-accord-epar-product-information_en.pdf</t>
  </si>
  <si>
    <t xml:space="preserve">Intas Pharmaceuticals|Plerixafor</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</si>
  <si>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</si>
  <si>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</si>
  <si>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https://mhraproducts4853.blob.core.windows.net/docs/1e3206a2f7a9a0bc0b5e1387ff816310bd3a6274</t>
  </si>
  <si>
    <t xml:space="preserve">Plerixafor Injection 24 mg/1.2 mL single-dose vial (US, Novadoz; made by MSN)</t>
  </si>
  <si>
    <t xml:space="preserve">https://dailymed.nlm.nih.gov/dailymed/drugInfo.cfm?setid=f26effc5-2a22-441f-91ac-e131ee1c9886</t>
  </si>
  <si>
    <t xml:space="preserve">MSN Laboratories|Plerixafor</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</si>
  <si>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</si>
  <si>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</si>
  <si>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https://mhraproducts4853.blob.core.windows.net/docs/2b86e6e4cadbc2aee6c9bef4810ef2d6c504c961</t>
  </si>
  <si>
    <t xml:space="preserve">Progesterone Injection USP 50 mg/mL in sesame oil, 10 mL multi-dose vial (500 mg/10 mL) (US, Eugia US LLC)</t>
  </si>
  <si>
    <t xml:space="preserve">"FOR INTRAMUSCULAR USE ONLY"</t>
  </si>
  <si>
    <t xml:space="preserve">Aurobindo Pharma|Progesterone</t>
  </si>
  <si>
    <t xml:space="preserve">US FDA label (DailyMed) – Vinblastine Sulfate (Fresenius Kabi USA, LLC): route IV; no US label lists ID / IM / SC</t>
  </si>
  <si>
    <t xml:space="preserve">https://dailymed.nlm.nih.gov/dailymed/drugInfo.cfm?setid=f073b58e-56d6-4c8d-a2ce-b37719402d77</t>
  </si>
  <si>
    <t xml:space="preserve">Progesterone injection 50 mg/mL in oil (Intas/Accord; label not found)</t>
  </si>
  <si>
    <t xml:space="preserve">Standard 50 mg/mL oily progesterone labels: "FOR INTRAMUSCULAR USE ONLY" – No Intas/Accord progesterone injection found on DailyMed, MHRA or by web search. All 50 mg/mL oil labels (Eugia, Fresenius, Hikma, Xiromed US) are IM. The URL cited is the Eugia (Aurobindo) label, not an Intas one.</t>
  </si>
  <si>
    <t xml:space="preserve">Intas Pharmaceuticals|Progesterone</t>
  </si>
  <si>
    <t xml:space="preserve">US FDA label (DailyMed) – VinCRIStine Sulfate (Hospira, Inc.): route IV; no US label lists ID / IM / SC</t>
  </si>
  <si>
    <t xml:space="preserve">https://dailymed.nlm.nih.gov/dailymed/drugInfo.cfm?setid=49596de6-ab18-49d1-9e5b-30968fc21c36</t>
  </si>
  <si>
    <t xml:space="preserve">Succinylcholine Chloride Injection USP 20 mg/mL, 10 mL vial (US, Dr. Reddy's Laboratories Inc)</t>
  </si>
  <si>
    <t xml:space="preserve">'for intravenous or intramuscular use only'; IM 'when a suitable vein is inaccessible' – Canadian Dr. Reddy's succinylcholine (DPD code 99139) is listed IV only.</t>
  </si>
  <si>
    <t xml:space="preserve">https://dailymed.nlm.nih.gov/dailymed/drugInfo.cfm?setid=f55dd1c0-c259-219a-5bca-f139e9515d07</t>
  </si>
  <si>
    <t xml:space="preserve">Dr. Reddy's Laboratories|Succinylcholine (Suxamethonium)</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</si>
  <si>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</si>
  <si>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</si>
  <si>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https://mhraproducts4853.blob.core.windows.net/docs/3d797cdc3f406c382dd7a59f87e1c4e1c4dd3b8b</t>
  </si>
  <si>
    <t xml:space="preserve">Succinylcholine Chloride Injection USP 20 mg/mL, 10 mL vial (US, Camber; made by Aspiro Pharma, Hetero group)</t>
  </si>
  <si>
    <t xml:space="preserve">'for intravenous or intramuscular use only'</t>
  </si>
  <si>
    <t xml:space="preserve">Hetero Labs|Succinylcholine (Suxamethonium)</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</si>
  <si>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</si>
  <si>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</si>
  <si>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https://mhraproducts4853.blob.core.windows.net/docs/e80e715a9abfb407b9d6e8113150fe6a6bc5aea8</t>
  </si>
  <si>
    <t xml:space="preserve">Suxamethonium Accord 100 mg/2 mL pre-filled syringe (Australia, Accord Healthcare Pty Ltd; also ARTG 'Suxamethonium Intas')</t>
  </si>
  <si>
    <t xml:space="preserve">PI: 'When a suitable vein is inaccessible, suxamethonium may occasionally be given by intramuscular' injection – IM is an occasional fallback; main route IV.</t>
  </si>
  <si>
    <t xml:space="preserve">https://www.ebs.tga.gov.au/ebs/picmi/picmirepository.nsf/pdf?OpenAgent&amp;id=CP-2021-PI-02045-1</t>
  </si>
  <si>
    <t xml:space="preserve">Intas Pharmaceuticals|Succinylcholine (Suxamethonium)</t>
  </si>
  <si>
    <t xml:space="preserve">Succinylcholine Chloride Injection USP 20 mg/mL, 10 mL vial (US, Micro Labs Ltd)</t>
  </si>
  <si>
    <t xml:space="preserve">https://dailymed.nlm.nih.gov/dailymed/drugInfo.cfm?setid=204f1c24-4bf6-40d5-95f3-a732db28e033</t>
  </si>
  <si>
    <t xml:space="preserve">Micro Labs|Succinylcholine (Suxamethonium)</t>
  </si>
  <si>
    <t xml:space="preserve">Succinylcholine Chloride Injection USP 20 mg/mL, 10 mL vial (US, Zydus Pharmaceuticals USA)</t>
  </si>
  <si>
    <t xml:space="preserve">'for intravenous or intramuscular use only' – Zydus Lifesciences label (c7f409ed-e4f4-4cd6-8f37-93f505dd986d) also 'For Intravenous or Intramuscular use'.</t>
  </si>
  <si>
    <t xml:space="preserve">https://dailymed.nlm.nih.gov/dailymed/drugInfo.cfm?setid=017e5ad4-028e-4e34-ac09-d0c8d64c880a</t>
  </si>
  <si>
    <t xml:space="preserve">Zydus Lifesciences|Succinylcholine (Suxamethonium)</t>
  </si>
  <si>
    <t xml:space="preserve">Teicoplanin 400 mg powder vial (Cipla; own label not found)</t>
  </si>
  <si>
    <t xml:space="preserve">Every teicoplanin SmPC checked (all 17 UK MAHs incl. Targocid; all Spanish makers) says 'administered by the intravenous or intramuscular route' – URL is the reference Targocid 400 mg UK SmPC.</t>
  </si>
  <si>
    <t xml:space="preserve">https://mhraproducts4853.blob.core.windows.net/docs/3c889867faa22c3b1685618ccad37b31982cc60e</t>
  </si>
  <si>
    <t xml:space="preserve">Cipla|Teicoplanin</t>
  </si>
  <si>
    <t xml:space="preserve">Teicoplanin 400 mg powder and solvent for solution for injection/infusion or oral solution (UK, Amarox Ltd, PL 49445/0350)</t>
  </si>
  <si>
    <t xml:space="preserve">'Teicoplanin should be administered by the intravenous or intramuscular route' – Amarox 200 mg (PL 49445/0349) has the same wording.</t>
  </si>
  <si>
    <t xml:space="preserve">https://mhraproducts4853.blob.core.windows.net/docs/cdd932519ea5620f679cbc05a39d576016396f04</t>
  </si>
  <si>
    <t xml:space="preserve">Hetero Labs|Teicoplanin</t>
  </si>
  <si>
    <t xml:space="preserve">Teicoplanina Accord 200 mg powder for solution for injection and infusion (Spain, Accord Healthcare S.L.U.)</t>
  </si>
  <si>
    <t xml:space="preserve">Registered routes: 'VIA INTRAMUSCULAR, VIA INTRAVENOSA'; SmPC: 'via parenteral (intravenosa o intramuscular)' – Teicoplanina Accord 400 mg is also IM+IV.</t>
  </si>
  <si>
    <t xml:space="preserve">https://cima.aemps.es/cima/dochtml/ft/78613/FT_78613.html</t>
  </si>
  <si>
    <t xml:space="preserve">Intas Pharmaceuticals|Teicoplanin</t>
  </si>
  <si>
    <t xml:space="preserve">Dyna Teicoplanin 200/400 mg (South Africa, Pharma Dynamics); Lupin's own PI not readable</t>
  </si>
  <si>
    <t xml:space="preserve">Every teicoplanin SmPC checked (all UK MAHs incl. Targocid; all Spanish makers) says 'administered by the intravenous or intramuscular route' – SAHPRA PI for Dyna Teicoplanin (holder Pharma Dynamics) exists but the SAHPRA site would not load. URL is the reference Targocid UK SmPC.</t>
  </si>
  <si>
    <t xml:space="preserve">Lupin|Teicoplanin</t>
  </si>
  <si>
    <t xml:space="preserve">Teicoplanin 400 mg powder for solution for injection/infusion or oral solution (UK, Sun Pharma UK Ltd, PL 14894/0811)</t>
  </si>
  <si>
    <t xml:space="preserve">'Teicoplanin should be administered by the intravenous or intramuscular route' – Ranbaxy (UK) 400 mg powder and solvent (PL 14894/0763) has the same wording.</t>
  </si>
  <si>
    <t xml:space="preserve">https://mhraproducts4853.blob.core.windows.net/docs/bb7e0f317f1d83fcc56a50c2ee7913094c687d19</t>
  </si>
  <si>
    <t xml:space="preserve">Sun Pharma|Teicoplanin</t>
  </si>
  <si>
    <t xml:space="preserve">Testosterone Cypionate Injection 100 mg/mL and 200 mg/mL vials (US, Eugia US LLC)</t>
  </si>
  <si>
    <t xml:space="preserve">https://dailymed.nlm.nih.gov/dailymed/drugInfo.cfm?setid=f901e2b2-f143-4237-8e95-0d134585490b</t>
  </si>
  <si>
    <t xml:space="preserve">Aurobindo Pharma|Testosterone Cypionate</t>
  </si>
  <si>
    <t xml:space="preserve">Testosterone Cypionate Injection 200 mg/mL, 1 mL and 10 mL vials (US, Cipla USA Inc.)</t>
  </si>
  <si>
    <t xml:space="preserve">"for intramuscular injection"; route IM – Second Cipla USA SPL (100 and 200 mg/mL): 78d55bad-4a5b-4e21-aeb8-a4c6346208be. The 1000 mg/10 mL in our data matches the 100 mg/mL x 10 mL vial.</t>
  </si>
  <si>
    <t xml:space="preserve">https://dailymed.nlm.nih.gov/dailymed/drugInfo.cfm?setid=b8ac5e07-b7e3-4a60-b0d1-8b1f3ad0c478</t>
  </si>
  <si>
    <t xml:space="preserve">Cipla|Testosterone Cypionate</t>
  </si>
  <si>
    <t xml:space="preserve">Taro-Testosterone Cypionate Injection 100 mg/mL (10 mL vial = 1000 mg/10 mL) (Canada, Taro Pharmaceuticals, DIN 02496003)</t>
  </si>
  <si>
    <t xml:space="preserve">Health Canada DPD route: Intramuscular; status Marketed – Route taken from the DPD API (drug_code 98589). Sun US SPL 3653a602-4551-4e6c-84a7-31861f5dc482 (incl. 1000 mg/10 mL) also says "for intramuscular injection".</t>
  </si>
  <si>
    <t xml:space="preserve">https://health-products.canada.ca/dpd-bdpp/info?lang=eng&amp;code=98589</t>
  </si>
  <si>
    <t xml:space="preserve">Sun Pharma|Testosterone Cypionate</t>
  </si>
  <si>
    <t xml:space="preserve">200 mg/mL multi-dose vial</t>
  </si>
  <si>
    <t xml:space="preserve">Intramuscular</t>
  </si>
  <si>
    <t xml:space="preserve">Aurobindo Pharma|Testosterone Enanthate</t>
  </si>
  <si>
    <t xml:space="preserve">Testosterone Cipla 1000 mg/4 mL solution for injection (South Africa, Cipla Medpro; PIL not opened)</t>
  </si>
  <si>
    <t xml:space="preserve">Standard TU 1000 mg/4 mL labels: "For intramuscular use" – The SAHPRA PIL (570491_Testosterone-cipla_PIL_Applicant.pdf) appeared in search results but the server was unreachable. Every TU 1000 mg/4 mL depot is IM only; the URL cited is the Orifarm UK SmPC.</t>
  </si>
  <si>
    <t xml:space="preserve">https://www.medicines.org.uk/emc/product/100812/smpc/print</t>
  </si>
  <si>
    <t xml:space="preserve">Cipla|Testosterone Undecanoate</t>
  </si>
  <si>
    <t xml:space="preserve">Testosterone PD 1000 mg/4 mL injection (likely Pharma Dynamics, Lupin South Africa; label not found)</t>
  </si>
  <si>
    <t xml:space="preserve">Standard TU 1000 mg/4 mL labels: "For intramuscular use" – No Lupin or Pharma Dynamics label was found (SAHPRA unreachable). Every TU 1000 mg/4 mL depot is IM only; the URL cited is the Orifarm UK SmPC.</t>
  </si>
  <si>
    <t xml:space="preserve">Lupin|Testosterone Undecanoate</t>
  </si>
  <si>
    <t xml:space="preserve">Testosteron Basics 1000 mg/4 ml Injektionslösung, vial (Germany, Basics GmbH)</t>
  </si>
  <si>
    <t xml:space="preserve">"Das Präparat ist nur zur intramuskulären Injektion bestimmt" (IM only) – Text is from a German pharmacy listing that reproduces the product leaflet (PZN 19897760, maker Basics GmbH); the Fachinformation itself was not found.</t>
  </si>
  <si>
    <t xml:space="preserve">https://www.medpex.de/testosteron-basics-1000-mg-4-ml-inj-lsg-dsfl/19897760</t>
  </si>
  <si>
    <t xml:space="preserve">Sun Pharma|Testosterone Undecanoate</t>
  </si>
  <si>
    <t xml:space="preserve">Imuldosa (ustekinumab-srlf) 45 mg/0.5 mL single-dose prefilled syringe (US, Accord BioPharma)</t>
  </si>
  <si>
    <t xml:space="preserve">US label: 'injection, for subcutaneous or intravenous use'; 45 mg/0.5 mL and 90 mg/mL PFS for 'Subcutaneous Injection'; 130 mg/26 mL vial for 'Intravenous Infusion' – Only the 130 mg/26 mL vial is IV-only; our 45 mg PFS is SC but has a fixed 29G needle with passive needle guard.</t>
  </si>
  <si>
    <t xml:space="preserve">Intas Pharmaceuticals|Ustekinumab</t>
  </si>
  <si>
    <t xml:space="preserve">Step 2 result: 9 fail (excluded in Scoring as "IV only – the company's product"), 151 pass, 6 to confirm. "To confirm" pairs stay in the ranking until the company confirms its product. 120 were checked on the company's own label (regulator databases such as DailyMed, MHRA, EU national registers, Health Canada, TGA, SAHPRA, or the company's website); 46 on the standard label, where every maker's label for the formulation agrees. Checked 08-Oct-2026.</t>
  </si>
  <si>
    <t xml:space="preserve">Injectable share – how much of each drug's exports are injections</t>
  </si>
  <si>
    <t xml:space="preserve">This tab works out, for each drug, what share of its registered products are injections, and applies that share to India's FY24 exports. It produces the two numbers the Scoring tab uses: injectable shipments (the volume axis of the 2x2, col AC) and injectable export value (the bubble size, col AA).</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</si>
  <si>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</si>
  <si>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</si>
  <si>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</si>
  <si>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</si>
  <si>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</si>
  <si>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</si>
  <si>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</si>
  <si>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</si>
  <si>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</si>
  <si>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</si>
  <si>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Apply the share</t>
  </si>
  <si>
    <t xml:space="preserve">Injectable shipments = India FY24 shipments, all forms (col AB) × average injectable share (col Z), rounded to a whole number (col AC). Injectable export value = India FY24 export value (col C) × the same share (col AA). Both feed the Scoring tab.</t>
  </si>
  <si>
    <t xml:space="preserve">Worked example – low share</t>
  </si>
  <si>
    <t xml:space="preserve">Pantoprazole: EU/EEA 254/665 = 38%; UK 16/54 = 30%; Canada 5/39 = 13%; Australia 10/80 = 12%; South Africa 16/66 = 24%; UAE 14/60 = 23%; USA 16/45 = 36% → average 25% (of 7 markets). India export $140,085k × 25% = injectable value $35,277k. Shipments: 3,515 × 25% = 885 injectable shipments.</t>
  </si>
  <si>
    <t xml:space="preserve">Worked example – high share</t>
  </si>
  <si>
    <t xml:space="preserve">Adenosine: EU/EEA 64/67 = 96%; UK 10/10 = 100%; Canada 3/3 = 100%; Australia 10/11 = 91%; UAE 2/27 = 7%; USA 12/86 = 14% → average 68% (of 6 markets). India export $4,230k × 68% = injectable value $2,875k. Shipments: 251 × 68% = 171 injectable shipments.</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</si>
  <si>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</si>
  <si>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</si>
  <si>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</si>
  <si>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</si>
  <si>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</si>
  <si>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</si>
  <si>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Source URL</t>
  </si>
  <si>
    <t xml:space="preserve">India exports and shipments (cols C and AB)</t>
  </si>
  <si>
    <t xml:space="preserve">Volza export data (www.volza.com), pulled into your workbook, tab Shortlisted Drugs X Company (6), columns "Export ('000 USD)" and "Shipment" – India FY24 exports, all dosage forms, HS 3002 + 3004. A shipment is one export record in Volza.</t>
  </si>
  <si>
    <t xml:space="preserve">All dosage forms, all exporters</t>
  </si>
  <si>
    <t xml:space="preserve">Same value as Shortlist (6) col L for the API</t>
  </si>
  <si>
    <t xml:space="preserve">https://www.volza.com/ (subscription)</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</si>
  <si>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</si>
  <si>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</si>
  <si>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</si>
  <si>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</si>
  <si>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</si>
  <si>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</si>
  <si>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</si>
  <si>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</si>
  <si>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</si>
  <si>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</si>
  <si>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</si>
  <si>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</si>
  <si>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</si>
  <si>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</si>
  <si>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</si>
  <si>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</si>
  <si>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</si>
  <si>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</si>
  <si>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</si>
  <si>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</si>
  <si>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</si>
  <si>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</si>
  <si>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</si>
  <si>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</si>
  <si>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</si>
  <si>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No public URL – user file</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</si>
  <si>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</si>
  <si>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</si>
  <si>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</si>
  <si>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</si>
  <si>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</si>
  <si>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</si>
  <si>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 (feeds the Scoring tab)</t>
  </si>
  <si>
    <t xml:space="preserve">India export value, all forms, FY24 (USD thousand)</t>
  </si>
  <si>
    <t xml:space="preserve">Total</t>
  </si>
  <si>
    <t xml:space="preserve">Injectable</t>
  </si>
  <si>
    <t xml:space="preserve">Share</t>
  </si>
  <si>
    <t xml:space="preserve">Markets with enough data</t>
  </si>
  <si>
    <t xml:space="preserve">Average injectable share</t>
  </si>
  <si>
    <t xml:space="preserve">Injectable export value (USD thousand) = C × Z</t>
  </si>
  <si>
    <t xml:space="preserve">India shipments, all forms, FY24</t>
  </si>
  <si>
    <t xml:space="preserve">Injectable shipments = AB × Z</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</si>
  <si>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</si>
  <si>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</si>
  <si>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</si>
  <si>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</si>
  <si>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</si>
  <si>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</si>
  <si>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</si>
  <si>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</si>
  <si>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</si>
  <si>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</si>
  <si>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</si>
  <si>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</si>
  <si>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</si>
  <si>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</si>
  <si>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</si>
  <si>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</si>
  <si>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</si>
  <si>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</si>
  <si>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</si>
  <si>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</si>
  <si>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</si>
  <si>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</si>
  <si>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</si>
  <si>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</si>
  <si>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</si>
  <si>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</si>
  <si>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</si>
  <si>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</si>
  <si>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</si>
  <si>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</si>
  <si>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</si>
  <si>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</si>
  <si>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</si>
  <si>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</si>
  <si>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</si>
  <si>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</si>
  <si>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</si>
  <si>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</si>
  <si>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(API)</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</si>
  <si>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</si>
  <si>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</si>
  <si>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</si>
  <si>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</si>
  <si>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</si>
  <si>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</si>
  <si>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</si>
  <si>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</si>
  <si>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</si>
  <si>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</si>
  <si>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</si>
  <si>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</si>
  <si>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</si>
  <si>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</si>
  <si>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</si>
  <si>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</si>
  <si>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</si>
  <si>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</si>
  <si>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</si>
  <si>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</si>
  <si>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</si>
  <si>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</si>
  <si>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</si>
  <si>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</si>
  <si>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</si>
  <si>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</si>
  <si>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</si>
  <si>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</si>
  <si>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</si>
  <si>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</si>
  <si>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</si>
  <si>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</si>
  <si>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</si>
  <si>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</si>
  <si>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</si>
  <si>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</si>
  <si>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</si>
  <si>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</si>
  <si>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</si>
  <si>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</si>
  <si>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</si>
  <si>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</si>
  <si>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</si>
  <si>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</si>
  <si>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</si>
  <si>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</si>
  <si>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</si>
  <si>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</si>
  <si>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</si>
  <si>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</si>
  <si>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</si>
  <si>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</si>
  <si>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</si>
  <si>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</si>
  <si>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</si>
  <si>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</si>
  <si>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</si>
  <si>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</si>
  <si>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</si>
  <si>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</si>
  <si>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</si>
  <si>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</si>
  <si>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</si>
  <si>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</si>
  <si>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</si>
  <si>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</si>
  <si>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</si>
  <si>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</si>
  <si>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</si>
  <si>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</si>
  <si>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</si>
  <si>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</si>
  <si>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</si>
  <si>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</si>
  <si>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</si>
  <si>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</si>
  <si>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</si>
  <si>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</si>
  <si>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</si>
  <si>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</si>
  <si>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</si>
  <si>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</si>
  <si>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</si>
  <si>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</si>
  <si>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</si>
  <si>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</si>
  <si>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</si>
  <si>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</si>
  <si>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</si>
  <si>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</si>
  <si>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</si>
  <si>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</si>
  <si>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</si>
  <si>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</si>
  <si>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</si>
  <si>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</si>
  <si>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</si>
  <si>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</si>
  <si>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</si>
  <si>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</si>
  <si>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</si>
  <si>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</si>
  <si>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</si>
  <si>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</si>
  <si>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</si>
  <si>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</si>
  <si>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</si>
  <si>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</si>
  <si>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</si>
  <si>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</si>
  <si>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</si>
  <si>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</si>
  <si>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</si>
  <si>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</si>
  <si>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</si>
  <si>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</si>
  <si>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</si>
  <si>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</si>
  <si>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</si>
  <si>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</si>
  <si>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</si>
  <si>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</si>
  <si>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</si>
  <si>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</si>
  <si>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</si>
  <si>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</si>
  <si>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</si>
  <si>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</si>
  <si>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</si>
  <si>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</si>
  <si>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</si>
  <si>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</si>
  <si>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</si>
  <si>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</si>
  <si>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</si>
  <si>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</si>
  <si>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</si>
  <si>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</si>
  <si>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</si>
  <si>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</si>
  <si>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</si>
  <si>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</si>
  <si>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</si>
  <si>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</si>
  <si>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</si>
  <si>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</si>
  <si>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</si>
  <si>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</si>
  <si>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</si>
  <si>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</si>
  <si>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</si>
  <si>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</si>
  <si>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</si>
  <si>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</si>
  <si>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</si>
  <si>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</si>
  <si>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</si>
  <si>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</si>
  <si>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</si>
  <si>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</si>
  <si>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</si>
  <si>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</si>
  <si>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</si>
  <si>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</si>
  <si>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</si>
  <si>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</si>
  <si>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</si>
  <si>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</si>
  <si>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</si>
  <si>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</si>
  <si>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</si>
  <si>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</si>
  <si>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</si>
  <si>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</si>
  <si>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</si>
  <si>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</si>
  <si>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</si>
  <si>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</si>
  <si>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</si>
  <si>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</si>
  <si>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</si>
  <si>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</si>
  <si>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</si>
  <si>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</si>
  <si>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</si>
  <si>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</si>
  <si>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</si>
  <si>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</si>
  <si>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</si>
  <si>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</si>
  <si>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</si>
  <si>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</si>
  <si>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</si>
  <si>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</si>
  <si>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</si>
  <si>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</si>
  <si>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</si>
  <si>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</si>
  <si>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</si>
  <si>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</si>
  <si>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</si>
  <si>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</si>
  <si>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</si>
  <si>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</si>
  <si>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</si>
  <si>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</si>
  <si>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</si>
  <si>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</si>
  <si>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</si>
  <si>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</si>
  <si>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</si>
  <si>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</si>
  <si>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</si>
  <si>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</si>
  <si>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</si>
  <si>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</si>
  <si>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</si>
  <si>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</si>
  <si>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</si>
  <si>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</si>
  <si>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</si>
  <si>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</si>
  <si>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</si>
  <si>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</si>
  <si>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</si>
  <si>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</si>
  <si>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</si>
  <si>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</si>
  <si>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</si>
  <si>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</si>
  <si>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</si>
  <si>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</si>
  <si>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</si>
  <si>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</si>
  <si>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</si>
  <si>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</si>
  <si>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</si>
  <si>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</si>
  <si>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</si>
  <si>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</si>
  <si>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</si>
  <si>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</si>
  <si>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</si>
  <si>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</si>
  <si>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</si>
  <si>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</si>
  <si>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</si>
  <si>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</si>
  <si>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</si>
  <si>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</si>
  <si>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</si>
  <si>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</si>
  <si>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</si>
  <si>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</si>
  <si>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</si>
  <si>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</si>
  <si>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</si>
  <si>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</si>
  <si>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</si>
  <si>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</si>
  <si>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</si>
  <si>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</si>
  <si>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</si>
  <si>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</si>
  <si>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</si>
  <si>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</si>
  <si>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</si>
  <si>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</si>
  <si>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</si>
  <si>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</si>
  <si>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</si>
  <si>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</si>
  <si>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</si>
  <si>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</si>
  <si>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</si>
  <si>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</si>
  <si>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</si>
  <si>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</si>
  <si>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</si>
  <si>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</si>
  <si>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</si>
  <si>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</si>
  <si>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</si>
  <si>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</si>
  <si>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</si>
  <si>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</si>
  <si>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</si>
  <si>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</si>
  <si>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</si>
  <si>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</si>
  <si>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</si>
  <si>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</si>
  <si>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</si>
  <si>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</si>
  <si>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</si>
  <si>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</si>
  <si>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</si>
  <si>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</si>
  <si>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</si>
  <si>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</si>
  <si>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</si>
  <si>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</si>
  <si>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</si>
  <si>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</si>
  <si>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</si>
  <si>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</si>
  <si>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</si>
  <si>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</si>
  <si>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</si>
  <si>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</si>
  <si>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</si>
  <si>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</si>
  <si>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</si>
  <si>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</si>
  <si>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</si>
  <si>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</si>
  <si>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</si>
  <si>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</si>
  <si>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</si>
  <si>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</si>
  <si>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</si>
  <si>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</si>
  <si>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</si>
  <si>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</si>
  <si>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</si>
  <si>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</si>
  <si>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</si>
  <si>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</si>
  <si>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</si>
  <si>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</si>
  <si>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</si>
  <si>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</si>
  <si>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</si>
  <si>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</si>
  <si>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</si>
  <si>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</si>
  <si>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</si>
  <si>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</si>
  <si>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</si>
  <si>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</si>
  <si>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</si>
  <si>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</si>
  <si>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</si>
  <si>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</si>
  <si>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</si>
  <si>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</si>
  <si>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</si>
  <si>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</si>
  <si>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</si>
  <si>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</si>
  <si>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</si>
  <si>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</si>
  <si>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</si>
  <si>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</si>
  <si>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</si>
  <si>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</si>
  <si>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</si>
  <si>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</si>
  <si>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</si>
  <si>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</si>
  <si>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</si>
  <si>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</si>
  <si>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</si>
  <si>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</si>
  <si>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</si>
  <si>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</si>
  <si>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</si>
  <si>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</si>
  <si>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</si>
  <si>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</si>
  <si>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</si>
  <si>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</si>
  <si>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</si>
  <si>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</si>
  <si>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</si>
  <si>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</si>
  <si>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</si>
  <si>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</si>
  <si>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</si>
  <si>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</si>
  <si>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</si>
  <si>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</si>
  <si>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</si>
  <si>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</si>
  <si>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</si>
  <si>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</si>
  <si>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</si>
  <si>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</si>
  <si>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</si>
  <si>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</si>
  <si>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</si>
  <si>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</si>
  <si>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</si>
  <si>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</si>
  <si>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</si>
  <si>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</si>
  <si>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</si>
  <si>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</si>
  <si>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</si>
  <si>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</si>
  <si>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</si>
  <si>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</si>
  <si>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</si>
  <si>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</si>
  <si>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</si>
  <si>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</si>
  <si>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</si>
  <si>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</si>
  <si>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</si>
  <si>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</si>
  <si>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</si>
  <si>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</si>
  <si>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</si>
  <si>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</si>
  <si>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</si>
  <si>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</si>
  <si>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</si>
  <si>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</si>
  <si>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</si>
  <si>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</si>
  <si>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</si>
  <si>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</si>
  <si>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</si>
  <si>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</si>
  <si>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</si>
  <si>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</si>
  <si>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</si>
  <si>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</si>
  <si>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</si>
  <si>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</si>
  <si>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</si>
  <si>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</si>
  <si>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</si>
  <si>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</si>
  <si>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</si>
  <si>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</si>
  <si>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</si>
  <si>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</si>
  <si>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</si>
  <si>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</si>
  <si>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</si>
  <si>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</si>
  <si>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</si>
  <si>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</si>
  <si>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</si>
  <si>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</si>
  <si>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</si>
  <si>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</si>
  <si>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</si>
  <si>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</si>
  <si>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</si>
  <si>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</si>
  <si>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</si>
  <si>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</si>
  <si>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</si>
  <si>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</si>
  <si>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</si>
  <si>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</si>
  <si>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</si>
  <si>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</si>
  <si>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</si>
  <si>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</si>
  <si>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</si>
  <si>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</si>
  <si>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</si>
  <si>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</si>
  <si>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</si>
  <si>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</si>
  <si>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</si>
  <si>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</si>
  <si>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</si>
  <si>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</si>
  <si>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</si>
  <si>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</si>
  <si>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</si>
  <si>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</si>
  <si>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</si>
  <si>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</si>
  <si>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</si>
  <si>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</si>
  <si>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</si>
  <si>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</si>
  <si>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</si>
  <si>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</si>
  <si>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</si>
  <si>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</si>
  <si>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</si>
  <si>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</si>
  <si>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</si>
  <si>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</si>
  <si>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</si>
  <si>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</si>
  <si>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</si>
  <si>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</si>
  <si>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</si>
  <si>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</si>
  <si>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</si>
  <si>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</si>
  <si>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</si>
  <si>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</si>
  <si>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</si>
  <si>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</si>
  <si>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</si>
  <si>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</si>
  <si>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</si>
  <si>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</si>
  <si>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</si>
  <si>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</si>
  <si>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</si>
  <si>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</si>
  <si>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</si>
  <si>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</si>
  <si>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</si>
  <si>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</si>
  <si>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</si>
  <si>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</si>
  <si>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</si>
  <si>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</si>
  <si>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</si>
  <si>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</si>
  <si>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</si>
  <si>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</si>
  <si>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</si>
  <si>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</si>
  <si>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</si>
  <si>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</si>
  <si>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</si>
  <si>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</si>
  <si>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</si>
  <si>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</si>
  <si>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</si>
  <si>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</si>
  <si>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</si>
  <si>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</si>
  <si>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</si>
  <si>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</si>
  <si>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</si>
  <si>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</si>
  <si>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</si>
  <si>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</si>
  <si>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</si>
  <si>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</si>
  <si>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</si>
  <si>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</si>
  <si>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</si>
  <si>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</si>
  <si>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</si>
  <si>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</si>
  <si>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</si>
  <si>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</si>
  <si>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</si>
  <si>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</si>
  <si>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</si>
  <si>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</si>
  <si>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</si>
  <si>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</si>
  <si>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</si>
  <si>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</si>
  <si>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</si>
  <si>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</si>
  <si>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</si>
  <si>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</si>
  <si>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</si>
  <si>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</si>
  <si>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</si>
  <si>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</si>
  <si>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</si>
  <si>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</si>
  <si>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</si>
  <si>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</si>
  <si>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</si>
  <si>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</si>
  <si>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</si>
  <si>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</si>
  <si>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</si>
  <si>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</si>
  <si>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</si>
  <si>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</si>
  <si>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</si>
  <si>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</si>
  <si>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</si>
  <si>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</si>
  <si>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</si>
  <si>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</si>
  <si>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</si>
  <si>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</si>
  <si>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</si>
  <si>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</si>
  <si>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</si>
  <si>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</si>
  <si>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</si>
  <si>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</si>
  <si>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</si>
  <si>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</si>
  <si>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</si>
  <si>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</si>
  <si>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</si>
  <si>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</si>
  <si>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</si>
  <si>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</si>
  <si>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</si>
  <si>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</si>
  <si>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</si>
  <si>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</si>
  <si>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</si>
  <si>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</si>
  <si>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</si>
  <si>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</si>
  <si>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</si>
  <si>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</si>
  <si>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</si>
  <si>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</si>
  <si>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</si>
  <si>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</si>
  <si>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</si>
  <si>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</si>
  <si>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</si>
  <si>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</si>
  <si>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</si>
  <si>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</si>
  <si>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</si>
  <si>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</si>
  <si>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</si>
  <si>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</si>
  <si>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</si>
  <si>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</si>
  <si>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</si>
  <si>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</si>
  <si>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</si>
  <si>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</si>
  <si>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</si>
  <si>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</si>
  <si>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</si>
  <si>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</si>
  <si>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</si>
  <si>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</si>
  <si>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</si>
  <si>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</si>
  <si>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</si>
  <si>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</si>
  <si>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</si>
  <si>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</si>
  <si>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</si>
  <si>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</si>
  <si>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</si>
  <si>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</si>
  <si>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</si>
  <si>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</si>
  <si>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</si>
  <si>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</si>
  <si>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</si>
  <si>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</si>
  <si>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</si>
  <si>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</si>
  <si>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</si>
  <si>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</si>
  <si>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</si>
  <si>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</si>
  <si>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</si>
  <si>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</si>
  <si>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</si>
  <si>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</si>
  <si>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</si>
  <si>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</si>
  <si>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</si>
  <si>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</si>
  <si>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</si>
  <si>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</si>
  <si>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</si>
  <si>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</si>
  <si>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</si>
  <si>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</si>
  <si>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</si>
  <si>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</si>
  <si>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</si>
  <si>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</si>
  <si>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</si>
  <si>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</si>
  <si>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</si>
  <si>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</si>
  <si>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</si>
  <si>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</si>
  <si>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</si>
  <si>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</si>
  <si>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</si>
  <si>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</si>
  <si>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</si>
  <si>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</si>
  <si>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</si>
  <si>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</si>
  <si>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</si>
  <si>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</si>
  <si>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</si>
  <si>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</si>
  <si>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</si>
  <si>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</si>
  <si>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</si>
  <si>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</si>
  <si>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</si>
  <si>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</si>
  <si>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</si>
  <si>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</si>
  <si>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</si>
  <si>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</si>
  <si>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</si>
  <si>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</si>
  <si>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</si>
  <si>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</si>
  <si>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</si>
  <si>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</si>
  <si>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</si>
  <si>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</si>
  <si>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</si>
  <si>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</si>
  <si>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</si>
  <si>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</si>
  <si>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</si>
  <si>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</si>
  <si>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</si>
  <si>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</si>
  <si>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</si>
  <si>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</si>
  <si>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</si>
  <si>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</si>
  <si>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</si>
  <si>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</si>
  <si>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</si>
  <si>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</si>
  <si>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</si>
  <si>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</si>
  <si>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</si>
  <si>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</si>
  <si>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</si>
  <si>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</si>
  <si>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</si>
  <si>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</si>
  <si>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</si>
  <si>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</si>
  <si>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</si>
  <si>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</si>
  <si>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</si>
  <si>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</si>
  <si>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</si>
  <si>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</si>
  <si>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</si>
  <si>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</si>
  <si>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</si>
  <si>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</si>
  <si>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</si>
  <si>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</si>
  <si>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</si>
  <si>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</si>
  <si>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</si>
  <si>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</si>
  <si>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</si>
  <si>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</si>
  <si>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</si>
  <si>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</si>
  <si>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</si>
  <si>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</si>
  <si>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</si>
  <si>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</si>
  <si>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</si>
  <si>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</si>
  <si>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</si>
  <si>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</si>
  <si>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</si>
  <si>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</si>
  <si>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</si>
  <si>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</si>
  <si>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</si>
  <si>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</si>
  <si>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</si>
  <si>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</si>
  <si>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</si>
  <si>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</si>
  <si>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</si>
  <si>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</si>
  <si>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</si>
  <si>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</si>
  <si>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</si>
  <si>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</si>
  <si>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</si>
  <si>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</si>
  <si>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</si>
  <si>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</si>
  <si>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</si>
  <si>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</si>
  <si>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</si>
  <si>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</si>
  <si>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</si>
  <si>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</si>
  <si>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</si>
  <si>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</si>
  <si>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</si>
  <si>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</si>
  <si>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</si>
  <si>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</si>
  <si>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</si>
  <si>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</si>
  <si>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</si>
  <si>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</si>
  <si>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</si>
  <si>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</si>
  <si>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</si>
  <si>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</si>
  <si>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</si>
  <si>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</si>
  <si>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</si>
  <si>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</si>
  <si>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</si>
  <si>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</si>
  <si>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</si>
  <si>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</si>
  <si>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</si>
  <si>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</si>
  <si>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</si>
  <si>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</si>
  <si>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</si>
  <si>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</si>
  <si>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</si>
  <si>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</si>
  <si>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</si>
  <si>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</si>
  <si>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</si>
  <si>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</si>
  <si>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</si>
  <si>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</si>
  <si>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</si>
  <si>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</si>
  <si>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</si>
  <si>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</si>
  <si>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</si>
  <si>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</si>
  <si>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</si>
  <si>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</si>
  <si>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</si>
  <si>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</si>
  <si>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</si>
  <si>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</si>
  <si>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</si>
  <si>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</si>
  <si>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</si>
  <si>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</si>
  <si>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</si>
  <si>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</si>
  <si>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</si>
  <si>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</si>
  <si>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</si>
  <si>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</si>
  <si>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</si>
  <si>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</si>
  <si>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</si>
  <si>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</si>
  <si>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</si>
  <si>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</si>
  <si>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</si>
  <si>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</si>
  <si>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</si>
  <si>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</si>
  <si>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</si>
  <si>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</si>
  <si>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</si>
  <si>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</si>
  <si>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</si>
  <si>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</si>
  <si>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</si>
  <si>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</si>
  <si>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</si>
  <si>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</si>
  <si>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</si>
  <si>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</si>
  <si>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</si>
  <si>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</si>
  <si>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</si>
  <si>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</si>
  <si>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</si>
  <si>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</si>
  <si>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</si>
  <si>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</si>
  <si>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</si>
  <si>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</si>
  <si>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</si>
  <si>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</si>
  <si>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</si>
  <si>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</si>
  <si>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</si>
  <si>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</si>
  <si>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</si>
  <si>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</si>
  <si>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</si>
  <si>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</si>
  <si>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</si>
  <si>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</si>
  <si>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</si>
  <si>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</si>
  <si>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</si>
  <si>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</si>
  <si>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</si>
  <si>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</si>
  <si>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</si>
  <si>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</si>
  <si>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</si>
  <si>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</si>
  <si>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</si>
  <si>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</si>
  <si>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</si>
  <si>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</si>
  <si>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</si>
  <si>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</si>
  <si>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</si>
  <si>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</si>
  <si>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</si>
  <si>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</si>
  <si>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</si>
  <si>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</si>
  <si>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</si>
  <si>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</si>
  <si>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</si>
  <si>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</si>
  <si>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</si>
  <si>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</si>
  <si>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</si>
  <si>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</si>
  <si>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</si>
  <si>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</si>
  <si>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</si>
  <si>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</si>
  <si>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</si>
  <si>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</si>
  <si>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</si>
  <si>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</si>
  <si>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</si>
  <si>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</si>
  <si>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</si>
  <si>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</si>
  <si>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</si>
  <si>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</si>
  <si>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</si>
  <si>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</si>
  <si>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</si>
  <si>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</si>
  <si>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</si>
  <si>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</si>
  <si>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</si>
  <si>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</si>
  <si>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</si>
  <si>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</si>
  <si>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</si>
  <si>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</si>
  <si>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</si>
  <si>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</si>
  <si>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</si>
  <si>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</si>
  <si>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</si>
  <si>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</si>
  <si>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</si>
  <si>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</si>
  <si>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</si>
  <si>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</si>
  <si>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</si>
  <si>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</si>
  <si>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</si>
  <si>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</si>
  <si>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</si>
  <si>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</si>
  <si>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</si>
  <si>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</si>
  <si>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</si>
  <si>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</si>
  <si>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</si>
  <si>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</si>
  <si>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</si>
  <si>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</si>
  <si>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</si>
  <si>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</si>
  <si>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</si>
  <si>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</si>
  <si>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</si>
  <si>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</si>
  <si>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</si>
  <si>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</si>
  <si>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</si>
  <si>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</si>
  <si>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</si>
  <si>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</si>
  <si>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</si>
  <si>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</si>
  <si>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</si>
  <si>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</si>
  <si>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</si>
  <si>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</si>
  <si>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</si>
  <si>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</si>
  <si>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</si>
  <si>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</si>
  <si>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</si>
  <si>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</si>
  <si>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</si>
  <si>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</si>
  <si>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</si>
  <si>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</si>
  <si>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</si>
  <si>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</si>
  <si>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</si>
  <si>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</si>
  <si>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</si>
  <si>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</si>
  <si>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</si>
  <si>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</si>
  <si>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</si>
  <si>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</si>
  <si>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</si>
  <si>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</si>
  <si>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</si>
  <si>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</si>
  <si>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</si>
  <si>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</si>
  <si>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</si>
  <si>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</si>
  <si>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</si>
  <si>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</si>
  <si>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</si>
  <si>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</si>
  <si>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</si>
  <si>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</si>
  <si>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</si>
  <si>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</si>
  <si>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</si>
  <si>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</si>
  <si>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</si>
  <si>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</si>
  <si>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</si>
  <si>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</si>
  <si>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</si>
  <si>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</si>
  <si>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</si>
  <si>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</si>
  <si>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</si>
  <si>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</si>
  <si>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</si>
  <si>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</si>
  <si>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</si>
  <si>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</si>
  <si>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</si>
  <si>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</si>
  <si>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</si>
  <si>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</si>
  <si>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</si>
  <si>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</si>
  <si>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</si>
  <si>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</si>
  <si>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</si>
  <si>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</si>
  <si>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</si>
  <si>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</si>
  <si>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</si>
  <si>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</si>
  <si>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</si>
  <si>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</si>
  <si>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</si>
  <si>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</si>
  <si>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</si>
  <si>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</si>
  <si>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</si>
  <si>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</si>
  <si>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</si>
  <si>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</si>
  <si>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</si>
  <si>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</si>
  <si>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</si>
  <si>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</si>
  <si>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</si>
  <si>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</si>
  <si>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</si>
  <si>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</si>
  <si>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</si>
  <si>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</si>
  <si>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</si>
  <si>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</si>
  <si>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</si>
  <si>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</si>
  <si>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</si>
  <si>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</si>
  <si>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</si>
  <si>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</si>
  <si>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</si>
  <si>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</si>
  <si>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</si>
  <si>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</si>
  <si>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</si>
  <si>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</si>
  <si>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</si>
  <si>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</si>
  <si>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</si>
  <si>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</si>
  <si>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</si>
  <si>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</si>
  <si>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</si>
  <si>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</si>
  <si>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</si>
  <si>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</si>
  <si>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</si>
  <si>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</si>
  <si>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</si>
  <si>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</si>
  <si>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</si>
  <si>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</si>
  <si>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</si>
  <si>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</si>
  <si>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</si>
  <si>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</si>
  <si>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</si>
  <si>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</si>
  <si>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</si>
  <si>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</si>
  <si>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</si>
  <si>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</si>
  <si>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</si>
  <si>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</si>
  <si>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</si>
  <si>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</si>
  <si>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</si>
  <si>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</si>
  <si>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</si>
  <si>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CEFTAZIDIME VENUS PHARMA 2 G POWDER FOR SOLUTION FOR INJECTION/INFUSION – VENUS PHARMA GMBH</t>
  </si>
  <si>
    <t xml:space="preserve">CEFTRIAXONE 2G POWDER FOR SOLUTION FOR INJECTION OR INFUSION – VENUS PHARMA GMBH</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</si>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</sst>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5">
    <numFmt numFmtId="164" formatCode="General"/>
    <numFmt numFmtId="165" formatCode="General"/>
    <numFmt numFmtId="166" formatCode="#,##0.00"/>
    <numFmt numFmtId="167" formatCode="#,##0"/>
    <numFmt numFmtId="168" formatCode="0%"/>
  </numFmts>
  <fonts count="42">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i val="true"/>
      <sz val="11"/>
      <color rgb="FF808080"/>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8"/>
      <color rgb="FF1F3864"/>
      <name val="Calibri"/>
      <family val="0"/>
      <charset val="1"/>
    </font>
    <font>
      <i val="true"/>
      <sz val="12"/>
      <color rgb="FF404040"/>
      <name val="Calibri"/>
      <family val="0"/>
      <charset val="1"/>
    </font>
    <font>
      <b val="true"/>
      <sz val="12"/>
      <color rgb="FF1F3864"/>
      <name val="Calibri"/>
      <family val="0"/>
      <charset val="1"/>
    </font>
    <font>
      <b val="true"/>
      <sz val="11"/>
      <color rgb="FFFFFFFF"/>
      <name val="Calibri"/>
      <family val="0"/>
      <charset val="1"/>
    </font>
    <font>
      <b val="true"/>
      <sz val="22"/>
      <color rgb="FF1F3864"/>
      <name val="Calibri"/>
      <family val="0"/>
      <charset val="1"/>
    </font>
    <font>
      <sz val="16"/>
      <color rgb="FF5B9BD5"/>
      <name val="Calibri"/>
      <family val="0"/>
      <charset val="1"/>
    </font>
    <font>
      <sz val="10"/>
      <color rgb="FF404040"/>
      <name val="Calibri"/>
      <family val="0"/>
      <charset val="1"/>
    </font>
    <font>
      <b val="true"/>
      <sz val="10"/>
      <color rgb="FF1F3864"/>
      <name val="Calibri"/>
      <family val="0"/>
      <charset val="1"/>
    </font>
    <font>
      <b val="true"/>
      <sz val="12"/>
      <color rgb="FFFFFFFF"/>
      <name val="Calibri"/>
      <family val="0"/>
      <charset val="1"/>
    </font>
    <font>
      <sz val="10"/>
      <color rgb="FFFFFFFF"/>
      <name val="Calibri"/>
      <family val="0"/>
      <charset val="1"/>
    </font>
    <font>
      <b val="true"/>
      <sz val="10"/>
      <color rgb="FF000000"/>
      <name val="Calibri"/>
      <family val="0"/>
      <charset val="1"/>
    </font>
    <font>
      <sz val="10"/>
      <color rgb="FF000000"/>
      <name val="Calibri"/>
      <family val="0"/>
      <charset val="1"/>
    </font>
    <font>
      <b val="true"/>
      <sz val="12"/>
      <color rgb="FF000000"/>
      <name val="Calibri"/>
      <family val="0"/>
      <charset val="1"/>
    </font>
    <font>
      <i val="true"/>
      <sz val="9"/>
      <color rgb="FF595959"/>
      <name val="Calibri"/>
      <family val="0"/>
      <charset val="1"/>
    </font>
    <font>
      <b val="true"/>
      <sz val="10"/>
      <color rgb="FFFFFFFF"/>
      <name val="Calibri"/>
      <family val="0"/>
      <charset val="1"/>
    </font>
    <font>
      <sz val="9"/>
      <color rgb="FF5B9BD5"/>
      <name val="Calibri"/>
      <family val="0"/>
      <charset val="1"/>
    </font>
    <font>
      <b val="true"/>
      <sz val="10"/>
      <name val="Calibri"/>
      <family val="0"/>
      <charset val="1"/>
    </font>
    <font>
      <sz val="10"/>
      <name val="Calibri"/>
      <family val="0"/>
      <charset val="1"/>
    </font>
    <font>
      <b val="true"/>
      <sz val="9"/>
      <color rgb="FF595959"/>
      <name val="Calibri"/>
      <family val="0"/>
      <charset val="1"/>
    </font>
    <font>
      <u val="single"/>
      <sz val="9"/>
      <color rgb="FF0563C1"/>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375623"/>
      <name val="Calibri"/>
      <family val="0"/>
      <charset val="1"/>
    </font>
    <font>
      <sz val="11"/>
      <color rgb="FF0000FF"/>
      <name val="Calibri"/>
      <family val="0"/>
      <charset val="1"/>
    </font>
  </fonts>
  <fills count="14">
    <fill>
      <patternFill patternType="none"/>
    </fill>
    <fill>
      <patternFill patternType="gray125"/>
    </fill>
    <fill>
      <patternFill patternType="solid">
        <fgColor theme="4"/>
        <bgColor rgb="FF2F75B5"/>
      </patternFill>
    </fill>
    <fill>
      <patternFill patternType="solid">
        <fgColor rgb="FFF2F2F2"/>
        <bgColor rgb="FFDDEBF7"/>
      </patternFill>
    </fill>
    <fill>
      <patternFill patternType="solid">
        <fgColor rgb="FFFFF2CC"/>
        <bgColor rgb="FFF2F2F2"/>
      </patternFill>
    </fill>
    <fill>
      <patternFill patternType="solid">
        <fgColor rgb="FF1F3864"/>
        <bgColor rgb="FF333399"/>
      </patternFill>
    </fill>
    <fill>
      <patternFill patternType="solid">
        <fgColor rgb="FF2F75B5"/>
        <bgColor rgb="FF4F81BD"/>
      </patternFill>
    </fill>
    <fill>
      <patternFill patternType="solid">
        <fgColor rgb="FFDDEBF7"/>
        <bgColor rgb="FFF2F2F2"/>
      </patternFill>
    </fill>
    <fill>
      <patternFill patternType="solid">
        <fgColor rgb="FF5B9BD5"/>
        <bgColor rgb="FF4F81BD"/>
      </patternFill>
    </fill>
    <fill>
      <patternFill patternType="solid">
        <fgColor rgb="FFBFBFBF"/>
        <bgColor rgb="FFA6A6A6"/>
      </patternFill>
    </fill>
    <fill>
      <patternFill patternType="solid">
        <fgColor rgb="FFFFFFFF"/>
        <bgColor rgb="FFF2F2F2"/>
      </patternFill>
    </fill>
    <fill>
      <patternFill patternType="solid">
        <fgColor rgb="FF595959"/>
        <bgColor rgb="FF404040"/>
      </patternFill>
    </fill>
    <fill>
      <patternFill patternType="solid">
        <fgColor rgb="FFA6A6A6"/>
        <bgColor rgb="FFBFBFBF"/>
      </patternFill>
    </fill>
    <fill>
      <patternFill patternType="solid">
        <fgColor theme="9" tint="0.4"/>
        <bgColor rgb="FFD9D9D9"/>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top/>
      <bottom style="medium">
        <color rgb="FF1F3864"/>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16" fillId="0" borderId="2" xfId="0" applyFont="true" applyBorder="true" applyAlignment="true" applyProtection="false">
      <alignment horizontal="left" vertical="bottom" textRotation="0" wrapText="true" indent="0" shrinkToFit="false"/>
      <protection locked="true" hidden="false"/>
    </xf>
    <xf numFmtId="164" fontId="17" fillId="5" borderId="0" xfId="0" applyFont="true" applyBorder="true" applyAlignment="true" applyProtection="false">
      <alignment horizontal="center" vertical="center" textRotation="0" wrapText="true" indent="0" shrinkToFit="false"/>
      <protection locked="true" hidden="false"/>
    </xf>
    <xf numFmtId="164" fontId="17" fillId="6" borderId="0" xfId="0" applyFont="true" applyBorder="true" applyAlignment="true" applyProtection="false">
      <alignment horizontal="center" vertical="center" textRotation="0" wrapText="true" indent="0" shrinkToFit="false"/>
      <protection locked="true" hidden="false"/>
    </xf>
    <xf numFmtId="167" fontId="18" fillId="7"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center" textRotation="0" wrapText="true" indent="0" shrinkToFit="false"/>
      <protection locked="true" hidden="false"/>
    </xf>
    <xf numFmtId="164" fontId="22" fillId="8" borderId="0" xfId="0" applyFont="true" applyBorder="true" applyAlignment="true" applyProtection="false">
      <alignment horizontal="center" vertical="bottom" textRotation="0" wrapText="true" indent="0" shrinkToFit="false"/>
      <protection locked="true" hidden="false"/>
    </xf>
    <xf numFmtId="164" fontId="22" fillId="5" borderId="0" xfId="0" applyFont="true" applyBorder="true" applyAlignment="true" applyProtection="false">
      <alignment horizontal="center" vertical="bottom" textRotation="0" wrapText="true" indent="0" shrinkToFit="false"/>
      <protection locked="true" hidden="false"/>
    </xf>
    <xf numFmtId="164" fontId="17" fillId="5" borderId="0" xfId="0" applyFont="true" applyBorder="true" applyAlignment="true" applyProtection="false">
      <alignment horizontal="left" vertical="center"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3" fillId="8" borderId="0" xfId="0" applyFont="true" applyBorder="true" applyAlignment="true" applyProtection="false">
      <alignment horizontal="center" vertical="top" textRotation="0" wrapText="true" indent="0" shrinkToFit="false"/>
      <protection locked="true" hidden="false"/>
    </xf>
    <xf numFmtId="164" fontId="23" fillId="5" borderId="0" xfId="0" applyFont="true" applyBorder="true" applyAlignment="true" applyProtection="false">
      <alignment horizontal="center" vertical="top" textRotation="0" wrapText="true" indent="0" shrinkToFit="false"/>
      <protection locked="true" hidden="false"/>
    </xf>
    <xf numFmtId="164" fontId="24" fillId="3" borderId="3" xfId="0" applyFont="true" applyBorder="true" applyAlignment="true" applyProtection="false">
      <alignment horizontal="left" vertical="top"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5" fillId="3" borderId="3" xfId="0" applyFont="true" applyBorder="true" applyAlignment="true" applyProtection="false">
      <alignment horizontal="left" vertical="top" textRotation="0" wrapText="true" indent="0" shrinkToFit="false"/>
      <protection locked="true" hidden="false"/>
    </xf>
    <xf numFmtId="164" fontId="26" fillId="9" borderId="0" xfId="0" applyFont="true" applyBorder="true" applyAlignment="true" applyProtection="false">
      <alignment horizontal="center" vertical="bottom" textRotation="0" wrapText="true" indent="0" shrinkToFit="false"/>
      <protection locked="true" hidden="false"/>
    </xf>
    <xf numFmtId="164" fontId="24" fillId="0" borderId="3" xfId="0" applyFont="true" applyBorder="true" applyAlignment="true" applyProtection="false">
      <alignment horizontal="left" vertical="top" textRotation="0" wrapText="tru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5" fillId="0" borderId="3" xfId="0" applyFont="true" applyBorder="true" applyAlignment="true" applyProtection="false">
      <alignment horizontal="left" vertical="top" textRotation="0" wrapText="true" indent="0" shrinkToFit="false"/>
      <protection locked="true" hidden="false"/>
    </xf>
    <xf numFmtId="164" fontId="25" fillId="9"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top" textRotation="0" wrapText="tru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8" fillId="5" borderId="0" xfId="0" applyFont="true" applyBorder="false" applyAlignment="true" applyProtection="false">
      <alignment horizontal="center" vertical="center" textRotation="0" wrapText="true" indent="0" shrinkToFit="false"/>
      <protection locked="true" hidden="false"/>
    </xf>
    <xf numFmtId="164" fontId="28" fillId="5" borderId="0"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right" vertical="top" textRotation="0" wrapText="false" indent="0" shrinkToFit="false"/>
      <protection locked="true" hidden="false"/>
    </xf>
    <xf numFmtId="164" fontId="25" fillId="0" borderId="0" xfId="0" applyFont="true" applyBorder="true" applyAlignment="true" applyProtection="false">
      <alignment horizontal="left" vertical="top" textRotation="0" wrapText="true" indent="0" shrinkToFit="false"/>
      <protection locked="true" hidden="false"/>
    </xf>
    <xf numFmtId="164" fontId="30" fillId="10" borderId="4" xfId="0" applyFont="true" applyBorder="true" applyAlignment="true" applyProtection="false">
      <alignment horizontal="left" vertical="center" textRotation="0" wrapText="false" indent="0" shrinkToFit="false"/>
      <protection locked="true" hidden="false"/>
    </xf>
    <xf numFmtId="167" fontId="31" fillId="10" borderId="4" xfId="0" applyFont="true" applyBorder="true" applyAlignment="true" applyProtection="false">
      <alignment horizontal="center" vertical="center" textRotation="0" wrapText="false" indent="0" shrinkToFit="false"/>
      <protection locked="true" hidden="false"/>
    </xf>
    <xf numFmtId="168" fontId="31" fillId="10" borderId="4" xfId="0" applyFont="true" applyBorder="true" applyAlignment="true" applyProtection="false">
      <alignment horizontal="center" vertical="center" textRotation="0" wrapText="false" indent="0" shrinkToFit="false"/>
      <protection locked="true" hidden="false"/>
    </xf>
    <xf numFmtId="167" fontId="30" fillId="10" borderId="4" xfId="0" applyFont="true" applyBorder="true" applyAlignment="true" applyProtection="false">
      <alignment horizontal="center" vertical="center" textRotation="0" wrapText="false" indent="0" shrinkToFit="false"/>
      <protection locked="true" hidden="false"/>
    </xf>
    <xf numFmtId="164" fontId="30" fillId="3" borderId="4" xfId="0" applyFont="true" applyBorder="true" applyAlignment="true" applyProtection="false">
      <alignment horizontal="left" vertical="center" textRotation="0" wrapText="false" indent="0" shrinkToFit="false"/>
      <protection locked="true" hidden="false"/>
    </xf>
    <xf numFmtId="167" fontId="31" fillId="3" borderId="4" xfId="0" applyFont="true" applyBorder="true" applyAlignment="true" applyProtection="false">
      <alignment horizontal="center" vertical="center" textRotation="0" wrapText="false" indent="0" shrinkToFit="false"/>
      <protection locked="true" hidden="false"/>
    </xf>
    <xf numFmtId="168" fontId="31" fillId="3" borderId="4" xfId="0" applyFont="true" applyBorder="true" applyAlignment="true" applyProtection="false">
      <alignment horizontal="center" vertical="center" textRotation="0" wrapText="false" indent="0" shrinkToFit="false"/>
      <protection locked="true" hidden="false"/>
    </xf>
    <xf numFmtId="167" fontId="30" fillId="3"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34" fillId="0" borderId="1" xfId="0" applyFont="true" applyBorder="true" applyAlignment="true" applyProtection="false">
      <alignment horizontal="general" vertical="top" textRotation="0" wrapText="false" indent="0" shrinkToFit="false"/>
      <protection locked="true" hidden="false"/>
    </xf>
    <xf numFmtId="164" fontId="35"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center" textRotation="0" wrapText="false" indent="0" shrinkToFit="false"/>
      <protection locked="true" hidden="false"/>
    </xf>
    <xf numFmtId="164" fontId="17" fillId="6" borderId="0" xfId="0" applyFont="true" applyBorder="true" applyAlignment="true" applyProtection="false">
      <alignment horizontal="center" vertical="center" textRotation="0" wrapText="false" indent="0" shrinkToFit="false"/>
      <protection locked="true" hidden="false"/>
    </xf>
    <xf numFmtId="164" fontId="17"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3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6" fillId="13" borderId="1" xfId="0" applyFont="true" applyBorder="true" applyAlignment="true" applyProtection="false">
      <alignment horizontal="general" vertical="center" textRotation="0" wrapText="tru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22" fillId="5" borderId="0" xfId="0" applyFont="true" applyBorder="true" applyAlignment="true" applyProtection="false">
      <alignment horizontal="general" vertical="center" textRotation="0" wrapText="true" indent="0" shrinkToFit="false"/>
      <protection locked="true" hidden="false"/>
    </xf>
    <xf numFmtId="164" fontId="22" fillId="6" borderId="0" xfId="0" applyFont="true" applyBorder="true" applyAlignment="true" applyProtection="false">
      <alignment horizontal="general" vertical="center" textRotation="0" wrapText="tru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general" vertical="center" textRotation="0" wrapText="true" indent="0" shrinkToFit="false"/>
      <protection locked="true" hidden="false"/>
    </xf>
    <xf numFmtId="164" fontId="7" fillId="0" borderId="4" xfId="0" applyFont="true" applyBorder="true" applyAlignment="true" applyProtection="false">
      <alignment horizontal="general" vertical="top" textRotation="0" wrapText="fals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center" vertical="top" textRotation="0" wrapText="false" indent="0" shrinkToFit="false"/>
      <protection locked="true" hidden="false"/>
    </xf>
    <xf numFmtId="164" fontId="37" fillId="0" borderId="4"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41" fillId="0" borderId="0" xfId="0" applyFont="true" applyBorder="false" applyAlignment="true" applyProtection="false">
      <alignment horizontal="center" vertical="top"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false" applyProtection="false">
      <alignment horizontal="general" vertical="bottom" textRotation="0" wrapText="false" indent="0" shrinkToFit="false"/>
      <protection locked="true" hidden="false"/>
    </xf>
    <xf numFmtId="164" fontId="5" fillId="0" borderId="4" xfId="0" applyFont="true" applyBorder="true" applyAlignment="false" applyProtection="false">
      <alignment horizontal="general" vertical="bottom" textRotation="0" wrapText="false" indent="0" shrinkToFit="false"/>
      <protection locked="true" hidden="false"/>
    </xf>
    <xf numFmtId="164" fontId="37" fillId="0" borderId="4"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7" fontId="41" fillId="0" borderId="4" xfId="0" applyFont="true" applyBorder="true" applyAlignment="true" applyProtection="false">
      <alignment horizontal="general" vertical="top" textRotation="0" wrapText="false" indent="0" shrinkToFit="false"/>
      <protection locked="true" hidden="false"/>
    </xf>
    <xf numFmtId="164" fontId="41"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center" vertical="top" textRotation="0" wrapText="false" indent="0" shrinkToFit="false"/>
      <protection locked="true" hidden="false"/>
    </xf>
    <xf numFmtId="165" fontId="7"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general" vertical="top" textRotation="0" wrapText="false" indent="0" shrinkToFit="false"/>
      <protection locked="true" hidden="false"/>
    </xf>
    <xf numFmtId="167" fontId="6" fillId="0" borderId="4"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DDEBF7"/>
        </patternFill>
      </fill>
    </dxf>
    <dxf>
      <font>
        <name val="Calibri"/>
        <charset val="1"/>
        <family val="0"/>
        <color rgb="FFA6A6A6"/>
        <sz val="11"/>
      </font>
    </dxf>
    <dxf>
      <fill>
        <patternFill patternType="solid">
          <fgColor rgb="FFDDEBF7"/>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F2F2F2"/>
          <bgColor rgb="FF000000"/>
        </patternFill>
      </fill>
    </dxf>
    <dxf>
      <fill>
        <patternFill patternType="solid">
          <fgColor rgb="FF808080"/>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A6A6A6"/>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AC090"/>
      <rgbColor rgb="FF2F75B5"/>
      <rgbColor rgb="FF5B9BD5"/>
      <rgbColor rgb="FF70AD47"/>
      <rgbColor rgb="FFFFCC00"/>
      <rgbColor rgb="FFFF9900"/>
      <rgbColor rgb="FFFF6600"/>
      <rgbColor rgb="FF595959"/>
      <rgbColor rgb="FF878787"/>
      <rgbColor rgb="FF1F3864"/>
      <rgbColor rgb="FF4F81BD"/>
      <rgbColor rgb="FF003300"/>
      <rgbColor rgb="FF375623"/>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Price per unit vs injectable shipments (bubble = injectable export value)</a:t>
            </a:r>
          </a:p>
        </c:rich>
      </c:tx>
      <c:overlay val="0"/>
      <c:spPr>
        <a:noFill/>
        <a:ln w="0">
          <a:noFill/>
        </a:ln>
      </c:spPr>
    </c:title>
    <c:autoTitleDeleted val="0"/>
    <c:plotArea>
      <c:bubbleChart>
        <c:varyColors val="0"/>
        <c:ser>
          <c:idx val="0"/>
          <c:order val="0"/>
          <c:tx>
            <c:strRef>
              <c:f>'2x2 Matrix'!$H$6</c:f>
              <c:strCache>
                <c:ptCount val="1"/>
                <c:pt idx="0">
                  <c:v>Azacitidine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Matrix'!$I$6</c:f>
              <c:numCache>
                <c:formatCode>#,##0.00</c:formatCode>
                <c:ptCount val="1"/>
                <c:pt idx="0">
                  <c:v>256.12</c:v>
                </c:pt>
              </c:numCache>
            </c:numRef>
          </c:xVal>
          <c:yVal>
            <c:numRef>
              <c:f>'2x2 Matrix'!$J$6</c:f>
              <c:numCache>
                <c:formatCode>#,##0</c:formatCode>
                <c:ptCount val="1"/>
                <c:pt idx="0">
                  <c:v>632</c:v>
                </c:pt>
              </c:numCache>
            </c:numRef>
          </c:yVal>
          <c:bubbleSize>
            <c:numRef>
              <c:f>'2x2 Matrix'!$K$6</c:f>
              <c:numCache>
                <c:formatCode>#,##0</c:formatCode>
                <c:ptCount val="1"/>
                <c:pt idx="0">
                  <c:v>42181.7</c:v>
                </c:pt>
              </c:numCache>
            </c:numRef>
          </c:bubbleSize>
          <c:bubble3D val="0"/>
        </c:ser>
        <c:ser>
          <c:idx val="1"/>
          <c:order val="1"/>
          <c:tx>
            <c:strRef>
              <c:f>'2x2 Matrix'!$H$7</c:f>
              <c:strCache>
                <c:ptCount val="1"/>
                <c:pt idx="0">
                  <c:v>Bortezomib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Matrix'!$I$7</c:f>
              <c:numCache>
                <c:formatCode>#,##0.00</c:formatCode>
                <c:ptCount val="1"/>
                <c:pt idx="0">
                  <c:v>569.27</c:v>
                </c:pt>
              </c:numCache>
            </c:numRef>
          </c:xVal>
          <c:yVal>
            <c:numRef>
              <c:f>'2x2 Matrix'!$J$7</c:f>
              <c:numCache>
                <c:formatCode>#,##0</c:formatCode>
                <c:ptCount val="1"/>
                <c:pt idx="0">
                  <c:v>905</c:v>
                </c:pt>
              </c:numCache>
            </c:numRef>
          </c:yVal>
          <c:bubbleSize>
            <c:numRef>
              <c:f>'2x2 Matrix'!$K$7</c:f>
              <c:numCache>
                <c:formatCode>#,##0</c:formatCode>
                <c:ptCount val="1"/>
                <c:pt idx="0">
                  <c:v>28093.4</c:v>
                </c:pt>
              </c:numCache>
            </c:numRef>
          </c:bubbleSize>
          <c:bubble3D val="0"/>
        </c:ser>
        <c:ser>
          <c:idx val="2"/>
          <c:order val="2"/>
          <c:tx>
            <c:strRef>
              <c:f>'2x2 Matrix'!$H$8</c:f>
              <c:strCache>
                <c:ptCount val="1"/>
                <c:pt idx="0">
                  <c:v>Pegfilgrastim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Matrix'!$I$8</c:f>
              <c:numCache>
                <c:formatCode>#,##0.00</c:formatCode>
                <c:ptCount val="1"/>
                <c:pt idx="0">
                  <c:v>907.38</c:v>
                </c:pt>
              </c:numCache>
            </c:numRef>
          </c:xVal>
          <c:yVal>
            <c:numRef>
              <c:f>'2x2 Matrix'!$J$8</c:f>
              <c:numCache>
                <c:formatCode>#,##0</c:formatCode>
                <c:ptCount val="1"/>
                <c:pt idx="0">
                  <c:v>155</c:v>
                </c:pt>
              </c:numCache>
            </c:numRef>
          </c:yVal>
          <c:bubbleSize>
            <c:numRef>
              <c:f>'2x2 Matrix'!$K$8</c:f>
              <c:numCache>
                <c:formatCode>#,##0</c:formatCode>
                <c:ptCount val="1"/>
                <c:pt idx="0">
                  <c:v>22036.1</c:v>
                </c:pt>
              </c:numCache>
            </c:numRef>
          </c:bubbleSize>
          <c:bubble3D val="0"/>
        </c:ser>
        <c:ser>
          <c:idx val="3"/>
          <c:order val="3"/>
          <c:tx>
            <c:strRef>
              <c:f>'2x2 Matrix'!$H$9</c:f>
              <c:strCache>
                <c:ptCount val="1"/>
                <c:pt idx="0">
                  <c:v>Methotrexate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Matrix'!$I$9</c:f>
              <c:numCache>
                <c:formatCode>#,##0.00</c:formatCode>
                <c:ptCount val="1"/>
                <c:pt idx="0">
                  <c:v>50.77</c:v>
                </c:pt>
              </c:numCache>
            </c:numRef>
          </c:xVal>
          <c:yVal>
            <c:numRef>
              <c:f>'2x2 Matrix'!$J$9</c:f>
              <c:numCache>
                <c:formatCode>#,##0</c:formatCode>
                <c:ptCount val="1"/>
                <c:pt idx="0">
                  <c:v>996</c:v>
                </c:pt>
              </c:numCache>
            </c:numRef>
          </c:yVal>
          <c:bubbleSize>
            <c:numRef>
              <c:f>'2x2 Matrix'!$K$9</c:f>
              <c:numCache>
                <c:formatCode>#,##0</c:formatCode>
                <c:ptCount val="1"/>
                <c:pt idx="0">
                  <c:v>13045.6</c:v>
                </c:pt>
              </c:numCache>
            </c:numRef>
          </c:bubbleSize>
          <c:bubble3D val="0"/>
        </c:ser>
        <c:ser>
          <c:idx val="4"/>
          <c:order val="4"/>
          <c:tx>
            <c:strRef>
              <c:f>'2x2 Matrix'!$H$10</c:f>
              <c:strCache>
                <c:ptCount val="1"/>
                <c:pt idx="0">
                  <c:v>Fulvestrant</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Matrix'!$I$10</c:f>
              <c:numCache>
                <c:formatCode>#,##0.00</c:formatCode>
                <c:ptCount val="1"/>
                <c:pt idx="0">
                  <c:v>246.46</c:v>
                </c:pt>
              </c:numCache>
            </c:numRef>
          </c:xVal>
          <c:yVal>
            <c:numRef>
              <c:f>'2x2 Matrix'!$J$10</c:f>
              <c:numCache>
                <c:formatCode>#,##0</c:formatCode>
                <c:ptCount val="1"/>
                <c:pt idx="0">
                  <c:v>146</c:v>
                </c:pt>
              </c:numCache>
            </c:numRef>
          </c:yVal>
          <c:bubbleSize>
            <c:numRef>
              <c:f>'2x2 Matrix'!$K$10</c:f>
              <c:numCache>
                <c:formatCode>#,##0</c:formatCode>
                <c:ptCount val="1"/>
                <c:pt idx="0">
                  <c:v>11366.1</c:v>
                </c:pt>
              </c:numCache>
            </c:numRef>
          </c:bubbleSize>
          <c:bubble3D val="0"/>
        </c:ser>
        <c:ser>
          <c:idx val="5"/>
          <c:order val="5"/>
          <c:tx>
            <c:strRef>
              <c:f>'2x2 Matrix'!$H$11</c:f>
              <c:strCache>
                <c:ptCount val="1"/>
                <c:pt idx="0">
                  <c:v>Phenylephrine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Matrix'!$I$11</c:f>
              <c:numCache>
                <c:formatCode>#,##0.00</c:formatCode>
                <c:ptCount val="1"/>
                <c:pt idx="0">
                  <c:v>32.6</c:v>
                </c:pt>
              </c:numCache>
            </c:numRef>
          </c:xVal>
          <c:yVal>
            <c:numRef>
              <c:f>'2x2 Matrix'!$J$11</c:f>
              <c:numCache>
                <c:formatCode>#,##0</c:formatCode>
                <c:ptCount val="1"/>
                <c:pt idx="0">
                  <c:v>226</c:v>
                </c:pt>
              </c:numCache>
            </c:numRef>
          </c:yVal>
          <c:bubbleSize>
            <c:numRef>
              <c:f>'2x2 Matrix'!$K$11</c:f>
              <c:numCache>
                <c:formatCode>#,##0</c:formatCode>
                <c:ptCount val="1"/>
                <c:pt idx="0">
                  <c:v>5695.2</c:v>
                </c:pt>
              </c:numCache>
            </c:numRef>
          </c:bubbleSize>
          <c:bubble3D val="0"/>
        </c:ser>
        <c:ser>
          <c:idx val="6"/>
          <c:order val="6"/>
          <c:tx>
            <c:strRef>
              <c:f>'2x2 Matrix'!$H$12</c:f>
              <c:strCache>
                <c:ptCount val="1"/>
                <c:pt idx="0">
                  <c:v>Bleomycin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Matrix'!$I$12</c:f>
              <c:numCache>
                <c:formatCode>#,##0.00</c:formatCode>
                <c:ptCount val="1"/>
                <c:pt idx="0">
                  <c:v>50.27</c:v>
                </c:pt>
              </c:numCache>
            </c:numRef>
          </c:xVal>
          <c:yVal>
            <c:numRef>
              <c:f>'2x2 Matrix'!$J$12</c:f>
              <c:numCache>
                <c:formatCode>#,##0</c:formatCode>
                <c:ptCount val="1"/>
                <c:pt idx="0">
                  <c:v>441</c:v>
                </c:pt>
              </c:numCache>
            </c:numRef>
          </c:yVal>
          <c:bubbleSize>
            <c:numRef>
              <c:f>'2x2 Matrix'!$K$12</c:f>
              <c:numCache>
                <c:formatCode>#,##0</c:formatCode>
                <c:ptCount val="1"/>
                <c:pt idx="0">
                  <c:v>3973.7</c:v>
                </c:pt>
              </c:numCache>
            </c:numRef>
          </c:bubbleSize>
          <c:bubble3D val="0"/>
        </c:ser>
        <c:ser>
          <c:idx val="7"/>
          <c:order val="7"/>
          <c:tx>
            <c:strRef>
              <c:f>'2x2 Matrix'!$H$13</c:f>
              <c:strCache>
                <c:ptCount val="1"/>
                <c:pt idx="0">
                  <c:v>Denosumab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Matrix'!$I$13</c:f>
              <c:numCache>
                <c:formatCode>#,##0.00</c:formatCode>
                <c:ptCount val="1"/>
                <c:pt idx="0">
                  <c:v>162.77</c:v>
                </c:pt>
              </c:numCache>
            </c:numRef>
          </c:xVal>
          <c:yVal>
            <c:numRef>
              <c:f>'2x2 Matrix'!$J$13</c:f>
              <c:numCache>
                <c:formatCode>#,##0</c:formatCode>
                <c:ptCount val="1"/>
                <c:pt idx="0">
                  <c:v>314</c:v>
                </c:pt>
              </c:numCache>
            </c:numRef>
          </c:yVal>
          <c:bubbleSize>
            <c:numRef>
              <c:f>'2x2 Matrix'!$K$13</c:f>
              <c:numCache>
                <c:formatCode>#,##0</c:formatCode>
                <c:ptCount val="1"/>
                <c:pt idx="0">
                  <c:v>3429.5</c:v>
                </c:pt>
              </c:numCache>
            </c:numRef>
          </c:bubbleSize>
          <c:bubble3D val="0"/>
        </c:ser>
        <c:ser>
          <c:idx val="8"/>
          <c:order val="8"/>
          <c:tx>
            <c:strRef>
              <c:f>'2x2 Matrix'!$H$14</c:f>
              <c:strCache>
                <c:ptCount val="1"/>
                <c:pt idx="0">
                  <c:v>Ceftriaxone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Matrix'!$I$14</c:f>
              <c:numCache>
                <c:formatCode>#,##0.00</c:formatCode>
                <c:ptCount val="1"/>
              </c:numCache>
            </c:numRef>
          </c:xVal>
          <c:yVal>
            <c:numRef>
              <c:f>'2x2 Matrix'!$J$14</c:f>
              <c:numCache>
                <c:formatCode>#,##0</c:formatCode>
                <c:ptCount val="1"/>
              </c:numCache>
            </c:numRef>
          </c:yVal>
          <c:bubbleSize>
            <c:numRef>
              <c:f>'2x2 Matrix'!$K$14</c:f>
              <c:numCache>
                <c:formatCode>#,##0</c:formatCode>
                <c:ptCount val="1"/>
              </c:numCache>
            </c:numRef>
          </c:bubbleSize>
          <c:bubble3D val="0"/>
        </c:ser>
        <c:ser>
          <c:idx val="9"/>
          <c:order val="9"/>
          <c:tx>
            <c:strRef>
              <c:f>'2x2 Matrix'!$H$15</c:f>
              <c:strCache>
                <c:ptCount val="1"/>
                <c:pt idx="0">
                  <c:v>Ondansetron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Matrix'!$I$15</c:f>
              <c:numCache>
                <c:formatCode>#,##0.00</c:formatCode>
                <c:ptCount val="1"/>
              </c:numCache>
            </c:numRef>
          </c:xVal>
          <c:yVal>
            <c:numRef>
              <c:f>'2x2 Matrix'!$J$15</c:f>
              <c:numCache>
                <c:formatCode>#,##0</c:formatCode>
                <c:ptCount val="1"/>
              </c:numCache>
            </c:numRef>
          </c:yVal>
          <c:bubbleSize>
            <c:numRef>
              <c:f>'2x2 Matrix'!$K$15</c:f>
              <c:numCache>
                <c:formatCode>#,##0</c:formatCode>
                <c:ptCount val="1"/>
              </c:numCache>
            </c:numRef>
          </c:bubbleSize>
          <c:bubble3D val="0"/>
        </c:ser>
        <c:ser>
          <c:idx val="10"/>
          <c:order val="10"/>
          <c:tx>
            <c:strRef>
              <c:f>'2x2 Matrix'!$H$16</c:f>
              <c:strCache>
                <c:ptCount val="1"/>
                <c:pt idx="0">
                  <c:v>Plerixafor</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Matrix'!$I$16</c:f>
              <c:numCache>
                <c:formatCode>#,##0.00</c:formatCode>
                <c:ptCount val="1"/>
              </c:numCache>
            </c:numRef>
          </c:xVal>
          <c:yVal>
            <c:numRef>
              <c:f>'2x2 Matrix'!$J$16</c:f>
              <c:numCache>
                <c:formatCode>#,##0</c:formatCode>
                <c:ptCount val="1"/>
              </c:numCache>
            </c:numRef>
          </c:yVal>
          <c:bubbleSize>
            <c:numRef>
              <c:f>'2x2 Matrix'!$K$16</c:f>
              <c:numCache>
                <c:formatCode>#,##0</c:formatCode>
                <c:ptCount val="1"/>
              </c:numCache>
            </c:numRef>
          </c:bubbleSize>
          <c:bubble3D val="0"/>
        </c:ser>
        <c:ser>
          <c:idx val="11"/>
          <c:order val="11"/>
          <c:tx>
            <c:strRef>
              <c:f>'2x2 Matrix'!$H$17</c:f>
              <c:strCache>
                <c:ptCount val="1"/>
                <c:pt idx="0">
                  <c:v>Cytarabine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Matrix'!$I$17</c:f>
              <c:numCache>
                <c:formatCode>#,##0.00</c:formatCode>
                <c:ptCount val="1"/>
              </c:numCache>
            </c:numRef>
          </c:xVal>
          <c:yVal>
            <c:numRef>
              <c:f>'2x2 Matrix'!$J$17</c:f>
              <c:numCache>
                <c:formatCode>#,##0</c:formatCode>
                <c:ptCount val="1"/>
              </c:numCache>
            </c:numRef>
          </c:yVal>
          <c:bubbleSize>
            <c:numRef>
              <c:f>'2x2 Matrix'!$K$17</c:f>
              <c:numCache>
                <c:formatCode>#,##0</c:formatCode>
                <c:ptCount val="1"/>
              </c:numCache>
            </c:numRef>
          </c:bubbleSize>
          <c:bubble3D val="0"/>
        </c:ser>
        <c:ser>
          <c:idx val="12"/>
          <c:order val="12"/>
          <c:tx>
            <c:strRef>
              <c:f>'2x2 Matrix'!$H$18</c:f>
              <c:strCache>
                <c:ptCount val="1"/>
                <c:pt idx="0">
                  <c:v>Atropine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Matrix'!$I$18</c:f>
              <c:numCache>
                <c:formatCode>#,##0.00</c:formatCode>
                <c:ptCount val="1"/>
              </c:numCache>
            </c:numRef>
          </c:xVal>
          <c:yVal>
            <c:numRef>
              <c:f>'2x2 Matrix'!$J$18</c:f>
              <c:numCache>
                <c:formatCode>#,##0</c:formatCode>
                <c:ptCount val="1"/>
              </c:numCache>
            </c:numRef>
          </c:yVal>
          <c:bubbleSize>
            <c:numRef>
              <c:f>'2x2 Matrix'!$K$18</c:f>
              <c:numCache>
                <c:formatCode>#,##0</c:formatCode>
                <c:ptCount val="1"/>
              </c:numCache>
            </c:numRef>
          </c:bubbleSize>
          <c:bubble3D val="0"/>
        </c:ser>
        <c:ser>
          <c:idx val="13"/>
          <c:order val="13"/>
          <c:tx>
            <c:strRef>
              <c:f>'2x2 Matrix'!$H$19</c:f>
              <c:strCache>
                <c:ptCount val="1"/>
                <c:pt idx="0">
                  <c:v>Teicoplanin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Matrix'!$I$19</c:f>
              <c:numCache>
                <c:formatCode>#,##0.00</c:formatCode>
                <c:ptCount val="1"/>
              </c:numCache>
            </c:numRef>
          </c:xVal>
          <c:yVal>
            <c:numRef>
              <c:f>'2x2 Matrix'!$J$19</c:f>
              <c:numCache>
                <c:formatCode>#,##0</c:formatCode>
                <c:ptCount val="1"/>
              </c:numCache>
            </c:numRef>
          </c:yVal>
          <c:bubbleSize>
            <c:numRef>
              <c:f>'2x2 Matrix'!$K$19</c:f>
              <c:numCache>
                <c:formatCode>#,##0</c:formatCode>
                <c:ptCount val="1"/>
              </c:numCache>
            </c:numRef>
          </c:bubbleSize>
          <c:bubble3D val="0"/>
        </c:ser>
        <c:ser>
          <c:idx val="14"/>
          <c:order val="14"/>
          <c:tx>
            <c:strRef>
              <c:f>'2x2 Matrix'!$H$20</c:f>
              <c:strCache>
                <c:ptCount val="1"/>
                <c:pt idx="0">
                  <c:v>Cefepime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Matrix'!$I$20</c:f>
              <c:numCache>
                <c:formatCode>#,##0.00</c:formatCode>
                <c:ptCount val="1"/>
              </c:numCache>
            </c:numRef>
          </c:xVal>
          <c:yVal>
            <c:numRef>
              <c:f>'2x2 Matrix'!$J$20</c:f>
              <c:numCache>
                <c:formatCode>#,##0</c:formatCode>
                <c:ptCount val="1"/>
              </c:numCache>
            </c:numRef>
          </c:yVal>
          <c:bubbleSize>
            <c:numRef>
              <c:f>'2x2 Matrix'!$K$20</c:f>
              <c:numCache>
                <c:formatCode>#,##0</c:formatCode>
                <c:ptCount val="1"/>
              </c:numCache>
            </c:numRef>
          </c:bubbleSize>
          <c:bubble3D val="0"/>
        </c:ser>
        <c:ser>
          <c:idx val="15"/>
          <c:order val="15"/>
          <c:tx>
            <c:strRef>
              <c:f>'2x2 Matrix'!$H$21</c:f>
              <c:strCache>
                <c:ptCount val="1"/>
                <c:pt idx="0">
                  <c:v>Midazolam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Matrix'!$I$21</c:f>
              <c:numCache>
                <c:formatCode>#,##0.00</c:formatCode>
                <c:ptCount val="1"/>
              </c:numCache>
            </c:numRef>
          </c:xVal>
          <c:yVal>
            <c:numRef>
              <c:f>'2x2 Matrix'!$J$21</c:f>
              <c:numCache>
                <c:formatCode>#,##0</c:formatCode>
                <c:ptCount val="1"/>
              </c:numCache>
            </c:numRef>
          </c:yVal>
          <c:bubbleSize>
            <c:numRef>
              <c:f>'2x2 Matrix'!$K$21</c:f>
              <c:numCache>
                <c:formatCode>#,##0</c:formatCode>
                <c:ptCount val="1"/>
              </c:numCache>
            </c:numRef>
          </c:bubbleSize>
          <c:bubble3D val="0"/>
        </c:ser>
        <c:ser>
          <c:idx val="16"/>
          <c:order val="16"/>
          <c:tx>
            <c:strRef>
              <c:f>'2x2 Matrix'!$H$22</c:f>
              <c:strCache>
                <c:ptCount val="1"/>
                <c:pt idx="0">
                  <c:v>Succinylcholine (Suxamethonium)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Matrix'!$I$22</c:f>
              <c:numCache>
                <c:formatCode>#,##0.00</c:formatCode>
                <c:ptCount val="1"/>
              </c:numCache>
            </c:numRef>
          </c:xVal>
          <c:yVal>
            <c:numRef>
              <c:f>'2x2 Matrix'!$J$22</c:f>
              <c:numCache>
                <c:formatCode>#,##0</c:formatCode>
                <c:ptCount val="1"/>
              </c:numCache>
            </c:numRef>
          </c:yVal>
          <c:bubbleSize>
            <c:numRef>
              <c:f>'2x2 Matrix'!$K$22</c:f>
              <c:numCache>
                <c:formatCode>#,##0</c:formatCode>
                <c:ptCount val="1"/>
              </c:numCache>
            </c:numRef>
          </c:bubbleSize>
          <c:bubble3D val="0"/>
        </c:ser>
        <c:ser>
          <c:idx val="17"/>
          <c:order val="17"/>
          <c:tx>
            <c:strRef>
              <c:f>'2x2 Matrix'!$H$23</c:f>
              <c:strCache>
                <c:ptCount val="1"/>
                <c:pt idx="0">
                  <c:v>Leuprorelin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Matrix'!$I$23</c:f>
              <c:numCache>
                <c:formatCode>#,##0.00</c:formatCode>
                <c:ptCount val="1"/>
              </c:numCache>
            </c:numRef>
          </c:xVal>
          <c:yVal>
            <c:numRef>
              <c:f>'2x2 Matrix'!$J$23</c:f>
              <c:numCache>
                <c:formatCode>#,##0</c:formatCode>
                <c:ptCount val="1"/>
              </c:numCache>
            </c:numRef>
          </c:yVal>
          <c:bubbleSize>
            <c:numRef>
              <c:f>'2x2 Matrix'!$K$23</c:f>
              <c:numCache>
                <c:formatCode>#,##0</c:formatCode>
                <c:ptCount val="1"/>
              </c:numCache>
            </c:numRef>
          </c:bubbleSize>
          <c:bubble3D val="0"/>
        </c:ser>
        <c:ser>
          <c:idx val="18"/>
          <c:order val="18"/>
          <c:tx>
            <c:strRef>
              <c:f>'2x2 Matrix'!$H$24</c:f>
              <c:strCache>
                <c:ptCount val="1"/>
                <c:pt idx="0">
                  <c:v>Ustekinumab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Matrix'!$I$24</c:f>
              <c:numCache>
                <c:formatCode>#,##0.00</c:formatCode>
                <c:ptCount val="1"/>
              </c:numCache>
            </c:numRef>
          </c:xVal>
          <c:yVal>
            <c:numRef>
              <c:f>'2x2 Matrix'!$J$24</c:f>
              <c:numCache>
                <c:formatCode>#,##0</c:formatCode>
                <c:ptCount val="1"/>
              </c:numCache>
            </c:numRef>
          </c:yVal>
          <c:bubbleSize>
            <c:numRef>
              <c:f>'2x2 Matrix'!$K$24</c:f>
              <c:numCache>
                <c:formatCode>#,##0</c:formatCode>
                <c:ptCount val="1"/>
              </c:numCache>
            </c:numRef>
          </c:bubbleSize>
          <c:bubble3D val="0"/>
        </c:ser>
        <c:ser>
          <c:idx val="19"/>
          <c:order val="19"/>
          <c:tx>
            <c:strRef>
              <c:f>'2x2 Matrix'!$H$25</c:f>
              <c:strCache>
                <c:ptCount val="1"/>
                <c:pt idx="0">
                  <c:v>Degarelix</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Matrix'!$I$25</c:f>
              <c:numCache>
                <c:formatCode>#,##0.00</c:formatCode>
                <c:ptCount val="1"/>
              </c:numCache>
            </c:numRef>
          </c:xVal>
          <c:yVal>
            <c:numRef>
              <c:f>'2x2 Matrix'!$J$25</c:f>
              <c:numCache>
                <c:formatCode>#,##0</c:formatCode>
                <c:ptCount val="1"/>
              </c:numCache>
            </c:numRef>
          </c:yVal>
          <c:bubbleSize>
            <c:numRef>
              <c:f>'2x2 Matrix'!$K$25</c:f>
              <c:numCache>
                <c:formatCode>#,##0</c:formatCode>
                <c:ptCount val="1"/>
              </c:numCache>
            </c:numRef>
          </c:bubbleSize>
          <c:bubble3D val="0"/>
        </c:ser>
        <c:ser>
          <c:idx val="20"/>
          <c:order val="20"/>
          <c:tx>
            <c:strRef>
              <c:f>'2x2 Matrix'!$H$26</c:f>
              <c:strCache>
                <c:ptCount val="1"/>
                <c:pt idx="0">
                  <c:v>Flucloxacillin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Matrix'!$I$26</c:f>
              <c:numCache>
                <c:formatCode>#,##0.00</c:formatCode>
                <c:ptCount val="1"/>
              </c:numCache>
            </c:numRef>
          </c:xVal>
          <c:yVal>
            <c:numRef>
              <c:f>'2x2 Matrix'!$J$26</c:f>
              <c:numCache>
                <c:formatCode>#,##0</c:formatCode>
                <c:ptCount val="1"/>
              </c:numCache>
            </c:numRef>
          </c:yVal>
          <c:bubbleSize>
            <c:numRef>
              <c:f>'2x2 Matrix'!$K$26</c:f>
              <c:numCache>
                <c:formatCode>#,##0</c:formatCode>
                <c:ptCount val="1"/>
              </c:numCache>
            </c:numRef>
          </c:bubbleSize>
          <c:bubble3D val="0"/>
        </c:ser>
        <c:ser>
          <c:idx val="21"/>
          <c:order val="21"/>
          <c:tx>
            <c:strRef>
              <c:f>'2x2 Matrix'!$H$27</c:f>
              <c:strCache>
                <c:ptCount val="1"/>
                <c:pt idx="0">
                  <c:v>Progesterone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Matrix'!$I$27</c:f>
              <c:numCache>
                <c:formatCode>#,##0.00</c:formatCode>
                <c:ptCount val="1"/>
              </c:numCache>
            </c:numRef>
          </c:xVal>
          <c:yVal>
            <c:numRef>
              <c:f>'2x2 Matrix'!$J$27</c:f>
              <c:numCache>
                <c:formatCode>#,##0</c:formatCode>
                <c:ptCount val="1"/>
              </c:numCache>
            </c:numRef>
          </c:yVal>
          <c:bubbleSize>
            <c:numRef>
              <c:f>'2x2 Matrix'!$K$27</c:f>
              <c:numCache>
                <c:formatCode>#,##0</c:formatCode>
                <c:ptCount val="1"/>
              </c:numCache>
            </c:numRef>
          </c:bubbleSize>
          <c:bubble3D val="0"/>
        </c:ser>
        <c:ser>
          <c:idx val="22"/>
          <c:order val="22"/>
          <c:tx>
            <c:strRef>
              <c:f>'2x2 Matrix'!$H$28</c:f>
              <c:strCache>
                <c:ptCount val="1"/>
                <c:pt idx="0">
                  <c:v>Naloxone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Matrix'!$I$28</c:f>
              <c:numCache>
                <c:formatCode>#,##0.00</c:formatCode>
                <c:ptCount val="1"/>
              </c:numCache>
            </c:numRef>
          </c:xVal>
          <c:yVal>
            <c:numRef>
              <c:f>'2x2 Matrix'!$J$28</c:f>
              <c:numCache>
                <c:formatCode>#,##0</c:formatCode>
                <c:ptCount val="1"/>
              </c:numCache>
            </c:numRef>
          </c:yVal>
          <c:bubbleSize>
            <c:numRef>
              <c:f>'2x2 Matrix'!$K$28</c:f>
              <c:numCache>
                <c:formatCode>#,##0</c:formatCode>
                <c:ptCount val="1"/>
              </c:numCache>
            </c:numRef>
          </c:bubbleSize>
          <c:bubble3D val="0"/>
        </c:ser>
        <c:ser>
          <c:idx val="23"/>
          <c:order val="23"/>
          <c:tx>
            <c:strRef>
              <c:f>'2x2 Matrix'!$H$29</c:f>
              <c:strCache>
                <c:ptCount val="1"/>
                <c:pt idx="0">
                  <c:v>Hydroxocobalamin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Matrix'!$I$29</c:f>
              <c:numCache>
                <c:formatCode>#,##0.00</c:formatCode>
                <c:ptCount val="1"/>
              </c:numCache>
            </c:numRef>
          </c:xVal>
          <c:yVal>
            <c:numRef>
              <c:f>'2x2 Matrix'!$J$29</c:f>
              <c:numCache>
                <c:formatCode>#,##0</c:formatCode>
                <c:ptCount val="1"/>
              </c:numCache>
            </c:numRef>
          </c:yVal>
          <c:bubbleSize>
            <c:numRef>
              <c:f>'2x2 Matrix'!$K$29</c:f>
              <c:numCache>
                <c:formatCode>#,##0</c:formatCode>
                <c:ptCount val="1"/>
              </c:numCache>
            </c:numRef>
          </c:bubbleSize>
          <c:bubble3D val="0"/>
        </c:ser>
        <c:ser>
          <c:idx val="24"/>
          <c:order val="24"/>
          <c:tx>
            <c:strRef>
              <c:f>'2x2 Matrix'!$H$30</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Matrix'!$I$30</c:f>
              <c:numCache>
                <c:formatCode>#,##0.00</c:formatCode>
                <c:ptCount val="1"/>
              </c:numCache>
            </c:numRef>
          </c:xVal>
          <c:yVal>
            <c:numRef>
              <c:f>'2x2 Matrix'!$J$30</c:f>
              <c:numCache>
                <c:formatCode>#,##0</c:formatCode>
                <c:ptCount val="1"/>
              </c:numCache>
            </c:numRef>
          </c:yVal>
          <c:bubbleSize>
            <c:numRef>
              <c:f>'2x2 Matrix'!$K$30</c:f>
              <c:numCache>
                <c:formatCode>#,##0</c:formatCode>
                <c:ptCount val="1"/>
              </c:numCache>
            </c:numRef>
          </c:bubbleSize>
          <c:bubble3D val="0"/>
        </c:ser>
        <c:ser>
          <c:idx val="25"/>
          <c:order val="25"/>
          <c:tx>
            <c:strRef>
              <c:f>'2x2 Matrix'!$H$31</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Matrix'!$I$31</c:f>
              <c:numCache>
                <c:formatCode>#,##0.00</c:formatCode>
                <c:ptCount val="1"/>
              </c:numCache>
            </c:numRef>
          </c:xVal>
          <c:yVal>
            <c:numRef>
              <c:f>'2x2 Matrix'!$J$31</c:f>
              <c:numCache>
                <c:formatCode>#,##0</c:formatCode>
                <c:ptCount val="1"/>
              </c:numCache>
            </c:numRef>
          </c:yVal>
          <c:bubbleSize>
            <c:numRef>
              <c:f>'2x2 Matrix'!$K$31</c:f>
              <c:numCache>
                <c:formatCode>#,##0</c:formatCode>
                <c:ptCount val="1"/>
              </c:numCache>
            </c:numRef>
          </c:bubbleSize>
          <c:bubble3D val="0"/>
        </c:ser>
        <c:ser>
          <c:idx val="26"/>
          <c:order val="26"/>
          <c:tx>
            <c:strRef>
              <c:f>'2x2 Matrix'!$H$32</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Matrix'!$I$32</c:f>
              <c:numCache>
                <c:formatCode>#,##0.00</c:formatCode>
                <c:ptCount val="1"/>
              </c:numCache>
            </c:numRef>
          </c:xVal>
          <c:yVal>
            <c:numRef>
              <c:f>'2x2 Matrix'!$J$32</c:f>
              <c:numCache>
                <c:formatCode>#,##0</c:formatCode>
                <c:ptCount val="1"/>
              </c:numCache>
            </c:numRef>
          </c:yVal>
          <c:bubbleSize>
            <c:numRef>
              <c:f>'2x2 Matrix'!$K$32</c:f>
              <c:numCache>
                <c:formatCode>#,##0</c:formatCode>
                <c:ptCount val="1"/>
              </c:numCache>
            </c:numRef>
          </c:bubbleSize>
          <c:bubble3D val="0"/>
        </c:ser>
        <c:ser>
          <c:idx val="27"/>
          <c:order val="27"/>
          <c:tx>
            <c:strRef>
              <c:f>'2x2 Matrix'!$H$33</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Matrix'!$I$33</c:f>
              <c:numCache>
                <c:formatCode>#,##0.00</c:formatCode>
                <c:ptCount val="1"/>
              </c:numCache>
            </c:numRef>
          </c:xVal>
          <c:yVal>
            <c:numRef>
              <c:f>'2x2 Matrix'!$J$33</c:f>
              <c:numCache>
                <c:formatCode>#,##0</c:formatCode>
                <c:ptCount val="1"/>
              </c:numCache>
            </c:numRef>
          </c:yVal>
          <c:bubbleSize>
            <c:numRef>
              <c:f>'2x2 Matrix'!$K$33</c:f>
              <c:numCache>
                <c:formatCode>#,##0</c:formatCode>
                <c:ptCount val="1"/>
              </c:numCache>
            </c:numRef>
          </c:bubbleSize>
          <c:bubble3D val="0"/>
        </c:ser>
        <c:ser>
          <c:idx val="28"/>
          <c:order val="28"/>
          <c:tx>
            <c:strRef>
              <c:f>'2x2 Matrix'!$H$34</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Matrix'!$I$34</c:f>
              <c:numCache>
                <c:formatCode>#,##0.00</c:formatCode>
                <c:ptCount val="1"/>
              </c:numCache>
            </c:numRef>
          </c:xVal>
          <c:yVal>
            <c:numRef>
              <c:f>'2x2 Matrix'!$J$34</c:f>
              <c:numCache>
                <c:formatCode>#,##0</c:formatCode>
                <c:ptCount val="1"/>
              </c:numCache>
            </c:numRef>
          </c:yVal>
          <c:bubbleSize>
            <c:numRef>
              <c:f>'2x2 Matrix'!$K$34</c:f>
              <c:numCache>
                <c:formatCode>#,##0</c:formatCode>
                <c:ptCount val="1"/>
              </c:numCache>
            </c:numRef>
          </c:bubbleSize>
          <c:bubble3D val="0"/>
        </c:ser>
        <c:ser>
          <c:idx val="29"/>
          <c:order val="29"/>
          <c:tx>
            <c:strRef>
              <c:f>'2x2 Matrix'!$H$35</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Matrix'!$I$35</c:f>
              <c:numCache>
                <c:formatCode>#,##0.00</c:formatCode>
                <c:ptCount val="1"/>
              </c:numCache>
            </c:numRef>
          </c:xVal>
          <c:yVal>
            <c:numRef>
              <c:f>'2x2 Matrix'!$J$35</c:f>
              <c:numCache>
                <c:formatCode>#,##0</c:formatCode>
                <c:ptCount val="1"/>
              </c:numCache>
            </c:numRef>
          </c:yVal>
          <c:bubbleSize>
            <c:numRef>
              <c:f>'2x2 Matrix'!$K$35</c:f>
              <c:numCache>
                <c:formatCode>#,##0</c:formatCode>
                <c:ptCount val="1"/>
              </c:numCache>
            </c:numRef>
          </c:bubbleSize>
          <c:bubble3D val="0"/>
        </c:ser>
        <c:ser>
          <c:idx val="30"/>
          <c:order val="30"/>
          <c:tx>
            <c:strRef>
              <c:f>'2x2 Matrix'!$H$6</c:f>
              <c:strCache>
                <c:ptCount val="1"/>
                <c:pt idx="0">
                  <c:v>Azacitidine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Matrix'!$L$6</c:f>
              <c:numCache>
                <c:formatCode>#,##0.00</c:formatCode>
                <c:ptCount val="1"/>
              </c:numCache>
            </c:numRef>
          </c:xVal>
          <c:yVal>
            <c:numRef>
              <c:f>'2x2 Matrix'!$M$6</c:f>
              <c:numCache>
                <c:formatCode>#,##0</c:formatCode>
                <c:ptCount val="1"/>
              </c:numCache>
            </c:numRef>
          </c:yVal>
          <c:bubbleSize>
            <c:numRef>
              <c:f>'2x2 Matrix'!$N$6</c:f>
              <c:numCache>
                <c:formatCode>#,##0</c:formatCode>
                <c:ptCount val="1"/>
              </c:numCache>
            </c:numRef>
          </c:bubbleSize>
          <c:bubble3D val="0"/>
        </c:ser>
        <c:ser>
          <c:idx val="31"/>
          <c:order val="31"/>
          <c:tx>
            <c:strRef>
              <c:f>'2x2 Matrix'!$H$7</c:f>
              <c:strCache>
                <c:ptCount val="1"/>
                <c:pt idx="0">
                  <c:v>Bortezomib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Matrix'!$L$7</c:f>
              <c:numCache>
                <c:formatCode>#,##0.00</c:formatCode>
                <c:ptCount val="1"/>
              </c:numCache>
            </c:numRef>
          </c:xVal>
          <c:yVal>
            <c:numRef>
              <c:f>'2x2 Matrix'!$M$7</c:f>
              <c:numCache>
                <c:formatCode>#,##0</c:formatCode>
                <c:ptCount val="1"/>
              </c:numCache>
            </c:numRef>
          </c:yVal>
          <c:bubbleSize>
            <c:numRef>
              <c:f>'2x2 Matrix'!$N$7</c:f>
              <c:numCache>
                <c:formatCode>#,##0</c:formatCode>
                <c:ptCount val="1"/>
              </c:numCache>
            </c:numRef>
          </c:bubbleSize>
          <c:bubble3D val="0"/>
        </c:ser>
        <c:ser>
          <c:idx val="32"/>
          <c:order val="32"/>
          <c:tx>
            <c:strRef>
              <c:f>'2x2 Matrix'!$H$8</c:f>
              <c:strCache>
                <c:ptCount val="1"/>
                <c:pt idx="0">
                  <c:v>Pegfilgrastim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Matrix'!$L$8</c:f>
              <c:numCache>
                <c:formatCode>#,##0.00</c:formatCode>
                <c:ptCount val="1"/>
              </c:numCache>
            </c:numRef>
          </c:xVal>
          <c:yVal>
            <c:numRef>
              <c:f>'2x2 Matrix'!$M$8</c:f>
              <c:numCache>
                <c:formatCode>#,##0</c:formatCode>
                <c:ptCount val="1"/>
              </c:numCache>
            </c:numRef>
          </c:yVal>
          <c:bubbleSize>
            <c:numRef>
              <c:f>'2x2 Matrix'!$N$8</c:f>
              <c:numCache>
                <c:formatCode>#,##0</c:formatCode>
                <c:ptCount val="1"/>
              </c:numCache>
            </c:numRef>
          </c:bubbleSize>
          <c:bubble3D val="0"/>
        </c:ser>
        <c:ser>
          <c:idx val="33"/>
          <c:order val="33"/>
          <c:tx>
            <c:strRef>
              <c:f>'2x2 Matrix'!$H$9</c:f>
              <c:strCache>
                <c:ptCount val="1"/>
                <c:pt idx="0">
                  <c:v>Methotrexate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Matrix'!$L$9</c:f>
              <c:numCache>
                <c:formatCode>#,##0.00</c:formatCode>
                <c:ptCount val="1"/>
              </c:numCache>
            </c:numRef>
          </c:xVal>
          <c:yVal>
            <c:numRef>
              <c:f>'2x2 Matrix'!$M$9</c:f>
              <c:numCache>
                <c:formatCode>#,##0</c:formatCode>
                <c:ptCount val="1"/>
              </c:numCache>
            </c:numRef>
          </c:yVal>
          <c:bubbleSize>
            <c:numRef>
              <c:f>'2x2 Matrix'!$N$9</c:f>
              <c:numCache>
                <c:formatCode>#,##0</c:formatCode>
                <c:ptCount val="1"/>
              </c:numCache>
            </c:numRef>
          </c:bubbleSize>
          <c:bubble3D val="0"/>
        </c:ser>
        <c:ser>
          <c:idx val="34"/>
          <c:order val="34"/>
          <c:tx>
            <c:strRef>
              <c:f>'2x2 Matrix'!$H$10</c:f>
              <c:strCache>
                <c:ptCount val="1"/>
                <c:pt idx="0">
                  <c:v>Fulvestrant</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Matrix'!$L$10</c:f>
              <c:numCache>
                <c:formatCode>#,##0.00</c:formatCode>
                <c:ptCount val="1"/>
              </c:numCache>
            </c:numRef>
          </c:xVal>
          <c:yVal>
            <c:numRef>
              <c:f>'2x2 Matrix'!$M$10</c:f>
              <c:numCache>
                <c:formatCode>#,##0</c:formatCode>
                <c:ptCount val="1"/>
              </c:numCache>
            </c:numRef>
          </c:yVal>
          <c:bubbleSize>
            <c:numRef>
              <c:f>'2x2 Matrix'!$N$10</c:f>
              <c:numCache>
                <c:formatCode>#,##0</c:formatCode>
                <c:ptCount val="1"/>
              </c:numCache>
            </c:numRef>
          </c:bubbleSize>
          <c:bubble3D val="0"/>
        </c:ser>
        <c:ser>
          <c:idx val="35"/>
          <c:order val="35"/>
          <c:tx>
            <c:strRef>
              <c:f>'2x2 Matrix'!$H$11</c:f>
              <c:strCache>
                <c:ptCount val="1"/>
                <c:pt idx="0">
                  <c:v>Phenylephrine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Matrix'!$L$11</c:f>
              <c:numCache>
                <c:formatCode>#,##0.00</c:formatCode>
                <c:ptCount val="1"/>
              </c:numCache>
            </c:numRef>
          </c:xVal>
          <c:yVal>
            <c:numRef>
              <c:f>'2x2 Matrix'!$M$11</c:f>
              <c:numCache>
                <c:formatCode>#,##0</c:formatCode>
                <c:ptCount val="1"/>
              </c:numCache>
            </c:numRef>
          </c:yVal>
          <c:bubbleSize>
            <c:numRef>
              <c:f>'2x2 Matrix'!$N$11</c:f>
              <c:numCache>
                <c:formatCode>#,##0</c:formatCode>
                <c:ptCount val="1"/>
              </c:numCache>
            </c:numRef>
          </c:bubbleSize>
          <c:bubble3D val="0"/>
        </c:ser>
        <c:ser>
          <c:idx val="36"/>
          <c:order val="36"/>
          <c:tx>
            <c:strRef>
              <c:f>'2x2 Matrix'!$H$12</c:f>
              <c:strCache>
                <c:ptCount val="1"/>
                <c:pt idx="0">
                  <c:v>Bleomycin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Matrix'!$L$12</c:f>
              <c:numCache>
                <c:formatCode>#,##0.00</c:formatCode>
                <c:ptCount val="1"/>
              </c:numCache>
            </c:numRef>
          </c:xVal>
          <c:yVal>
            <c:numRef>
              <c:f>'2x2 Matrix'!$M$12</c:f>
              <c:numCache>
                <c:formatCode>#,##0</c:formatCode>
                <c:ptCount val="1"/>
              </c:numCache>
            </c:numRef>
          </c:yVal>
          <c:bubbleSize>
            <c:numRef>
              <c:f>'2x2 Matrix'!$N$12</c:f>
              <c:numCache>
                <c:formatCode>#,##0</c:formatCode>
                <c:ptCount val="1"/>
              </c:numCache>
            </c:numRef>
          </c:bubbleSize>
          <c:bubble3D val="0"/>
        </c:ser>
        <c:ser>
          <c:idx val="37"/>
          <c:order val="37"/>
          <c:tx>
            <c:strRef>
              <c:f>'2x2 Matrix'!$H$13</c:f>
              <c:strCache>
                <c:ptCount val="1"/>
                <c:pt idx="0">
                  <c:v>Denosumab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Matrix'!$L$13</c:f>
              <c:numCache>
                <c:formatCode>#,##0.00</c:formatCode>
                <c:ptCount val="1"/>
              </c:numCache>
            </c:numRef>
          </c:xVal>
          <c:yVal>
            <c:numRef>
              <c:f>'2x2 Matrix'!$M$13</c:f>
              <c:numCache>
                <c:formatCode>#,##0</c:formatCode>
                <c:ptCount val="1"/>
              </c:numCache>
            </c:numRef>
          </c:yVal>
          <c:bubbleSize>
            <c:numRef>
              <c:f>'2x2 Matrix'!$N$13</c:f>
              <c:numCache>
                <c:formatCode>#,##0</c:formatCode>
                <c:ptCount val="1"/>
              </c:numCache>
            </c:numRef>
          </c:bubbleSize>
          <c:bubble3D val="0"/>
        </c:ser>
        <c:ser>
          <c:idx val="38"/>
          <c:order val="38"/>
          <c:tx>
            <c:strRef>
              <c:f>'2x2 Matrix'!$H$14</c:f>
              <c:strCache>
                <c:ptCount val="1"/>
                <c:pt idx="0">
                  <c:v>Ceftriaxone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Matrix'!$L$14</c:f>
              <c:numCache>
                <c:formatCode>#,##0.00</c:formatCode>
                <c:ptCount val="1"/>
                <c:pt idx="0">
                  <c:v>5.6</c:v>
                </c:pt>
              </c:numCache>
            </c:numRef>
          </c:xVal>
          <c:yVal>
            <c:numRef>
              <c:f>'2x2 Matrix'!$M$14</c:f>
              <c:numCache>
                <c:formatCode>#,##0</c:formatCode>
                <c:ptCount val="1"/>
                <c:pt idx="0">
                  <c:v>3110</c:v>
                </c:pt>
              </c:numCache>
            </c:numRef>
          </c:yVal>
          <c:bubbleSize>
            <c:numRef>
              <c:f>'2x2 Matrix'!$N$14</c:f>
              <c:numCache>
                <c:formatCode>#,##0</c:formatCode>
                <c:ptCount val="1"/>
                <c:pt idx="0">
                  <c:v>93119.2</c:v>
                </c:pt>
              </c:numCache>
            </c:numRef>
          </c:bubbleSize>
          <c:bubble3D val="0"/>
        </c:ser>
        <c:ser>
          <c:idx val="39"/>
          <c:order val="39"/>
          <c:tx>
            <c:strRef>
              <c:f>'2x2 Matrix'!$H$15</c:f>
              <c:strCache>
                <c:ptCount val="1"/>
                <c:pt idx="0">
                  <c:v>Ondansetron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Matrix'!$L$15</c:f>
              <c:numCache>
                <c:formatCode>#,##0.00</c:formatCode>
                <c:ptCount val="1"/>
                <c:pt idx="0">
                  <c:v>24.05</c:v>
                </c:pt>
              </c:numCache>
            </c:numRef>
          </c:xVal>
          <c:yVal>
            <c:numRef>
              <c:f>'2x2 Matrix'!$M$15</c:f>
              <c:numCache>
                <c:formatCode>#,##0</c:formatCode>
                <c:ptCount val="1"/>
                <c:pt idx="0">
                  <c:v>963</c:v>
                </c:pt>
              </c:numCache>
            </c:numRef>
          </c:yVal>
          <c:bubbleSize>
            <c:numRef>
              <c:f>'2x2 Matrix'!$N$15</c:f>
              <c:numCache>
                <c:formatCode>#,##0</c:formatCode>
                <c:ptCount val="1"/>
                <c:pt idx="0">
                  <c:v>17590.5</c:v>
                </c:pt>
              </c:numCache>
            </c:numRef>
          </c:bubbleSize>
          <c:bubble3D val="0"/>
        </c:ser>
        <c:ser>
          <c:idx val="40"/>
          <c:order val="40"/>
          <c:tx>
            <c:strRef>
              <c:f>'2x2 Matrix'!$H$16</c:f>
              <c:strCache>
                <c:ptCount val="1"/>
                <c:pt idx="0">
                  <c:v>Plerixafor</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Matrix'!$L$16</c:f>
              <c:numCache>
                <c:formatCode>#,##0.00</c:formatCode>
                <c:ptCount val="1"/>
                <c:pt idx="0">
                  <c:v>4779</c:v>
                </c:pt>
              </c:numCache>
            </c:numRef>
          </c:xVal>
          <c:yVal>
            <c:numRef>
              <c:f>'2x2 Matrix'!$M$16</c:f>
              <c:numCache>
                <c:formatCode>#,##0</c:formatCode>
                <c:ptCount val="1"/>
                <c:pt idx="0">
                  <c:v>47</c:v>
                </c:pt>
              </c:numCache>
            </c:numRef>
          </c:yVal>
          <c:bubbleSize>
            <c:numRef>
              <c:f>'2x2 Matrix'!$N$16</c:f>
              <c:numCache>
                <c:formatCode>#,##0</c:formatCode>
                <c:ptCount val="1"/>
                <c:pt idx="0">
                  <c:v>7904.7</c:v>
                </c:pt>
              </c:numCache>
            </c:numRef>
          </c:bubbleSize>
          <c:bubble3D val="0"/>
        </c:ser>
        <c:ser>
          <c:idx val="41"/>
          <c:order val="41"/>
          <c:tx>
            <c:strRef>
              <c:f>'2x2 Matrix'!$H$17</c:f>
              <c:strCache>
                <c:ptCount val="1"/>
                <c:pt idx="0">
                  <c:v>Cytarabine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Matrix'!$L$17</c:f>
              <c:numCache>
                <c:formatCode>#,##0.00</c:formatCode>
                <c:ptCount val="1"/>
                <c:pt idx="0">
                  <c:v>6.7</c:v>
                </c:pt>
              </c:numCache>
            </c:numRef>
          </c:xVal>
          <c:yVal>
            <c:numRef>
              <c:f>'2x2 Matrix'!$M$17</c:f>
              <c:numCache>
                <c:formatCode>#,##0</c:formatCode>
                <c:ptCount val="1"/>
                <c:pt idx="0">
                  <c:v>799</c:v>
                </c:pt>
              </c:numCache>
            </c:numRef>
          </c:yVal>
          <c:bubbleSize>
            <c:numRef>
              <c:f>'2x2 Matrix'!$N$17</c:f>
              <c:numCache>
                <c:formatCode>#,##0</c:formatCode>
                <c:ptCount val="1"/>
                <c:pt idx="0">
                  <c:v>7739</c:v>
                </c:pt>
              </c:numCache>
            </c:numRef>
          </c:bubbleSize>
          <c:bubble3D val="0"/>
        </c:ser>
        <c:ser>
          <c:idx val="42"/>
          <c:order val="42"/>
          <c:tx>
            <c:strRef>
              <c:f>'2x2 Matrix'!$H$18</c:f>
              <c:strCache>
                <c:ptCount val="1"/>
                <c:pt idx="0">
                  <c:v>Atropine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Matrix'!$L$18</c:f>
              <c:numCache>
                <c:formatCode>#,##0.00</c:formatCode>
                <c:ptCount val="1"/>
                <c:pt idx="0">
                  <c:v>16.48</c:v>
                </c:pt>
              </c:numCache>
            </c:numRef>
          </c:xVal>
          <c:yVal>
            <c:numRef>
              <c:f>'2x2 Matrix'!$M$18</c:f>
              <c:numCache>
                <c:formatCode>#,##0</c:formatCode>
                <c:ptCount val="1"/>
                <c:pt idx="0">
                  <c:v>715</c:v>
                </c:pt>
              </c:numCache>
            </c:numRef>
          </c:yVal>
          <c:bubbleSize>
            <c:numRef>
              <c:f>'2x2 Matrix'!$N$18</c:f>
              <c:numCache>
                <c:formatCode>#,##0</c:formatCode>
                <c:ptCount val="1"/>
                <c:pt idx="0">
                  <c:v>6805</c:v>
                </c:pt>
              </c:numCache>
            </c:numRef>
          </c:bubbleSize>
          <c:bubble3D val="0"/>
        </c:ser>
        <c:ser>
          <c:idx val="43"/>
          <c:order val="43"/>
          <c:tx>
            <c:strRef>
              <c:f>'2x2 Matrix'!$H$19</c:f>
              <c:strCache>
                <c:ptCount val="1"/>
                <c:pt idx="0">
                  <c:v>Teicoplanin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Matrix'!$L$19</c:f>
              <c:numCache>
                <c:formatCode>#,##0.00</c:formatCode>
                <c:ptCount val="1"/>
                <c:pt idx="0">
                  <c:v>35.27</c:v>
                </c:pt>
              </c:numCache>
            </c:numRef>
          </c:xVal>
          <c:yVal>
            <c:numRef>
              <c:f>'2x2 Matrix'!$M$19</c:f>
              <c:numCache>
                <c:formatCode>#,##0</c:formatCode>
                <c:ptCount val="1"/>
                <c:pt idx="0">
                  <c:v>99</c:v>
                </c:pt>
              </c:numCache>
            </c:numRef>
          </c:yVal>
          <c:bubbleSize>
            <c:numRef>
              <c:f>'2x2 Matrix'!$N$19</c:f>
              <c:numCache>
                <c:formatCode>#,##0</c:formatCode>
                <c:ptCount val="1"/>
                <c:pt idx="0">
                  <c:v>6632.6</c:v>
                </c:pt>
              </c:numCache>
            </c:numRef>
          </c:bubbleSize>
          <c:bubble3D val="0"/>
        </c:ser>
        <c:ser>
          <c:idx val="44"/>
          <c:order val="44"/>
          <c:tx>
            <c:strRef>
              <c:f>'2x2 Matrix'!$H$20</c:f>
              <c:strCache>
                <c:ptCount val="1"/>
                <c:pt idx="0">
                  <c:v>Cefepime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Matrix'!$L$20</c:f>
              <c:numCache>
                <c:formatCode>#,##0.00</c:formatCode>
                <c:ptCount val="1"/>
                <c:pt idx="0">
                  <c:v>9.65</c:v>
                </c:pt>
              </c:numCache>
            </c:numRef>
          </c:xVal>
          <c:yVal>
            <c:numRef>
              <c:f>'2x2 Matrix'!$M$20</c:f>
              <c:numCache>
                <c:formatCode>#,##0</c:formatCode>
                <c:ptCount val="1"/>
                <c:pt idx="0">
                  <c:v>288</c:v>
                </c:pt>
              </c:numCache>
            </c:numRef>
          </c:yVal>
          <c:bubbleSize>
            <c:numRef>
              <c:f>'2x2 Matrix'!$N$20</c:f>
              <c:numCache>
                <c:formatCode>#,##0</c:formatCode>
                <c:ptCount val="1"/>
                <c:pt idx="0">
                  <c:v>6294.9</c:v>
                </c:pt>
              </c:numCache>
            </c:numRef>
          </c:bubbleSize>
          <c:bubble3D val="0"/>
        </c:ser>
        <c:ser>
          <c:idx val="45"/>
          <c:order val="45"/>
          <c:tx>
            <c:strRef>
              <c:f>'2x2 Matrix'!$H$21</c:f>
              <c:strCache>
                <c:ptCount val="1"/>
                <c:pt idx="0">
                  <c:v>Midazolam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Matrix'!$L$21</c:f>
              <c:numCache>
                <c:formatCode>#,##0.00</c:formatCode>
                <c:ptCount val="1"/>
                <c:pt idx="0">
                  <c:v>11.33</c:v>
                </c:pt>
              </c:numCache>
            </c:numRef>
          </c:xVal>
          <c:yVal>
            <c:numRef>
              <c:f>'2x2 Matrix'!$M$21</c:f>
              <c:numCache>
                <c:formatCode>#,##0</c:formatCode>
                <c:ptCount val="1"/>
                <c:pt idx="0">
                  <c:v>177</c:v>
                </c:pt>
              </c:numCache>
            </c:numRef>
          </c:yVal>
          <c:bubbleSize>
            <c:numRef>
              <c:f>'2x2 Matrix'!$N$21</c:f>
              <c:numCache>
                <c:formatCode>#,##0</c:formatCode>
                <c:ptCount val="1"/>
                <c:pt idx="0">
                  <c:v>4675.1</c:v>
                </c:pt>
              </c:numCache>
            </c:numRef>
          </c:bubbleSize>
          <c:bubble3D val="0"/>
        </c:ser>
        <c:ser>
          <c:idx val="46"/>
          <c:order val="46"/>
          <c:tx>
            <c:strRef>
              <c:f>'2x2 Matrix'!$H$22</c:f>
              <c:strCache>
                <c:ptCount val="1"/>
                <c:pt idx="0">
                  <c:v>Succinylcholine (Suxamethonium)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Matrix'!$L$22</c:f>
              <c:numCache>
                <c:formatCode>#,##0.00</c:formatCode>
                <c:ptCount val="1"/>
                <c:pt idx="0">
                  <c:v>5.12</c:v>
                </c:pt>
              </c:numCache>
            </c:numRef>
          </c:xVal>
          <c:yVal>
            <c:numRef>
              <c:f>'2x2 Matrix'!$M$22</c:f>
              <c:numCache>
                <c:formatCode>#,##0</c:formatCode>
                <c:ptCount val="1"/>
                <c:pt idx="0">
                  <c:v>286</c:v>
                </c:pt>
              </c:numCache>
            </c:numRef>
          </c:yVal>
          <c:bubbleSize>
            <c:numRef>
              <c:f>'2x2 Matrix'!$N$22</c:f>
              <c:numCache>
                <c:formatCode>#,##0</c:formatCode>
                <c:ptCount val="1"/>
                <c:pt idx="0">
                  <c:v>3067.4</c:v>
                </c:pt>
              </c:numCache>
            </c:numRef>
          </c:bubbleSize>
          <c:bubble3D val="0"/>
        </c:ser>
        <c:ser>
          <c:idx val="47"/>
          <c:order val="47"/>
          <c:tx>
            <c:strRef>
              <c:f>'2x2 Matrix'!$H$23</c:f>
              <c:strCache>
                <c:ptCount val="1"/>
                <c:pt idx="0">
                  <c:v>Leuprorelin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Matrix'!$L$23</c:f>
              <c:numCache>
                <c:formatCode>#,##0.00</c:formatCode>
                <c:ptCount val="1"/>
                <c:pt idx="0">
                  <c:v>433.94</c:v>
                </c:pt>
              </c:numCache>
            </c:numRef>
          </c:xVal>
          <c:yVal>
            <c:numRef>
              <c:f>'2x2 Matrix'!$M$23</c:f>
              <c:numCache>
                <c:formatCode>#,##0</c:formatCode>
                <c:ptCount val="1"/>
                <c:pt idx="0">
                  <c:v>111</c:v>
                </c:pt>
              </c:numCache>
            </c:numRef>
          </c:yVal>
          <c:bubbleSize>
            <c:numRef>
              <c:f>'2x2 Matrix'!$N$23</c:f>
              <c:numCache>
                <c:formatCode>#,##0</c:formatCode>
                <c:ptCount val="1"/>
                <c:pt idx="0">
                  <c:v>2489.4</c:v>
                </c:pt>
              </c:numCache>
            </c:numRef>
          </c:bubbleSize>
          <c:bubble3D val="0"/>
        </c:ser>
        <c:ser>
          <c:idx val="48"/>
          <c:order val="48"/>
          <c:tx>
            <c:strRef>
              <c:f>'2x2 Matrix'!$H$24</c:f>
              <c:strCache>
                <c:ptCount val="1"/>
                <c:pt idx="0">
                  <c:v>Ustekinumab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Matrix'!$L$24</c:f>
              <c:numCache>
                <c:formatCode>#,##0.00</c:formatCode>
                <c:ptCount val="1"/>
                <c:pt idx="0">
                  <c:v>2838.33</c:v>
                </c:pt>
              </c:numCache>
            </c:numRef>
          </c:xVal>
          <c:yVal>
            <c:numRef>
              <c:f>'2x2 Matrix'!$M$24</c:f>
              <c:numCache>
                <c:formatCode>#,##0</c:formatCode>
                <c:ptCount val="1"/>
                <c:pt idx="0">
                  <c:v>125</c:v>
                </c:pt>
              </c:numCache>
            </c:numRef>
          </c:yVal>
          <c:bubbleSize>
            <c:numRef>
              <c:f>'2x2 Matrix'!$N$24</c:f>
              <c:numCache>
                <c:formatCode>#,##0</c:formatCode>
                <c:ptCount val="1"/>
                <c:pt idx="0">
                  <c:v>2485.9</c:v>
                </c:pt>
              </c:numCache>
            </c:numRef>
          </c:bubbleSize>
          <c:bubble3D val="0"/>
        </c:ser>
        <c:ser>
          <c:idx val="49"/>
          <c:order val="49"/>
          <c:tx>
            <c:strRef>
              <c:f>'2x2 Matrix'!$H$25</c:f>
              <c:strCache>
                <c:ptCount val="1"/>
                <c:pt idx="0">
                  <c:v>Degarelix</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Matrix'!$L$25</c:f>
              <c:numCache>
                <c:formatCode>#,##0.00</c:formatCode>
                <c:ptCount val="1"/>
                <c:pt idx="0">
                  <c:v>92.62</c:v>
                </c:pt>
              </c:numCache>
            </c:numRef>
          </c:xVal>
          <c:yVal>
            <c:numRef>
              <c:f>'2x2 Matrix'!$M$25</c:f>
              <c:numCache>
                <c:formatCode>#,##0</c:formatCode>
                <c:ptCount val="1"/>
                <c:pt idx="0">
                  <c:v>26</c:v>
                </c:pt>
              </c:numCache>
            </c:numRef>
          </c:yVal>
          <c:bubbleSize>
            <c:numRef>
              <c:f>'2x2 Matrix'!$N$25</c:f>
              <c:numCache>
                <c:formatCode>#,##0</c:formatCode>
                <c:ptCount val="1"/>
                <c:pt idx="0">
                  <c:v>140.9</c:v>
                </c:pt>
              </c:numCache>
            </c:numRef>
          </c:bubbleSize>
          <c:bubble3D val="0"/>
        </c:ser>
        <c:ser>
          <c:idx val="50"/>
          <c:order val="50"/>
          <c:tx>
            <c:strRef>
              <c:f>'2x2 Matrix'!$H$26</c:f>
              <c:strCache>
                <c:ptCount val="1"/>
                <c:pt idx="0">
                  <c:v>Flucloxacillin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Matrix'!$L$26</c:f>
              <c:numCache>
                <c:formatCode>#,##0.00</c:formatCode>
                <c:ptCount val="1"/>
              </c:numCache>
            </c:numRef>
          </c:xVal>
          <c:yVal>
            <c:numRef>
              <c:f>'2x2 Matrix'!$M$26</c:f>
              <c:numCache>
                <c:formatCode>#,##0</c:formatCode>
                <c:ptCount val="1"/>
              </c:numCache>
            </c:numRef>
          </c:yVal>
          <c:bubbleSize>
            <c:numRef>
              <c:f>'2x2 Matrix'!$N$26</c:f>
              <c:numCache>
                <c:formatCode>#,##0</c:formatCode>
                <c:ptCount val="1"/>
              </c:numCache>
            </c:numRef>
          </c:bubbleSize>
          <c:bubble3D val="0"/>
        </c:ser>
        <c:ser>
          <c:idx val="51"/>
          <c:order val="51"/>
          <c:tx>
            <c:strRef>
              <c:f>'2x2 Matrix'!$H$27</c:f>
              <c:strCache>
                <c:ptCount val="1"/>
                <c:pt idx="0">
                  <c:v>Progesterone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Matrix'!$L$27</c:f>
              <c:numCache>
                <c:formatCode>#,##0.00</c:formatCode>
                <c:ptCount val="1"/>
              </c:numCache>
            </c:numRef>
          </c:xVal>
          <c:yVal>
            <c:numRef>
              <c:f>'2x2 Matrix'!$M$27</c:f>
              <c:numCache>
                <c:formatCode>#,##0</c:formatCode>
                <c:ptCount val="1"/>
              </c:numCache>
            </c:numRef>
          </c:yVal>
          <c:bubbleSize>
            <c:numRef>
              <c:f>'2x2 Matrix'!$N$27</c:f>
              <c:numCache>
                <c:formatCode>#,##0</c:formatCode>
                <c:ptCount val="1"/>
              </c:numCache>
            </c:numRef>
          </c:bubbleSize>
          <c:bubble3D val="0"/>
        </c:ser>
        <c:ser>
          <c:idx val="52"/>
          <c:order val="52"/>
          <c:tx>
            <c:strRef>
              <c:f>'2x2 Matrix'!$H$28</c:f>
              <c:strCache>
                <c:ptCount val="1"/>
                <c:pt idx="0">
                  <c:v>Naloxone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Matrix'!$L$28</c:f>
              <c:numCache>
                <c:formatCode>#,##0.00</c:formatCode>
                <c:ptCount val="1"/>
              </c:numCache>
            </c:numRef>
          </c:xVal>
          <c:yVal>
            <c:numRef>
              <c:f>'2x2 Matrix'!$M$28</c:f>
              <c:numCache>
                <c:formatCode>#,##0</c:formatCode>
                <c:ptCount val="1"/>
              </c:numCache>
            </c:numRef>
          </c:yVal>
          <c:bubbleSize>
            <c:numRef>
              <c:f>'2x2 Matrix'!$N$28</c:f>
              <c:numCache>
                <c:formatCode>#,##0</c:formatCode>
                <c:ptCount val="1"/>
              </c:numCache>
            </c:numRef>
          </c:bubbleSize>
          <c:bubble3D val="0"/>
        </c:ser>
        <c:ser>
          <c:idx val="53"/>
          <c:order val="53"/>
          <c:tx>
            <c:strRef>
              <c:f>'2x2 Matrix'!$H$29</c:f>
              <c:strCache>
                <c:ptCount val="1"/>
                <c:pt idx="0">
                  <c:v>Hydroxocobalamin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Matrix'!$L$29</c:f>
              <c:numCache>
                <c:formatCode>#,##0.00</c:formatCode>
                <c:ptCount val="1"/>
              </c:numCache>
            </c:numRef>
          </c:xVal>
          <c:yVal>
            <c:numRef>
              <c:f>'2x2 Matrix'!$M$29</c:f>
              <c:numCache>
                <c:formatCode>#,##0</c:formatCode>
                <c:ptCount val="1"/>
              </c:numCache>
            </c:numRef>
          </c:yVal>
          <c:bubbleSize>
            <c:numRef>
              <c:f>'2x2 Matrix'!$N$29</c:f>
              <c:numCache>
                <c:formatCode>#,##0</c:formatCode>
                <c:ptCount val="1"/>
              </c:numCache>
            </c:numRef>
          </c:bubbleSize>
          <c:bubble3D val="0"/>
        </c:ser>
        <c:ser>
          <c:idx val="54"/>
          <c:order val="54"/>
          <c:tx>
            <c:strRef>
              <c:f>'2x2 Matrix'!$H$30</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Matrix'!$L$30</c:f>
              <c:numCache>
                <c:formatCode>#,##0.00</c:formatCode>
                <c:ptCount val="1"/>
              </c:numCache>
            </c:numRef>
          </c:xVal>
          <c:yVal>
            <c:numRef>
              <c:f>'2x2 Matrix'!$M$30</c:f>
              <c:numCache>
                <c:formatCode>#,##0</c:formatCode>
                <c:ptCount val="1"/>
              </c:numCache>
            </c:numRef>
          </c:yVal>
          <c:bubbleSize>
            <c:numRef>
              <c:f>'2x2 Matrix'!$N$30</c:f>
              <c:numCache>
                <c:formatCode>#,##0</c:formatCode>
                <c:ptCount val="1"/>
              </c:numCache>
            </c:numRef>
          </c:bubbleSize>
          <c:bubble3D val="0"/>
        </c:ser>
        <c:ser>
          <c:idx val="55"/>
          <c:order val="55"/>
          <c:tx>
            <c:strRef>
              <c:f>'2x2 Matrix'!$H$31</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Matrix'!$L$31</c:f>
              <c:numCache>
                <c:formatCode>#,##0.00</c:formatCode>
                <c:ptCount val="1"/>
              </c:numCache>
            </c:numRef>
          </c:xVal>
          <c:yVal>
            <c:numRef>
              <c:f>'2x2 Matrix'!$M$31</c:f>
              <c:numCache>
                <c:formatCode>#,##0</c:formatCode>
                <c:ptCount val="1"/>
              </c:numCache>
            </c:numRef>
          </c:yVal>
          <c:bubbleSize>
            <c:numRef>
              <c:f>'2x2 Matrix'!$N$31</c:f>
              <c:numCache>
                <c:formatCode>#,##0</c:formatCode>
                <c:ptCount val="1"/>
              </c:numCache>
            </c:numRef>
          </c:bubbleSize>
          <c:bubble3D val="0"/>
        </c:ser>
        <c:ser>
          <c:idx val="56"/>
          <c:order val="56"/>
          <c:tx>
            <c:strRef>
              <c:f>'2x2 Matrix'!$H$32</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Matrix'!$L$32</c:f>
              <c:numCache>
                <c:formatCode>#,##0.00</c:formatCode>
                <c:ptCount val="1"/>
              </c:numCache>
            </c:numRef>
          </c:xVal>
          <c:yVal>
            <c:numRef>
              <c:f>'2x2 Matrix'!$M$32</c:f>
              <c:numCache>
                <c:formatCode>#,##0</c:formatCode>
                <c:ptCount val="1"/>
              </c:numCache>
            </c:numRef>
          </c:yVal>
          <c:bubbleSize>
            <c:numRef>
              <c:f>'2x2 Matrix'!$N$32</c:f>
              <c:numCache>
                <c:formatCode>#,##0</c:formatCode>
                <c:ptCount val="1"/>
              </c:numCache>
            </c:numRef>
          </c:bubbleSize>
          <c:bubble3D val="0"/>
        </c:ser>
        <c:ser>
          <c:idx val="57"/>
          <c:order val="57"/>
          <c:tx>
            <c:strRef>
              <c:f>'2x2 Matrix'!$H$33</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Matrix'!$L$33</c:f>
              <c:numCache>
                <c:formatCode>#,##0.00</c:formatCode>
                <c:ptCount val="1"/>
              </c:numCache>
            </c:numRef>
          </c:xVal>
          <c:yVal>
            <c:numRef>
              <c:f>'2x2 Matrix'!$M$33</c:f>
              <c:numCache>
                <c:formatCode>#,##0</c:formatCode>
                <c:ptCount val="1"/>
              </c:numCache>
            </c:numRef>
          </c:yVal>
          <c:bubbleSize>
            <c:numRef>
              <c:f>'2x2 Matrix'!$N$33</c:f>
              <c:numCache>
                <c:formatCode>#,##0</c:formatCode>
                <c:ptCount val="1"/>
              </c:numCache>
            </c:numRef>
          </c:bubbleSize>
          <c:bubble3D val="0"/>
        </c:ser>
        <c:ser>
          <c:idx val="58"/>
          <c:order val="58"/>
          <c:tx>
            <c:strRef>
              <c:f>'2x2 Matrix'!$H$34</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Matrix'!$L$34</c:f>
              <c:numCache>
                <c:formatCode>#,##0.00</c:formatCode>
                <c:ptCount val="1"/>
              </c:numCache>
            </c:numRef>
          </c:xVal>
          <c:yVal>
            <c:numRef>
              <c:f>'2x2 Matrix'!$M$34</c:f>
              <c:numCache>
                <c:formatCode>#,##0</c:formatCode>
                <c:ptCount val="1"/>
              </c:numCache>
            </c:numRef>
          </c:yVal>
          <c:bubbleSize>
            <c:numRef>
              <c:f>'2x2 Matrix'!$N$34</c:f>
              <c:numCache>
                <c:formatCode>#,##0</c:formatCode>
                <c:ptCount val="1"/>
              </c:numCache>
            </c:numRef>
          </c:bubbleSize>
          <c:bubble3D val="0"/>
        </c:ser>
        <c:ser>
          <c:idx val="59"/>
          <c:order val="59"/>
          <c:tx>
            <c:strRef>
              <c:f>'2x2 Matrix'!$H$35</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Matrix'!$L$35</c:f>
              <c:numCache>
                <c:formatCode>#,##0.00</c:formatCode>
                <c:ptCount val="1"/>
              </c:numCache>
            </c:numRef>
          </c:xVal>
          <c:yVal>
            <c:numRef>
              <c:f>'2x2 Matrix'!$M$35</c:f>
              <c:numCache>
                <c:formatCode>#,##0</c:formatCode>
                <c:ptCount val="1"/>
              </c:numCache>
            </c:numRef>
          </c:yVal>
          <c:bubbleSize>
            <c:numRef>
              <c:f>'2x2 Matrix'!$N$35</c:f>
              <c:numCache>
                <c:formatCode>#,##0</c:formatCode>
                <c:ptCount val="1"/>
              </c:numCache>
            </c:numRef>
          </c:bubbleSize>
          <c:bubble3D val="0"/>
        </c:ser>
        <c:ser>
          <c:idx val="60"/>
          <c:order val="60"/>
          <c:tx>
            <c:strRef>
              <c:f>'2x2 Matrix'!$H$6</c:f>
              <c:strCache>
                <c:ptCount val="1"/>
                <c:pt idx="0">
                  <c:v>Azacitidine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Matrix'!$O$6</c:f>
              <c:numCache>
                <c:formatCode>#,##0.00</c:formatCode>
                <c:ptCount val="1"/>
              </c:numCache>
            </c:numRef>
          </c:xVal>
          <c:yVal>
            <c:numRef>
              <c:f>'2x2 Matrix'!$P$6</c:f>
              <c:numCache>
                <c:formatCode>#,##0</c:formatCode>
                <c:ptCount val="1"/>
              </c:numCache>
            </c:numRef>
          </c:yVal>
          <c:bubbleSize>
            <c:numRef>
              <c:f>'2x2 Matrix'!$Q$6</c:f>
              <c:numCache>
                <c:formatCode>#,##0</c:formatCode>
                <c:ptCount val="1"/>
              </c:numCache>
            </c:numRef>
          </c:bubbleSize>
          <c:bubble3D val="0"/>
        </c:ser>
        <c:ser>
          <c:idx val="61"/>
          <c:order val="61"/>
          <c:tx>
            <c:strRef>
              <c:f>'2x2 Matrix'!$H$7</c:f>
              <c:strCache>
                <c:ptCount val="1"/>
                <c:pt idx="0">
                  <c:v>Bortezomib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Matrix'!$O$7</c:f>
              <c:numCache>
                <c:formatCode>#,##0.00</c:formatCode>
                <c:ptCount val="1"/>
              </c:numCache>
            </c:numRef>
          </c:xVal>
          <c:yVal>
            <c:numRef>
              <c:f>'2x2 Matrix'!$P$7</c:f>
              <c:numCache>
                <c:formatCode>#,##0</c:formatCode>
                <c:ptCount val="1"/>
              </c:numCache>
            </c:numRef>
          </c:yVal>
          <c:bubbleSize>
            <c:numRef>
              <c:f>'2x2 Matrix'!$Q$7</c:f>
              <c:numCache>
                <c:formatCode>#,##0</c:formatCode>
                <c:ptCount val="1"/>
              </c:numCache>
            </c:numRef>
          </c:bubbleSize>
          <c:bubble3D val="0"/>
        </c:ser>
        <c:ser>
          <c:idx val="62"/>
          <c:order val="62"/>
          <c:tx>
            <c:strRef>
              <c:f>'2x2 Matrix'!$H$8</c:f>
              <c:strCache>
                <c:ptCount val="1"/>
                <c:pt idx="0">
                  <c:v>Pegfilgrastim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Matrix'!$O$8</c:f>
              <c:numCache>
                <c:formatCode>#,##0.00</c:formatCode>
                <c:ptCount val="1"/>
              </c:numCache>
            </c:numRef>
          </c:xVal>
          <c:yVal>
            <c:numRef>
              <c:f>'2x2 Matrix'!$P$8</c:f>
              <c:numCache>
                <c:formatCode>#,##0</c:formatCode>
                <c:ptCount val="1"/>
              </c:numCache>
            </c:numRef>
          </c:yVal>
          <c:bubbleSize>
            <c:numRef>
              <c:f>'2x2 Matrix'!$Q$8</c:f>
              <c:numCache>
                <c:formatCode>#,##0</c:formatCode>
                <c:ptCount val="1"/>
              </c:numCache>
            </c:numRef>
          </c:bubbleSize>
          <c:bubble3D val="0"/>
        </c:ser>
        <c:ser>
          <c:idx val="63"/>
          <c:order val="63"/>
          <c:tx>
            <c:strRef>
              <c:f>'2x2 Matrix'!$H$9</c:f>
              <c:strCache>
                <c:ptCount val="1"/>
                <c:pt idx="0">
                  <c:v>Methotrexate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Matrix'!$O$9</c:f>
              <c:numCache>
                <c:formatCode>#,##0.00</c:formatCode>
                <c:ptCount val="1"/>
              </c:numCache>
            </c:numRef>
          </c:xVal>
          <c:yVal>
            <c:numRef>
              <c:f>'2x2 Matrix'!$P$9</c:f>
              <c:numCache>
                <c:formatCode>#,##0</c:formatCode>
                <c:ptCount val="1"/>
              </c:numCache>
            </c:numRef>
          </c:yVal>
          <c:bubbleSize>
            <c:numRef>
              <c:f>'2x2 Matrix'!$Q$9</c:f>
              <c:numCache>
                <c:formatCode>#,##0</c:formatCode>
                <c:ptCount val="1"/>
              </c:numCache>
            </c:numRef>
          </c:bubbleSize>
          <c:bubble3D val="0"/>
        </c:ser>
        <c:ser>
          <c:idx val="64"/>
          <c:order val="64"/>
          <c:tx>
            <c:strRef>
              <c:f>'2x2 Matrix'!$H$10</c:f>
              <c:strCache>
                <c:ptCount val="1"/>
                <c:pt idx="0">
                  <c:v>Fulvestrant</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Matrix'!$O$10</c:f>
              <c:numCache>
                <c:formatCode>#,##0.00</c:formatCode>
                <c:ptCount val="1"/>
              </c:numCache>
            </c:numRef>
          </c:xVal>
          <c:yVal>
            <c:numRef>
              <c:f>'2x2 Matrix'!$P$10</c:f>
              <c:numCache>
                <c:formatCode>#,##0</c:formatCode>
                <c:ptCount val="1"/>
              </c:numCache>
            </c:numRef>
          </c:yVal>
          <c:bubbleSize>
            <c:numRef>
              <c:f>'2x2 Matrix'!$Q$10</c:f>
              <c:numCache>
                <c:formatCode>#,##0</c:formatCode>
                <c:ptCount val="1"/>
              </c:numCache>
            </c:numRef>
          </c:bubbleSize>
          <c:bubble3D val="0"/>
        </c:ser>
        <c:ser>
          <c:idx val="65"/>
          <c:order val="65"/>
          <c:tx>
            <c:strRef>
              <c:f>'2x2 Matrix'!$H$11</c:f>
              <c:strCache>
                <c:ptCount val="1"/>
                <c:pt idx="0">
                  <c:v>Phenylephrine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Matrix'!$O$11</c:f>
              <c:numCache>
                <c:formatCode>#,##0.00</c:formatCode>
                <c:ptCount val="1"/>
              </c:numCache>
            </c:numRef>
          </c:xVal>
          <c:yVal>
            <c:numRef>
              <c:f>'2x2 Matrix'!$P$11</c:f>
              <c:numCache>
                <c:formatCode>#,##0</c:formatCode>
                <c:ptCount val="1"/>
              </c:numCache>
            </c:numRef>
          </c:yVal>
          <c:bubbleSize>
            <c:numRef>
              <c:f>'2x2 Matrix'!$Q$11</c:f>
              <c:numCache>
                <c:formatCode>#,##0</c:formatCode>
                <c:ptCount val="1"/>
              </c:numCache>
            </c:numRef>
          </c:bubbleSize>
          <c:bubble3D val="0"/>
        </c:ser>
        <c:ser>
          <c:idx val="66"/>
          <c:order val="66"/>
          <c:tx>
            <c:strRef>
              <c:f>'2x2 Matrix'!$H$12</c:f>
              <c:strCache>
                <c:ptCount val="1"/>
                <c:pt idx="0">
                  <c:v>Bleomycin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Matrix'!$O$12</c:f>
              <c:numCache>
                <c:formatCode>#,##0.00</c:formatCode>
                <c:ptCount val="1"/>
              </c:numCache>
            </c:numRef>
          </c:xVal>
          <c:yVal>
            <c:numRef>
              <c:f>'2x2 Matrix'!$P$12</c:f>
              <c:numCache>
                <c:formatCode>#,##0</c:formatCode>
                <c:ptCount val="1"/>
              </c:numCache>
            </c:numRef>
          </c:yVal>
          <c:bubbleSize>
            <c:numRef>
              <c:f>'2x2 Matrix'!$Q$12</c:f>
              <c:numCache>
                <c:formatCode>#,##0</c:formatCode>
                <c:ptCount val="1"/>
              </c:numCache>
            </c:numRef>
          </c:bubbleSize>
          <c:bubble3D val="0"/>
        </c:ser>
        <c:ser>
          <c:idx val="67"/>
          <c:order val="67"/>
          <c:tx>
            <c:strRef>
              <c:f>'2x2 Matrix'!$H$13</c:f>
              <c:strCache>
                <c:ptCount val="1"/>
                <c:pt idx="0">
                  <c:v>Denosumab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Matrix'!$O$13</c:f>
              <c:numCache>
                <c:formatCode>#,##0.00</c:formatCode>
                <c:ptCount val="1"/>
              </c:numCache>
            </c:numRef>
          </c:xVal>
          <c:yVal>
            <c:numRef>
              <c:f>'2x2 Matrix'!$P$13</c:f>
              <c:numCache>
                <c:formatCode>#,##0</c:formatCode>
                <c:ptCount val="1"/>
              </c:numCache>
            </c:numRef>
          </c:yVal>
          <c:bubbleSize>
            <c:numRef>
              <c:f>'2x2 Matrix'!$Q$13</c:f>
              <c:numCache>
                <c:formatCode>#,##0</c:formatCode>
                <c:ptCount val="1"/>
              </c:numCache>
            </c:numRef>
          </c:bubbleSize>
          <c:bubble3D val="0"/>
        </c:ser>
        <c:ser>
          <c:idx val="68"/>
          <c:order val="68"/>
          <c:tx>
            <c:strRef>
              <c:f>'2x2 Matrix'!$H$14</c:f>
              <c:strCache>
                <c:ptCount val="1"/>
                <c:pt idx="0">
                  <c:v>Ceftriaxone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Matrix'!$O$14</c:f>
              <c:numCache>
                <c:formatCode>#,##0.00</c:formatCode>
                <c:ptCount val="1"/>
              </c:numCache>
            </c:numRef>
          </c:xVal>
          <c:yVal>
            <c:numRef>
              <c:f>'2x2 Matrix'!$P$14</c:f>
              <c:numCache>
                <c:formatCode>#,##0</c:formatCode>
                <c:ptCount val="1"/>
              </c:numCache>
            </c:numRef>
          </c:yVal>
          <c:bubbleSize>
            <c:numRef>
              <c:f>'2x2 Matrix'!$Q$14</c:f>
              <c:numCache>
                <c:formatCode>#,##0</c:formatCode>
                <c:ptCount val="1"/>
              </c:numCache>
            </c:numRef>
          </c:bubbleSize>
          <c:bubble3D val="0"/>
        </c:ser>
        <c:ser>
          <c:idx val="69"/>
          <c:order val="69"/>
          <c:tx>
            <c:strRef>
              <c:f>'2x2 Matrix'!$H$15</c:f>
              <c:strCache>
                <c:ptCount val="1"/>
                <c:pt idx="0">
                  <c:v>Ondansetron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Matrix'!$O$15</c:f>
              <c:numCache>
                <c:formatCode>#,##0.00</c:formatCode>
                <c:ptCount val="1"/>
              </c:numCache>
            </c:numRef>
          </c:xVal>
          <c:yVal>
            <c:numRef>
              <c:f>'2x2 Matrix'!$P$15</c:f>
              <c:numCache>
                <c:formatCode>#,##0</c:formatCode>
                <c:ptCount val="1"/>
              </c:numCache>
            </c:numRef>
          </c:yVal>
          <c:bubbleSize>
            <c:numRef>
              <c:f>'2x2 Matrix'!$Q$15</c:f>
              <c:numCache>
                <c:formatCode>#,##0</c:formatCode>
                <c:ptCount val="1"/>
              </c:numCache>
            </c:numRef>
          </c:bubbleSize>
          <c:bubble3D val="0"/>
        </c:ser>
        <c:ser>
          <c:idx val="70"/>
          <c:order val="70"/>
          <c:tx>
            <c:strRef>
              <c:f>'2x2 Matrix'!$H$16</c:f>
              <c:strCache>
                <c:ptCount val="1"/>
                <c:pt idx="0">
                  <c:v>Plerixafor</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Matrix'!$O$16</c:f>
              <c:numCache>
                <c:formatCode>#,##0.00</c:formatCode>
                <c:ptCount val="1"/>
              </c:numCache>
            </c:numRef>
          </c:xVal>
          <c:yVal>
            <c:numRef>
              <c:f>'2x2 Matrix'!$P$16</c:f>
              <c:numCache>
                <c:formatCode>#,##0</c:formatCode>
                <c:ptCount val="1"/>
              </c:numCache>
            </c:numRef>
          </c:yVal>
          <c:bubbleSize>
            <c:numRef>
              <c:f>'2x2 Matrix'!$Q$16</c:f>
              <c:numCache>
                <c:formatCode>#,##0</c:formatCode>
                <c:ptCount val="1"/>
              </c:numCache>
            </c:numRef>
          </c:bubbleSize>
          <c:bubble3D val="0"/>
        </c:ser>
        <c:ser>
          <c:idx val="71"/>
          <c:order val="71"/>
          <c:tx>
            <c:strRef>
              <c:f>'2x2 Matrix'!$H$17</c:f>
              <c:strCache>
                <c:ptCount val="1"/>
                <c:pt idx="0">
                  <c:v>Cytarabine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Matrix'!$O$17</c:f>
              <c:numCache>
                <c:formatCode>#,##0.00</c:formatCode>
                <c:ptCount val="1"/>
              </c:numCache>
            </c:numRef>
          </c:xVal>
          <c:yVal>
            <c:numRef>
              <c:f>'2x2 Matrix'!$P$17</c:f>
              <c:numCache>
                <c:formatCode>#,##0</c:formatCode>
                <c:ptCount val="1"/>
              </c:numCache>
            </c:numRef>
          </c:yVal>
          <c:bubbleSize>
            <c:numRef>
              <c:f>'2x2 Matrix'!$Q$17</c:f>
              <c:numCache>
                <c:formatCode>#,##0</c:formatCode>
                <c:ptCount val="1"/>
              </c:numCache>
            </c:numRef>
          </c:bubbleSize>
          <c:bubble3D val="0"/>
        </c:ser>
        <c:ser>
          <c:idx val="72"/>
          <c:order val="72"/>
          <c:tx>
            <c:strRef>
              <c:f>'2x2 Matrix'!$H$18</c:f>
              <c:strCache>
                <c:ptCount val="1"/>
                <c:pt idx="0">
                  <c:v>Atropine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Matrix'!$O$18</c:f>
              <c:numCache>
                <c:formatCode>#,##0.00</c:formatCode>
                <c:ptCount val="1"/>
              </c:numCache>
            </c:numRef>
          </c:xVal>
          <c:yVal>
            <c:numRef>
              <c:f>'2x2 Matrix'!$P$18</c:f>
              <c:numCache>
                <c:formatCode>#,##0</c:formatCode>
                <c:ptCount val="1"/>
              </c:numCache>
            </c:numRef>
          </c:yVal>
          <c:bubbleSize>
            <c:numRef>
              <c:f>'2x2 Matrix'!$Q$18</c:f>
              <c:numCache>
                <c:formatCode>#,##0</c:formatCode>
                <c:ptCount val="1"/>
              </c:numCache>
            </c:numRef>
          </c:bubbleSize>
          <c:bubble3D val="0"/>
        </c:ser>
        <c:ser>
          <c:idx val="73"/>
          <c:order val="73"/>
          <c:tx>
            <c:strRef>
              <c:f>'2x2 Matrix'!$H$19</c:f>
              <c:strCache>
                <c:ptCount val="1"/>
                <c:pt idx="0">
                  <c:v>Teicoplanin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Matrix'!$O$19</c:f>
              <c:numCache>
                <c:formatCode>#,##0.00</c:formatCode>
                <c:ptCount val="1"/>
              </c:numCache>
            </c:numRef>
          </c:xVal>
          <c:yVal>
            <c:numRef>
              <c:f>'2x2 Matrix'!$P$19</c:f>
              <c:numCache>
                <c:formatCode>#,##0</c:formatCode>
                <c:ptCount val="1"/>
              </c:numCache>
            </c:numRef>
          </c:yVal>
          <c:bubbleSize>
            <c:numRef>
              <c:f>'2x2 Matrix'!$Q$19</c:f>
              <c:numCache>
                <c:formatCode>#,##0</c:formatCode>
                <c:ptCount val="1"/>
              </c:numCache>
            </c:numRef>
          </c:bubbleSize>
          <c:bubble3D val="0"/>
        </c:ser>
        <c:ser>
          <c:idx val="74"/>
          <c:order val="74"/>
          <c:tx>
            <c:strRef>
              <c:f>'2x2 Matrix'!$H$20</c:f>
              <c:strCache>
                <c:ptCount val="1"/>
                <c:pt idx="0">
                  <c:v>Cefepime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Matrix'!$O$20</c:f>
              <c:numCache>
                <c:formatCode>#,##0.00</c:formatCode>
                <c:ptCount val="1"/>
              </c:numCache>
            </c:numRef>
          </c:xVal>
          <c:yVal>
            <c:numRef>
              <c:f>'2x2 Matrix'!$P$20</c:f>
              <c:numCache>
                <c:formatCode>#,##0</c:formatCode>
                <c:ptCount val="1"/>
              </c:numCache>
            </c:numRef>
          </c:yVal>
          <c:bubbleSize>
            <c:numRef>
              <c:f>'2x2 Matrix'!$Q$20</c:f>
              <c:numCache>
                <c:formatCode>#,##0</c:formatCode>
                <c:ptCount val="1"/>
              </c:numCache>
            </c:numRef>
          </c:bubbleSize>
          <c:bubble3D val="0"/>
        </c:ser>
        <c:ser>
          <c:idx val="75"/>
          <c:order val="75"/>
          <c:tx>
            <c:strRef>
              <c:f>'2x2 Matrix'!$H$21</c:f>
              <c:strCache>
                <c:ptCount val="1"/>
                <c:pt idx="0">
                  <c:v>Midazolam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Matrix'!$O$21</c:f>
              <c:numCache>
                <c:formatCode>#,##0.00</c:formatCode>
                <c:ptCount val="1"/>
              </c:numCache>
            </c:numRef>
          </c:xVal>
          <c:yVal>
            <c:numRef>
              <c:f>'2x2 Matrix'!$P$21</c:f>
              <c:numCache>
                <c:formatCode>#,##0</c:formatCode>
                <c:ptCount val="1"/>
              </c:numCache>
            </c:numRef>
          </c:yVal>
          <c:bubbleSize>
            <c:numRef>
              <c:f>'2x2 Matrix'!$Q$21</c:f>
              <c:numCache>
                <c:formatCode>#,##0</c:formatCode>
                <c:ptCount val="1"/>
              </c:numCache>
            </c:numRef>
          </c:bubbleSize>
          <c:bubble3D val="0"/>
        </c:ser>
        <c:ser>
          <c:idx val="76"/>
          <c:order val="76"/>
          <c:tx>
            <c:strRef>
              <c:f>'2x2 Matrix'!$H$22</c:f>
              <c:strCache>
                <c:ptCount val="1"/>
                <c:pt idx="0">
                  <c:v>Succinylcholine (Suxamethonium)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Matrix'!$O$22</c:f>
              <c:numCache>
                <c:formatCode>#,##0.00</c:formatCode>
                <c:ptCount val="1"/>
              </c:numCache>
            </c:numRef>
          </c:xVal>
          <c:yVal>
            <c:numRef>
              <c:f>'2x2 Matrix'!$P$22</c:f>
              <c:numCache>
                <c:formatCode>#,##0</c:formatCode>
                <c:ptCount val="1"/>
              </c:numCache>
            </c:numRef>
          </c:yVal>
          <c:bubbleSize>
            <c:numRef>
              <c:f>'2x2 Matrix'!$Q$22</c:f>
              <c:numCache>
                <c:formatCode>#,##0</c:formatCode>
                <c:ptCount val="1"/>
              </c:numCache>
            </c:numRef>
          </c:bubbleSize>
          <c:bubble3D val="0"/>
        </c:ser>
        <c:ser>
          <c:idx val="77"/>
          <c:order val="77"/>
          <c:tx>
            <c:strRef>
              <c:f>'2x2 Matrix'!$H$23</c:f>
              <c:strCache>
                <c:ptCount val="1"/>
                <c:pt idx="0">
                  <c:v>Leuprorelin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Matrix'!$O$23</c:f>
              <c:numCache>
                <c:formatCode>#,##0.00</c:formatCode>
                <c:ptCount val="1"/>
              </c:numCache>
            </c:numRef>
          </c:xVal>
          <c:yVal>
            <c:numRef>
              <c:f>'2x2 Matrix'!$P$23</c:f>
              <c:numCache>
                <c:formatCode>#,##0</c:formatCode>
                <c:ptCount val="1"/>
              </c:numCache>
            </c:numRef>
          </c:yVal>
          <c:bubbleSize>
            <c:numRef>
              <c:f>'2x2 Matrix'!$Q$23</c:f>
              <c:numCache>
                <c:formatCode>#,##0</c:formatCode>
                <c:ptCount val="1"/>
              </c:numCache>
            </c:numRef>
          </c:bubbleSize>
          <c:bubble3D val="0"/>
        </c:ser>
        <c:ser>
          <c:idx val="78"/>
          <c:order val="78"/>
          <c:tx>
            <c:strRef>
              <c:f>'2x2 Matrix'!$H$24</c:f>
              <c:strCache>
                <c:ptCount val="1"/>
                <c:pt idx="0">
                  <c:v>Ustekinumab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Matrix'!$O$24</c:f>
              <c:numCache>
                <c:formatCode>#,##0.00</c:formatCode>
                <c:ptCount val="1"/>
              </c:numCache>
            </c:numRef>
          </c:xVal>
          <c:yVal>
            <c:numRef>
              <c:f>'2x2 Matrix'!$P$24</c:f>
              <c:numCache>
                <c:formatCode>#,##0</c:formatCode>
                <c:ptCount val="1"/>
              </c:numCache>
            </c:numRef>
          </c:yVal>
          <c:bubbleSize>
            <c:numRef>
              <c:f>'2x2 Matrix'!$Q$24</c:f>
              <c:numCache>
                <c:formatCode>#,##0</c:formatCode>
                <c:ptCount val="1"/>
              </c:numCache>
            </c:numRef>
          </c:bubbleSize>
          <c:bubble3D val="0"/>
        </c:ser>
        <c:ser>
          <c:idx val="79"/>
          <c:order val="79"/>
          <c:tx>
            <c:strRef>
              <c:f>'2x2 Matrix'!$H$25</c:f>
              <c:strCache>
                <c:ptCount val="1"/>
                <c:pt idx="0">
                  <c:v>Degarelix</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Matrix'!$O$25</c:f>
              <c:numCache>
                <c:formatCode>#,##0.00</c:formatCode>
                <c:ptCount val="1"/>
              </c:numCache>
            </c:numRef>
          </c:xVal>
          <c:yVal>
            <c:numRef>
              <c:f>'2x2 Matrix'!$P$25</c:f>
              <c:numCache>
                <c:formatCode>#,##0</c:formatCode>
                <c:ptCount val="1"/>
              </c:numCache>
            </c:numRef>
          </c:yVal>
          <c:bubbleSize>
            <c:numRef>
              <c:f>'2x2 Matrix'!$Q$25</c:f>
              <c:numCache>
                <c:formatCode>#,##0</c:formatCode>
                <c:ptCount val="1"/>
              </c:numCache>
            </c:numRef>
          </c:bubbleSize>
          <c:bubble3D val="0"/>
        </c:ser>
        <c:ser>
          <c:idx val="80"/>
          <c:order val="80"/>
          <c:tx>
            <c:strRef>
              <c:f>'2x2 Matrix'!$H$26</c:f>
              <c:strCache>
                <c:ptCount val="1"/>
                <c:pt idx="0">
                  <c:v>Flucloxacillin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Matrix'!$O$26</c:f>
              <c:numCache>
                <c:formatCode>#,##0.00</c:formatCode>
                <c:ptCount val="1"/>
                <c:pt idx="0">
                  <c:v>6.07</c:v>
                </c:pt>
              </c:numCache>
            </c:numRef>
          </c:xVal>
          <c:yVal>
            <c:numRef>
              <c:f>'2x2 Matrix'!$P$26</c:f>
              <c:numCache>
                <c:formatCode>#,##0</c:formatCode>
                <c:ptCount val="1"/>
                <c:pt idx="0">
                  <c:v>116</c:v>
                </c:pt>
              </c:numCache>
            </c:numRef>
          </c:yVal>
          <c:bubbleSize>
            <c:numRef>
              <c:f>'2x2 Matrix'!$Q$26</c:f>
              <c:numCache>
                <c:formatCode>#,##0</c:formatCode>
                <c:ptCount val="1"/>
                <c:pt idx="0">
                  <c:v>6287.6</c:v>
                </c:pt>
              </c:numCache>
            </c:numRef>
          </c:bubbleSize>
          <c:bubble3D val="0"/>
        </c:ser>
        <c:ser>
          <c:idx val="81"/>
          <c:order val="81"/>
          <c:tx>
            <c:strRef>
              <c:f>'2x2 Matrix'!$H$27</c:f>
              <c:strCache>
                <c:ptCount val="1"/>
                <c:pt idx="0">
                  <c:v>Progesterone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Matrix'!$O$27</c:f>
              <c:numCache>
                <c:formatCode>#,##0.00</c:formatCode>
                <c:ptCount val="1"/>
                <c:pt idx="0">
                  <c:v>6.23</c:v>
                </c:pt>
              </c:numCache>
            </c:numRef>
          </c:xVal>
          <c:yVal>
            <c:numRef>
              <c:f>'2x2 Matrix'!$P$27</c:f>
              <c:numCache>
                <c:formatCode>#,##0</c:formatCode>
                <c:ptCount val="1"/>
                <c:pt idx="0">
                  <c:v>88</c:v>
                </c:pt>
              </c:numCache>
            </c:numRef>
          </c:yVal>
          <c:bubbleSize>
            <c:numRef>
              <c:f>'2x2 Matrix'!$Q$27</c:f>
              <c:numCache>
                <c:formatCode>#,##0</c:formatCode>
                <c:ptCount val="1"/>
                <c:pt idx="0">
                  <c:v>2646.6</c:v>
                </c:pt>
              </c:numCache>
            </c:numRef>
          </c:bubbleSize>
          <c:bubble3D val="0"/>
        </c:ser>
        <c:ser>
          <c:idx val="82"/>
          <c:order val="82"/>
          <c:tx>
            <c:strRef>
              <c:f>'2x2 Matrix'!$H$28</c:f>
              <c:strCache>
                <c:ptCount val="1"/>
                <c:pt idx="0">
                  <c:v>Naloxone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Matrix'!$O$28</c:f>
              <c:numCache>
                <c:formatCode>#,##0.00</c:formatCode>
                <c:ptCount val="1"/>
                <c:pt idx="0">
                  <c:v>5.42</c:v>
                </c:pt>
              </c:numCache>
            </c:numRef>
          </c:xVal>
          <c:yVal>
            <c:numRef>
              <c:f>'2x2 Matrix'!$P$28</c:f>
              <c:numCache>
                <c:formatCode>#,##0</c:formatCode>
                <c:ptCount val="1"/>
                <c:pt idx="0">
                  <c:v>88</c:v>
                </c:pt>
              </c:numCache>
            </c:numRef>
          </c:yVal>
          <c:bubbleSize>
            <c:numRef>
              <c:f>'2x2 Matrix'!$Q$28</c:f>
              <c:numCache>
                <c:formatCode>#,##0</c:formatCode>
                <c:ptCount val="1"/>
                <c:pt idx="0">
                  <c:v>1437.9</c:v>
                </c:pt>
              </c:numCache>
            </c:numRef>
          </c:bubbleSize>
          <c:bubble3D val="0"/>
        </c:ser>
        <c:ser>
          <c:idx val="83"/>
          <c:order val="83"/>
          <c:tx>
            <c:strRef>
              <c:f>'2x2 Matrix'!$H$29</c:f>
              <c:strCache>
                <c:ptCount val="1"/>
                <c:pt idx="0">
                  <c:v>Hydroxocobalamin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Matrix'!$O$29</c:f>
              <c:numCache>
                <c:formatCode>#,##0.00</c:formatCode>
                <c:ptCount val="1"/>
                <c:pt idx="0">
                  <c:v>9.83</c:v>
                </c:pt>
              </c:numCache>
            </c:numRef>
          </c:xVal>
          <c:yVal>
            <c:numRef>
              <c:f>'2x2 Matrix'!$P$29</c:f>
              <c:numCache>
                <c:formatCode>#,##0</c:formatCode>
                <c:ptCount val="1"/>
                <c:pt idx="0">
                  <c:v>22</c:v>
                </c:pt>
              </c:numCache>
            </c:numRef>
          </c:yVal>
          <c:bubbleSize>
            <c:numRef>
              <c:f>'2x2 Matrix'!$Q$29</c:f>
              <c:numCache>
                <c:formatCode>#,##0</c:formatCode>
                <c:ptCount val="1"/>
                <c:pt idx="0">
                  <c:v>315.7</c:v>
                </c:pt>
              </c:numCache>
            </c:numRef>
          </c:bubbleSize>
          <c:bubble3D val="0"/>
        </c:ser>
        <c:ser>
          <c:idx val="84"/>
          <c:order val="84"/>
          <c:tx>
            <c:strRef>
              <c:f>'2x2 Matrix'!$H$30</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Matrix'!$O$30</c:f>
              <c:numCache>
                <c:formatCode>#,##0.00</c:formatCode>
                <c:ptCount val="1"/>
              </c:numCache>
            </c:numRef>
          </c:xVal>
          <c:yVal>
            <c:numRef>
              <c:f>'2x2 Matrix'!$P$30</c:f>
              <c:numCache>
                <c:formatCode>#,##0</c:formatCode>
                <c:ptCount val="1"/>
              </c:numCache>
            </c:numRef>
          </c:yVal>
          <c:bubbleSize>
            <c:numRef>
              <c:f>'2x2 Matrix'!$Q$30</c:f>
              <c:numCache>
                <c:formatCode>#,##0</c:formatCode>
                <c:ptCount val="1"/>
              </c:numCache>
            </c:numRef>
          </c:bubbleSize>
          <c:bubble3D val="0"/>
        </c:ser>
        <c:ser>
          <c:idx val="85"/>
          <c:order val="85"/>
          <c:tx>
            <c:strRef>
              <c:f>'2x2 Matrix'!$H$31</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Matrix'!$O$31</c:f>
              <c:numCache>
                <c:formatCode>#,##0.00</c:formatCode>
                <c:ptCount val="1"/>
              </c:numCache>
            </c:numRef>
          </c:xVal>
          <c:yVal>
            <c:numRef>
              <c:f>'2x2 Matrix'!$P$31</c:f>
              <c:numCache>
                <c:formatCode>#,##0</c:formatCode>
                <c:ptCount val="1"/>
              </c:numCache>
            </c:numRef>
          </c:yVal>
          <c:bubbleSize>
            <c:numRef>
              <c:f>'2x2 Matrix'!$Q$31</c:f>
              <c:numCache>
                <c:formatCode>#,##0</c:formatCode>
                <c:ptCount val="1"/>
              </c:numCache>
            </c:numRef>
          </c:bubbleSize>
          <c:bubble3D val="0"/>
        </c:ser>
        <c:ser>
          <c:idx val="86"/>
          <c:order val="86"/>
          <c:tx>
            <c:strRef>
              <c:f>'2x2 Matrix'!$H$32</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Matrix'!$O$32</c:f>
              <c:numCache>
                <c:formatCode>#,##0.00</c:formatCode>
                <c:ptCount val="1"/>
              </c:numCache>
            </c:numRef>
          </c:xVal>
          <c:yVal>
            <c:numRef>
              <c:f>'2x2 Matrix'!$P$32</c:f>
              <c:numCache>
                <c:formatCode>#,##0</c:formatCode>
                <c:ptCount val="1"/>
              </c:numCache>
            </c:numRef>
          </c:yVal>
          <c:bubbleSize>
            <c:numRef>
              <c:f>'2x2 Matrix'!$Q$32</c:f>
              <c:numCache>
                <c:formatCode>#,##0</c:formatCode>
                <c:ptCount val="1"/>
              </c:numCache>
            </c:numRef>
          </c:bubbleSize>
          <c:bubble3D val="0"/>
        </c:ser>
        <c:ser>
          <c:idx val="87"/>
          <c:order val="87"/>
          <c:tx>
            <c:strRef>
              <c:f>'2x2 Matrix'!$H$33</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Matrix'!$O$33</c:f>
              <c:numCache>
                <c:formatCode>#,##0.00</c:formatCode>
                <c:ptCount val="1"/>
              </c:numCache>
            </c:numRef>
          </c:xVal>
          <c:yVal>
            <c:numRef>
              <c:f>'2x2 Matrix'!$P$33</c:f>
              <c:numCache>
                <c:formatCode>#,##0</c:formatCode>
                <c:ptCount val="1"/>
              </c:numCache>
            </c:numRef>
          </c:yVal>
          <c:bubbleSize>
            <c:numRef>
              <c:f>'2x2 Matrix'!$Q$33</c:f>
              <c:numCache>
                <c:formatCode>#,##0</c:formatCode>
                <c:ptCount val="1"/>
              </c:numCache>
            </c:numRef>
          </c:bubbleSize>
          <c:bubble3D val="0"/>
        </c:ser>
        <c:ser>
          <c:idx val="88"/>
          <c:order val="88"/>
          <c:tx>
            <c:strRef>
              <c:f>'2x2 Matrix'!$H$34</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Matrix'!$O$34</c:f>
              <c:numCache>
                <c:formatCode>#,##0.00</c:formatCode>
                <c:ptCount val="1"/>
              </c:numCache>
            </c:numRef>
          </c:xVal>
          <c:yVal>
            <c:numRef>
              <c:f>'2x2 Matrix'!$P$34</c:f>
              <c:numCache>
                <c:formatCode>#,##0</c:formatCode>
                <c:ptCount val="1"/>
              </c:numCache>
            </c:numRef>
          </c:yVal>
          <c:bubbleSize>
            <c:numRef>
              <c:f>'2x2 Matrix'!$Q$34</c:f>
              <c:numCache>
                <c:formatCode>#,##0</c:formatCode>
                <c:ptCount val="1"/>
              </c:numCache>
            </c:numRef>
          </c:bubbleSize>
          <c:bubble3D val="0"/>
        </c:ser>
        <c:ser>
          <c:idx val="89"/>
          <c:order val="89"/>
          <c:tx>
            <c:strRef>
              <c:f>'2x2 Matrix'!$H$35</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Matrix'!$O$35</c:f>
              <c:numCache>
                <c:formatCode>#,##0.00</c:formatCode>
                <c:ptCount val="1"/>
              </c:numCache>
            </c:numRef>
          </c:xVal>
          <c:yVal>
            <c:numRef>
              <c:f>'2x2 Matrix'!$P$35</c:f>
              <c:numCache>
                <c:formatCode>#,##0</c:formatCode>
                <c:ptCount val="1"/>
              </c:numCache>
            </c:numRef>
          </c:yVal>
          <c:bubbleSize>
            <c:numRef>
              <c:f>'2x2 Matrix'!$Q$35</c:f>
              <c:numCache>
                <c:formatCode>#,##0</c:formatCode>
                <c:ptCount val="1"/>
              </c:numCache>
            </c:numRef>
          </c:bubbleSize>
          <c:bubble3D val="0"/>
        </c:ser>
        <c:axId val="97371165"/>
        <c:axId val="15961979"/>
      </c:bubbleChart>
      <c:valAx>
        <c:axId val="97371165"/>
        <c:scaling>
          <c:logBase val="10"/>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Average price per unit (USD,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5961979"/>
        <c:crossesAt val="146"/>
        <c:crossBetween val="midCat"/>
      </c:valAx>
      <c:valAx>
        <c:axId val="15961979"/>
        <c:scaling>
          <c:logBase val="10"/>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Injectable shipments (FY24,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7371165"/>
        <c:crossesAt val="25.36"/>
        <c:crossBetween val="midCat"/>
      </c:valAx>
      <c:spPr>
        <a:noFill/>
        <a:ln w="0">
          <a:noFill/>
        </a:ln>
      </c:spPr>
    </c:plotArea>
    <c:plotVisOnly val="0"/>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160560</xdr:rowOff>
    </xdr:from>
    <xdr:to>
      <xdr:col>33</xdr:col>
      <xdr:colOff>187200</xdr:colOff>
      <xdr:row>32</xdr:row>
      <xdr:rowOff>184320</xdr:rowOff>
    </xdr:to>
    <xdr:graphicFrame>
      <xdr:nvGraphicFramePr>
        <xdr:cNvPr id="0" name="Chart 1"/>
        <xdr:cNvGraphicFramePr/>
      </xdr:nvGraphicFramePr>
      <xdr:xfrm>
        <a:off x="8951760" y="1162080"/>
        <a:ext cx="9359640" cy="61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products.mhra.gov.uk/" TargetMode="External"/><Relationship Id="rId2" Type="http://schemas.openxmlformats.org/officeDocument/2006/relationships/hyperlink" Target="https://health-products.canada.ca/dpd-bdpp/" TargetMode="External"/><Relationship Id="rId3" Type="http://schemas.openxmlformats.org/officeDocument/2006/relationships/hyperlink" Target="https://www.ema.europa.eu/en/human-regulatory-overview/post-authorisation/data-medicines-iso-idmp-standards-post-authorisation/public-data-article-57-database" TargetMode="External"/><Relationship Id="rId4" Type="http://schemas.openxmlformats.org/officeDocument/2006/relationships/hyperlink" Target="https://www.fda.gov/drugs/drug-approvals-and-databases/national-drug-code-directory" TargetMode="External"/><Relationship Id="rId5" Type="http://schemas.openxmlformats.org/officeDocument/2006/relationships/hyperlink" Target="https://dailymed.nlm.nih.gov/dailymed/"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search.cfm?labeltype=all&amp;query=diazepam+injection" TargetMode="External"/><Relationship Id="rId3" Type="http://schemas.openxmlformats.org/officeDocument/2006/relationships/hyperlink" Target="https://dailymed.nlm.nih.gov/dailymed/search.cfm?labeltype=all&amp;query=fulvestrant" TargetMode="External"/><Relationship Id="rId4" Type="http://schemas.openxmlformats.org/officeDocument/2006/relationships/hyperlink" Target="https://dailymed.nlm.nih.gov/dailymed/search.cfm?labeltype=all&amp;query=methotrexate+injection" TargetMode="External"/><Relationship Id="rId5" Type="http://schemas.openxmlformats.org/officeDocument/2006/relationships/hyperlink" Target="https://dailymed.nlm.nih.gov/dailymed/search.cfm?labeltype=all&amp;query=phytonadione" TargetMode="External"/><Relationship Id="rId6" Type="http://schemas.openxmlformats.org/officeDocument/2006/relationships/hyperlink" Target="https://dailymed.nlm.nih.gov/dailymed/search.cfm?labeltype=all&amp;query=triamcinolone+acetonide+injectable+suspension" TargetMode="External"/><Relationship Id="rId7" Type="http://schemas.openxmlformats.org/officeDocument/2006/relationships/hyperlink" Target="https://dailymed.nlm.nih.gov/dailymed/search.cfm?labeltype=all&amp;query=ampicillin" TargetMode="External"/><Relationship Id="rId8" Type="http://schemas.openxmlformats.org/officeDocument/2006/relationships/hyperlink" Target="https://dailymed.nlm.nih.gov/dailymed/search.cfm?labeltype=all&amp;query=argatroban" TargetMode="External"/><Relationship Id="rId9" Type="http://schemas.openxmlformats.org/officeDocument/2006/relationships/hyperlink" Target="https://dailymed.nlm.nih.gov/dailymed/search.cfm?labeltype=all&amp;query=azacitidine" TargetMode="External"/><Relationship Id="rId10" Type="http://schemas.openxmlformats.org/officeDocument/2006/relationships/hyperlink" Target="https://dailymed.nlm.nih.gov/dailymed/search.cfm?labeltype=all&amp;query=bortezomib" TargetMode="External"/><Relationship Id="rId11" Type="http://schemas.openxmlformats.org/officeDocument/2006/relationships/hyperlink" Target="https://dailymed.nlm.nih.gov/dailymed/search.cfm?labeltype=all&amp;query=bupivacaine" TargetMode="External"/><Relationship Id="rId12" Type="http://schemas.openxmlformats.org/officeDocument/2006/relationships/hyperlink" Target="https://dailymed.nlm.nih.gov/dailymed/search.cfm?labeltype=all&amp;query=carboprost" TargetMode="External"/><Relationship Id="rId13" Type="http://schemas.openxmlformats.org/officeDocument/2006/relationships/hyperlink" Target="https://dailymed.nlm.nih.gov/dailymed/search.cfm?labeltype=all&amp;query=cefepime" TargetMode="External"/><Relationship Id="rId14" Type="http://schemas.openxmlformats.org/officeDocument/2006/relationships/hyperlink" Target="https://dailymed.nlm.nih.gov/dailymed/search.cfm?labeltype=all&amp;query=ceftazidime"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chlorpromazine" TargetMode="External"/><Relationship Id="rId17" Type="http://schemas.openxmlformats.org/officeDocument/2006/relationships/hyperlink" Target="https://dailymed.nlm.nih.gov/dailymed/search.cfm?labeltype=all&amp;query=cyclophosphamide"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daptomycin" TargetMode="External"/><Relationship Id="rId20" Type="http://schemas.openxmlformats.org/officeDocument/2006/relationships/hyperlink" Target="https://dailymed.nlm.nih.gov/dailymed/search.cfm?labeltype=all&amp;query=doxorubicin" TargetMode="External"/><Relationship Id="rId21" Type="http://schemas.openxmlformats.org/officeDocument/2006/relationships/hyperlink" Target="https://dailymed.nlm.nih.gov/dailymed/search.cfm?labeltype=all&amp;query=ephedrine+sulfate+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eptifibatide" TargetMode="External"/><Relationship Id="rId24" Type="http://schemas.openxmlformats.org/officeDocument/2006/relationships/hyperlink" Target="https://dailymed.nlm.nih.gov/dailymed/search.cfm?labeltype=all&amp;query=ertapenem" TargetMode="External"/><Relationship Id="rId25" Type="http://schemas.openxmlformats.org/officeDocument/2006/relationships/hyperlink" Target="https://dailymed.nlm.nih.gov/dailymed/search.cfm?labeltype=all&amp;query=esmolol" TargetMode="External"/><Relationship Id="rId26" Type="http://schemas.openxmlformats.org/officeDocument/2006/relationships/hyperlink" Target="https://mhraproducts4853.blob.core.windows.net/docs/b81aa75bd80aa32a460d7fedc1706f40ed574da1" TargetMode="External"/><Relationship Id="rId27" Type="http://schemas.openxmlformats.org/officeDocument/2006/relationships/hyperlink" Target="https://dailymed.nlm.nih.gov/dailymed/search.cfm?labeltype=all&amp;query=fluorouracil+injection" TargetMode="External"/><Relationship Id="rId28" Type="http://schemas.openxmlformats.org/officeDocument/2006/relationships/hyperlink" Target="https://dailymed.nlm.nih.gov/dailymed/search.cfm?labeltype=all&amp;query=fluphenazine+decanoate" TargetMode="External"/><Relationship Id="rId29" Type="http://schemas.openxmlformats.org/officeDocument/2006/relationships/hyperlink" Target="https://dailymed.nlm.nih.gov/dailymed/search.cfm?labeltype=all&amp;query=leucovorin+calcium+injection" TargetMode="External"/><Relationship Id="rId30" Type="http://schemas.openxmlformats.org/officeDocument/2006/relationships/hyperlink" Target="https://dailymed.nlm.nih.gov/dailymed/search.cfm?labeltype=all&amp;query=fulvestrant" TargetMode="External"/><Relationship Id="rId31" Type="http://schemas.openxmlformats.org/officeDocument/2006/relationships/hyperlink" Target="https://dailymed.nlm.nih.gov/dailymed/search.cfm?labeltype=all&amp;query=hydralazine+injection" TargetMode="External"/><Relationship Id="rId32" Type="http://schemas.openxmlformats.org/officeDocument/2006/relationships/hyperlink" Target="https://dailymed.nlm.nih.gov/dailymed/search.cfm?labeltype=all&amp;query=ibandronate+injection" TargetMode="External"/><Relationship Id="rId33" Type="http://schemas.openxmlformats.org/officeDocument/2006/relationships/hyperlink" Target="https://dailymed.nlm.nih.gov/dailymed/search.cfm?labeltype=all&amp;query=medroxyprogesterone+acetate+injectable" TargetMode="External"/><Relationship Id="rId34" Type="http://schemas.openxmlformats.org/officeDocument/2006/relationships/hyperlink" Target="https://dailymed.nlm.nih.gov/dailymed/search.cfm?labeltype=all&amp;query=melphalan+hydrochloride" TargetMode="External"/><Relationship Id="rId35" Type="http://schemas.openxmlformats.org/officeDocument/2006/relationships/hyperlink" Target="https://dailymed.nlm.nih.gov/dailymed/search.cfm?labeltype=all&amp;query=meropenem" TargetMode="External"/><Relationship Id="rId36" Type="http://schemas.openxmlformats.org/officeDocument/2006/relationships/hyperlink" Target="https://dailymed.nlm.nih.gov/dailymed/search.cfm?labeltype=all&amp;query=mesna" TargetMode="External"/><Relationship Id="rId37" Type="http://schemas.openxmlformats.org/officeDocument/2006/relationships/hyperlink" Target="https://dailymed.nlm.nih.gov/dailymed/search.cfm?labeltype=all&amp;query=methotrexate+injection" TargetMode="External"/><Relationship Id="rId38" Type="http://schemas.openxmlformats.org/officeDocument/2006/relationships/hyperlink" Target="https://dailymed.nlm.nih.gov/dailymed/search.cfm?labeltype=all&amp;query=methylprednisolone+acetate" TargetMode="External"/><Relationship Id="rId39" Type="http://schemas.openxmlformats.org/officeDocument/2006/relationships/hyperlink" Target="https://dailymed.nlm.nih.gov/dailymed/search.cfm?labeltype=all&amp;query=mitomycin" TargetMode="External"/><Relationship Id="rId40" Type="http://schemas.openxmlformats.org/officeDocument/2006/relationships/hyperlink" Target="https://dailymed.nlm.nih.gov/dailymed/search.cfm?labeltype=all&amp;query=nafcillin" TargetMode="External"/><Relationship Id="rId41" Type="http://schemas.openxmlformats.org/officeDocument/2006/relationships/hyperlink" Target="https://dailymed.nlm.nih.gov/dailymed/search.cfm?labeltype=all&amp;query=naloxone+hydrochloride+injection" TargetMode="External"/><Relationship Id="rId42" Type="http://schemas.openxmlformats.org/officeDocument/2006/relationships/hyperlink" Target="https://dailymed.nlm.nih.gov/dailymed/search.cfm?labeltype=all&amp;query=ondansetron+injection" TargetMode="External"/><Relationship Id="rId43" Type="http://schemas.openxmlformats.org/officeDocument/2006/relationships/hyperlink" Target="https://dailymed.nlm.nih.gov/dailymed/search.cfm?labeltype=all&amp;query=oxacillin" TargetMode="External"/><Relationship Id="rId44" Type="http://schemas.openxmlformats.org/officeDocument/2006/relationships/hyperlink" Target="https://dailymed.nlm.nih.gov/dailymed/search.cfm?labeltype=all&amp;query=palonosetron" TargetMode="External"/><Relationship Id="rId45" Type="http://schemas.openxmlformats.org/officeDocument/2006/relationships/hyperlink" Target="https://dailymed.nlm.nih.gov/dailymed/search.cfm?labeltype=all&amp;query=pantoprazole+sodium+for+injection" TargetMode="External"/><Relationship Id="rId46" Type="http://schemas.openxmlformats.org/officeDocument/2006/relationships/hyperlink" Target="https://dailymed.nlm.nih.gov/dailymed/search.cfm?labeltype=all&amp;query=plerixafor" TargetMode="External"/><Relationship Id="rId47" Type="http://schemas.openxmlformats.org/officeDocument/2006/relationships/hyperlink" Target="https://dailymed.nlm.nih.gov/dailymed/search.cfm?labeltype=all&amp;query=progesterone+injection" TargetMode="External"/><Relationship Id="rId48" Type="http://schemas.openxmlformats.org/officeDocument/2006/relationships/hyperlink" Target="https://dailymed.nlm.nih.gov/dailymed/search.cfm?labeltype=all&amp;query=regadenoson" TargetMode="External"/><Relationship Id="rId49" Type="http://schemas.openxmlformats.org/officeDocument/2006/relationships/hyperlink" Target="https://dailymed.nlm.nih.gov/dailymed/search.cfm?labeltype=all&amp;query=remifentanil" TargetMode="External"/><Relationship Id="rId50" Type="http://schemas.openxmlformats.org/officeDocument/2006/relationships/hyperlink" Target="https://dailymed.nlm.nih.gov/dailymed/search.cfm?labeltype=all&amp;query=ropivacaine" TargetMode="External"/><Relationship Id="rId51" Type="http://schemas.openxmlformats.org/officeDocument/2006/relationships/hyperlink" Target="https://dailymed.nlm.nih.gov/dailymed/search.cfm?labeltype=all&amp;query=sildenafil+injection" TargetMode="External"/><Relationship Id="rId52" Type="http://schemas.openxmlformats.org/officeDocument/2006/relationships/hyperlink" Target="https://dailymed.nlm.nih.gov/dailymed/search.cfm?labeltype=all&amp;query=testosterone+cypionate" TargetMode="External"/><Relationship Id="rId53" Type="http://schemas.openxmlformats.org/officeDocument/2006/relationships/hyperlink" Target="https://dailymed.nlm.nih.gov/dailymed/search.cfm?labeltype=all&amp;query=testosterone+enanthate" TargetMode="External"/><Relationship Id="rId54" Type="http://schemas.openxmlformats.org/officeDocument/2006/relationships/hyperlink" Target="https://dailymed.nlm.nih.gov/dailymed/search.cfm?labeltype=all&amp;query=tirofiban" TargetMode="External"/><Relationship Id="rId55" Type="http://schemas.openxmlformats.org/officeDocument/2006/relationships/hyperlink" Target="https://dailymed.nlm.nih.gov/dailymed/search.cfm?labeltype=all&amp;query=tranexamic+acid+injection" TargetMode="External"/><Relationship Id="rId56" Type="http://schemas.openxmlformats.org/officeDocument/2006/relationships/hyperlink" Target="https://dailymed.nlm.nih.gov/dailymed/search.cfm?labeltype=all&amp;query=triamcinolone+acetonide+injectable+suspens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azacitidine" TargetMode="External"/><Relationship Id="rId61" Type="http://schemas.openxmlformats.org/officeDocument/2006/relationships/hyperlink" Target="https://dailymed.nlm.nih.gov/dailymed/search.cfm?labeltype=all&amp;query=bleomycin" TargetMode="External"/><Relationship Id="rId62" Type="http://schemas.openxmlformats.org/officeDocument/2006/relationships/hyperlink" Target="https://dailymed.nlm.nih.gov/dailymed/search.cfm?labeltype=all&amp;query=bortezomib" TargetMode="External"/><Relationship Id="rId63" Type="http://schemas.openxmlformats.org/officeDocument/2006/relationships/hyperlink" Target="https://dailymed.nlm.nih.gov/dailymed/search.cfm?labeltype=all&amp;query=cefepime" TargetMode="External"/><Relationship Id="rId64" Type="http://schemas.openxmlformats.org/officeDocument/2006/relationships/hyperlink" Target="https://dailymed.nlm.nih.gov/dailymed/search.cfm?labeltype=all&amp;query=daptomycin" TargetMode="External"/><Relationship Id="rId65" Type="http://schemas.openxmlformats.org/officeDocument/2006/relationships/hyperlink" Target="https://dailymed.nlm.nih.gov/dailymed/search.cfm?labeltype=all&amp;query=doxorubicin" TargetMode="External"/><Relationship Id="rId66" Type="http://schemas.openxmlformats.org/officeDocument/2006/relationships/hyperlink" Target="https://dailymed.nlm.nih.gov/dailymed/search.cfm?labeltype=all&amp;query=fulvestrant" TargetMode="External"/><Relationship Id="rId67" Type="http://schemas.openxmlformats.org/officeDocument/2006/relationships/hyperlink" Target="https://dailymed.nlm.nih.gov/dailymed/search.cfm?labeltype=all&amp;query=hydrocortisone+sodium+succinat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lanreotide" TargetMode="External"/><Relationship Id="rId70" Type="http://schemas.openxmlformats.org/officeDocument/2006/relationships/hyperlink" Target="https://www.who.int/news-room/fact-sheets/detail/measles" TargetMode="External"/><Relationship Id="rId71" Type="http://schemas.openxmlformats.org/officeDocument/2006/relationships/hyperlink" Target="https://dailymed.nlm.nih.gov/dailymed/search.cfm?labeltype=all&amp;query=medroxyprogesterone+acetate+injectable" TargetMode="External"/><Relationship Id="rId72" Type="http://schemas.openxmlformats.org/officeDocument/2006/relationships/hyperlink" Target="https://dailymed.nlm.nih.gov/dailymed/search.cfm?labeltype=all&amp;query=palonosetron" TargetMode="External"/><Relationship Id="rId73" Type="http://schemas.openxmlformats.org/officeDocument/2006/relationships/hyperlink" Target="https://dailymed.nlm.nih.gov/dailymed/search.cfm?labeltype=all&amp;query=phenylephrine+hydrochloride+injection" TargetMode="External"/><Relationship Id="rId74" Type="http://schemas.openxmlformats.org/officeDocument/2006/relationships/hyperlink" Target="https://dailymed.nlm.nih.gov/dailymed/search.cfm?labeltype=all&amp;query=phytonadione" TargetMode="External"/><Relationship Id="rId75" Type="http://schemas.openxmlformats.org/officeDocument/2006/relationships/hyperlink" Target="https://list.essentialmeds.org/?query=streptokinase" TargetMode="External"/><Relationship Id="rId76" Type="http://schemas.openxmlformats.org/officeDocument/2006/relationships/hyperlink" Target="https://dailymed.nlm.nih.gov/dailymed/search.cfm?labeltype=all&amp;query=sugammadex" TargetMode="External"/><Relationship Id="rId77" Type="http://schemas.openxmlformats.org/officeDocument/2006/relationships/hyperlink" Target="https://mhraproducts4853.blob.core.windows.net/docs/45a310f5c66d09f20d9d1eb3a5d48c17c486ac7b" TargetMode="External"/><Relationship Id="rId78" Type="http://schemas.openxmlformats.org/officeDocument/2006/relationships/hyperlink" Target="https://dailymed.nlm.nih.gov/dailymed/search.cfm?labeltype=all&amp;query=testosterone+cypionate" TargetMode="External"/><Relationship Id="rId79" Type="http://schemas.openxmlformats.org/officeDocument/2006/relationships/hyperlink" Target="https://dailymed.nlm.nih.gov/dailymed/search.cfm?labeltype=all&amp;query=testosterone+undecanoate"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ivalirudin" TargetMode="External"/><Relationship Id="rId85" Type="http://schemas.openxmlformats.org/officeDocument/2006/relationships/hyperlink" Target="https://dailymed.nlm.nih.gov/dailymed/search.cfm?labeltype=all&amp;query=bortezomib" TargetMode="External"/><Relationship Id="rId86" Type="http://schemas.openxmlformats.org/officeDocument/2006/relationships/hyperlink" Target="https://dailymed.nlm.nih.gov/dailymed/search.cfm?labeltype=all&amp;query=carboprost" TargetMode="External"/><Relationship Id="rId87" Type="http://schemas.openxmlformats.org/officeDocument/2006/relationships/hyperlink" Target="https://dailymed.nlm.nih.gov/dailymed/search.cfm?labeltype=all&amp;query=cyclophosphamide" TargetMode="External"/><Relationship Id="rId88" Type="http://schemas.openxmlformats.org/officeDocument/2006/relationships/hyperlink" Target="https://dailymed.nlm.nih.gov/dailymed/search.cfm?labeltype=all&amp;query=daptomycin"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diazepam+injection" TargetMode="External"/><Relationship Id="rId91" Type="http://schemas.openxmlformats.org/officeDocument/2006/relationships/hyperlink" Target="https://dailymed.nlm.nih.gov/dailymed/search.cfm?labeltype=all&amp;query=ephedrine+sulfate+injection" TargetMode="External"/><Relationship Id="rId92" Type="http://schemas.openxmlformats.org/officeDocument/2006/relationships/hyperlink" Target="https://dailymed.nlm.nih.gov/dailymed/search.cfm?labeltype=all&amp;query=eribulin" TargetMode="External"/><Relationship Id="rId93" Type="http://schemas.openxmlformats.org/officeDocument/2006/relationships/hyperlink" Target="https://dailymed.nlm.nih.gov/dailymed/search.cfm?labeltype=all&amp;query=ertapenem" TargetMode="External"/><Relationship Id="rId94" Type="http://schemas.openxmlformats.org/officeDocument/2006/relationships/hyperlink" Target="https://dailymed.nlm.nih.gov/dailymed/search.cfm?labeltype=all&amp;query=ferric+carboxymaltose" TargetMode="External"/><Relationship Id="rId95" Type="http://schemas.openxmlformats.org/officeDocument/2006/relationships/hyperlink" Target="https://dailymed.nlm.nih.gov/dailymed/search.cfm?labeltype=all&amp;query=fulvestrant" TargetMode="External"/><Relationship Id="rId96" Type="http://schemas.openxmlformats.org/officeDocument/2006/relationships/hyperlink" Target="https://dailymed.nlm.nih.gov/dailymed/search.cfm?labeltype=all&amp;query=ibandronate+injection" TargetMode="External"/><Relationship Id="rId97" Type="http://schemas.openxmlformats.org/officeDocument/2006/relationships/hyperlink" Target="https://dailymed.nlm.nih.gov/dailymed/search.cfm?labeltype=all&amp;query=naloxone+hydrochloride+injection" TargetMode="External"/><Relationship Id="rId98" Type="http://schemas.openxmlformats.org/officeDocument/2006/relationships/hyperlink" Target="https://dailymed.nlm.nih.gov/dailymed/search.cfm?labeltype=all&amp;query=neostigmine" TargetMode="External"/><Relationship Id="rId99" Type="http://schemas.openxmlformats.org/officeDocument/2006/relationships/hyperlink" Target="https://dailymed.nlm.nih.gov/dailymed/search.cfm?labeltype=all&amp;query=palonosetron" TargetMode="External"/><Relationship Id="rId100" Type="http://schemas.openxmlformats.org/officeDocument/2006/relationships/hyperlink" Target="https://dailymed.nlm.nih.gov/dailymed/search.cfm?labeltype=all&amp;query=phytonadione" TargetMode="External"/><Relationship Id="rId101" Type="http://schemas.openxmlformats.org/officeDocument/2006/relationships/hyperlink" Target="https://dailymed.nlm.nih.gov/dailymed/search.cfm?labeltype=all&amp;query=plerixafor" TargetMode="External"/><Relationship Id="rId102" Type="http://schemas.openxmlformats.org/officeDocument/2006/relationships/hyperlink" Target="https://dailymed.nlm.nih.gov/dailymed/search.cfm?labeltype=all&amp;query=regadenoson" TargetMode="External"/><Relationship Id="rId103" Type="http://schemas.openxmlformats.org/officeDocument/2006/relationships/hyperlink" Target="https://dailymed.nlm.nih.gov/dailymed/search.cfm?labeltype=all&amp;query=succinylcholine" TargetMode="External"/><Relationship Id="rId104" Type="http://schemas.openxmlformats.org/officeDocument/2006/relationships/hyperlink" Target="https://dailymed.nlm.nih.gov/dailymed/search.cfm?labeltype=all&amp;query=sugammadex" TargetMode="External"/><Relationship Id="rId105" Type="http://schemas.openxmlformats.org/officeDocument/2006/relationships/hyperlink" Target="https://dailymed.nlm.nih.gov/dailymed/search.cfm?labeltype=all&amp;query=thiotepa"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cetazolamide" TargetMode="External"/><Relationship Id="rId108" Type="http://schemas.openxmlformats.org/officeDocument/2006/relationships/hyperlink" Target="https://dailymed.nlm.nih.gov/dailymed/search.cfm?labeltype=all&amp;query=amikacin" TargetMode="External"/><Relationship Id="rId109" Type="http://schemas.openxmlformats.org/officeDocument/2006/relationships/hyperlink" Target="https://dailymed.nlm.nih.gov/dailymed/search.cfm?labeltype=all&amp;query=ampicillin" TargetMode="External"/><Relationship Id="rId110" Type="http://schemas.openxmlformats.org/officeDocument/2006/relationships/hyperlink" Target="https://dailymed.nlm.nih.gov/dailymed/search.cfm?labeltype=all&amp;query=azacitidine" TargetMode="External"/><Relationship Id="rId111" Type="http://schemas.openxmlformats.org/officeDocument/2006/relationships/hyperlink" Target="https://dailymed.nlm.nih.gov/dailymed/search.cfm?labeltype=all&amp;query=bortezomib" TargetMode="External"/><Relationship Id="rId112" Type="http://schemas.openxmlformats.org/officeDocument/2006/relationships/hyperlink" Target="https://dailymed.nlm.nih.gov/dailymed/search.cfm?labeltype=all&amp;query=colistimethate" TargetMode="External"/><Relationship Id="rId113" Type="http://schemas.openxmlformats.org/officeDocument/2006/relationships/hyperlink" Target="https://dailymed.nlm.nih.gov/dailymed/search.cfm?labeltype=all&amp;query=cyclophosphamide" TargetMode="External"/><Relationship Id="rId114" Type="http://schemas.openxmlformats.org/officeDocument/2006/relationships/hyperlink" Target="https://dailymed.nlm.nih.gov/dailymed/search.cfm?labeltype=all&amp;query=daptomycin" TargetMode="External"/><Relationship Id="rId115" Type="http://schemas.openxmlformats.org/officeDocument/2006/relationships/hyperlink" Target="https://dailymed.nlm.nih.gov/dailymed/search.cfm?labeltype=all&amp;query=eribulin" TargetMode="External"/><Relationship Id="rId116" Type="http://schemas.openxmlformats.org/officeDocument/2006/relationships/hyperlink" Target="https://dailymed.nlm.nih.gov/dailymed/search.cfm?labeltype=all&amp;query=esomeprazole+sodium" TargetMode="External"/><Relationship Id="rId117" Type="http://schemas.openxmlformats.org/officeDocument/2006/relationships/hyperlink" Target="https://dailymed.nlm.nih.gov/dailymed/search.cfm?labeltype=all&amp;query=isoproterenol" TargetMode="External"/><Relationship Id="rId118" Type="http://schemas.openxmlformats.org/officeDocument/2006/relationships/hyperlink" Target="https://dailymed.nlm.nih.gov/dailymed/search.cfm?labeltype=all&amp;query=melphalan+hydrochloride"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neostigmine" TargetMode="External"/><Relationship Id="rId121" Type="http://schemas.openxmlformats.org/officeDocument/2006/relationships/hyperlink" Target="https://dailymed.nlm.nih.gov/dailymed/search.cfm?labeltype=all&amp;query=ondansetron+injection" TargetMode="External"/><Relationship Id="rId122" Type="http://schemas.openxmlformats.org/officeDocument/2006/relationships/hyperlink" Target="https://dailymed.nlm.nih.gov/dailymed/search.cfm?labeltype=all&amp;query=pantoprazole+sodium+for+injection" TargetMode="External"/><Relationship Id="rId123" Type="http://schemas.openxmlformats.org/officeDocument/2006/relationships/hyperlink" Target="https://dailymed.nlm.nih.gov/dailymed/search.cfm?labeltype=all&amp;query=pentamidine" TargetMode="External"/><Relationship Id="rId124" Type="http://schemas.openxmlformats.org/officeDocument/2006/relationships/hyperlink" Target="https://dailymed.nlm.nih.gov/dailymed/search.cfm?labeltype=all&amp;query=plerixafor"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bortezomib" TargetMode="External"/><Relationship Id="rId129" Type="http://schemas.openxmlformats.org/officeDocument/2006/relationships/hyperlink" Target="https://dailymed.nlm.nih.gov/dailymed/search.cfm?labeltype=all&amp;query=eribulin"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plerixafor"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brivaracetam" TargetMode="External"/><Relationship Id="rId136" Type="http://schemas.openxmlformats.org/officeDocument/2006/relationships/hyperlink" Target="https://dailymed.nlm.nih.gov/dailymed/search.cfm?labeltype=all&amp;query=chlorpromazine" TargetMode="External"/><Relationship Id="rId137" Type="http://schemas.openxmlformats.org/officeDocument/2006/relationships/hyperlink" Target="https://dailymed.nlm.nih.gov/dailymed/search.cfm?labeltype=all&amp;query=cyanocobalamin+injection" TargetMode="External"/><Relationship Id="rId138" Type="http://schemas.openxmlformats.org/officeDocument/2006/relationships/hyperlink" Target="https://dailymed.nlm.nih.gov/dailymed/search.cfm?labeltype=all&amp;query=daptomycin" TargetMode="External"/><Relationship Id="rId139" Type="http://schemas.openxmlformats.org/officeDocument/2006/relationships/hyperlink" Target="https://dailymed.nlm.nih.gov/dailymed/search.cfm?labeltype=all&amp;query=glycopyrrolate+injection"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lidocaine+hydrochloride+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lphalan+hydrochloride" TargetMode="External"/><Relationship Id="rId144" Type="http://schemas.openxmlformats.org/officeDocument/2006/relationships/hyperlink" Target="https://dailymed.nlm.nih.gov/dailymed/search.cfm?labeltype=all&amp;query=methotrexate+injection" TargetMode="External"/><Relationship Id="rId145" Type="http://schemas.openxmlformats.org/officeDocument/2006/relationships/hyperlink" Target="https://dailymed.nlm.nih.gov/dailymed/search.cfm?labeltype=all&amp;query=palonosetron" TargetMode="External"/><Relationship Id="rId146" Type="http://schemas.openxmlformats.org/officeDocument/2006/relationships/hyperlink" Target="https://dailymed.nlm.nih.gov/dailymed/search.cfm?labeltype=all&amp;query=pantoprazole+sodium+for+injection" TargetMode="External"/><Relationship Id="rId147" Type="http://schemas.openxmlformats.org/officeDocument/2006/relationships/hyperlink" Target="https://dailymed.nlm.nih.gov/dailymed/search.cfm?labeltype=all&amp;query=plerixafor" TargetMode="External"/><Relationship Id="rId148" Type="http://schemas.openxmlformats.org/officeDocument/2006/relationships/hyperlink" Target="https://dailymed.nlm.nih.gov/dailymed/search.cfm?labeltype=all&amp;query=propofol" TargetMode="External"/><Relationship Id="rId149" Type="http://schemas.openxmlformats.org/officeDocument/2006/relationships/hyperlink" Target="https://dailymed.nlm.nih.gov/dailymed/search.cfm?labeltype=all&amp;query=rocuronium" TargetMode="External"/><Relationship Id="rId150" Type="http://schemas.openxmlformats.org/officeDocument/2006/relationships/hyperlink" Target="https://dailymed.nlm.nih.gov/dailymed/search.cfm?labeltype=all&amp;query=sodium+bicarbonate+injection" TargetMode="External"/><Relationship Id="rId151" Type="http://schemas.openxmlformats.org/officeDocument/2006/relationships/hyperlink" Target="https://dailymed.nlm.nih.gov/dailymed/search.cfm?labeltype=all&amp;query=succinylcholine" TargetMode="External"/><Relationship Id="rId152" Type="http://schemas.openxmlformats.org/officeDocument/2006/relationships/hyperlink" Target="https://dailymed.nlm.nih.gov/dailymed/search.cfm?labeltype=all&amp;query=sugammadex" TargetMode="External"/><Relationship Id="rId153" Type="http://schemas.openxmlformats.org/officeDocument/2006/relationships/hyperlink" Target="https://mhraproducts4853.blob.core.windows.net/docs/45a310f5c66d09f20d9d1eb3a5d48c17c486ac7b"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amiodarone" TargetMode="External"/><Relationship Id="rId156" Type="http://schemas.openxmlformats.org/officeDocument/2006/relationships/hyperlink" Target="https://mhraproducts4853.blob.core.windows.net/docs/dd5428de28a35789b58d7a7229157959b1e135fb" TargetMode="External"/><Relationship Id="rId157" Type="http://schemas.openxmlformats.org/officeDocument/2006/relationships/hyperlink" Target="https://dailymed.nlm.nih.gov/dailymed/search.cfm?labeltype=all&amp;query=argatroban" TargetMode="External"/><Relationship Id="rId158" Type="http://schemas.openxmlformats.org/officeDocument/2006/relationships/hyperlink" Target="https://mhraproducts4853.blob.core.windows.net/docs/924d70784a8c922753ed49a78a38c605f536521c" TargetMode="External"/><Relationship Id="rId159" Type="http://schemas.openxmlformats.org/officeDocument/2006/relationships/hyperlink" Target="https://dailymed.nlm.nih.gov/dailymed/search.cfm?labeltype=all&amp;query=atropine" TargetMode="External"/><Relationship Id="rId160" Type="http://schemas.openxmlformats.org/officeDocument/2006/relationships/hyperlink" Target="https://dailymed.nlm.nih.gov/dailymed/search.cfm?labeltype=all&amp;query=azacitidine" TargetMode="External"/><Relationship Id="rId161" Type="http://schemas.openxmlformats.org/officeDocument/2006/relationships/hyperlink" Target="https://dailymed.nlm.nih.gov/dailymed/search.cfm?labeltype=all&amp;query=bivalirudin" TargetMode="External"/><Relationship Id="rId162" Type="http://schemas.openxmlformats.org/officeDocument/2006/relationships/hyperlink" Target="https://dailymed.nlm.nih.gov/dailymed/search.cfm?labeltype=all&amp;query=bleomycin" TargetMode="External"/><Relationship Id="rId163" Type="http://schemas.openxmlformats.org/officeDocument/2006/relationships/hyperlink" Target="https://dailymed.nlm.nih.gov/dailymed/search.cfm?labeltype=all&amp;query=bortezomib" TargetMode="External"/><Relationship Id="rId164" Type="http://schemas.openxmlformats.org/officeDocument/2006/relationships/hyperlink" Target="https://dailymed.nlm.nih.gov/dailymed/search.cfm?labeltype=all&amp;query=cefepime" TargetMode="External"/><Relationship Id="rId165" Type="http://schemas.openxmlformats.org/officeDocument/2006/relationships/hyperlink" Target="https://dailymed.nlm.nih.gov/dailymed/search.cfm?labeltype=all&amp;query=ceftriaxone" TargetMode="External"/><Relationship Id="rId166" Type="http://schemas.openxmlformats.org/officeDocument/2006/relationships/hyperlink" Target="https://dailymed.nlm.nih.gov/dailymed/search.cfm?labeltype=all&amp;query=cisatracurium" TargetMode="External"/><Relationship Id="rId167" Type="http://schemas.openxmlformats.org/officeDocument/2006/relationships/hyperlink" Target="https://dailymed.nlm.nih.gov/dailymed/search.cfm?labeltype=all&amp;query=colistimethate" TargetMode="External"/><Relationship Id="rId168" Type="http://schemas.openxmlformats.org/officeDocument/2006/relationships/hyperlink" Target="https://dailymed.nlm.nih.gov/dailymed/search.cfm?labeltype=all&amp;query=cyclophosphamide" TargetMode="External"/><Relationship Id="rId169" Type="http://schemas.openxmlformats.org/officeDocument/2006/relationships/hyperlink" Target="https://dailymed.nlm.nih.gov/dailymed/search.cfm?labeltype=all&amp;query=cytarabine" TargetMode="External"/><Relationship Id="rId170" Type="http://schemas.openxmlformats.org/officeDocument/2006/relationships/hyperlink" Target="https://dailymed.nlm.nih.gov/dailymed/search.cfm?labeltype=all&amp;query=daptomycin" TargetMode="External"/><Relationship Id="rId171" Type="http://schemas.openxmlformats.org/officeDocument/2006/relationships/hyperlink" Target="https://dailymed.nlm.nih.gov/dailymed/search.cfm?labeltype=all&amp;query=degarelix" TargetMode="External"/><Relationship Id="rId172" Type="http://schemas.openxmlformats.org/officeDocument/2006/relationships/hyperlink" Target="https://dailymed.nlm.nih.gov/dailymed/search.cfm?labeltype=all&amp;query=denosumab" TargetMode="External"/><Relationship Id="rId173" Type="http://schemas.openxmlformats.org/officeDocument/2006/relationships/hyperlink" Target="https://dailymed.nlm.nih.gov/dailymed/search.cfm?labeltype=all&amp;query=doxorubicin" TargetMode="External"/><Relationship Id="rId174" Type="http://schemas.openxmlformats.org/officeDocument/2006/relationships/hyperlink" Target="https://dailymed.nlm.nih.gov/dailymed/search.cfm?labeltype=all&amp;query=epinephrine+injection" TargetMode="External"/><Relationship Id="rId175" Type="http://schemas.openxmlformats.org/officeDocument/2006/relationships/hyperlink" Target="https://dailymed.nlm.nih.gov/dailymed/search.cfm?labeltype=all&amp;query=epirubicin" TargetMode="External"/><Relationship Id="rId176" Type="http://schemas.openxmlformats.org/officeDocument/2006/relationships/hyperlink" Target="https://dailymed.nlm.nih.gov/dailymed/search.cfm?labeltype=all&amp;query=eptifibatide" TargetMode="External"/><Relationship Id="rId177" Type="http://schemas.openxmlformats.org/officeDocument/2006/relationships/hyperlink" Target="https://dailymed.nlm.nih.gov/dailymed/search.cfm?labeltype=all&amp;query=eribulin" TargetMode="External"/><Relationship Id="rId178" Type="http://schemas.openxmlformats.org/officeDocument/2006/relationships/hyperlink" Target="https://dailymed.nlm.nih.gov/dailymed/search.cfm?labeltype=all&amp;query=esomeprazole+sodium" TargetMode="External"/><Relationship Id="rId179" Type="http://schemas.openxmlformats.org/officeDocument/2006/relationships/hyperlink" Target="https://mhraproducts4853.blob.core.windows.net/docs/b81aa75bd80aa32a460d7fedc1706f40ed574da1" TargetMode="External"/><Relationship Id="rId180" Type="http://schemas.openxmlformats.org/officeDocument/2006/relationships/hyperlink" Target="https://dailymed.nlm.nih.gov/dailymed/search.cfm?labeltype=all&amp;query=fludarabine" TargetMode="External"/><Relationship Id="rId181" Type="http://schemas.openxmlformats.org/officeDocument/2006/relationships/hyperlink" Target="https://dailymed.nlm.nih.gov/dailymed/search.cfm?labeltype=all&amp;query=fluorouracil+injection"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mhraproducts4853.blob.core.windows.net/docs/263d32f81753d60c17b4d841aa3115ebcf5eabd7" TargetMode="External"/><Relationship Id="rId185" Type="http://schemas.openxmlformats.org/officeDocument/2006/relationships/hyperlink" Target="https://dailymed.nlm.nih.gov/dailymed/search.cfm?labeltype=all&amp;query=ibandronate+injection" TargetMode="External"/><Relationship Id="rId186" Type="http://schemas.openxmlformats.org/officeDocument/2006/relationships/hyperlink" Target="https://dailymed.nlm.nih.gov/dailymed/search.cfm?labeltype=all&amp;query=idarubicin" TargetMode="External"/><Relationship Id="rId187" Type="http://schemas.openxmlformats.org/officeDocument/2006/relationships/hyperlink" Target="https://dailymed.nlm.nih.gov/dailymed/search.cfm?labeltype=all&amp;query=leuprolide" TargetMode="External"/><Relationship Id="rId188" Type="http://schemas.openxmlformats.org/officeDocument/2006/relationships/hyperlink" Target="https://dailymed.nlm.nih.gov/dailymed/search.cfm?labeltype=all&amp;query=lidocaine+hydrochloride+injection" TargetMode="External"/><Relationship Id="rId189" Type="http://schemas.openxmlformats.org/officeDocument/2006/relationships/hyperlink" Target="https://dailymed.nlm.nih.gov/dailymed/search.cfm?labeltype=all&amp;query=melphalan+hydrochloride" TargetMode="External"/><Relationship Id="rId190" Type="http://schemas.openxmlformats.org/officeDocument/2006/relationships/hyperlink" Target="https://dailymed.nlm.nih.gov/dailymed/search.cfm?labeltype=all&amp;query=methotrexate+injection" TargetMode="External"/><Relationship Id="rId191" Type="http://schemas.openxmlformats.org/officeDocument/2006/relationships/hyperlink" Target="https://dailymed.nlm.nih.gov/dailymed/search.cfm?labeltype=all&amp;query=midazolam+injection" TargetMode="External"/><Relationship Id="rId192" Type="http://schemas.openxmlformats.org/officeDocument/2006/relationships/hyperlink" Target="https://dailymed.nlm.nih.gov/dailymed/search.cfm?labeltype=all&amp;query=mitomycin" TargetMode="External"/><Relationship Id="rId193" Type="http://schemas.openxmlformats.org/officeDocument/2006/relationships/hyperlink" Target="https://dailymed.nlm.nih.gov/dailymed/search.cfm?labeltype=all&amp;query=mitoxantrone" TargetMode="External"/><Relationship Id="rId194" Type="http://schemas.openxmlformats.org/officeDocument/2006/relationships/hyperlink" Target="https://dailymed.nlm.nih.gov/dailymed/search.cfm?labeltype=all&amp;query=naloxone+hydrochloride+injection" TargetMode="External"/><Relationship Id="rId195" Type="http://schemas.openxmlformats.org/officeDocument/2006/relationships/hyperlink" Target="https://dailymed.nlm.nih.gov/dailymed/search.cfm?labeltype=all&amp;query=ondansetron+injection" TargetMode="External"/><Relationship Id="rId196" Type="http://schemas.openxmlformats.org/officeDocument/2006/relationships/hyperlink" Target="https://dailymed.nlm.nih.gov/dailymed/search.cfm?labeltype=all&amp;query=paclitaxel" TargetMode="External"/><Relationship Id="rId197" Type="http://schemas.openxmlformats.org/officeDocument/2006/relationships/hyperlink" Target="https://dailymed.nlm.nih.gov/dailymed/search.cfm?labeltype=all&amp;query=palonosetron" TargetMode="External"/><Relationship Id="rId198" Type="http://schemas.openxmlformats.org/officeDocument/2006/relationships/hyperlink" Target="https://dailymed.nlm.nih.gov/dailymed/search.cfm?labeltype=all&amp;query=pantoprazole+sodium+for+injection"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dailymed.nlm.nih.gov/dailymed/search.cfm?labeltype=all&amp;query=pegfilgrastim" TargetMode="External"/><Relationship Id="rId201" Type="http://schemas.openxmlformats.org/officeDocument/2006/relationships/hyperlink" Target="https://dailymed.nlm.nih.gov/dailymed/search.cfm?labeltype=all&amp;query=phenylephrine+hydrochloride+injection" TargetMode="External"/><Relationship Id="rId202" Type="http://schemas.openxmlformats.org/officeDocument/2006/relationships/hyperlink" Target="https://dailymed.nlm.nih.gov/dailymed/search.cfm?labeltype=all&amp;query=phenytoin+sodium+injection" TargetMode="External"/><Relationship Id="rId203" Type="http://schemas.openxmlformats.org/officeDocument/2006/relationships/hyperlink" Target="https://dailymed.nlm.nih.gov/dailymed/search.cfm?labeltype=all&amp;query=plerixafor"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dailymed.nlm.nih.gov/dailymed/search.cfm?labeltype=all&amp;query=ranibizumab" TargetMode="External"/><Relationship Id="rId206" Type="http://schemas.openxmlformats.org/officeDocument/2006/relationships/hyperlink" Target="https://dailymed.nlm.nih.gov/dailymed/search.cfm?labeltype=all&amp;query=regadenoson" TargetMode="External"/><Relationship Id="rId207" Type="http://schemas.openxmlformats.org/officeDocument/2006/relationships/hyperlink" Target="https://dailymed.nlm.nih.gov/dailymed/search.cfm?labeltype=all&amp;query=rocuronium" TargetMode="External"/><Relationship Id="rId208" Type="http://schemas.openxmlformats.org/officeDocument/2006/relationships/hyperlink" Target="https://dailymed.nlm.nih.gov/dailymed/search.cfm?labeltype=all&amp;query=succinylcholine" TargetMode="External"/><Relationship Id="rId209" Type="http://schemas.openxmlformats.org/officeDocument/2006/relationships/hyperlink" Target="https://dailymed.nlm.nih.gov/dailymed/search.cfm?labeltype=all&amp;query=sugammadex" TargetMode="External"/><Relationship Id="rId210" Type="http://schemas.openxmlformats.org/officeDocument/2006/relationships/hyperlink" Target="https://mhraproducts4853.blob.core.windows.net/docs/45a310f5c66d09f20d9d1eb3a5d48c17c486ac7b" TargetMode="External"/><Relationship Id="rId211" Type="http://schemas.openxmlformats.org/officeDocument/2006/relationships/hyperlink" Target="https://dailymed.nlm.nih.gov/dailymed/search.cfm?labeltype=all&amp;query=tigecycline" TargetMode="External"/><Relationship Id="rId212" Type="http://schemas.openxmlformats.org/officeDocument/2006/relationships/hyperlink" Target="https://dailymed.nlm.nih.gov/dailymed/search.cfm?labeltype=all&amp;query=ustekinumab"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alfentanil" TargetMode="External"/><Relationship Id="rId216" Type="http://schemas.openxmlformats.org/officeDocument/2006/relationships/hyperlink" Target="https://dailymed.nlm.nih.gov/dailymed/search.cfm?labeltype=all&amp;query=cefazolin" TargetMode="External"/><Relationship Id="rId217" Type="http://schemas.openxmlformats.org/officeDocument/2006/relationships/hyperlink" Target="https://dailymed.nlm.nih.gov/dailymed/search.cfm?labeltype=all&amp;query=cisatracuriu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diazepam+injection" TargetMode="External"/><Relationship Id="rId220" Type="http://schemas.openxmlformats.org/officeDocument/2006/relationships/hyperlink" Target="https://dailymed.nlm.nih.gov/dailymed/search.cfm?labeltype=all&amp;query=droperidol" TargetMode="External"/><Relationship Id="rId221" Type="http://schemas.openxmlformats.org/officeDocument/2006/relationships/hyperlink" Target="https://dailymed.nlm.nih.gov/dailymed/search.cfm?labeltype=all&amp;query=iron+sucrose" TargetMode="External"/><Relationship Id="rId222" Type="http://schemas.openxmlformats.org/officeDocument/2006/relationships/hyperlink" Target="https://dailymed.nlm.nih.gov/dailymed/search.cfm?labeltype=all&amp;query=ephedrine+sulfate+injection" TargetMode="External"/><Relationship Id="rId223" Type="http://schemas.openxmlformats.org/officeDocument/2006/relationships/hyperlink" Target="https://dailymed.nlm.nih.gov/dailymed/search.cfm?labeltype=all&amp;query=ertapenem" TargetMode="External"/><Relationship Id="rId224" Type="http://schemas.openxmlformats.org/officeDocument/2006/relationships/hyperlink" Target="https://dailymed.nlm.nih.gov/dailymed/search.cfm?labeltype=all&amp;query=famotidine+injection" TargetMode="External"/><Relationship Id="rId225" Type="http://schemas.openxmlformats.org/officeDocument/2006/relationships/hyperlink" Target="https://dailymed.nlm.nih.gov/dailymed/search.cfm?labeltype=all&amp;query=fentanyl+citrate+injection" TargetMode="External"/><Relationship Id="rId226" Type="http://schemas.openxmlformats.org/officeDocument/2006/relationships/hyperlink" Target="https://dailymed.nlm.nih.gov/dailymed/search.cfm?labeltype=all&amp;query=meropenem" TargetMode="External"/><Relationship Id="rId227" Type="http://schemas.openxmlformats.org/officeDocument/2006/relationships/hyperlink" Target="https://dailymed.nlm.nih.gov/dailymed/search.cfm?labeltype=all&amp;query=milrinone" TargetMode="External"/><Relationship Id="rId228" Type="http://schemas.openxmlformats.org/officeDocument/2006/relationships/hyperlink" Target="https://dailymed.nlm.nih.gov/dailymed/search.cfm?labeltype=all&amp;query=olanzapine+for+injection" TargetMode="External"/><Relationship Id="rId229" Type="http://schemas.openxmlformats.org/officeDocument/2006/relationships/hyperlink" Target="https://dailymed.nlm.nih.gov/dailymed/search.cfm?labeltype=all&amp;query=oxytocin" TargetMode="External"/><Relationship Id="rId230" Type="http://schemas.openxmlformats.org/officeDocument/2006/relationships/hyperlink" Target="https://dailymed.nlm.nih.gov/dailymed/search.cfm?labeltype=all&amp;query=remifentanil" TargetMode="External"/><Relationship Id="rId231" Type="http://schemas.openxmlformats.org/officeDocument/2006/relationships/hyperlink" Target="https://dailymed.nlm.nih.gov/dailymed/search.cfm?labeltype=all&amp;query=sugammadex" TargetMode="External"/><Relationship Id="rId232" Type="http://schemas.openxmlformats.org/officeDocument/2006/relationships/hyperlink" Target="https://mhraproducts4853.blob.core.windows.net/docs/45a310f5c66d09f20d9d1eb3a5d48c17c486ac7b" TargetMode="External"/><Relationship Id="rId233" Type="http://schemas.openxmlformats.org/officeDocument/2006/relationships/hyperlink" Target="https://dailymed.nlm.nih.gov/dailymed/search.cfm?labeltype=all&amp;query=testosterone+undecanoate"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brivaracetam" TargetMode="External"/><Relationship Id="rId236" Type="http://schemas.openxmlformats.org/officeDocument/2006/relationships/hyperlink" Target="https://dailymed.nlm.nih.gov/dailymed/search.cfm?labeltype=all&amp;query=chlorpromazine"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plerixafor"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brivaracetam"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carboprost" TargetMode="External"/><Relationship Id="rId244" Type="http://schemas.openxmlformats.org/officeDocument/2006/relationships/hyperlink" Target="https://mhraproducts4853.blob.core.windows.net/docs/925bc4c8a8d4a507b955b633951acf444692f0ea"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isoproterenol" TargetMode="External"/><Relationship Id="rId247" Type="http://schemas.openxmlformats.org/officeDocument/2006/relationships/hyperlink" Target="https://dailymed.nlm.nih.gov/dailymed/search.cfm?labeltype=all&amp;query=levetiracetam+injection" TargetMode="External"/><Relationship Id="rId248" Type="http://schemas.openxmlformats.org/officeDocument/2006/relationships/hyperlink" Target="https://dailymed.nlm.nih.gov/dailymed/search.cfm?labeltype=all&amp;query=lincomycin" TargetMode="External"/><Relationship Id="rId249" Type="http://schemas.openxmlformats.org/officeDocument/2006/relationships/hyperlink" Target="https://dailymed.nlm.nih.gov/dailymed/search.cfm?labeltype=all&amp;query=succinylcholine"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bupivacaine"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meropenem"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alfentanil"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cisatracurium" TargetMode="External"/><Relationship Id="rId259" Type="http://schemas.openxmlformats.org/officeDocument/2006/relationships/hyperlink" Target="https://dailymed.nlm.nih.gov/dailymed/search.cfm?labeltype=all&amp;query=etomidate" TargetMode="External"/><Relationship Id="rId260" Type="http://schemas.openxmlformats.org/officeDocument/2006/relationships/hyperlink" Target="https://dailymed.nlm.nih.gov/dailymed/search.cfm?labeltype=all&amp;query=fentanyl+citrate+injection"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epime" TargetMode="External"/><Relationship Id="rId264" Type="http://schemas.openxmlformats.org/officeDocument/2006/relationships/hyperlink" Target="https://dailymed.nlm.nih.gov/dailymed/search.cfm?labeltype=all&amp;query=ceftazid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aripiprazole" TargetMode="External"/><Relationship Id="rId269" Type="http://schemas.openxmlformats.org/officeDocument/2006/relationships/hyperlink" Target="https://dailymed.nlm.nih.gov/dailymed/search.cfm?labeltype=all&amp;query=bortezomib" TargetMode="External"/><Relationship Id="rId270" Type="http://schemas.openxmlformats.org/officeDocument/2006/relationships/hyperlink" Target="https://dailymed.nlm.nih.gov/dailymed/search.cfm?labeltype=all&amp;query=chlorothiazide"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esomeprazole+sodium" TargetMode="External"/><Relationship Id="rId273" Type="http://schemas.openxmlformats.org/officeDocument/2006/relationships/hyperlink" Target="https://dailymed.nlm.nih.gov/dailymed/search.cfm?labeltype=all&amp;query=fulvestrant" TargetMode="External"/><Relationship Id="rId274" Type="http://schemas.openxmlformats.org/officeDocument/2006/relationships/hyperlink" Target="https://dailymed.nlm.nih.gov/dailymed/search.cfm?labeltype=all&amp;query=melphalan+hydrochloride" TargetMode="External"/><Relationship Id="rId275" Type="http://schemas.openxmlformats.org/officeDocument/2006/relationships/hyperlink" Target="https://dailymed.nlm.nih.gov/dailymed/search.cfm?labeltype=all&amp;query=meropenem" TargetMode="External"/><Relationship Id="rId276" Type="http://schemas.openxmlformats.org/officeDocument/2006/relationships/hyperlink" Target="https://dailymed.nlm.nih.gov/dailymed/search.cfm?labeltype=all&amp;query=octreotide" TargetMode="External"/><Relationship Id="rId277" Type="http://schemas.openxmlformats.org/officeDocument/2006/relationships/hyperlink" Target="https://dailymed.nlm.nih.gov/dailymed/search.cfm?labeltype=all&amp;query=pantoprazole+sodium+for+injection" TargetMode="External"/><Relationship Id="rId278" Type="http://schemas.openxmlformats.org/officeDocument/2006/relationships/hyperlink" Target="https://dailymed.nlm.nih.gov/dailymed/search.cfm?labeltype=all&amp;query=paricalcitol+injection" TargetMode="External"/><Relationship Id="rId279" Type="http://schemas.openxmlformats.org/officeDocument/2006/relationships/hyperlink" Target="https://dailymed.nlm.nih.gov/dailymed/search.cfm?labeltype=all&amp;query=sugammadex" TargetMode="External"/><Relationship Id="rId280" Type="http://schemas.openxmlformats.org/officeDocument/2006/relationships/hyperlink" Target="https://mhraproducts4853.blob.core.windows.net/docs/45a310f5c66d09f20d9d1eb3a5d48c17c486ac7b" TargetMode="External"/><Relationship Id="rId281" Type="http://schemas.openxmlformats.org/officeDocument/2006/relationships/hyperlink" Target="https://dailymed.nlm.nih.gov/dailymed/search.cfm?labeltype=all&amp;query=terlipressin" TargetMode="External"/><Relationship Id="rId282" Type="http://schemas.openxmlformats.org/officeDocument/2006/relationships/hyperlink" Target="https://dailymed.nlm.nih.gov/dailymed/search.cfm?labeltype=all&amp;query=testosterone+cypionate" TargetMode="External"/><Relationship Id="rId283" Type="http://schemas.openxmlformats.org/officeDocument/2006/relationships/hyperlink" Target="https://dailymed.nlm.nih.gov/dailymed/search.cfm?labeltype=all&amp;query=testosterone+undecanoate"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granisetron" TargetMode="External"/><Relationship Id="rId287" Type="http://schemas.openxmlformats.org/officeDocument/2006/relationships/hyperlink" Target="https://dailymed.nlm.nih.gov/dailymed/search.cfm?labeltype=all&amp;query=levetiracetam+injection" TargetMode="External"/><Relationship Id="rId288" Type="http://schemas.openxmlformats.org/officeDocument/2006/relationships/hyperlink" Target="https://dailymed.nlm.nih.gov/dailymed/search.cfm?labeltype=all&amp;query=meropenem" TargetMode="External"/><Relationship Id="rId289" Type="http://schemas.openxmlformats.org/officeDocument/2006/relationships/hyperlink" Target="https://dailymed.nlm.nih.gov/dailymed/search.cfm?labeltype=all&amp;query=paliperidone+palmitate"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bleomycin" TargetMode="External"/><Relationship Id="rId293" Type="http://schemas.openxmlformats.org/officeDocument/2006/relationships/hyperlink" Target="https://dailymed.nlm.nih.gov/dailymed/search.cfm?labeltype=all&amp;query=ceftazidime" TargetMode="External"/><Relationship Id="rId294" Type="http://schemas.openxmlformats.org/officeDocument/2006/relationships/hyperlink" Target="https://dailymed.nlm.nih.gov/dailymed/search.cfm?labeltype=all&amp;query=ceftriaxon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adenosine" TargetMode="External"/><Relationship Id="rId297" Type="http://schemas.openxmlformats.org/officeDocument/2006/relationships/hyperlink" Target="https://dailymed.nlm.nih.gov/dailymed/search.cfm?labeltype=all&amp;query=amikacin" TargetMode="External"/><Relationship Id="rId298" Type="http://schemas.openxmlformats.org/officeDocument/2006/relationships/hyperlink" Target="https://dailymed.nlm.nih.gov/dailymed/search.cfm?labeltype=all&amp;query=caffeine+citrate" TargetMode="External"/><Relationship Id="rId299" Type="http://schemas.openxmlformats.org/officeDocument/2006/relationships/hyperlink" Target="https://dailymed.nlm.nih.gov/dailymed/search.cfm?labeltype=all&amp;query=ceftazidime" TargetMode="External"/><Relationship Id="rId300" Type="http://schemas.openxmlformats.org/officeDocument/2006/relationships/hyperlink" Target="https://dailymed.nlm.nih.gov/dailymed/search.cfm?labeltype=all&amp;query=ceftriaxone" TargetMode="External"/><Relationship Id="rId301" Type="http://schemas.openxmlformats.org/officeDocument/2006/relationships/hyperlink" Target="https://mhraproducts4853.blob.core.windows.net/docs/468e5b0a68665f15d3d30982865bab14c0c28588"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dailymed.nlm.nih.gov/dailymed/search.cfm?labeltype=all&amp;query=haloperidol+lactate" TargetMode="External"/><Relationship Id="rId304" Type="http://schemas.openxmlformats.org/officeDocument/2006/relationships/hyperlink" Target="https://mhraproducts4853.blob.core.windows.net/docs/04229266643a571563250bd73f7732fba1560cbb" TargetMode="External"/><Relationship Id="rId305" Type="http://schemas.openxmlformats.org/officeDocument/2006/relationships/hyperlink" Target="https://mhraproducts4853.blob.core.windows.net/docs/a59d41ba1edb90eeb695d447eeb35327147df3f6" TargetMode="External"/><Relationship Id="rId306" Type="http://schemas.openxmlformats.org/officeDocument/2006/relationships/hyperlink" Target="https://mhraproducts4853.blob.core.windows.net/docs/a53d61c3e391300f35f11ce363395170f019a5c5" TargetMode="External"/><Relationship Id="rId307" Type="http://schemas.openxmlformats.org/officeDocument/2006/relationships/hyperlink" Target="https://dailymed.nlm.nih.gov/dailymed/search.cfm?labeltype=all&amp;query=milrinone" TargetMode="External"/><Relationship Id="rId308" Type="http://schemas.openxmlformats.org/officeDocument/2006/relationships/hyperlink" Target="https://dailymed.nlm.nih.gov/dailymed/search.cfm?labeltype=all&amp;query=morphine+sulfate+injection" TargetMode="External"/><Relationship Id="rId309" Type="http://schemas.openxmlformats.org/officeDocument/2006/relationships/hyperlink" Target="https://dailymed.nlm.nih.gov/dailymed/search.cfm?labeltype=all&amp;query=ondansetron+injection" TargetMode="External"/><Relationship Id="rId310" Type="http://schemas.openxmlformats.org/officeDocument/2006/relationships/hyperlink" Target="https://dailymed.nlm.nih.gov/dailymed/search.cfm?labeltype=all&amp;query=oxacillin"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acetazolamide" TargetMode="External"/><Relationship Id="rId317" Type="http://schemas.openxmlformats.org/officeDocument/2006/relationships/hyperlink" Target="https://dailymed.nlm.nih.gov/dailymed/search.cfm?labeltype=all&amp;query=bortezomib"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chlorpromazine" TargetMode="External"/><Relationship Id="rId320" Type="http://schemas.openxmlformats.org/officeDocument/2006/relationships/hyperlink" Target="https://dailymed.nlm.nih.gov/dailymed/search.cfm?labeltype=all&amp;query=cisatracurium"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ethacrynate+sodium" TargetMode="External"/><Relationship Id="rId323" Type="http://schemas.openxmlformats.org/officeDocument/2006/relationships/hyperlink" Target="https://dailymed.nlm.nih.gov/dailymed/search.cfm?labeltype=all&amp;query=etomidate"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fulvestrant" TargetMode="External"/><Relationship Id="rId326" Type="http://schemas.openxmlformats.org/officeDocument/2006/relationships/hyperlink" Target="https://dailymed.nlm.nih.gov/dailymed/search.cfm?labeltype=all&amp;query=haloperidol+decanoate" TargetMode="External"/><Relationship Id="rId327" Type="http://schemas.openxmlformats.org/officeDocument/2006/relationships/hyperlink" Target="https://dailymed.nlm.nih.gov/dailymed/search.cfm?labeltype=all&amp;query=hydrocortisone+sodium+succinate" TargetMode="External"/><Relationship Id="rId328" Type="http://schemas.openxmlformats.org/officeDocument/2006/relationships/hyperlink" Target="https://dailymed.nlm.nih.gov/dailymed/search.cfm?labeltype=all&amp;query=indocyanine+green" TargetMode="External"/><Relationship Id="rId329" Type="http://schemas.openxmlformats.org/officeDocument/2006/relationships/hyperlink" Target="https://dailymed.nlm.nih.gov/dailymed/search.cfm?labeltype=all&amp;query=iron+sucrose" TargetMode="External"/><Relationship Id="rId330" Type="http://schemas.openxmlformats.org/officeDocument/2006/relationships/hyperlink" Target="https://dailymed.nlm.nih.gov/dailymed/search.cfm?labeltype=all&amp;query=ondansetron+injection"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apomio.de/preisvergleich/folinsaeure-aurobindo-10mg-ml-injektionsloesung-100-ml-actavis"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poneo.de/rx/16821360-fulvestrant-cipla-250-mg-5-ml-inj-lsg-i-e-f-sp.html"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vademecum.es/espana/medicamento/50229/azacitidina-glenmark-25-mg-ml-polvo-para-suspension-inyectable-efg"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poneo.de/rx/16796219-fulvestrant-heumann-250-mg-5ml-inj-lsg-i-e-f-sp.html"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mhraproducts4853.blob.core.windows.net/docs/8e489e2a01676dd3c6dd0b4247f5687d5a33a616"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mhraproducts4853.blob.core.windows.net/docs/d83e904f4609a9208d270bbb39829b778f6f0825" TargetMode="External"/><Relationship Id="rId4" Type="http://schemas.openxmlformats.org/officeDocument/2006/relationships/hyperlink" Target="https://dailymed.nlm.nih.gov/dailymed/drugInfo.cfm?setid=61d9b8f6-f93f-46ee-bec2-db8d46999792" TargetMode="External"/><Relationship Id="rId5" Type="http://schemas.openxmlformats.org/officeDocument/2006/relationships/hyperlink" Target="https://mhraproducts4853.blob.core.windows.net/docs/4d30849abb087d68fb87b3d040af01db85eeea0c" TargetMode="External"/><Relationship Id="rId6" Type="http://schemas.openxmlformats.org/officeDocument/2006/relationships/hyperlink" Target="https://hellopharmacist.com/ndc/70771-1490-01" TargetMode="External"/><Relationship Id="rId7" Type="http://schemas.openxmlformats.org/officeDocument/2006/relationships/hyperlink" Target="https://mhraproducts4853.blob.core.windows.net/docs/643a51399a50b9e99afd935c92f31c50fff13070" TargetMode="External"/><Relationship Id="rId8" Type="http://schemas.openxmlformats.org/officeDocument/2006/relationships/hyperlink" Target="https://dailymed.nlm.nih.gov/dailymed/search.cfm?labeltype=all&amp;query=amikacin" TargetMode="External"/><Relationship Id="rId9" Type="http://schemas.openxmlformats.org/officeDocument/2006/relationships/hyperlink" Target="https://dailymed.nlm.nih.gov/dailymed/drugInfo.cfm?setid=7791d3e1-9287-4f75-b4f0-e5d35cacfd6e"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1f00c333-9667-4ebc-8849-009a3779c0c9" TargetMode="External"/><Relationship Id="rId12" Type="http://schemas.openxmlformats.org/officeDocument/2006/relationships/hyperlink" Target="https://mhraproducts4853.blob.core.windows.net/docs/5a2e115532e171705b28998071f74799e829e4f9" TargetMode="External"/><Relationship Id="rId13" Type="http://schemas.openxmlformats.org/officeDocument/2006/relationships/hyperlink" Target="https://dailymed.nlm.nih.gov/dailymed/drugInfo.cfm?setid=302e6df7-37c5-4625-8a61-3e2f302addf2" TargetMode="External"/><Relationship Id="rId14" Type="http://schemas.openxmlformats.org/officeDocument/2006/relationships/hyperlink" Target="https://mhraproducts4853.blob.core.windows.net/docs/dd5428de28a35789b58d7a7229157959b1e135fb" TargetMode="External"/><Relationship Id="rId15" Type="http://schemas.openxmlformats.org/officeDocument/2006/relationships/hyperlink" Target="https://www.ebs.tga.gov.au/ebs/picmi/picmirepository.nsf/pdf?OpenAgent&amp;id=CP-2025-PI-01168-1" TargetMode="External"/><Relationship Id="rId16" Type="http://schemas.openxmlformats.org/officeDocument/2006/relationships/hyperlink" Target="https://dailymed.nlm.nih.gov/dailymed/drugInfo.cfm?setid=b7bf2897-8272-4c7d-84e9-6fbba0ea63fa" TargetMode="External"/><Relationship Id="rId17" Type="http://schemas.openxmlformats.org/officeDocument/2006/relationships/hyperlink" Target="https://dailymed.nlm.nih.gov/dailymed/drugInfo.cfm?setid=f3cb74e9-b4ac-4efe-bd8e-8a71970ee7c7" TargetMode="External"/><Relationship Id="rId18" Type="http://schemas.openxmlformats.org/officeDocument/2006/relationships/hyperlink" Target="https://dailymed.nlm.nih.gov/dailymed/drugInfo.cfm?setid=46cdf9e6-839c-49c8-9ee1-c30cfdd9368d" TargetMode="External"/><Relationship Id="rId19" Type="http://schemas.openxmlformats.org/officeDocument/2006/relationships/hyperlink" Target="https://mhraproducts4853.blob.core.windows.net/docs/247aff47b4c3ceb1b47b5c6aee30a185233aad14" TargetMode="External"/><Relationship Id="rId20" Type="http://schemas.openxmlformats.org/officeDocument/2006/relationships/hyperlink" Target="https://www.ema.europa.eu/en/medicines/human/EPAR/azacitidine-accord" TargetMode="External"/><Relationship Id="rId21" Type="http://schemas.openxmlformats.org/officeDocument/2006/relationships/hyperlink" Target="https://dailymed.nlm.nih.gov/dailymed/drugInfo.cfm?setid=da4c07fd-1130-4341-bb44-63acfa4162be" TargetMode="External"/><Relationship Id="rId22" Type="http://schemas.openxmlformats.org/officeDocument/2006/relationships/hyperlink" Target="https://www.ebs.tga.gov.au/ebs/picmi/picmirepository.nsf/pdf?OpenAgent&amp;id=CP-2019-CMI-02124-1" TargetMode="External"/><Relationship Id="rId23" Type="http://schemas.openxmlformats.org/officeDocument/2006/relationships/hyperlink" Target="https://dailymed.nlm.nih.gov/dailymed/drugInfo.cfm?setid=71d4bc78-57df-474b-8b19-811a959f1fce" TargetMode="External"/><Relationship Id="rId24" Type="http://schemas.openxmlformats.org/officeDocument/2006/relationships/hyperlink" Target="https://mhraproducts4853.blob.core.windows.net/docs/924d70784a8c922753ed49a78a38c605f536521c" TargetMode="External"/><Relationship Id="rId25" Type="http://schemas.openxmlformats.org/officeDocument/2006/relationships/hyperlink" Target="https://www.ema.europa.eu/en/medicines/human/EPAR/azacitidine-accord" TargetMode="External"/><Relationship Id="rId26" Type="http://schemas.openxmlformats.org/officeDocument/2006/relationships/hyperlink" Target="https://dailymed.nlm.nih.gov/dailymed/drugInfo.cfm?setid=f3cb74e9-b4ac-4efe-bd8e-8a71970ee7c7" TargetMode="External"/><Relationship Id="rId27" Type="http://schemas.openxmlformats.org/officeDocument/2006/relationships/hyperlink" Target="https://www.ema.europa.eu/en/medicines/human/EPAR/azacitidine-accord" TargetMode="External"/><Relationship Id="rId28" Type="http://schemas.openxmlformats.org/officeDocument/2006/relationships/hyperlink" Target="https://dailymed.nlm.nih.gov/dailymed/drugInfo.cfm?setid=70140e11-33f1-2240-e053-2991aa0a0480" TargetMode="External"/><Relationship Id="rId29" Type="http://schemas.openxmlformats.org/officeDocument/2006/relationships/hyperlink" Target="https://www.ema.europa.eu/en/medicines/human/EPAR/azacitidine-accord" TargetMode="External"/><Relationship Id="rId30" Type="http://schemas.openxmlformats.org/officeDocument/2006/relationships/hyperlink" Target="https://mhraproducts4853.blob.core.windows.net/docs/38cffb86d463a85be1de8ce8a70b2775c027a0cb" TargetMode="External"/><Relationship Id="rId31" Type="http://schemas.openxmlformats.org/officeDocument/2006/relationships/hyperlink" Target="https://www.ema.europa.eu/en/medicines/human/EPAR/azacitidine-accord" TargetMode="External"/><Relationship Id="rId32" Type="http://schemas.openxmlformats.org/officeDocument/2006/relationships/hyperlink" Target="https://dailymed.nlm.nih.gov/dailymed/drugInfo.cfm?setid=c20969cb-72d4-469b-9bd8-332250d896c3" TargetMode="External"/><Relationship Id="rId33" Type="http://schemas.openxmlformats.org/officeDocument/2006/relationships/hyperlink" Target="https://www.ema.europa.eu/en/medicines/human/EPAR/azacitidine-accord" TargetMode="External"/><Relationship Id="rId34" Type="http://schemas.openxmlformats.org/officeDocument/2006/relationships/hyperlink" Target="https://dailymed.nlm.nih.gov/dailymed/drugInfo.cfm?setid=b5806c40-12ce-48e3-8abd-9f8997ef4428" TargetMode="External"/><Relationship Id="rId35" Type="http://schemas.openxmlformats.org/officeDocument/2006/relationships/hyperlink" Target="https://mhraproducts4853.blob.core.windows.net/docs/bb8555ee31d8ac21ce7ea2481563ab908752699c" TargetMode="External"/><Relationship Id="rId36" Type="http://schemas.openxmlformats.org/officeDocument/2006/relationships/hyperlink" Target="https://dailymed.nlm.nih.gov/dailymed/drugInfo.cfm?setid=04aafa6a-a50d-4a47-a831-be8e8bb992ac" TargetMode="External"/><Relationship Id="rId37" Type="http://schemas.openxmlformats.org/officeDocument/2006/relationships/hyperlink" Target="https://mhraproducts4853.blob.core.windows.net/docs/bb8555ee31d8ac21ce7ea2481563ab908752699c" TargetMode="External"/><Relationship Id="rId38" Type="http://schemas.openxmlformats.org/officeDocument/2006/relationships/hyperlink" Target="https://dailymed.nlm.nih.gov/dailymed/drugInfo.cfm?setid=c054a1c9-2aa7-473b-a04b-622596f36c95" TargetMode="External"/><Relationship Id="rId39" Type="http://schemas.openxmlformats.org/officeDocument/2006/relationships/hyperlink" Target="https://mhraproducts4853.blob.core.windows.net/docs/da6e39cbeb26faea8c72a05b7312c32134b623cd" TargetMode="External"/><Relationship Id="rId40" Type="http://schemas.openxmlformats.org/officeDocument/2006/relationships/hyperlink" Target="https://mhraproducts4853.blob.core.windows.net/docs/bb8555ee31d8ac21ce7ea2481563ab908752699c" TargetMode="External"/><Relationship Id="rId41" Type="http://schemas.openxmlformats.org/officeDocument/2006/relationships/hyperlink" Target="https://mhraproducts4853.blob.core.windows.net/docs/a9d1ffc9d457cfc0e43514aa459052215983758a" TargetMode="External"/><Relationship Id="rId42" Type="http://schemas.openxmlformats.org/officeDocument/2006/relationships/hyperlink" Target="https://www.geneesmiddeleninformatiebank.nl/smpc/h115403_smpc_en.pdf" TargetMode="External"/><Relationship Id="rId43" Type="http://schemas.openxmlformats.org/officeDocument/2006/relationships/hyperlink" Target="https://dailymed.nlm.nih.gov/dailymed/drugInfo.cfm?setid=21489401-f2a7-47d3-897a-4b7efa04dd7a" TargetMode="External"/><Relationship Id="rId44" Type="http://schemas.openxmlformats.org/officeDocument/2006/relationships/hyperlink" Target="https://mhraproducts4853.blob.core.windows.net/docs/5f7fabf03215a8e9cbd05bcdca2305b6839d7d56" TargetMode="External"/><Relationship Id="rId45" Type="http://schemas.openxmlformats.org/officeDocument/2006/relationships/hyperlink" Target="https://pi-pil-repository.sahpra.org.za/wp-content/uploads/2025/08/Final_PI-_ONBORT.pdf" TargetMode="External"/><Relationship Id="rId46" Type="http://schemas.openxmlformats.org/officeDocument/2006/relationships/hyperlink" Target="https://dailymed.nlm.nih.gov/dailymed/drugInfo.cfm?setid=c1cde9c7-b005-484f-8497-343c5ecd4f0a" TargetMode="External"/><Relationship Id="rId47" Type="http://schemas.openxmlformats.org/officeDocument/2006/relationships/hyperlink" Target="https://www.geneesmiddeleninformatiebank.nl/smpc/h115403_smpc_en.pdf" TargetMode="External"/><Relationship Id="rId48" Type="http://schemas.openxmlformats.org/officeDocument/2006/relationships/hyperlink" Target="https://dailymed.nlm.nih.gov/dailymed/drugInfo.cfm?setid=8a772acc-726d-40e6-88ee-b6075cbf9b28" TargetMode="External"/><Relationship Id="rId49" Type="http://schemas.openxmlformats.org/officeDocument/2006/relationships/hyperlink" Target="https://www.geneesmiddeleninformatiebank.nl/smpc/h115403_smpc_en.pdf" TargetMode="External"/><Relationship Id="rId50" Type="http://schemas.openxmlformats.org/officeDocument/2006/relationships/hyperlink" Target="https://dailymed.nlm.nih.gov/dailymed/drugInfo.cfm?setid=02aa374f-37b4-456a-b5de-cfd3bbb6ce6e" TargetMode="External"/><Relationship Id="rId51" Type="http://schemas.openxmlformats.org/officeDocument/2006/relationships/hyperlink" Target="https://www.geneesmiddeleninformatiebank.nl/smpc/h115403_smpc_en.pdf" TargetMode="External"/><Relationship Id="rId52" Type="http://schemas.openxmlformats.org/officeDocument/2006/relationships/hyperlink" Target="https://dailymed.nlm.nih.gov/dailymed/drugInfo.cfm?setid=40d48c5d-650e-461b-a67b-7e65772d1b92" TargetMode="External"/><Relationship Id="rId53" Type="http://schemas.openxmlformats.org/officeDocument/2006/relationships/hyperlink" Target="https://www.geneesmiddeleninformatiebank.nl/smpc/h115403_smpc_en.pdf" TargetMode="External"/><Relationship Id="rId54" Type="http://schemas.openxmlformats.org/officeDocument/2006/relationships/hyperlink" Target="https://dailymed.nlm.nih.gov/dailymed/drugInfo.cfm?setid=1aa0a4ee-1b39-4c3d-a7a3-33dded6fe28c" TargetMode="External"/><Relationship Id="rId55" Type="http://schemas.openxmlformats.org/officeDocument/2006/relationships/hyperlink" Target="https://www.geneesmiddeleninformatiebank.nl/smpc/h115403_smpc_en.pdf" TargetMode="External"/><Relationship Id="rId56" Type="http://schemas.openxmlformats.org/officeDocument/2006/relationships/hyperlink" Target="https://dailymed.nlm.nih.gov/dailymed/drugInfo.cfm?setid=bf921935-9740-458e-b786-69f76d8ad139" TargetMode="External"/><Relationship Id="rId57" Type="http://schemas.openxmlformats.org/officeDocument/2006/relationships/hyperlink" Target="https://www.geneesmiddeleninformatiebank.nl/smpc/h115403_smpc_en.pdf" TargetMode="External"/><Relationship Id="rId58" Type="http://schemas.openxmlformats.org/officeDocument/2006/relationships/hyperlink" Target="https://mhraproducts4853.blob.core.windows.net/docs/468e5b0a68665f15d3d30982865bab14c0c28588" TargetMode="External"/><Relationship Id="rId59" Type="http://schemas.openxmlformats.org/officeDocument/2006/relationships/hyperlink" Target="https://www.geneesmiddeleninformatiebank.nl/smpc/h115403_smpc_en.pdf" TargetMode="External"/><Relationship Id="rId60" Type="http://schemas.openxmlformats.org/officeDocument/2006/relationships/hyperlink" Target="https://dailymed.nlm.nih.gov/dailymed/drugInfo.cfm?setid=6564346c-661c-41cf-9cef-db6aa15710cd" TargetMode="External"/><Relationship Id="rId61" Type="http://schemas.openxmlformats.org/officeDocument/2006/relationships/hyperlink" Target="https://www.geneesmiddeleninformatiebank.nl/smpc/h115403_smpc_en.pdf" TargetMode="External"/><Relationship Id="rId62" Type="http://schemas.openxmlformats.org/officeDocument/2006/relationships/hyperlink" Target="https://dailymed.nlm.nih.gov/dailymed/drugInfo.cfm?setid=d8b5eb77-b393-4cd7-86c5-d2a9d131f96d" TargetMode="External"/><Relationship Id="rId63" Type="http://schemas.openxmlformats.org/officeDocument/2006/relationships/hyperlink" Target="https://mhraproducts4853.blob.core.windows.net/docs/d0f3c58f2a4c68c9ea1ecb8d0bc40104cd51541d" TargetMode="External"/><Relationship Id="rId64" Type="http://schemas.openxmlformats.org/officeDocument/2006/relationships/hyperlink" Target="https://dailymed.nlm.nih.gov/dailymed/drugInfo.cfm?setid=ffecf450-1f01-4721-8e10-251385852612" TargetMode="External"/><Relationship Id="rId65" Type="http://schemas.openxmlformats.org/officeDocument/2006/relationships/hyperlink" Target="https://dailymed.nlm.nih.gov/dailymed/drugInfo.cfm?setid=6a335659-03b0-4a2d-9cd4-7dcf7da96fe6" TargetMode="External"/><Relationship Id="rId66" Type="http://schemas.openxmlformats.org/officeDocument/2006/relationships/hyperlink" Target="https://dailymed.nlm.nih.gov/dailymed/drugInfo.cfm?setid=5c10e3a1-7806-40c7-afd2-4c420e141823" TargetMode="External"/><Relationship Id="rId67" Type="http://schemas.openxmlformats.org/officeDocument/2006/relationships/hyperlink" Target="https://dailymed.nlm.nih.gov/dailymed/drugInfo.cfm?setid=cd8d188a-fa5d-4580-bcb1-ac8617118cbb" TargetMode="External"/><Relationship Id="rId68" Type="http://schemas.openxmlformats.org/officeDocument/2006/relationships/hyperlink" Target="https://dailymed.nlm.nih.gov/dailymed/drugInfo.cfm?setid=d74a448c-ba91-4490-8550-9e675c39b427" TargetMode="External"/><Relationship Id="rId69" Type="http://schemas.openxmlformats.org/officeDocument/2006/relationships/hyperlink" Target="https://mhraproducts4853.blob.core.windows.net/docs/925bc4c8a8d4a507b955b633951acf444692f0ea" TargetMode="External"/><Relationship Id="rId70" Type="http://schemas.openxmlformats.org/officeDocument/2006/relationships/hyperlink" Target="https://dailymed.nlm.nih.gov/dailymed/drugInfo.cfm?setid=a4c3b724-8c36-4d18-86b1-5ecee40cfbf4" TargetMode="External"/><Relationship Id="rId71" Type="http://schemas.openxmlformats.org/officeDocument/2006/relationships/hyperlink" Target="https://dailymed.nlm.nih.gov/dailymed/drugInfo.cfm?setid=a5818647-d840-e9d7-c7b8-6541b485e44e" TargetMode="External"/><Relationship Id="rId72" Type="http://schemas.openxmlformats.org/officeDocument/2006/relationships/hyperlink" Target="https://mhraproducts4853.blob.core.windows.net/docs/4b78838f8f40ca9a987ad8fa476d2a1fdd3a37ff" TargetMode="External"/><Relationship Id="rId73" Type="http://schemas.openxmlformats.org/officeDocument/2006/relationships/hyperlink" Target="https://dailymed.nlm.nih.gov/dailymed/drugInfo.cfm?setid=ce9f0ea6-69f9-6b68-2811-3b51e34acea6" TargetMode="External"/><Relationship Id="rId74" Type="http://schemas.openxmlformats.org/officeDocument/2006/relationships/hyperlink" Target="https://dailymed.nlm.nih.gov/dailymed/drugInfo.cfm?setid=7ab50348-ca78-46a5-aba6-c35b6b21fbfe" TargetMode="External"/><Relationship Id="rId75" Type="http://schemas.openxmlformats.org/officeDocument/2006/relationships/hyperlink" Target="https://dailymed.nlm.nih.gov/dailymed/drugInfo.cfm?setid=a8a6acbf-81db-4fe3-aec8-ee7aa7af4d32" TargetMode="External"/><Relationship Id="rId76" Type="http://schemas.openxmlformats.org/officeDocument/2006/relationships/hyperlink" Target="https://dailymed.nlm.nih.gov/dailymed/drugInfo.cfm?setid=5da55538-2602-4704-a9da-603c9f7ff7dc" TargetMode="External"/><Relationship Id="rId77" Type="http://schemas.openxmlformats.org/officeDocument/2006/relationships/hyperlink" Target="https://dailymed.nlm.nih.gov/dailymed/drugInfo.cfm?setid=461f80d0-b66c-f093-e063-6294a90a8893" TargetMode="External"/><Relationship Id="rId78" Type="http://schemas.openxmlformats.org/officeDocument/2006/relationships/hyperlink" Target="https://dailymed.nlm.nih.gov/dailymed/drugInfo.cfm?setid=956b068f-5958-49eb-9c9f-3b6e324e77d2" TargetMode="External"/><Relationship Id="rId79" Type="http://schemas.openxmlformats.org/officeDocument/2006/relationships/hyperlink" Target="https://mhraproducts4853.blob.core.windows.net/docs/455258e3132909d570c60c827b6b3eba6db4e889" TargetMode="External"/><Relationship Id="rId80" Type="http://schemas.openxmlformats.org/officeDocument/2006/relationships/hyperlink" Target="https://www.ebs.tga.gov.au/servlet/xmlmillr6?dbid=ebs/PublicHTML/pdfStore.nsf&amp;docid=156640&amp;agid=(PrintDetailsPublic)&amp;actionid=1" TargetMode="External"/><Relationship Id="rId81" Type="http://schemas.openxmlformats.org/officeDocument/2006/relationships/hyperlink" Target="https://mhraproducts4853.blob.core.windows.net/docs/dd69aaa9ebc36b426539f90970d2d38630d8622a" TargetMode="External"/><Relationship Id="rId82" Type="http://schemas.openxmlformats.org/officeDocument/2006/relationships/hyperlink" Target="https://www.rxreasoner.com/drugs/cefect" TargetMode="External"/><Relationship Id="rId83" Type="http://schemas.openxmlformats.org/officeDocument/2006/relationships/hyperlink" Target="https://dailymed.nlm.nih.gov/dailymed/drugInfo.cfm?setid=5f3be096-5100-4d0e-b765-481bbb2672e1" TargetMode="External"/><Relationship Id="rId84" Type="http://schemas.openxmlformats.org/officeDocument/2006/relationships/hyperlink" Target="https://cima.aemps.es/cima/dochtml/ft/75148/FT_75148.html" TargetMode="External"/><Relationship Id="rId85" Type="http://schemas.openxmlformats.org/officeDocument/2006/relationships/hyperlink" Target="https://dailymed.nlm.nih.gov/dailymed/drugInfo.cfm?setid=60dd8694-58d8-d88e-26f2-f28baa53787e" TargetMode="External"/><Relationship Id="rId86" Type="http://schemas.openxmlformats.org/officeDocument/2006/relationships/hyperlink" Target="https://www.ebs.tga.gov.au/servlet/xmlmillr6?dbid=ebs/PublicHTML/pdfStore.nsf&amp;docid=170374&amp;agid=(PrintDetailsPublic)&amp;actionid=1" TargetMode="External"/><Relationship Id="rId87" Type="http://schemas.openxmlformats.org/officeDocument/2006/relationships/hyperlink" Target="https://dailymed.nlm.nih.gov/dailymed/drugInfo.cfm?setid=6b6ca65b-4ede-47b9-bbf3-05bb67c0c71d" TargetMode="External"/><Relationship Id="rId88" Type="http://schemas.openxmlformats.org/officeDocument/2006/relationships/hyperlink" Target="https://base-donnees-publique.medicaments.gouv.fr/affichageDoc.php?typedoc=R&amp;specid=64318859" TargetMode="External"/><Relationship Id="rId89" Type="http://schemas.openxmlformats.org/officeDocument/2006/relationships/hyperlink" Target="https://dailymed.nlm.nih.gov/dailymed/drugInfo.cfm?setid=eeb70724-065c-4a73-8e2e-d6b2a625e8d4" TargetMode="External"/><Relationship Id="rId90" Type="http://schemas.openxmlformats.org/officeDocument/2006/relationships/hyperlink" Target="https://www.ebs.tga.gov.au/servlet/xmlmillr6?dbid=ebs/PublicHTML/pdfStore.nsf&amp;docid=170892&amp;agid=(PrintDetailsPublic)&amp;actionid=1" TargetMode="External"/><Relationship Id="rId91" Type="http://schemas.openxmlformats.org/officeDocument/2006/relationships/hyperlink" Target="https://dailymed.nlm.nih.gov/dailymed/drugInfo.cfm?setid=f8e001f5-441c-47cd-86f6-5d5e3de16bc0" TargetMode="External"/><Relationship Id="rId92" Type="http://schemas.openxmlformats.org/officeDocument/2006/relationships/hyperlink" Target="https://mhraproducts4853.blob.core.windows.net/docs/8472f5b9e8869716ad12ef052d8bedebf43a4b5a" TargetMode="External"/><Relationship Id="rId93" Type="http://schemas.openxmlformats.org/officeDocument/2006/relationships/hyperlink" Target="https://mhraproducts4853.blob.core.windows.net/docs/7018eab6739c49237637d2451247cd04b8f31f20" TargetMode="External"/><Relationship Id="rId94" Type="http://schemas.openxmlformats.org/officeDocument/2006/relationships/hyperlink" Target="https://dailymed.nlm.nih.gov/dailymed/drugInfo.cfm?setid=147e033d-d997-4ef6-8bb5-a9ba372590b2" TargetMode="External"/><Relationship Id="rId95" Type="http://schemas.openxmlformats.org/officeDocument/2006/relationships/hyperlink" Target="https://mhraproducts4853.blob.core.windows.net/docs/e7eea076320f36d06f5583a2e7c147a08f1773c6" TargetMode="External"/><Relationship Id="rId96" Type="http://schemas.openxmlformats.org/officeDocument/2006/relationships/hyperlink" Target="https://mhraproducts4853.blob.core.windows.net/docs/1dd806a3b43b1cb3206cd238b17c784533bc42fe" TargetMode="External"/><Relationship Id="rId97" Type="http://schemas.openxmlformats.org/officeDocument/2006/relationships/hyperlink" Target="https://base-donnees-publique.medicaments.gouv.fr/affichageDoc.php?typedoc=R&amp;specid=62676989" TargetMode="External"/><Relationship Id="rId98" Type="http://schemas.openxmlformats.org/officeDocument/2006/relationships/hyperlink" Target="https://health-products.canada.ca/dpd-bdpp/info?lang=eng&amp;code=11096" TargetMode="External"/><Relationship Id="rId99" Type="http://schemas.openxmlformats.org/officeDocument/2006/relationships/hyperlink" Target="https://labeling.pfizer.com/ShowLabeling.aspx?id=7153" TargetMode="External"/><Relationship Id="rId100" Type="http://schemas.openxmlformats.org/officeDocument/2006/relationships/hyperlink" Target="https://drive.aifa.gov.it/farmaci/confezioni.csv" TargetMode="External"/><Relationship Id="rId101" Type="http://schemas.openxmlformats.org/officeDocument/2006/relationships/hyperlink" Target="https://dailymed.nlm.nih.gov/dailymed/drugInfo.cfm?setid=01fd19cd-190c-4989-b733-60ba95941297" TargetMode="External"/><Relationship Id="rId102" Type="http://schemas.openxmlformats.org/officeDocument/2006/relationships/hyperlink" Target="https://mhraproducts4853.blob.core.windows.net/docs/620992012871d9e5a72bdb1e861678d5901cf630" TargetMode="External"/><Relationship Id="rId103" Type="http://schemas.openxmlformats.org/officeDocument/2006/relationships/hyperlink" Target="https://dailymed.nlm.nih.gov/dailymed/drugInfo.cfm?setid=0a03c798-a652-4895-b29c-3b521a89ba42" TargetMode="External"/><Relationship Id="rId104" Type="http://schemas.openxmlformats.org/officeDocument/2006/relationships/hyperlink" Target="https://mhraproducts4853.blob.core.windows.net/docs/8aeba99a8f543f374d08351b5b996fa2b4d7f66c" TargetMode="External"/><Relationship Id="rId105" Type="http://schemas.openxmlformats.org/officeDocument/2006/relationships/hyperlink" Target="https://dailymed.nlm.nih.gov/dailymed/drugInfo.cfm?setid=3b36beb7-db94-4b07-8c81-bd2b601a6601" TargetMode="External"/><Relationship Id="rId106" Type="http://schemas.openxmlformats.org/officeDocument/2006/relationships/hyperlink" Target="https://dailymed.nlm.nih.gov/dailymed/drugInfo.cfm?setid=00ad7bbe-cadd-4647-b74b-adfc9f2b5e94" TargetMode="External"/><Relationship Id="rId107" Type="http://schemas.openxmlformats.org/officeDocument/2006/relationships/hyperlink" Target="https://base-donnees-publique.medicaments.gouv.fr/affichageDoc.php?typedoc=R&amp;specid=66127233" TargetMode="External"/><Relationship Id="rId108" Type="http://schemas.openxmlformats.org/officeDocument/2006/relationships/hyperlink" Target="https://dailymed.nlm.nih.gov/dailymed/drugInfo.cfm?setid=1038e984-3bf7-5bbf-f1ec-ce15ae330efc" TargetMode="External"/><Relationship Id="rId109" Type="http://schemas.openxmlformats.org/officeDocument/2006/relationships/hyperlink" Target="https://mhraproducts4853.blob.core.windows.net/docs/95551de6e371d1b1bed01d2b0a696de15b3e865e" TargetMode="External"/><Relationship Id="rId110" Type="http://schemas.openxmlformats.org/officeDocument/2006/relationships/hyperlink" Target="https://mhraproducts4853.blob.core.windows.net/docs/f4594f4c3cc23114acb072e65ac513664e1ab8d4" TargetMode="External"/><Relationship Id="rId111" Type="http://schemas.openxmlformats.org/officeDocument/2006/relationships/hyperlink" Target="https://dailymed.nlm.nih.gov/dailymed/drugInfo.cfm?setid=32d9f095-ca39-7e22-6264-b54f2daaee57" TargetMode="External"/><Relationship Id="rId112" Type="http://schemas.openxmlformats.org/officeDocument/2006/relationships/hyperlink" Target="https://dailymed.nlm.nih.gov/dailymed/drugInfo.cfm?setid=07e6144a-b460-4887-b8e2-dd371c14a55c" TargetMode="External"/><Relationship Id="rId113" Type="http://schemas.openxmlformats.org/officeDocument/2006/relationships/hyperlink" Target="https://dailymed.nlm.nih.gov/dailymed/drugInfo.cfm?setid=017023a9-00f0-4284-861f-a3634d4fdb17" TargetMode="External"/><Relationship Id="rId114" Type="http://schemas.openxmlformats.org/officeDocument/2006/relationships/hyperlink" Target="https://mhraproducts4853.blob.core.windows.net/docs/1e3efe74f99ebfa44e3ae295aff22c617a4e3f30" TargetMode="External"/><Relationship Id="rId115" Type="http://schemas.openxmlformats.org/officeDocument/2006/relationships/hyperlink" Target="https://dailymed.nlm.nih.gov/dailymed/drugInfo.cfm?setid=6564346c-661c-41cf-9cef-db6aa15710cd" TargetMode="External"/><Relationship Id="rId116" Type="http://schemas.openxmlformats.org/officeDocument/2006/relationships/hyperlink" Target="https://dailymed.nlm.nih.gov/dailymed/drugInfo.cfm?setid=45a15ba2-2aae-4edc-beaa-4a2357d87f32" TargetMode="External"/><Relationship Id="rId117" Type="http://schemas.openxmlformats.org/officeDocument/2006/relationships/hyperlink" Target="https://mhraproducts4853.blob.core.windows.net/docs/4113c6c3738a47332b81c6a02b324e142668494a" TargetMode="External"/><Relationship Id="rId118" Type="http://schemas.openxmlformats.org/officeDocument/2006/relationships/hyperlink" Target="https://dailymed.nlm.nih.gov/dailymed/drugInfo.cfm?setid=c0c5f94c-5f4d-43db-8cc2-ffc8a45b64cf" TargetMode="External"/><Relationship Id="rId119" Type="http://schemas.openxmlformats.org/officeDocument/2006/relationships/hyperlink" Target="https://dailymed.nlm.nih.gov/dailymed/drugInfo.cfm?setid=e24e7440-a958-6fd0-6bfe-1bd29e638657" TargetMode="External"/><Relationship Id="rId120" Type="http://schemas.openxmlformats.org/officeDocument/2006/relationships/hyperlink" Target="https://dailymed.nlm.nih.gov/dailymed/drugInfo.cfm?setid=7cd6dc0d-e98d-40ae-80d4-c15f63056abf" TargetMode="External"/><Relationship Id="rId121" Type="http://schemas.openxmlformats.org/officeDocument/2006/relationships/hyperlink" Target="https://dailymed.nlm.nih.gov/dailymed/drugInfo.cfm?setid=0820f15a-046b-4185-a2b3-2e4051ee3d82" TargetMode="External"/><Relationship Id="rId122" Type="http://schemas.openxmlformats.org/officeDocument/2006/relationships/hyperlink" Target="https://mhraproducts4853.blob.core.windows.net/docs/82a8e8a12348001cf20937cfdc9b77351ca8477f" TargetMode="External"/><Relationship Id="rId123" Type="http://schemas.openxmlformats.org/officeDocument/2006/relationships/hyperlink" Target="https://dailymed.nlm.nih.gov/dailymed/drugInfo.cfm?setid=6a335659-03b0-4a2d-9cd4-7dcf7da96fe6" TargetMode="External"/><Relationship Id="rId124" Type="http://schemas.openxmlformats.org/officeDocument/2006/relationships/hyperlink" Target="https://dailymed.nlm.nih.gov/dailymed/drugInfo.cfm?setid=97c33213-f415-4718-8466-9aa50371af70" TargetMode="External"/><Relationship Id="rId125" Type="http://schemas.openxmlformats.org/officeDocument/2006/relationships/hyperlink" Target="https://cima.aemps.es/cima/dochtml/ft/80899/FT_80899.html" TargetMode="External"/><Relationship Id="rId126" Type="http://schemas.openxmlformats.org/officeDocument/2006/relationships/hyperlink" Target="https://dailymed.nlm.nih.gov/dailymed/drugInfo.cfm?setid=aacf276b-e133-4199-ad3f-67b894744c04" TargetMode="External"/><Relationship Id="rId127" Type="http://schemas.openxmlformats.org/officeDocument/2006/relationships/hyperlink" Target="https://dailymed.nlm.nih.gov/dailymed/drugInfo.cfm?setid=e6712877-ace0-441c-99a9-adf567c0b9a2" TargetMode="External"/><Relationship Id="rId128" Type="http://schemas.openxmlformats.org/officeDocument/2006/relationships/hyperlink" Target="https://dailymed.nlm.nih.gov/dailymed/drugInfo.cfm?setid=7f05ab1e-aed4-4f87-b939-2dc9719aa34c" TargetMode="External"/><Relationship Id="rId129" Type="http://schemas.openxmlformats.org/officeDocument/2006/relationships/hyperlink" Target="https://mhraproducts4853.blob.core.windows.net/docs/e49904d5d2051c33d8104eab6cfc6a2fa8c43e61" TargetMode="External"/><Relationship Id="rId130" Type="http://schemas.openxmlformats.org/officeDocument/2006/relationships/hyperlink" Target="https://mhraproducts4853.blob.core.windows.net/docs/4daaeae927ce26807b7140b5958b51d0a2647d2e" TargetMode="External"/><Relationship Id="rId131" Type="http://schemas.openxmlformats.org/officeDocument/2006/relationships/hyperlink" Target="https://mhraproducts4853.blob.core.windows.net/docs/85397c6153545a566a96de5d7a5a7bcfbce50c3e" TargetMode="External"/><Relationship Id="rId132" Type="http://schemas.openxmlformats.org/officeDocument/2006/relationships/hyperlink" Target="https://dailymed.nlm.nih.gov/dailymed/drugInfo.cfm?setid=3adca34b-4f65-4e21-8058-3c01fc7fc9bb" TargetMode="External"/><Relationship Id="rId133" Type="http://schemas.openxmlformats.org/officeDocument/2006/relationships/hyperlink" Target="https://www.ema.europa.eu/en/documents/product-information/degarelix-accord-epar-product-information_en.pdf" TargetMode="External"/><Relationship Id="rId134" Type="http://schemas.openxmlformats.org/officeDocument/2006/relationships/hyperlink" Target="https://mhraproducts4853.blob.core.windows.net/docs/06788ea06546464bce35c66ad15e26a8abc06138" TargetMode="External"/><Relationship Id="rId135" Type="http://schemas.openxmlformats.org/officeDocument/2006/relationships/hyperlink" Target="https://www.ema.europa.eu/en/medicines/human/EPAR/xgeva" TargetMode="External"/><Relationship Id="rId136" Type="http://schemas.openxmlformats.org/officeDocument/2006/relationships/hyperlink" Target="https://dailymed.nlm.nih.gov/dailymed/drugInfo.cfm?setid=66d451fe-2436-494c-80c5-4528c8e34369" TargetMode="External"/><Relationship Id="rId137" Type="http://schemas.openxmlformats.org/officeDocument/2006/relationships/hyperlink" Target="https://mhraproducts4853.blob.core.windows.net/docs/34e104c5c0cb13b29bac10c994d30a1b4eac42e2" TargetMode="External"/><Relationship Id="rId138" Type="http://schemas.openxmlformats.org/officeDocument/2006/relationships/hyperlink" Target="https://dailymed.nlm.nih.gov/dailymed/drugInfo.cfm?setid=60dd8694-58d8-d88e-26f2-f28baa53787e" TargetMode="External"/><Relationship Id="rId139" Type="http://schemas.openxmlformats.org/officeDocument/2006/relationships/hyperlink" Target="https://dailymed.nlm.nih.gov/dailymed/drugInfo.cfm?setid=1f532edc-1a2c-4221-80dd-1ac158dd3a72" TargetMode="External"/><Relationship Id="rId140" Type="http://schemas.openxmlformats.org/officeDocument/2006/relationships/hyperlink" Target="https://dailymed.nlm.nih.gov/dailymed/drugInfo.cfm?setid=6b6ca65b-4ede-47b9-bbf3-05bb67c0c71d" TargetMode="External"/><Relationship Id="rId141" Type="http://schemas.openxmlformats.org/officeDocument/2006/relationships/hyperlink" Target="https://dailymed.nlm.nih.gov/dailymed/drugInfo.cfm?setid=79d023ab-7d77-48c1-8f47-ea322fd58c2b" TargetMode="External"/><Relationship Id="rId142" Type="http://schemas.openxmlformats.org/officeDocument/2006/relationships/hyperlink" Target="https://dailymed.nlm.nih.gov/dailymed/drugInfo.cfm?setid=2a633cef-6dfc-4186-b595-174db2d8330e" TargetMode="External"/><Relationship Id="rId143" Type="http://schemas.openxmlformats.org/officeDocument/2006/relationships/hyperlink" Target="https://dailymed.nlm.nih.gov/dailymed/drugInfo.cfm?setid=b471eb51-488e-5312-e053-2a95a90a8116" TargetMode="External"/><Relationship Id="rId144" Type="http://schemas.openxmlformats.org/officeDocument/2006/relationships/hyperlink" Target="https://medicaldialogues.in/amp/news/industry/pharma/lupin-secures-usfda-approval-for-diazepam-injection-usp-in-prefilled-syringes-176252" TargetMode="External"/><Relationship Id="rId145" Type="http://schemas.openxmlformats.org/officeDocument/2006/relationships/hyperlink" Target="https://dailymed.nlm.nih.gov/dailymed/drugInfo.cfm?setid=4ea8ae43-22ca-40c0-be72-c91a321cafd1" TargetMode="External"/><Relationship Id="rId146" Type="http://schemas.openxmlformats.org/officeDocument/2006/relationships/hyperlink" Target="https://mhraproducts4853.blob.core.windows.net/docs/c43283f4f5fe3bb7b26cf8988a8af88d32c13c93" TargetMode="External"/><Relationship Id="rId147" Type="http://schemas.openxmlformats.org/officeDocument/2006/relationships/hyperlink" Target="https://dailymed.nlm.nih.gov/dailymed/drugInfo.cfm?setid=c2981222-1671-4ecd-a5a2-286f0663f1ae" TargetMode="External"/><Relationship Id="rId148" Type="http://schemas.openxmlformats.org/officeDocument/2006/relationships/hyperlink" Target="https://dailymed.nlm.nih.gov/dailymed/drugInfo.cfm?setid=871797f0-697a-4a29-a37b-d06219e8f266" TargetMode="External"/><Relationship Id="rId149" Type="http://schemas.openxmlformats.org/officeDocument/2006/relationships/hyperlink" Target="https://www.ebs.tga.gov.au/ebs/picmi/picmirepository.nsf/pdf?OpenAgent&amp;id=CP-2017-PI-01601-1" TargetMode="External"/><Relationship Id="rId150" Type="http://schemas.openxmlformats.org/officeDocument/2006/relationships/hyperlink" Target="https://dailymed.nlm.nih.gov/dailymed/drugInfo.cfm?setid=783e9d68-2371-4fd4-8d7a-a5e36f8718d0" TargetMode="External"/><Relationship Id="rId151" Type="http://schemas.openxmlformats.org/officeDocument/2006/relationships/hyperlink" Target="https://mhraproducts4853.blob.core.windows.net/docs/6d5a76e0c14be3696eb7d7a5c38ab7fba2abf796" TargetMode="External"/><Relationship Id="rId152" Type="http://schemas.openxmlformats.org/officeDocument/2006/relationships/hyperlink" Target="https://health-products.canada.ca/dpd-bdpp/info?lang=eng&amp;code=101908" TargetMode="External"/><Relationship Id="rId153" Type="http://schemas.openxmlformats.org/officeDocument/2006/relationships/hyperlink" Target="https://dailymed.nlm.nih.gov/dailymed/drugInfo.cfm?setid=65df5d2d-79aa-41d4-866a-566e520320f7" TargetMode="External"/><Relationship Id="rId154" Type="http://schemas.openxmlformats.org/officeDocument/2006/relationships/hyperlink" Target="https://dailymed.nlm.nih.gov/dailymed/drugInfo.cfm?setid=1d1c41c1-8f5f-ee76-c890-4f1f2a3b2e96" TargetMode="External"/><Relationship Id="rId155" Type="http://schemas.openxmlformats.org/officeDocument/2006/relationships/hyperlink" Target="https://dailymed.nlm.nih.gov/dailymed/drugInfo.cfm?setid=1a0e38cb-fd9f-4962-9f81-5c0023ca6b4c" TargetMode="External"/><Relationship Id="rId156" Type="http://schemas.openxmlformats.org/officeDocument/2006/relationships/hyperlink" Target="https://www.geneesmiddeleninformatiebank.nl/bijsluiters/h132671_piluk.pdf" TargetMode="External"/><Relationship Id="rId157" Type="http://schemas.openxmlformats.org/officeDocument/2006/relationships/hyperlink" Target="https://dailymed.nlm.nih.gov/dailymed/drugInfo.cfm?setid=8396ea96-7cb5-4e26-87a4-90bca9c3c6dd" TargetMode="External"/><Relationship Id="rId158" Type="http://schemas.openxmlformats.org/officeDocument/2006/relationships/hyperlink" Target="https://health-products.canada.ca/dpd-bdpp/info?lang=eng&amp;code=98213" TargetMode="External"/><Relationship Id="rId159" Type="http://schemas.openxmlformats.org/officeDocument/2006/relationships/hyperlink" Target="https://dailymed.nlm.nih.gov/dailymed/drugInfo.cfm?setid=e08d8b6c-a184-4dd5-84ef-bac90e4b1c33" TargetMode="External"/><Relationship Id="rId160" Type="http://schemas.openxmlformats.org/officeDocument/2006/relationships/hyperlink" Target="https://health-products.canada.ca/dpd-bdpp/info?lang=eng&amp;code=100038" TargetMode="External"/><Relationship Id="rId161" Type="http://schemas.openxmlformats.org/officeDocument/2006/relationships/hyperlink" Target="https://dailymed.nlm.nih.gov/dailymed/drugInfo.cfm?setid=451d6d04-b7d9-47d9-ba71-43cc5b9b3054" TargetMode="External"/><Relationship Id="rId162" Type="http://schemas.openxmlformats.org/officeDocument/2006/relationships/hyperlink" Target="https://www.mydynamics.co.za/wp-content/uploads/2022/09/Invabex-B4082.pdf" TargetMode="External"/><Relationship Id="rId163" Type="http://schemas.openxmlformats.org/officeDocument/2006/relationships/hyperlink" Target="https://dailymed.nlm.nih.gov/dailymed/drugInfo.cfm?setid=a3087a39-f218-4f16-a1e7-17c39bb2eb69" TargetMode="External"/><Relationship Id="rId164" Type="http://schemas.openxmlformats.org/officeDocument/2006/relationships/hyperlink" Target="https://www.ebs.tga.gov.au/ebs/picmi/picmirepository.nsf/pdf?OpenAgent&amp;id=CP-2020-PI-01039-1" TargetMode="External"/><Relationship Id="rId165" Type="http://schemas.openxmlformats.org/officeDocument/2006/relationships/hyperlink" Target="https://mhraproducts4853.blob.core.windows.net/docs/51e482dd059a807e5b4653144bcf38d462300c8b" TargetMode="External"/><Relationship Id="rId166" Type="http://schemas.openxmlformats.org/officeDocument/2006/relationships/hyperlink" Target="https://mhraproducts4853.blob.core.windows.net/docs/8d4d9e19ffaeb852dc6209267771c728a730e3f3" TargetMode="External"/><Relationship Id="rId167" Type="http://schemas.openxmlformats.org/officeDocument/2006/relationships/hyperlink" Target="https://mhraproducts4853.blob.core.windows.net/docs/13be69adbff91eaa9def74b5879135500983c712" TargetMode="External"/><Relationship Id="rId168" Type="http://schemas.openxmlformats.org/officeDocument/2006/relationships/hyperlink" Target="https://mhraproducts4853.blob.core.windows.net/docs/ee3f61b3404bdcfddf370e87a4fe2c5fd1bed0b9" TargetMode="External"/><Relationship Id="rId169" Type="http://schemas.openxmlformats.org/officeDocument/2006/relationships/hyperlink" Target="https://dailymed.nlm.nih.gov/dailymed/drugInfo.cfm?setid=7c20b574-285b-49eb-a98e-6752e4bb481d" TargetMode="External"/><Relationship Id="rId170" Type="http://schemas.openxmlformats.org/officeDocument/2006/relationships/hyperlink" Target="https://mhraproducts4853.blob.core.windows.net/docs/201d2a0d9aa57a3569065fb673031d38f685075d" TargetMode="External"/><Relationship Id="rId171" Type="http://schemas.openxmlformats.org/officeDocument/2006/relationships/hyperlink" Target="https://dailymed.nlm.nih.gov/dailymed/drugInfo.cfm?setid=1f532edc-1a2c-4221-80dd-1ac158dd3a72" TargetMode="External"/><Relationship Id="rId172" Type="http://schemas.openxmlformats.org/officeDocument/2006/relationships/hyperlink" Target="https://mhraproducts4853.blob.core.windows.net/docs/1ed164cb6fbb995109a5ba6e7b3165176762216e" TargetMode="External"/><Relationship Id="rId173" Type="http://schemas.openxmlformats.org/officeDocument/2006/relationships/hyperlink" Target="https://dailymed.nlm.nih.gov/dailymed/drugInfo.cfm?setid=b2de0c9a-0065-4f2c-9983-add39525f3a3" TargetMode="External"/><Relationship Id="rId174" Type="http://schemas.openxmlformats.org/officeDocument/2006/relationships/hyperlink" Target="https://dailymed.nlm.nih.gov/dailymed/drugInfo.cfm?setid=8d7ba627-cf3f-4b94-aee8-8b44cc9400be" TargetMode="External"/><Relationship Id="rId175" Type="http://schemas.openxmlformats.org/officeDocument/2006/relationships/hyperlink" Target="https://dailymed.nlm.nih.gov/dailymed/drugInfo.cfm?setid=626dc9e5-c6b4-4f9c-9bf4-774fd3ae619a" TargetMode="External"/><Relationship Id="rId176" Type="http://schemas.openxmlformats.org/officeDocument/2006/relationships/hyperlink" Target="https://www.patienteninfo-service.de/gi/20466/html" TargetMode="External"/><Relationship Id="rId177" Type="http://schemas.openxmlformats.org/officeDocument/2006/relationships/hyperlink" Target="https://dailymed.nlm.nih.gov/dailymed/drugInfo.cfm?setid=f724120d-da28-4065-9e05-d7dd6afbb546" TargetMode="External"/><Relationship Id="rId178" Type="http://schemas.openxmlformats.org/officeDocument/2006/relationships/hyperlink" Target="https://dailymed.nlm.nih.gov/dailymed/search.cfm?labeltype=all&amp;query=fulvestrant" TargetMode="External"/><Relationship Id="rId179" Type="http://schemas.openxmlformats.org/officeDocument/2006/relationships/hyperlink" Target="https://dailymed.nlm.nih.gov/dailymed/drugInfo.cfm?setid=11da176a-99bc-4ada-8b3f-6bd2b37a6313" TargetMode="External"/><Relationship Id="rId180" Type="http://schemas.openxmlformats.org/officeDocument/2006/relationships/hyperlink" Target="https://dailymed.nlm.nih.gov/dailymed/search.cfm?labeltype=all&amp;query=fulvestrant" TargetMode="External"/><Relationship Id="rId181" Type="http://schemas.openxmlformats.org/officeDocument/2006/relationships/hyperlink" Target="https://mhraproducts4853.blob.core.windows.net/docs/2570307a3085ad81ffb51a26c670a4968681f7e9"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drugInfo.cfm?setid=0a9234b7-46b1-8e6c-a992-90f86cfb6e00" TargetMode="External"/><Relationship Id="rId184" Type="http://schemas.openxmlformats.org/officeDocument/2006/relationships/hyperlink" Target="https://mhraproducts4853.blob.core.windows.net/docs/7a8fe1e86f394f14dd27119a87ad9196daa418be" TargetMode="External"/><Relationship Id="rId185" Type="http://schemas.openxmlformats.org/officeDocument/2006/relationships/hyperlink" Target="https://dailymed.nlm.nih.gov/dailymed/search.cfm?labeltype=all&amp;query=fulvestrant" TargetMode="External"/><Relationship Id="rId186" Type="http://schemas.openxmlformats.org/officeDocument/2006/relationships/hyperlink" Target="https://mhraproducts4853.blob.core.windows.net/docs/4d6a2b8a7eed24427d497672070733ad0dc2f1aa" TargetMode="External"/><Relationship Id="rId187" Type="http://schemas.openxmlformats.org/officeDocument/2006/relationships/hyperlink" Target="https://dailymed.nlm.nih.gov/dailymed/drugInfo.cfm?setid=2177b6fe-aa37-6f6b-e063-6294a90af09a" TargetMode="External"/><Relationship Id="rId188" Type="http://schemas.openxmlformats.org/officeDocument/2006/relationships/hyperlink" Target="https://dailymed.nlm.nih.gov/dailymed/search.cfm?labeltype=all&amp;query=fulvestrant" TargetMode="External"/><Relationship Id="rId189" Type="http://schemas.openxmlformats.org/officeDocument/2006/relationships/hyperlink" Target="https://dailymed.nlm.nih.gov/dailymed/drugInfo.cfm?setid=c2b5be20-cc6f-4221-9d3e-3f8b5886cd05" TargetMode="External"/><Relationship Id="rId190" Type="http://schemas.openxmlformats.org/officeDocument/2006/relationships/hyperlink" Target="https://dailymed.nlm.nih.gov/dailymed/search.cfm?labeltype=all&amp;query=fulvestrant" TargetMode="External"/><Relationship Id="rId191" Type="http://schemas.openxmlformats.org/officeDocument/2006/relationships/hyperlink" Target="https://dailymed.nlm.nih.gov/dailymed/drugInfo.cfm?setid=647ca293-9e68-4773-947a-0fb064aa6fd1" TargetMode="External"/><Relationship Id="rId192" Type="http://schemas.openxmlformats.org/officeDocument/2006/relationships/hyperlink" Target="https://dailymed.nlm.nih.gov/dailymed/search.cfm?labeltype=all&amp;query=fulvestrant" TargetMode="External"/><Relationship Id="rId193" Type="http://schemas.openxmlformats.org/officeDocument/2006/relationships/hyperlink" Target="https://mhraproducts4853.blob.core.windows.net/docs/6137d0826ea9251c4cd7449204eef9e37c09728b" TargetMode="External"/><Relationship Id="rId194" Type="http://schemas.openxmlformats.org/officeDocument/2006/relationships/hyperlink" Target="https://dailymed.nlm.nih.gov/dailymed/search.cfm?labeltype=all&amp;query=fulvestrant" TargetMode="External"/><Relationship Id="rId195" Type="http://schemas.openxmlformats.org/officeDocument/2006/relationships/hyperlink" Target="https://dailymed.nlm.nih.gov/dailymed/drugInfo.cfm?setid=0655670a-d127-4e08-8a23-ace64b2503b2" TargetMode="External"/><Relationship Id="rId196" Type="http://schemas.openxmlformats.org/officeDocument/2006/relationships/hyperlink" Target="https://dailymed.nlm.nih.gov/dailymed/search.cfm?labeltype=all&amp;query=fulvestrant" TargetMode="External"/><Relationship Id="rId197" Type="http://schemas.openxmlformats.org/officeDocument/2006/relationships/hyperlink" Target="https://dailymed.nlm.nih.gov/dailymed/drugInfo.cfm?setid=bd5e4db5-8787-4428-2cb6-ef6f8a5e08af" TargetMode="External"/><Relationship Id="rId198" Type="http://schemas.openxmlformats.org/officeDocument/2006/relationships/hyperlink" Target="https://mhraproducts4853.blob.core.windows.net/docs/b72d32face7ce61d71696787ed3106ac25618280" TargetMode="External"/><Relationship Id="rId199" Type="http://schemas.openxmlformats.org/officeDocument/2006/relationships/hyperlink" Target="https://dailymed.nlm.nih.gov/dailymed/drugInfo.cfm?setid=eaebb511-1738-4d11-b9bb-317a8d41316a" TargetMode="External"/><Relationship Id="rId200" Type="http://schemas.openxmlformats.org/officeDocument/2006/relationships/hyperlink" Target="https://dailymed.nlm.nih.gov/dailymed/drugInfo.cfm?setid=bf1d3433-9e3f-40a0-8bff-c8ceaa8bab7c" TargetMode="External"/><Relationship Id="rId201" Type="http://schemas.openxmlformats.org/officeDocument/2006/relationships/hyperlink" Target="https://mhraproducts4853.blob.core.windows.net/docs/9ae7aeea49bf816c85c6e16440c212622827183e" TargetMode="External"/><Relationship Id="rId202" Type="http://schemas.openxmlformats.org/officeDocument/2006/relationships/hyperlink" Target="https://mhraproducts4853.blob.core.windows.net/docs/c39d08ff0acc6dc6d5b1523ab09699a21e4f0137" TargetMode="External"/><Relationship Id="rId203" Type="http://schemas.openxmlformats.org/officeDocument/2006/relationships/hyperlink" Target="https://dailymed.nlm.nih.gov/dailymed/drugInfo.cfm?setid=49e9c804-9e88-4774-8faf-35bd61b3a8e9" TargetMode="External"/><Relationship Id="rId204" Type="http://schemas.openxmlformats.org/officeDocument/2006/relationships/hyperlink" Target="https://mhraproducts4853.blob.core.windows.net/docs/23dcd067131a54c6fa73c5557a0dab034764ccf5" TargetMode="External"/><Relationship Id="rId205" Type="http://schemas.openxmlformats.org/officeDocument/2006/relationships/hyperlink" Target="https://dailymed.nlm.nih.gov/dailymed/drugInfo.cfm?setid=6d2d7612-ad47-4ee7-a42c-945c976d947b" TargetMode="External"/><Relationship Id="rId206" Type="http://schemas.openxmlformats.org/officeDocument/2006/relationships/hyperlink" Target="https://mhraproducts4853.blob.core.windows.net/docs/6bf77bfee94fc37f9ea2cc41e9601b5d4e59322f" TargetMode="External"/><Relationship Id="rId207" Type="http://schemas.openxmlformats.org/officeDocument/2006/relationships/hyperlink" Target="https://mhraproducts4853.blob.core.windows.net/docs/04229266643a571563250bd73f7732fba1560cbb" TargetMode="External"/><Relationship Id="rId208" Type="http://schemas.openxmlformats.org/officeDocument/2006/relationships/hyperlink" Target="https://dailymed.nlm.nih.gov/dailymed/drugInfo.cfm?setid=f76d4ab9-2f6c-420b-afec-b9cdfdc083ce" TargetMode="External"/><Relationship Id="rId209" Type="http://schemas.openxmlformats.org/officeDocument/2006/relationships/hyperlink" Target="https://dailymed.nlm.nih.gov/dailymed/drugInfo.cfm?setid=e08d8b6c-a184-4dd5-84ef-bac90e4b1c33" TargetMode="External"/><Relationship Id="rId210" Type="http://schemas.openxmlformats.org/officeDocument/2006/relationships/hyperlink" Target="https://dailymed.nlm.nih.gov/dailymed/drugInfo.cfm?setid=dd035a9f-cd40-4314-b9d8-2294b8a924e2" TargetMode="External"/><Relationship Id="rId211" Type="http://schemas.openxmlformats.org/officeDocument/2006/relationships/hyperlink" Target="https://dailymed.nlm.nih.gov/dailymed/drugInfo.cfm?setid=451d6d04-b7d9-47d9-ba71-43cc5b9b3054" TargetMode="External"/><Relationship Id="rId212" Type="http://schemas.openxmlformats.org/officeDocument/2006/relationships/hyperlink" Target="https://dailymed.nlm.nih.gov/dailymed/drugInfo.cfm?setid=a0cbcdb5-f657-49f7-8f86-cc5959d69db0" TargetMode="External"/><Relationship Id="rId213" Type="http://schemas.openxmlformats.org/officeDocument/2006/relationships/hyperlink" Target="https://dailymed.nlm.nih.gov/dailymed/drugInfo.cfm?setid=451d6d04-b7d9-47d9-ba71-43cc5b9b3054" TargetMode="External"/><Relationship Id="rId214" Type="http://schemas.openxmlformats.org/officeDocument/2006/relationships/hyperlink" Target="https://dailymed.nlm.nih.gov/dailymed/drugInfo.cfm?setid=23f4df96-1151-4815-8f01-4d79e5aa2145" TargetMode="External"/><Relationship Id="rId215" Type="http://schemas.openxmlformats.org/officeDocument/2006/relationships/hyperlink" Target="https://dailymed.nlm.nih.gov/dailymed/drugInfo.cfm?setid=37534164-9de5-4bb3-9f87-341dfcf90883" TargetMode="External"/><Relationship Id="rId216" Type="http://schemas.openxmlformats.org/officeDocument/2006/relationships/hyperlink" Target="https://dailymed.nlm.nih.gov/dailymed/drugInfo.cfm?setid=4e489fab-75bc-4514-9bf2-85b8ed08a1b0" TargetMode="External"/><Relationship Id="rId217" Type="http://schemas.openxmlformats.org/officeDocument/2006/relationships/hyperlink" Target="https://mhraproducts4853.blob.core.windows.net/docs/d43a7f71f48565822fee9785a9f23d1c36290a30" TargetMode="External"/><Relationship Id="rId218" Type="http://schemas.openxmlformats.org/officeDocument/2006/relationships/hyperlink" Target="https://mhraproducts4853.blob.core.windows.net/docs/bee3b79e5009a9c90b9c1e2b44a7588befda1f1b" TargetMode="External"/><Relationship Id="rId219" Type="http://schemas.openxmlformats.org/officeDocument/2006/relationships/hyperlink" Target="https://dailymed.nlm.nih.gov/dailymed/drugInfo.cfm?setid=cbf0f6ba-3a53-4791-9a85-5c6b271eeb8e" TargetMode="External"/><Relationship Id="rId220" Type="http://schemas.openxmlformats.org/officeDocument/2006/relationships/hyperlink" Target="https://mhraproducts4853.blob.core.windows.net/docs/deb4340f48c538ddac710a914581a07ba8ad754b" TargetMode="External"/><Relationship Id="rId221" Type="http://schemas.openxmlformats.org/officeDocument/2006/relationships/hyperlink" Target="https://mhraproducts4853.blob.core.windows.net/docs/a59d41ba1edb90eeb695d447eeb35327147df3f6" TargetMode="External"/><Relationship Id="rId222" Type="http://schemas.openxmlformats.org/officeDocument/2006/relationships/hyperlink" Target="https://dailymed.nlm.nih.gov/dailymed/drugInfo.cfm?setid=fcb8ef8a-f770-4416-8fc5-fa01d98c8eee" TargetMode="External"/><Relationship Id="rId223" Type="http://schemas.openxmlformats.org/officeDocument/2006/relationships/hyperlink" Target="https://dailymed.nlm.nih.gov/dailymed/drugInfo.cfm?setid=edf5b8f3-8542-42f7-bc08-f71843c1be4c" TargetMode="External"/><Relationship Id="rId224" Type="http://schemas.openxmlformats.org/officeDocument/2006/relationships/hyperlink" Target="https://dailymed.nlm.nih.gov/dailymed/drugInfo.cfm?setid=582f42e5-444e-4246-af8c-e7e28097c69a" TargetMode="External"/><Relationship Id="rId225" Type="http://schemas.openxmlformats.org/officeDocument/2006/relationships/hyperlink" Target="https://dailymed.nlm.nih.gov/dailymed/drugInfo.cfm?setid=f724120d-da28-4065-9e05-d7dd6afbb546" TargetMode="External"/><Relationship Id="rId226" Type="http://schemas.openxmlformats.org/officeDocument/2006/relationships/hyperlink" Target="https://dailymed.nlm.nih.gov/dailymed/drugInfo.cfm?setid=34821770-929c-40ea-a9e4-d4405dc869e1" TargetMode="External"/><Relationship Id="rId227" Type="http://schemas.openxmlformats.org/officeDocument/2006/relationships/hyperlink" Target="https://dailymed.nlm.nih.gov/dailymed/drugInfo.cfm?setid=d140b27a-3bf7-4e0f-bb91-02b588184f52" TargetMode="External"/><Relationship Id="rId228" Type="http://schemas.openxmlformats.org/officeDocument/2006/relationships/hyperlink" Target="https://dailymed.nlm.nih.gov/dailymed/drugInfo.cfm?setid=b1303f15-c48b-a44d-b28a-72f370094e02" TargetMode="External"/><Relationship Id="rId229" Type="http://schemas.openxmlformats.org/officeDocument/2006/relationships/hyperlink" Target="https://dailymed.nlm.nih.gov/dailymed/services/v2/spls.json?drug_name=isoproterenol&amp;pagesize=100" TargetMode="External"/><Relationship Id="rId230" Type="http://schemas.openxmlformats.org/officeDocument/2006/relationships/hyperlink" Target="https://mhraproducts4853.blob.core.windows.net/docs/c1a527395c406fbf88130971c80a4e1c80383b39" TargetMode="External"/><Relationship Id="rId231" Type="http://schemas.openxmlformats.org/officeDocument/2006/relationships/hyperlink" Target="https://dailymed.nlm.nih.gov/dailymed/drugInfo.cfm?setid=088f96eb-20b8-48f8-ac83-329f75a44ce1" TargetMode="External"/><Relationship Id="rId232" Type="http://schemas.openxmlformats.org/officeDocument/2006/relationships/hyperlink" Target="https://www.ebs.tga.gov.au/servlet/xmlmillr6?dbid=ebs/PublicHTML/pdfStore.nsf&amp;docid=358314&amp;agid=(PrintDetailsPublic)&amp;actionid=1" TargetMode="External"/><Relationship Id="rId233" Type="http://schemas.openxmlformats.org/officeDocument/2006/relationships/hyperlink" Target="https://dailymed.nlm.nih.gov/dailymed/drugInfo.cfm?setid=387d7f8d-9762-4f6b-99e1-bdc50b8a1633" TargetMode="External"/><Relationship Id="rId234" Type="http://schemas.openxmlformats.org/officeDocument/2006/relationships/hyperlink" Target="https://dailymed.nlm.nih.gov/dailymed/drugInfo.cfm?setid=2892b4c3-0329-4d29-97ff-3b45283bbab1" TargetMode="External"/><Relationship Id="rId235" Type="http://schemas.openxmlformats.org/officeDocument/2006/relationships/hyperlink" Target="https://dailymed.nlm.nih.gov/dailymed/drugInfo.cfm?setid=c1387008-6dc4-4f1e-ae29-fa7a0f0be684" TargetMode="External"/><Relationship Id="rId236" Type="http://schemas.openxmlformats.org/officeDocument/2006/relationships/hyperlink" Target="https://www.ema.europa.eu/en/documents/product-information/camcevi-epar-product-information_en.pdf" TargetMode="External"/><Relationship Id="rId237" Type="http://schemas.openxmlformats.org/officeDocument/2006/relationships/hyperlink" Target="https://dailymed.nlm.nih.gov/dailymed/drugInfo.cfm?setid=35e0d160-813f-41d7-a382-d2cab6485d9c" TargetMode="External"/><Relationship Id="rId238" Type="http://schemas.openxmlformats.org/officeDocument/2006/relationships/hyperlink" Target="https://dailymed.nlm.nih.gov/dailymed/drugInfo.cfm?setid=20c0e8af-a78f-47f8-ace4-06b80def7003" TargetMode="External"/><Relationship Id="rId239" Type="http://schemas.openxmlformats.org/officeDocument/2006/relationships/hyperlink" Target="https://dailymed.nlm.nih.gov/dailymed/drugInfo.cfm?setid=81e90279-9889-47bd-974b-334c181f295c" TargetMode="External"/><Relationship Id="rId240" Type="http://schemas.openxmlformats.org/officeDocument/2006/relationships/hyperlink" Target="https://dailymed.nlm.nih.gov/dailymed/drugInfo.cfm?setid=647ca293-9e68-4773-947a-0fb064aa6fd1" TargetMode="External"/><Relationship Id="rId241" Type="http://schemas.openxmlformats.org/officeDocument/2006/relationships/hyperlink" Target="https://dailymed.nlm.nih.gov/dailymed/drugInfo.cfm?setid=18fe8365-86e3-414e-84dc-c98e097a2f36" TargetMode="External"/><Relationship Id="rId242" Type="http://schemas.openxmlformats.org/officeDocument/2006/relationships/hyperlink" Target="https://www.seruminstitute.com/product_viral_measles.php" TargetMode="External"/><Relationship Id="rId243" Type="http://schemas.openxmlformats.org/officeDocument/2006/relationships/hyperlink" Target="https://dailymed.nlm.nih.gov/dailymed/drugInfo.cfm?setid=0c12c77c-5fd4-48dc-a318-e96892233992" TargetMode="External"/><Relationship Id="rId244" Type="http://schemas.openxmlformats.org/officeDocument/2006/relationships/hyperlink" Target="https://mhraproducts4853.blob.core.windows.net/docs/83e81cb065e8691917e531d50b1da4f1dae928b6" TargetMode="External"/><Relationship Id="rId245" Type="http://schemas.openxmlformats.org/officeDocument/2006/relationships/hyperlink" Target="https://dailymed.nlm.nih.gov/dailymed/drugInfo.cfm?setid=0655670a-d127-4e08-8a23-ace64b2503b2" TargetMode="External"/><Relationship Id="rId246" Type="http://schemas.openxmlformats.org/officeDocument/2006/relationships/hyperlink" Target="https://dailymed.nlm.nih.gov/dailymed/drugInfo.cfm?setid=6cd61892-d2cb-434d-83ed-5c1b2c4e7a0b" TargetMode="External"/><Relationship Id="rId247" Type="http://schemas.openxmlformats.org/officeDocument/2006/relationships/hyperlink" Target="https://dailymed.nlm.nih.gov/dailymed/drugInfo.cfm?setid=0655670a-d127-4e08-8a23-ace64b2503b2" TargetMode="External"/><Relationship Id="rId248" Type="http://schemas.openxmlformats.org/officeDocument/2006/relationships/hyperlink" Target="https://dailymed.nlm.nih.gov/dailymed/drugInfo.cfm?setid=37e7ef89-fd77-44e0-9271-ae91f8822603" TargetMode="External"/><Relationship Id="rId249" Type="http://schemas.openxmlformats.org/officeDocument/2006/relationships/hyperlink" Target="https://mhraproducts4853.blob.core.windows.net/docs/f22c15840604c663970f7da2a79614ac40bca62c" TargetMode="External"/><Relationship Id="rId250" Type="http://schemas.openxmlformats.org/officeDocument/2006/relationships/hyperlink" Target="https://dailymed.nlm.nih.gov/dailymed/drugInfo.cfm?setid=6fb09acf-4937-47a0-a9da-084ec062da6f" TargetMode="External"/><Relationship Id="rId251" Type="http://schemas.openxmlformats.org/officeDocument/2006/relationships/hyperlink" Target="https://dailymed.nlm.nih.gov/dailymed/drugInfo.cfm?setid=a9e5fac6-2db6-4311-a98b-eb3f0dde19d6" TargetMode="External"/><Relationship Id="rId252" Type="http://schemas.openxmlformats.org/officeDocument/2006/relationships/hyperlink" Target="https://mhraproducts4853.blob.core.windows.net/docs/9fc4a882e1f84fc1af4503edf9a3e048a47e9f53" TargetMode="External"/><Relationship Id="rId253" Type="http://schemas.openxmlformats.org/officeDocument/2006/relationships/hyperlink" Target="https://dailymed.nlm.nih.gov/dailymed/drugInfo.cfm?setid=a63364d5-4dfa-49d7-8a5e-c8959ae1d37a" TargetMode="External"/><Relationship Id="rId254" Type="http://schemas.openxmlformats.org/officeDocument/2006/relationships/hyperlink" Target="https://dailymed.nlm.nih.gov/dailymed/drugInfo.cfm?setid=2b7c7587-2042-0d9c-e054-00144ff88e88" TargetMode="External"/><Relationship Id="rId255" Type="http://schemas.openxmlformats.org/officeDocument/2006/relationships/hyperlink" Target="https://mhraproducts4853.blob.core.windows.net/docs/5c26c6a145bca6fbb3eda47073599ced86713a2f" TargetMode="External"/><Relationship Id="rId256" Type="http://schemas.openxmlformats.org/officeDocument/2006/relationships/hyperlink" Target="https://dailymed.nlm.nih.gov/dailymed/drugInfo.cfm?setid=63bb6fbf-dd59-4edc-af8f-d0c397ca1262" TargetMode="External"/><Relationship Id="rId257" Type="http://schemas.openxmlformats.org/officeDocument/2006/relationships/hyperlink" Target="https://dailymed.nlm.nih.gov/dailymed/drugInfo.cfm?setid=77a8576f-b91e-42ce-b613-2fa3c3d4a571" TargetMode="External"/><Relationship Id="rId258" Type="http://schemas.openxmlformats.org/officeDocument/2006/relationships/hyperlink" Target="https://www.vademecum.es/mexico/equivalencias/1631576/metogist-solucion-inyectable-50-mg-2-ml" TargetMode="External"/><Relationship Id="rId259" Type="http://schemas.openxmlformats.org/officeDocument/2006/relationships/hyperlink" Target="https://dailymed.nlm.nih.gov/dailymed/drugInfo.cfm?setid=5c14fbf2-e21f-44b3-b35c-06919d40d7e0" TargetMode="External"/><Relationship Id="rId260" Type="http://schemas.openxmlformats.org/officeDocument/2006/relationships/hyperlink" Target="https://dailymed.nlm.nih.gov/dailymed/search.cfm?labeltype=all&amp;query=methotrexate+injection" TargetMode="External"/><Relationship Id="rId261" Type="http://schemas.openxmlformats.org/officeDocument/2006/relationships/hyperlink" Target="https://mhraproducts4853.blob.core.windows.net/docs/55fa24b0655197623f40fdf9c0e1d849154bfa80" TargetMode="External"/><Relationship Id="rId262" Type="http://schemas.openxmlformats.org/officeDocument/2006/relationships/hyperlink" Target="https://health-products.canada.ca/dpd-bdpp/info?lang=eng&amp;code=12889" TargetMode="External"/><Relationship Id="rId263" Type="http://schemas.openxmlformats.org/officeDocument/2006/relationships/hyperlink" Target="https://dailymed.nlm.nih.gov/dailymed/drugInfo.cfm?setid=a0cbcdb5-f657-49f7-8f86-cc5959d69db0" TargetMode="External"/><Relationship Id="rId264" Type="http://schemas.openxmlformats.org/officeDocument/2006/relationships/hyperlink" Target="https://dailymed.nlm.nih.gov/dailymed/drugInfo.cfm?setid=6922f32f-8bed-4c09-8103-27987bcbd104" TargetMode="External"/><Relationship Id="rId265" Type="http://schemas.openxmlformats.org/officeDocument/2006/relationships/hyperlink" Target="https://mhraproducts4853.blob.core.windows.net/docs/68c2c150f8fa51582b721bd46359383772e1a5c8" TargetMode="External"/><Relationship Id="rId266" Type="http://schemas.openxmlformats.org/officeDocument/2006/relationships/hyperlink" Target="https://dailymed.nlm.nih.gov/dailymed/drugInfo.cfm?setid=b1e53422-c85d-4bb6-af4f-24934cc319b0" TargetMode="External"/><Relationship Id="rId267" Type="http://schemas.openxmlformats.org/officeDocument/2006/relationships/hyperlink" Target="https://mhraproducts4853.blob.core.windows.net/docs/5ea04071d3531da100fbf0a3a5f2e5930568f9a5" TargetMode="External"/><Relationship Id="rId268" Type="http://schemas.openxmlformats.org/officeDocument/2006/relationships/hyperlink" Target="https://dailymed.nlm.nih.gov/dailymed/drugInfo.cfm?setid=28258745-12e4-4f0f-b318-4a1a1bebc928" TargetMode="External"/><Relationship Id="rId269" Type="http://schemas.openxmlformats.org/officeDocument/2006/relationships/hyperlink" Target="https://mhraproducts4853.blob.core.windows.net/docs/fb177071badddaa7979eeae36ea28ab48a60b768" TargetMode="External"/><Relationship Id="rId270" Type="http://schemas.openxmlformats.org/officeDocument/2006/relationships/hyperlink" Target="https://dailymed.nlm.nih.gov/dailymed/drugInfo.cfm?setid=90717878-64cb-4ffc-90bc-7b4e81e3d1cd" TargetMode="External"/><Relationship Id="rId271" Type="http://schemas.openxmlformats.org/officeDocument/2006/relationships/hyperlink" Target="https://dailymed.nlm.nih.gov/dailymed/drugInfo.cfm?setid=bb8e1167-8378-4e73-9bcb-d69093ec829b" TargetMode="External"/><Relationship Id="rId272" Type="http://schemas.openxmlformats.org/officeDocument/2006/relationships/hyperlink" Target="https://dailymed.nlm.nih.gov/dailymed/drugInfo.cfm?setid=4b3b8e52-df96-4886-e063-6294a90ac63f" TargetMode="External"/><Relationship Id="rId273" Type="http://schemas.openxmlformats.org/officeDocument/2006/relationships/hyperlink" Target="https://dailymed.nlm.nih.gov/dailymed/drugInfo.cfm?setid=7d19df3b-94ed-4681-beae-9caaf137d014" TargetMode="External"/><Relationship Id="rId274" Type="http://schemas.openxmlformats.org/officeDocument/2006/relationships/hyperlink" Target="https://dailymed.nlm.nih.gov/dailymed/drugInfo.cfm?setid=8bcf426a-b4fc-4f24-9ad0-fb26168a0b56" TargetMode="External"/><Relationship Id="rId275" Type="http://schemas.openxmlformats.org/officeDocument/2006/relationships/hyperlink" Target="https://dailymed.nlm.nih.gov/dailymed/drugInfo.cfm?setid=800646b8-83a8-01d9-3dc8-bb2ddcb8570c" TargetMode="External"/><Relationship Id="rId276" Type="http://schemas.openxmlformats.org/officeDocument/2006/relationships/hyperlink" Target="https://mhraproducts4853.blob.core.windows.net/docs/20e325341d4d11f3fa15c459435ae46791d8ba4f" TargetMode="External"/><Relationship Id="rId277" Type="http://schemas.openxmlformats.org/officeDocument/2006/relationships/hyperlink" Target="https://dailymed.nlm.nih.gov/dailymed/drugInfo.cfm?setid=b1303f15-c48b-a44d-b28a-72f370094e02" TargetMode="External"/><Relationship Id="rId278" Type="http://schemas.openxmlformats.org/officeDocument/2006/relationships/hyperlink" Target="https://dailymed.nlm.nih.gov/dailymed/drugInfo.cfm?setid=7a31fc4c-579f-45cc-9559-39cfad9a57b3" TargetMode="External"/><Relationship Id="rId279" Type="http://schemas.openxmlformats.org/officeDocument/2006/relationships/hyperlink" Target="https://mhraproducts4853.blob.core.windows.net/docs/1b85c921ff22e65de2c4cb817669b364513ade84" TargetMode="External"/><Relationship Id="rId280" Type="http://schemas.openxmlformats.org/officeDocument/2006/relationships/hyperlink" Target="https://mhraproducts4853.blob.core.windows.net/docs/832a62b9cb979c15814e955526cafbf58d1a120a" TargetMode="External"/><Relationship Id="rId281" Type="http://schemas.openxmlformats.org/officeDocument/2006/relationships/hyperlink" Target="https://dailymed.nlm.nih.gov/dailymed/drugInfo.cfm?setid=12575d1a-a2c2-37b2-0dcf-31e58bbc2a10" TargetMode="External"/><Relationship Id="rId282" Type="http://schemas.openxmlformats.org/officeDocument/2006/relationships/hyperlink" Target="https://dailymed.nlm.nih.gov/dailymed/drugInfo.cfm?setid=03ef6420-8190-a404-f7f6-def1864a77de" TargetMode="External"/><Relationship Id="rId283" Type="http://schemas.openxmlformats.org/officeDocument/2006/relationships/hyperlink" Target="https://dailymed.nlm.nih.gov/dailymed/drugInfo.cfm?setid=9cc2bfa1-c968-4d01-8162-2ef188974164" TargetMode="External"/><Relationship Id="rId284" Type="http://schemas.openxmlformats.org/officeDocument/2006/relationships/hyperlink" Target="https://dailymed.nlm.nih.gov/dailymed/drugInfo.cfm?setid=5b8025d2-3424-477b-9cff-3990a98c2a65" TargetMode="External"/><Relationship Id="rId285" Type="http://schemas.openxmlformats.org/officeDocument/2006/relationships/hyperlink" Target="https://mhraproducts4853.blob.core.windows.net/docs/30aabc766650f3de9340032eb4a1823e8a92d0ac" TargetMode="External"/><Relationship Id="rId286" Type="http://schemas.openxmlformats.org/officeDocument/2006/relationships/hyperlink" Target="https://docetp.mpa.se/LMF/Oktreotid%20SUN%20solution%20for%20injection%20SmPC_09001bee807a5102.pdf" TargetMode="External"/><Relationship Id="rId287" Type="http://schemas.openxmlformats.org/officeDocument/2006/relationships/hyperlink" Target="https://dailymed.nlm.nih.gov/dailymed/drugInfo.cfm?setid=116385ea-69fc-4f44-b463-6210291032df" TargetMode="External"/><Relationship Id="rId288" Type="http://schemas.openxmlformats.org/officeDocument/2006/relationships/hyperlink" Target="https://mhraproducts4853.blob.core.windows.net/docs/2db067f28b4a5cee9ffbcda6966ba8e62c165c64" TargetMode="External"/><Relationship Id="rId289" Type="http://schemas.openxmlformats.org/officeDocument/2006/relationships/hyperlink" Target="https://www.ebs.tga.gov.au/ebs/picmi/picmirepository.nsf/pdf?OpenAgent&amp;id=CP-2026-PI-01223-1" TargetMode="External"/><Relationship Id="rId290" Type="http://schemas.openxmlformats.org/officeDocument/2006/relationships/hyperlink" Target="https://mhraproducts4853.blob.core.windows.net/docs/e2acf7eb6316bc8cbbaaf53631abd625c75878c8" TargetMode="External"/><Relationship Id="rId291" Type="http://schemas.openxmlformats.org/officeDocument/2006/relationships/hyperlink" Target="https://dailymed.nlm.nih.gov/dailymed/drugInfo.cfm?setid=1cc94c7a-617c-4238-8248-e3fabc9612c7" TargetMode="External"/><Relationship Id="rId292" Type="http://schemas.openxmlformats.org/officeDocument/2006/relationships/hyperlink" Target="https://dailymed.nlm.nih.gov/dailymed/drugInfo.cfm?setid=bb92d686-a81e-4b91-8048-693af0534cb3" TargetMode="External"/><Relationship Id="rId293" Type="http://schemas.openxmlformats.org/officeDocument/2006/relationships/hyperlink" Target="https://mhraproducts4853.blob.core.windows.net/docs/02230fedf0f6e67657137dc1b732971ab3782ab2" TargetMode="External"/><Relationship Id="rId294" Type="http://schemas.openxmlformats.org/officeDocument/2006/relationships/hyperlink" Target="https://dailymed.nlm.nih.gov/dailymed/drugInfo.cfm?setid=b746d4db-43e6-4219-9e6b-f53e59581305" TargetMode="External"/><Relationship Id="rId295" Type="http://schemas.openxmlformats.org/officeDocument/2006/relationships/hyperlink" Target="https://dailymed.nlm.nih.gov/dailymed/drugInfo.cfm?setid=f38d0dfc-9bcc-4224-a202-885c9ad0beae" TargetMode="External"/><Relationship Id="rId296" Type="http://schemas.openxmlformats.org/officeDocument/2006/relationships/hyperlink" Target="https://mhraproducts4853.blob.core.windows.net/docs/acf0dbbc5df81cd92e3a113a48e28dc68e8a0cf5" TargetMode="External"/><Relationship Id="rId297" Type="http://schemas.openxmlformats.org/officeDocument/2006/relationships/hyperlink" Target="https://mhraproducts4853.blob.core.windows.net/docs/4afca553cf5d6e39fdc331fc8f6280e7afa3b50f" TargetMode="External"/><Relationship Id="rId298" Type="http://schemas.openxmlformats.org/officeDocument/2006/relationships/hyperlink" Target="https://mhraproducts4853.blob.core.windows.net/docs/0abd36d989a97b306126883cf229d48c54e4d739" TargetMode="External"/><Relationship Id="rId299" Type="http://schemas.openxmlformats.org/officeDocument/2006/relationships/hyperlink" Target="https://mhraproducts4853.blob.core.windows.net/docs/3300dafbb7b5e5b22a969cdd7ff2d2dfcc5cb3dc" TargetMode="External"/><Relationship Id="rId300" Type="http://schemas.openxmlformats.org/officeDocument/2006/relationships/hyperlink" Target="https://pdf.hres.ca/dpd_pm/00003639.PDF" TargetMode="External"/><Relationship Id="rId301" Type="http://schemas.openxmlformats.org/officeDocument/2006/relationships/hyperlink" Target="https://health-products.canada.ca/dpd-bdpp/info?lang=eng&amp;code=43137" TargetMode="External"/><Relationship Id="rId302" Type="http://schemas.openxmlformats.org/officeDocument/2006/relationships/hyperlink" Target="https://dailymed.nlm.nih.gov/dailymed/drugInfo.cfm?setid=3deac02b-392c-4ee4-9abf-7fe5b8975147" TargetMode="External"/><Relationship Id="rId303" Type="http://schemas.openxmlformats.org/officeDocument/2006/relationships/hyperlink" Target="https://dailymed.nlm.nih.gov/dailymed/drugInfo.cfm?setid=81e90279-9889-47bd-974b-334c181f295c" TargetMode="External"/><Relationship Id="rId304" Type="http://schemas.openxmlformats.org/officeDocument/2006/relationships/hyperlink" Target="https://dailymed.nlm.nih.gov/dailymed/drugInfo.cfm?setid=57bf9b96-0550-b8e4-e063-6294a90a317b" TargetMode="External"/><Relationship Id="rId305" Type="http://schemas.openxmlformats.org/officeDocument/2006/relationships/hyperlink" Target="https://mhraproducts4853.blob.core.windows.net/docs/3489692807cabc9ee757ad292940e8a021f68d01" TargetMode="External"/><Relationship Id="rId306" Type="http://schemas.openxmlformats.org/officeDocument/2006/relationships/hyperlink" Target="https://dailymed.nlm.nih.gov/dailymed/drugInfo.cfm?setid=195c2054-0746-421d-8b20-8c751bdd772b" TargetMode="External"/><Relationship Id="rId307" Type="http://schemas.openxmlformats.org/officeDocument/2006/relationships/hyperlink" Target="https://mhraproducts4853.blob.core.windows.net/docs/45a310f5c66d09f20d9d1eb3a5d48c17c486ac7b" TargetMode="External"/><Relationship Id="rId308" Type="http://schemas.openxmlformats.org/officeDocument/2006/relationships/hyperlink" Target="https://mydr.com.au/medicines/oxytocin-gh/" TargetMode="External"/><Relationship Id="rId309" Type="http://schemas.openxmlformats.org/officeDocument/2006/relationships/hyperlink" Target="https://dailymed.nlm.nih.gov/dailymed/drugInfo.cfm?setid=3a35b86c-f451-4fac-8499-43019e4da354" TargetMode="External"/><Relationship Id="rId310" Type="http://schemas.openxmlformats.org/officeDocument/2006/relationships/hyperlink" Target="https://mhraproducts4853.blob.core.windows.net/docs/87e83833753716c061280fd48b95d5801f88bfa9" TargetMode="External"/><Relationship Id="rId311" Type="http://schemas.openxmlformats.org/officeDocument/2006/relationships/hyperlink" Target="https://fachinfo.de/fi/pdf/023946/paliperidon-ratiopharm-r-depot-injektionssuspension" TargetMode="External"/><Relationship Id="rId312" Type="http://schemas.openxmlformats.org/officeDocument/2006/relationships/hyperlink" Target="https://dailymed.nlm.nih.gov/dailymed/drugInfo.cfm?setid=78d55bad-4a5b-4e21-aeb8-a4c6346208be" TargetMode="External"/><Relationship Id="rId313" Type="http://schemas.openxmlformats.org/officeDocument/2006/relationships/hyperlink" Target="https://www.ema.europa.eu/en/medicines/human/EPAR/pelgraz" TargetMode="External"/><Relationship Id="rId314" Type="http://schemas.openxmlformats.org/officeDocument/2006/relationships/hyperlink" Target="https://dailymed.nlm.nih.gov/dailymed/drugInfo.cfm?setid=82a98132-9d5f-40a5-8c4f-f52f2a5de60e" TargetMode="External"/><Relationship Id="rId315" Type="http://schemas.openxmlformats.org/officeDocument/2006/relationships/hyperlink" Target="https://base-donnees-publique.medicaments.gouv.fr/affichageDoc.php?typedoc=R&amp;specid=61094142" TargetMode="External"/><Relationship Id="rId316" Type="http://schemas.openxmlformats.org/officeDocument/2006/relationships/hyperlink" Target="https://dailymed.nlm.nih.gov/dailymed/drugInfo.cfm?setid=f80f025b-17d8-40af-8739-20ce07902045" TargetMode="External"/><Relationship Id="rId317" Type="http://schemas.openxmlformats.org/officeDocument/2006/relationships/hyperlink" Target="https://adpha.au/publicassets/245c2e89-4042-ee11-912c-00505696223b/Phenylephrine-v9-1.pdf" TargetMode="External"/><Relationship Id="rId318" Type="http://schemas.openxmlformats.org/officeDocument/2006/relationships/hyperlink" Target="https://dailymed.nlm.nih.gov/dailymed/drugInfo.cfm?setid=0def6a5e-4bf5-b1fd-47b7-0f17ecfd9bc2" TargetMode="External"/><Relationship Id="rId319" Type="http://schemas.openxmlformats.org/officeDocument/2006/relationships/hyperlink" Target="https://mhraproducts4853.blob.core.windows.net/docs/e04df231228d42c83cc4a6259d7c5c571353c022" TargetMode="External"/><Relationship Id="rId320" Type="http://schemas.openxmlformats.org/officeDocument/2006/relationships/hyperlink" Target="https://dailymed.nlm.nih.gov/dailymed/drugInfo.cfm?setid=1add4de5-0f9c-453e-9dd5-abb8077b566a" TargetMode="External"/><Relationship Id="rId321" Type="http://schemas.openxmlformats.org/officeDocument/2006/relationships/hyperlink" Target="https://dailymed.nlm.nih.gov/dailymed/drugInfo.cfm?setid=dd58e0c3-d8a8-4cf2-96f8-9dd08f309579" TargetMode="External"/><Relationship Id="rId322" Type="http://schemas.openxmlformats.org/officeDocument/2006/relationships/hyperlink" Target="https://mhraproducts4853.blob.core.windows.net/docs/42d7e79466d433c5192ed2f92d3a915eca41853d" TargetMode="External"/><Relationship Id="rId323" Type="http://schemas.openxmlformats.org/officeDocument/2006/relationships/hyperlink" Target="https://dailymed.nlm.nih.gov/dailymed/drugInfo.cfm?setid=02445c07-7b4b-cd70-54e8-ebefc814f547" TargetMode="External"/><Relationship Id="rId324" Type="http://schemas.openxmlformats.org/officeDocument/2006/relationships/hyperlink" Target="https://dailymed.nlm.nih.gov/dailymed/drugInfo.cfm?setid=d554acff-22e9-4f28-b826-ee1b91daa2df" TargetMode="External"/><Relationship Id="rId325" Type="http://schemas.openxmlformats.org/officeDocument/2006/relationships/hyperlink" Target="https://mhraproducts4853.blob.core.windows.net/docs/e43f2440514458537140b935827096caf459e80d" TargetMode="External"/><Relationship Id="rId326" Type="http://schemas.openxmlformats.org/officeDocument/2006/relationships/hyperlink" Target="https://dailymed.nlm.nih.gov/dailymed/drugInfo.cfm?setid=30e0d15f-46dd-4a25-9936-34db421e4076" TargetMode="External"/><Relationship Id="rId327" Type="http://schemas.openxmlformats.org/officeDocument/2006/relationships/hyperlink" Target="https://dailymed.nlm.nih.gov/dailymed/drugInfo.cfm?setid=ceea739a-21dd-4c3a-9ef6-2b7ab2bdd95a" TargetMode="External"/><Relationship Id="rId328" Type="http://schemas.openxmlformats.org/officeDocument/2006/relationships/hyperlink" Target="https://mhraproducts4853.blob.core.windows.net/docs/65edc2e1545faa366d2c4975093e7970d753f777" TargetMode="External"/><Relationship Id="rId329" Type="http://schemas.openxmlformats.org/officeDocument/2006/relationships/hyperlink" Target="https://dailymed.nlm.nih.gov/dailymed/drugInfo.cfm?setid=58c9fa02-3701-d411-f946-790a62ddc064" TargetMode="External"/><Relationship Id="rId330" Type="http://schemas.openxmlformats.org/officeDocument/2006/relationships/hyperlink" Target="https://dailymed.nlm.nih.gov/dailymed/drugInfo.cfm?setid=ae71c003-883a-4cd8-ad50-e8cc9a54e971" TargetMode="External"/><Relationship Id="rId331" Type="http://schemas.openxmlformats.org/officeDocument/2006/relationships/hyperlink" Target="https://mhraproducts4853.blob.core.windows.net/docs/493d4bfda677fb5e534ce5b3f4ea9f88534240a7" TargetMode="External"/><Relationship Id="rId332" Type="http://schemas.openxmlformats.org/officeDocument/2006/relationships/hyperlink" Target="https://mhraproducts4853.blob.core.windows.net/docs/bfb29ad59eb2d15fa7068c2753e106465ce6e0b4" TargetMode="External"/><Relationship Id="rId333" Type="http://schemas.openxmlformats.org/officeDocument/2006/relationships/hyperlink" Target="https://dailymed.nlm.nih.gov/dailymed/drugInfo.cfm?setid=05c2a9cf-a018-48c0-9c73-2d59d52211d2" TargetMode="External"/><Relationship Id="rId334" Type="http://schemas.openxmlformats.org/officeDocument/2006/relationships/hyperlink" Target="https://cima.aemps.es/cima/pdfs/ft/88904/FT_88904.pdf" TargetMode="External"/><Relationship Id="rId335" Type="http://schemas.openxmlformats.org/officeDocument/2006/relationships/hyperlink" Target="https://dailymed.nlm.nih.gov/dailymed/drugInfo.cfm?setid=2539a6cf-0fe5-1565-e063-6294a90a3618" TargetMode="External"/><Relationship Id="rId336" Type="http://schemas.openxmlformats.org/officeDocument/2006/relationships/hyperlink" Target="https://dailymed.nlm.nih.gov/dailymed/drugInfo.cfm?setid=bb8e1167-8378-4e73-9bcb-d69093ec829b" TargetMode="External"/><Relationship Id="rId337" Type="http://schemas.openxmlformats.org/officeDocument/2006/relationships/hyperlink" Target="https://dailymed.nlm.nih.gov/dailymed/drugInfo.cfm?setid=3f5dacea-af40-4103-b128-c5e0c0c52fa1" TargetMode="External"/><Relationship Id="rId338" Type="http://schemas.openxmlformats.org/officeDocument/2006/relationships/hyperlink" Target="https://mhraproducts4853.blob.core.windows.net/docs/0605730a38f8b988fbfaf3fc09d20f3c7376c587" TargetMode="External"/><Relationship Id="rId339" Type="http://schemas.openxmlformats.org/officeDocument/2006/relationships/hyperlink" Target="https://www.ema.europa.eu/en/documents/product-information/plerixafor-accord-epar-product-information_en.pdf" TargetMode="External"/><Relationship Id="rId340" Type="http://schemas.openxmlformats.org/officeDocument/2006/relationships/hyperlink" Target="https://dailymed.nlm.nih.gov/dailymed/drugInfo.cfm?setid=387b57ce-e50e-4e03-86d9-12638242bd36" TargetMode="External"/><Relationship Id="rId341" Type="http://schemas.openxmlformats.org/officeDocument/2006/relationships/hyperlink" Target="https://mhraproducts4853.blob.core.windows.net/docs/1e3206a2f7a9a0bc0b5e1387ff816310bd3a6274" TargetMode="External"/><Relationship Id="rId342" Type="http://schemas.openxmlformats.org/officeDocument/2006/relationships/hyperlink" Target="https://dailymed.nlm.nih.gov/dailymed/drugInfo.cfm?setid=f26effc5-2a22-441f-91ac-e131ee1c9886" TargetMode="External"/><Relationship Id="rId343" Type="http://schemas.openxmlformats.org/officeDocument/2006/relationships/hyperlink" Target="https://dailymed.nlm.nih.gov/dailymed/drugInfo.cfm?setid=def3b9ba-523d-4b83-a80d-fa6f362e111c" TargetMode="External"/><Relationship Id="rId344" Type="http://schemas.openxmlformats.org/officeDocument/2006/relationships/hyperlink" Target="https://mhraproducts4853.blob.core.windows.net/docs/2b86e6e4cadbc2aee6c9bef4810ef2d6c504c961" TargetMode="External"/><Relationship Id="rId345" Type="http://schemas.openxmlformats.org/officeDocument/2006/relationships/hyperlink" Target="https://dailymed.nlm.nih.gov/dailymed/drugInfo.cfm?setid=7d19df3b-94ed-4681-beae-9caaf137d014" TargetMode="External"/><Relationship Id="rId346" Type="http://schemas.openxmlformats.org/officeDocument/2006/relationships/hyperlink" Target="https://dailymed.nlm.nih.gov/dailymed/drugInfo.cfm?setid=f073b58e-56d6-4c8d-a2ce-b37719402d77" TargetMode="External"/><Relationship Id="rId347" Type="http://schemas.openxmlformats.org/officeDocument/2006/relationships/hyperlink" Target="https://dailymed.nlm.nih.gov/dailymed/drugInfo.cfm?setid=7d19df3b-94ed-4681-beae-9caaf137d014" TargetMode="External"/><Relationship Id="rId348" Type="http://schemas.openxmlformats.org/officeDocument/2006/relationships/hyperlink" Target="https://dailymed.nlm.nih.gov/dailymed/drugInfo.cfm?setid=49596de6-ab18-49d1-9e5b-30968fc21c36" TargetMode="External"/><Relationship Id="rId349" Type="http://schemas.openxmlformats.org/officeDocument/2006/relationships/hyperlink" Target="https://dailymed.nlm.nih.gov/dailymed/drugInfo.cfm?setid=f55dd1c0-c259-219a-5bca-f139e9515d07" TargetMode="External"/><Relationship Id="rId350" Type="http://schemas.openxmlformats.org/officeDocument/2006/relationships/hyperlink" Target="https://dailymed.nlm.nih.gov/dailymed/drugInfo.cfm?setid=dd3dcc9a-e40c-4677-9ee6-f318e7c7d835" TargetMode="External"/><Relationship Id="rId351" Type="http://schemas.openxmlformats.org/officeDocument/2006/relationships/hyperlink" Target="https://mhraproducts4853.blob.core.windows.net/docs/3d797cdc3f406c382dd7a59f87e1c4e1c4dd3b8b" TargetMode="External"/><Relationship Id="rId352" Type="http://schemas.openxmlformats.org/officeDocument/2006/relationships/hyperlink" Target="https://dailymed.nlm.nih.gov/dailymed/drugInfo.cfm?setid=3deac02b-392c-4ee4-9abf-7fe5b8975147" TargetMode="External"/><Relationship Id="rId353" Type="http://schemas.openxmlformats.org/officeDocument/2006/relationships/hyperlink" Target="https://dailymed.nlm.nih.gov/dailymed/drugInfo.cfm?setid=fff10d69-e334-42bd-baed-7d9d5feef6aa" TargetMode="External"/><Relationship Id="rId354" Type="http://schemas.openxmlformats.org/officeDocument/2006/relationships/hyperlink" Target="https://mhraproducts4853.blob.core.windows.net/docs/e80e715a9abfb407b9d6e8113150fe6a6bc5aea8" TargetMode="External"/><Relationship Id="rId355" Type="http://schemas.openxmlformats.org/officeDocument/2006/relationships/hyperlink" Target="https://www.ebs.tga.gov.au/ebs/picmi/picmirepository.nsf/pdf?OpenAgent&amp;id=CP-2021-PI-02045-1" TargetMode="External"/><Relationship Id="rId356" Type="http://schemas.openxmlformats.org/officeDocument/2006/relationships/hyperlink" Target="https://dailymed.nlm.nih.gov/dailymed/drugInfo.cfm?setid=204f1c24-4bf6-40d5-95f3-a732db28e033" TargetMode="External"/><Relationship Id="rId357" Type="http://schemas.openxmlformats.org/officeDocument/2006/relationships/hyperlink" Target="https://dailymed.nlm.nih.gov/dailymed/drugInfo.cfm?setid=017e5ad4-028e-4e34-ac09-d0c8d64c880a" TargetMode="External"/><Relationship Id="rId358" Type="http://schemas.openxmlformats.org/officeDocument/2006/relationships/hyperlink" Target="https://mhraproducts4853.blob.core.windows.net/docs/3c889867faa22c3b1685618ccad37b31982cc60e" TargetMode="External"/><Relationship Id="rId359" Type="http://schemas.openxmlformats.org/officeDocument/2006/relationships/hyperlink" Target="https://mhraproducts4853.blob.core.windows.net/docs/cdd932519ea5620f679cbc05a39d576016396f04" TargetMode="External"/><Relationship Id="rId360" Type="http://schemas.openxmlformats.org/officeDocument/2006/relationships/hyperlink" Target="https://cima.aemps.es/cima/dochtml/ft/78613/FT_78613.html" TargetMode="External"/><Relationship Id="rId361" Type="http://schemas.openxmlformats.org/officeDocument/2006/relationships/hyperlink" Target="https://mhraproducts4853.blob.core.windows.net/docs/3c889867faa22c3b1685618ccad37b31982cc60e" TargetMode="External"/><Relationship Id="rId362" Type="http://schemas.openxmlformats.org/officeDocument/2006/relationships/hyperlink" Target="https://mhraproducts4853.blob.core.windows.net/docs/bb7e0f317f1d83fcc56a50c2ee7913094c687d19" TargetMode="External"/><Relationship Id="rId363" Type="http://schemas.openxmlformats.org/officeDocument/2006/relationships/hyperlink" Target="https://dailymed.nlm.nih.gov/dailymed/drugInfo.cfm?setid=f901e2b2-f143-4237-8e95-0d134585490b" TargetMode="External"/><Relationship Id="rId364" Type="http://schemas.openxmlformats.org/officeDocument/2006/relationships/hyperlink" Target="https://dailymed.nlm.nih.gov/dailymed/drugInfo.cfm?setid=b8ac5e07-b7e3-4a60-b0d1-8b1f3ad0c478" TargetMode="External"/><Relationship Id="rId365" Type="http://schemas.openxmlformats.org/officeDocument/2006/relationships/hyperlink" Target="https://health-products.canada.ca/dpd-bdpp/info?lang=eng&amp;code=98589" TargetMode="External"/><Relationship Id="rId366" Type="http://schemas.openxmlformats.org/officeDocument/2006/relationships/hyperlink" Target="https://dailymed.nlm.nih.gov/dailymed/search.cfm?labeltype=all&amp;query=testosterone+enanthate" TargetMode="External"/><Relationship Id="rId367" Type="http://schemas.openxmlformats.org/officeDocument/2006/relationships/hyperlink" Target="https://www.medicines.org.uk/emc/product/100812/smpc/print" TargetMode="External"/><Relationship Id="rId368" Type="http://schemas.openxmlformats.org/officeDocument/2006/relationships/hyperlink" Target="https://www.medicines.org.uk/emc/product/100812/smpc/print" TargetMode="External"/><Relationship Id="rId369" Type="http://schemas.openxmlformats.org/officeDocument/2006/relationships/hyperlink" Target="https://www.medpex.de/testosteron-basics-1000-mg-4-ml-inj-lsg-dsfl/19897760" TargetMode="External"/><Relationship Id="rId370" Type="http://schemas.openxmlformats.org/officeDocument/2006/relationships/hyperlink" Target="https://dailymed.nlm.nih.gov/dailymed/drugInfo.cfm?setid=2539a6cf-0fe5-1565-e063-6294a90a3618"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mhraproducts4853.blob.core.windows.net/docs/b81aa75bd80aa32a460d7fedc1706f40ed574da1"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mhraproducts4853.blob.core.windows.net/docs/b81aa75bd80aa32a460d7fedc1706f40ed574da1"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mhraproducts4853.blob.core.windows.net/docs/b81aa75bd80aa32a460d7fedc1706f40ed574da1"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mhraproducts4853.blob.core.windows.net/docs/45a310f5c66d09f20d9d1eb3a5d48c17c486ac7b"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mhraproducts4853.blob.core.windows.net/docs/45a310f5c66d09f20d9d1eb3a5d48c17c486ac7b"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mhraproducts4853.blob.core.windows.net/docs/45a310f5c66d09f20d9d1eb3a5d48c17c486ac7b"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mhraproducts4853.blob.core.windows.net/docs/dd5428de28a35789b58d7a7229157959b1e135fb"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mhraproducts4853.blob.core.windows.net/docs/dd5428de28a35789b58d7a7229157959b1e135fb"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mhraproducts4853.blob.core.windows.net/docs/924d70784a8c922753ed49a78a38c605f536521c"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mhraproducts4853.blob.core.windows.net/docs/b81aa75bd80aa32a460d7fedc1706f40ed574da1"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mhraproducts4853.blob.core.windows.net/docs/263d32f81753d60c17b4d841aa3115ebcf5eabd7"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mhraproducts4853.blob.core.windows.net/docs/45a310f5c66d09f20d9d1eb3a5d48c17c486ac7b"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mhraproducts4853.blob.core.windows.net/docs/45a310f5c66d09f20d9d1eb3a5d48c17c486ac7b"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mhraproducts4853.blob.core.windows.net/docs/45a310f5c66d09f20d9d1eb3a5d48c17c486ac7b"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mhraproducts4853.blob.core.windows.net/docs/925bc4c8a8d4a507b955b633951acf444692f0ea"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mhraproducts4853.blob.core.windows.net/docs/925bc4c8a8d4a507b955b633951acf444692f0ea"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mhraproducts4853.blob.core.windows.net/docs/45a310f5c66d09f20d9d1eb3a5d48c17c486ac7b"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mhraproducts4853.blob.core.windows.net/docs/45a310f5c66d09f20d9d1eb3a5d48c17c486ac7b"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mhraproducts4853.blob.core.windows.net/docs/45a310f5c66d09f20d9d1eb3a5d48c17c486ac7b"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mhraproducts4853.blob.core.windows.net/docs/468e5b0a68665f15d3d30982865bab14c0c28588"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mhraproducts4853.blob.core.windows.net/docs/468e5b0a68665f15d3d30982865bab14c0c28588"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mhraproducts4853.blob.core.windows.net/docs/04229266643a571563250bd73f7732fba1560cbb"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mhraproducts4853.blob.core.windows.net/docs/04229266643a571563250bd73f7732fba1560cbb"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mhraproducts4853.blob.core.windows.net/docs/a59d41ba1edb90eeb695d447eeb35327147df3f6"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mhraproducts4853.blob.core.windows.net/docs/a59d41ba1edb90eeb695d447eeb35327147df3f6"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mhraproducts4853.blob.core.windows.net/docs/a53d61c3e391300f35f11ce363395170f019a5c5"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mhraproducts4853.blob.core.windows.net/docs/a53d61c3e391300f35f11ce363395170f019a5c5"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O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3"/>
    <col collapsed="false" customWidth="true" hidden="false" outlineLevel="0" max="6" min="5" style="0" width="22"/>
    <col collapsed="false" customWidth="true" hidden="false" outlineLevel="0" max="7" min="7" style="0" width="28"/>
    <col collapsed="false" customWidth="true" hidden="false" outlineLevel="0" max="8" min="8" style="0" width="40"/>
    <col collapsed="false" customWidth="true" hidden="false" outlineLevel="0" max="9" min="9" style="0" width="18"/>
    <col collapsed="false" customWidth="true" hidden="false" outlineLevel="0" max="10" min="10" style="0" width="40"/>
    <col collapsed="false" customWidth="true" hidden="false" outlineLevel="0" max="11" min="11" style="0" width="12"/>
    <col collapsed="false" customWidth="true" hidden="false" outlineLevel="0" max="12" min="12" style="0" width="13"/>
    <col collapsed="false" customWidth="true" hidden="false" outlineLevel="0" max="13" min="13" style="0" width="14"/>
    <col collapsed="false" customWidth="true" hidden="false" outlineLevel="0" max="14" min="14" style="0" width="44"/>
    <col collapsed="false" customWidth="true" hidden="true" outlineLevel="0" max="15" min="15" style="0" width="9"/>
  </cols>
  <sheetData>
    <row r="1" customFormat="false" ht="17.35" hidden="false" customHeight="false" outlineLevel="0" collapsed="false">
      <c r="A1" s="1" t="s">
        <v>0</v>
      </c>
    </row>
    <row r="2" customFormat="false" ht="45" hidden="false" customHeight="true" outlineLevel="0" collapsed="false">
      <c r="A2" s="2" t="s">
        <v>1</v>
      </c>
      <c r="B2" s="2"/>
      <c r="C2" s="2"/>
      <c r="D2" s="2"/>
      <c r="E2" s="2"/>
      <c r="F2" s="2"/>
      <c r="G2" s="2"/>
      <c r="H2" s="2"/>
      <c r="I2" s="2"/>
      <c r="J2" s="2"/>
      <c r="K2" s="2"/>
      <c r="L2" s="2"/>
      <c r="M2" s="2"/>
      <c r="N2" s="2"/>
    </row>
    <row r="3" customFormat="false" ht="45" hidden="false" customHeight="true" outlineLevel="0" collapsed="false">
      <c r="A3" s="2" t="s">
        <v>2</v>
      </c>
      <c r="B3" s="2"/>
      <c r="C3" s="2"/>
      <c r="D3" s="2"/>
      <c r="E3" s="2"/>
      <c r="F3" s="2"/>
      <c r="G3" s="2"/>
      <c r="H3" s="2"/>
      <c r="I3" s="2"/>
      <c r="J3" s="2"/>
      <c r="K3" s="2"/>
      <c r="L3" s="2"/>
      <c r="M3" s="2"/>
      <c r="N3" s="2"/>
    </row>
    <row r="4" customFormat="false" ht="45" hidden="false" customHeight="true" outlineLevel="0" collapsed="false">
      <c r="A4" s="3" t="s">
        <v>3</v>
      </c>
      <c r="B4" s="3" t="s">
        <v>4</v>
      </c>
      <c r="C4" s="3" t="s">
        <v>5</v>
      </c>
      <c r="D4" s="3" t="s">
        <v>6</v>
      </c>
      <c r="E4" s="3" t="s">
        <v>7</v>
      </c>
      <c r="F4" s="3" t="s">
        <v>8</v>
      </c>
      <c r="G4" s="3" t="s">
        <v>9</v>
      </c>
      <c r="H4" s="3" t="s">
        <v>10</v>
      </c>
      <c r="I4" s="3" t="s">
        <v>11</v>
      </c>
      <c r="J4" s="3" t="s">
        <v>12</v>
      </c>
      <c r="K4" s="3" t="s">
        <v>13</v>
      </c>
      <c r="L4" s="3" t="s">
        <v>14</v>
      </c>
      <c r="M4" s="3" t="s">
        <v>15</v>
      </c>
      <c r="N4" s="3" t="s">
        <v>16</v>
      </c>
      <c r="O4" s="4" t="s">
        <v>17</v>
      </c>
    </row>
    <row r="5" customFormat="false" ht="28.35" hidden="false" customHeight="false" outlineLevel="0" collapsed="false">
      <c r="A5" s="5" t="n">
        <f aca="false">IF($O5="","",INT($O5/1000))</f>
        <v>1</v>
      </c>
      <c r="B5" s="6" t="str">
        <f aca="false">IF($O5="","",INDEX(Scoring!$A$29:$A$361,MATCH($O5,Scoring!$AI$29:$AI$361,0)))</f>
        <v>Intas</v>
      </c>
      <c r="C5" s="5" t="n">
        <f aca="false">IF($O5="","",IF(INDEX(Scoring!$F$29:$F$361,MATCH($O5,Scoring!$AI$29:$AI$361,0))="","–",INDEX(Scoring!$F$29:$F$361,MATCH($O5,Scoring!$AI$29:$AI$361,0))))</f>
        <v>1</v>
      </c>
      <c r="D5" s="6" t="str">
        <f aca="false">IF($O5="","",INDEX(Scoring!$E$29:$E$361,MATCH($O5,Scoring!$AI$29:$AI$361,0)))</f>
        <v>Priority 1</v>
      </c>
      <c r="E5" s="7" t="str">
        <f aca="false">IF($O5="","",INDEX(Scoring!$G$29:$G$361,MATCH($O5,Scoring!$AI$29:$AI$361,0)))</f>
        <v>High price, high volume</v>
      </c>
      <c r="F5" s="6" t="str">
        <f aca="false">IF($O5="","",INDEX(Scoring!$B$29:$B$361,MATCH($O5,Scoring!$AI$29:$AI$361,0)))</f>
        <v>Azacitidine</v>
      </c>
      <c r="G5" s="7" t="str">
        <f aca="false">IF($O5="","",INDEX(Scoring!$C$29:$C$361,MATCH($O5,Scoring!$AI$29:$AI$361,0)))</f>
        <v>Azacitidine Accord; Azaccord</v>
      </c>
      <c r="H5" s="7" t="str">
        <f aca="false">IF($O5="","",INDEX(Scoring!$D$29:$D$361,MATCH($O5,Scoring!$AI$29:$AI$361,0)))</f>
        <v>Oncology: myelodysplastic syndromes, acute myeloid leukaemia</v>
      </c>
      <c r="I5" s="6" t="str">
        <f aca="false">IF($O5="","",INDEX(Scoring!$R$29:$R$361,MATCH($O5,Scoring!$AI$29:$AI$361,0)))</f>
        <v>Vial</v>
      </c>
      <c r="J5" s="7" t="str">
        <f aca="false">IF($O5="","",INDEX(Scoring!$S$29:$S$361,MATCH($O5,Scoring!$AI$29:$AI$361,0)))</f>
        <v>25 mg/mL vial; 100 mg powder vial</v>
      </c>
      <c r="K5" s="8" t="n">
        <f aca="false">IF($O5="","",IF(INDEX(Scoring!$I$29:$I$361,MATCH($O5,Scoring!$AI$29:$AI$361,0))="",INDEX(Scoring!$AC$29:$AC$361,MATCH($O5,Scoring!$AI$29:$AI$361,0)),INDEX(Scoring!$I$29:$I$361,MATCH($O5,Scoring!$AI$29:$AI$361,0))))</f>
        <v>256.12</v>
      </c>
      <c r="L5" s="9" t="n">
        <f aca="false">IF($O5="","",INDEX(Scoring!$M$29:$M$361,MATCH($O5,Scoring!$AI$29:$AI$361,0)))</f>
        <v>632</v>
      </c>
      <c r="M5" s="9" t="n">
        <f aca="false">IF($O5="","",INDEX(Scoring!$O$29:$O$361,MATCH($O5,Scoring!$AI$29:$AI$361,0)))</f>
        <v>42181.7</v>
      </c>
      <c r="N5" s="7" t="str">
        <f aca="false">IF($O5="","",INDEX(Scoring!$Y$29:$Y$361,MATCH($O5,Scoring!$AI$29:$AI$361,0)))</f>
        <v>UK, Australia | EU/EEA: all 30 countries</v>
      </c>
      <c r="O5" s="10" t="n">
        <f aca="false">IFERROR(SMALL(Scoring!$AI$29:$AI$361,1),"")</f>
        <v>1001</v>
      </c>
    </row>
    <row r="6" customFormat="false" ht="41.75" hidden="false" customHeight="false" outlineLevel="0" collapsed="false">
      <c r="A6" s="5" t="n">
        <f aca="false">IF($O6="","",INT($O6/1000))</f>
        <v>1</v>
      </c>
      <c r="B6" s="6" t="str">
        <f aca="false">IF($O6="","",INDEX(Scoring!$A$29:$A$361,MATCH($O6,Scoring!$AI$29:$AI$361,0)))</f>
        <v>Intas</v>
      </c>
      <c r="C6" s="5" t="n">
        <f aca="false">IF($O6="","",IF(INDEX(Scoring!$F$29:$F$361,MATCH($O6,Scoring!$AI$29:$AI$361,0))="","–",INDEX(Scoring!$F$29:$F$361,MATCH($O6,Scoring!$AI$29:$AI$361,0))))</f>
        <v>2</v>
      </c>
      <c r="D6" s="6" t="str">
        <f aca="false">IF($O6="","",INDEX(Scoring!$E$29:$E$361,MATCH($O6,Scoring!$AI$29:$AI$361,0)))</f>
        <v>Priority 1</v>
      </c>
      <c r="E6" s="7" t="str">
        <f aca="false">IF($O6="","",INDEX(Scoring!$G$29:$G$361,MATCH($O6,Scoring!$AI$29:$AI$361,0)))</f>
        <v>High price, high volume</v>
      </c>
      <c r="F6" s="6" t="str">
        <f aca="false">IF($O6="","",INDEX(Scoring!$B$29:$B$361,MATCH($O6,Scoring!$AI$29:$AI$361,0)))</f>
        <v>Bortezomib</v>
      </c>
      <c r="G6" s="7" t="str">
        <f aca="false">IF($O6="","",INDEX(Scoring!$C$29:$C$361,MATCH($O6,Scoring!$AI$29:$AI$361,0)))</f>
        <v>Bortezomib; Bortezomib Accord; Bortezomib Intas (+1 more)</v>
      </c>
      <c r="H6" s="7" t="str">
        <f aca="false">IF($O6="","",INDEX(Scoring!$D$29:$D$361,MATCH($O6,Scoring!$AI$29:$AI$361,0)))</f>
        <v>Oncology: multiple myeloma, mantle cell lymphoma</v>
      </c>
      <c r="I6" s="6" t="str">
        <f aca="false">IF($O6="","",INDEX(Scoring!$R$29:$R$361,MATCH($O6,Scoring!$AI$29:$AI$361,0)))</f>
        <v>Vial, Prefilled syringe</v>
      </c>
      <c r="J6" s="7" t="str">
        <f aca="false">IF($O6="","",INDEX(Scoring!$S$29:$S$361,MATCH($O6,Scoring!$AI$29:$AI$361,0)))</f>
        <v>2 mg pre-filled syringe; 3.5 mg/1.4 mL vial; 2.5 mg/1 mL vial; 1 mg powder vial (+2 more)</v>
      </c>
      <c r="K6" s="8" t="n">
        <f aca="false">IF($O6="","",IF(INDEX(Scoring!$I$29:$I$361,MATCH($O6,Scoring!$AI$29:$AI$361,0))="",INDEX(Scoring!$AC$29:$AC$361,MATCH($O6,Scoring!$AI$29:$AI$361,0)),INDEX(Scoring!$I$29:$I$361,MATCH($O6,Scoring!$AI$29:$AI$361,0))))</f>
        <v>569.27</v>
      </c>
      <c r="L6" s="9" t="n">
        <f aca="false">IF($O6="","",INDEX(Scoring!$M$29:$M$361,MATCH($O6,Scoring!$AI$29:$AI$361,0)))</f>
        <v>905</v>
      </c>
      <c r="M6" s="9" t="n">
        <f aca="false">IF($O6="","",INDEX(Scoring!$O$29:$O$361,MATCH($O6,Scoring!$AI$29:$AI$361,0)))</f>
        <v>28093.4</v>
      </c>
      <c r="N6" s="7" t="str">
        <f aca="false">IF($O6="","",INDEX(Scoring!$Y$29:$Y$361,MATCH($O6,Scoring!$AI$29:$AI$361,0)))</f>
        <v>UK, Australia, South Africa, UK-NI | EU/EEA: all 30 countries</v>
      </c>
      <c r="O6" s="10" t="n">
        <f aca="false">IFERROR(SMALL(Scoring!$AI$29:$AI$361,2),"")</f>
        <v>1002</v>
      </c>
    </row>
    <row r="7" customFormat="false" ht="28.35" hidden="false" customHeight="false" outlineLevel="0" collapsed="false">
      <c r="A7" s="5" t="n">
        <f aca="false">IF($O7="","",INT($O7/1000))</f>
        <v>1</v>
      </c>
      <c r="B7" s="6" t="str">
        <f aca="false">IF($O7="","",INDEX(Scoring!$A$29:$A$361,MATCH($O7,Scoring!$AI$29:$AI$361,0)))</f>
        <v>Intas</v>
      </c>
      <c r="C7" s="5" t="n">
        <f aca="false">IF($O7="","",IF(INDEX(Scoring!$F$29:$F$361,MATCH($O7,Scoring!$AI$29:$AI$361,0))="","–",INDEX(Scoring!$F$29:$F$361,MATCH($O7,Scoring!$AI$29:$AI$361,0))))</f>
        <v>3</v>
      </c>
      <c r="D7" s="6" t="str">
        <f aca="false">IF($O7="","",INDEX(Scoring!$E$29:$E$361,MATCH($O7,Scoring!$AI$29:$AI$361,0)))</f>
        <v>Priority 1</v>
      </c>
      <c r="E7" s="7" t="str">
        <f aca="false">IF($O7="","",INDEX(Scoring!$G$29:$G$361,MATCH($O7,Scoring!$AI$29:$AI$361,0)))</f>
        <v>High price, high volume</v>
      </c>
      <c r="F7" s="6" t="str">
        <f aca="false">IF($O7="","",INDEX(Scoring!$B$29:$B$361,MATCH($O7,Scoring!$AI$29:$AI$361,0)))</f>
        <v>Pegfilgrastim</v>
      </c>
      <c r="G7" s="7" t="str">
        <f aca="false">IF($O7="","",INDEX(Scoring!$C$29:$C$361,MATCH($O7,Scoring!$AI$29:$AI$361,0)))</f>
        <v>Pelgraz</v>
      </c>
      <c r="H7" s="7" t="str">
        <f aca="false">IF($O7="","",INDEX(Scoring!$D$29:$D$361,MATCH($O7,Scoring!$AI$29:$AI$361,0)))</f>
        <v>Oncology support: prevents low white cell counts after chemotherapy</v>
      </c>
      <c r="I7" s="6" t="str">
        <f aca="false">IF($O7="","",INDEX(Scoring!$R$29:$R$361,MATCH($O7,Scoring!$AI$29:$AI$361,0)))</f>
        <v>Prefilled syringe</v>
      </c>
      <c r="J7" s="7" t="str">
        <f aca="false">IF($O7="","",INDEX(Scoring!$S$29:$S$361,MATCH($O7,Scoring!$AI$29:$AI$361,0)))</f>
        <v>6 mg/0.6 mL pre-filled syringe</v>
      </c>
      <c r="K7" s="8" t="n">
        <f aca="false">IF($O7="","",IF(INDEX(Scoring!$I$29:$I$361,MATCH($O7,Scoring!$AI$29:$AI$361,0))="",INDEX(Scoring!$AC$29:$AC$361,MATCH($O7,Scoring!$AI$29:$AI$361,0)),INDEX(Scoring!$I$29:$I$361,MATCH($O7,Scoring!$AI$29:$AI$361,0))))</f>
        <v>907.38</v>
      </c>
      <c r="L7" s="9" t="n">
        <f aca="false">IF($O7="","",INDEX(Scoring!$M$29:$M$361,MATCH($O7,Scoring!$AI$29:$AI$361,0)))</f>
        <v>155</v>
      </c>
      <c r="M7" s="9" t="n">
        <f aca="false">IF($O7="","",INDEX(Scoring!$O$29:$O$361,MATCH($O7,Scoring!$AI$29:$AI$361,0)))</f>
        <v>22036.1</v>
      </c>
      <c r="N7" s="7" t="str">
        <f aca="false">IF($O7="","",INDEX(Scoring!$Y$29:$Y$361,MATCH($O7,Scoring!$AI$29:$AI$361,0)))</f>
        <v>UK | EU/EEA: all 30 countries</v>
      </c>
      <c r="O7" s="10" t="n">
        <f aca="false">IFERROR(SMALL(Scoring!$AI$29:$AI$361,3),"")</f>
        <v>1003</v>
      </c>
    </row>
    <row r="8" customFormat="false" ht="41.75" hidden="false" customHeight="false" outlineLevel="0" collapsed="false">
      <c r="A8" s="5" t="n">
        <f aca="false">IF($O8="","",INT($O8/1000))</f>
        <v>1</v>
      </c>
      <c r="B8" s="6" t="str">
        <f aca="false">IF($O8="","",INDEX(Scoring!$A$29:$A$361,MATCH($O8,Scoring!$AI$29:$AI$361,0)))</f>
        <v>Intas</v>
      </c>
      <c r="C8" s="5" t="n">
        <f aca="false">IF($O8="","",IF(INDEX(Scoring!$F$29:$F$361,MATCH($O8,Scoring!$AI$29:$AI$361,0))="","–",INDEX(Scoring!$F$29:$F$361,MATCH($O8,Scoring!$AI$29:$AI$361,0))))</f>
        <v>4</v>
      </c>
      <c r="D8" s="6" t="str">
        <f aca="false">IF($O8="","",INDEX(Scoring!$E$29:$E$361,MATCH($O8,Scoring!$AI$29:$AI$361,0)))</f>
        <v>Priority 1</v>
      </c>
      <c r="E8" s="7" t="str">
        <f aca="false">IF($O8="","",INDEX(Scoring!$G$29:$G$361,MATCH($O8,Scoring!$AI$29:$AI$361,0)))</f>
        <v>High price, high volume</v>
      </c>
      <c r="F8" s="6" t="str">
        <f aca="false">IF($O8="","",INDEX(Scoring!$B$29:$B$361,MATCH($O8,Scoring!$AI$29:$AI$361,0)))</f>
        <v>Methotrexate</v>
      </c>
      <c r="G8" s="7" t="str">
        <f aca="false">IF($O8="","",INDEX(Scoring!$C$29:$C$361,MATCH($O8,Scoring!$AI$29:$AI$361,0)))</f>
        <v>Methotrexate; Methotrexate Subcutaneous; Methotrexate Intas</v>
      </c>
      <c r="H8" s="7" t="str">
        <f aca="false">IF($O8="","",INDEX(Scoring!$D$29:$D$361,MATCH($O8,Scoring!$AI$29:$AI$361,0)))</f>
        <v>Oncology and immunology: leukaemia, lymphoma, bone cancer, rheumatoid arthritis, psoriasis</v>
      </c>
      <c r="I8" s="6" t="str">
        <f aca="false">IF($O8="","",INDEX(Scoring!$R$29:$R$361,MATCH($O8,Scoring!$AI$29:$AI$361,0)))</f>
        <v>Vial, Prefilled syringe</v>
      </c>
      <c r="J8" s="7" t="str">
        <f aca="false">IF($O8="","",INDEX(Scoring!$S$29:$S$361,MATCH($O8,Scoring!$AI$29:$AI$361,0)))</f>
        <v>50 mg/2 mL vial; 500 mg/20 mL vial; 1000 mg/40 mL vial; 10 mg/0.2 mL pre-filled syringe (+2 more)</v>
      </c>
      <c r="K8" s="8" t="n">
        <f aca="false">IF($O8="","",IF(INDEX(Scoring!$I$29:$I$361,MATCH($O8,Scoring!$AI$29:$AI$361,0))="",INDEX(Scoring!$AC$29:$AC$361,MATCH($O8,Scoring!$AI$29:$AI$361,0)),INDEX(Scoring!$I$29:$I$361,MATCH($O8,Scoring!$AI$29:$AI$361,0))))</f>
        <v>50.77</v>
      </c>
      <c r="L8" s="9" t="n">
        <f aca="false">IF($O8="","",INDEX(Scoring!$M$29:$M$361,MATCH($O8,Scoring!$AI$29:$AI$361,0)))</f>
        <v>996</v>
      </c>
      <c r="M8" s="9" t="n">
        <f aca="false">IF($O8="","",INDEX(Scoring!$O$29:$O$361,MATCH($O8,Scoring!$AI$29:$AI$361,0)))</f>
        <v>13045.6</v>
      </c>
      <c r="N8" s="7" t="str">
        <f aca="false">IF($O8="","",INDEX(Scoring!$Y$29:$Y$361,MATCH($O8,Scoring!$AI$29:$AI$361,0)))</f>
        <v>UK, Canada, Australia, UK-NI | EU/EEA (25): Germany, France, Netherlands, Belgium + 21 more</v>
      </c>
      <c r="O8" s="10" t="n">
        <f aca="false">IFERROR(SMALL(Scoring!$AI$29:$AI$361,4),"")</f>
        <v>1004</v>
      </c>
    </row>
    <row r="9" customFormat="false" ht="41.75" hidden="false" customHeight="false" outlineLevel="0" collapsed="false">
      <c r="A9" s="5" t="n">
        <f aca="false">IF($O9="","",INT($O9/1000))</f>
        <v>1</v>
      </c>
      <c r="B9" s="6" t="str">
        <f aca="false">IF($O9="","",INDEX(Scoring!$A$29:$A$361,MATCH($O9,Scoring!$AI$29:$AI$361,0)))</f>
        <v>Intas</v>
      </c>
      <c r="C9" s="5" t="n">
        <f aca="false">IF($O9="","",IF(INDEX(Scoring!$F$29:$F$361,MATCH($O9,Scoring!$AI$29:$AI$361,0))="","–",INDEX(Scoring!$F$29:$F$361,MATCH($O9,Scoring!$AI$29:$AI$361,0))))</f>
        <v>5</v>
      </c>
      <c r="D9" s="6" t="str">
        <f aca="false">IF($O9="","",INDEX(Scoring!$E$29:$E$361,MATCH($O9,Scoring!$AI$29:$AI$361,0)))</f>
        <v>Priority 1</v>
      </c>
      <c r="E9" s="7" t="str">
        <f aca="false">IF($O9="","",INDEX(Scoring!$G$29:$G$361,MATCH($O9,Scoring!$AI$29:$AI$361,0)))</f>
        <v>High price, high volume</v>
      </c>
      <c r="F9" s="6" t="str">
        <f aca="false">IF($O9="","",INDEX(Scoring!$B$29:$B$361,MATCH($O9,Scoring!$AI$29:$AI$361,0)))</f>
        <v>Fulvestrant</v>
      </c>
      <c r="G9" s="7" t="str">
        <f aca="false">IF($O9="","",INDEX(Scoring!$C$29:$C$361,MATCH($O9,Scoring!$AI$29:$AI$361,0)))</f>
        <v>Fulvestrant; Fulvestrant Accord; Fulvestrant Intas (+1 more)</v>
      </c>
      <c r="H9" s="7" t="str">
        <f aca="false">IF($O9="","",INDEX(Scoring!$D$29:$D$361,MATCH($O9,Scoring!$AI$29:$AI$361,0)))</f>
        <v>Oncology: hormone receptor-positive advanced breast cancer</v>
      </c>
      <c r="I9" s="6" t="str">
        <f aca="false">IF($O9="","",INDEX(Scoring!$R$29:$R$361,MATCH($O9,Scoring!$AI$29:$AI$361,0)))</f>
        <v>Prefilled syringe</v>
      </c>
      <c r="J9" s="7" t="str">
        <f aca="false">IF($O9="","",INDEX(Scoring!$S$29:$S$361,MATCH($O9,Scoring!$AI$29:$AI$361,0)))</f>
        <v>250 mg/5 mL pre-filled syringe</v>
      </c>
      <c r="K9" s="8" t="n">
        <f aca="false">IF($O9="","",IF(INDEX(Scoring!$I$29:$I$361,MATCH($O9,Scoring!$AI$29:$AI$361,0))="",INDEX(Scoring!$AC$29:$AC$361,MATCH($O9,Scoring!$AI$29:$AI$361,0)),INDEX(Scoring!$I$29:$I$361,MATCH($O9,Scoring!$AI$29:$AI$361,0))))</f>
        <v>246.46</v>
      </c>
      <c r="L9" s="9" t="n">
        <f aca="false">IF($O9="","",INDEX(Scoring!$M$29:$M$361,MATCH($O9,Scoring!$AI$29:$AI$361,0)))</f>
        <v>146</v>
      </c>
      <c r="M9" s="9" t="n">
        <f aca="false">IF($O9="","",INDEX(Scoring!$O$29:$O$361,MATCH($O9,Scoring!$AI$29:$AI$361,0)))</f>
        <v>11366.1</v>
      </c>
      <c r="N9" s="7" t="str">
        <f aca="false">IF($O9="","",INDEX(Scoring!$Y$29:$Y$361,MATCH($O9,Scoring!$AI$29:$AI$361,0)))</f>
        <v>US, UK, Australia, South Africa, UK-NI | EU/EEA (25): Germany, France, Netherlands, Belgium + 21 more</v>
      </c>
      <c r="O9" s="10" t="n">
        <f aca="false">IFERROR(SMALL(Scoring!$AI$29:$AI$361,5),"")</f>
        <v>1005</v>
      </c>
    </row>
    <row r="10" customFormat="false" ht="28.35" hidden="false" customHeight="false" outlineLevel="0" collapsed="false">
      <c r="A10" s="5" t="n">
        <f aca="false">IF($O10="","",INT($O10/1000))</f>
        <v>1</v>
      </c>
      <c r="B10" s="6" t="str">
        <f aca="false">IF($O10="","",INDEX(Scoring!$A$29:$A$361,MATCH($O10,Scoring!$AI$29:$AI$361,0)))</f>
        <v>Intas</v>
      </c>
      <c r="C10" s="5" t="n">
        <f aca="false">IF($O10="","",IF(INDEX(Scoring!$F$29:$F$361,MATCH($O10,Scoring!$AI$29:$AI$361,0))="","–",INDEX(Scoring!$F$29:$F$361,MATCH($O10,Scoring!$AI$29:$AI$361,0))))</f>
        <v>6</v>
      </c>
      <c r="D10" s="6" t="str">
        <f aca="false">IF($O10="","",INDEX(Scoring!$E$29:$E$361,MATCH($O10,Scoring!$AI$29:$AI$361,0)))</f>
        <v>Priority 1</v>
      </c>
      <c r="E10" s="7" t="str">
        <f aca="false">IF($O10="","",INDEX(Scoring!$G$29:$G$361,MATCH($O10,Scoring!$AI$29:$AI$361,0)))</f>
        <v>High price, high volume</v>
      </c>
      <c r="F10" s="6" t="str">
        <f aca="false">IF($O10="","",INDEX(Scoring!$B$29:$B$361,MATCH($O10,Scoring!$AI$29:$AI$361,0)))</f>
        <v>Phenylephrine</v>
      </c>
      <c r="G10" s="7" t="str">
        <f aca="false">IF($O10="","",INDEX(Scoring!$C$29:$C$361,MATCH($O10,Scoring!$AI$29:$AI$361,0)))</f>
        <v>Phenylephrine Accord; Phenylcord</v>
      </c>
      <c r="H10" s="7" t="str">
        <f aca="false">IF($O10="","",INDEX(Scoring!$D$29:$D$361,MATCH($O10,Scoring!$AI$29:$AI$361,0)))</f>
        <v>Anaesthesia: low blood pressure during anaesthesia</v>
      </c>
      <c r="I10" s="6" t="str">
        <f aca="false">IF($O10="","",INDEX(Scoring!$R$29:$R$361,MATCH($O10,Scoring!$AI$29:$AI$361,0)))</f>
        <v>Vial</v>
      </c>
      <c r="J10" s="7" t="str">
        <f aca="false">IF($O10="","",INDEX(Scoring!$S$29:$S$361,MATCH($O10,Scoring!$AI$29:$AI$361,0)))</f>
        <v>10 mg/1 mL vial; 100 mg/10 mL vial</v>
      </c>
      <c r="K10" s="8" t="n">
        <f aca="false">IF($O10="","",IF(INDEX(Scoring!$I$29:$I$361,MATCH($O10,Scoring!$AI$29:$AI$361,0))="",INDEX(Scoring!$AC$29:$AC$361,MATCH($O10,Scoring!$AI$29:$AI$361,0)),INDEX(Scoring!$I$29:$I$361,MATCH($O10,Scoring!$AI$29:$AI$361,0))))</f>
        <v>32.6</v>
      </c>
      <c r="L10" s="9" t="n">
        <f aca="false">IF($O10="","",INDEX(Scoring!$M$29:$M$361,MATCH($O10,Scoring!$AI$29:$AI$361,0)))</f>
        <v>226</v>
      </c>
      <c r="M10" s="9" t="n">
        <f aca="false">IF($O10="","",INDEX(Scoring!$O$29:$O$361,MATCH($O10,Scoring!$AI$29:$AI$361,0)))</f>
        <v>5695.2</v>
      </c>
      <c r="N10" s="7" t="str">
        <f aca="false">IF($O10="","",INDEX(Scoring!$Y$29:$Y$361,MATCH($O10,Scoring!$AI$29:$AI$361,0)))</f>
        <v>Australia, South Africa</v>
      </c>
      <c r="O10" s="10" t="n">
        <f aca="false">IFERROR(SMALL(Scoring!$AI$29:$AI$361,6),"")</f>
        <v>1006</v>
      </c>
    </row>
    <row r="11" customFormat="false" ht="28.35" hidden="false" customHeight="false" outlineLevel="0" collapsed="false">
      <c r="A11" s="5" t="n">
        <f aca="false">IF($O11="","",INT($O11/1000))</f>
        <v>1</v>
      </c>
      <c r="B11" s="6" t="str">
        <f aca="false">IF($O11="","",INDEX(Scoring!$A$29:$A$361,MATCH($O11,Scoring!$AI$29:$AI$361,0)))</f>
        <v>Intas</v>
      </c>
      <c r="C11" s="5" t="n">
        <f aca="false">IF($O11="","",IF(INDEX(Scoring!$F$29:$F$361,MATCH($O11,Scoring!$AI$29:$AI$361,0))="","–",INDEX(Scoring!$F$29:$F$361,MATCH($O11,Scoring!$AI$29:$AI$361,0))))</f>
        <v>7</v>
      </c>
      <c r="D11" s="6" t="str">
        <f aca="false">IF($O11="","",INDEX(Scoring!$E$29:$E$361,MATCH($O11,Scoring!$AI$29:$AI$361,0)))</f>
        <v>Priority 1</v>
      </c>
      <c r="E11" s="7" t="str">
        <f aca="false">IF($O11="","",INDEX(Scoring!$G$29:$G$361,MATCH($O11,Scoring!$AI$29:$AI$361,0)))</f>
        <v>High price, high volume</v>
      </c>
      <c r="F11" s="6" t="str">
        <f aca="false">IF($O11="","",INDEX(Scoring!$B$29:$B$361,MATCH($O11,Scoring!$AI$29:$AI$361,0)))</f>
        <v>Bleomycin</v>
      </c>
      <c r="G11" s="7" t="str">
        <f aca="false">IF($O11="","",INDEX(Scoring!$C$29:$C$361,MATCH($O11,Scoring!$AI$29:$AI$361,0)))</f>
        <v>Bleomycin; Bleomicina Accord; Bleomycin Accord</v>
      </c>
      <c r="H11" s="7" t="str">
        <f aca="false">IF($O11="","",INDEX(Scoring!$D$29:$D$361,MATCH($O11,Scoring!$AI$29:$AI$361,0)))</f>
        <v>Oncology: Hodgkin lymphoma, testicular and squamous cell cancers</v>
      </c>
      <c r="I11" s="6" t="str">
        <f aca="false">IF($O11="","",INDEX(Scoring!$R$29:$R$361,MATCH($O11,Scoring!$AI$29:$AI$361,0)))</f>
        <v>Vial</v>
      </c>
      <c r="J11" s="7" t="str">
        <f aca="false">IF($O11="","",INDEX(Scoring!$S$29:$S$361,MATCH($O11,Scoring!$AI$29:$AI$361,0)))</f>
        <v>15000 IU powder vial</v>
      </c>
      <c r="K11" s="8" t="n">
        <f aca="false">IF($O11="","",IF(INDEX(Scoring!$I$29:$I$361,MATCH($O11,Scoring!$AI$29:$AI$361,0))="",INDEX(Scoring!$AC$29:$AC$361,MATCH($O11,Scoring!$AI$29:$AI$361,0)),INDEX(Scoring!$I$29:$I$361,MATCH($O11,Scoring!$AI$29:$AI$361,0))))</f>
        <v>50.27</v>
      </c>
      <c r="L11" s="9" t="n">
        <f aca="false">IF($O11="","",INDEX(Scoring!$M$29:$M$361,MATCH($O11,Scoring!$AI$29:$AI$361,0)))</f>
        <v>441</v>
      </c>
      <c r="M11" s="9" t="n">
        <f aca="false">IF($O11="","",INDEX(Scoring!$O$29:$O$361,MATCH($O11,Scoring!$AI$29:$AI$361,0)))</f>
        <v>3973.7</v>
      </c>
      <c r="N11" s="7" t="str">
        <f aca="false">IF($O11="","",INDEX(Scoring!$Y$29:$Y$361,MATCH($O11,Scoring!$AI$29:$AI$361,0)))</f>
        <v>UK, Australia, UK-NI | EU/EEA (14): Germany, France, Netherlands, Belgium + 10 more</v>
      </c>
      <c r="O11" s="10" t="n">
        <f aca="false">IFERROR(SMALL(Scoring!$AI$29:$AI$361,7),"")</f>
        <v>1007</v>
      </c>
    </row>
    <row r="12" customFormat="false" ht="28.35" hidden="false" customHeight="false" outlineLevel="0" collapsed="false">
      <c r="A12" s="5" t="n">
        <f aca="false">IF($O12="","",INT($O12/1000))</f>
        <v>1</v>
      </c>
      <c r="B12" s="6" t="str">
        <f aca="false">IF($O12="","",INDEX(Scoring!$A$29:$A$361,MATCH($O12,Scoring!$AI$29:$AI$361,0)))</f>
        <v>Intas</v>
      </c>
      <c r="C12" s="5" t="n">
        <f aca="false">IF($O12="","",IF(INDEX(Scoring!$F$29:$F$361,MATCH($O12,Scoring!$AI$29:$AI$361,0))="","–",INDEX(Scoring!$F$29:$F$361,MATCH($O12,Scoring!$AI$29:$AI$361,0))))</f>
        <v>8</v>
      </c>
      <c r="D12" s="6" t="str">
        <f aca="false">IF($O12="","",INDEX(Scoring!$E$29:$E$361,MATCH($O12,Scoring!$AI$29:$AI$361,0)))</f>
        <v>Priority 1</v>
      </c>
      <c r="E12" s="7" t="str">
        <f aca="false">IF($O12="","",INDEX(Scoring!$G$29:$G$361,MATCH($O12,Scoring!$AI$29:$AI$361,0)))</f>
        <v>High price, high volume</v>
      </c>
      <c r="F12" s="6" t="str">
        <f aca="false">IF($O12="","",INDEX(Scoring!$B$29:$B$361,MATCH($O12,Scoring!$AI$29:$AI$361,0)))</f>
        <v>Denosumab</v>
      </c>
      <c r="G12" s="7" t="str">
        <f aca="false">IF($O12="","",INDEX(Scoring!$C$29:$C$361,MATCH($O12,Scoring!$AI$29:$AI$361,0)))</f>
        <v>Jubereq; Dostiva</v>
      </c>
      <c r="H12" s="7" t="str">
        <f aca="false">IF($O12="","",INDEX(Scoring!$D$29:$D$361,MATCH($O12,Scoring!$AI$29:$AI$361,0)))</f>
        <v>Bone health and oncology: bone metastases, osteoporosis</v>
      </c>
      <c r="I12" s="6" t="str">
        <f aca="false">IF($O12="","",INDEX(Scoring!$R$29:$R$361,MATCH($O12,Scoring!$AI$29:$AI$361,0)))</f>
        <v>Vial</v>
      </c>
      <c r="J12" s="7" t="str">
        <f aca="false">IF($O12="","",INDEX(Scoring!$S$29:$S$361,MATCH($O12,Scoring!$AI$29:$AI$361,0)))</f>
        <v>120 mg/1.7 mL vial</v>
      </c>
      <c r="K12" s="8" t="n">
        <f aca="false">IF($O12="","",IF(INDEX(Scoring!$I$29:$I$361,MATCH($O12,Scoring!$AI$29:$AI$361,0))="",INDEX(Scoring!$AC$29:$AC$361,MATCH($O12,Scoring!$AI$29:$AI$361,0)),INDEX(Scoring!$I$29:$I$361,MATCH($O12,Scoring!$AI$29:$AI$361,0))))</f>
        <v>162.77</v>
      </c>
      <c r="L12" s="9" t="n">
        <f aca="false">IF($O12="","",INDEX(Scoring!$M$29:$M$361,MATCH($O12,Scoring!$AI$29:$AI$361,0)))</f>
        <v>314</v>
      </c>
      <c r="M12" s="9" t="n">
        <f aca="false">IF($O12="","",INDEX(Scoring!$O$29:$O$361,MATCH($O12,Scoring!$AI$29:$AI$361,0)))</f>
        <v>3429.5</v>
      </c>
      <c r="N12" s="7" t="str">
        <f aca="false">IF($O12="","",INDEX(Scoring!$Y$29:$Y$361,MATCH($O12,Scoring!$AI$29:$AI$361,0)))</f>
        <v>UK, Australia | EU/EEA: all 30 countries</v>
      </c>
      <c r="O12" s="10" t="n">
        <f aca="false">IFERROR(SMALL(Scoring!$AI$29:$AI$361,8),"")</f>
        <v>1008</v>
      </c>
    </row>
    <row r="13" customFormat="false" ht="28.35" hidden="false" customHeight="false" outlineLevel="0" collapsed="false">
      <c r="A13" s="5" t="n">
        <f aca="false">IF($O13="","",INT($O13/1000))</f>
        <v>1</v>
      </c>
      <c r="B13" s="6" t="str">
        <f aca="false">IF($O13="","",INDEX(Scoring!$A$29:$A$361,MATCH($O13,Scoring!$AI$29:$AI$361,0)))</f>
        <v>Intas</v>
      </c>
      <c r="C13" s="5" t="n">
        <f aca="false">IF($O13="","",IF(INDEX(Scoring!$F$29:$F$361,MATCH($O13,Scoring!$AI$29:$AI$361,0))="","–",INDEX(Scoring!$F$29:$F$361,MATCH($O13,Scoring!$AI$29:$AI$361,0))))</f>
        <v>9</v>
      </c>
      <c r="D13" s="6" t="str">
        <f aca="false">IF($O13="","",INDEX(Scoring!$E$29:$E$361,MATCH($O13,Scoring!$AI$29:$AI$361,0)))</f>
        <v>Priority 2</v>
      </c>
      <c r="E13" s="7" t="str">
        <f aca="false">IF($O13="","",INDEX(Scoring!$G$29:$G$361,MATCH($O13,Scoring!$AI$29:$AI$361,0)))</f>
        <v>Lower price, high volume</v>
      </c>
      <c r="F13" s="6" t="str">
        <f aca="false">IF($O13="","",INDEX(Scoring!$B$29:$B$361,MATCH($O13,Scoring!$AI$29:$AI$361,0)))</f>
        <v>Ceftriaxone</v>
      </c>
      <c r="G13" s="7" t="str">
        <f aca="false">IF($O13="","",INDEX(Scoring!$C$29:$C$361,MATCH($O13,Scoring!$AI$29:$AI$361,0)))</f>
        <v>Ceftriaxone Accord</v>
      </c>
      <c r="H13" s="7" t="str">
        <f aca="false">IF($O13="","",INDEX(Scoring!$D$29:$D$361,MATCH($O13,Scoring!$AI$29:$AI$361,0)))</f>
        <v>Anti-infective: pneumonia, meningitis, sepsis, gonorrhoea, typhoid</v>
      </c>
      <c r="I13" s="6" t="str">
        <f aca="false">IF($O13="","",INDEX(Scoring!$R$29:$R$361,MATCH($O13,Scoring!$AI$29:$AI$361,0)))</f>
        <v>Not stated</v>
      </c>
      <c r="J13" s="7" t="str">
        <f aca="false">IF($O13="","",INDEX(Scoring!$S$29:$S$361,MATCH($O13,Scoring!$AI$29:$AI$361,0)))</f>
        <v>1 g (container not stated)</v>
      </c>
      <c r="K13" s="8" t="n">
        <f aca="false">IF($O13="","",IF(INDEX(Scoring!$I$29:$I$361,MATCH($O13,Scoring!$AI$29:$AI$361,0))="",INDEX(Scoring!$AC$29:$AC$361,MATCH($O13,Scoring!$AI$29:$AI$361,0)),INDEX(Scoring!$I$29:$I$361,MATCH($O13,Scoring!$AI$29:$AI$361,0))))</f>
        <v>5.6</v>
      </c>
      <c r="L13" s="9" t="n">
        <f aca="false">IF($O13="","",INDEX(Scoring!$M$29:$M$361,MATCH($O13,Scoring!$AI$29:$AI$361,0)))</f>
        <v>3110</v>
      </c>
      <c r="M13" s="9" t="n">
        <f aca="false">IF($O13="","",INDEX(Scoring!$O$29:$O$361,MATCH($O13,Scoring!$AI$29:$AI$361,0)))</f>
        <v>93119.2</v>
      </c>
      <c r="N13" s="7" t="str">
        <f aca="false">IF($O13="","",INDEX(Scoring!$Y$29:$Y$361,MATCH($O13,Scoring!$AI$29:$AI$361,0)))</f>
        <v>EU/EEA (1): Italy</v>
      </c>
      <c r="O13" s="10" t="n">
        <f aca="false">IFERROR(SMALL(Scoring!$AI$29:$AI$361,9),"")</f>
        <v>1009</v>
      </c>
    </row>
    <row r="14" customFormat="false" ht="41.75" hidden="false" customHeight="false" outlineLevel="0" collapsed="false">
      <c r="A14" s="5" t="n">
        <f aca="false">IF($O14="","",INT($O14/1000))</f>
        <v>1</v>
      </c>
      <c r="B14" s="6" t="str">
        <f aca="false">IF($O14="","",INDEX(Scoring!$A$29:$A$361,MATCH($O14,Scoring!$AI$29:$AI$361,0)))</f>
        <v>Intas</v>
      </c>
      <c r="C14" s="5" t="n">
        <f aca="false">IF($O14="","",IF(INDEX(Scoring!$F$29:$F$361,MATCH($O14,Scoring!$AI$29:$AI$361,0))="","–",INDEX(Scoring!$F$29:$F$361,MATCH($O14,Scoring!$AI$29:$AI$361,0))))</f>
        <v>10</v>
      </c>
      <c r="D14" s="6" t="str">
        <f aca="false">IF($O14="","",INDEX(Scoring!$E$29:$E$361,MATCH($O14,Scoring!$AI$29:$AI$361,0)))</f>
        <v>Priority 2</v>
      </c>
      <c r="E14" s="7" t="str">
        <f aca="false">IF($O14="","",INDEX(Scoring!$G$29:$G$361,MATCH($O14,Scoring!$AI$29:$AI$361,0)))</f>
        <v>Lower price, high volume</v>
      </c>
      <c r="F14" s="6" t="str">
        <f aca="false">IF($O14="","",INDEX(Scoring!$B$29:$B$361,MATCH($O14,Scoring!$AI$29:$AI$361,0)))</f>
        <v>Ondansetron</v>
      </c>
      <c r="G14" s="7" t="str">
        <f aca="false">IF($O14="","",INDEX(Scoring!$C$29:$C$361,MATCH($O14,Scoring!$AI$29:$AI$361,0)))</f>
        <v>Ondansetron Hydrochloride; Ondansetron; Ondansetron Accord</v>
      </c>
      <c r="H14" s="7" t="str">
        <f aca="false">IF($O14="","",INDEX(Scoring!$D$29:$D$361,MATCH($O14,Scoring!$AI$29:$AI$361,0)))</f>
        <v>Oncology support: nausea and vomiting from chemotherapy and surgery</v>
      </c>
      <c r="I14" s="6" t="str">
        <f aca="false">IF($O14="","",INDEX(Scoring!$R$29:$R$361,MATCH($O14,Scoring!$AI$29:$AI$361,0)))</f>
        <v>Vial, Ampoule, Prefilled syringe</v>
      </c>
      <c r="J14" s="7" t="str">
        <f aca="false">IF($O14="","",INDEX(Scoring!$S$29:$S$361,MATCH($O14,Scoring!$AI$29:$AI$361,0)))</f>
        <v>40 mg/20 mL vial; 8 mg/4 mL pre-filled syringe; 4 mg/2 mL ampoule; 4 mg/2 mL pre-filled syringe</v>
      </c>
      <c r="K14" s="8" t="n">
        <f aca="false">IF($O14="","",IF(INDEX(Scoring!$I$29:$I$361,MATCH($O14,Scoring!$AI$29:$AI$361,0))="",INDEX(Scoring!$AC$29:$AC$361,MATCH($O14,Scoring!$AI$29:$AI$361,0)),INDEX(Scoring!$I$29:$I$361,MATCH($O14,Scoring!$AI$29:$AI$361,0))))</f>
        <v>24.05</v>
      </c>
      <c r="L14" s="9" t="n">
        <f aca="false">IF($O14="","",INDEX(Scoring!$M$29:$M$361,MATCH($O14,Scoring!$AI$29:$AI$361,0)))</f>
        <v>963</v>
      </c>
      <c r="M14" s="9" t="n">
        <f aca="false">IF($O14="","",INDEX(Scoring!$O$29:$O$361,MATCH($O14,Scoring!$AI$29:$AI$361,0)))</f>
        <v>17590.5</v>
      </c>
      <c r="N14" s="7" t="str">
        <f aca="false">IF($O14="","",INDEX(Scoring!$Y$29:$Y$361,MATCH($O14,Scoring!$AI$29:$AI$361,0)))</f>
        <v>US, UK, Australia, UK-NI | EU/EEA (23): Germany, France, Netherlands, Belgium + 19 more</v>
      </c>
      <c r="O14" s="10" t="n">
        <f aca="false">IFERROR(SMALL(Scoring!$AI$29:$AI$361,10),"")</f>
        <v>1010</v>
      </c>
    </row>
    <row r="15" customFormat="false" ht="28.35" hidden="false" customHeight="false" outlineLevel="0" collapsed="false">
      <c r="A15" s="5" t="n">
        <f aca="false">IF($O15="","",INT($O15/1000))</f>
        <v>1</v>
      </c>
      <c r="B15" s="6" t="str">
        <f aca="false">IF($O15="","",INDEX(Scoring!$A$29:$A$361,MATCH($O15,Scoring!$AI$29:$AI$361,0)))</f>
        <v>Intas</v>
      </c>
      <c r="C15" s="5" t="n">
        <f aca="false">IF($O15="","",IF(INDEX(Scoring!$F$29:$F$361,MATCH($O15,Scoring!$AI$29:$AI$361,0))="","–",INDEX(Scoring!$F$29:$F$361,MATCH($O15,Scoring!$AI$29:$AI$361,0))))</f>
        <v>11</v>
      </c>
      <c r="D15" s="6" t="str">
        <f aca="false">IF($O15="","",INDEX(Scoring!$E$29:$E$361,MATCH($O15,Scoring!$AI$29:$AI$361,0)))</f>
        <v>Priority 2</v>
      </c>
      <c r="E15" s="7" t="str">
        <f aca="false">IF($O15="","",INDEX(Scoring!$G$29:$G$361,MATCH($O15,Scoring!$AI$29:$AI$361,0)))</f>
        <v>High price, lower volume</v>
      </c>
      <c r="F15" s="6" t="str">
        <f aca="false">IF($O15="","",INDEX(Scoring!$B$29:$B$361,MATCH($O15,Scoring!$AI$29:$AI$361,0)))</f>
        <v>Plerixafor</v>
      </c>
      <c r="G15" s="7" t="str">
        <f aca="false">IF($O15="","",INDEX(Scoring!$C$29:$C$361,MATCH($O15,Scoring!$AI$29:$AI$361,0)))</f>
        <v>Plerixafor; Plerixafor Accord</v>
      </c>
      <c r="H15" s="7" t="str">
        <f aca="false">IF($O15="","",INDEX(Scoring!$D$29:$D$361,MATCH($O15,Scoring!$AI$29:$AI$361,0)))</f>
        <v>Oncology support: stem cell mobilisation in myeloma and lymphoma</v>
      </c>
      <c r="I15" s="6" t="str">
        <f aca="false">IF($O15="","",INDEX(Scoring!$R$29:$R$361,MATCH($O15,Scoring!$AI$29:$AI$361,0)))</f>
        <v>Vial</v>
      </c>
      <c r="J15" s="7" t="str">
        <f aca="false">IF($O15="","",INDEX(Scoring!$S$29:$S$361,MATCH($O15,Scoring!$AI$29:$AI$361,0)))</f>
        <v>24 mg/1.2 mL vial</v>
      </c>
      <c r="K15" s="8" t="n">
        <f aca="false">IF($O15="","",IF(INDEX(Scoring!$I$29:$I$361,MATCH($O15,Scoring!$AI$29:$AI$361,0))="",INDEX(Scoring!$AC$29:$AC$361,MATCH($O15,Scoring!$AI$29:$AI$361,0)),INDEX(Scoring!$I$29:$I$361,MATCH($O15,Scoring!$AI$29:$AI$361,0))))</f>
        <v>4779</v>
      </c>
      <c r="L15" s="9" t="n">
        <f aca="false">IF($O15="","",INDEX(Scoring!$M$29:$M$361,MATCH($O15,Scoring!$AI$29:$AI$361,0)))</f>
        <v>47</v>
      </c>
      <c r="M15" s="9" t="n">
        <f aca="false">IF($O15="","",INDEX(Scoring!$O$29:$O$361,MATCH($O15,Scoring!$AI$29:$AI$361,0)))</f>
        <v>7904.7</v>
      </c>
      <c r="N15" s="7" t="str">
        <f aca="false">IF($O15="","",INDEX(Scoring!$Y$29:$Y$361,MATCH($O15,Scoring!$AI$29:$AI$361,0)))</f>
        <v>UK, Australia | EU/EEA: all 30 countries</v>
      </c>
      <c r="O15" s="10" t="n">
        <f aca="false">IFERROR(SMALL(Scoring!$AI$29:$AI$361,11),"")</f>
        <v>1011</v>
      </c>
    </row>
    <row r="16" customFormat="false" ht="28.35" hidden="false" customHeight="false" outlineLevel="0" collapsed="false">
      <c r="A16" s="5" t="n">
        <f aca="false">IF($O16="","",INT($O16/1000))</f>
        <v>1</v>
      </c>
      <c r="B16" s="6" t="str">
        <f aca="false">IF($O16="","",INDEX(Scoring!$A$29:$A$361,MATCH($O16,Scoring!$AI$29:$AI$361,0)))</f>
        <v>Intas</v>
      </c>
      <c r="C16" s="5" t="n">
        <f aca="false">IF($O16="","",IF(INDEX(Scoring!$F$29:$F$361,MATCH($O16,Scoring!$AI$29:$AI$361,0))="","–",INDEX(Scoring!$F$29:$F$361,MATCH($O16,Scoring!$AI$29:$AI$361,0))))</f>
        <v>12</v>
      </c>
      <c r="D16" s="6" t="str">
        <f aca="false">IF($O16="","",INDEX(Scoring!$E$29:$E$361,MATCH($O16,Scoring!$AI$29:$AI$361,0)))</f>
        <v>Priority 2</v>
      </c>
      <c r="E16" s="7" t="str">
        <f aca="false">IF($O16="","",INDEX(Scoring!$G$29:$G$361,MATCH($O16,Scoring!$AI$29:$AI$361,0)))</f>
        <v>Lower price, high volume</v>
      </c>
      <c r="F16" s="6" t="str">
        <f aca="false">IF($O16="","",INDEX(Scoring!$B$29:$B$361,MATCH($O16,Scoring!$AI$29:$AI$361,0)))</f>
        <v>Cytarabine</v>
      </c>
      <c r="G16" s="7" t="str">
        <f aca="false">IF($O16="","",INDEX(Scoring!$C$29:$C$361,MATCH($O16,Scoring!$AI$29:$AI$361,0)))</f>
        <v>Cytarabine; Cytarabine Accord; Cytarabine ACC</v>
      </c>
      <c r="H16" s="7" t="str">
        <f aca="false">IF($O16="","",INDEX(Scoring!$D$29:$D$361,MATCH($O16,Scoring!$AI$29:$AI$361,0)))</f>
        <v>Oncology: acute myeloid and acute lymphoblastic leukaemia</v>
      </c>
      <c r="I16" s="6" t="str">
        <f aca="false">IF($O16="","",INDEX(Scoring!$R$29:$R$361,MATCH($O16,Scoring!$AI$29:$AI$361,0)))</f>
        <v>Vial</v>
      </c>
      <c r="J16" s="7" t="str">
        <f aca="false">IF($O16="","",INDEX(Scoring!$S$29:$S$361,MATCH($O16,Scoring!$AI$29:$AI$361,0)))</f>
        <v>100 mg/5 mL vial; 4000 mg/40 mL vial; 2000 mg/20 mL vial; 500 mg/5 mL vial (+3 more)</v>
      </c>
      <c r="K16" s="8" t="n">
        <f aca="false">IF($O16="","",IF(INDEX(Scoring!$I$29:$I$361,MATCH($O16,Scoring!$AI$29:$AI$361,0))="",INDEX(Scoring!$AC$29:$AC$361,MATCH($O16,Scoring!$AI$29:$AI$361,0)),INDEX(Scoring!$I$29:$I$361,MATCH($O16,Scoring!$AI$29:$AI$361,0))))</f>
        <v>6.7</v>
      </c>
      <c r="L16" s="9" t="n">
        <f aca="false">IF($O16="","",INDEX(Scoring!$M$29:$M$361,MATCH($O16,Scoring!$AI$29:$AI$361,0)))</f>
        <v>799</v>
      </c>
      <c r="M16" s="9" t="n">
        <f aca="false">IF($O16="","",INDEX(Scoring!$O$29:$O$361,MATCH($O16,Scoring!$AI$29:$AI$361,0)))</f>
        <v>7739</v>
      </c>
      <c r="N16" s="7" t="str">
        <f aca="false">IF($O16="","",INDEX(Scoring!$Y$29:$Y$361,MATCH($O16,Scoring!$AI$29:$AI$361,0)))</f>
        <v>UK, Australia, UK-NI | EU/EEA (25): Germany, France, Netherlands, Belgium + 21 more</v>
      </c>
      <c r="O16" s="10" t="n">
        <f aca="false">IFERROR(SMALL(Scoring!$AI$29:$AI$361,12),"")</f>
        <v>1012</v>
      </c>
    </row>
    <row r="17" customFormat="false" ht="41.75" hidden="false" customHeight="false" outlineLevel="0" collapsed="false">
      <c r="A17" s="5" t="n">
        <f aca="false">IF($O17="","",INT($O17/1000))</f>
        <v>1</v>
      </c>
      <c r="B17" s="6" t="str">
        <f aca="false">IF($O17="","",INDEX(Scoring!$A$29:$A$361,MATCH($O17,Scoring!$AI$29:$AI$361,0)))</f>
        <v>Intas</v>
      </c>
      <c r="C17" s="5" t="n">
        <f aca="false">IF($O17="","",IF(INDEX(Scoring!$F$29:$F$361,MATCH($O17,Scoring!$AI$29:$AI$361,0))="","–",INDEX(Scoring!$F$29:$F$361,MATCH($O17,Scoring!$AI$29:$AI$361,0))))</f>
        <v>13</v>
      </c>
      <c r="D17" s="6" t="str">
        <f aca="false">IF($O17="","",INDEX(Scoring!$E$29:$E$361,MATCH($O17,Scoring!$AI$29:$AI$361,0)))</f>
        <v>Priority 2</v>
      </c>
      <c r="E17" s="7" t="str">
        <f aca="false">IF($O17="","",INDEX(Scoring!$G$29:$G$361,MATCH($O17,Scoring!$AI$29:$AI$361,0)))</f>
        <v>Lower price, high volume</v>
      </c>
      <c r="F17" s="6" t="str">
        <f aca="false">IF($O17="","",INDEX(Scoring!$B$29:$B$361,MATCH($O17,Scoring!$AI$29:$AI$361,0)))</f>
        <v>Atropine</v>
      </c>
      <c r="G17" s="7" t="str">
        <f aca="false">IF($O17="","",INDEX(Scoring!$C$29:$C$361,MATCH($O17,Scoring!$AI$29:$AI$361,0)))</f>
        <v>Atropine Sulfate; Atropin Accord; Atropina Accord</v>
      </c>
      <c r="H17" s="7" t="str">
        <f aca="false">IF($O17="","",INDEX(Scoring!$D$29:$D$361,MATCH($O17,Scoring!$AI$29:$AI$361,0)))</f>
        <v>Critical care: slow heart rate, pre-anaesthesia, organophosphate poisoning</v>
      </c>
      <c r="I17" s="6" t="str">
        <f aca="false">IF($O17="","",INDEX(Scoring!$R$29:$R$361,MATCH($O17,Scoring!$AI$29:$AI$361,0)))</f>
        <v>Vial, Prefilled syringe</v>
      </c>
      <c r="J17" s="7" t="str">
        <f aca="false">IF($O17="","",INDEX(Scoring!$S$29:$S$361,MATCH($O17,Scoring!$AI$29:$AI$361,0)))</f>
        <v>0.25 mg/5 mL pre-filled syringe; 0.4 mg/1 mL vial; 0.5 mg/5 mL pre-filled syringe; 1 mg/10 mL pre-filled syringe (+3 more)</v>
      </c>
      <c r="K17" s="8" t="n">
        <f aca="false">IF($O17="","",IF(INDEX(Scoring!$I$29:$I$361,MATCH($O17,Scoring!$AI$29:$AI$361,0))="",INDEX(Scoring!$AC$29:$AC$361,MATCH($O17,Scoring!$AI$29:$AI$361,0)),INDEX(Scoring!$I$29:$I$361,MATCH($O17,Scoring!$AI$29:$AI$361,0))))</f>
        <v>16.48</v>
      </c>
      <c r="L17" s="9" t="n">
        <f aca="false">IF($O17="","",INDEX(Scoring!$M$29:$M$361,MATCH($O17,Scoring!$AI$29:$AI$361,0)))</f>
        <v>715</v>
      </c>
      <c r="M17" s="9" t="n">
        <f aca="false">IF($O17="","",INDEX(Scoring!$O$29:$O$361,MATCH($O17,Scoring!$AI$29:$AI$361,0)))</f>
        <v>6805</v>
      </c>
      <c r="N17" s="7" t="str">
        <f aca="false">IF($O17="","",INDEX(Scoring!$Y$29:$Y$361,MATCH($O17,Scoring!$AI$29:$AI$361,0)))</f>
        <v>US, UK, UK-NI | EU/EEA (13): Germany, France, Netherlands, Austria + 9 more</v>
      </c>
      <c r="O17" s="10" t="n">
        <f aca="false">IFERROR(SMALL(Scoring!$AI$29:$AI$361,13),"")</f>
        <v>1013</v>
      </c>
    </row>
    <row r="18" customFormat="false" ht="28.35" hidden="false" customHeight="false" outlineLevel="0" collapsed="false">
      <c r="A18" s="5" t="n">
        <f aca="false">IF($O18="","",INT($O18/1000))</f>
        <v>1</v>
      </c>
      <c r="B18" s="6" t="str">
        <f aca="false">IF($O18="","",INDEX(Scoring!$A$29:$A$361,MATCH($O18,Scoring!$AI$29:$AI$361,0)))</f>
        <v>Intas</v>
      </c>
      <c r="C18" s="5" t="n">
        <f aca="false">IF($O18="","",IF(INDEX(Scoring!$F$29:$F$361,MATCH($O18,Scoring!$AI$29:$AI$361,0))="","–",INDEX(Scoring!$F$29:$F$361,MATCH($O18,Scoring!$AI$29:$AI$361,0))))</f>
        <v>14</v>
      </c>
      <c r="D18" s="6" t="str">
        <f aca="false">IF($O18="","",INDEX(Scoring!$E$29:$E$361,MATCH($O18,Scoring!$AI$29:$AI$361,0)))</f>
        <v>Priority 2</v>
      </c>
      <c r="E18" s="7" t="str">
        <f aca="false">IF($O18="","",INDEX(Scoring!$G$29:$G$361,MATCH($O18,Scoring!$AI$29:$AI$361,0)))</f>
        <v>High price, lower volume</v>
      </c>
      <c r="F18" s="6" t="str">
        <f aca="false">IF($O18="","",INDEX(Scoring!$B$29:$B$361,MATCH($O18,Scoring!$AI$29:$AI$361,0)))</f>
        <v>Teicoplanin</v>
      </c>
      <c r="G18" s="7" t="str">
        <f aca="false">IF($O18="","",INDEX(Scoring!$C$29:$C$361,MATCH($O18,Scoring!$AI$29:$AI$361,0)))</f>
        <v>Teicoplanina Accord</v>
      </c>
      <c r="H18" s="7" t="str">
        <f aca="false">IF($O18="","",INDEX(Scoring!$D$29:$D$361,MATCH($O18,Scoring!$AI$29:$AI$361,0)))</f>
        <v>Anti-infective: MRSA and serious Gram-positive infections</v>
      </c>
      <c r="I18" s="6" t="str">
        <f aca="false">IF($O18="","",INDEX(Scoring!$R$29:$R$361,MATCH($O18,Scoring!$AI$29:$AI$361,0)))</f>
        <v>Vial</v>
      </c>
      <c r="J18" s="7" t="str">
        <f aca="false">IF($O18="","",INDEX(Scoring!$S$29:$S$361,MATCH($O18,Scoring!$AI$29:$AI$361,0)))</f>
        <v>200 mg powder vial</v>
      </c>
      <c r="K18" s="8" t="n">
        <f aca="false">IF($O18="","",IF(INDEX(Scoring!$I$29:$I$361,MATCH($O18,Scoring!$AI$29:$AI$361,0))="",INDEX(Scoring!$AC$29:$AC$361,MATCH($O18,Scoring!$AI$29:$AI$361,0)),INDEX(Scoring!$I$29:$I$361,MATCH($O18,Scoring!$AI$29:$AI$361,0))))</f>
        <v>35.27</v>
      </c>
      <c r="L18" s="9" t="n">
        <f aca="false">IF($O18="","",INDEX(Scoring!$M$29:$M$361,MATCH($O18,Scoring!$AI$29:$AI$361,0)))</f>
        <v>99</v>
      </c>
      <c r="M18" s="9" t="n">
        <f aca="false">IF($O18="","",INDEX(Scoring!$O$29:$O$361,MATCH($O18,Scoring!$AI$29:$AI$361,0)))</f>
        <v>6632.6</v>
      </c>
      <c r="N18" s="7" t="str">
        <f aca="false">IF($O18="","",INDEX(Scoring!$Y$29:$Y$361,MATCH($O18,Scoring!$AI$29:$AI$361,0)))</f>
        <v>EU/EEA (3): Austria, Portugal, Spain</v>
      </c>
      <c r="O18" s="10" t="n">
        <f aca="false">IFERROR(SMALL(Scoring!$AI$29:$AI$361,14),"")</f>
        <v>1014</v>
      </c>
    </row>
    <row r="19" customFormat="false" ht="28.35" hidden="false" customHeight="false" outlineLevel="0" collapsed="false">
      <c r="A19" s="5" t="n">
        <f aca="false">IF($O19="","",INT($O19/1000))</f>
        <v>1</v>
      </c>
      <c r="B19" s="6" t="str">
        <f aca="false">IF($O19="","",INDEX(Scoring!$A$29:$A$361,MATCH($O19,Scoring!$AI$29:$AI$361,0)))</f>
        <v>Intas</v>
      </c>
      <c r="C19" s="5" t="n">
        <f aca="false">IF($O19="","",IF(INDEX(Scoring!$F$29:$F$361,MATCH($O19,Scoring!$AI$29:$AI$361,0))="","–",INDEX(Scoring!$F$29:$F$361,MATCH($O19,Scoring!$AI$29:$AI$361,0))))</f>
        <v>15</v>
      </c>
      <c r="D19" s="6" t="str">
        <f aca="false">IF($O19="","",INDEX(Scoring!$E$29:$E$361,MATCH($O19,Scoring!$AI$29:$AI$361,0)))</f>
        <v>Priority 2</v>
      </c>
      <c r="E19" s="7" t="str">
        <f aca="false">IF($O19="","",INDEX(Scoring!$G$29:$G$361,MATCH($O19,Scoring!$AI$29:$AI$361,0)))</f>
        <v>Lower price, high volume</v>
      </c>
      <c r="F19" s="6" t="str">
        <f aca="false">IF($O19="","",INDEX(Scoring!$B$29:$B$361,MATCH($O19,Scoring!$AI$29:$AI$361,0)))</f>
        <v>Cefepime</v>
      </c>
      <c r="G19" s="7" t="str">
        <f aca="false">IF($O19="","",INDEX(Scoring!$C$29:$C$361,MATCH($O19,Scoring!$AI$29:$AI$361,0)))</f>
        <v>Cefepim Accord; Cefepime Accord</v>
      </c>
      <c r="H19" s="7" t="str">
        <f aca="false">IF($O19="","",INDEX(Scoring!$D$29:$D$361,MATCH($O19,Scoring!$AI$29:$AI$361,0)))</f>
        <v>Anti-infective: hospital Gram-negative infections, febrile neutropenia</v>
      </c>
      <c r="I19" s="6" t="str">
        <f aca="false">IF($O19="","",INDEX(Scoring!$R$29:$R$361,MATCH($O19,Scoring!$AI$29:$AI$361,0)))</f>
        <v>Vial</v>
      </c>
      <c r="J19" s="7" t="str">
        <f aca="false">IF($O19="","",INDEX(Scoring!$S$29:$S$361,MATCH($O19,Scoring!$AI$29:$AI$361,0)))</f>
        <v>1 g powder vial</v>
      </c>
      <c r="K19" s="8" t="n">
        <f aca="false">IF($O19="","",IF(INDEX(Scoring!$I$29:$I$361,MATCH($O19,Scoring!$AI$29:$AI$361,0))="",INDEX(Scoring!$AC$29:$AC$361,MATCH($O19,Scoring!$AI$29:$AI$361,0)),INDEX(Scoring!$I$29:$I$361,MATCH($O19,Scoring!$AI$29:$AI$361,0))))</f>
        <v>9.65</v>
      </c>
      <c r="L19" s="9" t="n">
        <f aca="false">IF($O19="","",INDEX(Scoring!$M$29:$M$361,MATCH($O19,Scoring!$AI$29:$AI$361,0)))</f>
        <v>288</v>
      </c>
      <c r="M19" s="9" t="n">
        <f aca="false">IF($O19="","",INDEX(Scoring!$O$29:$O$361,MATCH($O19,Scoring!$AI$29:$AI$361,0)))</f>
        <v>6294.9</v>
      </c>
      <c r="N19" s="7" t="str">
        <f aca="false">IF($O19="","",INDEX(Scoring!$Y$29:$Y$361,MATCH($O19,Scoring!$AI$29:$AI$361,0)))</f>
        <v>EU/EEA (4): Germany, France, Croatia, Portugal</v>
      </c>
      <c r="O19" s="10" t="n">
        <f aca="false">IFERROR(SMALL(Scoring!$AI$29:$AI$361,15),"")</f>
        <v>1015</v>
      </c>
    </row>
    <row r="20" customFormat="false" ht="28.35" hidden="false" customHeight="false" outlineLevel="0" collapsed="false">
      <c r="A20" s="5" t="n">
        <f aca="false">IF($O20="","",INT($O20/1000))</f>
        <v>1</v>
      </c>
      <c r="B20" s="6" t="str">
        <f aca="false">IF($O20="","",INDEX(Scoring!$A$29:$A$361,MATCH($O20,Scoring!$AI$29:$AI$361,0)))</f>
        <v>Intas</v>
      </c>
      <c r="C20" s="5" t="n">
        <f aca="false">IF($O20="","",IF(INDEX(Scoring!$F$29:$F$361,MATCH($O20,Scoring!$AI$29:$AI$361,0))="","–",INDEX(Scoring!$F$29:$F$361,MATCH($O20,Scoring!$AI$29:$AI$361,0))))</f>
        <v>16</v>
      </c>
      <c r="D20" s="6" t="str">
        <f aca="false">IF($O20="","",INDEX(Scoring!$E$29:$E$361,MATCH($O20,Scoring!$AI$29:$AI$361,0)))</f>
        <v>Priority 2</v>
      </c>
      <c r="E20" s="7" t="str">
        <f aca="false">IF($O20="","",INDEX(Scoring!$G$29:$G$361,MATCH($O20,Scoring!$AI$29:$AI$361,0)))</f>
        <v>Lower price, high volume</v>
      </c>
      <c r="F20" s="6" t="str">
        <f aca="false">IF($O20="","",INDEX(Scoring!$B$29:$B$361,MATCH($O20,Scoring!$AI$29:$AI$361,0)))</f>
        <v>Midazolam</v>
      </c>
      <c r="G20" s="7" t="str">
        <f aca="false">IF($O20="","",INDEX(Scoring!$C$29:$C$361,MATCH($O20,Scoring!$AI$29:$AI$361,0)))</f>
        <v>Midazolam Accord; Intas Midazolam</v>
      </c>
      <c r="H20" s="7" t="str">
        <f aca="false">IF($O20="","",INDEX(Scoring!$D$29:$D$361,MATCH($O20,Scoring!$AI$29:$AI$361,0)))</f>
        <v>Anaesthesia: sedation for procedures and ICU, anaesthesia induction, seizures</v>
      </c>
      <c r="I20" s="6" t="str">
        <f aca="false">IF($O20="","",INDEX(Scoring!$R$29:$R$361,MATCH($O20,Scoring!$AI$29:$AI$361,0)))</f>
        <v>Ampoule, Prefilled syringe</v>
      </c>
      <c r="J20" s="7" t="str">
        <f aca="false">IF($O20="","",INDEX(Scoring!$S$29:$S$361,MATCH($O20,Scoring!$AI$29:$AI$361,0)))</f>
        <v>50 mg/10 mL pre-filled syringe; 5 mg/5 mL pre-filled syringe; 15 mg/3 mL ampoule</v>
      </c>
      <c r="K20" s="8" t="n">
        <f aca="false">IF($O20="","",IF(INDEX(Scoring!$I$29:$I$361,MATCH($O20,Scoring!$AI$29:$AI$361,0))="",INDEX(Scoring!$AC$29:$AC$361,MATCH($O20,Scoring!$AI$29:$AI$361,0)),INDEX(Scoring!$I$29:$I$361,MATCH($O20,Scoring!$AI$29:$AI$361,0))))</f>
        <v>11.33</v>
      </c>
      <c r="L20" s="9" t="n">
        <f aca="false">IF($O20="","",INDEX(Scoring!$M$29:$M$361,MATCH($O20,Scoring!$AI$29:$AI$361,0)))</f>
        <v>177</v>
      </c>
      <c r="M20" s="9" t="n">
        <f aca="false">IF($O20="","",INDEX(Scoring!$O$29:$O$361,MATCH($O20,Scoring!$AI$29:$AI$361,0)))</f>
        <v>4675.1</v>
      </c>
      <c r="N20" s="7" t="str">
        <f aca="false">IF($O20="","",INDEX(Scoring!$Y$29:$Y$361,MATCH($O20,Scoring!$AI$29:$AI$361,0)))</f>
        <v>Australia, UK-NI | EU/EEA (22): Germany, France, Netherlands, Belgium + 18 more</v>
      </c>
      <c r="O20" s="10" t="n">
        <f aca="false">IFERROR(SMALL(Scoring!$AI$29:$AI$361,16),"")</f>
        <v>1016</v>
      </c>
    </row>
    <row r="21" customFormat="false" ht="28.35" hidden="false" customHeight="false" outlineLevel="0" collapsed="false">
      <c r="A21" s="5" t="n">
        <f aca="false">IF($O21="","",INT($O21/1000))</f>
        <v>1</v>
      </c>
      <c r="B21" s="6" t="str">
        <f aca="false">IF($O21="","",INDEX(Scoring!$A$29:$A$361,MATCH($O21,Scoring!$AI$29:$AI$361,0)))</f>
        <v>Intas</v>
      </c>
      <c r="C21" s="5" t="n">
        <f aca="false">IF($O21="","",IF(INDEX(Scoring!$F$29:$F$361,MATCH($O21,Scoring!$AI$29:$AI$361,0))="","–",INDEX(Scoring!$F$29:$F$361,MATCH($O21,Scoring!$AI$29:$AI$361,0))))</f>
        <v>17</v>
      </c>
      <c r="D21" s="6" t="str">
        <f aca="false">IF($O21="","",INDEX(Scoring!$E$29:$E$361,MATCH($O21,Scoring!$AI$29:$AI$361,0)))</f>
        <v>Priority 2</v>
      </c>
      <c r="E21" s="7" t="str">
        <f aca="false">IF($O21="","",INDEX(Scoring!$G$29:$G$361,MATCH($O21,Scoring!$AI$29:$AI$361,0)))</f>
        <v>Lower price, high volume</v>
      </c>
      <c r="F21" s="6" t="str">
        <f aca="false">IF($O21="","",INDEX(Scoring!$B$29:$B$361,MATCH($O21,Scoring!$AI$29:$AI$361,0)))</f>
        <v>Succinylcholine (Suxamethonium)</v>
      </c>
      <c r="G21" s="7" t="str">
        <f aca="false">IF($O21="","",INDEX(Scoring!$C$29:$C$361,MATCH($O21,Scoring!$AI$29:$AI$361,0)))</f>
        <v>Suxamethonium Intas</v>
      </c>
      <c r="H21" s="7" t="str">
        <f aca="false">IF($O21="","",INDEX(Scoring!$D$29:$D$361,MATCH($O21,Scoring!$AI$29:$AI$361,0)))</f>
        <v>Anaesthesia: muscle relaxant for rapid intubation</v>
      </c>
      <c r="I21" s="6" t="str">
        <f aca="false">IF($O21="","",INDEX(Scoring!$R$29:$R$361,MATCH($O21,Scoring!$AI$29:$AI$361,0)))</f>
        <v>Prefilled syringe</v>
      </c>
      <c r="J21" s="7" t="str">
        <f aca="false">IF($O21="","",INDEX(Scoring!$S$29:$S$361,MATCH($O21,Scoring!$AI$29:$AI$361,0)))</f>
        <v>100 mg/2 mL pre-filled syringe</v>
      </c>
      <c r="K21" s="8" t="n">
        <f aca="false">IF($O21="","",IF(INDEX(Scoring!$I$29:$I$361,MATCH($O21,Scoring!$AI$29:$AI$361,0))="",INDEX(Scoring!$AC$29:$AC$361,MATCH($O21,Scoring!$AI$29:$AI$361,0)),INDEX(Scoring!$I$29:$I$361,MATCH($O21,Scoring!$AI$29:$AI$361,0))))</f>
        <v>5.12</v>
      </c>
      <c r="L21" s="9" t="n">
        <f aca="false">IF($O21="","",INDEX(Scoring!$M$29:$M$361,MATCH($O21,Scoring!$AI$29:$AI$361,0)))</f>
        <v>286</v>
      </c>
      <c r="M21" s="9" t="n">
        <f aca="false">IF($O21="","",INDEX(Scoring!$O$29:$O$361,MATCH($O21,Scoring!$AI$29:$AI$361,0)))</f>
        <v>3067.4</v>
      </c>
      <c r="N21" s="7" t="str">
        <f aca="false">IF($O21="","",INDEX(Scoring!$Y$29:$Y$361,MATCH($O21,Scoring!$AI$29:$AI$361,0)))</f>
        <v>Australia</v>
      </c>
      <c r="O21" s="10" t="n">
        <f aca="false">IFERROR(SMALL(Scoring!$AI$29:$AI$361,17),"")</f>
        <v>1017</v>
      </c>
    </row>
    <row r="22" customFormat="false" ht="28.35" hidden="false" customHeight="false" outlineLevel="0" collapsed="false">
      <c r="A22" s="5" t="n">
        <f aca="false">IF($O22="","",INT($O22/1000))</f>
        <v>1</v>
      </c>
      <c r="B22" s="6" t="str">
        <f aca="false">IF($O22="","",INDEX(Scoring!$A$29:$A$361,MATCH($O22,Scoring!$AI$29:$AI$361,0)))</f>
        <v>Intas</v>
      </c>
      <c r="C22" s="5" t="n">
        <f aca="false">IF($O22="","",IF(INDEX(Scoring!$F$29:$F$361,MATCH($O22,Scoring!$AI$29:$AI$361,0))="","–",INDEX(Scoring!$F$29:$F$361,MATCH($O22,Scoring!$AI$29:$AI$361,0))))</f>
        <v>18</v>
      </c>
      <c r="D22" s="6" t="str">
        <f aca="false">IF($O22="","",INDEX(Scoring!$E$29:$E$361,MATCH($O22,Scoring!$AI$29:$AI$361,0)))</f>
        <v>Priority 2</v>
      </c>
      <c r="E22" s="7" t="str">
        <f aca="false">IF($O22="","",INDEX(Scoring!$G$29:$G$361,MATCH($O22,Scoring!$AI$29:$AI$361,0)))</f>
        <v>High price, lower volume</v>
      </c>
      <c r="F22" s="6" t="str">
        <f aca="false">IF($O22="","",INDEX(Scoring!$B$29:$B$361,MATCH($O22,Scoring!$AI$29:$AI$361,0)))</f>
        <v>Leuprorelin</v>
      </c>
      <c r="G22" s="7" t="str">
        <f aca="false">IF($O22="","",INDEX(Scoring!$C$29:$C$361,MATCH($O22,Scoring!$AI$29:$AI$361,0)))</f>
        <v>Camcevi</v>
      </c>
      <c r="H22" s="7" t="str">
        <f aca="false">IF($O22="","",INDEX(Scoring!$D$29:$D$361,MATCH($O22,Scoring!$AI$29:$AI$361,0)))</f>
        <v>Oncology: hormone therapy for advanced prostate cancer</v>
      </c>
      <c r="I22" s="6" t="str">
        <f aca="false">IF($O22="","",INDEX(Scoring!$R$29:$R$361,MATCH($O22,Scoring!$AI$29:$AI$361,0)))</f>
        <v>Prefilled syringe</v>
      </c>
      <c r="J22" s="7" t="str">
        <f aca="false">IF($O22="","",INDEX(Scoring!$S$29:$S$361,MATCH($O22,Scoring!$AI$29:$AI$361,0)))</f>
        <v>21 mg pre-filled syringe; 21 mg/0.25 mL pre-filled syringe</v>
      </c>
      <c r="K22" s="8" t="n">
        <f aca="false">IF($O22="","",IF(INDEX(Scoring!$I$29:$I$361,MATCH($O22,Scoring!$AI$29:$AI$361,0))="",INDEX(Scoring!$AC$29:$AC$361,MATCH($O22,Scoring!$AI$29:$AI$361,0)),INDEX(Scoring!$I$29:$I$361,MATCH($O22,Scoring!$AI$29:$AI$361,0))))</f>
        <v>433.94</v>
      </c>
      <c r="L22" s="9" t="n">
        <f aca="false">IF($O22="","",INDEX(Scoring!$M$29:$M$361,MATCH($O22,Scoring!$AI$29:$AI$361,0)))</f>
        <v>111</v>
      </c>
      <c r="M22" s="9" t="n">
        <f aca="false">IF($O22="","",INDEX(Scoring!$O$29:$O$361,MATCH($O22,Scoring!$AI$29:$AI$361,0)))</f>
        <v>2489.4</v>
      </c>
      <c r="N22" s="7" t="str">
        <f aca="false">IF($O22="","",INDEX(Scoring!$Y$29:$Y$361,MATCH($O22,Scoring!$AI$29:$AI$361,0)))</f>
        <v>UK | EU/EEA: all 30 countries</v>
      </c>
      <c r="O22" s="10" t="n">
        <f aca="false">IFERROR(SMALL(Scoring!$AI$29:$AI$361,18),"")</f>
        <v>1018</v>
      </c>
    </row>
    <row r="23" customFormat="false" ht="28.35" hidden="false" customHeight="false" outlineLevel="0" collapsed="false">
      <c r="A23" s="5" t="n">
        <f aca="false">IF($O23="","",INT($O23/1000))</f>
        <v>1</v>
      </c>
      <c r="B23" s="6" t="str">
        <f aca="false">IF($O23="","",INDEX(Scoring!$A$29:$A$361,MATCH($O23,Scoring!$AI$29:$AI$361,0)))</f>
        <v>Intas</v>
      </c>
      <c r="C23" s="5" t="n">
        <f aca="false">IF($O23="","",IF(INDEX(Scoring!$F$29:$F$361,MATCH($O23,Scoring!$AI$29:$AI$361,0))="","–",INDEX(Scoring!$F$29:$F$361,MATCH($O23,Scoring!$AI$29:$AI$361,0))))</f>
        <v>19</v>
      </c>
      <c r="D23" s="6" t="str">
        <f aca="false">IF($O23="","",INDEX(Scoring!$E$29:$E$361,MATCH($O23,Scoring!$AI$29:$AI$361,0)))</f>
        <v>Priority 2</v>
      </c>
      <c r="E23" s="7" t="str">
        <f aca="false">IF($O23="","",INDEX(Scoring!$G$29:$G$361,MATCH($O23,Scoring!$AI$29:$AI$361,0)))</f>
        <v>High price, lower volume</v>
      </c>
      <c r="F23" s="6" t="str">
        <f aca="false">IF($O23="","",INDEX(Scoring!$B$29:$B$361,MATCH($O23,Scoring!$AI$29:$AI$361,0)))</f>
        <v>Ustekinumab</v>
      </c>
      <c r="G23" s="7" t="str">
        <f aca="false">IF($O23="","",INDEX(Scoring!$C$29:$C$361,MATCH($O23,Scoring!$AI$29:$AI$361,0)))</f>
        <v>Imuldosa</v>
      </c>
      <c r="H23" s="7" t="str">
        <f aca="false">IF($O23="","",INDEX(Scoring!$D$29:$D$361,MATCH($O23,Scoring!$AI$29:$AI$361,0)))</f>
        <v>Immunology: psoriasis, psoriatic arthritis, Crohn's disease, ulcerative colitis</v>
      </c>
      <c r="I23" s="6" t="str">
        <f aca="false">IF($O23="","",INDEX(Scoring!$R$29:$R$361,MATCH($O23,Scoring!$AI$29:$AI$361,0)))</f>
        <v>Prefilled syringe</v>
      </c>
      <c r="J23" s="7" t="str">
        <f aca="false">IF($O23="","",INDEX(Scoring!$S$29:$S$361,MATCH($O23,Scoring!$AI$29:$AI$361,0)))</f>
        <v>45 mg/0.5 mL pre-filled syringe</v>
      </c>
      <c r="K23" s="8" t="n">
        <f aca="false">IF($O23="","",IF(INDEX(Scoring!$I$29:$I$361,MATCH($O23,Scoring!$AI$29:$AI$361,0))="",INDEX(Scoring!$AC$29:$AC$361,MATCH($O23,Scoring!$AI$29:$AI$361,0)),INDEX(Scoring!$I$29:$I$361,MATCH($O23,Scoring!$AI$29:$AI$361,0))))</f>
        <v>2838.33</v>
      </c>
      <c r="L23" s="9" t="n">
        <f aca="false">IF($O23="","",INDEX(Scoring!$M$29:$M$361,MATCH($O23,Scoring!$AI$29:$AI$361,0)))</f>
        <v>125</v>
      </c>
      <c r="M23" s="9" t="n">
        <f aca="false">IF($O23="","",INDEX(Scoring!$O$29:$O$361,MATCH($O23,Scoring!$AI$29:$AI$361,0)))</f>
        <v>2485.9</v>
      </c>
      <c r="N23" s="7" t="str">
        <f aca="false">IF($O23="","",INDEX(Scoring!$Y$29:$Y$361,MATCH($O23,Scoring!$AI$29:$AI$361,0)))</f>
        <v>UK, UK-NI | EU/EEA: all 30 countries</v>
      </c>
      <c r="O23" s="10" t="n">
        <f aca="false">IFERROR(SMALL(Scoring!$AI$29:$AI$361,19),"")</f>
        <v>1019</v>
      </c>
    </row>
    <row r="24" customFormat="false" ht="28.35" hidden="false" customHeight="false" outlineLevel="0" collapsed="false">
      <c r="A24" s="5" t="n">
        <f aca="false">IF($O24="","",INT($O24/1000))</f>
        <v>1</v>
      </c>
      <c r="B24" s="6" t="str">
        <f aca="false">IF($O24="","",INDEX(Scoring!$A$29:$A$361,MATCH($O24,Scoring!$AI$29:$AI$361,0)))</f>
        <v>Intas</v>
      </c>
      <c r="C24" s="5" t="n">
        <f aca="false">IF($O24="","",IF(INDEX(Scoring!$F$29:$F$361,MATCH($O24,Scoring!$AI$29:$AI$361,0))="","–",INDEX(Scoring!$F$29:$F$361,MATCH($O24,Scoring!$AI$29:$AI$361,0))))</f>
        <v>20</v>
      </c>
      <c r="D24" s="6" t="str">
        <f aca="false">IF($O24="","",INDEX(Scoring!$E$29:$E$361,MATCH($O24,Scoring!$AI$29:$AI$361,0)))</f>
        <v>Priority 2</v>
      </c>
      <c r="E24" s="7" t="str">
        <f aca="false">IF($O24="","",INDEX(Scoring!$G$29:$G$361,MATCH($O24,Scoring!$AI$29:$AI$361,0)))</f>
        <v>High price, lower volume</v>
      </c>
      <c r="F24" s="6" t="str">
        <f aca="false">IF($O24="","",INDEX(Scoring!$B$29:$B$361,MATCH($O24,Scoring!$AI$29:$AI$361,0)))</f>
        <v>Degarelix</v>
      </c>
      <c r="G24" s="7" t="str">
        <f aca="false">IF($O24="","",INDEX(Scoring!$C$29:$C$361,MATCH($O24,Scoring!$AI$29:$AI$361,0)))</f>
        <v>Degarelix; Degarelix Accord</v>
      </c>
      <c r="H24" s="7" t="str">
        <f aca="false">IF($O24="","",INDEX(Scoring!$D$29:$D$361,MATCH($O24,Scoring!$AI$29:$AI$361,0)))</f>
        <v>Oncology: hormone therapy for advanced prostate cancer</v>
      </c>
      <c r="I24" s="6" t="str">
        <f aca="false">IF($O24="","",INDEX(Scoring!$R$29:$R$361,MATCH($O24,Scoring!$AI$29:$AI$361,0)))</f>
        <v>Vial</v>
      </c>
      <c r="J24" s="7" t="str">
        <f aca="false">IF($O24="","",INDEX(Scoring!$S$29:$S$361,MATCH($O24,Scoring!$AI$29:$AI$361,0)))</f>
        <v>80 mg powder vial</v>
      </c>
      <c r="K24" s="8" t="n">
        <f aca="false">IF($O24="","",IF(INDEX(Scoring!$I$29:$I$361,MATCH($O24,Scoring!$AI$29:$AI$361,0))="",INDEX(Scoring!$AC$29:$AC$361,MATCH($O24,Scoring!$AI$29:$AI$361,0)),INDEX(Scoring!$I$29:$I$361,MATCH($O24,Scoring!$AI$29:$AI$361,0))))</f>
        <v>92.62</v>
      </c>
      <c r="L24" s="9" t="n">
        <f aca="false">IF($O24="","",INDEX(Scoring!$M$29:$M$361,MATCH($O24,Scoring!$AI$29:$AI$361,0)))</f>
        <v>26</v>
      </c>
      <c r="M24" s="9" t="n">
        <f aca="false">IF($O24="","",INDEX(Scoring!$O$29:$O$361,MATCH($O24,Scoring!$AI$29:$AI$361,0)))</f>
        <v>140.9</v>
      </c>
      <c r="N24" s="7" t="str">
        <f aca="false">IF($O24="","",INDEX(Scoring!$Y$29:$Y$361,MATCH($O24,Scoring!$AI$29:$AI$361,0)))</f>
        <v>UK | EU/EEA: all 30 countries</v>
      </c>
      <c r="O24" s="10" t="n">
        <f aca="false">IFERROR(SMALL(Scoring!$AI$29:$AI$361,20),"")</f>
        <v>1020</v>
      </c>
    </row>
    <row r="25" customFormat="false" ht="28.35" hidden="false" customHeight="false" outlineLevel="0" collapsed="false">
      <c r="A25" s="5" t="n">
        <f aca="false">IF($O25="","",INT($O25/1000))</f>
        <v>1</v>
      </c>
      <c r="B25" s="6" t="str">
        <f aca="false">IF($O25="","",INDEX(Scoring!$A$29:$A$361,MATCH($O25,Scoring!$AI$29:$AI$361,0)))</f>
        <v>Intas</v>
      </c>
      <c r="C25" s="5" t="n">
        <f aca="false">IF($O25="","",IF(INDEX(Scoring!$F$29:$F$361,MATCH($O25,Scoring!$AI$29:$AI$361,0))="","–",INDEX(Scoring!$F$29:$F$361,MATCH($O25,Scoring!$AI$29:$AI$361,0))))</f>
        <v>21</v>
      </c>
      <c r="D25" s="6" t="str">
        <f aca="false">IF($O25="","",INDEX(Scoring!$E$29:$E$361,MATCH($O25,Scoring!$AI$29:$AI$361,0)))</f>
        <v>Priority 3</v>
      </c>
      <c r="E25" s="7" t="str">
        <f aca="false">IF($O25="","",INDEX(Scoring!$G$29:$G$361,MATCH($O25,Scoring!$AI$29:$AI$361,0)))</f>
        <v>Lower price, lower volume</v>
      </c>
      <c r="F25" s="6" t="str">
        <f aca="false">IF($O25="","",INDEX(Scoring!$B$29:$B$361,MATCH($O25,Scoring!$AI$29:$AI$361,0)))</f>
        <v>Flucloxacillin</v>
      </c>
      <c r="G25" s="7" t="str">
        <f aca="false">IF($O25="","",INDEX(Scoring!$C$29:$C$361,MATCH($O25,Scoring!$AI$29:$AI$361,0)))</f>
        <v>Floxapen</v>
      </c>
      <c r="H25" s="7" t="str">
        <f aca="false">IF($O25="","",INDEX(Scoring!$D$29:$D$361,MATCH($O25,Scoring!$AI$29:$AI$361,0)))</f>
        <v>Anti-infective: staphylococcal skin, bone and heart infections</v>
      </c>
      <c r="I25" s="6" t="str">
        <f aca="false">IF($O25="","",INDEX(Scoring!$R$29:$R$361,MATCH($O25,Scoring!$AI$29:$AI$361,0)))</f>
        <v>Vial</v>
      </c>
      <c r="J25" s="7" t="str">
        <f aca="false">IF($O25="","",INDEX(Scoring!$S$29:$S$361,MATCH($O25,Scoring!$AI$29:$AI$361,0)))</f>
        <v>500 mg powder vial</v>
      </c>
      <c r="K25" s="8" t="n">
        <f aca="false">IF($O25="","",IF(INDEX(Scoring!$I$29:$I$361,MATCH($O25,Scoring!$AI$29:$AI$361,0))="",INDEX(Scoring!$AC$29:$AC$361,MATCH($O25,Scoring!$AI$29:$AI$361,0)),INDEX(Scoring!$I$29:$I$361,MATCH($O25,Scoring!$AI$29:$AI$361,0))))</f>
        <v>6.07</v>
      </c>
      <c r="L25" s="9" t="n">
        <f aca="false">IF($O25="","",INDEX(Scoring!$M$29:$M$361,MATCH($O25,Scoring!$AI$29:$AI$361,0)))</f>
        <v>116</v>
      </c>
      <c r="M25" s="9" t="n">
        <f aca="false">IF($O25="","",INDEX(Scoring!$O$29:$O$361,MATCH($O25,Scoring!$AI$29:$AI$361,0)))</f>
        <v>6287.6</v>
      </c>
      <c r="N25" s="7" t="str">
        <f aca="false">IF($O25="","",INDEX(Scoring!$Y$29:$Y$361,MATCH($O25,Scoring!$AI$29:$AI$361,0)))</f>
        <v>UK-NI</v>
      </c>
      <c r="O25" s="10" t="n">
        <f aca="false">IFERROR(SMALL(Scoring!$AI$29:$AI$361,21),"")</f>
        <v>1021</v>
      </c>
    </row>
    <row r="26" customFormat="false" ht="28.35" hidden="false" customHeight="false" outlineLevel="0" collapsed="false">
      <c r="A26" s="5" t="n">
        <f aca="false">IF($O26="","",INT($O26/1000))</f>
        <v>1</v>
      </c>
      <c r="B26" s="6" t="str">
        <f aca="false">IF($O26="","",INDEX(Scoring!$A$29:$A$361,MATCH($O26,Scoring!$AI$29:$AI$361,0)))</f>
        <v>Intas</v>
      </c>
      <c r="C26" s="5" t="n">
        <f aca="false">IF($O26="","",IF(INDEX(Scoring!$F$29:$F$361,MATCH($O26,Scoring!$AI$29:$AI$361,0))="","–",INDEX(Scoring!$F$29:$F$361,MATCH($O26,Scoring!$AI$29:$AI$361,0))))</f>
        <v>22</v>
      </c>
      <c r="D26" s="6" t="str">
        <f aca="false">IF($O26="","",INDEX(Scoring!$E$29:$E$361,MATCH($O26,Scoring!$AI$29:$AI$361,0)))</f>
        <v>Priority 3</v>
      </c>
      <c r="E26" s="7" t="str">
        <f aca="false">IF($O26="","",INDEX(Scoring!$G$29:$G$361,MATCH($O26,Scoring!$AI$29:$AI$361,0)))</f>
        <v>Lower price, lower volume</v>
      </c>
      <c r="F26" s="6" t="str">
        <f aca="false">IF($O26="","",INDEX(Scoring!$B$29:$B$361,MATCH($O26,Scoring!$AI$29:$AI$361,0)))</f>
        <v>Progesterone</v>
      </c>
      <c r="G26" s="7" t="str">
        <f aca="false">IF($O26="","",INDEX(Scoring!$C$29:$C$361,MATCH($O26,Scoring!$AI$29:$AI$361,0)))</f>
        <v>Progesterone</v>
      </c>
      <c r="H26" s="7" t="str">
        <f aca="false">IF($O26="","",INDEX(Scoring!$D$29:$D$361,MATCH($O26,Scoring!$AI$29:$AI$361,0)))</f>
        <v>Women's health: IVF support, absent periods, abnormal uterine bleeding</v>
      </c>
      <c r="I26" s="6" t="str">
        <f aca="false">IF($O26="","",INDEX(Scoring!$R$29:$R$361,MATCH($O26,Scoring!$AI$29:$AI$361,0)))</f>
        <v>Not stated</v>
      </c>
      <c r="J26" s="7" t="str">
        <f aca="false">IF($O26="","",INDEX(Scoring!$S$29:$S$361,MATCH($O26,Scoring!$AI$29:$AI$361,0)))</f>
        <v>50 mg/mL (container not stated)</v>
      </c>
      <c r="K26" s="8" t="n">
        <f aca="false">IF($O26="","",IF(INDEX(Scoring!$I$29:$I$361,MATCH($O26,Scoring!$AI$29:$AI$361,0))="",INDEX(Scoring!$AC$29:$AC$361,MATCH($O26,Scoring!$AI$29:$AI$361,0)),INDEX(Scoring!$I$29:$I$361,MATCH($O26,Scoring!$AI$29:$AI$361,0))))</f>
        <v>6.23</v>
      </c>
      <c r="L26" s="9" t="n">
        <f aca="false">IF($O26="","",INDEX(Scoring!$M$29:$M$361,MATCH($O26,Scoring!$AI$29:$AI$361,0)))</f>
        <v>88</v>
      </c>
      <c r="M26" s="9" t="n">
        <f aca="false">IF($O26="","",INDEX(Scoring!$O$29:$O$361,MATCH($O26,Scoring!$AI$29:$AI$361,0)))</f>
        <v>2646.6</v>
      </c>
      <c r="N26" s="7" t="str">
        <f aca="false">IF($O26="","",INDEX(Scoring!$Y$29:$Y$361,MATCH($O26,Scoring!$AI$29:$AI$361,0)))</f>
        <v>US</v>
      </c>
      <c r="O26" s="10" t="n">
        <f aca="false">IFERROR(SMALL(Scoring!$AI$29:$AI$361,22),"")</f>
        <v>1022</v>
      </c>
    </row>
    <row r="27" customFormat="false" ht="41.75" hidden="false" customHeight="false" outlineLevel="0" collapsed="false">
      <c r="A27" s="5" t="n">
        <f aca="false">IF($O27="","",INT($O27/1000))</f>
        <v>1</v>
      </c>
      <c r="B27" s="6" t="str">
        <f aca="false">IF($O27="","",INDEX(Scoring!$A$29:$A$361,MATCH($O27,Scoring!$AI$29:$AI$361,0)))</f>
        <v>Intas</v>
      </c>
      <c r="C27" s="5" t="n">
        <f aca="false">IF($O27="","",IF(INDEX(Scoring!$F$29:$F$361,MATCH($O27,Scoring!$AI$29:$AI$361,0))="","–",INDEX(Scoring!$F$29:$F$361,MATCH($O27,Scoring!$AI$29:$AI$361,0))))</f>
        <v>23</v>
      </c>
      <c r="D27" s="6" t="str">
        <f aca="false">IF($O27="","",INDEX(Scoring!$E$29:$E$361,MATCH($O27,Scoring!$AI$29:$AI$361,0)))</f>
        <v>Priority 3</v>
      </c>
      <c r="E27" s="7" t="str">
        <f aca="false">IF($O27="","",INDEX(Scoring!$G$29:$G$361,MATCH($O27,Scoring!$AI$29:$AI$361,0)))</f>
        <v>Lower price, lower volume</v>
      </c>
      <c r="F27" s="6" t="str">
        <f aca="false">IF($O27="","",INDEX(Scoring!$B$29:$B$361,MATCH($O27,Scoring!$AI$29:$AI$361,0)))</f>
        <v>Naloxone</v>
      </c>
      <c r="G27" s="7" t="str">
        <f aca="false">IF($O27="","",INDEX(Scoring!$C$29:$C$361,MATCH($O27,Scoring!$AI$29:$AI$361,0)))</f>
        <v>Naloxone Hydrochloride; Naloxone</v>
      </c>
      <c r="H27" s="7" t="str">
        <f aca="false">IF($O27="","",INDEX(Scoring!$D$29:$D$361,MATCH($O27,Scoring!$AI$29:$AI$361,0)))</f>
        <v>Critical care: reversal of opioid overdose</v>
      </c>
      <c r="I27" s="6" t="str">
        <f aca="false">IF($O27="","",INDEX(Scoring!$R$29:$R$361,MATCH($O27,Scoring!$AI$29:$AI$361,0)))</f>
        <v>Prefilled syringe</v>
      </c>
      <c r="J27" s="7" t="str">
        <f aca="false">IF($O27="","",INDEX(Scoring!$S$29:$S$361,MATCH($O27,Scoring!$AI$29:$AI$361,0)))</f>
        <v>0.4 mg/mL (container not stated); 1 mg/mL (container not stated); 400 mcg/mL pre-filled syringe</v>
      </c>
      <c r="K27" s="8" t="n">
        <f aca="false">IF($O27="","",IF(INDEX(Scoring!$I$29:$I$361,MATCH($O27,Scoring!$AI$29:$AI$361,0))="",INDEX(Scoring!$AC$29:$AC$361,MATCH($O27,Scoring!$AI$29:$AI$361,0)),INDEX(Scoring!$I$29:$I$361,MATCH($O27,Scoring!$AI$29:$AI$361,0))))</f>
        <v>5.42</v>
      </c>
      <c r="L27" s="9" t="n">
        <f aca="false">IF($O27="","",INDEX(Scoring!$M$29:$M$361,MATCH($O27,Scoring!$AI$29:$AI$361,0)))</f>
        <v>88</v>
      </c>
      <c r="M27" s="9" t="n">
        <f aca="false">IF($O27="","",INDEX(Scoring!$O$29:$O$361,MATCH($O27,Scoring!$AI$29:$AI$361,0)))</f>
        <v>1437.9</v>
      </c>
      <c r="N27" s="7" t="str">
        <f aca="false">IF($O27="","",INDEX(Scoring!$Y$29:$Y$361,MATCH($O27,Scoring!$AI$29:$AI$361,0)))</f>
        <v>US, UK, UK-NI | EU/EEA (12): Germany, France, Netherlands, Austria + 8 more</v>
      </c>
      <c r="O27" s="10" t="n">
        <f aca="false">IFERROR(SMALL(Scoring!$AI$29:$AI$361,23),"")</f>
        <v>1023</v>
      </c>
    </row>
    <row r="28" customFormat="false" ht="28.35" hidden="false" customHeight="false" outlineLevel="0" collapsed="false">
      <c r="A28" s="5" t="n">
        <f aca="false">IF($O28="","",INT($O28/1000))</f>
        <v>1</v>
      </c>
      <c r="B28" s="6" t="str">
        <f aca="false">IF($O28="","",INDEX(Scoring!$A$29:$A$361,MATCH($O28,Scoring!$AI$29:$AI$361,0)))</f>
        <v>Intas</v>
      </c>
      <c r="C28" s="5" t="n">
        <f aca="false">IF($O28="","",IF(INDEX(Scoring!$F$29:$F$361,MATCH($O28,Scoring!$AI$29:$AI$361,0))="","–",INDEX(Scoring!$F$29:$F$361,MATCH($O28,Scoring!$AI$29:$AI$361,0))))</f>
        <v>24</v>
      </c>
      <c r="D28" s="6" t="str">
        <f aca="false">IF($O28="","",INDEX(Scoring!$E$29:$E$361,MATCH($O28,Scoring!$AI$29:$AI$361,0)))</f>
        <v>Priority 3</v>
      </c>
      <c r="E28" s="7" t="str">
        <f aca="false">IF($O28="","",INDEX(Scoring!$G$29:$G$361,MATCH($O28,Scoring!$AI$29:$AI$361,0)))</f>
        <v>Lower price, lower volume</v>
      </c>
      <c r="F28" s="6" t="str">
        <f aca="false">IF($O28="","",INDEX(Scoring!$B$29:$B$361,MATCH($O28,Scoring!$AI$29:$AI$361,0)))</f>
        <v>Hydroxocobalamin</v>
      </c>
      <c r="G28" s="7" t="str">
        <f aca="false">IF($O28="","",INDEX(Scoring!$C$29:$C$361,MATCH($O28,Scoring!$AI$29:$AI$361,0)))</f>
        <v>Hydroxocobalamin Accord Healthcare</v>
      </c>
      <c r="H28" s="7" t="str">
        <f aca="false">IF($O28="","",INDEX(Scoring!$D$29:$D$361,MATCH($O28,Scoring!$AI$29:$AI$361,0)))</f>
        <v>Haematology: vitamin B12 deficiency, cyanide poisoning</v>
      </c>
      <c r="I28" s="6" t="str">
        <f aca="false">IF($O28="","",INDEX(Scoring!$R$29:$R$361,MATCH($O28,Scoring!$AI$29:$AI$361,0)))</f>
        <v>Not stated</v>
      </c>
      <c r="J28" s="7" t="str">
        <f aca="false">IF($O28="","",INDEX(Scoring!$S$29:$S$361,MATCH($O28,Scoring!$AI$29:$AI$361,0)))</f>
        <v>1 mg/mL (container not stated)</v>
      </c>
      <c r="K28" s="8" t="n">
        <f aca="false">IF($O28="","",IF(INDEX(Scoring!$I$29:$I$361,MATCH($O28,Scoring!$AI$29:$AI$361,0))="",INDEX(Scoring!$AC$29:$AC$361,MATCH($O28,Scoring!$AI$29:$AI$361,0)),INDEX(Scoring!$I$29:$I$361,MATCH($O28,Scoring!$AI$29:$AI$361,0))))</f>
        <v>9.83</v>
      </c>
      <c r="L28" s="9" t="n">
        <f aca="false">IF($O28="","",INDEX(Scoring!$M$29:$M$361,MATCH($O28,Scoring!$AI$29:$AI$361,0)))</f>
        <v>22</v>
      </c>
      <c r="M28" s="9" t="n">
        <f aca="false">IF($O28="","",INDEX(Scoring!$O$29:$O$361,MATCH($O28,Scoring!$AI$29:$AI$361,0)))</f>
        <v>315.7</v>
      </c>
      <c r="N28" s="7" t="str">
        <f aca="false">IF($O28="","",INDEX(Scoring!$Y$29:$Y$361,MATCH($O28,Scoring!$AI$29:$AI$361,0)))</f>
        <v>UK-NI</v>
      </c>
      <c r="O28" s="10" t="n">
        <f aca="false">IFERROR(SMALL(Scoring!$AI$29:$AI$361,24),"")</f>
        <v>1024</v>
      </c>
    </row>
    <row r="29" customFormat="false" ht="28.35" hidden="false" customHeight="false" outlineLevel="0" collapsed="false">
      <c r="A29" s="5" t="n">
        <f aca="false">IF($O29="","",INT($O29/1000))</f>
        <v>1</v>
      </c>
      <c r="B29" s="6" t="str">
        <f aca="false">IF($O29="","",INDEX(Scoring!$A$29:$A$361,MATCH($O29,Scoring!$AI$29:$AI$361,0)))</f>
        <v>Intas</v>
      </c>
      <c r="C29" s="5" t="str">
        <f aca="false">IF($O29="","",IF(INDEX(Scoring!$F$29:$F$361,MATCH($O29,Scoring!$AI$29:$AI$361,0))="","–",INDEX(Scoring!$F$29:$F$361,MATCH($O29,Scoring!$AI$29:$AI$361,0))))</f>
        <v>–</v>
      </c>
      <c r="D29" s="6" t="str">
        <f aca="false">IF($O29="","",INDEX(Scoring!$E$29:$E$361,MATCH($O29,Scoring!$AI$29:$AI$361,0)))</f>
        <v>Excluded – price ≤ USD 5</v>
      </c>
      <c r="E29" s="7" t="str">
        <f aca="false">IF($O29="","",INDEX(Scoring!$G$29:$G$361,MATCH($O29,Scoring!$AI$29:$AI$361,0)))</f>
        <v/>
      </c>
      <c r="F29" s="6" t="str">
        <f aca="false">IF($O29="","",INDEX(Scoring!$B$29:$B$361,MATCH($O29,Scoring!$AI$29:$AI$361,0)))</f>
        <v>Amoxicillin</v>
      </c>
      <c r="G29" s="7" t="str">
        <f aca="false">IF($O29="","",INDEX(Scoring!$C$29:$C$361,MATCH($O29,Scoring!$AI$29:$AI$361,0)))</f>
        <v>Amoxicillin Accord Healthcare</v>
      </c>
      <c r="H29" s="7" t="str">
        <f aca="false">IF($O29="","",INDEX(Scoring!$D$29:$D$361,MATCH($O29,Scoring!$AI$29:$AI$361,0)))</f>
        <v>Anti-infective: serious bacterial infections when oral treatment is not possible</v>
      </c>
      <c r="I29" s="6" t="str">
        <f aca="false">IF($O29="","",INDEX(Scoring!$R$29:$R$361,MATCH($O29,Scoring!$AI$29:$AI$361,0)))</f>
        <v>Not stated</v>
      </c>
      <c r="J29" s="7" t="str">
        <f aca="false">IF($O29="","",INDEX(Scoring!$S$29:$S$361,MATCH($O29,Scoring!$AI$29:$AI$361,0)))</f>
        <v>500 mg (container not stated)</v>
      </c>
      <c r="K29" s="8" t="n">
        <f aca="false">IF($O29="","",IF(INDEX(Scoring!$I$29:$I$361,MATCH($O29,Scoring!$AI$29:$AI$361,0))="",INDEX(Scoring!$AC$29:$AC$361,MATCH($O29,Scoring!$AI$29:$AI$361,0)),INDEX(Scoring!$I$29:$I$361,MATCH($O29,Scoring!$AI$29:$AI$361,0))))</f>
        <v>1.59</v>
      </c>
      <c r="L29" s="9" t="n">
        <f aca="false">IF($O29="","",INDEX(Scoring!$M$29:$M$361,MATCH($O29,Scoring!$AI$29:$AI$361,0)))</f>
        <v>715</v>
      </c>
      <c r="M29" s="9" t="n">
        <f aca="false">IF($O29="","",INDEX(Scoring!$O$29:$O$361,MATCH($O29,Scoring!$AI$29:$AI$361,0)))</f>
        <v>33794.9</v>
      </c>
      <c r="N29" s="7" t="str">
        <f aca="false">IF($O29="","",INDEX(Scoring!$Y$29:$Y$361,MATCH($O29,Scoring!$AI$29:$AI$361,0)))</f>
        <v>UK-NI | EU/EEA (1): Portugal</v>
      </c>
      <c r="O29" s="10" t="n">
        <f aca="false">IFERROR(SMALL(Scoring!$AI$29:$AI$361,25),"")</f>
        <v>1901</v>
      </c>
    </row>
    <row r="30" customFormat="false" ht="28.35" hidden="false" customHeight="false" outlineLevel="0" collapsed="false">
      <c r="A30" s="5" t="n">
        <f aca="false">IF($O30="","",INT($O30/1000))</f>
        <v>1</v>
      </c>
      <c r="B30" s="6" t="str">
        <f aca="false">IF($O30="","",INDEX(Scoring!$A$29:$A$361,MATCH($O30,Scoring!$AI$29:$AI$361,0)))</f>
        <v>Intas</v>
      </c>
      <c r="C30" s="5" t="str">
        <f aca="false">IF($O30="","",IF(INDEX(Scoring!$F$29:$F$361,MATCH($O30,Scoring!$AI$29:$AI$361,0))="","–",INDEX(Scoring!$F$29:$F$361,MATCH($O30,Scoring!$AI$29:$AI$361,0))))</f>
        <v>–</v>
      </c>
      <c r="D30" s="6" t="str">
        <f aca="false">IF($O30="","",INDEX(Scoring!$E$29:$E$361,MATCH($O30,Scoring!$AI$29:$AI$361,0)))</f>
        <v>Excluded – price ≤ USD 5</v>
      </c>
      <c r="E30" s="7" t="str">
        <f aca="false">IF($O30="","",INDEX(Scoring!$G$29:$G$361,MATCH($O30,Scoring!$AI$29:$AI$361,0)))</f>
        <v/>
      </c>
      <c r="F30" s="6" t="str">
        <f aca="false">IF($O30="","",INDEX(Scoring!$B$29:$B$361,MATCH($O30,Scoring!$AI$29:$AI$361,0)))</f>
        <v>Glycopyrrolate</v>
      </c>
      <c r="G30" s="7" t="str">
        <f aca="false">IF($O30="","",INDEX(Scoring!$C$29:$C$361,MATCH($O30,Scoring!$AI$29:$AI$361,0)))</f>
        <v>Glycopyrrolate Accord</v>
      </c>
      <c r="H30" s="7" t="str">
        <f aca="false">IF($O30="","",INDEX(Scoring!$D$29:$D$361,MATCH($O30,Scoring!$AI$29:$AI$361,0)))</f>
        <v>Anaesthesia: reduces secretions, reversal of muscle relaxants</v>
      </c>
      <c r="I30" s="6" t="str">
        <f aca="false">IF($O30="","",INDEX(Scoring!$R$29:$R$361,MATCH($O30,Scoring!$AI$29:$AI$361,0)))</f>
        <v>Ampoule</v>
      </c>
      <c r="J30" s="7" t="str">
        <f aca="false">IF($O30="","",INDEX(Scoring!$S$29:$S$361,MATCH($O30,Scoring!$AI$29:$AI$361,0)))</f>
        <v>0.6 mg/3 mL ampoule</v>
      </c>
      <c r="K30" s="8" t="n">
        <f aca="false">IF($O30="","",IF(INDEX(Scoring!$I$29:$I$361,MATCH($O30,Scoring!$AI$29:$AI$361,0))="",INDEX(Scoring!$AC$29:$AC$361,MATCH($O30,Scoring!$AI$29:$AI$361,0)),INDEX(Scoring!$I$29:$I$361,MATCH($O30,Scoring!$AI$29:$AI$361,0))))</f>
        <v>3</v>
      </c>
      <c r="L30" s="9" t="n">
        <f aca="false">IF($O30="","",INDEX(Scoring!$M$29:$M$361,MATCH($O30,Scoring!$AI$29:$AI$361,0)))</f>
        <v>119</v>
      </c>
      <c r="M30" s="9" t="n">
        <f aca="false">IF($O30="","",INDEX(Scoring!$O$29:$O$361,MATCH($O30,Scoring!$AI$29:$AI$361,0)))</f>
        <v>1332.4</v>
      </c>
      <c r="N30" s="7" t="str">
        <f aca="false">IF($O30="","",INDEX(Scoring!$Y$29:$Y$361,MATCH($O30,Scoring!$AI$29:$AI$361,0)))</f>
        <v>Australia, UK-NI | EU/EEA (6): Germany, Austria, Cyprus, Finland, Italy, Sweden</v>
      </c>
      <c r="O30" s="10" t="n">
        <f aca="false">IFERROR(SMALL(Scoring!$AI$29:$AI$361,26),"")</f>
        <v>1902</v>
      </c>
    </row>
    <row r="31" customFormat="false" ht="28.35" hidden="false" customHeight="false" outlineLevel="0" collapsed="false">
      <c r="A31" s="5" t="n">
        <f aca="false">IF($O31="","",INT($O31/1000))</f>
        <v>1</v>
      </c>
      <c r="B31" s="6" t="str">
        <f aca="false">IF($O31="","",INDEX(Scoring!$A$29:$A$361,MATCH($O31,Scoring!$AI$29:$AI$361,0)))</f>
        <v>Intas</v>
      </c>
      <c r="C31" s="5" t="str">
        <f aca="false">IF($O31="","",IF(INDEX(Scoring!$F$29:$F$361,MATCH($O31,Scoring!$AI$29:$AI$361,0))="","–",INDEX(Scoring!$F$29:$F$361,MATCH($O31,Scoring!$AI$29:$AI$361,0))))</f>
        <v>–</v>
      </c>
      <c r="D31" s="6" t="str">
        <f aca="false">IF($O31="","",INDEX(Scoring!$E$29:$E$361,MATCH($O31,Scoring!$AI$29:$AI$361,0)))</f>
        <v>Excluded – price ≤ USD 5</v>
      </c>
      <c r="E31" s="7" t="str">
        <f aca="false">IF($O31="","",INDEX(Scoring!$G$29:$G$361,MATCH($O31,Scoring!$AI$29:$AI$361,0)))</f>
        <v/>
      </c>
      <c r="F31" s="6" t="str">
        <f aca="false">IF($O31="","",INDEX(Scoring!$B$29:$B$361,MATCH($O31,Scoring!$AI$29:$AI$361,0)))</f>
        <v>Lidocaine</v>
      </c>
      <c r="G31" s="7" t="str">
        <f aca="false">IF($O31="","",INDEX(Scoring!$C$29:$C$361,MATCH($O31,Scoring!$AI$29:$AI$361,0)))</f>
        <v>Lidocaine Accord; Lidocaine Intas</v>
      </c>
      <c r="H31" s="7" t="str">
        <f aca="false">IF($O31="","",INDEX(Scoring!$D$29:$D$361,MATCH($O31,Scoring!$AI$29:$AI$361,0)))</f>
        <v>Anaesthesia: local anaesthetic, ventricular arrhythmias</v>
      </c>
      <c r="I31" s="6" t="str">
        <f aca="false">IF($O31="","",INDEX(Scoring!$R$29:$R$361,MATCH($O31,Scoring!$AI$29:$AI$361,0)))</f>
        <v>Vial, Ampoule</v>
      </c>
      <c r="J31" s="7" t="str">
        <f aca="false">IF($O31="","",INDEX(Scoring!$S$29:$S$361,MATCH($O31,Scoring!$AI$29:$AI$361,0)))</f>
        <v>100 mg/5 mL ampoule; 400 mg/20 mL vial; 40 mg/2 mL ampoule; 200 mg/20 mL vial</v>
      </c>
      <c r="K31" s="8" t="n">
        <f aca="false">IF($O31="","",IF(INDEX(Scoring!$I$29:$I$361,MATCH($O31,Scoring!$AI$29:$AI$361,0))="",INDEX(Scoring!$AC$29:$AC$361,MATCH($O31,Scoring!$AI$29:$AI$361,0)),INDEX(Scoring!$I$29:$I$361,MATCH($O31,Scoring!$AI$29:$AI$361,0))))</f>
        <v>1.42</v>
      </c>
      <c r="L31" s="9" t="n">
        <f aca="false">IF($O31="","",INDEX(Scoring!$M$29:$M$361,MATCH($O31,Scoring!$AI$29:$AI$361,0)))</f>
        <v>670</v>
      </c>
      <c r="M31" s="9" t="n">
        <f aca="false">IF($O31="","",INDEX(Scoring!$O$29:$O$361,MATCH($O31,Scoring!$AI$29:$AI$361,0)))</f>
        <v>18611.6</v>
      </c>
      <c r="N31" s="7" t="str">
        <f aca="false">IF($O31="","",INDEX(Scoring!$Y$29:$Y$361,MATCH($O31,Scoring!$AI$29:$AI$361,0)))</f>
        <v>Australia, UK-NI | EU/EEA (7): Austria, Cyprus, Estonia, Lithuania + 3 more</v>
      </c>
      <c r="O31" s="10" t="n">
        <f aca="false">IFERROR(SMALL(Scoring!$AI$29:$AI$361,27),"")</f>
        <v>1903</v>
      </c>
    </row>
    <row r="32" customFormat="false" ht="28.35" hidden="false" customHeight="false" outlineLevel="0" collapsed="false">
      <c r="A32" s="5" t="n">
        <f aca="false">IF($O32="","",INT($O32/1000))</f>
        <v>1</v>
      </c>
      <c r="B32" s="6" t="str">
        <f aca="false">IF($O32="","",INDEX(Scoring!$A$29:$A$361,MATCH($O32,Scoring!$AI$29:$AI$361,0)))</f>
        <v>Intas</v>
      </c>
      <c r="C32" s="5" t="str">
        <f aca="false">IF($O32="","",IF(INDEX(Scoring!$F$29:$F$361,MATCH($O32,Scoring!$AI$29:$AI$361,0))="","–",INDEX(Scoring!$F$29:$F$361,MATCH($O32,Scoring!$AI$29:$AI$361,0))))</f>
        <v>–</v>
      </c>
      <c r="D32" s="6" t="str">
        <f aca="false">IF($O32="","",INDEX(Scoring!$E$29:$E$361,MATCH($O32,Scoring!$AI$29:$AI$361,0)))</f>
        <v>Excluded – price ≤ USD 5</v>
      </c>
      <c r="E32" s="7" t="str">
        <f aca="false">IF($O32="","",INDEX(Scoring!$G$29:$G$361,MATCH($O32,Scoring!$AI$29:$AI$361,0)))</f>
        <v/>
      </c>
      <c r="F32" s="6" t="str">
        <f aca="false">IF($O32="","",INDEX(Scoring!$B$29:$B$361,MATCH($O32,Scoring!$AI$29:$AI$361,0)))</f>
        <v>Phenytoin</v>
      </c>
      <c r="G32" s="7" t="str">
        <f aca="false">IF($O32="","",INDEX(Scoring!$C$29:$C$361,MATCH($O32,Scoring!$AI$29:$AI$361,0)))</f>
        <v>Phenytoin Accord</v>
      </c>
      <c r="H32" s="7" t="str">
        <f aca="false">IF($O32="","",INDEX(Scoring!$D$29:$D$361,MATCH($O32,Scoring!$AI$29:$AI$361,0)))</f>
        <v>Neurology: status epilepticus, seizure prevention</v>
      </c>
      <c r="I32" s="6" t="str">
        <f aca="false">IF($O32="","",INDEX(Scoring!$R$29:$R$361,MATCH($O32,Scoring!$AI$29:$AI$361,0)))</f>
        <v>Not stated</v>
      </c>
      <c r="J32" s="7" t="str">
        <f aca="false">IF($O32="","",INDEX(Scoring!$S$29:$S$361,MATCH($O32,Scoring!$AI$29:$AI$361,0)))</f>
        <v>100 mg/2 mL (container not stated)</v>
      </c>
      <c r="K32" s="8" t="n">
        <f aca="false">IF($O32="","",IF(INDEX(Scoring!$I$29:$I$361,MATCH($O32,Scoring!$AI$29:$AI$361,0))="",INDEX(Scoring!$AC$29:$AC$361,MATCH($O32,Scoring!$AI$29:$AI$361,0)),INDEX(Scoring!$I$29:$I$361,MATCH($O32,Scoring!$AI$29:$AI$361,0))))</f>
        <v>4.49</v>
      </c>
      <c r="L32" s="9" t="n">
        <f aca="false">IF($O32="","",INDEX(Scoring!$M$29:$M$361,MATCH($O32,Scoring!$AI$29:$AI$361,0)))</f>
        <v>208</v>
      </c>
      <c r="M32" s="9" t="n">
        <f aca="false">IF($O32="","",INDEX(Scoring!$O$29:$O$361,MATCH($O32,Scoring!$AI$29:$AI$361,0)))</f>
        <v>2009.5</v>
      </c>
      <c r="N32" s="7" t="str">
        <f aca="false">IF($O32="","",INDEX(Scoring!$Y$29:$Y$361,MATCH($O32,Scoring!$AI$29:$AI$361,0)))</f>
        <v>UK-NI | EU/EEA (1): Portugal</v>
      </c>
      <c r="O32" s="10" t="n">
        <f aca="false">IFERROR(SMALL(Scoring!$AI$29:$AI$361,28),"")</f>
        <v>1904</v>
      </c>
    </row>
    <row r="33" customFormat="false" ht="28.35" hidden="false" customHeight="false" outlineLevel="0" collapsed="false">
      <c r="A33" s="5" t="n">
        <f aca="false">IF($O33="","",INT($O33/1000))</f>
        <v>2</v>
      </c>
      <c r="B33" s="6" t="str">
        <f aca="false">IF($O33="","",INDEX(Scoring!$A$29:$A$361,MATCH($O33,Scoring!$AI$29:$AI$361,0)))</f>
        <v>Aurobindo</v>
      </c>
      <c r="C33" s="5" t="n">
        <f aca="false">IF($O33="","",IF(INDEX(Scoring!$F$29:$F$361,MATCH($O33,Scoring!$AI$29:$AI$361,0))="","–",INDEX(Scoring!$F$29:$F$361,MATCH($O33,Scoring!$AI$29:$AI$361,0))))</f>
        <v>1</v>
      </c>
      <c r="D33" s="6" t="str">
        <f aca="false">IF($O33="","",INDEX(Scoring!$E$29:$E$361,MATCH($O33,Scoring!$AI$29:$AI$361,0)))</f>
        <v>Priority 1</v>
      </c>
      <c r="E33" s="7" t="str">
        <f aca="false">IF($O33="","",INDEX(Scoring!$G$29:$G$361,MATCH($O33,Scoring!$AI$29:$AI$361,0)))</f>
        <v>High price, high volume</v>
      </c>
      <c r="F33" s="6" t="str">
        <f aca="false">IF($O33="","",INDEX(Scoring!$B$29:$B$361,MATCH($O33,Scoring!$AI$29:$AI$361,0)))</f>
        <v>Ertapenem</v>
      </c>
      <c r="G33" s="7" t="str">
        <f aca="false">IF($O33="","",INDEX(Scoring!$C$29:$C$361,MATCH($O33,Scoring!$AI$29:$AI$361,0)))</f>
        <v>Ertapenem Sodium; Ertapenem; Etamep (+1 more)</v>
      </c>
      <c r="H33" s="7" t="str">
        <f aca="false">IF($O33="","",INDEX(Scoring!$D$29:$D$361,MATCH($O33,Scoring!$AI$29:$AI$361,0)))</f>
        <v>Anti-infective: abdominal, skin and urinary infections, pneumonia</v>
      </c>
      <c r="I33" s="6" t="str">
        <f aca="false">IF($O33="","",INDEX(Scoring!$R$29:$R$361,MATCH($O33,Scoring!$AI$29:$AI$361,0)))</f>
        <v>Vial</v>
      </c>
      <c r="J33" s="7" t="str">
        <f aca="false">IF($O33="","",INDEX(Scoring!$S$29:$S$361,MATCH($O33,Scoring!$AI$29:$AI$361,0)))</f>
        <v>1 g powder vial; 1 g in 20 mL powder vial</v>
      </c>
      <c r="K33" s="8" t="n">
        <f aca="false">IF($O33="","",IF(INDEX(Scoring!$I$29:$I$361,MATCH($O33,Scoring!$AI$29:$AI$361,0))="",INDEX(Scoring!$AC$29:$AC$361,MATCH($O33,Scoring!$AI$29:$AI$361,0)),INDEX(Scoring!$I$29:$I$361,MATCH($O33,Scoring!$AI$29:$AI$361,0))))</f>
        <v>28.55</v>
      </c>
      <c r="L33" s="9" t="n">
        <f aca="false">IF($O33="","",INDEX(Scoring!$M$29:$M$361,MATCH($O33,Scoring!$AI$29:$AI$361,0)))</f>
        <v>223</v>
      </c>
      <c r="M33" s="9" t="n">
        <f aca="false">IF($O33="","",INDEX(Scoring!$O$29:$O$361,MATCH($O33,Scoring!$AI$29:$AI$361,0)))</f>
        <v>53539.9</v>
      </c>
      <c r="N33" s="7" t="str">
        <f aca="false">IF($O33="","",INDEX(Scoring!$Y$29:$Y$361,MATCH($O33,Scoring!$AI$29:$AI$361,0)))</f>
        <v>US, Canada, South Africa, UK-NI | EU/EEA (6): France, Italy, Poland, Portugal, Romania, Spain</v>
      </c>
      <c r="O33" s="10" t="n">
        <f aca="false">IFERROR(SMALL(Scoring!$AI$29:$AI$361,29),"")</f>
        <v>2001</v>
      </c>
    </row>
    <row r="34" customFormat="false" ht="28.35" hidden="false" customHeight="false" outlineLevel="0" collapsed="false">
      <c r="A34" s="5" t="n">
        <f aca="false">IF($O34="","",INT($O34/1000))</f>
        <v>2</v>
      </c>
      <c r="B34" s="6" t="str">
        <f aca="false">IF($O34="","",INDEX(Scoring!$A$29:$A$361,MATCH($O34,Scoring!$AI$29:$AI$361,0)))</f>
        <v>Aurobindo</v>
      </c>
      <c r="C34" s="5" t="n">
        <f aca="false">IF($O34="","",IF(INDEX(Scoring!$F$29:$F$361,MATCH($O34,Scoring!$AI$29:$AI$361,0))="","–",INDEX(Scoring!$F$29:$F$361,MATCH($O34,Scoring!$AI$29:$AI$361,0))))</f>
        <v>2</v>
      </c>
      <c r="D34" s="6" t="str">
        <f aca="false">IF($O34="","",INDEX(Scoring!$E$29:$E$361,MATCH($O34,Scoring!$AI$29:$AI$361,0)))</f>
        <v>Priority 1</v>
      </c>
      <c r="E34" s="7" t="str">
        <f aca="false">IF($O34="","",INDEX(Scoring!$G$29:$G$361,MATCH($O34,Scoring!$AI$29:$AI$361,0)))</f>
        <v>High price, high volume</v>
      </c>
      <c r="F34" s="6" t="str">
        <f aca="false">IF($O34="","",INDEX(Scoring!$B$29:$B$361,MATCH($O34,Scoring!$AI$29:$AI$361,0)))</f>
        <v>Azacitidine</v>
      </c>
      <c r="G34" s="7" t="str">
        <f aca="false">IF($O34="","",INDEX(Scoring!$C$29:$C$361,MATCH($O34,Scoring!$AI$29:$AI$361,0)))</f>
        <v>Azacitidine; Azacitidin Puren; Azacitidine Eugia</v>
      </c>
      <c r="H34" s="7" t="str">
        <f aca="false">IF($O34="","",INDEX(Scoring!$D$29:$D$361,MATCH($O34,Scoring!$AI$29:$AI$361,0)))</f>
        <v>Oncology: myelodysplastic syndromes, acute myeloid leukaemia</v>
      </c>
      <c r="I34" s="6" t="str">
        <f aca="false">IF($O34="","",INDEX(Scoring!$R$29:$R$361,MATCH($O34,Scoring!$AI$29:$AI$361,0)))</f>
        <v>Vial</v>
      </c>
      <c r="J34" s="7" t="str">
        <f aca="false">IF($O34="","",INDEX(Scoring!$S$29:$S$361,MATCH($O34,Scoring!$AI$29:$AI$361,0)))</f>
        <v>25 mg/mL powder vial; 100 mg powder vial</v>
      </c>
      <c r="K34" s="8" t="n">
        <f aca="false">IF($O34="","",IF(INDEX(Scoring!$I$29:$I$361,MATCH($O34,Scoring!$AI$29:$AI$361,0))="",INDEX(Scoring!$AC$29:$AC$361,MATCH($O34,Scoring!$AI$29:$AI$361,0)),INDEX(Scoring!$I$29:$I$361,MATCH($O34,Scoring!$AI$29:$AI$361,0))))</f>
        <v>256.12</v>
      </c>
      <c r="L34" s="9" t="n">
        <f aca="false">IF($O34="","",INDEX(Scoring!$M$29:$M$361,MATCH($O34,Scoring!$AI$29:$AI$361,0)))</f>
        <v>632</v>
      </c>
      <c r="M34" s="9" t="n">
        <f aca="false">IF($O34="","",INDEX(Scoring!$O$29:$O$361,MATCH($O34,Scoring!$AI$29:$AI$361,0)))</f>
        <v>42181.7</v>
      </c>
      <c r="N34" s="7" t="str">
        <f aca="false">IF($O34="","",INDEX(Scoring!$Y$29:$Y$361,MATCH($O34,Scoring!$AI$29:$AI$361,0)))</f>
        <v>UK, Australia, UK-NI | EU/EEA (8): Germany, France, Netherlands, Belgium + 4 more</v>
      </c>
      <c r="O34" s="10" t="n">
        <f aca="false">IFERROR(SMALL(Scoring!$AI$29:$AI$361,30),"")</f>
        <v>2002</v>
      </c>
    </row>
    <row r="35" customFormat="false" ht="41.75" hidden="false" customHeight="false" outlineLevel="0" collapsed="false">
      <c r="A35" s="5" t="n">
        <f aca="false">IF($O35="","",INT($O35/1000))</f>
        <v>2</v>
      </c>
      <c r="B35" s="6" t="str">
        <f aca="false">IF($O35="","",INDEX(Scoring!$A$29:$A$361,MATCH($O35,Scoring!$AI$29:$AI$361,0)))</f>
        <v>Aurobindo</v>
      </c>
      <c r="C35" s="5" t="n">
        <f aca="false">IF($O35="","",IF(INDEX(Scoring!$F$29:$F$361,MATCH($O35,Scoring!$AI$29:$AI$361,0))="","–",INDEX(Scoring!$F$29:$F$361,MATCH($O35,Scoring!$AI$29:$AI$361,0))))</f>
        <v>3</v>
      </c>
      <c r="D35" s="6" t="str">
        <f aca="false">IF($O35="","",INDEX(Scoring!$E$29:$E$361,MATCH($O35,Scoring!$AI$29:$AI$361,0)))</f>
        <v>Priority 1</v>
      </c>
      <c r="E35" s="7" t="str">
        <f aca="false">IF($O35="","",INDEX(Scoring!$G$29:$G$361,MATCH($O35,Scoring!$AI$29:$AI$361,0)))</f>
        <v>High price, high volume</v>
      </c>
      <c r="F35" s="6" t="str">
        <f aca="false">IF($O35="","",INDEX(Scoring!$B$29:$B$361,MATCH($O35,Scoring!$AI$29:$AI$361,0)))</f>
        <v>Bortezomib</v>
      </c>
      <c r="G35" s="7" t="str">
        <f aca="false">IF($O35="","",INDEX(Scoring!$C$29:$C$361,MATCH($O35,Scoring!$AI$29:$AI$361,0)))</f>
        <v>Bortezomib; Bortezomib Milpharm; Bortezomib Arrow (+1 more)</v>
      </c>
      <c r="H35" s="7" t="str">
        <f aca="false">IF($O35="","",INDEX(Scoring!$D$29:$D$361,MATCH($O35,Scoring!$AI$29:$AI$361,0)))</f>
        <v>Oncology: multiple myeloma, mantle cell lymphoma</v>
      </c>
      <c r="I35" s="6" t="str">
        <f aca="false">IF($O35="","",INDEX(Scoring!$R$29:$R$361,MATCH($O35,Scoring!$AI$29:$AI$361,0)))</f>
        <v>Vial</v>
      </c>
      <c r="J35" s="7" t="str">
        <f aca="false">IF($O35="","",INDEX(Scoring!$S$29:$S$361,MATCH($O35,Scoring!$AI$29:$AI$361,0)))</f>
        <v>3.5 mg powder vial</v>
      </c>
      <c r="K35" s="8" t="n">
        <f aca="false">IF($O35="","",IF(INDEX(Scoring!$I$29:$I$361,MATCH($O35,Scoring!$AI$29:$AI$361,0))="",INDEX(Scoring!$AC$29:$AC$361,MATCH($O35,Scoring!$AI$29:$AI$361,0)),INDEX(Scoring!$I$29:$I$361,MATCH($O35,Scoring!$AI$29:$AI$361,0))))</f>
        <v>584.34</v>
      </c>
      <c r="L35" s="9" t="n">
        <f aca="false">IF($O35="","",INDEX(Scoring!$M$29:$M$361,MATCH($O35,Scoring!$AI$29:$AI$361,0)))</f>
        <v>905</v>
      </c>
      <c r="M35" s="9" t="n">
        <f aca="false">IF($O35="","",INDEX(Scoring!$O$29:$O$361,MATCH($O35,Scoring!$AI$29:$AI$361,0)))</f>
        <v>28093.4</v>
      </c>
      <c r="N35" s="7" t="str">
        <f aca="false">IF($O35="","",INDEX(Scoring!$Y$29:$Y$361,MATCH($O35,Scoring!$AI$29:$AI$361,0)))</f>
        <v>US, UK, Australia, UK-NI | EU/EEA (8): Germany, France, Netherlands, Belgium + 4 more</v>
      </c>
      <c r="O35" s="10" t="n">
        <f aca="false">IFERROR(SMALL(Scoring!$AI$29:$AI$361,31),"")</f>
        <v>2003</v>
      </c>
    </row>
    <row r="36" customFormat="false" ht="28.35" hidden="false" customHeight="false" outlineLevel="0" collapsed="false">
      <c r="A36" s="5" t="n">
        <f aca="false">IF($O36="","",INT($O36/1000))</f>
        <v>2</v>
      </c>
      <c r="B36" s="6" t="str">
        <f aca="false">IF($O36="","",INDEX(Scoring!$A$29:$A$361,MATCH($O36,Scoring!$AI$29:$AI$361,0)))</f>
        <v>Aurobindo</v>
      </c>
      <c r="C36" s="5" t="n">
        <f aca="false">IF($O36="","",IF(INDEX(Scoring!$F$29:$F$361,MATCH($O36,Scoring!$AI$29:$AI$361,0))="","–",INDEX(Scoring!$F$29:$F$361,MATCH($O36,Scoring!$AI$29:$AI$361,0))))</f>
        <v>4</v>
      </c>
      <c r="D36" s="6" t="str">
        <f aca="false">IF($O36="","",INDEX(Scoring!$E$29:$E$361,MATCH($O36,Scoring!$AI$29:$AI$361,0)))</f>
        <v>Priority 1</v>
      </c>
      <c r="E36" s="7" t="str">
        <f aca="false">IF($O36="","",INDEX(Scoring!$G$29:$G$361,MATCH($O36,Scoring!$AI$29:$AI$361,0)))</f>
        <v>High price, high volume</v>
      </c>
      <c r="F36" s="6" t="str">
        <f aca="false">IF($O36="","",INDEX(Scoring!$B$29:$B$361,MATCH($O36,Scoring!$AI$29:$AI$361,0)))</f>
        <v>Fulvestrant</v>
      </c>
      <c r="G36" s="7" t="str">
        <f aca="false">IF($O36="","",INDEX(Scoring!$C$29:$C$361,MATCH($O36,Scoring!$AI$29:$AI$361,0)))</f>
        <v>Fulvestrant; Fulvestrant Arrow; EUG-Fulvestrant</v>
      </c>
      <c r="H36" s="7" t="str">
        <f aca="false">IF($O36="","",INDEX(Scoring!$D$29:$D$361,MATCH($O36,Scoring!$AI$29:$AI$361,0)))</f>
        <v>Oncology: hormone receptor-positive advanced breast cancer</v>
      </c>
      <c r="I36" s="6" t="str">
        <f aca="false">IF($O36="","",INDEX(Scoring!$R$29:$R$361,MATCH($O36,Scoring!$AI$29:$AI$361,0)))</f>
        <v>Prefilled syringe</v>
      </c>
      <c r="J36" s="7" t="str">
        <f aca="false">IF($O36="","",INDEX(Scoring!$S$29:$S$361,MATCH($O36,Scoring!$AI$29:$AI$361,0)))</f>
        <v>250 mg/5 mL pre-filled syringe</v>
      </c>
      <c r="K36" s="8" t="n">
        <f aca="false">IF($O36="","",IF(INDEX(Scoring!$I$29:$I$361,MATCH($O36,Scoring!$AI$29:$AI$361,0))="",INDEX(Scoring!$AC$29:$AC$361,MATCH($O36,Scoring!$AI$29:$AI$361,0)),INDEX(Scoring!$I$29:$I$361,MATCH($O36,Scoring!$AI$29:$AI$361,0))))</f>
        <v>308.1</v>
      </c>
      <c r="L36" s="9" t="n">
        <f aca="false">IF($O36="","",INDEX(Scoring!$M$29:$M$361,MATCH($O36,Scoring!$AI$29:$AI$361,0)))</f>
        <v>146</v>
      </c>
      <c r="M36" s="9" t="n">
        <f aca="false">IF($O36="","",INDEX(Scoring!$O$29:$O$361,MATCH($O36,Scoring!$AI$29:$AI$361,0)))</f>
        <v>11366.1</v>
      </c>
      <c r="N36" s="7" t="str">
        <f aca="false">IF($O36="","",INDEX(Scoring!$Y$29:$Y$361,MATCH($O36,Scoring!$AI$29:$AI$361,0)))</f>
        <v>UK, Australia | EU/EEA (8): Germany, France, Netherlands, Belgium + 4 more</v>
      </c>
      <c r="O36" s="10" t="n">
        <f aca="false">IFERROR(SMALL(Scoring!$AI$29:$AI$361,32),"")</f>
        <v>2004</v>
      </c>
    </row>
    <row r="37" customFormat="false" ht="28.35" hidden="false" customHeight="false" outlineLevel="0" collapsed="false">
      <c r="A37" s="5" t="n">
        <f aca="false">IF($O37="","",INT($O37/1000))</f>
        <v>2</v>
      </c>
      <c r="B37" s="6" t="str">
        <f aca="false">IF($O37="","",INDEX(Scoring!$A$29:$A$361,MATCH($O37,Scoring!$AI$29:$AI$361,0)))</f>
        <v>Aurobindo</v>
      </c>
      <c r="C37" s="5" t="n">
        <f aca="false">IF($O37="","",IF(INDEX(Scoring!$F$29:$F$361,MATCH($O37,Scoring!$AI$29:$AI$361,0))="","–",INDEX(Scoring!$F$29:$F$361,MATCH($O37,Scoring!$AI$29:$AI$361,0))))</f>
        <v>5</v>
      </c>
      <c r="D37" s="6" t="str">
        <f aca="false">IF($O37="","",INDEX(Scoring!$E$29:$E$361,MATCH($O37,Scoring!$AI$29:$AI$361,0)))</f>
        <v>Priority 1</v>
      </c>
      <c r="E37" s="7" t="str">
        <f aca="false">IF($O37="","",INDEX(Scoring!$G$29:$G$361,MATCH($O37,Scoring!$AI$29:$AI$361,0)))</f>
        <v>High price, high volume</v>
      </c>
      <c r="F37" s="6" t="str">
        <f aca="false">IF($O37="","",INDEX(Scoring!$B$29:$B$361,MATCH($O37,Scoring!$AI$29:$AI$361,0)))</f>
        <v>Folinic Acid (Leucovorin)</v>
      </c>
      <c r="G37" s="7" t="str">
        <f aca="false">IF($O37="","",INDEX(Scoring!$C$29:$C$361,MATCH($O37,Scoring!$AI$29:$AI$361,0)))</f>
        <v>Folinsäure Aurobindo</v>
      </c>
      <c r="H37" s="7" t="str">
        <f aca="false">IF($O37="","",INDEX(Scoring!$D$29:$D$361,MATCH($O37,Scoring!$AI$29:$AI$361,0)))</f>
        <v>Oncology support: methotrexate rescue, combination therapy in colorectal cancer</v>
      </c>
      <c r="I37" s="6" t="str">
        <f aca="false">IF($O37="","",INDEX(Scoring!$R$29:$R$361,MATCH($O37,Scoring!$AI$29:$AI$361,0)))</f>
        <v>Vial</v>
      </c>
      <c r="J37" s="7" t="str">
        <f aca="false">IF($O37="","",INDEX(Scoring!$S$29:$S$361,MATCH($O37,Scoring!$AI$29:$AI$361,0)))</f>
        <v>1000 mg/100 mL vial</v>
      </c>
      <c r="K37" s="8" t="n">
        <f aca="false">IF($O37="","",IF(INDEX(Scoring!$I$29:$I$361,MATCH($O37,Scoring!$AI$29:$AI$361,0))="",INDEX(Scoring!$AC$29:$AC$361,MATCH($O37,Scoring!$AI$29:$AI$361,0)),INDEX(Scoring!$I$29:$I$361,MATCH($O37,Scoring!$AI$29:$AI$361,0))))</f>
        <v>378.26</v>
      </c>
      <c r="L37" s="9" t="n">
        <f aca="false">IF($O37="","",INDEX(Scoring!$M$29:$M$361,MATCH($O37,Scoring!$AI$29:$AI$361,0)))</f>
        <v>243</v>
      </c>
      <c r="M37" s="9" t="n">
        <f aca="false">IF($O37="","",INDEX(Scoring!$O$29:$O$361,MATCH($O37,Scoring!$AI$29:$AI$361,0)))</f>
        <v>3562.5</v>
      </c>
      <c r="N37" s="7" t="str">
        <f aca="false">IF($O37="","",INDEX(Scoring!$Y$29:$Y$361,MATCH($O37,Scoring!$AI$29:$AI$361,0)))</f>
        <v>EU/EEA (1): Germany</v>
      </c>
      <c r="O37" s="10" t="n">
        <f aca="false">IFERROR(SMALL(Scoring!$AI$29:$AI$361,33),"")</f>
        <v>2005</v>
      </c>
    </row>
    <row r="38" customFormat="false" ht="28.35" hidden="false" customHeight="false" outlineLevel="0" collapsed="false">
      <c r="A38" s="5" t="n">
        <f aca="false">IF($O38="","",INT($O38/1000))</f>
        <v>2</v>
      </c>
      <c r="B38" s="6" t="str">
        <f aca="false">IF($O38="","",INDEX(Scoring!$A$29:$A$361,MATCH($O38,Scoring!$AI$29:$AI$361,0)))</f>
        <v>Aurobindo</v>
      </c>
      <c r="C38" s="5" t="n">
        <f aca="false">IF($O38="","",IF(INDEX(Scoring!$F$29:$F$361,MATCH($O38,Scoring!$AI$29:$AI$361,0))="","–",INDEX(Scoring!$F$29:$F$361,MATCH($O38,Scoring!$AI$29:$AI$361,0))))</f>
        <v>6</v>
      </c>
      <c r="D38" s="6" t="str">
        <f aca="false">IF($O38="","",INDEX(Scoring!$E$29:$E$361,MATCH($O38,Scoring!$AI$29:$AI$361,0)))</f>
        <v>Priority 1</v>
      </c>
      <c r="E38" s="7" t="str">
        <f aca="false">IF($O38="","",INDEX(Scoring!$G$29:$G$361,MATCH($O38,Scoring!$AI$29:$AI$361,0)))</f>
        <v>High price, high volume</v>
      </c>
      <c r="F38" s="6" t="str">
        <f aca="false">IF($O38="","",INDEX(Scoring!$B$29:$B$361,MATCH($O38,Scoring!$AI$29:$AI$361,0)))</f>
        <v>Testosterone Enanthate</v>
      </c>
      <c r="G38" s="7" t="str">
        <f aca="false">IF($O38="","",INDEX(Scoring!$C$29:$C$361,MATCH($O38,Scoring!$AI$29:$AI$361,0)))</f>
        <v>Testosterone Enanthate</v>
      </c>
      <c r="H38" s="7" t="str">
        <f aca="false">IF($O38="","",INDEX(Scoring!$D$29:$D$361,MATCH($O38,Scoring!$AI$29:$AI$361,0)))</f>
        <v>Endocrinology: male hypogonadism, delayed puberty</v>
      </c>
      <c r="I38" s="6" t="str">
        <f aca="false">IF($O38="","",INDEX(Scoring!$R$29:$R$361,MATCH($O38,Scoring!$AI$29:$AI$361,0)))</f>
        <v>Vial</v>
      </c>
      <c r="J38" s="7" t="str">
        <f aca="false">IF($O38="","",INDEX(Scoring!$S$29:$S$361,MATCH($O38,Scoring!$AI$29:$AI$361,0)))</f>
        <v>1000 mg/5 mL vial</v>
      </c>
      <c r="K38" s="8" t="n">
        <f aca="false">IF($O38="","",IF(INDEX(Scoring!$I$29:$I$361,MATCH($O38,Scoring!$AI$29:$AI$361,0))="",INDEX(Scoring!$AC$29:$AC$361,MATCH($O38,Scoring!$AI$29:$AI$361,0)),INDEX(Scoring!$I$29:$I$361,MATCH($O38,Scoring!$AI$29:$AI$361,0))))</f>
        <v>36.17</v>
      </c>
      <c r="L38" s="9" t="n">
        <f aca="false">IF($O38="","",INDEX(Scoring!$M$29:$M$361,MATCH($O38,Scoring!$AI$29:$AI$361,0)))</f>
        <v>448</v>
      </c>
      <c r="M38" s="9" t="n">
        <f aca="false">IF($O38="","",INDEX(Scoring!$O$29:$O$361,MATCH($O38,Scoring!$AI$29:$AI$361,0)))</f>
        <v>1202.2</v>
      </c>
      <c r="N38" s="7" t="str">
        <f aca="false">IF($O38="","",INDEX(Scoring!$Y$29:$Y$361,MATCH($O38,Scoring!$AI$29:$AI$361,0)))</f>
        <v>US</v>
      </c>
      <c r="O38" s="10" t="n">
        <f aca="false">IFERROR(SMALL(Scoring!$AI$29:$AI$361,34),"")</f>
        <v>2006</v>
      </c>
    </row>
    <row r="39" customFormat="false" ht="28.35" hidden="false" customHeight="false" outlineLevel="0" collapsed="false">
      <c r="A39" s="5" t="n">
        <f aca="false">IF($O39="","",INT($O39/1000))</f>
        <v>2</v>
      </c>
      <c r="B39" s="6" t="str">
        <f aca="false">IF($O39="","",INDEX(Scoring!$A$29:$A$361,MATCH($O39,Scoring!$AI$29:$AI$361,0)))</f>
        <v>Aurobindo</v>
      </c>
      <c r="C39" s="5" t="n">
        <f aca="false">IF($O39="","",IF(INDEX(Scoring!$F$29:$F$361,MATCH($O39,Scoring!$AI$29:$AI$361,0))="","–",INDEX(Scoring!$F$29:$F$361,MATCH($O39,Scoring!$AI$29:$AI$361,0))))</f>
        <v>7</v>
      </c>
      <c r="D39" s="6" t="str">
        <f aca="false">IF($O39="","",INDEX(Scoring!$E$29:$E$361,MATCH($O39,Scoring!$AI$29:$AI$361,0)))</f>
        <v>Priority 2</v>
      </c>
      <c r="E39" s="7" t="str">
        <f aca="false">IF($O39="","",INDEX(Scoring!$G$29:$G$361,MATCH($O39,Scoring!$AI$29:$AI$361,0)))</f>
        <v>Lower price, high volume</v>
      </c>
      <c r="F39" s="6" t="str">
        <f aca="false">IF($O39="","",INDEX(Scoring!$B$29:$B$361,MATCH($O39,Scoring!$AI$29:$AI$361,0)))</f>
        <v>Ceftriaxone</v>
      </c>
      <c r="G39" s="7" t="str">
        <f aca="false">IF($O39="","",INDEX(Scoring!$C$29:$C$361,MATCH($O39,Scoring!$AI$29:$AI$361,0)))</f>
        <v>Ceftriaxon Puren; Ceftriaxone Almus</v>
      </c>
      <c r="H39" s="7" t="str">
        <f aca="false">IF($O39="","",INDEX(Scoring!$D$29:$D$361,MATCH($O39,Scoring!$AI$29:$AI$361,0)))</f>
        <v>Anti-infective: pneumonia, meningitis, sepsis, gonorrhoea, typhoid</v>
      </c>
      <c r="I39" s="6" t="str">
        <f aca="false">IF($O39="","",INDEX(Scoring!$R$29:$R$361,MATCH($O39,Scoring!$AI$29:$AI$361,0)))</f>
        <v>Vial, Ampoule</v>
      </c>
      <c r="J39" s="7" t="str">
        <f aca="false">IF($O39="","",INDEX(Scoring!$S$29:$S$361,MATCH($O39,Scoring!$AI$29:$AI$361,0)))</f>
        <v>1 g powder vial</v>
      </c>
      <c r="K39" s="8" t="n">
        <f aca="false">IF($O39="","",IF(INDEX(Scoring!$I$29:$I$361,MATCH($O39,Scoring!$AI$29:$AI$361,0))="",INDEX(Scoring!$AC$29:$AC$361,MATCH($O39,Scoring!$AI$29:$AI$361,0)),INDEX(Scoring!$I$29:$I$361,MATCH($O39,Scoring!$AI$29:$AI$361,0))))</f>
        <v>5.6</v>
      </c>
      <c r="L39" s="9" t="n">
        <f aca="false">IF($O39="","",INDEX(Scoring!$M$29:$M$361,MATCH($O39,Scoring!$AI$29:$AI$361,0)))</f>
        <v>3110</v>
      </c>
      <c r="M39" s="9" t="n">
        <f aca="false">IF($O39="","",INDEX(Scoring!$O$29:$O$361,MATCH($O39,Scoring!$AI$29:$AI$361,0)))</f>
        <v>93119.2</v>
      </c>
      <c r="N39" s="7" t="str">
        <f aca="false">IF($O39="","",INDEX(Scoring!$Y$29:$Y$361,MATCH($O39,Scoring!$AI$29:$AI$361,0)))</f>
        <v>EU/EEA (4): Germany, France, Italy, Portugal</v>
      </c>
      <c r="O39" s="10" t="n">
        <f aca="false">IFERROR(SMALL(Scoring!$AI$29:$AI$361,35),"")</f>
        <v>2007</v>
      </c>
    </row>
    <row r="40" customFormat="false" ht="28.35" hidden="false" customHeight="false" outlineLevel="0" collapsed="false">
      <c r="A40" s="5" t="n">
        <f aca="false">IF($O40="","",INT($O40/1000))</f>
        <v>2</v>
      </c>
      <c r="B40" s="6" t="str">
        <f aca="false">IF($O40="","",INDEX(Scoring!$A$29:$A$361,MATCH($O40,Scoring!$AI$29:$AI$361,0)))</f>
        <v>Aurobindo</v>
      </c>
      <c r="C40" s="5" t="n">
        <f aca="false">IF($O40="","",IF(INDEX(Scoring!$F$29:$F$361,MATCH($O40,Scoring!$AI$29:$AI$361,0))="","–",INDEX(Scoring!$F$29:$F$361,MATCH($O40,Scoring!$AI$29:$AI$361,0))))</f>
        <v>8</v>
      </c>
      <c r="D40" s="6" t="str">
        <f aca="false">IF($O40="","",INDEX(Scoring!$E$29:$E$361,MATCH($O40,Scoring!$AI$29:$AI$361,0)))</f>
        <v>Priority 2</v>
      </c>
      <c r="E40" s="7" t="str">
        <f aca="false">IF($O40="","",INDEX(Scoring!$G$29:$G$361,MATCH($O40,Scoring!$AI$29:$AI$361,0)))</f>
        <v>Lower price, high volume</v>
      </c>
      <c r="F40" s="6" t="str">
        <f aca="false">IF($O40="","",INDEX(Scoring!$B$29:$B$361,MATCH($O40,Scoring!$AI$29:$AI$361,0)))</f>
        <v>Ampicillin</v>
      </c>
      <c r="G40" s="7" t="str">
        <f aca="false">IF($O40="","",INDEX(Scoring!$C$29:$C$361,MATCH($O40,Scoring!$AI$29:$AI$361,0)))</f>
        <v>Ampicillin Sodium</v>
      </c>
      <c r="H40" s="7" t="str">
        <f aca="false">IF($O40="","",INDEX(Scoring!$D$29:$D$361,MATCH($O40,Scoring!$AI$29:$AI$361,0)))</f>
        <v>Anti-infective: meningitis, endocarditis, neonatal sepsis</v>
      </c>
      <c r="I40" s="6" t="str">
        <f aca="false">IF($O40="","",INDEX(Scoring!$R$29:$R$361,MATCH($O40,Scoring!$AI$29:$AI$361,0)))</f>
        <v>Vial</v>
      </c>
      <c r="J40" s="7" t="str">
        <f aca="false">IF($O40="","",INDEX(Scoring!$S$29:$S$361,MATCH($O40,Scoring!$AI$29:$AI$361,0)))</f>
        <v>2 g/20 mL vial</v>
      </c>
      <c r="K40" s="8" t="n">
        <f aca="false">IF($O40="","",IF(INDEX(Scoring!$I$29:$I$361,MATCH($O40,Scoring!$AI$29:$AI$361,0))="",INDEX(Scoring!$AC$29:$AC$361,MATCH($O40,Scoring!$AI$29:$AI$361,0)),INDEX(Scoring!$I$29:$I$361,MATCH($O40,Scoring!$AI$29:$AI$361,0))))</f>
        <v>7.79</v>
      </c>
      <c r="L40" s="9" t="n">
        <f aca="false">IF($O40="","",INDEX(Scoring!$M$29:$M$361,MATCH($O40,Scoring!$AI$29:$AI$361,0)))</f>
        <v>934</v>
      </c>
      <c r="M40" s="9" t="n">
        <f aca="false">IF($O40="","",INDEX(Scoring!$O$29:$O$361,MATCH($O40,Scoring!$AI$29:$AI$361,0)))</f>
        <v>35129.8</v>
      </c>
      <c r="N40" s="7" t="str">
        <f aca="false">IF($O40="","",INDEX(Scoring!$Y$29:$Y$361,MATCH($O40,Scoring!$AI$29:$AI$361,0)))</f>
        <v>Canada | EU/EEA (1): Germany</v>
      </c>
      <c r="O40" s="10" t="n">
        <f aca="false">IFERROR(SMALL(Scoring!$AI$29:$AI$361,36),"")</f>
        <v>2008</v>
      </c>
    </row>
    <row r="41" customFormat="false" ht="28.35" hidden="false" customHeight="false" outlineLevel="0" collapsed="false">
      <c r="A41" s="5" t="n">
        <f aca="false">IF($O41="","",INT($O41/1000))</f>
        <v>2</v>
      </c>
      <c r="B41" s="6" t="str">
        <f aca="false">IF($O41="","",INDEX(Scoring!$A$29:$A$361,MATCH($O41,Scoring!$AI$29:$AI$361,0)))</f>
        <v>Aurobindo</v>
      </c>
      <c r="C41" s="5" t="n">
        <f aca="false">IF($O41="","",IF(INDEX(Scoring!$F$29:$F$361,MATCH($O41,Scoring!$AI$29:$AI$361,0))="","–",INDEX(Scoring!$F$29:$F$361,MATCH($O41,Scoring!$AI$29:$AI$361,0))))</f>
        <v>9</v>
      </c>
      <c r="D41" s="6" t="str">
        <f aca="false">IF($O41="","",INDEX(Scoring!$E$29:$E$361,MATCH($O41,Scoring!$AI$29:$AI$361,0)))</f>
        <v>Priority 2</v>
      </c>
      <c r="E41" s="7" t="str">
        <f aca="false">IF($O41="","",INDEX(Scoring!$G$29:$G$361,MATCH($O41,Scoring!$AI$29:$AI$361,0)))</f>
        <v>Lower price, high volume</v>
      </c>
      <c r="F41" s="6" t="str">
        <f aca="false">IF($O41="","",INDEX(Scoring!$B$29:$B$361,MATCH($O41,Scoring!$AI$29:$AI$361,0)))</f>
        <v>Ondansetron</v>
      </c>
      <c r="G41" s="7" t="str">
        <f aca="false">IF($O41="","",INDEX(Scoring!$C$29:$C$361,MATCH($O41,Scoring!$AI$29:$AI$361,0)))</f>
        <v>Ondansetron; Ondansetron Ab; Auro-Ondansetron (+1 more)</v>
      </c>
      <c r="H41" s="7" t="str">
        <f aca="false">IF($O41="","",INDEX(Scoring!$D$29:$D$361,MATCH($O41,Scoring!$AI$29:$AI$361,0)))</f>
        <v>Oncology support: nausea and vomiting from chemotherapy and surgery</v>
      </c>
      <c r="I41" s="6" t="str">
        <f aca="false">IF($O41="","",INDEX(Scoring!$R$29:$R$361,MATCH($O41,Scoring!$AI$29:$AI$361,0)))</f>
        <v>Vial, Ampoule</v>
      </c>
      <c r="J41" s="7" t="str">
        <f aca="false">IF($O41="","",INDEX(Scoring!$S$29:$S$361,MATCH($O41,Scoring!$AI$29:$AI$361,0)))</f>
        <v>2 mg/mL ampoule; 4 mg/2 mL ampoule; 4 mg/2 mL vial; 8 mg/4 mL vial</v>
      </c>
      <c r="K41" s="8" t="n">
        <f aca="false">IF($O41="","",IF(INDEX(Scoring!$I$29:$I$361,MATCH($O41,Scoring!$AI$29:$AI$361,0))="",INDEX(Scoring!$AC$29:$AC$361,MATCH($O41,Scoring!$AI$29:$AI$361,0)),INDEX(Scoring!$I$29:$I$361,MATCH($O41,Scoring!$AI$29:$AI$361,0))))</f>
        <v>9.82</v>
      </c>
      <c r="L41" s="9" t="n">
        <f aca="false">IF($O41="","",INDEX(Scoring!$M$29:$M$361,MATCH($O41,Scoring!$AI$29:$AI$361,0)))</f>
        <v>963</v>
      </c>
      <c r="M41" s="9" t="n">
        <f aca="false">IF($O41="","",INDEX(Scoring!$O$29:$O$361,MATCH($O41,Scoring!$AI$29:$AI$361,0)))</f>
        <v>17590.5</v>
      </c>
      <c r="N41" s="7" t="str">
        <f aca="false">IF($O41="","",INDEX(Scoring!$Y$29:$Y$361,MATCH($O41,Scoring!$AI$29:$AI$361,0)))</f>
        <v>UK, Canada, UK-NI | EU/EEA (7): Germany, Belgium, Italy, Luxembourg + 3 more</v>
      </c>
      <c r="O41" s="10" t="n">
        <f aca="false">IFERROR(SMALL(Scoring!$AI$29:$AI$361,37),"")</f>
        <v>2009</v>
      </c>
    </row>
    <row r="42" customFormat="false" ht="28.35" hidden="false" customHeight="false" outlineLevel="0" collapsed="false">
      <c r="A42" s="5" t="n">
        <f aca="false">IF($O42="","",INT($O42/1000))</f>
        <v>2</v>
      </c>
      <c r="B42" s="6" t="str">
        <f aca="false">IF($O42="","",INDEX(Scoring!$A$29:$A$361,MATCH($O42,Scoring!$AI$29:$AI$361,0)))</f>
        <v>Aurobindo</v>
      </c>
      <c r="C42" s="5" t="n">
        <f aca="false">IF($O42="","",IF(INDEX(Scoring!$F$29:$F$361,MATCH($O42,Scoring!$AI$29:$AI$361,0))="","–",INDEX(Scoring!$F$29:$F$361,MATCH($O42,Scoring!$AI$29:$AI$361,0))))</f>
        <v>10</v>
      </c>
      <c r="D42" s="6" t="str">
        <f aca="false">IF($O42="","",INDEX(Scoring!$E$29:$E$361,MATCH($O42,Scoring!$AI$29:$AI$361,0)))</f>
        <v>Priority 2</v>
      </c>
      <c r="E42" s="7" t="str">
        <f aca="false">IF($O42="","",INDEX(Scoring!$G$29:$G$361,MATCH($O42,Scoring!$AI$29:$AI$361,0)))</f>
        <v>Lower price, high volume</v>
      </c>
      <c r="F42" s="6" t="str">
        <f aca="false">IF($O42="","",INDEX(Scoring!$B$29:$B$361,MATCH($O42,Scoring!$AI$29:$AI$361,0)))</f>
        <v>Bupivacaine</v>
      </c>
      <c r="G42" s="7" t="str">
        <f aca="false">IF($O42="","",INDEX(Scoring!$C$29:$C$361,MATCH($O42,Scoring!$AI$29:$AI$361,0)))</f>
        <v>Bupivan</v>
      </c>
      <c r="H42" s="7" t="str">
        <f aca="false">IF($O42="","",INDEX(Scoring!$D$29:$D$361,MATCH($O42,Scoring!$AI$29:$AI$361,0)))</f>
        <v>Anaesthesia: long-acting local anaesthetic for spinal, epidural and nerve block</v>
      </c>
      <c r="I42" s="6" t="str">
        <f aca="false">IF($O42="","",INDEX(Scoring!$R$29:$R$361,MATCH($O42,Scoring!$AI$29:$AI$361,0)))</f>
        <v>Ampoule</v>
      </c>
      <c r="J42" s="7" t="str">
        <f aca="false">IF($O42="","",INDEX(Scoring!$S$29:$S$361,MATCH($O42,Scoring!$AI$29:$AI$361,0)))</f>
        <v>25 mg/5 mL ampoule</v>
      </c>
      <c r="K42" s="8" t="n">
        <f aca="false">IF($O42="","",IF(INDEX(Scoring!$I$29:$I$361,MATCH($O42,Scoring!$AI$29:$AI$361,0))="",INDEX(Scoring!$AC$29:$AC$361,MATCH($O42,Scoring!$AI$29:$AI$361,0)),INDEX(Scoring!$I$29:$I$361,MATCH($O42,Scoring!$AI$29:$AI$361,0))))</f>
        <v>5.15</v>
      </c>
      <c r="L42" s="9" t="n">
        <f aca="false">IF($O42="","",INDEX(Scoring!$M$29:$M$361,MATCH($O42,Scoring!$AI$29:$AI$361,0)))</f>
        <v>581</v>
      </c>
      <c r="M42" s="9" t="n">
        <f aca="false">IF($O42="","",INDEX(Scoring!$O$29:$O$361,MATCH($O42,Scoring!$AI$29:$AI$361,0)))</f>
        <v>16359.3</v>
      </c>
      <c r="N42" s="7" t="str">
        <f aca="false">IF($O42="","",INDEX(Scoring!$Y$29:$Y$361,MATCH($O42,Scoring!$AI$29:$AI$361,0)))</f>
        <v>UK-NI | EU/EEA (5): Germany, Netherlands, Italy, Portugal, Spain</v>
      </c>
      <c r="O42" s="10" t="n">
        <f aca="false">IFERROR(SMALL(Scoring!$AI$29:$AI$361,38),"")</f>
        <v>2010</v>
      </c>
    </row>
    <row r="43" customFormat="false" ht="41.75" hidden="false" customHeight="false" outlineLevel="0" collapsed="false">
      <c r="A43" s="5" t="n">
        <f aca="false">IF($O43="","",INT($O43/1000))</f>
        <v>2</v>
      </c>
      <c r="B43" s="6" t="str">
        <f aca="false">IF($O43="","",INDEX(Scoring!$A$29:$A$361,MATCH($O43,Scoring!$AI$29:$AI$361,0)))</f>
        <v>Aurobindo</v>
      </c>
      <c r="C43" s="5" t="n">
        <f aca="false">IF($O43="","",IF(INDEX(Scoring!$F$29:$F$361,MATCH($O43,Scoring!$AI$29:$AI$361,0))="","–",INDEX(Scoring!$F$29:$F$361,MATCH($O43,Scoring!$AI$29:$AI$361,0))))</f>
        <v>11</v>
      </c>
      <c r="D43" s="6" t="str">
        <f aca="false">IF($O43="","",INDEX(Scoring!$E$29:$E$361,MATCH($O43,Scoring!$AI$29:$AI$361,0)))</f>
        <v>Priority 2</v>
      </c>
      <c r="E43" s="7" t="str">
        <f aca="false">IF($O43="","",INDEX(Scoring!$G$29:$G$361,MATCH($O43,Scoring!$AI$29:$AI$361,0)))</f>
        <v>Lower price, high volume</v>
      </c>
      <c r="F43" s="6" t="str">
        <f aca="false">IF($O43="","",INDEX(Scoring!$B$29:$B$361,MATCH($O43,Scoring!$AI$29:$AI$361,0)))</f>
        <v>Methotrexate</v>
      </c>
      <c r="G43" s="7" t="str">
        <f aca="false">IF($O43="","",INDEX(Scoring!$C$29:$C$361,MATCH($O43,Scoring!$AI$29:$AI$361,0)))</f>
        <v>Methotrexate Sodium Preservative Free</v>
      </c>
      <c r="H43" s="7" t="str">
        <f aca="false">IF($O43="","",INDEX(Scoring!$D$29:$D$361,MATCH($O43,Scoring!$AI$29:$AI$361,0)))</f>
        <v>Oncology and immunology: leukaemia, lymphoma, bone cancer, rheumatoid arthritis, psoriasis</v>
      </c>
      <c r="I43" s="6" t="str">
        <f aca="false">IF($O43="","",INDEX(Scoring!$R$29:$R$361,MATCH($O43,Scoring!$AI$29:$AI$361,0)))</f>
        <v>Vial</v>
      </c>
      <c r="J43" s="7" t="str">
        <f aca="false">IF($O43="","",INDEX(Scoring!$S$29:$S$361,MATCH($O43,Scoring!$AI$29:$AI$361,0)))</f>
        <v>50 mg/2 mL vial; 200 mg/8 mL vial; 250 mg/10 mL vial</v>
      </c>
      <c r="K43" s="8" t="n">
        <f aca="false">IF($O43="","",IF(INDEX(Scoring!$I$29:$I$361,MATCH($O43,Scoring!$AI$29:$AI$361,0))="",INDEX(Scoring!$AC$29:$AC$361,MATCH($O43,Scoring!$AI$29:$AI$361,0)),INDEX(Scoring!$I$29:$I$361,MATCH($O43,Scoring!$AI$29:$AI$361,0))))</f>
        <v>9.81</v>
      </c>
      <c r="L43" s="9" t="n">
        <f aca="false">IF($O43="","",INDEX(Scoring!$M$29:$M$361,MATCH($O43,Scoring!$AI$29:$AI$361,0)))</f>
        <v>996</v>
      </c>
      <c r="M43" s="9" t="n">
        <f aca="false">IF($O43="","",INDEX(Scoring!$O$29:$O$361,MATCH($O43,Scoring!$AI$29:$AI$361,0)))</f>
        <v>13045.6</v>
      </c>
      <c r="N43" s="7" t="str">
        <f aca="false">IF($O43="","",INDEX(Scoring!$Y$29:$Y$361,MATCH($O43,Scoring!$AI$29:$AI$361,0)))</f>
        <v>US</v>
      </c>
      <c r="O43" s="10" t="n">
        <f aca="false">IFERROR(SMALL(Scoring!$AI$29:$AI$361,39),"")</f>
        <v>2011</v>
      </c>
    </row>
    <row r="44" customFormat="false" ht="28.35" hidden="false" customHeight="false" outlineLevel="0" collapsed="false">
      <c r="A44" s="5" t="n">
        <f aca="false">IF($O44="","",INT($O44/1000))</f>
        <v>2</v>
      </c>
      <c r="B44" s="6" t="str">
        <f aca="false">IF($O44="","",INDEX(Scoring!$A$29:$A$361,MATCH($O44,Scoring!$AI$29:$AI$361,0)))</f>
        <v>Aurobindo</v>
      </c>
      <c r="C44" s="5" t="n">
        <f aca="false">IF($O44="","",IF(INDEX(Scoring!$F$29:$F$361,MATCH($O44,Scoring!$AI$29:$AI$361,0))="","–",INDEX(Scoring!$F$29:$F$361,MATCH($O44,Scoring!$AI$29:$AI$361,0))))</f>
        <v>12</v>
      </c>
      <c r="D44" s="6" t="str">
        <f aca="false">IF($O44="","",INDEX(Scoring!$E$29:$E$361,MATCH($O44,Scoring!$AI$29:$AI$361,0)))</f>
        <v>Priority 2</v>
      </c>
      <c r="E44" s="7" t="str">
        <f aca="false">IF($O44="","",INDEX(Scoring!$G$29:$G$361,MATCH($O44,Scoring!$AI$29:$AI$361,0)))</f>
        <v>High price, lower volume</v>
      </c>
      <c r="F44" s="6" t="str">
        <f aca="false">IF($O44="","",INDEX(Scoring!$B$29:$B$361,MATCH($O44,Scoring!$AI$29:$AI$361,0)))</f>
        <v>Plerixafor</v>
      </c>
      <c r="G44" s="7" t="str">
        <f aca="false">IF($O44="","",INDEX(Scoring!$C$29:$C$361,MATCH($O44,Scoring!$AI$29:$AI$361,0)))</f>
        <v>Plerixafor; Plerixafor Arrow; Plerixafor Eugia</v>
      </c>
      <c r="H44" s="7" t="str">
        <f aca="false">IF($O44="","",INDEX(Scoring!$D$29:$D$361,MATCH($O44,Scoring!$AI$29:$AI$361,0)))</f>
        <v>Oncology support: stem cell mobilisation in myeloma and lymphoma</v>
      </c>
      <c r="I44" s="6" t="str">
        <f aca="false">IF($O44="","",INDEX(Scoring!$R$29:$R$361,MATCH($O44,Scoring!$AI$29:$AI$361,0)))</f>
        <v>Vial</v>
      </c>
      <c r="J44" s="7" t="str">
        <f aca="false">IF($O44="","",INDEX(Scoring!$S$29:$S$361,MATCH($O44,Scoring!$AI$29:$AI$361,0)))</f>
        <v>24 mg/1.2 mL vial</v>
      </c>
      <c r="K44" s="8" t="n">
        <f aca="false">IF($O44="","",IF(INDEX(Scoring!$I$29:$I$361,MATCH($O44,Scoring!$AI$29:$AI$361,0))="",INDEX(Scoring!$AC$29:$AC$361,MATCH($O44,Scoring!$AI$29:$AI$361,0)),INDEX(Scoring!$I$29:$I$361,MATCH($O44,Scoring!$AI$29:$AI$361,0))))</f>
        <v>3710.2</v>
      </c>
      <c r="L44" s="9" t="n">
        <f aca="false">IF($O44="","",INDEX(Scoring!$M$29:$M$361,MATCH($O44,Scoring!$AI$29:$AI$361,0)))</f>
        <v>47</v>
      </c>
      <c r="M44" s="9" t="n">
        <f aca="false">IF($O44="","",INDEX(Scoring!$O$29:$O$361,MATCH($O44,Scoring!$AI$29:$AI$361,0)))</f>
        <v>7904.7</v>
      </c>
      <c r="N44" s="7" t="str">
        <f aca="false">IF($O44="","",INDEX(Scoring!$Y$29:$Y$361,MATCH($O44,Scoring!$AI$29:$AI$361,0)))</f>
        <v>US, UK, Canada, Australia, UK-NI | EU/EEA (5): Germany, France, Italy, Portugal, Spain</v>
      </c>
      <c r="O44" s="10" t="n">
        <f aca="false">IFERROR(SMALL(Scoring!$AI$29:$AI$361,40),"")</f>
        <v>2012</v>
      </c>
    </row>
    <row r="45" customFormat="false" ht="28.35" hidden="false" customHeight="false" outlineLevel="0" collapsed="false">
      <c r="A45" s="5" t="n">
        <f aca="false">IF($O45="","",INT($O45/1000))</f>
        <v>2</v>
      </c>
      <c r="B45" s="6" t="str">
        <f aca="false">IF($O45="","",INDEX(Scoring!$A$29:$A$361,MATCH($O45,Scoring!$AI$29:$AI$361,0)))</f>
        <v>Aurobindo</v>
      </c>
      <c r="C45" s="5" t="n">
        <f aca="false">IF($O45="","",IF(INDEX(Scoring!$F$29:$F$361,MATCH($O45,Scoring!$AI$29:$AI$361,0))="","–",INDEX(Scoring!$F$29:$F$361,MATCH($O45,Scoring!$AI$29:$AI$361,0))))</f>
        <v>13</v>
      </c>
      <c r="D45" s="6" t="str">
        <f aca="false">IF($O45="","",INDEX(Scoring!$E$29:$E$361,MATCH($O45,Scoring!$AI$29:$AI$361,0)))</f>
        <v>Priority 2</v>
      </c>
      <c r="E45" s="7" t="str">
        <f aca="false">IF($O45="","",INDEX(Scoring!$G$29:$G$361,MATCH($O45,Scoring!$AI$29:$AI$361,0)))</f>
        <v>Lower price, high volume</v>
      </c>
      <c r="F45" s="6" t="str">
        <f aca="false">IF($O45="","",INDEX(Scoring!$B$29:$B$361,MATCH($O45,Scoring!$AI$29:$AI$361,0)))</f>
        <v>Testosterone Cypionate</v>
      </c>
      <c r="G45" s="7" t="str">
        <f aca="false">IF($O45="","",INDEX(Scoring!$C$29:$C$361,MATCH($O45,Scoring!$AI$29:$AI$361,0)))</f>
        <v>Testosterone Cypionate</v>
      </c>
      <c r="H45" s="7" t="str">
        <f aca="false">IF($O45="","",INDEX(Scoring!$D$29:$D$361,MATCH($O45,Scoring!$AI$29:$AI$361,0)))</f>
        <v>Endocrinology: testosterone replacement in male hypogonadism</v>
      </c>
      <c r="I45" s="6" t="str">
        <f aca="false">IF($O45="","",INDEX(Scoring!$R$29:$R$361,MATCH($O45,Scoring!$AI$29:$AI$361,0)))</f>
        <v>Vial</v>
      </c>
      <c r="J45" s="7" t="str">
        <f aca="false">IF($O45="","",INDEX(Scoring!$S$29:$S$361,MATCH($O45,Scoring!$AI$29:$AI$361,0)))</f>
        <v>1000 mg/10 mL vial; 200 mg/1 mL vial</v>
      </c>
      <c r="K45" s="8" t="n">
        <f aca="false">IF($O45="","",IF(INDEX(Scoring!$I$29:$I$361,MATCH($O45,Scoring!$AI$29:$AI$361,0))="",INDEX(Scoring!$AC$29:$AC$361,MATCH($O45,Scoring!$AI$29:$AI$361,0)),INDEX(Scoring!$I$29:$I$361,MATCH($O45,Scoring!$AI$29:$AI$361,0))))</f>
        <v>20.63</v>
      </c>
      <c r="L45" s="9" t="n">
        <f aca="false">IF($O45="","",INDEX(Scoring!$M$29:$M$361,MATCH($O45,Scoring!$AI$29:$AI$361,0)))</f>
        <v>291</v>
      </c>
      <c r="M45" s="9" t="n">
        <f aca="false">IF($O45="","",INDEX(Scoring!$O$29:$O$361,MATCH($O45,Scoring!$AI$29:$AI$361,0)))</f>
        <v>6893.7</v>
      </c>
      <c r="N45" s="7" t="str">
        <f aca="false">IF($O45="","",INDEX(Scoring!$Y$29:$Y$361,MATCH($O45,Scoring!$AI$29:$AI$361,0)))</f>
        <v>US</v>
      </c>
      <c r="O45" s="10" t="n">
        <f aca="false">IFERROR(SMALL(Scoring!$AI$29:$AI$361,41),"")</f>
        <v>2013</v>
      </c>
    </row>
    <row r="46" customFormat="false" ht="28.35" hidden="false" customHeight="false" outlineLevel="0" collapsed="false">
      <c r="A46" s="5" t="n">
        <f aca="false">IF($O46="","",INT($O46/1000))</f>
        <v>2</v>
      </c>
      <c r="B46" s="6" t="str">
        <f aca="false">IF($O46="","",INDEX(Scoring!$A$29:$A$361,MATCH($O46,Scoring!$AI$29:$AI$361,0)))</f>
        <v>Aurobindo</v>
      </c>
      <c r="C46" s="5" t="n">
        <f aca="false">IF($O46="","",IF(INDEX(Scoring!$F$29:$F$361,MATCH($O46,Scoring!$AI$29:$AI$361,0))="","–",INDEX(Scoring!$F$29:$F$361,MATCH($O46,Scoring!$AI$29:$AI$361,0))))</f>
        <v>14</v>
      </c>
      <c r="D46" s="6" t="str">
        <f aca="false">IF($O46="","",INDEX(Scoring!$E$29:$E$361,MATCH($O46,Scoring!$AI$29:$AI$361,0)))</f>
        <v>Priority 2</v>
      </c>
      <c r="E46" s="7" t="str">
        <f aca="false">IF($O46="","",INDEX(Scoring!$G$29:$G$361,MATCH($O46,Scoring!$AI$29:$AI$361,0)))</f>
        <v>Lower price, high volume</v>
      </c>
      <c r="F46" s="6" t="str">
        <f aca="false">IF($O46="","",INDEX(Scoring!$B$29:$B$361,MATCH($O46,Scoring!$AI$29:$AI$361,0)))</f>
        <v>Cefepime</v>
      </c>
      <c r="G46" s="7" t="str">
        <f aca="false">IF($O46="","",INDEX(Scoring!$C$29:$C$361,MATCH($O46,Scoring!$AI$29:$AI$361,0)))</f>
        <v>Auro Cefepime</v>
      </c>
      <c r="H46" s="7" t="str">
        <f aca="false">IF($O46="","",INDEX(Scoring!$D$29:$D$361,MATCH($O46,Scoring!$AI$29:$AI$361,0)))</f>
        <v>Anti-infective: hospital Gram-negative infections, febrile neutropenia</v>
      </c>
      <c r="I46" s="6" t="str">
        <f aca="false">IF($O46="","",INDEX(Scoring!$R$29:$R$361,MATCH($O46,Scoring!$AI$29:$AI$361,0)))</f>
        <v>Vial</v>
      </c>
      <c r="J46" s="7" t="str">
        <f aca="false">IF($O46="","",INDEX(Scoring!$S$29:$S$361,MATCH($O46,Scoring!$AI$29:$AI$361,0)))</f>
        <v>1000 mg in 20 mL powder vial; 2000 mg in 50 mL powder vial</v>
      </c>
      <c r="K46" s="8" t="n">
        <f aca="false">IF($O46="","",IF(INDEX(Scoring!$I$29:$I$361,MATCH($O46,Scoring!$AI$29:$AI$361,0))="",INDEX(Scoring!$AC$29:$AC$361,MATCH($O46,Scoring!$AI$29:$AI$361,0)),INDEX(Scoring!$I$29:$I$361,MATCH($O46,Scoring!$AI$29:$AI$361,0))))</f>
        <v>9.08</v>
      </c>
      <c r="L46" s="9" t="n">
        <f aca="false">IF($O46="","",INDEX(Scoring!$M$29:$M$361,MATCH($O46,Scoring!$AI$29:$AI$361,0)))</f>
        <v>288</v>
      </c>
      <c r="M46" s="9" t="n">
        <f aca="false">IF($O46="","",INDEX(Scoring!$O$29:$O$361,MATCH($O46,Scoring!$AI$29:$AI$361,0)))</f>
        <v>6294.9</v>
      </c>
      <c r="N46" s="7" t="str">
        <f aca="false">IF($O46="","",INDEX(Scoring!$Y$29:$Y$361,MATCH($O46,Scoring!$AI$29:$AI$361,0)))</f>
        <v>South Africa</v>
      </c>
      <c r="O46" s="10" t="n">
        <f aca="false">IFERROR(SMALL(Scoring!$AI$29:$AI$361,42),"")</f>
        <v>2014</v>
      </c>
    </row>
    <row r="47" customFormat="false" ht="28.35" hidden="false" customHeight="false" outlineLevel="0" collapsed="false">
      <c r="A47" s="5" t="n">
        <f aca="false">IF($O47="","",INT($O47/1000))</f>
        <v>2</v>
      </c>
      <c r="B47" s="6" t="str">
        <f aca="false">IF($O47="","",INDEX(Scoring!$A$29:$A$361,MATCH($O47,Scoring!$AI$29:$AI$361,0)))</f>
        <v>Aurobindo</v>
      </c>
      <c r="C47" s="5" t="n">
        <f aca="false">IF($O47="","",IF(INDEX(Scoring!$F$29:$F$361,MATCH($O47,Scoring!$AI$29:$AI$361,0))="","–",INDEX(Scoring!$F$29:$F$361,MATCH($O47,Scoring!$AI$29:$AI$361,0))))</f>
        <v>15</v>
      </c>
      <c r="D47" s="6" t="str">
        <f aca="false">IF($O47="","",INDEX(Scoring!$E$29:$E$361,MATCH($O47,Scoring!$AI$29:$AI$361,0)))</f>
        <v>Priority 2</v>
      </c>
      <c r="E47" s="7" t="str">
        <f aca="false">IF($O47="","",INDEX(Scoring!$G$29:$G$361,MATCH($O47,Scoring!$AI$29:$AI$361,0)))</f>
        <v>Lower price, high volume</v>
      </c>
      <c r="F47" s="6" t="str">
        <f aca="false">IF($O47="","",INDEX(Scoring!$B$29:$B$361,MATCH($O47,Scoring!$AI$29:$AI$361,0)))</f>
        <v>Ceftazidime</v>
      </c>
      <c r="G47" s="7" t="str">
        <f aca="false">IF($O47="","",INDEX(Scoring!$C$29:$C$361,MATCH($O47,Scoring!$AI$29:$AI$361,0)))</f>
        <v>Ceftazidime Arrow</v>
      </c>
      <c r="H47" s="7" t="str">
        <f aca="false">IF($O47="","",INDEX(Scoring!$D$29:$D$361,MATCH($O47,Scoring!$AI$29:$AI$361,0)))</f>
        <v>Anti-infective: Pseudomonas and other hospital Gram-negative infections</v>
      </c>
      <c r="I47" s="6" t="str">
        <f aca="false">IF($O47="","",INDEX(Scoring!$R$29:$R$361,MATCH($O47,Scoring!$AI$29:$AI$361,0)))</f>
        <v>Vial</v>
      </c>
      <c r="J47" s="7" t="str">
        <f aca="false">IF($O47="","",INDEX(Scoring!$S$29:$S$361,MATCH($O47,Scoring!$AI$29:$AI$361,0)))</f>
        <v>1 g powder vial</v>
      </c>
      <c r="K47" s="8" t="n">
        <f aca="false">IF($O47="","",IF(INDEX(Scoring!$I$29:$I$361,MATCH($O47,Scoring!$AI$29:$AI$361,0))="",INDEX(Scoring!$AC$29:$AC$361,MATCH($O47,Scoring!$AI$29:$AI$361,0)),INDEX(Scoring!$I$29:$I$361,MATCH($O47,Scoring!$AI$29:$AI$361,0))))</f>
        <v>8.5</v>
      </c>
      <c r="L47" s="9" t="n">
        <f aca="false">IF($O47="","",INDEX(Scoring!$M$29:$M$361,MATCH($O47,Scoring!$AI$29:$AI$361,0)))</f>
        <v>335</v>
      </c>
      <c r="M47" s="9" t="n">
        <f aca="false">IF($O47="","",INDEX(Scoring!$O$29:$O$361,MATCH($O47,Scoring!$AI$29:$AI$361,0)))</f>
        <v>5713.6</v>
      </c>
      <c r="N47" s="7" t="str">
        <f aca="false">IF($O47="","",INDEX(Scoring!$Y$29:$Y$361,MATCH($O47,Scoring!$AI$29:$AI$361,0)))</f>
        <v>EU/EEA (1): France</v>
      </c>
      <c r="O47" s="10" t="n">
        <f aca="false">IFERROR(SMALL(Scoring!$AI$29:$AI$361,43),"")</f>
        <v>2015</v>
      </c>
    </row>
    <row r="48" customFormat="false" ht="28.35" hidden="false" customHeight="false" outlineLevel="0" collapsed="false">
      <c r="A48" s="5" t="n">
        <f aca="false">IF($O48="","",INT($O48/1000))</f>
        <v>2</v>
      </c>
      <c r="B48" s="6" t="str">
        <f aca="false">IF($O48="","",INDEX(Scoring!$A$29:$A$361,MATCH($O48,Scoring!$AI$29:$AI$361,0)))</f>
        <v>Aurobindo</v>
      </c>
      <c r="C48" s="5" t="n">
        <f aca="false">IF($O48="","",IF(INDEX(Scoring!$F$29:$F$361,MATCH($O48,Scoring!$AI$29:$AI$361,0))="","–",INDEX(Scoring!$F$29:$F$361,MATCH($O48,Scoring!$AI$29:$AI$361,0))))</f>
        <v>16</v>
      </c>
      <c r="D48" s="6" t="str">
        <f aca="false">IF($O48="","",INDEX(Scoring!$E$29:$E$361,MATCH($O48,Scoring!$AI$29:$AI$361,0)))</f>
        <v>Priority 2</v>
      </c>
      <c r="E48" s="7" t="str">
        <f aca="false">IF($O48="","",INDEX(Scoring!$G$29:$G$361,MATCH($O48,Scoring!$AI$29:$AI$361,0)))</f>
        <v>High price, lower volume</v>
      </c>
      <c r="F48" s="6" t="str">
        <f aca="false">IF($O48="","",INDEX(Scoring!$B$29:$B$361,MATCH($O48,Scoring!$AI$29:$AI$361,0)))</f>
        <v>Carboprost</v>
      </c>
      <c r="G48" s="7" t="str">
        <f aca="false">IF($O48="","",INDEX(Scoring!$C$29:$C$361,MATCH($O48,Scoring!$AI$29:$AI$361,0)))</f>
        <v>Carboprost Tromethamine</v>
      </c>
      <c r="H48" s="7" t="str">
        <f aca="false">IF($O48="","",INDEX(Scoring!$D$29:$D$361,MATCH($O48,Scoring!$AI$29:$AI$361,0)))</f>
        <v>Women's health: postpartum haemorrhage, pregnancy termination</v>
      </c>
      <c r="I48" s="6" t="str">
        <f aca="false">IF($O48="","",INDEX(Scoring!$R$29:$R$361,MATCH($O48,Scoring!$AI$29:$AI$361,0)))</f>
        <v>Vial</v>
      </c>
      <c r="J48" s="7" t="str">
        <f aca="false">IF($O48="","",INDEX(Scoring!$S$29:$S$361,MATCH($O48,Scoring!$AI$29:$AI$361,0)))</f>
        <v>0.25 mg/1 mL vial</v>
      </c>
      <c r="K48" s="8" t="n">
        <f aca="false">IF($O48="","",IF(INDEX(Scoring!$I$29:$I$361,MATCH($O48,Scoring!$AI$29:$AI$361,0))="",INDEX(Scoring!$AC$29:$AC$361,MATCH($O48,Scoring!$AI$29:$AI$361,0)),INDEX(Scoring!$I$29:$I$361,MATCH($O48,Scoring!$AI$29:$AI$361,0))))</f>
        <v>30.01</v>
      </c>
      <c r="L48" s="9" t="n">
        <f aca="false">IF($O48="","",INDEX(Scoring!$M$29:$M$361,MATCH($O48,Scoring!$AI$29:$AI$361,0)))</f>
        <v>143</v>
      </c>
      <c r="M48" s="9" t="n">
        <f aca="false">IF($O48="","",INDEX(Scoring!$O$29:$O$361,MATCH($O48,Scoring!$AI$29:$AI$361,0)))</f>
        <v>3625.3</v>
      </c>
      <c r="N48" s="7" t="str">
        <f aca="false">IF($O48="","",INDEX(Scoring!$Y$29:$Y$361,MATCH($O48,Scoring!$AI$29:$AI$361,0)))</f>
        <v>US</v>
      </c>
      <c r="O48" s="10" t="n">
        <f aca="false">IFERROR(SMALL(Scoring!$AI$29:$AI$361,44),"")</f>
        <v>2016</v>
      </c>
    </row>
    <row r="49" customFormat="false" ht="28.35" hidden="false" customHeight="false" outlineLevel="0" collapsed="false">
      <c r="A49" s="5" t="n">
        <f aca="false">IF($O49="","",INT($O49/1000))</f>
        <v>2</v>
      </c>
      <c r="B49" s="6" t="str">
        <f aca="false">IF($O49="","",INDEX(Scoring!$A$29:$A$361,MATCH($O49,Scoring!$AI$29:$AI$361,0)))</f>
        <v>Aurobindo</v>
      </c>
      <c r="C49" s="5" t="n">
        <f aca="false">IF($O49="","",IF(INDEX(Scoring!$F$29:$F$361,MATCH($O49,Scoring!$AI$29:$AI$361,0))="","–",INDEX(Scoring!$F$29:$F$361,MATCH($O49,Scoring!$AI$29:$AI$361,0))))</f>
        <v>17</v>
      </c>
      <c r="D49" s="6" t="str">
        <f aca="false">IF($O49="","",INDEX(Scoring!$E$29:$E$361,MATCH($O49,Scoring!$AI$29:$AI$361,0)))</f>
        <v>Priority 2</v>
      </c>
      <c r="E49" s="7" t="str">
        <f aca="false">IF($O49="","",INDEX(Scoring!$G$29:$G$361,MATCH($O49,Scoring!$AI$29:$AI$361,0)))</f>
        <v>High price, lower volume</v>
      </c>
      <c r="F49" s="6" t="str">
        <f aca="false">IF($O49="","",INDEX(Scoring!$B$29:$B$361,MATCH($O49,Scoring!$AI$29:$AI$361,0)))</f>
        <v>Fluphenazine Decanoate</v>
      </c>
      <c r="G49" s="7" t="str">
        <f aca="false">IF($O49="","",INDEX(Scoring!$C$29:$C$361,MATCH($O49,Scoring!$AI$29:$AI$361,0)))</f>
        <v>Fluphenazine Decanoate</v>
      </c>
      <c r="H49" s="7" t="str">
        <f aca="false">IF($O49="","",INDEX(Scoring!$D$29:$D$361,MATCH($O49,Scoring!$AI$29:$AI$361,0)))</f>
        <v>Psychiatry: long-acting maintenance treatment for schizophrenia</v>
      </c>
      <c r="I49" s="6" t="str">
        <f aca="false">IF($O49="","",INDEX(Scoring!$R$29:$R$361,MATCH($O49,Scoring!$AI$29:$AI$361,0)))</f>
        <v>Vial</v>
      </c>
      <c r="J49" s="7" t="str">
        <f aca="false">IF($O49="","",INDEX(Scoring!$S$29:$S$361,MATCH($O49,Scoring!$AI$29:$AI$361,0)))</f>
        <v>125 mg/5 mL vial</v>
      </c>
      <c r="K49" s="8" t="n">
        <f aca="false">IF($O49="","",IF(INDEX(Scoring!$I$29:$I$361,MATCH($O49,Scoring!$AI$29:$AI$361,0))="",INDEX(Scoring!$AC$29:$AC$361,MATCH($O49,Scoring!$AI$29:$AI$361,0)),INDEX(Scoring!$I$29:$I$361,MATCH($O49,Scoring!$AI$29:$AI$361,0))))</f>
        <v>54.55</v>
      </c>
      <c r="L49" s="9" t="n">
        <f aca="false">IF($O49="","",INDEX(Scoring!$M$29:$M$361,MATCH($O49,Scoring!$AI$29:$AI$361,0)))</f>
        <v>126</v>
      </c>
      <c r="M49" s="9" t="n">
        <f aca="false">IF($O49="","",INDEX(Scoring!$O$29:$O$361,MATCH($O49,Scoring!$AI$29:$AI$361,0)))</f>
        <v>3407.5</v>
      </c>
      <c r="N49" s="7" t="str">
        <f aca="false">IF($O49="","",INDEX(Scoring!$Y$29:$Y$361,MATCH($O49,Scoring!$AI$29:$AI$361,0)))</f>
        <v>US</v>
      </c>
      <c r="O49" s="10" t="n">
        <f aca="false">IFERROR(SMALL(Scoring!$AI$29:$AI$361,45),"")</f>
        <v>2017</v>
      </c>
    </row>
    <row r="50" customFormat="false" ht="28.35" hidden="false" customHeight="false" outlineLevel="0" collapsed="false">
      <c r="A50" s="5" t="n">
        <f aca="false">IF($O50="","",INT($O50/1000))</f>
        <v>2</v>
      </c>
      <c r="B50" s="6" t="str">
        <f aca="false">IF($O50="","",INDEX(Scoring!$A$29:$A$361,MATCH($O50,Scoring!$AI$29:$AI$361,0)))</f>
        <v>Aurobindo</v>
      </c>
      <c r="C50" s="5" t="n">
        <f aca="false">IF($O50="","",IF(INDEX(Scoring!$F$29:$F$361,MATCH($O50,Scoring!$AI$29:$AI$361,0))="","–",INDEX(Scoring!$F$29:$F$361,MATCH($O50,Scoring!$AI$29:$AI$361,0))))</f>
        <v>18</v>
      </c>
      <c r="D50" s="6" t="str">
        <f aca="false">IF($O50="","",INDEX(Scoring!$E$29:$E$361,MATCH($O50,Scoring!$AI$29:$AI$361,0)))</f>
        <v>Priority 2</v>
      </c>
      <c r="E50" s="7" t="str">
        <f aca="false">IF($O50="","",INDEX(Scoring!$G$29:$G$361,MATCH($O50,Scoring!$AI$29:$AI$361,0)))</f>
        <v>High price, lower volume</v>
      </c>
      <c r="F50" s="6" t="str">
        <f aca="false">IF($O50="","",INDEX(Scoring!$B$29:$B$361,MATCH($O50,Scoring!$AI$29:$AI$361,0)))</f>
        <v>Medroxyprogesterone Acetate</v>
      </c>
      <c r="G50" s="7" t="str">
        <f aca="false">IF($O50="","",INDEX(Scoring!$C$29:$C$361,MATCH($O50,Scoring!$AI$29:$AI$361,0)))</f>
        <v>Medroxyprogesterone Acetate</v>
      </c>
      <c r="H50" s="7" t="str">
        <f aca="false">IF($O50="","",INDEX(Scoring!$D$29:$D$361,MATCH($O50,Scoring!$AI$29:$AI$361,0)))</f>
        <v>Women's health: three-monthly contraceptive injection</v>
      </c>
      <c r="I50" s="6" t="str">
        <f aca="false">IF($O50="","",INDEX(Scoring!$R$29:$R$361,MATCH($O50,Scoring!$AI$29:$AI$361,0)))</f>
        <v>Vial, Prefilled syringe</v>
      </c>
      <c r="J50" s="7" t="str">
        <f aca="false">IF($O50="","",INDEX(Scoring!$S$29:$S$361,MATCH($O50,Scoring!$AI$29:$AI$361,0)))</f>
        <v>150 mg/1 mL vial; 150 mg/1 mL pre-filled syringe</v>
      </c>
      <c r="K50" s="8" t="n">
        <f aca="false">IF($O50="","",IF(INDEX(Scoring!$I$29:$I$361,MATCH($O50,Scoring!$AI$29:$AI$361,0))="",INDEX(Scoring!$AC$29:$AC$361,MATCH($O50,Scoring!$AI$29:$AI$361,0)),INDEX(Scoring!$I$29:$I$361,MATCH($O50,Scoring!$AI$29:$AI$361,0))))</f>
        <v>35.26</v>
      </c>
      <c r="L50" s="9" t="n">
        <f aca="false">IF($O50="","",INDEX(Scoring!$M$29:$M$361,MATCH($O50,Scoring!$AI$29:$AI$361,0)))</f>
        <v>41</v>
      </c>
      <c r="M50" s="9" t="n">
        <f aca="false">IF($O50="","",INDEX(Scoring!$O$29:$O$361,MATCH($O50,Scoring!$AI$29:$AI$361,0)))</f>
        <v>2690.1</v>
      </c>
      <c r="N50" s="7" t="str">
        <f aca="false">IF($O50="","",INDEX(Scoring!$Y$29:$Y$361,MATCH($O50,Scoring!$AI$29:$AI$361,0)))</f>
        <v>US</v>
      </c>
      <c r="O50" s="10" t="n">
        <f aca="false">IFERROR(SMALL(Scoring!$AI$29:$AI$361,46),"")</f>
        <v>2018</v>
      </c>
    </row>
    <row r="51" customFormat="false" ht="28.35" hidden="false" customHeight="false" outlineLevel="0" collapsed="false">
      <c r="A51" s="5" t="n">
        <f aca="false">IF($O51="","",INT($O51/1000))</f>
        <v>2</v>
      </c>
      <c r="B51" s="6" t="str">
        <f aca="false">IF($O51="","",INDEX(Scoring!$A$29:$A$361,MATCH($O51,Scoring!$AI$29:$AI$361,0)))</f>
        <v>Aurobindo</v>
      </c>
      <c r="C51" s="5" t="n">
        <f aca="false">IF($O51="","",IF(INDEX(Scoring!$F$29:$F$361,MATCH($O51,Scoring!$AI$29:$AI$361,0))="","–",INDEX(Scoring!$F$29:$F$361,MATCH($O51,Scoring!$AI$29:$AI$361,0))))</f>
        <v>19</v>
      </c>
      <c r="D51" s="6" t="str">
        <f aca="false">IF($O51="","",INDEX(Scoring!$E$29:$E$361,MATCH($O51,Scoring!$AI$29:$AI$361,0)))</f>
        <v>Priority 2</v>
      </c>
      <c r="E51" s="7" t="str">
        <f aca="false">IF($O51="","",INDEX(Scoring!$G$29:$G$361,MATCH($O51,Scoring!$AI$29:$AI$361,0)))</f>
        <v>High price, lower volume</v>
      </c>
      <c r="F51" s="6" t="str">
        <f aca="false">IF($O51="","",INDEX(Scoring!$B$29:$B$361,MATCH($O51,Scoring!$AI$29:$AI$361,0)))</f>
        <v>Naloxone</v>
      </c>
      <c r="G51" s="7" t="str">
        <f aca="false">IF($O51="","",INDEX(Scoring!$C$29:$C$361,MATCH($O51,Scoring!$AI$29:$AI$361,0)))</f>
        <v>Naloxone Hydrochloride</v>
      </c>
      <c r="H51" s="7" t="str">
        <f aca="false">IF($O51="","",INDEX(Scoring!$D$29:$D$361,MATCH($O51,Scoring!$AI$29:$AI$361,0)))</f>
        <v>Critical care: reversal of opioid overdose</v>
      </c>
      <c r="I51" s="6" t="str">
        <f aca="false">IF($O51="","",INDEX(Scoring!$R$29:$R$361,MATCH($O51,Scoring!$AI$29:$AI$361,0)))</f>
        <v>Vial, Prefilled syringe</v>
      </c>
      <c r="J51" s="7" t="str">
        <f aca="false">IF($O51="","",INDEX(Scoring!$S$29:$S$361,MATCH($O51,Scoring!$AI$29:$AI$361,0)))</f>
        <v>2 mg/2 mL pre-filled syringe; 0.4 mg/1 mL vial; 4 mg/10 mL vial</v>
      </c>
      <c r="K51" s="8" t="n">
        <f aca="false">IF($O51="","",IF(INDEX(Scoring!$I$29:$I$361,MATCH($O51,Scoring!$AI$29:$AI$361,0))="",INDEX(Scoring!$AC$29:$AC$361,MATCH($O51,Scoring!$AI$29:$AI$361,0)),INDEX(Scoring!$I$29:$I$361,MATCH($O51,Scoring!$AI$29:$AI$361,0))))</f>
        <v>51.32</v>
      </c>
      <c r="L51" s="9" t="n">
        <f aca="false">IF($O51="","",INDEX(Scoring!$M$29:$M$361,MATCH($O51,Scoring!$AI$29:$AI$361,0)))</f>
        <v>88</v>
      </c>
      <c r="M51" s="9" t="n">
        <f aca="false">IF($O51="","",INDEX(Scoring!$O$29:$O$361,MATCH($O51,Scoring!$AI$29:$AI$361,0)))</f>
        <v>1437.9</v>
      </c>
      <c r="N51" s="7" t="str">
        <f aca="false">IF($O51="","",INDEX(Scoring!$Y$29:$Y$361,MATCH($O51,Scoring!$AI$29:$AI$361,0)))</f>
        <v>US, Canada</v>
      </c>
      <c r="O51" s="10" t="n">
        <f aca="false">IFERROR(SMALL(Scoring!$AI$29:$AI$361,47),"")</f>
        <v>2019</v>
      </c>
    </row>
    <row r="52" customFormat="false" ht="41.75" hidden="false" customHeight="false" outlineLevel="0" collapsed="false">
      <c r="A52" s="5" t="n">
        <f aca="false">IF($O52="","",INT($O52/1000))</f>
        <v>2</v>
      </c>
      <c r="B52" s="6" t="str">
        <f aca="false">IF($O52="","",INDEX(Scoring!$A$29:$A$361,MATCH($O52,Scoring!$AI$29:$AI$361,0)))</f>
        <v>Aurobindo</v>
      </c>
      <c r="C52" s="5" t="n">
        <f aca="false">IF($O52="","",IF(INDEX(Scoring!$F$29:$F$361,MATCH($O52,Scoring!$AI$29:$AI$361,0))="","–",INDEX(Scoring!$F$29:$F$361,MATCH($O52,Scoring!$AI$29:$AI$361,0))))</f>
        <v>20</v>
      </c>
      <c r="D52" s="6" t="str">
        <f aca="false">IF($O52="","",INDEX(Scoring!$E$29:$E$361,MATCH($O52,Scoring!$AI$29:$AI$361,0)))</f>
        <v>Priority 3</v>
      </c>
      <c r="E52" s="7" t="str">
        <f aca="false">IF($O52="","",INDEX(Scoring!$G$29:$G$361,MATCH($O52,Scoring!$AI$29:$AI$361,0)))</f>
        <v>Lower price, lower volume</v>
      </c>
      <c r="F52" s="6" t="str">
        <f aca="false">IF($O52="","",INDEX(Scoring!$B$29:$B$361,MATCH($O52,Scoring!$AI$29:$AI$361,0)))</f>
        <v>Methylprednisolone Acetate</v>
      </c>
      <c r="G52" s="7" t="str">
        <f aca="false">IF($O52="","",INDEX(Scoring!$C$29:$C$361,MATCH($O52,Scoring!$AI$29:$AI$361,0)))</f>
        <v>Methylprednisolone Acetate</v>
      </c>
      <c r="H52" s="7" t="str">
        <f aca="false">IF($O52="","",INDEX(Scoring!$D$29:$D$361,MATCH($O52,Scoring!$AI$29:$AI$361,0)))</f>
        <v>Musculoskeletal and immunology: joint injections for arthritis and bursitis, inflammatory conditions</v>
      </c>
      <c r="I52" s="6" t="str">
        <f aca="false">IF($O52="","",INDEX(Scoring!$R$29:$R$361,MATCH($O52,Scoring!$AI$29:$AI$361,0)))</f>
        <v>Vial</v>
      </c>
      <c r="J52" s="7" t="str">
        <f aca="false">IF($O52="","",INDEX(Scoring!$S$29:$S$361,MATCH($O52,Scoring!$AI$29:$AI$361,0)))</f>
        <v>40 mg/mL powder vial; 80 mg/mL powder vial</v>
      </c>
      <c r="K52" s="8" t="n">
        <f aca="false">IF($O52="","",IF(INDEX(Scoring!$I$29:$I$361,MATCH($O52,Scoring!$AI$29:$AI$361,0))="",INDEX(Scoring!$AC$29:$AC$361,MATCH($O52,Scoring!$AI$29:$AI$361,0)),INDEX(Scoring!$I$29:$I$361,MATCH($O52,Scoring!$AI$29:$AI$361,0))))</f>
        <v>9.84</v>
      </c>
      <c r="L52" s="9" t="n">
        <f aca="false">IF($O52="","",INDEX(Scoring!$M$29:$M$361,MATCH($O52,Scoring!$AI$29:$AI$361,0)))</f>
        <v>81</v>
      </c>
      <c r="M52" s="9" t="n">
        <f aca="false">IF($O52="","",INDEX(Scoring!$O$29:$O$361,MATCH($O52,Scoring!$AI$29:$AI$361,0)))</f>
        <v>4745.9</v>
      </c>
      <c r="N52" s="7" t="str">
        <f aca="false">IF($O52="","",INDEX(Scoring!$Y$29:$Y$361,MATCH($O52,Scoring!$AI$29:$AI$361,0)))</f>
        <v>US</v>
      </c>
      <c r="O52" s="10" t="n">
        <f aca="false">IFERROR(SMALL(Scoring!$AI$29:$AI$361,48),"")</f>
        <v>2020</v>
      </c>
    </row>
    <row r="53" customFormat="false" ht="28.35" hidden="false" customHeight="false" outlineLevel="0" collapsed="false">
      <c r="A53" s="5" t="n">
        <f aca="false">IF($O53="","",INT($O53/1000))</f>
        <v>2</v>
      </c>
      <c r="B53" s="6" t="str">
        <f aca="false">IF($O53="","",INDEX(Scoring!$A$29:$A$361,MATCH($O53,Scoring!$AI$29:$AI$361,0)))</f>
        <v>Aurobindo</v>
      </c>
      <c r="C53" s="5" t="n">
        <f aca="false">IF($O53="","",IF(INDEX(Scoring!$F$29:$F$361,MATCH($O53,Scoring!$AI$29:$AI$361,0))="","–",INDEX(Scoring!$F$29:$F$361,MATCH($O53,Scoring!$AI$29:$AI$361,0))))</f>
        <v>21</v>
      </c>
      <c r="D53" s="6" t="str">
        <f aca="false">IF($O53="","",INDEX(Scoring!$E$29:$E$361,MATCH($O53,Scoring!$AI$29:$AI$361,0)))</f>
        <v>Priority 3</v>
      </c>
      <c r="E53" s="7" t="str">
        <f aca="false">IF($O53="","",INDEX(Scoring!$G$29:$G$361,MATCH($O53,Scoring!$AI$29:$AI$361,0)))</f>
        <v>Lower price, lower volume</v>
      </c>
      <c r="F53" s="6" t="str">
        <f aca="false">IF($O53="","",INDEX(Scoring!$B$29:$B$361,MATCH($O53,Scoring!$AI$29:$AI$361,0)))</f>
        <v>Hydralazine</v>
      </c>
      <c r="G53" s="7" t="str">
        <f aca="false">IF($O53="","",INDEX(Scoring!$C$29:$C$361,MATCH($O53,Scoring!$AI$29:$AI$361,0)))</f>
        <v>Hydralazine Hydrochloride</v>
      </c>
      <c r="H53" s="7" t="str">
        <f aca="false">IF($O53="","",INDEX(Scoring!$D$29:$D$361,MATCH($O53,Scoring!$AI$29:$AI$361,0)))</f>
        <v>Cardiovascular: severe high blood pressure in pregnancy, hypertensive emergency</v>
      </c>
      <c r="I53" s="6" t="str">
        <f aca="false">IF($O53="","",INDEX(Scoring!$R$29:$R$361,MATCH($O53,Scoring!$AI$29:$AI$361,0)))</f>
        <v>Vial</v>
      </c>
      <c r="J53" s="7" t="str">
        <f aca="false">IF($O53="","",INDEX(Scoring!$S$29:$S$361,MATCH($O53,Scoring!$AI$29:$AI$361,0)))</f>
        <v>20 mg/1 mL vial</v>
      </c>
      <c r="K53" s="8" t="n">
        <f aca="false">IF($O53="","",IF(INDEX(Scoring!$I$29:$I$361,MATCH($O53,Scoring!$AI$29:$AI$361,0))="",INDEX(Scoring!$AC$29:$AC$361,MATCH($O53,Scoring!$AI$29:$AI$361,0)),INDEX(Scoring!$I$29:$I$361,MATCH($O53,Scoring!$AI$29:$AI$361,0))))</f>
        <v>7.36</v>
      </c>
      <c r="L53" s="9" t="n">
        <f aca="false">IF($O53="","",INDEX(Scoring!$M$29:$M$361,MATCH($O53,Scoring!$AI$29:$AI$361,0)))</f>
        <v>82</v>
      </c>
      <c r="M53" s="9" t="n">
        <f aca="false">IF($O53="","",INDEX(Scoring!$O$29:$O$361,MATCH($O53,Scoring!$AI$29:$AI$361,0)))</f>
        <v>3519.3</v>
      </c>
      <c r="N53" s="7" t="str">
        <f aca="false">IF($O53="","",INDEX(Scoring!$Y$29:$Y$361,MATCH($O53,Scoring!$AI$29:$AI$361,0)))</f>
        <v>Canada</v>
      </c>
      <c r="O53" s="10" t="n">
        <f aca="false">IFERROR(SMALL(Scoring!$AI$29:$AI$361,49),"")</f>
        <v>2021</v>
      </c>
    </row>
    <row r="54" customFormat="false" ht="28.35" hidden="false" customHeight="false" outlineLevel="0" collapsed="false">
      <c r="A54" s="5" t="n">
        <f aca="false">IF($O54="","",INT($O54/1000))</f>
        <v>2</v>
      </c>
      <c r="B54" s="6" t="str">
        <f aca="false">IF($O54="","",INDEX(Scoring!$A$29:$A$361,MATCH($O54,Scoring!$AI$29:$AI$361,0)))</f>
        <v>Aurobindo</v>
      </c>
      <c r="C54" s="5" t="n">
        <f aca="false">IF($O54="","",IF(INDEX(Scoring!$F$29:$F$361,MATCH($O54,Scoring!$AI$29:$AI$361,0))="","–",INDEX(Scoring!$F$29:$F$361,MATCH($O54,Scoring!$AI$29:$AI$361,0))))</f>
        <v>22</v>
      </c>
      <c r="D54" s="6" t="str">
        <f aca="false">IF($O54="","",INDEX(Scoring!$E$29:$E$361,MATCH($O54,Scoring!$AI$29:$AI$361,0)))</f>
        <v>Priority 3</v>
      </c>
      <c r="E54" s="7" t="str">
        <f aca="false">IF($O54="","",INDEX(Scoring!$G$29:$G$361,MATCH($O54,Scoring!$AI$29:$AI$361,0)))</f>
        <v>Lower price, lower volume</v>
      </c>
      <c r="F54" s="6" t="str">
        <f aca="false">IF($O54="","",INDEX(Scoring!$B$29:$B$361,MATCH($O54,Scoring!$AI$29:$AI$361,0)))</f>
        <v>Ephedrine</v>
      </c>
      <c r="G54" s="7" t="str">
        <f aca="false">IF($O54="","",INDEX(Scoring!$C$29:$C$361,MATCH($O54,Scoring!$AI$29:$AI$361,0)))</f>
        <v>Ephedrine Sulfate</v>
      </c>
      <c r="H54" s="7" t="str">
        <f aca="false">IF($O54="","",INDEX(Scoring!$D$29:$D$361,MATCH($O54,Scoring!$AI$29:$AI$361,0)))</f>
        <v>Anaesthesia: low blood pressure during spinal anaesthesia and caesarean section</v>
      </c>
      <c r="I54" s="6" t="str">
        <f aca="false">IF($O54="","",INDEX(Scoring!$R$29:$R$361,MATCH($O54,Scoring!$AI$29:$AI$361,0)))</f>
        <v>Vial</v>
      </c>
      <c r="J54" s="7" t="str">
        <f aca="false">IF($O54="","",INDEX(Scoring!$S$29:$S$361,MATCH($O54,Scoring!$AI$29:$AI$361,0)))</f>
        <v>50 mg/1 mL vial</v>
      </c>
      <c r="K54" s="8" t="n">
        <f aca="false">IF($O54="","",IF(INDEX(Scoring!$I$29:$I$361,MATCH($O54,Scoring!$AI$29:$AI$361,0))="",INDEX(Scoring!$AC$29:$AC$361,MATCH($O54,Scoring!$AI$29:$AI$361,0)),INDEX(Scoring!$I$29:$I$361,MATCH($O54,Scoring!$AI$29:$AI$361,0))))</f>
        <v>5.35</v>
      </c>
      <c r="L54" s="9" t="n">
        <f aca="false">IF($O54="","",INDEX(Scoring!$M$29:$M$361,MATCH($O54,Scoring!$AI$29:$AI$361,0)))</f>
        <v>49</v>
      </c>
      <c r="M54" s="9" t="n">
        <f aca="false">IF($O54="","",INDEX(Scoring!$O$29:$O$361,MATCH($O54,Scoring!$AI$29:$AI$361,0)))</f>
        <v>2937.3</v>
      </c>
      <c r="N54" s="7" t="str">
        <f aca="false">IF($O54="","",INDEX(Scoring!$Y$29:$Y$361,MATCH($O54,Scoring!$AI$29:$AI$361,0)))</f>
        <v>US | EU/EEA (1): France</v>
      </c>
      <c r="O54" s="10" t="n">
        <f aca="false">IFERROR(SMALL(Scoring!$AI$29:$AI$361,50),"")</f>
        <v>2022</v>
      </c>
    </row>
    <row r="55" customFormat="false" ht="28.35" hidden="false" customHeight="false" outlineLevel="0" collapsed="false">
      <c r="A55" s="5" t="n">
        <f aca="false">IF($O55="","",INT($O55/1000))</f>
        <v>2</v>
      </c>
      <c r="B55" s="6" t="str">
        <f aca="false">IF($O55="","",INDEX(Scoring!$A$29:$A$361,MATCH($O55,Scoring!$AI$29:$AI$361,0)))</f>
        <v>Aurobindo</v>
      </c>
      <c r="C55" s="5" t="n">
        <f aca="false">IF($O55="","",IF(INDEX(Scoring!$F$29:$F$361,MATCH($O55,Scoring!$AI$29:$AI$361,0))="","–",INDEX(Scoring!$F$29:$F$361,MATCH($O55,Scoring!$AI$29:$AI$361,0))))</f>
        <v>23</v>
      </c>
      <c r="D55" s="6" t="str">
        <f aca="false">IF($O55="","",INDEX(Scoring!$E$29:$E$361,MATCH($O55,Scoring!$AI$29:$AI$361,0)))</f>
        <v>Priority 3</v>
      </c>
      <c r="E55" s="7" t="str">
        <f aca="false">IF($O55="","",INDEX(Scoring!$G$29:$G$361,MATCH($O55,Scoring!$AI$29:$AI$361,0)))</f>
        <v>Lower price, lower volume</v>
      </c>
      <c r="F55" s="6" t="str">
        <f aca="false">IF($O55="","",INDEX(Scoring!$B$29:$B$361,MATCH($O55,Scoring!$AI$29:$AI$361,0)))</f>
        <v>Progesterone</v>
      </c>
      <c r="G55" s="7" t="str">
        <f aca="false">IF($O55="","",INDEX(Scoring!$C$29:$C$361,MATCH($O55,Scoring!$AI$29:$AI$361,0)))</f>
        <v>Progesterone</v>
      </c>
      <c r="H55" s="7" t="str">
        <f aca="false">IF($O55="","",INDEX(Scoring!$D$29:$D$361,MATCH($O55,Scoring!$AI$29:$AI$361,0)))</f>
        <v>Women's health: IVF support, absent periods, abnormal uterine bleeding</v>
      </c>
      <c r="I55" s="6" t="str">
        <f aca="false">IF($O55="","",INDEX(Scoring!$R$29:$R$361,MATCH($O55,Scoring!$AI$29:$AI$361,0)))</f>
        <v>Vial</v>
      </c>
      <c r="J55" s="7" t="str">
        <f aca="false">IF($O55="","",INDEX(Scoring!$S$29:$S$361,MATCH($O55,Scoring!$AI$29:$AI$361,0)))</f>
        <v>500 mg/10 mL vial</v>
      </c>
      <c r="K55" s="8" t="n">
        <f aca="false">IF($O55="","",IF(INDEX(Scoring!$I$29:$I$361,MATCH($O55,Scoring!$AI$29:$AI$361,0))="",INDEX(Scoring!$AC$29:$AC$361,MATCH($O55,Scoring!$AI$29:$AI$361,0)),INDEX(Scoring!$I$29:$I$361,MATCH($O55,Scoring!$AI$29:$AI$361,0))))</f>
        <v>22.25</v>
      </c>
      <c r="L55" s="9" t="n">
        <f aca="false">IF($O55="","",INDEX(Scoring!$M$29:$M$361,MATCH($O55,Scoring!$AI$29:$AI$361,0)))</f>
        <v>88</v>
      </c>
      <c r="M55" s="9" t="n">
        <f aca="false">IF($O55="","",INDEX(Scoring!$O$29:$O$361,MATCH($O55,Scoring!$AI$29:$AI$361,0)))</f>
        <v>2646.6</v>
      </c>
      <c r="N55" s="7" t="str">
        <f aca="false">IF($O55="","",INDEX(Scoring!$Y$29:$Y$361,MATCH($O55,Scoring!$AI$29:$AI$361,0)))</f>
        <v>US</v>
      </c>
      <c r="O55" s="10" t="n">
        <f aca="false">IFERROR(SMALL(Scoring!$AI$29:$AI$361,51),"")</f>
        <v>2023</v>
      </c>
    </row>
    <row r="56" customFormat="false" ht="28.35" hidden="false" customHeight="false" outlineLevel="0" collapsed="false">
      <c r="A56" s="5" t="n">
        <f aca="false">IF($O56="","",INT($O56/1000))</f>
        <v>2</v>
      </c>
      <c r="B56" s="6" t="str">
        <f aca="false">IF($O56="","",INDEX(Scoring!$A$29:$A$361,MATCH($O56,Scoring!$AI$29:$AI$361,0)))</f>
        <v>Aurobindo</v>
      </c>
      <c r="C56" s="5" t="n">
        <f aca="false">IF($O56="","",IF(INDEX(Scoring!$F$29:$F$361,MATCH($O56,Scoring!$AI$29:$AI$361,0))="","–",INDEX(Scoring!$F$29:$F$361,MATCH($O56,Scoring!$AI$29:$AI$361,0))))</f>
        <v>24</v>
      </c>
      <c r="D56" s="6" t="str">
        <f aca="false">IF($O56="","",INDEX(Scoring!$E$29:$E$361,MATCH($O56,Scoring!$AI$29:$AI$361,0)))</f>
        <v>Priority 3</v>
      </c>
      <c r="E56" s="7" t="str">
        <f aca="false">IF($O56="","",INDEX(Scoring!$G$29:$G$361,MATCH($O56,Scoring!$AI$29:$AI$361,0)))</f>
        <v>Lower price, lower volume</v>
      </c>
      <c r="F56" s="6" t="str">
        <f aca="false">IF($O56="","",INDEX(Scoring!$B$29:$B$361,MATCH($O56,Scoring!$AI$29:$AI$361,0)))</f>
        <v>Chlorpromazine</v>
      </c>
      <c r="G56" s="7" t="str">
        <f aca="false">IF($O56="","",INDEX(Scoring!$C$29:$C$361,MATCH($O56,Scoring!$AI$29:$AI$361,0)))</f>
        <v>Chlorpromazine Hydrochloride</v>
      </c>
      <c r="H56" s="7" t="str">
        <f aca="false">IF($O56="","",INDEX(Scoring!$D$29:$D$361,MATCH($O56,Scoring!$AI$29:$AI$361,0)))</f>
        <v>Psychiatry: acute psychosis and agitation, severe nausea and vomiting</v>
      </c>
      <c r="I56" s="6" t="str">
        <f aca="false">IF($O56="","",INDEX(Scoring!$R$29:$R$361,MATCH($O56,Scoring!$AI$29:$AI$361,0)))</f>
        <v>Ampoule</v>
      </c>
      <c r="J56" s="7" t="str">
        <f aca="false">IF($O56="","",INDEX(Scoring!$S$29:$S$361,MATCH($O56,Scoring!$AI$29:$AI$361,0)))</f>
        <v>25 mg/1 mL ampoule</v>
      </c>
      <c r="K56" s="8" t="n">
        <f aca="false">IF($O56="","",IF(INDEX(Scoring!$I$29:$I$361,MATCH($O56,Scoring!$AI$29:$AI$361,0))="",INDEX(Scoring!$AC$29:$AC$361,MATCH($O56,Scoring!$AI$29:$AI$361,0)),INDEX(Scoring!$I$29:$I$361,MATCH($O56,Scoring!$AI$29:$AI$361,0))))</f>
        <v>14.96</v>
      </c>
      <c r="L56" s="9" t="n">
        <f aca="false">IF($O56="","",INDEX(Scoring!$M$29:$M$361,MATCH($O56,Scoring!$AI$29:$AI$361,0)))</f>
        <v>82</v>
      </c>
      <c r="M56" s="9" t="n">
        <f aca="false">IF($O56="","",INDEX(Scoring!$O$29:$O$361,MATCH($O56,Scoring!$AI$29:$AI$361,0)))</f>
        <v>1358.2</v>
      </c>
      <c r="N56" s="7" t="str">
        <f aca="false">IF($O56="","",INDEX(Scoring!$Y$29:$Y$361,MATCH($O56,Scoring!$AI$29:$AI$361,0)))</f>
        <v>US</v>
      </c>
      <c r="O56" s="10" t="n">
        <f aca="false">IFERROR(SMALL(Scoring!$AI$29:$AI$361,52),"")</f>
        <v>2024</v>
      </c>
    </row>
    <row r="57" customFormat="false" ht="28.35" hidden="false" customHeight="false" outlineLevel="0" collapsed="false">
      <c r="A57" s="5" t="n">
        <f aca="false">IF($O57="","",INT($O57/1000))</f>
        <v>2</v>
      </c>
      <c r="B57" s="6" t="str">
        <f aca="false">IF($O57="","",INDEX(Scoring!$A$29:$A$361,MATCH($O57,Scoring!$AI$29:$AI$361,0)))</f>
        <v>Aurobindo</v>
      </c>
      <c r="C57" s="5" t="n">
        <f aca="false">IF($O57="","",IF(INDEX(Scoring!$F$29:$F$361,MATCH($O57,Scoring!$AI$29:$AI$361,0))="","–",INDEX(Scoring!$F$29:$F$361,MATCH($O57,Scoring!$AI$29:$AI$361,0))))</f>
        <v>25</v>
      </c>
      <c r="D57" s="6" t="str">
        <f aca="false">IF($O57="","",INDEX(Scoring!$E$29:$E$361,MATCH($O57,Scoring!$AI$29:$AI$361,0)))</f>
        <v>Priority 3</v>
      </c>
      <c r="E57" s="7" t="str">
        <f aca="false">IF($O57="","",INDEX(Scoring!$G$29:$G$361,MATCH($O57,Scoring!$AI$29:$AI$361,0)))</f>
        <v>Lower price, lower volume</v>
      </c>
      <c r="F57" s="6" t="str">
        <f aca="false">IF($O57="","",INDEX(Scoring!$B$29:$B$361,MATCH($O57,Scoring!$AI$29:$AI$361,0)))</f>
        <v>Nafcillin</v>
      </c>
      <c r="G57" s="7" t="str">
        <f aca="false">IF($O57="","",INDEX(Scoring!$C$29:$C$361,MATCH($O57,Scoring!$AI$29:$AI$361,0)))</f>
        <v>Nafcillin Sodium</v>
      </c>
      <c r="H57" s="7" t="str">
        <f aca="false">IF($O57="","",INDEX(Scoring!$D$29:$D$361,MATCH($O57,Scoring!$AI$29:$AI$361,0)))</f>
        <v>Anti-infective: staphylococcal infections</v>
      </c>
      <c r="I57" s="6" t="str">
        <f aca="false">IF($O57="","",INDEX(Scoring!$R$29:$R$361,MATCH($O57,Scoring!$AI$29:$AI$361,0)))</f>
        <v>Vial</v>
      </c>
      <c r="J57" s="7" t="str">
        <f aca="false">IF($O57="","",INDEX(Scoring!$S$29:$S$361,MATCH($O57,Scoring!$AI$29:$AI$361,0)))</f>
        <v>1 g powder vial; 2 g powder vial</v>
      </c>
      <c r="K57" s="8" t="n">
        <f aca="false">IF($O57="","",IF(INDEX(Scoring!$I$29:$I$361,MATCH($O57,Scoring!$AI$29:$AI$361,0))="",INDEX(Scoring!$AC$29:$AC$361,MATCH($O57,Scoring!$AI$29:$AI$361,0)),INDEX(Scoring!$I$29:$I$361,MATCH($O57,Scoring!$AI$29:$AI$361,0))))</f>
        <v>7.41</v>
      </c>
      <c r="L57" s="9" t="n">
        <f aca="false">IF($O57="","",INDEX(Scoring!$M$29:$M$361,MATCH($O57,Scoring!$AI$29:$AI$361,0)))</f>
        <v>4</v>
      </c>
      <c r="M57" s="9" t="n">
        <f aca="false">IF($O57="","",INDEX(Scoring!$O$29:$O$361,MATCH($O57,Scoring!$AI$29:$AI$361,0)))</f>
        <v>570.1</v>
      </c>
      <c r="N57" s="7" t="str">
        <f aca="false">IF($O57="","",INDEX(Scoring!$Y$29:$Y$361,MATCH($O57,Scoring!$AI$29:$AI$361,0)))</f>
        <v>US</v>
      </c>
      <c r="O57" s="10" t="n">
        <f aca="false">IFERROR(SMALL(Scoring!$AI$29:$AI$361,53),"")</f>
        <v>2025</v>
      </c>
    </row>
    <row r="58" customFormat="false" ht="28.35" hidden="false" customHeight="false" outlineLevel="0" collapsed="false">
      <c r="A58" s="5" t="n">
        <f aca="false">IF($O58="","",INT($O58/1000))</f>
        <v>2</v>
      </c>
      <c r="B58" s="6" t="str">
        <f aca="false">IF($O58="","",INDEX(Scoring!$A$29:$A$361,MATCH($O58,Scoring!$AI$29:$AI$361,0)))</f>
        <v>Aurobindo</v>
      </c>
      <c r="C58" s="5" t="n">
        <f aca="false">IF($O58="","",IF(INDEX(Scoring!$F$29:$F$361,MATCH($O58,Scoring!$AI$29:$AI$361,0))="","–",INDEX(Scoring!$F$29:$F$361,MATCH($O58,Scoring!$AI$29:$AI$361,0))))</f>
        <v>26</v>
      </c>
      <c r="D58" s="6" t="str">
        <f aca="false">IF($O58="","",INDEX(Scoring!$E$29:$E$361,MATCH($O58,Scoring!$AI$29:$AI$361,0)))</f>
        <v>Priority 3</v>
      </c>
      <c r="E58" s="7" t="str">
        <f aca="false">IF($O58="","",INDEX(Scoring!$G$29:$G$361,MATCH($O58,Scoring!$AI$29:$AI$361,0)))</f>
        <v>Lower price, lower volume</v>
      </c>
      <c r="F58" s="6" t="str">
        <f aca="false">IF($O58="","",INDEX(Scoring!$B$29:$B$361,MATCH($O58,Scoring!$AI$29:$AI$361,0)))</f>
        <v>Oxacillin</v>
      </c>
      <c r="G58" s="7" t="str">
        <f aca="false">IF($O58="","",INDEX(Scoring!$C$29:$C$361,MATCH($O58,Scoring!$AI$29:$AI$361,0)))</f>
        <v>Oxacillin Sodium</v>
      </c>
      <c r="H58" s="7" t="str">
        <f aca="false">IF($O58="","",INDEX(Scoring!$D$29:$D$361,MATCH($O58,Scoring!$AI$29:$AI$361,0)))</f>
        <v>Anti-infective: staphylococcal infections</v>
      </c>
      <c r="I58" s="6" t="str">
        <f aca="false">IF($O58="","",INDEX(Scoring!$R$29:$R$361,MATCH($O58,Scoring!$AI$29:$AI$361,0)))</f>
        <v>Vial</v>
      </c>
      <c r="J58" s="7" t="str">
        <f aca="false">IF($O58="","",INDEX(Scoring!$S$29:$S$361,MATCH($O58,Scoring!$AI$29:$AI$361,0)))</f>
        <v>1 g powder vial</v>
      </c>
      <c r="K58" s="8" t="n">
        <f aca="false">IF($O58="","",IF(INDEX(Scoring!$I$29:$I$361,MATCH($O58,Scoring!$AI$29:$AI$361,0))="",INDEX(Scoring!$AC$29:$AC$361,MATCH($O58,Scoring!$AI$29:$AI$361,0)),INDEX(Scoring!$I$29:$I$361,MATCH($O58,Scoring!$AI$29:$AI$361,0))))</f>
        <v>10.93</v>
      </c>
      <c r="L58" s="9" t="n">
        <f aca="false">IF($O58="","",INDEX(Scoring!$M$29:$M$361,MATCH($O58,Scoring!$AI$29:$AI$361,0)))</f>
        <v>9</v>
      </c>
      <c r="M58" s="9" t="n">
        <f aca="false">IF($O58="","",INDEX(Scoring!$O$29:$O$361,MATCH($O58,Scoring!$AI$29:$AI$361,0)))</f>
        <v>260.9</v>
      </c>
      <c r="N58" s="7" t="str">
        <f aca="false">IF($O58="","",INDEX(Scoring!$Y$29:$Y$361,MATCH($O58,Scoring!$AI$29:$AI$361,0)))</f>
        <v>US</v>
      </c>
      <c r="O58" s="10" t="n">
        <f aca="false">IFERROR(SMALL(Scoring!$AI$29:$AI$361,54),"")</f>
        <v>2026</v>
      </c>
    </row>
    <row r="59" customFormat="false" ht="28.35" hidden="false" customHeight="false" outlineLevel="0" collapsed="false">
      <c r="A59" s="5" t="n">
        <f aca="false">IF($O59="","",INT($O59/1000))</f>
        <v>2</v>
      </c>
      <c r="B59" s="6" t="str">
        <f aca="false">IF($O59="","",INDEX(Scoring!$A$29:$A$361,MATCH($O59,Scoring!$AI$29:$AI$361,0)))</f>
        <v>Aurobindo</v>
      </c>
      <c r="C59" s="5" t="str">
        <f aca="false">IF($O59="","",IF(INDEX(Scoring!$F$29:$F$361,MATCH($O59,Scoring!$AI$29:$AI$361,0))="","–",INDEX(Scoring!$F$29:$F$361,MATCH($O59,Scoring!$AI$29:$AI$361,0))))</f>
        <v>–</v>
      </c>
      <c r="D59" s="6" t="str">
        <f aca="false">IF($O59="","",INDEX(Scoring!$E$29:$E$361,MATCH($O59,Scoring!$AI$29:$AI$361,0)))</f>
        <v>Excluded – price ≤ USD 5</v>
      </c>
      <c r="E59" s="7" t="str">
        <f aca="false">IF($O59="","",INDEX(Scoring!$G$29:$G$361,MATCH($O59,Scoring!$AI$29:$AI$361,0)))</f>
        <v/>
      </c>
      <c r="F59" s="6" t="str">
        <f aca="false">IF($O59="","",INDEX(Scoring!$B$29:$B$361,MATCH($O59,Scoring!$AI$29:$AI$361,0)))</f>
        <v>Flucloxacillin</v>
      </c>
      <c r="G59" s="7" t="str">
        <f aca="false">IF($O59="","",INDEX(Scoring!$C$29:$C$361,MATCH($O59,Scoring!$AI$29:$AI$361,0)))</f>
        <v>EUG-Flucloxacillin</v>
      </c>
      <c r="H59" s="7" t="str">
        <f aca="false">IF($O59="","",INDEX(Scoring!$D$29:$D$361,MATCH($O59,Scoring!$AI$29:$AI$361,0)))</f>
        <v>Anti-infective: staphylococcal skin, bone and heart infections</v>
      </c>
      <c r="I59" s="6" t="str">
        <f aca="false">IF($O59="","",INDEX(Scoring!$R$29:$R$361,MATCH($O59,Scoring!$AI$29:$AI$361,0)))</f>
        <v>Vial</v>
      </c>
      <c r="J59" s="7" t="str">
        <f aca="false">IF($O59="","",INDEX(Scoring!$S$29:$S$361,MATCH($O59,Scoring!$AI$29:$AI$361,0)))</f>
        <v>500 mg powder vial; 1000 mg powder vial; 2000 mg powder vial</v>
      </c>
      <c r="K59" s="8" t="n">
        <f aca="false">IF($O59="","",IF(INDEX(Scoring!$I$29:$I$361,MATCH($O59,Scoring!$AI$29:$AI$361,0))="",INDEX(Scoring!$AC$29:$AC$361,MATCH($O59,Scoring!$AI$29:$AI$361,0)),INDEX(Scoring!$I$29:$I$361,MATCH($O59,Scoring!$AI$29:$AI$361,0))))</f>
        <v>3.32</v>
      </c>
      <c r="L59" s="9" t="n">
        <f aca="false">IF($O59="","",INDEX(Scoring!$M$29:$M$361,MATCH($O59,Scoring!$AI$29:$AI$361,0)))</f>
        <v>116</v>
      </c>
      <c r="M59" s="9" t="n">
        <f aca="false">IF($O59="","",INDEX(Scoring!$O$29:$O$361,MATCH($O59,Scoring!$AI$29:$AI$361,0)))</f>
        <v>6287.6</v>
      </c>
      <c r="N59" s="7" t="str">
        <f aca="false">IF($O59="","",INDEX(Scoring!$Y$29:$Y$361,MATCH($O59,Scoring!$AI$29:$AI$361,0)))</f>
        <v>Australia, UK-NI | EU/EEA (6): Germany, France, Netherlands, Belgium, Luxembourg, Portugal</v>
      </c>
      <c r="O59" s="10" t="n">
        <f aca="false">IFERROR(SMALL(Scoring!$AI$29:$AI$361,55),"")</f>
        <v>2901</v>
      </c>
    </row>
    <row r="60" customFormat="false" ht="41.75" hidden="false" customHeight="false" outlineLevel="0" collapsed="false">
      <c r="A60" s="5" t="n">
        <f aca="false">IF($O60="","",INT($O60/1000))</f>
        <v>2</v>
      </c>
      <c r="B60" s="6" t="str">
        <f aca="false">IF($O60="","",INDEX(Scoring!$A$29:$A$361,MATCH($O60,Scoring!$AI$29:$AI$361,0)))</f>
        <v>Aurobindo</v>
      </c>
      <c r="C60" s="5" t="str">
        <f aca="false">IF($O60="","",IF(INDEX(Scoring!$F$29:$F$361,MATCH($O60,Scoring!$AI$29:$AI$361,0))="","–",INDEX(Scoring!$F$29:$F$361,MATCH($O60,Scoring!$AI$29:$AI$361,0))))</f>
        <v>–</v>
      </c>
      <c r="D60" s="6" t="str">
        <f aca="false">IF($O60="","",INDEX(Scoring!$E$29:$E$361,MATCH($O60,Scoring!$AI$29:$AI$361,0)))</f>
        <v>Excluded – price ≤ USD 5</v>
      </c>
      <c r="E60" s="7" t="str">
        <f aca="false">IF($O60="","",INDEX(Scoring!$G$29:$G$361,MATCH($O60,Scoring!$AI$29:$AI$361,0)))</f>
        <v/>
      </c>
      <c r="F60" s="6" t="str">
        <f aca="false">IF($O60="","",INDEX(Scoring!$B$29:$B$361,MATCH($O60,Scoring!$AI$29:$AI$361,0)))</f>
        <v>Triamcinolone Acetonide</v>
      </c>
      <c r="G60" s="7" t="str">
        <f aca="false">IF($O60="","",INDEX(Scoring!$C$29:$C$361,MATCH($O60,Scoring!$AI$29:$AI$361,0)))</f>
        <v>Triamcinolone Acetonide</v>
      </c>
      <c r="H60" s="7" t="str">
        <f aca="false">IF($O60="","",INDEX(Scoring!$D$29:$D$361,MATCH($O60,Scoring!$AI$29:$AI$361,0)))</f>
        <v>Musculoskeletal and immunology: joint and soft-tissue injections, allergic and skin conditions</v>
      </c>
      <c r="I60" s="6" t="str">
        <f aca="false">IF($O60="","",INDEX(Scoring!$R$29:$R$361,MATCH($O60,Scoring!$AI$29:$AI$361,0)))</f>
        <v>Not stated</v>
      </c>
      <c r="J60" s="7" t="str">
        <f aca="false">IF($O60="","",INDEX(Scoring!$S$29:$S$361,MATCH($O60,Scoring!$AI$29:$AI$361,0)))</f>
        <v>40 mg/mL (container not stated)</v>
      </c>
      <c r="K60" s="8" t="n">
        <f aca="false">IF($O60="","",IF(INDEX(Scoring!$I$29:$I$361,MATCH($O60,Scoring!$AI$29:$AI$361,0))="",INDEX(Scoring!$AC$29:$AC$361,MATCH($O60,Scoring!$AI$29:$AI$361,0)),INDEX(Scoring!$I$29:$I$361,MATCH($O60,Scoring!$AI$29:$AI$361,0))))</f>
        <v>3.15</v>
      </c>
      <c r="L60" s="9" t="n">
        <f aca="false">IF($O60="","",INDEX(Scoring!$M$29:$M$361,MATCH($O60,Scoring!$AI$29:$AI$361,0)))</f>
        <v>193</v>
      </c>
      <c r="M60" s="9" t="n">
        <f aca="false">IF($O60="","",INDEX(Scoring!$O$29:$O$361,MATCH($O60,Scoring!$AI$29:$AI$361,0)))</f>
        <v>4256.8</v>
      </c>
      <c r="N60" s="7" t="str">
        <f aca="false">IF($O60="","",INDEX(Scoring!$Y$29:$Y$361,MATCH($O60,Scoring!$AI$29:$AI$361,0)))</f>
        <v>US</v>
      </c>
      <c r="O60" s="10" t="n">
        <f aca="false">IFERROR(SMALL(Scoring!$AI$29:$AI$361,56),"")</f>
        <v>2902</v>
      </c>
    </row>
    <row r="61" customFormat="false" ht="28.35" hidden="false" customHeight="false" outlineLevel="0" collapsed="false">
      <c r="A61" s="5" t="n">
        <f aca="false">IF($O61="","",INT($O61/1000))</f>
        <v>3</v>
      </c>
      <c r="B61" s="6" t="str">
        <f aca="false">IF($O61="","",INDEX(Scoring!$A$29:$A$361,MATCH($O61,Scoring!$AI$29:$AI$361,0)))</f>
        <v>Dr. Reddy's</v>
      </c>
      <c r="C61" s="5" t="n">
        <f aca="false">IF($O61="","",IF(INDEX(Scoring!$F$29:$F$361,MATCH($O61,Scoring!$AI$29:$AI$361,0))="","–",INDEX(Scoring!$F$29:$F$361,MATCH($O61,Scoring!$AI$29:$AI$361,0))))</f>
        <v>1</v>
      </c>
      <c r="D61" s="6" t="str">
        <f aca="false">IF($O61="","",INDEX(Scoring!$E$29:$E$361,MATCH($O61,Scoring!$AI$29:$AI$361,0)))</f>
        <v>Priority 1</v>
      </c>
      <c r="E61" s="7" t="str">
        <f aca="false">IF($O61="","",INDEX(Scoring!$G$29:$G$361,MATCH($O61,Scoring!$AI$29:$AI$361,0)))</f>
        <v>High price, high volume</v>
      </c>
      <c r="F61" s="6" t="str">
        <f aca="false">IF($O61="","",INDEX(Scoring!$B$29:$B$361,MATCH($O61,Scoring!$AI$29:$AI$361,0)))</f>
        <v>Ertapenem</v>
      </c>
      <c r="G61" s="7" t="str">
        <f aca="false">IF($O61="","",INDEX(Scoring!$C$29:$C$361,MATCH($O61,Scoring!$AI$29:$AI$361,0)))</f>
        <v>Ertapenem</v>
      </c>
      <c r="H61" s="7" t="str">
        <f aca="false">IF($O61="","",INDEX(Scoring!$D$29:$D$361,MATCH($O61,Scoring!$AI$29:$AI$361,0)))</f>
        <v>Anti-infective: abdominal, skin and urinary infections, pneumonia</v>
      </c>
      <c r="I61" s="6" t="str">
        <f aca="false">IF($O61="","",INDEX(Scoring!$R$29:$R$361,MATCH($O61,Scoring!$AI$29:$AI$361,0)))</f>
        <v>Vial</v>
      </c>
      <c r="J61" s="7" t="str">
        <f aca="false">IF($O61="","",INDEX(Scoring!$S$29:$S$361,MATCH($O61,Scoring!$AI$29:$AI$361,0)))</f>
        <v>1 g vial</v>
      </c>
      <c r="K61" s="8" t="n">
        <f aca="false">IF($O61="","",IF(INDEX(Scoring!$I$29:$I$361,MATCH($O61,Scoring!$AI$29:$AI$361,0))="",INDEX(Scoring!$AC$29:$AC$361,MATCH($O61,Scoring!$AI$29:$AI$361,0)),INDEX(Scoring!$I$29:$I$361,MATCH($O61,Scoring!$AI$29:$AI$361,0))))</f>
        <v>36.59</v>
      </c>
      <c r="L61" s="9" t="n">
        <f aca="false">IF($O61="","",INDEX(Scoring!$M$29:$M$361,MATCH($O61,Scoring!$AI$29:$AI$361,0)))</f>
        <v>223</v>
      </c>
      <c r="M61" s="9" t="n">
        <f aca="false">IF($O61="","",INDEX(Scoring!$O$29:$O$361,MATCH($O61,Scoring!$AI$29:$AI$361,0)))</f>
        <v>53539.9</v>
      </c>
      <c r="N61" s="7" t="str">
        <f aca="false">IF($O61="","",INDEX(Scoring!$Y$29:$Y$361,MATCH($O61,Scoring!$AI$29:$AI$361,0)))</f>
        <v>Canada</v>
      </c>
      <c r="O61" s="10" t="n">
        <f aca="false">IFERROR(SMALL(Scoring!$AI$29:$AI$361,57),"")</f>
        <v>3001</v>
      </c>
    </row>
    <row r="62" customFormat="false" ht="28.35" hidden="false" customHeight="false" outlineLevel="0" collapsed="false">
      <c r="A62" s="5" t="n">
        <f aca="false">IF($O62="","",INT($O62/1000))</f>
        <v>3</v>
      </c>
      <c r="B62" s="6" t="str">
        <f aca="false">IF($O62="","",INDEX(Scoring!$A$29:$A$361,MATCH($O62,Scoring!$AI$29:$AI$361,0)))</f>
        <v>Dr. Reddy's</v>
      </c>
      <c r="C62" s="5" t="n">
        <f aca="false">IF($O62="","",IF(INDEX(Scoring!$F$29:$F$361,MATCH($O62,Scoring!$AI$29:$AI$361,0))="","–",INDEX(Scoring!$F$29:$F$361,MATCH($O62,Scoring!$AI$29:$AI$361,0))))</f>
        <v>2</v>
      </c>
      <c r="D62" s="6" t="str">
        <f aca="false">IF($O62="","",INDEX(Scoring!$E$29:$E$361,MATCH($O62,Scoring!$AI$29:$AI$361,0)))</f>
        <v>Priority 1</v>
      </c>
      <c r="E62" s="7" t="str">
        <f aca="false">IF($O62="","",INDEX(Scoring!$G$29:$G$361,MATCH($O62,Scoring!$AI$29:$AI$361,0)))</f>
        <v>High price, high volume</v>
      </c>
      <c r="F62" s="6" t="str">
        <f aca="false">IF($O62="","",INDEX(Scoring!$B$29:$B$361,MATCH($O62,Scoring!$AI$29:$AI$361,0)))</f>
        <v>Azacitidine</v>
      </c>
      <c r="G62" s="7" t="str">
        <f aca="false">IF($O62="","",INDEX(Scoring!$C$29:$C$361,MATCH($O62,Scoring!$AI$29:$AI$361,0)))</f>
        <v>Azacitidine Betapharm; Azacitidine; Reddaza (+1 more)</v>
      </c>
      <c r="H62" s="7" t="str">
        <f aca="false">IF($O62="","",INDEX(Scoring!$D$29:$D$361,MATCH($O62,Scoring!$AI$29:$AI$361,0)))</f>
        <v>Oncology: myelodysplastic syndromes, acute myeloid leukaemia</v>
      </c>
      <c r="I62" s="6" t="str">
        <f aca="false">IF($O62="","",INDEX(Scoring!$R$29:$R$361,MATCH($O62,Scoring!$AI$29:$AI$361,0)))</f>
        <v>Vial</v>
      </c>
      <c r="J62" s="7" t="str">
        <f aca="false">IF($O62="","",INDEX(Scoring!$S$29:$S$361,MATCH($O62,Scoring!$AI$29:$AI$361,0)))</f>
        <v>25 mg/mL vial; 100 mg powder vial; 100 mg in 30 mL powder vial</v>
      </c>
      <c r="K62" s="8" t="n">
        <f aca="false">IF($O62="","",IF(INDEX(Scoring!$I$29:$I$361,MATCH($O62,Scoring!$AI$29:$AI$361,0))="",INDEX(Scoring!$AC$29:$AC$361,MATCH($O62,Scoring!$AI$29:$AI$361,0)),INDEX(Scoring!$I$29:$I$361,MATCH($O62,Scoring!$AI$29:$AI$361,0))))</f>
        <v>259.25</v>
      </c>
      <c r="L62" s="9" t="n">
        <f aca="false">IF($O62="","",INDEX(Scoring!$M$29:$M$361,MATCH($O62,Scoring!$AI$29:$AI$361,0)))</f>
        <v>632</v>
      </c>
      <c r="M62" s="9" t="n">
        <f aca="false">IF($O62="","",INDEX(Scoring!$O$29:$O$361,MATCH($O62,Scoring!$AI$29:$AI$361,0)))</f>
        <v>42181.7</v>
      </c>
      <c r="N62" s="7" t="str">
        <f aca="false">IF($O62="","",INDEX(Scoring!$Y$29:$Y$361,MATCH($O62,Scoring!$AI$29:$AI$361,0)))</f>
        <v>UK, Canada, Australia, South Africa | EU/EEA: all 30 countries</v>
      </c>
      <c r="O62" s="10" t="n">
        <f aca="false">IFERROR(SMALL(Scoring!$AI$29:$AI$361,58),"")</f>
        <v>3002</v>
      </c>
    </row>
    <row r="63" customFormat="false" ht="28.35" hidden="false" customHeight="false" outlineLevel="0" collapsed="false">
      <c r="A63" s="5" t="n">
        <f aca="false">IF($O63="","",INT($O63/1000))</f>
        <v>3</v>
      </c>
      <c r="B63" s="6" t="str">
        <f aca="false">IF($O63="","",INDEX(Scoring!$A$29:$A$361,MATCH($O63,Scoring!$AI$29:$AI$361,0)))</f>
        <v>Dr. Reddy's</v>
      </c>
      <c r="C63" s="5" t="n">
        <f aca="false">IF($O63="","",IF(INDEX(Scoring!$F$29:$F$361,MATCH($O63,Scoring!$AI$29:$AI$361,0))="","–",INDEX(Scoring!$F$29:$F$361,MATCH($O63,Scoring!$AI$29:$AI$361,0))))</f>
        <v>3</v>
      </c>
      <c r="D63" s="6" t="str">
        <f aca="false">IF($O63="","",INDEX(Scoring!$E$29:$E$361,MATCH($O63,Scoring!$AI$29:$AI$361,0)))</f>
        <v>Priority 1</v>
      </c>
      <c r="E63" s="7" t="str">
        <f aca="false">IF($O63="","",INDEX(Scoring!$G$29:$G$361,MATCH($O63,Scoring!$AI$29:$AI$361,0)))</f>
        <v>High price, high volume</v>
      </c>
      <c r="F63" s="6" t="str">
        <f aca="false">IF($O63="","",INDEX(Scoring!$B$29:$B$361,MATCH($O63,Scoring!$AI$29:$AI$361,0)))</f>
        <v>Bortezomib</v>
      </c>
      <c r="G63" s="7" t="str">
        <f aca="false">IF($O63="","",INDEX(Scoring!$C$29:$C$361,MATCH($O63,Scoring!$AI$29:$AI$361,0)))</f>
        <v>Bortezomib; Bortezomib Dr. Reddy's; Bertred</v>
      </c>
      <c r="H63" s="7" t="str">
        <f aca="false">IF($O63="","",INDEX(Scoring!$D$29:$D$361,MATCH($O63,Scoring!$AI$29:$AI$361,0)))</f>
        <v>Oncology: multiple myeloma, mantle cell lymphoma</v>
      </c>
      <c r="I63" s="6" t="str">
        <f aca="false">IF($O63="","",INDEX(Scoring!$R$29:$R$361,MATCH($O63,Scoring!$AI$29:$AI$361,0)))</f>
        <v>Vial</v>
      </c>
      <c r="J63" s="7" t="str">
        <f aca="false">IF($O63="","",INDEX(Scoring!$S$29:$S$361,MATCH($O63,Scoring!$AI$29:$AI$361,0)))</f>
        <v>3.5 mg powder vial; 3.5 mg in 10 mL powder vial</v>
      </c>
      <c r="K63" s="8" t="n">
        <f aca="false">IF($O63="","",IF(INDEX(Scoring!$I$29:$I$361,MATCH($O63,Scoring!$AI$29:$AI$361,0))="",INDEX(Scoring!$AC$29:$AC$361,MATCH($O63,Scoring!$AI$29:$AI$361,0)),INDEX(Scoring!$I$29:$I$361,MATCH($O63,Scoring!$AI$29:$AI$361,0))))</f>
        <v>711.76</v>
      </c>
      <c r="L63" s="9" t="n">
        <f aca="false">IF($O63="","",INDEX(Scoring!$M$29:$M$361,MATCH($O63,Scoring!$AI$29:$AI$361,0)))</f>
        <v>905</v>
      </c>
      <c r="M63" s="9" t="n">
        <f aca="false">IF($O63="","",INDEX(Scoring!$O$29:$O$361,MATCH($O63,Scoring!$AI$29:$AI$361,0)))</f>
        <v>28093.4</v>
      </c>
      <c r="N63" s="7" t="str">
        <f aca="false">IF($O63="","",INDEX(Scoring!$Y$29:$Y$361,MATCH($O63,Scoring!$AI$29:$AI$361,0)))</f>
        <v>US, UK, Canada, South Africa, UK-NI | EU/EEA (13): Germany, France, Netherlands, Finland + 9 more</v>
      </c>
      <c r="O63" s="10" t="n">
        <f aca="false">IFERROR(SMALL(Scoring!$AI$29:$AI$361,59),"")</f>
        <v>3003</v>
      </c>
    </row>
    <row r="64" customFormat="false" ht="41.75" hidden="false" customHeight="false" outlineLevel="0" collapsed="false">
      <c r="A64" s="5" t="n">
        <f aca="false">IF($O64="","",INT($O64/1000))</f>
        <v>3</v>
      </c>
      <c r="B64" s="6" t="str">
        <f aca="false">IF($O64="","",INDEX(Scoring!$A$29:$A$361,MATCH($O64,Scoring!$AI$29:$AI$361,0)))</f>
        <v>Dr. Reddy's</v>
      </c>
      <c r="C64" s="5" t="n">
        <f aca="false">IF($O64="","",IF(INDEX(Scoring!$F$29:$F$361,MATCH($O64,Scoring!$AI$29:$AI$361,0))="","–",INDEX(Scoring!$F$29:$F$361,MATCH($O64,Scoring!$AI$29:$AI$361,0))))</f>
        <v>4</v>
      </c>
      <c r="D64" s="6" t="str">
        <f aca="false">IF($O64="","",INDEX(Scoring!$E$29:$E$361,MATCH($O64,Scoring!$AI$29:$AI$361,0)))</f>
        <v>Priority 1</v>
      </c>
      <c r="E64" s="7" t="str">
        <f aca="false">IF($O64="","",INDEX(Scoring!$G$29:$G$361,MATCH($O64,Scoring!$AI$29:$AI$361,0)))</f>
        <v>High price, high volume</v>
      </c>
      <c r="F64" s="6" t="str">
        <f aca="false">IF($O64="","",INDEX(Scoring!$B$29:$B$361,MATCH($O64,Scoring!$AI$29:$AI$361,0)))</f>
        <v>Fulvestrant</v>
      </c>
      <c r="G64" s="7" t="str">
        <f aca="false">IF($O64="","",INDEX(Scoring!$C$29:$C$361,MATCH($O64,Scoring!$AI$29:$AI$361,0)))</f>
        <v>Fulvestrant; Fulvestrant Dr. Reddy's; Fulvestrant Beta (+1 more)</v>
      </c>
      <c r="H64" s="7" t="str">
        <f aca="false">IF($O64="","",INDEX(Scoring!$D$29:$D$361,MATCH($O64,Scoring!$AI$29:$AI$361,0)))</f>
        <v>Oncology: hormone receptor-positive advanced breast cancer</v>
      </c>
      <c r="I64" s="6" t="str">
        <f aca="false">IF($O64="","",INDEX(Scoring!$R$29:$R$361,MATCH($O64,Scoring!$AI$29:$AI$361,0)))</f>
        <v>Prefilled syringe</v>
      </c>
      <c r="J64" s="7" t="str">
        <f aca="false">IF($O64="","",INDEX(Scoring!$S$29:$S$361,MATCH($O64,Scoring!$AI$29:$AI$361,0)))</f>
        <v>250 mg/5 mL pre-filled syringe</v>
      </c>
      <c r="K64" s="8" t="n">
        <f aca="false">IF($O64="","",IF(INDEX(Scoring!$I$29:$I$361,MATCH($O64,Scoring!$AI$29:$AI$361,0))="",INDEX(Scoring!$AC$29:$AC$361,MATCH($O64,Scoring!$AI$29:$AI$361,0)),INDEX(Scoring!$I$29:$I$361,MATCH($O64,Scoring!$AI$29:$AI$361,0))))</f>
        <v>248.6</v>
      </c>
      <c r="L64" s="9" t="n">
        <f aca="false">IF($O64="","",INDEX(Scoring!$M$29:$M$361,MATCH($O64,Scoring!$AI$29:$AI$361,0)))</f>
        <v>146</v>
      </c>
      <c r="M64" s="9" t="n">
        <f aca="false">IF($O64="","",INDEX(Scoring!$O$29:$O$361,MATCH($O64,Scoring!$AI$29:$AI$361,0)))</f>
        <v>11366.1</v>
      </c>
      <c r="N64" s="7" t="str">
        <f aca="false">IF($O64="","",INDEX(Scoring!$Y$29:$Y$361,MATCH($O64,Scoring!$AI$29:$AI$361,0)))</f>
        <v>US, UK, South Africa, UK-NI | EU/EEA (10): Germany, Denmark, Ireland, Italy + 6 more</v>
      </c>
      <c r="O64" s="10" t="n">
        <f aca="false">IFERROR(SMALL(Scoring!$AI$29:$AI$361,60),"")</f>
        <v>3004</v>
      </c>
    </row>
    <row r="65" customFormat="false" ht="28.35" hidden="false" customHeight="false" outlineLevel="0" collapsed="false">
      <c r="A65" s="5" t="n">
        <f aca="false">IF($O65="","",INT($O65/1000))</f>
        <v>3</v>
      </c>
      <c r="B65" s="6" t="str">
        <f aca="false">IF($O65="","",INDEX(Scoring!$A$29:$A$361,MATCH($O65,Scoring!$AI$29:$AI$361,0)))</f>
        <v>Dr. Reddy's</v>
      </c>
      <c r="C65" s="5" t="n">
        <f aca="false">IF($O65="","",IF(INDEX(Scoring!$F$29:$F$361,MATCH($O65,Scoring!$AI$29:$AI$361,0))="","–",INDEX(Scoring!$F$29:$F$361,MATCH($O65,Scoring!$AI$29:$AI$361,0))))</f>
        <v>5</v>
      </c>
      <c r="D65" s="6" t="str">
        <f aca="false">IF($O65="","",INDEX(Scoring!$E$29:$E$361,MATCH($O65,Scoring!$AI$29:$AI$361,0)))</f>
        <v>Priority 2</v>
      </c>
      <c r="E65" s="7" t="str">
        <f aca="false">IF($O65="","",INDEX(Scoring!$G$29:$G$361,MATCH($O65,Scoring!$AI$29:$AI$361,0)))</f>
        <v>High price, lower volume</v>
      </c>
      <c r="F65" s="6" t="str">
        <f aca="false">IF($O65="","",INDEX(Scoring!$B$29:$B$361,MATCH($O65,Scoring!$AI$29:$AI$361,0)))</f>
        <v>Plerixafor</v>
      </c>
      <c r="G65" s="7" t="str">
        <f aca="false">IF($O65="","",INDEX(Scoring!$C$29:$C$361,MATCH($O65,Scoring!$AI$29:$AI$361,0)))</f>
        <v>Plerixafor</v>
      </c>
      <c r="H65" s="7" t="str">
        <f aca="false">IF($O65="","",INDEX(Scoring!$D$29:$D$361,MATCH($O65,Scoring!$AI$29:$AI$361,0)))</f>
        <v>Oncology support: stem cell mobilisation in myeloma and lymphoma</v>
      </c>
      <c r="I65" s="6" t="str">
        <f aca="false">IF($O65="","",INDEX(Scoring!$R$29:$R$361,MATCH($O65,Scoring!$AI$29:$AI$361,0)))</f>
        <v>Vial</v>
      </c>
      <c r="J65" s="7" t="str">
        <f aca="false">IF($O65="","",INDEX(Scoring!$S$29:$S$361,MATCH($O65,Scoring!$AI$29:$AI$361,0)))</f>
        <v>24 mg/1.2 mL vial</v>
      </c>
      <c r="K65" s="8" t="n">
        <f aca="false">IF($O65="","",IF(INDEX(Scoring!$I$29:$I$361,MATCH($O65,Scoring!$AI$29:$AI$361,0))="",INDEX(Scoring!$AC$29:$AC$361,MATCH($O65,Scoring!$AI$29:$AI$361,0)),INDEX(Scoring!$I$29:$I$361,MATCH($O65,Scoring!$AI$29:$AI$361,0))))</f>
        <v>343.8</v>
      </c>
      <c r="L65" s="9" t="n">
        <f aca="false">IF($O65="","",INDEX(Scoring!$M$29:$M$361,MATCH($O65,Scoring!$AI$29:$AI$361,0)))</f>
        <v>47</v>
      </c>
      <c r="M65" s="9" t="n">
        <f aca="false">IF($O65="","",INDEX(Scoring!$O$29:$O$361,MATCH($O65,Scoring!$AI$29:$AI$361,0)))</f>
        <v>7904.7</v>
      </c>
      <c r="N65" s="7" t="str">
        <f aca="false">IF($O65="","",INDEX(Scoring!$Y$29:$Y$361,MATCH($O65,Scoring!$AI$29:$AI$361,0)))</f>
        <v>US</v>
      </c>
      <c r="O65" s="10" t="n">
        <f aca="false">IFERROR(SMALL(Scoring!$AI$29:$AI$361,61),"")</f>
        <v>3005</v>
      </c>
    </row>
    <row r="66" customFormat="false" ht="28.35" hidden="false" customHeight="false" outlineLevel="0" collapsed="false">
      <c r="A66" s="5" t="n">
        <f aca="false">IF($O66="","",INT($O66/1000))</f>
        <v>3</v>
      </c>
      <c r="B66" s="6" t="str">
        <f aca="false">IF($O66="","",INDEX(Scoring!$A$29:$A$361,MATCH($O66,Scoring!$AI$29:$AI$361,0)))</f>
        <v>Dr. Reddy's</v>
      </c>
      <c r="C66" s="5" t="n">
        <f aca="false">IF($O66="","",IF(INDEX(Scoring!$F$29:$F$361,MATCH($O66,Scoring!$AI$29:$AI$361,0))="","–",INDEX(Scoring!$F$29:$F$361,MATCH($O66,Scoring!$AI$29:$AI$361,0))))</f>
        <v>6</v>
      </c>
      <c r="D66" s="6" t="str">
        <f aca="false">IF($O66="","",INDEX(Scoring!$E$29:$E$361,MATCH($O66,Scoring!$AI$29:$AI$361,0)))</f>
        <v>Priority 2</v>
      </c>
      <c r="E66" s="7" t="str">
        <f aca="false">IF($O66="","",INDEX(Scoring!$G$29:$G$361,MATCH($O66,Scoring!$AI$29:$AI$361,0)))</f>
        <v>High price, lower volume</v>
      </c>
      <c r="F66" s="6" t="str">
        <f aca="false">IF($O66="","",INDEX(Scoring!$B$29:$B$361,MATCH($O66,Scoring!$AI$29:$AI$361,0)))</f>
        <v>Carboprost</v>
      </c>
      <c r="G66" s="7" t="str">
        <f aca="false">IF($O66="","",INDEX(Scoring!$C$29:$C$361,MATCH($O66,Scoring!$AI$29:$AI$361,0)))</f>
        <v>Carboprost Tromethamine; Carboprost Dr. Reddy's</v>
      </c>
      <c r="H66" s="7" t="str">
        <f aca="false">IF($O66="","",INDEX(Scoring!$D$29:$D$361,MATCH($O66,Scoring!$AI$29:$AI$361,0)))</f>
        <v>Women's health: postpartum haemorrhage, pregnancy termination</v>
      </c>
      <c r="I66" s="6" t="str">
        <f aca="false">IF($O66="","",INDEX(Scoring!$R$29:$R$361,MATCH($O66,Scoring!$AI$29:$AI$361,0)))</f>
        <v>Vial, Prefilled syringe</v>
      </c>
      <c r="J66" s="7" t="str">
        <f aca="false">IF($O66="","",INDEX(Scoring!$S$29:$S$361,MATCH($O66,Scoring!$AI$29:$AI$361,0)))</f>
        <v>0.25 mg/1 mL pre-filled syringe; 250 mcg/1 mL vial</v>
      </c>
      <c r="K66" s="8" t="n">
        <f aca="false">IF($O66="","",IF(INDEX(Scoring!$I$29:$I$361,MATCH($O66,Scoring!$AI$29:$AI$361,0))="",INDEX(Scoring!$AC$29:$AC$361,MATCH($O66,Scoring!$AI$29:$AI$361,0)),INDEX(Scoring!$I$29:$I$361,MATCH($O66,Scoring!$AI$29:$AI$361,0))))</f>
        <v>127.38</v>
      </c>
      <c r="L66" s="9" t="n">
        <f aca="false">IF($O66="","",INDEX(Scoring!$M$29:$M$361,MATCH($O66,Scoring!$AI$29:$AI$361,0)))</f>
        <v>143</v>
      </c>
      <c r="M66" s="9" t="n">
        <f aca="false">IF($O66="","",INDEX(Scoring!$O$29:$O$361,MATCH($O66,Scoring!$AI$29:$AI$361,0)))</f>
        <v>3625.3</v>
      </c>
      <c r="N66" s="7" t="str">
        <f aca="false">IF($O66="","",INDEX(Scoring!$Y$29:$Y$361,MATCH($O66,Scoring!$AI$29:$AI$361,0)))</f>
        <v>US, Australia</v>
      </c>
      <c r="O66" s="10" t="n">
        <f aca="false">IFERROR(SMALL(Scoring!$AI$29:$AI$361,62),"")</f>
        <v>3006</v>
      </c>
    </row>
    <row r="67" customFormat="false" ht="28.35" hidden="false" customHeight="false" outlineLevel="0" collapsed="false">
      <c r="A67" s="5" t="n">
        <f aca="false">IF($O67="","",INT($O67/1000))</f>
        <v>3</v>
      </c>
      <c r="B67" s="6" t="str">
        <f aca="false">IF($O67="","",INDEX(Scoring!$A$29:$A$361,MATCH($O67,Scoring!$AI$29:$AI$361,0)))</f>
        <v>Dr. Reddy's</v>
      </c>
      <c r="C67" s="5" t="n">
        <f aca="false">IF($O67="","",IF(INDEX(Scoring!$F$29:$F$361,MATCH($O67,Scoring!$AI$29:$AI$361,0))="","–",INDEX(Scoring!$F$29:$F$361,MATCH($O67,Scoring!$AI$29:$AI$361,0))))</f>
        <v>7</v>
      </c>
      <c r="D67" s="6" t="str">
        <f aca="false">IF($O67="","",INDEX(Scoring!$E$29:$E$361,MATCH($O67,Scoring!$AI$29:$AI$361,0)))</f>
        <v>Priority 2</v>
      </c>
      <c r="E67" s="7" t="str">
        <f aca="false">IF($O67="","",INDEX(Scoring!$G$29:$G$361,MATCH($O67,Scoring!$AI$29:$AI$361,0)))</f>
        <v>Lower price, high volume</v>
      </c>
      <c r="F67" s="6" t="str">
        <f aca="false">IF($O67="","",INDEX(Scoring!$B$29:$B$361,MATCH($O67,Scoring!$AI$29:$AI$361,0)))</f>
        <v>Succinylcholine (Suxamethonium)</v>
      </c>
      <c r="G67" s="7" t="str">
        <f aca="false">IF($O67="","",INDEX(Scoring!$C$29:$C$361,MATCH($O67,Scoring!$AI$29:$AI$361,0)))</f>
        <v>Succinylcholine Chloride</v>
      </c>
      <c r="H67" s="7" t="str">
        <f aca="false">IF($O67="","",INDEX(Scoring!$D$29:$D$361,MATCH($O67,Scoring!$AI$29:$AI$361,0)))</f>
        <v>Anaesthesia: muscle relaxant for rapid intubation</v>
      </c>
      <c r="I67" s="6" t="str">
        <f aca="false">IF($O67="","",INDEX(Scoring!$R$29:$R$361,MATCH($O67,Scoring!$AI$29:$AI$361,0)))</f>
        <v>Vial</v>
      </c>
      <c r="J67" s="7" t="str">
        <f aca="false">IF($O67="","",INDEX(Scoring!$S$29:$S$361,MATCH($O67,Scoring!$AI$29:$AI$361,0)))</f>
        <v>200 mg/10 mL vial</v>
      </c>
      <c r="K67" s="8" t="n">
        <f aca="false">IF($O67="","",IF(INDEX(Scoring!$I$29:$I$361,MATCH($O67,Scoring!$AI$29:$AI$361,0))="",INDEX(Scoring!$AC$29:$AC$361,MATCH($O67,Scoring!$AI$29:$AI$361,0)),INDEX(Scoring!$I$29:$I$361,MATCH($O67,Scoring!$AI$29:$AI$361,0))))</f>
        <v>22.76</v>
      </c>
      <c r="L67" s="9" t="n">
        <f aca="false">IF($O67="","",INDEX(Scoring!$M$29:$M$361,MATCH($O67,Scoring!$AI$29:$AI$361,0)))</f>
        <v>286</v>
      </c>
      <c r="M67" s="9" t="n">
        <f aca="false">IF($O67="","",INDEX(Scoring!$O$29:$O$361,MATCH($O67,Scoring!$AI$29:$AI$361,0)))</f>
        <v>3067.4</v>
      </c>
      <c r="N67" s="7" t="str">
        <f aca="false">IF($O67="","",INDEX(Scoring!$Y$29:$Y$361,MATCH($O67,Scoring!$AI$29:$AI$361,0)))</f>
        <v>US, Canada</v>
      </c>
      <c r="O67" s="10" t="n">
        <f aca="false">IFERROR(SMALL(Scoring!$AI$29:$AI$361,63),"")</f>
        <v>3007</v>
      </c>
    </row>
    <row r="68" customFormat="false" ht="41.75" hidden="false" customHeight="false" outlineLevel="0" collapsed="false">
      <c r="A68" s="5" t="n">
        <f aca="false">IF($O68="","",INT($O68/1000))</f>
        <v>3</v>
      </c>
      <c r="B68" s="6" t="str">
        <f aca="false">IF($O68="","",INDEX(Scoring!$A$29:$A$361,MATCH($O68,Scoring!$AI$29:$AI$361,0)))</f>
        <v>Dr. Reddy's</v>
      </c>
      <c r="C68" s="5" t="n">
        <f aca="false">IF($O68="","",IF(INDEX(Scoring!$F$29:$F$361,MATCH($O68,Scoring!$AI$29:$AI$361,0))="","–",INDEX(Scoring!$F$29:$F$361,MATCH($O68,Scoring!$AI$29:$AI$361,0))))</f>
        <v>8</v>
      </c>
      <c r="D68" s="6" t="str">
        <f aca="false">IF($O68="","",INDEX(Scoring!$E$29:$E$361,MATCH($O68,Scoring!$AI$29:$AI$361,0)))</f>
        <v>Priority 2</v>
      </c>
      <c r="E68" s="7" t="str">
        <f aca="false">IF($O68="","",INDEX(Scoring!$G$29:$G$361,MATCH($O68,Scoring!$AI$29:$AI$361,0)))</f>
        <v>High price, lower volume</v>
      </c>
      <c r="F68" s="6" t="str">
        <f aca="false">IF($O68="","",INDEX(Scoring!$B$29:$B$361,MATCH($O68,Scoring!$AI$29:$AI$361,0)))</f>
        <v>Desmopressin</v>
      </c>
      <c r="G68" s="7" t="str">
        <f aca="false">IF($O68="","",INDEX(Scoring!$C$29:$C$361,MATCH($O68,Scoring!$AI$29:$AI$361,0)))</f>
        <v>Desmopressin Acetate</v>
      </c>
      <c r="H68" s="7" t="str">
        <f aca="false">IF($O68="","",INDEX(Scoring!$D$29:$D$361,MATCH($O68,Scoring!$AI$29:$AI$361,0)))</f>
        <v>Endocrinology and haematology: diabetes insipidus, haemophilia A, von Willebrand disease</v>
      </c>
      <c r="I68" s="6" t="str">
        <f aca="false">IF($O68="","",INDEX(Scoring!$R$29:$R$361,MATCH($O68,Scoring!$AI$29:$AI$361,0)))</f>
        <v>Vial</v>
      </c>
      <c r="J68" s="7" t="str">
        <f aca="false">IF($O68="","",INDEX(Scoring!$S$29:$S$361,MATCH($O68,Scoring!$AI$29:$AI$361,0)))</f>
        <v>0.04 mg/10 mL vial</v>
      </c>
      <c r="K68" s="8" t="n">
        <f aca="false">IF($O68="","",IF(INDEX(Scoring!$I$29:$I$361,MATCH($O68,Scoring!$AI$29:$AI$361,0))="",INDEX(Scoring!$AC$29:$AC$361,MATCH($O68,Scoring!$AI$29:$AI$361,0)),INDEX(Scoring!$I$29:$I$361,MATCH($O68,Scoring!$AI$29:$AI$361,0))))</f>
        <v>133.8</v>
      </c>
      <c r="L68" s="9" t="n">
        <f aca="false">IF($O68="","",INDEX(Scoring!$M$29:$M$361,MATCH($O68,Scoring!$AI$29:$AI$361,0)))</f>
        <v>40</v>
      </c>
      <c r="M68" s="9" t="n">
        <f aca="false">IF($O68="","",INDEX(Scoring!$O$29:$O$361,MATCH($O68,Scoring!$AI$29:$AI$361,0)))</f>
        <v>543</v>
      </c>
      <c r="N68" s="7" t="str">
        <f aca="false">IF($O68="","",INDEX(Scoring!$Y$29:$Y$361,MATCH($O68,Scoring!$AI$29:$AI$361,0)))</f>
        <v>US</v>
      </c>
      <c r="O68" s="10" t="n">
        <f aca="false">IFERROR(SMALL(Scoring!$AI$29:$AI$361,64),"")</f>
        <v>3008</v>
      </c>
    </row>
    <row r="69" customFormat="false" ht="28.35" hidden="false" customHeight="false" outlineLevel="0" collapsed="false">
      <c r="A69" s="5" t="n">
        <f aca="false">IF($O69="","",INT($O69/1000))</f>
        <v>3</v>
      </c>
      <c r="B69" s="6" t="str">
        <f aca="false">IF($O69="","",INDEX(Scoring!$A$29:$A$361,MATCH($O69,Scoring!$AI$29:$AI$361,0)))</f>
        <v>Dr. Reddy's</v>
      </c>
      <c r="C69" s="5" t="n">
        <f aca="false">IF($O69="","",IF(INDEX(Scoring!$F$29:$F$361,MATCH($O69,Scoring!$AI$29:$AI$361,0))="","–",INDEX(Scoring!$F$29:$F$361,MATCH($O69,Scoring!$AI$29:$AI$361,0))))</f>
        <v>9</v>
      </c>
      <c r="D69" s="6" t="str">
        <f aca="false">IF($O69="","",INDEX(Scoring!$E$29:$E$361,MATCH($O69,Scoring!$AI$29:$AI$361,0)))</f>
        <v>Priority 3</v>
      </c>
      <c r="E69" s="7" t="str">
        <f aca="false">IF($O69="","",INDEX(Scoring!$G$29:$G$361,MATCH($O69,Scoring!$AI$29:$AI$361,0)))</f>
        <v>Lower price, lower volume</v>
      </c>
      <c r="F69" s="6" t="str">
        <f aca="false">IF($O69="","",INDEX(Scoring!$B$29:$B$361,MATCH($O69,Scoring!$AI$29:$AI$361,0)))</f>
        <v>Phytonadione</v>
      </c>
      <c r="G69" s="7" t="str">
        <f aca="false">IF($O69="","",INDEX(Scoring!$C$29:$C$361,MATCH($O69,Scoring!$AI$29:$AI$361,0)))</f>
        <v>Phytonadione</v>
      </c>
      <c r="H69" s="7" t="str">
        <f aca="false">IF($O69="","",INDEX(Scoring!$D$29:$D$361,MATCH($O69,Scoring!$AI$29:$AI$361,0)))</f>
        <v>Haematology: vitamin K for newborn bleeding prevention, warfarin reversal</v>
      </c>
      <c r="I69" s="6" t="str">
        <f aca="false">IF($O69="","",INDEX(Scoring!$R$29:$R$361,MATCH($O69,Scoring!$AI$29:$AI$361,0)))</f>
        <v>Ampoule</v>
      </c>
      <c r="J69" s="7" t="str">
        <f aca="false">IF($O69="","",INDEX(Scoring!$S$29:$S$361,MATCH($O69,Scoring!$AI$29:$AI$361,0)))</f>
        <v>1 mg/0.5 mL in 1 mL ampoule; 10 mg/1 mL ampoule</v>
      </c>
      <c r="K69" s="8" t="n">
        <f aca="false">IF($O69="","",IF(INDEX(Scoring!$I$29:$I$361,MATCH($O69,Scoring!$AI$29:$AI$361,0))="",INDEX(Scoring!$AC$29:$AC$361,MATCH($O69,Scoring!$AI$29:$AI$361,0)),INDEX(Scoring!$I$29:$I$361,MATCH($O69,Scoring!$AI$29:$AI$361,0))))</f>
        <v>16.96</v>
      </c>
      <c r="L69" s="9" t="n">
        <f aca="false">IF($O69="","",INDEX(Scoring!$M$29:$M$361,MATCH($O69,Scoring!$AI$29:$AI$361,0)))</f>
        <v>24</v>
      </c>
      <c r="M69" s="9" t="n">
        <f aca="false">IF($O69="","",INDEX(Scoring!$O$29:$O$361,MATCH($O69,Scoring!$AI$29:$AI$361,0)))</f>
        <v>2702.3</v>
      </c>
      <c r="N69" s="7" t="str">
        <f aca="false">IF($O69="","",INDEX(Scoring!$Y$29:$Y$361,MATCH($O69,Scoring!$AI$29:$AI$361,0)))</f>
        <v>US</v>
      </c>
      <c r="O69" s="10" t="n">
        <f aca="false">IFERROR(SMALL(Scoring!$AI$29:$AI$361,65),"")</f>
        <v>3009</v>
      </c>
    </row>
    <row r="70" customFormat="false" ht="28.35" hidden="false" customHeight="false" outlineLevel="0" collapsed="false">
      <c r="A70" s="5" t="n">
        <f aca="false">IF($O70="","",INT($O70/1000))</f>
        <v>3</v>
      </c>
      <c r="B70" s="6" t="str">
        <f aca="false">IF($O70="","",INDEX(Scoring!$A$29:$A$361,MATCH($O70,Scoring!$AI$29:$AI$361,0)))</f>
        <v>Dr. Reddy's</v>
      </c>
      <c r="C70" s="5" t="n">
        <f aca="false">IF($O70="","",IF(INDEX(Scoring!$F$29:$F$361,MATCH($O70,Scoring!$AI$29:$AI$361,0))="","–",INDEX(Scoring!$F$29:$F$361,MATCH($O70,Scoring!$AI$29:$AI$361,0))))</f>
        <v>10</v>
      </c>
      <c r="D70" s="6" t="str">
        <f aca="false">IF($O70="","",INDEX(Scoring!$E$29:$E$361,MATCH($O70,Scoring!$AI$29:$AI$361,0)))</f>
        <v>Priority 3</v>
      </c>
      <c r="E70" s="7" t="str">
        <f aca="false">IF($O70="","",INDEX(Scoring!$G$29:$G$361,MATCH($O70,Scoring!$AI$29:$AI$361,0)))</f>
        <v>Lower price, lower volume</v>
      </c>
      <c r="F70" s="6" t="str">
        <f aca="false">IF($O70="","",INDEX(Scoring!$B$29:$B$361,MATCH($O70,Scoring!$AI$29:$AI$361,0)))</f>
        <v>Naloxone</v>
      </c>
      <c r="G70" s="7" t="str">
        <f aca="false">IF($O70="","",INDEX(Scoring!$C$29:$C$361,MATCH($O70,Scoring!$AI$29:$AI$361,0)))</f>
        <v>Naloxone Hydrochloride</v>
      </c>
      <c r="H70" s="7" t="str">
        <f aca="false">IF($O70="","",INDEX(Scoring!$D$29:$D$361,MATCH($O70,Scoring!$AI$29:$AI$361,0)))</f>
        <v>Critical care: reversal of opioid overdose</v>
      </c>
      <c r="I70" s="6" t="str">
        <f aca="false">IF($O70="","",INDEX(Scoring!$R$29:$R$361,MATCH($O70,Scoring!$AI$29:$AI$361,0)))</f>
        <v>Prefilled syringe</v>
      </c>
      <c r="J70" s="7" t="str">
        <f aca="false">IF($O70="","",INDEX(Scoring!$S$29:$S$361,MATCH($O70,Scoring!$AI$29:$AI$361,0)))</f>
        <v>2 mg/2 mL pre-filled syringe</v>
      </c>
      <c r="K70" s="8" t="n">
        <f aca="false">IF($O70="","",IF(INDEX(Scoring!$I$29:$I$361,MATCH($O70,Scoring!$AI$29:$AI$361,0))="",INDEX(Scoring!$AC$29:$AC$361,MATCH($O70,Scoring!$AI$29:$AI$361,0)),INDEX(Scoring!$I$29:$I$361,MATCH($O70,Scoring!$AI$29:$AI$361,0))))</f>
        <v>13.87</v>
      </c>
      <c r="L70" s="9" t="n">
        <f aca="false">IF($O70="","",INDEX(Scoring!$M$29:$M$361,MATCH($O70,Scoring!$AI$29:$AI$361,0)))</f>
        <v>88</v>
      </c>
      <c r="M70" s="9" t="n">
        <f aca="false">IF($O70="","",INDEX(Scoring!$O$29:$O$361,MATCH($O70,Scoring!$AI$29:$AI$361,0)))</f>
        <v>1437.9</v>
      </c>
      <c r="N70" s="7" t="str">
        <f aca="false">IF($O70="","",INDEX(Scoring!$Y$29:$Y$361,MATCH($O70,Scoring!$AI$29:$AI$361,0)))</f>
        <v>US</v>
      </c>
      <c r="O70" s="10" t="n">
        <f aca="false">IFERROR(SMALL(Scoring!$AI$29:$AI$361,66),"")</f>
        <v>3010</v>
      </c>
    </row>
    <row r="71" customFormat="false" ht="28.35" hidden="false" customHeight="false" outlineLevel="0" collapsed="false">
      <c r="A71" s="5" t="n">
        <f aca="false">IF($O71="","",INT($O71/1000))</f>
        <v>3</v>
      </c>
      <c r="B71" s="6" t="str">
        <f aca="false">IF($O71="","",INDEX(Scoring!$A$29:$A$361,MATCH($O71,Scoring!$AI$29:$AI$361,0)))</f>
        <v>Dr. Reddy's</v>
      </c>
      <c r="C71" s="5" t="n">
        <f aca="false">IF($O71="","",IF(INDEX(Scoring!$F$29:$F$361,MATCH($O71,Scoring!$AI$29:$AI$361,0))="","–",INDEX(Scoring!$F$29:$F$361,MATCH($O71,Scoring!$AI$29:$AI$361,0))))</f>
        <v>11</v>
      </c>
      <c r="D71" s="6" t="str">
        <f aca="false">IF($O71="","",INDEX(Scoring!$E$29:$E$361,MATCH($O71,Scoring!$AI$29:$AI$361,0)))</f>
        <v>Priority 3</v>
      </c>
      <c r="E71" s="7" t="str">
        <f aca="false">IF($O71="","",INDEX(Scoring!$G$29:$G$361,MATCH($O71,Scoring!$AI$29:$AI$361,0)))</f>
        <v>Lower price, lower volume</v>
      </c>
      <c r="F71" s="6" t="str">
        <f aca="false">IF($O71="","",INDEX(Scoring!$B$29:$B$361,MATCH($O71,Scoring!$AI$29:$AI$361,0)))</f>
        <v>Diazepam</v>
      </c>
      <c r="G71" s="7" t="str">
        <f aca="false">IF($O71="","",INDEX(Scoring!$C$29:$C$361,MATCH($O71,Scoring!$AI$29:$AI$361,0)))</f>
        <v>Diazepam</v>
      </c>
      <c r="H71" s="7" t="str">
        <f aca="false">IF($O71="","",INDEX(Scoring!$D$29:$D$361,MATCH($O71,Scoring!$AI$29:$AI$361,0)))</f>
        <v>Neurology: status epilepticus, seizures, acute anxiety and sedation</v>
      </c>
      <c r="I71" s="6" t="str">
        <f aca="false">IF($O71="","",INDEX(Scoring!$R$29:$R$361,MATCH($O71,Scoring!$AI$29:$AI$361,0)))</f>
        <v>Prefilled syringe</v>
      </c>
      <c r="J71" s="7" t="str">
        <f aca="false">IF($O71="","",INDEX(Scoring!$S$29:$S$361,MATCH($O71,Scoring!$AI$29:$AI$361,0)))</f>
        <v>10 mg/2 mL pre-filled syringe</v>
      </c>
      <c r="K71" s="8" t="n">
        <f aca="false">IF($O71="","",IF(INDEX(Scoring!$I$29:$I$361,MATCH($O71,Scoring!$AI$29:$AI$361,0))="",INDEX(Scoring!$AC$29:$AC$361,MATCH($O71,Scoring!$AI$29:$AI$361,0)),INDEX(Scoring!$I$29:$I$361,MATCH($O71,Scoring!$AI$29:$AI$361,0))))</f>
        <v>10.14</v>
      </c>
      <c r="L71" s="9" t="n">
        <f aca="false">IF($O71="","",INDEX(Scoring!$M$29:$M$361,MATCH($O71,Scoring!$AI$29:$AI$361,0)))</f>
        <v>35</v>
      </c>
      <c r="M71" s="9" t="n">
        <f aca="false">IF($O71="","",INDEX(Scoring!$O$29:$O$361,MATCH($O71,Scoring!$AI$29:$AI$361,0)))</f>
        <v>1053.6</v>
      </c>
      <c r="N71" s="7" t="str">
        <f aca="false">IF($O71="","",INDEX(Scoring!$Y$29:$Y$361,MATCH($O71,Scoring!$AI$29:$AI$361,0)))</f>
        <v>US</v>
      </c>
      <c r="O71" s="10" t="n">
        <f aca="false">IFERROR(SMALL(Scoring!$AI$29:$AI$361,67),"")</f>
        <v>3011</v>
      </c>
    </row>
    <row r="72" customFormat="false" ht="41.75" hidden="false" customHeight="false" outlineLevel="0" collapsed="false">
      <c r="A72" s="5" t="n">
        <f aca="false">IF($O72="","",INT($O72/1000))</f>
        <v>3</v>
      </c>
      <c r="B72" s="6" t="str">
        <f aca="false">IF($O72="","",INDEX(Scoring!$A$29:$A$361,MATCH($O72,Scoring!$AI$29:$AI$361,0)))</f>
        <v>Dr. Reddy's</v>
      </c>
      <c r="C72" s="5" t="str">
        <f aca="false">IF($O72="","",IF(INDEX(Scoring!$F$29:$F$361,MATCH($O72,Scoring!$AI$29:$AI$361,0))="","–",INDEX(Scoring!$F$29:$F$361,MATCH($O72,Scoring!$AI$29:$AI$361,0))))</f>
        <v>–</v>
      </c>
      <c r="D72" s="6" t="str">
        <f aca="false">IF($O72="","",INDEX(Scoring!$E$29:$E$361,MATCH($O72,Scoring!$AI$29:$AI$361,0)))</f>
        <v>Excluded – price ≤ USD 5</v>
      </c>
      <c r="E72" s="7" t="str">
        <f aca="false">IF($O72="","",INDEX(Scoring!$G$29:$G$361,MATCH($O72,Scoring!$AI$29:$AI$361,0)))</f>
        <v/>
      </c>
      <c r="F72" s="6" t="str">
        <f aca="false">IF($O72="","",INDEX(Scoring!$B$29:$B$361,MATCH($O72,Scoring!$AI$29:$AI$361,0)))</f>
        <v>Triamcinolone Acetonide</v>
      </c>
      <c r="G72" s="7" t="str">
        <f aca="false">IF($O72="","",INDEX(Scoring!$C$29:$C$361,MATCH($O72,Scoring!$AI$29:$AI$361,0)))</f>
        <v>Triamcinolone Acetonide</v>
      </c>
      <c r="H72" s="7" t="str">
        <f aca="false">IF($O72="","",INDEX(Scoring!$D$29:$D$361,MATCH($O72,Scoring!$AI$29:$AI$361,0)))</f>
        <v>Musculoskeletal and immunology: joint and soft-tissue injections, allergic and skin conditions</v>
      </c>
      <c r="I72" s="6" t="str">
        <f aca="false">IF($O72="","",INDEX(Scoring!$R$29:$R$361,MATCH($O72,Scoring!$AI$29:$AI$361,0)))</f>
        <v>Not stated</v>
      </c>
      <c r="J72" s="7" t="str">
        <f aca="false">IF($O72="","",INDEX(Scoring!$S$29:$S$361,MATCH($O72,Scoring!$AI$29:$AI$361,0)))</f>
        <v>10 mg/mL (container not stated); 40 mg/mL (container not stated)</v>
      </c>
      <c r="K72" s="8" t="n">
        <f aca="false">IF($O72="","",IF(INDEX(Scoring!$I$29:$I$361,MATCH($O72,Scoring!$AI$29:$AI$361,0))="",INDEX(Scoring!$AC$29:$AC$361,MATCH($O72,Scoring!$AI$29:$AI$361,0)),INDEX(Scoring!$I$29:$I$361,MATCH($O72,Scoring!$AI$29:$AI$361,0))))</f>
        <v>3.55</v>
      </c>
      <c r="L72" s="9" t="n">
        <f aca="false">IF($O72="","",INDEX(Scoring!$M$29:$M$361,MATCH($O72,Scoring!$AI$29:$AI$361,0)))</f>
        <v>193</v>
      </c>
      <c r="M72" s="9" t="n">
        <f aca="false">IF($O72="","",INDEX(Scoring!$O$29:$O$361,MATCH($O72,Scoring!$AI$29:$AI$361,0)))</f>
        <v>4256.8</v>
      </c>
      <c r="N72" s="7" t="str">
        <f aca="false">IF($O72="","",INDEX(Scoring!$Y$29:$Y$361,MATCH($O72,Scoring!$AI$29:$AI$361,0)))</f>
        <v>US</v>
      </c>
      <c r="O72" s="10" t="n">
        <f aca="false">IFERROR(SMALL(Scoring!$AI$29:$AI$361,68),"")</f>
        <v>3901</v>
      </c>
    </row>
    <row r="73" customFormat="false" ht="28.35" hidden="false" customHeight="false" outlineLevel="0" collapsed="false">
      <c r="A73" s="5" t="n">
        <f aca="false">IF($O73="","",INT($O73/1000))</f>
        <v>4</v>
      </c>
      <c r="B73" s="6" t="str">
        <f aca="false">IF($O73="","",INDEX(Scoring!$A$29:$A$361,MATCH($O73,Scoring!$AI$29:$AI$361,0)))</f>
        <v>Cipla</v>
      </c>
      <c r="C73" s="5" t="n">
        <f aca="false">IF($O73="","",IF(INDEX(Scoring!$F$29:$F$361,MATCH($O73,Scoring!$AI$29:$AI$361,0))="","–",INDEX(Scoring!$F$29:$F$361,MATCH($O73,Scoring!$AI$29:$AI$361,0))))</f>
        <v>1</v>
      </c>
      <c r="D73" s="6" t="str">
        <f aca="false">IF($O73="","",INDEX(Scoring!$E$29:$E$361,MATCH($O73,Scoring!$AI$29:$AI$361,0)))</f>
        <v>Priority 1</v>
      </c>
      <c r="E73" s="7" t="str">
        <f aca="false">IF($O73="","",INDEX(Scoring!$G$29:$G$361,MATCH($O73,Scoring!$AI$29:$AI$361,0)))</f>
        <v>High price, high volume</v>
      </c>
      <c r="F73" s="6" t="str">
        <f aca="false">IF($O73="","",INDEX(Scoring!$B$29:$B$361,MATCH($O73,Scoring!$AI$29:$AI$361,0)))</f>
        <v>Bortezomib</v>
      </c>
      <c r="G73" s="7" t="str">
        <f aca="false">IF($O73="","",INDEX(Scoring!$C$29:$C$361,MATCH($O73,Scoring!$AI$29:$AI$361,0)))</f>
        <v>Onbort</v>
      </c>
      <c r="H73" s="7" t="str">
        <f aca="false">IF($O73="","",INDEX(Scoring!$D$29:$D$361,MATCH($O73,Scoring!$AI$29:$AI$361,0)))</f>
        <v>Oncology: multiple myeloma, mantle cell lymphoma</v>
      </c>
      <c r="I73" s="6" t="str">
        <f aca="false">IF($O73="","",INDEX(Scoring!$R$29:$R$361,MATCH($O73,Scoring!$AI$29:$AI$361,0)))</f>
        <v>Vial</v>
      </c>
      <c r="J73" s="7" t="str">
        <f aca="false">IF($O73="","",INDEX(Scoring!$S$29:$S$361,MATCH($O73,Scoring!$AI$29:$AI$361,0)))</f>
        <v>3.5 mg/1.4 mL vial</v>
      </c>
      <c r="K73" s="8" t="n">
        <f aca="false">IF($O73="","",IF(INDEX(Scoring!$I$29:$I$361,MATCH($O73,Scoring!$AI$29:$AI$361,0))="",INDEX(Scoring!$AC$29:$AC$361,MATCH($O73,Scoring!$AI$29:$AI$361,0)),INDEX(Scoring!$I$29:$I$361,MATCH($O73,Scoring!$AI$29:$AI$361,0))))</f>
        <v>163.29</v>
      </c>
      <c r="L73" s="9" t="n">
        <f aca="false">IF($O73="","",INDEX(Scoring!$M$29:$M$361,MATCH($O73,Scoring!$AI$29:$AI$361,0)))</f>
        <v>905</v>
      </c>
      <c r="M73" s="9" t="n">
        <f aca="false">IF($O73="","",INDEX(Scoring!$O$29:$O$361,MATCH($O73,Scoring!$AI$29:$AI$361,0)))</f>
        <v>28093.4</v>
      </c>
      <c r="N73" s="7" t="str">
        <f aca="false">IF($O73="","",INDEX(Scoring!$Y$29:$Y$361,MATCH($O73,Scoring!$AI$29:$AI$361,0)))</f>
        <v>South Africa</v>
      </c>
      <c r="O73" s="10" t="n">
        <f aca="false">IFERROR(SMALL(Scoring!$AI$29:$AI$361,69),"")</f>
        <v>4001</v>
      </c>
    </row>
    <row r="74" customFormat="false" ht="28.35" hidden="false" customHeight="false" outlineLevel="0" collapsed="false">
      <c r="A74" s="5" t="n">
        <f aca="false">IF($O74="","",INT($O74/1000))</f>
        <v>4</v>
      </c>
      <c r="B74" s="6" t="str">
        <f aca="false">IF($O74="","",INDEX(Scoring!$A$29:$A$361,MATCH($O74,Scoring!$AI$29:$AI$361,0)))</f>
        <v>Cipla</v>
      </c>
      <c r="C74" s="5" t="n">
        <f aca="false">IF($O74="","",IF(INDEX(Scoring!$F$29:$F$361,MATCH($O74,Scoring!$AI$29:$AI$361,0))="","–",INDEX(Scoring!$F$29:$F$361,MATCH($O74,Scoring!$AI$29:$AI$361,0))))</f>
        <v>2</v>
      </c>
      <c r="D74" s="6" t="str">
        <f aca="false">IF($O74="","",INDEX(Scoring!$E$29:$E$361,MATCH($O74,Scoring!$AI$29:$AI$361,0)))</f>
        <v>Priority 1</v>
      </c>
      <c r="E74" s="7" t="str">
        <f aca="false">IF($O74="","",INDEX(Scoring!$G$29:$G$361,MATCH($O74,Scoring!$AI$29:$AI$361,0)))</f>
        <v>High price, high volume</v>
      </c>
      <c r="F74" s="6" t="str">
        <f aca="false">IF($O74="","",INDEX(Scoring!$B$29:$B$361,MATCH($O74,Scoring!$AI$29:$AI$361,0)))</f>
        <v>Fulvestrant</v>
      </c>
      <c r="G74" s="7" t="str">
        <f aca="false">IF($O74="","",INDEX(Scoring!$C$29:$C$361,MATCH($O74,Scoring!$AI$29:$AI$361,0)))</f>
        <v>Fulvestrant Cipla</v>
      </c>
      <c r="H74" s="7" t="str">
        <f aca="false">IF($O74="","",INDEX(Scoring!$D$29:$D$361,MATCH($O74,Scoring!$AI$29:$AI$361,0)))</f>
        <v>Oncology: hormone receptor-positive advanced breast cancer</v>
      </c>
      <c r="I74" s="6" t="str">
        <f aca="false">IF($O74="","",INDEX(Scoring!$R$29:$R$361,MATCH($O74,Scoring!$AI$29:$AI$361,0)))</f>
        <v>Prefilled syringe</v>
      </c>
      <c r="J74" s="7" t="str">
        <f aca="false">IF($O74="","",INDEX(Scoring!$S$29:$S$361,MATCH($O74,Scoring!$AI$29:$AI$361,0)))</f>
        <v>250 mg/5 mL pre-filled syringe</v>
      </c>
      <c r="K74" s="8" t="n">
        <f aca="false">IF($O74="","",IF(INDEX(Scoring!$I$29:$I$361,MATCH($O74,Scoring!$AI$29:$AI$361,0))="",INDEX(Scoring!$AC$29:$AC$361,MATCH($O74,Scoring!$AI$29:$AI$361,0)),INDEX(Scoring!$I$29:$I$361,MATCH($O74,Scoring!$AI$29:$AI$361,0))))</f>
        <v>100.05</v>
      </c>
      <c r="L74" s="9" t="n">
        <f aca="false">IF($O74="","",INDEX(Scoring!$M$29:$M$361,MATCH($O74,Scoring!$AI$29:$AI$361,0)))</f>
        <v>146</v>
      </c>
      <c r="M74" s="9" t="n">
        <f aca="false">IF($O74="","",INDEX(Scoring!$O$29:$O$361,MATCH($O74,Scoring!$AI$29:$AI$361,0)))</f>
        <v>11366.1</v>
      </c>
      <c r="N74" s="7" t="str">
        <f aca="false">IF($O74="","",INDEX(Scoring!$Y$29:$Y$361,MATCH($O74,Scoring!$AI$29:$AI$361,0)))</f>
        <v>EU/EEA (1): Germany</v>
      </c>
      <c r="O74" s="10" t="n">
        <f aca="false">IFERROR(SMALL(Scoring!$AI$29:$AI$361,70),"")</f>
        <v>4002</v>
      </c>
    </row>
    <row r="75" customFormat="false" ht="28.35" hidden="false" customHeight="false" outlineLevel="0" collapsed="false">
      <c r="A75" s="5" t="n">
        <f aca="false">IF($O75="","",INT($O75/1000))</f>
        <v>4</v>
      </c>
      <c r="B75" s="6" t="str">
        <f aca="false">IF($O75="","",INDEX(Scoring!$A$29:$A$361,MATCH($O75,Scoring!$AI$29:$AI$361,0)))</f>
        <v>Cipla</v>
      </c>
      <c r="C75" s="5" t="n">
        <f aca="false">IF($O75="","",IF(INDEX(Scoring!$F$29:$F$361,MATCH($O75,Scoring!$AI$29:$AI$361,0))="","–",INDEX(Scoring!$F$29:$F$361,MATCH($O75,Scoring!$AI$29:$AI$361,0))))</f>
        <v>3</v>
      </c>
      <c r="D75" s="6" t="str">
        <f aca="false">IF($O75="","",INDEX(Scoring!$E$29:$E$361,MATCH($O75,Scoring!$AI$29:$AI$361,0)))</f>
        <v>Priority 1</v>
      </c>
      <c r="E75" s="7" t="str">
        <f aca="false">IF($O75="","",INDEX(Scoring!$G$29:$G$361,MATCH($O75,Scoring!$AI$29:$AI$361,0)))</f>
        <v>High price, high volume</v>
      </c>
      <c r="F75" s="6" t="str">
        <f aca="false">IF($O75="","",INDEX(Scoring!$B$29:$B$361,MATCH($O75,Scoring!$AI$29:$AI$361,0)))</f>
        <v>Bleomycin</v>
      </c>
      <c r="G75" s="7" t="str">
        <f aca="false">IF($O75="","",INDEX(Scoring!$C$29:$C$361,MATCH($O75,Scoring!$AI$29:$AI$361,0)))</f>
        <v>Cipla Bleomycin 15K; Cipla Bleomycin</v>
      </c>
      <c r="H75" s="7" t="str">
        <f aca="false">IF($O75="","",INDEX(Scoring!$D$29:$D$361,MATCH($O75,Scoring!$AI$29:$AI$361,0)))</f>
        <v>Oncology: Hodgkin lymphoma, testicular and squamous cell cancers</v>
      </c>
      <c r="I75" s="6" t="str">
        <f aca="false">IF($O75="","",INDEX(Scoring!$R$29:$R$361,MATCH($O75,Scoring!$AI$29:$AI$361,0)))</f>
        <v>Vial</v>
      </c>
      <c r="J75" s="7" t="str">
        <f aca="false">IF($O75="","",INDEX(Scoring!$S$29:$S$361,MATCH($O75,Scoring!$AI$29:$AI$361,0)))</f>
        <v>15000 IU powder vial; 15 units (15000 IU) in 5 mL powder vial</v>
      </c>
      <c r="K75" s="8" t="n">
        <f aca="false">IF($O75="","",IF(INDEX(Scoring!$I$29:$I$361,MATCH($O75,Scoring!$AI$29:$AI$361,0))="",INDEX(Scoring!$AC$29:$AC$361,MATCH($O75,Scoring!$AI$29:$AI$361,0)),INDEX(Scoring!$I$29:$I$361,MATCH($O75,Scoring!$AI$29:$AI$361,0))))</f>
        <v>41.27</v>
      </c>
      <c r="L75" s="9" t="n">
        <f aca="false">IF($O75="","",INDEX(Scoring!$M$29:$M$361,MATCH($O75,Scoring!$AI$29:$AI$361,0)))</f>
        <v>441</v>
      </c>
      <c r="M75" s="9" t="n">
        <f aca="false">IF($O75="","",INDEX(Scoring!$O$29:$O$361,MATCH($O75,Scoring!$AI$29:$AI$361,0)))</f>
        <v>3973.7</v>
      </c>
      <c r="N75" s="7" t="str">
        <f aca="false">IF($O75="","",INDEX(Scoring!$Y$29:$Y$361,MATCH($O75,Scoring!$AI$29:$AI$361,0)))</f>
        <v>Australia, South Africa</v>
      </c>
      <c r="O75" s="10" t="n">
        <f aca="false">IFERROR(SMALL(Scoring!$AI$29:$AI$361,71),"")</f>
        <v>4003</v>
      </c>
    </row>
    <row r="76" customFormat="false" ht="15" hidden="false" customHeight="false" outlineLevel="0" collapsed="false">
      <c r="A76" s="5" t="n">
        <f aca="false">IF($O76="","",INT($O76/1000))</f>
        <v>4</v>
      </c>
      <c r="B76" s="6" t="str">
        <f aca="false">IF($O76="","",INDEX(Scoring!$A$29:$A$361,MATCH($O76,Scoring!$AI$29:$AI$361,0)))</f>
        <v>Cipla</v>
      </c>
      <c r="C76" s="5" t="n">
        <f aca="false">IF($O76="","",IF(INDEX(Scoring!$F$29:$F$361,MATCH($O76,Scoring!$AI$29:$AI$361,0))="","–",INDEX(Scoring!$F$29:$F$361,MATCH($O76,Scoring!$AI$29:$AI$361,0))))</f>
        <v>4</v>
      </c>
      <c r="D76" s="6" t="str">
        <f aca="false">IF($O76="","",INDEX(Scoring!$E$29:$E$361,MATCH($O76,Scoring!$AI$29:$AI$361,0)))</f>
        <v>Priority 2</v>
      </c>
      <c r="E76" s="7" t="str">
        <f aca="false">IF($O76="","",INDEX(Scoring!$G$29:$G$361,MATCH($O76,Scoring!$AI$29:$AI$361,0)))</f>
        <v>Lower price, high volume</v>
      </c>
      <c r="F76" s="6" t="str">
        <f aca="false">IF($O76="","",INDEX(Scoring!$B$29:$B$361,MATCH($O76,Scoring!$AI$29:$AI$361,0)))</f>
        <v>Measles Vaccine</v>
      </c>
      <c r="G76" s="7" t="str">
        <f aca="false">IF($O76="","",INDEX(Scoring!$C$29:$C$361,MATCH($O76,Scoring!$AI$29:$AI$361,0)))</f>
        <v>Measles Vaccine Cipla</v>
      </c>
      <c r="H76" s="7" t="str">
        <f aca="false">IF($O76="","",INDEX(Scoring!$D$29:$D$361,MATCH($O76,Scoring!$AI$29:$AI$361,0)))</f>
        <v>Vaccines: childhood measles immunisation</v>
      </c>
      <c r="I76" s="6" t="str">
        <f aca="false">IF($O76="","",INDEX(Scoring!$R$29:$R$361,MATCH($O76,Scoring!$AI$29:$AI$361,0)))</f>
        <v>Vial</v>
      </c>
      <c r="J76" s="7" t="str">
        <f aca="false">IF($O76="","",INDEX(Scoring!$S$29:$S$361,MATCH($O76,Scoring!$AI$29:$AI$361,0)))</f>
        <v>1000 CCID50/0.5 mL vial</v>
      </c>
      <c r="K76" s="8" t="n">
        <f aca="false">IF($O76="","",IF(INDEX(Scoring!$I$29:$I$361,MATCH($O76,Scoring!$AI$29:$AI$361,0))="",INDEX(Scoring!$AC$29:$AC$361,MATCH($O76,Scoring!$AI$29:$AI$361,0)),INDEX(Scoring!$I$29:$I$361,MATCH($O76,Scoring!$AI$29:$AI$361,0))))</f>
        <v>9.55</v>
      </c>
      <c r="L76" s="9" t="n">
        <f aca="false">IF($O76="","",INDEX(Scoring!$M$29:$M$361,MATCH($O76,Scoring!$AI$29:$AI$361,0)))</f>
        <v>590</v>
      </c>
      <c r="M76" s="9" t="n">
        <f aca="false">IF($O76="","",INDEX(Scoring!$O$29:$O$361,MATCH($O76,Scoring!$AI$29:$AI$361,0)))</f>
        <v>417765.2</v>
      </c>
      <c r="N76" s="7" t="str">
        <f aca="false">IF($O76="","",INDEX(Scoring!$Y$29:$Y$361,MATCH($O76,Scoring!$AI$29:$AI$361,0)))</f>
        <v>South Africa</v>
      </c>
      <c r="O76" s="10" t="n">
        <f aca="false">IFERROR(SMALL(Scoring!$AI$29:$AI$361,72),"")</f>
        <v>4004</v>
      </c>
    </row>
    <row r="77" customFormat="false" ht="28.35" hidden="false" customHeight="false" outlineLevel="0" collapsed="false">
      <c r="A77" s="5" t="n">
        <f aca="false">IF($O77="","",INT($O77/1000))</f>
        <v>4</v>
      </c>
      <c r="B77" s="6" t="str">
        <f aca="false">IF($O77="","",INDEX(Scoring!$A$29:$A$361,MATCH($O77,Scoring!$AI$29:$AI$361,0)))</f>
        <v>Cipla</v>
      </c>
      <c r="C77" s="5" t="n">
        <f aca="false">IF($O77="","",IF(INDEX(Scoring!$F$29:$F$361,MATCH($O77,Scoring!$AI$29:$AI$361,0))="","–",INDEX(Scoring!$F$29:$F$361,MATCH($O77,Scoring!$AI$29:$AI$361,0))))</f>
        <v>5</v>
      </c>
      <c r="D77" s="6" t="str">
        <f aca="false">IF($O77="","",INDEX(Scoring!$E$29:$E$361,MATCH($O77,Scoring!$AI$29:$AI$361,0)))</f>
        <v>Priority 2</v>
      </c>
      <c r="E77" s="7" t="str">
        <f aca="false">IF($O77="","",INDEX(Scoring!$G$29:$G$361,MATCH($O77,Scoring!$AI$29:$AI$361,0)))</f>
        <v>Lower price, high volume</v>
      </c>
      <c r="F77" s="6" t="str">
        <f aca="false">IF($O77="","",INDEX(Scoring!$B$29:$B$361,MATCH($O77,Scoring!$AI$29:$AI$361,0)))</f>
        <v>Azacitidine</v>
      </c>
      <c r="G77" s="7" t="str">
        <f aca="false">IF($O77="","",INDEX(Scoring!$C$29:$C$361,MATCH($O77,Scoring!$AI$29:$AI$361,0)))</f>
        <v>Azacitidine Cipla</v>
      </c>
      <c r="H77" s="7" t="str">
        <f aca="false">IF($O77="","",INDEX(Scoring!$D$29:$D$361,MATCH($O77,Scoring!$AI$29:$AI$361,0)))</f>
        <v>Oncology: myelodysplastic syndromes, acute myeloid leukaemia</v>
      </c>
      <c r="I77" s="6" t="str">
        <f aca="false">IF($O77="","",INDEX(Scoring!$R$29:$R$361,MATCH($O77,Scoring!$AI$29:$AI$361,0)))</f>
        <v>Vial</v>
      </c>
      <c r="J77" s="7" t="str">
        <f aca="false">IF($O77="","",INDEX(Scoring!$S$29:$S$361,MATCH($O77,Scoring!$AI$29:$AI$361,0)))</f>
        <v>100 mg powder vial</v>
      </c>
      <c r="K77" s="8" t="n">
        <f aca="false">IF($O77="","",IF(INDEX(Scoring!$I$29:$I$361,MATCH($O77,Scoring!$AI$29:$AI$361,0))="",INDEX(Scoring!$AC$29:$AC$361,MATCH($O77,Scoring!$AI$29:$AI$361,0)),INDEX(Scoring!$I$29:$I$361,MATCH($O77,Scoring!$AI$29:$AI$361,0))))</f>
        <v>10.24</v>
      </c>
      <c r="L77" s="9" t="n">
        <f aca="false">IF($O77="","",INDEX(Scoring!$M$29:$M$361,MATCH($O77,Scoring!$AI$29:$AI$361,0)))</f>
        <v>632</v>
      </c>
      <c r="M77" s="9" t="n">
        <f aca="false">IF($O77="","",INDEX(Scoring!$O$29:$O$361,MATCH($O77,Scoring!$AI$29:$AI$361,0)))</f>
        <v>42181.7</v>
      </c>
      <c r="N77" s="7" t="str">
        <f aca="false">IF($O77="","",INDEX(Scoring!$Y$29:$Y$361,MATCH($O77,Scoring!$AI$29:$AI$361,0)))</f>
        <v>Australia</v>
      </c>
      <c r="O77" s="10" t="n">
        <f aca="false">IFERROR(SMALL(Scoring!$AI$29:$AI$361,73),"")</f>
        <v>4005</v>
      </c>
    </row>
    <row r="78" customFormat="false" ht="28.35" hidden="false" customHeight="false" outlineLevel="0" collapsed="false">
      <c r="A78" s="5" t="n">
        <f aca="false">IF($O78="","",INT($O78/1000))</f>
        <v>4</v>
      </c>
      <c r="B78" s="6" t="str">
        <f aca="false">IF($O78="","",INDEX(Scoring!$A$29:$A$361,MATCH($O78,Scoring!$AI$29:$AI$361,0)))</f>
        <v>Cipla</v>
      </c>
      <c r="C78" s="5" t="n">
        <f aca="false">IF($O78="","",IF(INDEX(Scoring!$F$29:$F$361,MATCH($O78,Scoring!$AI$29:$AI$361,0))="","–",INDEX(Scoring!$F$29:$F$361,MATCH($O78,Scoring!$AI$29:$AI$361,0))))</f>
        <v>6</v>
      </c>
      <c r="D78" s="6" t="str">
        <f aca="false">IF($O78="","",INDEX(Scoring!$E$29:$E$361,MATCH($O78,Scoring!$AI$29:$AI$361,0)))</f>
        <v>Priority 2</v>
      </c>
      <c r="E78" s="7" t="str">
        <f aca="false">IF($O78="","",INDEX(Scoring!$G$29:$G$361,MATCH($O78,Scoring!$AI$29:$AI$361,0)))</f>
        <v>Lower price, high volume</v>
      </c>
      <c r="F78" s="6" t="str">
        <f aca="false">IF($O78="","",INDEX(Scoring!$B$29:$B$361,MATCH($O78,Scoring!$AI$29:$AI$361,0)))</f>
        <v>Testosterone Cypionate</v>
      </c>
      <c r="G78" s="7" t="str">
        <f aca="false">IF($O78="","",INDEX(Scoring!$C$29:$C$361,MATCH($O78,Scoring!$AI$29:$AI$361,0)))</f>
        <v>Testosterone Cypionate</v>
      </c>
      <c r="H78" s="7" t="str">
        <f aca="false">IF($O78="","",INDEX(Scoring!$D$29:$D$361,MATCH($O78,Scoring!$AI$29:$AI$361,0)))</f>
        <v>Endocrinology: testosterone replacement in male hypogonadism</v>
      </c>
      <c r="I78" s="6" t="str">
        <f aca="false">IF($O78="","",INDEX(Scoring!$R$29:$R$361,MATCH($O78,Scoring!$AI$29:$AI$361,0)))</f>
        <v>Vial</v>
      </c>
      <c r="J78" s="7" t="str">
        <f aca="false">IF($O78="","",INDEX(Scoring!$S$29:$S$361,MATCH($O78,Scoring!$AI$29:$AI$361,0)))</f>
        <v>1000 mg/10 mL vial; 200 mg/1 mL vial</v>
      </c>
      <c r="K78" s="8" t="n">
        <f aca="false">IF($O78="","",IF(INDEX(Scoring!$I$29:$I$361,MATCH($O78,Scoring!$AI$29:$AI$361,0))="",INDEX(Scoring!$AC$29:$AC$361,MATCH($O78,Scoring!$AI$29:$AI$361,0)),INDEX(Scoring!$I$29:$I$361,MATCH($O78,Scoring!$AI$29:$AI$361,0))))</f>
        <v>20.63</v>
      </c>
      <c r="L78" s="9" t="n">
        <f aca="false">IF($O78="","",INDEX(Scoring!$M$29:$M$361,MATCH($O78,Scoring!$AI$29:$AI$361,0)))</f>
        <v>291</v>
      </c>
      <c r="M78" s="9" t="n">
        <f aca="false">IF($O78="","",INDEX(Scoring!$O$29:$O$361,MATCH($O78,Scoring!$AI$29:$AI$361,0)))</f>
        <v>6893.7</v>
      </c>
      <c r="N78" s="7" t="str">
        <f aca="false">IF($O78="","",INDEX(Scoring!$Y$29:$Y$361,MATCH($O78,Scoring!$AI$29:$AI$361,0)))</f>
        <v>US</v>
      </c>
      <c r="O78" s="10" t="n">
        <f aca="false">IFERROR(SMALL(Scoring!$AI$29:$AI$361,74),"")</f>
        <v>4006</v>
      </c>
    </row>
    <row r="79" customFormat="false" ht="28.35" hidden="false" customHeight="false" outlineLevel="0" collapsed="false">
      <c r="A79" s="5" t="n">
        <f aca="false">IF($O79="","",INT($O79/1000))</f>
        <v>4</v>
      </c>
      <c r="B79" s="6" t="str">
        <f aca="false">IF($O79="","",INDEX(Scoring!$A$29:$A$361,MATCH($O79,Scoring!$AI$29:$AI$361,0)))</f>
        <v>Cipla</v>
      </c>
      <c r="C79" s="5" t="n">
        <f aca="false">IF($O79="","",IF(INDEX(Scoring!$F$29:$F$361,MATCH($O79,Scoring!$AI$29:$AI$361,0))="","–",INDEX(Scoring!$F$29:$F$361,MATCH($O79,Scoring!$AI$29:$AI$361,0))))</f>
        <v>7</v>
      </c>
      <c r="D79" s="6" t="str">
        <f aca="false">IF($O79="","",INDEX(Scoring!$E$29:$E$361,MATCH($O79,Scoring!$AI$29:$AI$361,0)))</f>
        <v>Priority 2</v>
      </c>
      <c r="E79" s="7" t="str">
        <f aca="false">IF($O79="","",INDEX(Scoring!$G$29:$G$361,MATCH($O79,Scoring!$AI$29:$AI$361,0)))</f>
        <v>Lower price, high volume</v>
      </c>
      <c r="F79" s="6" t="str">
        <f aca="false">IF($O79="","",INDEX(Scoring!$B$29:$B$361,MATCH($O79,Scoring!$AI$29:$AI$361,0)))</f>
        <v>Cefepime</v>
      </c>
      <c r="G79" s="7" t="str">
        <f aca="false">IF($O79="","",INDEX(Scoring!$C$29:$C$361,MATCH($O79,Scoring!$AI$29:$AI$361,0)))</f>
        <v>Cefect</v>
      </c>
      <c r="H79" s="7" t="str">
        <f aca="false">IF($O79="","",INDEX(Scoring!$D$29:$D$361,MATCH($O79,Scoring!$AI$29:$AI$361,0)))</f>
        <v>Anti-infective: hospital Gram-negative infections, febrile neutropenia</v>
      </c>
      <c r="I79" s="6" t="str">
        <f aca="false">IF($O79="","",INDEX(Scoring!$R$29:$R$361,MATCH($O79,Scoring!$AI$29:$AI$361,0)))</f>
        <v>Not stated</v>
      </c>
      <c r="J79" s="7" t="str">
        <f aca="false">IF($O79="","",INDEX(Scoring!$S$29:$S$361,MATCH($O79,Scoring!$AI$29:$AI$361,0)))</f>
        <v>1 g (container not stated); 2 g (container not stated)</v>
      </c>
      <c r="K79" s="8" t="n">
        <f aca="false">IF($O79="","",IF(INDEX(Scoring!$I$29:$I$361,MATCH($O79,Scoring!$AI$29:$AI$361,0))="",INDEX(Scoring!$AC$29:$AC$361,MATCH($O79,Scoring!$AI$29:$AI$361,0)),INDEX(Scoring!$I$29:$I$361,MATCH($O79,Scoring!$AI$29:$AI$361,0))))</f>
        <v>24.42</v>
      </c>
      <c r="L79" s="9" t="n">
        <f aca="false">IF($O79="","",INDEX(Scoring!$M$29:$M$361,MATCH($O79,Scoring!$AI$29:$AI$361,0)))</f>
        <v>288</v>
      </c>
      <c r="M79" s="9" t="n">
        <f aca="false">IF($O79="","",INDEX(Scoring!$O$29:$O$361,MATCH($O79,Scoring!$AI$29:$AI$361,0)))</f>
        <v>6294.9</v>
      </c>
      <c r="N79" s="7" t="str">
        <f aca="false">IF($O79="","",INDEX(Scoring!$Y$29:$Y$361,MATCH($O79,Scoring!$AI$29:$AI$361,0)))</f>
        <v>South Africa</v>
      </c>
      <c r="O79" s="10" t="n">
        <f aca="false">IFERROR(SMALL(Scoring!$AI$29:$AI$361,75),"")</f>
        <v>4007</v>
      </c>
    </row>
    <row r="80" customFormat="false" ht="28.35" hidden="false" customHeight="false" outlineLevel="0" collapsed="false">
      <c r="A80" s="5" t="n">
        <f aca="false">IF($O80="","",INT($O80/1000))</f>
        <v>4</v>
      </c>
      <c r="B80" s="6" t="str">
        <f aca="false">IF($O80="","",INDEX(Scoring!$A$29:$A$361,MATCH($O80,Scoring!$AI$29:$AI$361,0)))</f>
        <v>Cipla</v>
      </c>
      <c r="C80" s="5" t="n">
        <f aca="false">IF($O80="","",IF(INDEX(Scoring!$F$29:$F$361,MATCH($O80,Scoring!$AI$29:$AI$361,0))="","–",INDEX(Scoring!$F$29:$F$361,MATCH($O80,Scoring!$AI$29:$AI$361,0))))</f>
        <v>8</v>
      </c>
      <c r="D80" s="6" t="str">
        <f aca="false">IF($O80="","",INDEX(Scoring!$E$29:$E$361,MATCH($O80,Scoring!$AI$29:$AI$361,0)))</f>
        <v>Priority 2</v>
      </c>
      <c r="E80" s="7" t="str">
        <f aca="false">IF($O80="","",INDEX(Scoring!$G$29:$G$361,MATCH($O80,Scoring!$AI$29:$AI$361,0)))</f>
        <v>Lower price, high volume</v>
      </c>
      <c r="F80" s="6" t="str">
        <f aca="false">IF($O80="","",INDEX(Scoring!$B$29:$B$361,MATCH($O80,Scoring!$AI$29:$AI$361,0)))</f>
        <v>Hydrocortisone</v>
      </c>
      <c r="G80" s="7" t="str">
        <f aca="false">IF($O80="","",INDEX(Scoring!$C$29:$C$361,MATCH($O80,Scoring!$AI$29:$AI$361,0)))</f>
        <v>Hydrocortisone Sodium Succinate; Cipla Hydrocortisone</v>
      </c>
      <c r="H80" s="7" t="str">
        <f aca="false">IF($O80="","",INDEX(Scoring!$D$29:$D$361,MATCH($O80,Scoring!$AI$29:$AI$361,0)))</f>
        <v>Endocrinology and critical care: adrenal crisis, anaphylaxis, severe asthma, shock</v>
      </c>
      <c r="I80" s="6" t="str">
        <f aca="false">IF($O80="","",INDEX(Scoring!$R$29:$R$361,MATCH($O80,Scoring!$AI$29:$AI$361,0)))</f>
        <v>Vial</v>
      </c>
      <c r="J80" s="7" t="str">
        <f aca="false">IF($O80="","",INDEX(Scoring!$S$29:$S$361,MATCH($O80,Scoring!$AI$29:$AI$361,0)))</f>
        <v>100 mg powder vial</v>
      </c>
      <c r="K80" s="8" t="n">
        <f aca="false">IF($O80="","",IF(INDEX(Scoring!$I$29:$I$361,MATCH($O80,Scoring!$AI$29:$AI$361,0))="",INDEX(Scoring!$AC$29:$AC$361,MATCH($O80,Scoring!$AI$29:$AI$361,0)),INDEX(Scoring!$I$29:$I$361,MATCH($O80,Scoring!$AI$29:$AI$361,0))))</f>
        <v>23.15</v>
      </c>
      <c r="L80" s="9" t="n">
        <f aca="false">IF($O80="","",INDEX(Scoring!$M$29:$M$361,MATCH($O80,Scoring!$AI$29:$AI$361,0)))</f>
        <v>325</v>
      </c>
      <c r="M80" s="9" t="n">
        <f aca="false">IF($O80="","",INDEX(Scoring!$O$29:$O$361,MATCH($O80,Scoring!$AI$29:$AI$361,0)))</f>
        <v>4796.6</v>
      </c>
      <c r="N80" s="7" t="str">
        <f aca="false">IF($O80="","",INDEX(Scoring!$Y$29:$Y$361,MATCH($O80,Scoring!$AI$29:$AI$361,0)))</f>
        <v>US, Australia</v>
      </c>
      <c r="O80" s="10" t="n">
        <f aca="false">IFERROR(SMALL(Scoring!$AI$29:$AI$361,76),"")</f>
        <v>4008</v>
      </c>
    </row>
    <row r="81" customFormat="false" ht="28.35" hidden="false" customHeight="false" outlineLevel="0" collapsed="false">
      <c r="A81" s="5" t="n">
        <f aca="false">IF($O81="","",INT($O81/1000))</f>
        <v>4</v>
      </c>
      <c r="B81" s="6" t="str">
        <f aca="false">IF($O81="","",INDEX(Scoring!$A$29:$A$361,MATCH($O81,Scoring!$AI$29:$AI$361,0)))</f>
        <v>Cipla</v>
      </c>
      <c r="C81" s="5" t="n">
        <f aca="false">IF($O81="","",IF(INDEX(Scoring!$F$29:$F$361,MATCH($O81,Scoring!$AI$29:$AI$361,0))="","–",INDEX(Scoring!$F$29:$F$361,MATCH($O81,Scoring!$AI$29:$AI$361,0))))</f>
        <v>9</v>
      </c>
      <c r="D81" s="6" t="str">
        <f aca="false">IF($O81="","",INDEX(Scoring!$E$29:$E$361,MATCH($O81,Scoring!$AI$29:$AI$361,0)))</f>
        <v>Priority 2</v>
      </c>
      <c r="E81" s="7" t="str">
        <f aca="false">IF($O81="","",INDEX(Scoring!$G$29:$G$361,MATCH($O81,Scoring!$AI$29:$AI$361,0)))</f>
        <v>High price, lower volume</v>
      </c>
      <c r="F81" s="6" t="str">
        <f aca="false">IF($O81="","",INDEX(Scoring!$B$29:$B$361,MATCH($O81,Scoring!$AI$29:$AI$361,0)))</f>
        <v>Isoprenaline (Isoproterenol)</v>
      </c>
      <c r="G81" s="7" t="str">
        <f aca="false">IF($O81="","",INDEX(Scoring!$C$29:$C$361,MATCH($O81,Scoring!$AI$29:$AI$361,0)))</f>
        <v>Cipla Isoprenaline; Isocipraline</v>
      </c>
      <c r="H81" s="7" t="str">
        <f aca="false">IF($O81="","",INDEX(Scoring!$D$29:$D$361,MATCH($O81,Scoring!$AI$29:$AI$361,0)))</f>
        <v>Cardiovascular: heart block, severe slow heart rate</v>
      </c>
      <c r="I81" s="6" t="str">
        <f aca="false">IF($O81="","",INDEX(Scoring!$R$29:$R$361,MATCH($O81,Scoring!$AI$29:$AI$361,0)))</f>
        <v>Ampoule</v>
      </c>
      <c r="J81" s="7" t="str">
        <f aca="false">IF($O81="","",INDEX(Scoring!$S$29:$S$361,MATCH($O81,Scoring!$AI$29:$AI$361,0)))</f>
        <v>0.2 mg/1 mL ampoule; 1 mg/5 mL ampoule</v>
      </c>
      <c r="K81" s="8" t="n">
        <f aca="false">IF($O81="","",IF(INDEX(Scoring!$I$29:$I$361,MATCH($O81,Scoring!$AI$29:$AI$361,0))="",INDEX(Scoring!$AC$29:$AC$361,MATCH($O81,Scoring!$AI$29:$AI$361,0)),INDEX(Scoring!$I$29:$I$361,MATCH($O81,Scoring!$AI$29:$AI$361,0))))</f>
        <v>82.51</v>
      </c>
      <c r="L81" s="9" t="n">
        <f aca="false">IF($O81="","",INDEX(Scoring!$M$29:$M$361,MATCH($O81,Scoring!$AI$29:$AI$361,0)))</f>
        <v>87</v>
      </c>
      <c r="M81" s="9" t="n">
        <f aca="false">IF($O81="","",INDEX(Scoring!$O$29:$O$361,MATCH($O81,Scoring!$AI$29:$AI$361,0)))</f>
        <v>2931.4</v>
      </c>
      <c r="N81" s="7" t="str">
        <f aca="false">IF($O81="","",INDEX(Scoring!$Y$29:$Y$361,MATCH($O81,Scoring!$AI$29:$AI$361,0)))</f>
        <v>Australia</v>
      </c>
      <c r="O81" s="10" t="n">
        <f aca="false">IFERROR(SMALL(Scoring!$AI$29:$AI$361,77),"")</f>
        <v>4009</v>
      </c>
    </row>
    <row r="82" customFormat="false" ht="28.35" hidden="false" customHeight="false" outlineLevel="0" collapsed="false">
      <c r="A82" s="5" t="n">
        <f aca="false">IF($O82="","",INT($O82/1000))</f>
        <v>4</v>
      </c>
      <c r="B82" s="6" t="str">
        <f aca="false">IF($O82="","",INDEX(Scoring!$A$29:$A$361,MATCH($O82,Scoring!$AI$29:$AI$361,0)))</f>
        <v>Cipla</v>
      </c>
      <c r="C82" s="5" t="n">
        <f aca="false">IF($O82="","",IF(INDEX(Scoring!$F$29:$F$361,MATCH($O82,Scoring!$AI$29:$AI$361,0))="","–",INDEX(Scoring!$F$29:$F$361,MATCH($O82,Scoring!$AI$29:$AI$361,0))))</f>
        <v>10</v>
      </c>
      <c r="D82" s="6" t="str">
        <f aca="false">IF($O82="","",INDEX(Scoring!$E$29:$E$361,MATCH($O82,Scoring!$AI$29:$AI$361,0)))</f>
        <v>Priority 2</v>
      </c>
      <c r="E82" s="7" t="str">
        <f aca="false">IF($O82="","",INDEX(Scoring!$G$29:$G$361,MATCH($O82,Scoring!$AI$29:$AI$361,0)))</f>
        <v>High price, lower volume</v>
      </c>
      <c r="F82" s="6" t="str">
        <f aca="false">IF($O82="","",INDEX(Scoring!$B$29:$B$361,MATCH($O82,Scoring!$AI$29:$AI$361,0)))</f>
        <v>Phytonadione</v>
      </c>
      <c r="G82" s="7" t="str">
        <f aca="false">IF($O82="","",INDEX(Scoring!$C$29:$C$361,MATCH($O82,Scoring!$AI$29:$AI$361,0)))</f>
        <v>Phytonadione</v>
      </c>
      <c r="H82" s="7" t="str">
        <f aca="false">IF($O82="","",INDEX(Scoring!$D$29:$D$361,MATCH($O82,Scoring!$AI$29:$AI$361,0)))</f>
        <v>Haematology: vitamin K for newborn bleeding prevention, warfarin reversal</v>
      </c>
      <c r="I82" s="6" t="str">
        <f aca="false">IF($O82="","",INDEX(Scoring!$R$29:$R$361,MATCH($O82,Scoring!$AI$29:$AI$361,0)))</f>
        <v>Vial, Prefilled syringe</v>
      </c>
      <c r="J82" s="7" t="str">
        <f aca="false">IF($O82="","",INDEX(Scoring!$S$29:$S$361,MATCH($O82,Scoring!$AI$29:$AI$361,0)))</f>
        <v>1 mg/0.5 mL pre-filled syringe; 10 mg/1 mL vial</v>
      </c>
      <c r="K82" s="8" t="n">
        <f aca="false">IF($O82="","",IF(INDEX(Scoring!$I$29:$I$361,MATCH($O82,Scoring!$AI$29:$AI$361,0))="",INDEX(Scoring!$AC$29:$AC$361,MATCH($O82,Scoring!$AI$29:$AI$361,0)),INDEX(Scoring!$I$29:$I$361,MATCH($O82,Scoring!$AI$29:$AI$361,0))))</f>
        <v>39.89</v>
      </c>
      <c r="L82" s="9" t="n">
        <f aca="false">IF($O82="","",INDEX(Scoring!$M$29:$M$361,MATCH($O82,Scoring!$AI$29:$AI$361,0)))</f>
        <v>24</v>
      </c>
      <c r="M82" s="9" t="n">
        <f aca="false">IF($O82="","",INDEX(Scoring!$O$29:$O$361,MATCH($O82,Scoring!$AI$29:$AI$361,0)))</f>
        <v>2702.3</v>
      </c>
      <c r="N82" s="7" t="str">
        <f aca="false">IF($O82="","",INDEX(Scoring!$Y$29:$Y$361,MATCH($O82,Scoring!$AI$29:$AI$361,0)))</f>
        <v>US</v>
      </c>
      <c r="O82" s="10" t="n">
        <f aca="false">IFERROR(SMALL(Scoring!$AI$29:$AI$361,78),"")</f>
        <v>4010</v>
      </c>
    </row>
    <row r="83" customFormat="false" ht="28.35" hidden="false" customHeight="false" outlineLevel="0" collapsed="false">
      <c r="A83" s="5" t="n">
        <f aca="false">IF($O83="","",INT($O83/1000))</f>
        <v>4</v>
      </c>
      <c r="B83" s="6" t="str">
        <f aca="false">IF($O83="","",INDEX(Scoring!$A$29:$A$361,MATCH($O83,Scoring!$AI$29:$AI$361,0)))</f>
        <v>Cipla</v>
      </c>
      <c r="C83" s="5" t="n">
        <f aca="false">IF($O83="","",IF(INDEX(Scoring!$F$29:$F$361,MATCH($O83,Scoring!$AI$29:$AI$361,0))="","–",INDEX(Scoring!$F$29:$F$361,MATCH($O83,Scoring!$AI$29:$AI$361,0))))</f>
        <v>11</v>
      </c>
      <c r="D83" s="6" t="str">
        <f aca="false">IF($O83="","",INDEX(Scoring!$E$29:$E$361,MATCH($O83,Scoring!$AI$29:$AI$361,0)))</f>
        <v>Priority 2</v>
      </c>
      <c r="E83" s="7" t="str">
        <f aca="false">IF($O83="","",INDEX(Scoring!$G$29:$G$361,MATCH($O83,Scoring!$AI$29:$AI$361,0)))</f>
        <v>High price, lower volume</v>
      </c>
      <c r="F83" s="6" t="str">
        <f aca="false">IF($O83="","",INDEX(Scoring!$B$29:$B$361,MATCH($O83,Scoring!$AI$29:$AI$361,0)))</f>
        <v>Testosterone Undecanoate</v>
      </c>
      <c r="G83" s="7" t="str">
        <f aca="false">IF($O83="","",INDEX(Scoring!$C$29:$C$361,MATCH($O83,Scoring!$AI$29:$AI$361,0)))</f>
        <v>Testosterone Cipla</v>
      </c>
      <c r="H83" s="7" t="str">
        <f aca="false">IF($O83="","",INDEX(Scoring!$D$29:$D$361,MATCH($O83,Scoring!$AI$29:$AI$361,0)))</f>
        <v>Endocrinology: long-acting testosterone replacement in male hypogonadism</v>
      </c>
      <c r="I83" s="6" t="str">
        <f aca="false">IF($O83="","",INDEX(Scoring!$R$29:$R$361,MATCH($O83,Scoring!$AI$29:$AI$361,0)))</f>
        <v>Vial</v>
      </c>
      <c r="J83" s="7" t="str">
        <f aca="false">IF($O83="","",INDEX(Scoring!$S$29:$S$361,MATCH($O83,Scoring!$AI$29:$AI$361,0)))</f>
        <v>1000 mg/4 mL vial</v>
      </c>
      <c r="K83" s="8" t="n">
        <f aca="false">IF($O83="","",IF(INDEX(Scoring!$I$29:$I$361,MATCH($O83,Scoring!$AI$29:$AI$361,0))="",INDEX(Scoring!$AC$29:$AC$361,MATCH($O83,Scoring!$AI$29:$AI$361,0)),INDEX(Scoring!$I$29:$I$361,MATCH($O83,Scoring!$AI$29:$AI$361,0))))</f>
        <v>118.45</v>
      </c>
      <c r="L83" s="9" t="n">
        <f aca="false">IF($O83="","",INDEX(Scoring!$M$29:$M$361,MATCH($O83,Scoring!$AI$29:$AI$361,0)))</f>
        <v>132</v>
      </c>
      <c r="M83" s="9" t="n">
        <f aca="false">IF($O83="","",INDEX(Scoring!$O$29:$O$361,MATCH($O83,Scoring!$AI$29:$AI$361,0)))</f>
        <v>184.9</v>
      </c>
      <c r="N83" s="7" t="str">
        <f aca="false">IF($O83="","",INDEX(Scoring!$Y$29:$Y$361,MATCH($O83,Scoring!$AI$29:$AI$361,0)))</f>
        <v>South Africa</v>
      </c>
      <c r="O83" s="10" t="n">
        <f aca="false">IFERROR(SMALL(Scoring!$AI$29:$AI$361,79),"")</f>
        <v>4011</v>
      </c>
    </row>
    <row r="84" customFormat="false" ht="41.75" hidden="false" customHeight="false" outlineLevel="0" collapsed="false">
      <c r="A84" s="5" t="n">
        <f aca="false">IF($O84="","",INT($O84/1000))</f>
        <v>4</v>
      </c>
      <c r="B84" s="6" t="str">
        <f aca="false">IF($O84="","",INDEX(Scoring!$A$29:$A$361,MATCH($O84,Scoring!$AI$29:$AI$361,0)))</f>
        <v>Cipla</v>
      </c>
      <c r="C84" s="5" t="n">
        <f aca="false">IF($O84="","",IF(INDEX(Scoring!$F$29:$F$361,MATCH($O84,Scoring!$AI$29:$AI$361,0))="","–",INDEX(Scoring!$F$29:$F$361,MATCH($O84,Scoring!$AI$29:$AI$361,0))))</f>
        <v>12</v>
      </c>
      <c r="D84" s="6" t="str">
        <f aca="false">IF($O84="","",INDEX(Scoring!$E$29:$E$361,MATCH($O84,Scoring!$AI$29:$AI$361,0)))</f>
        <v>Priority 2</v>
      </c>
      <c r="E84" s="7" t="str">
        <f aca="false">IF($O84="","",INDEX(Scoring!$G$29:$G$361,MATCH($O84,Scoring!$AI$29:$AI$361,0)))</f>
        <v>High price, lower volume</v>
      </c>
      <c r="F84" s="6" t="str">
        <f aca="false">IF($O84="","",INDEX(Scoring!$B$29:$B$361,MATCH($O84,Scoring!$AI$29:$AI$361,0)))</f>
        <v>Lanreotide</v>
      </c>
      <c r="G84" s="7" t="str">
        <f aca="false">IF($O84="","",INDEX(Scoring!$C$29:$C$361,MATCH($O84,Scoring!$AI$29:$AI$361,0)))</f>
        <v>Lanreotide Acetate</v>
      </c>
      <c r="H84" s="7" t="str">
        <f aca="false">IF($O84="","",INDEX(Scoring!$D$29:$D$361,MATCH($O84,Scoring!$AI$29:$AI$361,0)))</f>
        <v>Endocrinology and oncology: acromegaly, neuroendocrine tumours</v>
      </c>
      <c r="I84" s="6" t="str">
        <f aca="false">IF($O84="","",INDEX(Scoring!$R$29:$R$361,MATCH($O84,Scoring!$AI$29:$AI$361,0)))</f>
        <v>Prefilled syringe</v>
      </c>
      <c r="J84" s="7" t="str">
        <f aca="false">IF($O84="","",INDEX(Scoring!$S$29:$S$361,MATCH($O84,Scoring!$AI$29:$AI$361,0)))</f>
        <v>60 mg/0.2 mL pre-filled syringe; 90 mg/0.3 mL pre-filled syringe; 120 mg/0.5 mL pre-filled syringe</v>
      </c>
      <c r="K84" s="8" t="n">
        <f aca="false">IF($O84="","",IF(INDEX(Scoring!$I$29:$I$361,MATCH($O84,Scoring!$AI$29:$AI$361,0))="",INDEX(Scoring!$AC$29:$AC$361,MATCH($O84,Scoring!$AI$29:$AI$361,0)),INDEX(Scoring!$I$29:$I$361,MATCH($O84,Scoring!$AI$29:$AI$361,0))))</f>
        <v>5970.59</v>
      </c>
      <c r="L84" s="9" t="n">
        <f aca="false">IF($O84="","",INDEX(Scoring!$M$29:$M$361,MATCH($O84,Scoring!$AI$29:$AI$361,0)))</f>
        <v>25</v>
      </c>
      <c r="M84" s="9" t="n">
        <f aca="false">IF($O84="","",INDEX(Scoring!$O$29:$O$361,MATCH($O84,Scoring!$AI$29:$AI$361,0)))</f>
        <v>0.2</v>
      </c>
      <c r="N84" s="7" t="str">
        <f aca="false">IF($O84="","",INDEX(Scoring!$Y$29:$Y$361,MATCH($O84,Scoring!$AI$29:$AI$361,0)))</f>
        <v>US</v>
      </c>
      <c r="O84" s="10" t="n">
        <f aca="false">IFERROR(SMALL(Scoring!$AI$29:$AI$361,80),"")</f>
        <v>4012</v>
      </c>
    </row>
    <row r="85" customFormat="false" ht="28.35" hidden="false" customHeight="false" outlineLevel="0" collapsed="false">
      <c r="A85" s="5" t="n">
        <f aca="false">IF($O85="","",INT($O85/1000))</f>
        <v>4</v>
      </c>
      <c r="B85" s="6" t="str">
        <f aca="false">IF($O85="","",INDEX(Scoring!$A$29:$A$361,MATCH($O85,Scoring!$AI$29:$AI$361,0)))</f>
        <v>Cipla</v>
      </c>
      <c r="C85" s="5" t="n">
        <f aca="false">IF($O85="","",IF(INDEX(Scoring!$F$29:$F$361,MATCH($O85,Scoring!$AI$29:$AI$361,0))="","–",INDEX(Scoring!$F$29:$F$361,MATCH($O85,Scoring!$AI$29:$AI$361,0))))</f>
        <v>13</v>
      </c>
      <c r="D85" s="6" t="str">
        <f aca="false">IF($O85="","",INDEX(Scoring!$E$29:$E$361,MATCH($O85,Scoring!$AI$29:$AI$361,0)))</f>
        <v>Priority 3</v>
      </c>
      <c r="E85" s="7" t="str">
        <f aca="false">IF($O85="","",INDEX(Scoring!$G$29:$G$361,MATCH($O85,Scoring!$AI$29:$AI$361,0)))</f>
        <v>Lower price, lower volume</v>
      </c>
      <c r="F85" s="6" t="str">
        <f aca="false">IF($O85="","",INDEX(Scoring!$B$29:$B$361,MATCH($O85,Scoring!$AI$29:$AI$361,0)))</f>
        <v>Teicoplanin</v>
      </c>
      <c r="G85" s="7" t="str">
        <f aca="false">IF($O85="","",INDEX(Scoring!$C$29:$C$361,MATCH($O85,Scoring!$AI$29:$AI$361,0)))</f>
        <v>Cipla Teicoplanin</v>
      </c>
      <c r="H85" s="7" t="str">
        <f aca="false">IF($O85="","",INDEX(Scoring!$D$29:$D$361,MATCH($O85,Scoring!$AI$29:$AI$361,0)))</f>
        <v>Anti-infective: MRSA and serious Gram-positive infections</v>
      </c>
      <c r="I85" s="6" t="str">
        <f aca="false">IF($O85="","",INDEX(Scoring!$R$29:$R$361,MATCH($O85,Scoring!$AI$29:$AI$361,0)))</f>
        <v>Vial</v>
      </c>
      <c r="J85" s="7" t="str">
        <f aca="false">IF($O85="","",INDEX(Scoring!$S$29:$S$361,MATCH($O85,Scoring!$AI$29:$AI$361,0)))</f>
        <v>400 mg in 3 mL powder vial</v>
      </c>
      <c r="K85" s="8" t="n">
        <f aca="false">IF($O85="","",IF(INDEX(Scoring!$I$29:$I$361,MATCH($O85,Scoring!$AI$29:$AI$361,0))="",INDEX(Scoring!$AC$29:$AC$361,MATCH($O85,Scoring!$AI$29:$AI$361,0)),INDEX(Scoring!$I$29:$I$361,MATCH($O85,Scoring!$AI$29:$AI$361,0))))</f>
        <v>13.97</v>
      </c>
      <c r="L85" s="9" t="n">
        <f aca="false">IF($O85="","",INDEX(Scoring!$M$29:$M$361,MATCH($O85,Scoring!$AI$29:$AI$361,0)))</f>
        <v>99</v>
      </c>
      <c r="M85" s="9" t="n">
        <f aca="false">IF($O85="","",INDEX(Scoring!$O$29:$O$361,MATCH($O85,Scoring!$AI$29:$AI$361,0)))</f>
        <v>6632.6</v>
      </c>
      <c r="N85" s="7" t="str">
        <f aca="false">IF($O85="","",INDEX(Scoring!$Y$29:$Y$361,MATCH($O85,Scoring!$AI$29:$AI$361,0)))</f>
        <v>South Africa</v>
      </c>
      <c r="O85" s="10" t="n">
        <f aca="false">IFERROR(SMALL(Scoring!$AI$29:$AI$361,81),"")</f>
        <v>4013</v>
      </c>
    </row>
    <row r="86" customFormat="false" ht="28.35" hidden="false" customHeight="false" outlineLevel="0" collapsed="false">
      <c r="A86" s="5" t="n">
        <f aca="false">IF($O86="","",INT($O86/1000))</f>
        <v>4</v>
      </c>
      <c r="B86" s="6" t="str">
        <f aca="false">IF($O86="","",INDEX(Scoring!$A$29:$A$361,MATCH($O86,Scoring!$AI$29:$AI$361,0)))</f>
        <v>Cipla</v>
      </c>
      <c r="C86" s="5" t="n">
        <f aca="false">IF($O86="","",IF(INDEX(Scoring!$F$29:$F$361,MATCH($O86,Scoring!$AI$29:$AI$361,0))="","–",INDEX(Scoring!$F$29:$F$361,MATCH($O86,Scoring!$AI$29:$AI$361,0))))</f>
        <v>14</v>
      </c>
      <c r="D86" s="6" t="str">
        <f aca="false">IF($O86="","",INDEX(Scoring!$E$29:$E$361,MATCH($O86,Scoring!$AI$29:$AI$361,0)))</f>
        <v>Priority 3</v>
      </c>
      <c r="E86" s="7" t="str">
        <f aca="false">IF($O86="","",INDEX(Scoring!$G$29:$G$361,MATCH($O86,Scoring!$AI$29:$AI$361,0)))</f>
        <v>Lower price, lower volume</v>
      </c>
      <c r="F86" s="6" t="str">
        <f aca="false">IF($O86="","",INDEX(Scoring!$B$29:$B$361,MATCH($O86,Scoring!$AI$29:$AI$361,0)))</f>
        <v>Medroxyprogesterone Acetate</v>
      </c>
      <c r="G86" s="7" t="str">
        <f aca="false">IF($O86="","",INDEX(Scoring!$C$29:$C$361,MATCH($O86,Scoring!$AI$29:$AI$361,0)))</f>
        <v>Cipla Medroxyprogesterone</v>
      </c>
      <c r="H86" s="7" t="str">
        <f aca="false">IF($O86="","",INDEX(Scoring!$D$29:$D$361,MATCH($O86,Scoring!$AI$29:$AI$361,0)))</f>
        <v>Women's health: three-monthly contraceptive injection</v>
      </c>
      <c r="I86" s="6" t="str">
        <f aca="false">IF($O86="","",INDEX(Scoring!$R$29:$R$361,MATCH($O86,Scoring!$AI$29:$AI$361,0)))</f>
        <v>Vial</v>
      </c>
      <c r="J86" s="7" t="str">
        <f aca="false">IF($O86="","",INDEX(Scoring!$S$29:$S$361,MATCH($O86,Scoring!$AI$29:$AI$361,0)))</f>
        <v>150 mg/1 mL vial</v>
      </c>
      <c r="K86" s="8" t="n">
        <f aca="false">IF($O86="","",IF(INDEX(Scoring!$I$29:$I$361,MATCH($O86,Scoring!$AI$29:$AI$361,0))="",INDEX(Scoring!$AC$29:$AC$361,MATCH($O86,Scoring!$AI$29:$AI$361,0)),INDEX(Scoring!$I$29:$I$361,MATCH($O86,Scoring!$AI$29:$AI$361,0))))</f>
        <v>19.65</v>
      </c>
      <c r="L86" s="9" t="n">
        <f aca="false">IF($O86="","",INDEX(Scoring!$M$29:$M$361,MATCH($O86,Scoring!$AI$29:$AI$361,0)))</f>
        <v>41</v>
      </c>
      <c r="M86" s="9" t="n">
        <f aca="false">IF($O86="","",INDEX(Scoring!$O$29:$O$361,MATCH($O86,Scoring!$AI$29:$AI$361,0)))</f>
        <v>2690.1</v>
      </c>
      <c r="N86" s="7" t="str">
        <f aca="false">IF($O86="","",INDEX(Scoring!$Y$29:$Y$361,MATCH($O86,Scoring!$AI$29:$AI$361,0)))</f>
        <v>Australia</v>
      </c>
      <c r="O86" s="10" t="n">
        <f aca="false">IFERROR(SMALL(Scoring!$AI$29:$AI$361,82),"")</f>
        <v>4014</v>
      </c>
    </row>
    <row r="87" customFormat="false" ht="28.35" hidden="false" customHeight="false" outlineLevel="0" collapsed="false">
      <c r="A87" s="5" t="n">
        <f aca="false">IF($O87="","",INT($O87/1000))</f>
        <v>4</v>
      </c>
      <c r="B87" s="6" t="str">
        <f aca="false">IF($O87="","",INDEX(Scoring!$A$29:$A$361,MATCH($O87,Scoring!$AI$29:$AI$361,0)))</f>
        <v>Cipla</v>
      </c>
      <c r="C87" s="5" t="str">
        <f aca="false">IF($O87="","",IF(INDEX(Scoring!$F$29:$F$361,MATCH($O87,Scoring!$AI$29:$AI$361,0))="","–",INDEX(Scoring!$F$29:$F$361,MATCH($O87,Scoring!$AI$29:$AI$361,0))))</f>
        <v>–</v>
      </c>
      <c r="D87" s="6" t="str">
        <f aca="false">IF($O87="","",INDEX(Scoring!$E$29:$E$361,MATCH($O87,Scoring!$AI$29:$AI$361,0)))</f>
        <v>Excluded – price ≤ USD 5</v>
      </c>
      <c r="E87" s="7" t="str">
        <f aca="false">IF($O87="","",INDEX(Scoring!$G$29:$G$361,MATCH($O87,Scoring!$AI$29:$AI$361,0)))</f>
        <v/>
      </c>
      <c r="F87" s="6" t="str">
        <f aca="false">IF($O87="","",INDEX(Scoring!$B$29:$B$361,MATCH($O87,Scoring!$AI$29:$AI$361,0)))</f>
        <v>Phenylephrine</v>
      </c>
      <c r="G87" s="7" t="str">
        <f aca="false">IF($O87="","",INDEX(Scoring!$C$29:$C$361,MATCH($O87,Scoring!$AI$29:$AI$361,0)))</f>
        <v>Phenylephrine Cipla</v>
      </c>
      <c r="H87" s="7" t="str">
        <f aca="false">IF($O87="","",INDEX(Scoring!$D$29:$D$361,MATCH($O87,Scoring!$AI$29:$AI$361,0)))</f>
        <v>Anaesthesia: low blood pressure during anaesthesia</v>
      </c>
      <c r="I87" s="6" t="str">
        <f aca="false">IF($O87="","",INDEX(Scoring!$R$29:$R$361,MATCH($O87,Scoring!$AI$29:$AI$361,0)))</f>
        <v>Vial</v>
      </c>
      <c r="J87" s="7" t="str">
        <f aca="false">IF($O87="","",INDEX(Scoring!$S$29:$S$361,MATCH($O87,Scoring!$AI$29:$AI$361,0)))</f>
        <v>10 mg/1 mL vial</v>
      </c>
      <c r="K87" s="8" t="n">
        <f aca="false">IF($O87="","",IF(INDEX(Scoring!$I$29:$I$361,MATCH($O87,Scoring!$AI$29:$AI$361,0))="",INDEX(Scoring!$AC$29:$AC$361,MATCH($O87,Scoring!$AI$29:$AI$361,0)),INDEX(Scoring!$I$29:$I$361,MATCH($O87,Scoring!$AI$29:$AI$361,0))))</f>
        <v>1</v>
      </c>
      <c r="L87" s="9" t="n">
        <f aca="false">IF($O87="","",INDEX(Scoring!$M$29:$M$361,MATCH($O87,Scoring!$AI$29:$AI$361,0)))</f>
        <v>226</v>
      </c>
      <c r="M87" s="9" t="n">
        <f aca="false">IF($O87="","",INDEX(Scoring!$O$29:$O$361,MATCH($O87,Scoring!$AI$29:$AI$361,0)))</f>
        <v>5695.2</v>
      </c>
      <c r="N87" s="7" t="str">
        <f aca="false">IF($O87="","",INDEX(Scoring!$Y$29:$Y$361,MATCH($O87,Scoring!$AI$29:$AI$361,0)))</f>
        <v>Australia</v>
      </c>
      <c r="O87" s="10" t="n">
        <f aca="false">IFERROR(SMALL(Scoring!$AI$29:$AI$361,83),"")</f>
        <v>4901</v>
      </c>
    </row>
    <row r="88" customFormat="false" ht="28.35" hidden="false" customHeight="false" outlineLevel="0" collapsed="false">
      <c r="A88" s="5" t="n">
        <f aca="false">IF($O88="","",INT($O88/1000))</f>
        <v>5</v>
      </c>
      <c r="B88" s="6" t="str">
        <f aca="false">IF($O88="","",INDEX(Scoring!$A$29:$A$361,MATCH($O88,Scoring!$AI$29:$AI$361,0)))</f>
        <v>Emcure</v>
      </c>
      <c r="C88" s="5" t="n">
        <f aca="false">IF($O88="","",IF(INDEX(Scoring!$F$29:$F$361,MATCH($O88,Scoring!$AI$29:$AI$361,0))="","–",INDEX(Scoring!$F$29:$F$361,MATCH($O88,Scoring!$AI$29:$AI$361,0))))</f>
        <v>1</v>
      </c>
      <c r="D88" s="6" t="str">
        <f aca="false">IF($O88="","",INDEX(Scoring!$E$29:$E$361,MATCH($O88,Scoring!$AI$29:$AI$361,0)))</f>
        <v>Priority 1</v>
      </c>
      <c r="E88" s="7" t="str">
        <f aca="false">IF($O88="","",INDEX(Scoring!$G$29:$G$361,MATCH($O88,Scoring!$AI$29:$AI$361,0)))</f>
        <v>High price, high volume</v>
      </c>
      <c r="F88" s="6" t="str">
        <f aca="false">IF($O88="","",INDEX(Scoring!$B$29:$B$361,MATCH($O88,Scoring!$AI$29:$AI$361,0)))</f>
        <v>Azacitidine</v>
      </c>
      <c r="G88" s="7" t="str">
        <f aca="false">IF($O88="","",INDEX(Scoring!$C$29:$C$361,MATCH($O88,Scoring!$AI$29:$AI$361,0)))</f>
        <v>Azacitidine Tillomed; Azacitidin Tillomed</v>
      </c>
      <c r="H88" s="7" t="str">
        <f aca="false">IF($O88="","",INDEX(Scoring!$D$29:$D$361,MATCH($O88,Scoring!$AI$29:$AI$361,0)))</f>
        <v>Oncology: myelodysplastic syndromes, acute myeloid leukaemia</v>
      </c>
      <c r="I88" s="6" t="str">
        <f aca="false">IF($O88="","",INDEX(Scoring!$R$29:$R$361,MATCH($O88,Scoring!$AI$29:$AI$361,0)))</f>
        <v>Vial</v>
      </c>
      <c r="J88" s="7" t="str">
        <f aca="false">IF($O88="","",INDEX(Scoring!$S$29:$S$361,MATCH($O88,Scoring!$AI$29:$AI$361,0)))</f>
        <v>25 mg/mL powder vial; 100 mg powder vial</v>
      </c>
      <c r="K88" s="8" t="n">
        <f aca="false">IF($O88="","",IF(INDEX(Scoring!$I$29:$I$361,MATCH($O88,Scoring!$AI$29:$AI$361,0))="",INDEX(Scoring!$AC$29:$AC$361,MATCH($O88,Scoring!$AI$29:$AI$361,0)),INDEX(Scoring!$I$29:$I$361,MATCH($O88,Scoring!$AI$29:$AI$361,0))))</f>
        <v>410.89</v>
      </c>
      <c r="L88" s="9" t="n">
        <f aca="false">IF($O88="","",INDEX(Scoring!$M$29:$M$361,MATCH($O88,Scoring!$AI$29:$AI$361,0)))</f>
        <v>632</v>
      </c>
      <c r="M88" s="9" t="n">
        <f aca="false">IF($O88="","",INDEX(Scoring!$O$29:$O$361,MATCH($O88,Scoring!$AI$29:$AI$361,0)))</f>
        <v>42181.7</v>
      </c>
      <c r="N88" s="7" t="str">
        <f aca="false">IF($O88="","",INDEX(Scoring!$Y$29:$Y$361,MATCH($O88,Scoring!$AI$29:$AI$361,0)))</f>
        <v>UK, UK-NI | EU/EEA (9): Germany, France, Netherlands, Austria + 5 more</v>
      </c>
      <c r="O88" s="10" t="n">
        <f aca="false">IFERROR(SMALL(Scoring!$AI$29:$AI$361,84),"")</f>
        <v>5001</v>
      </c>
    </row>
    <row r="89" customFormat="false" ht="28.35" hidden="false" customHeight="false" outlineLevel="0" collapsed="false">
      <c r="A89" s="5" t="n">
        <f aca="false">IF($O89="","",INT($O89/1000))</f>
        <v>5</v>
      </c>
      <c r="B89" s="6" t="str">
        <f aca="false">IF($O89="","",INDEX(Scoring!$A$29:$A$361,MATCH($O89,Scoring!$AI$29:$AI$361,0)))</f>
        <v>Emcure</v>
      </c>
      <c r="C89" s="5" t="n">
        <f aca="false">IF($O89="","",IF(INDEX(Scoring!$F$29:$F$361,MATCH($O89,Scoring!$AI$29:$AI$361,0))="","–",INDEX(Scoring!$F$29:$F$361,MATCH($O89,Scoring!$AI$29:$AI$361,0))))</f>
        <v>2</v>
      </c>
      <c r="D89" s="6" t="str">
        <f aca="false">IF($O89="","",INDEX(Scoring!$E$29:$E$361,MATCH($O89,Scoring!$AI$29:$AI$361,0)))</f>
        <v>Priority 1</v>
      </c>
      <c r="E89" s="7" t="str">
        <f aca="false">IF($O89="","",INDEX(Scoring!$G$29:$G$361,MATCH($O89,Scoring!$AI$29:$AI$361,0)))</f>
        <v>High price, high volume</v>
      </c>
      <c r="F89" s="6" t="str">
        <f aca="false">IF($O89="","",INDEX(Scoring!$B$29:$B$361,MATCH($O89,Scoring!$AI$29:$AI$361,0)))</f>
        <v>Bortezomib</v>
      </c>
      <c r="G89" s="7" t="str">
        <f aca="false">IF($O89="","",INDEX(Scoring!$C$29:$C$361,MATCH($O89,Scoring!$AI$29:$AI$361,0)))</f>
        <v>Bortezomib Tillomed; Bortezomib</v>
      </c>
      <c r="H89" s="7" t="str">
        <f aca="false">IF($O89="","",INDEX(Scoring!$D$29:$D$361,MATCH($O89,Scoring!$AI$29:$AI$361,0)))</f>
        <v>Oncology: multiple myeloma, mantle cell lymphoma</v>
      </c>
      <c r="I89" s="6" t="str">
        <f aca="false">IF($O89="","",INDEX(Scoring!$R$29:$R$361,MATCH($O89,Scoring!$AI$29:$AI$361,0)))</f>
        <v>Vial</v>
      </c>
      <c r="J89" s="7" t="str">
        <f aca="false">IF($O89="","",INDEX(Scoring!$S$29:$S$361,MATCH($O89,Scoring!$AI$29:$AI$361,0)))</f>
        <v>3.5 mg powder vial; 3.5 mg in 10 mL powder vial</v>
      </c>
      <c r="K89" s="8" t="n">
        <f aca="false">IF($O89="","",IF(INDEX(Scoring!$I$29:$I$361,MATCH($O89,Scoring!$AI$29:$AI$361,0))="",INDEX(Scoring!$AC$29:$AC$361,MATCH($O89,Scoring!$AI$29:$AI$361,0)),INDEX(Scoring!$I$29:$I$361,MATCH($O89,Scoring!$AI$29:$AI$361,0))))</f>
        <v>1212.91</v>
      </c>
      <c r="L89" s="9" t="n">
        <f aca="false">IF($O89="","",INDEX(Scoring!$M$29:$M$361,MATCH($O89,Scoring!$AI$29:$AI$361,0)))</f>
        <v>905</v>
      </c>
      <c r="M89" s="9" t="n">
        <f aca="false">IF($O89="","",INDEX(Scoring!$O$29:$O$361,MATCH($O89,Scoring!$AI$29:$AI$361,0)))</f>
        <v>28093.4</v>
      </c>
      <c r="N89" s="7" t="str">
        <f aca="false">IF($O89="","",INDEX(Scoring!$Y$29:$Y$361,MATCH($O89,Scoring!$AI$29:$AI$361,0)))</f>
        <v>Canada, UK-NI | EU/EEA (2): Germany, France</v>
      </c>
      <c r="O89" s="10" t="n">
        <f aca="false">IFERROR(SMALL(Scoring!$AI$29:$AI$361,85),"")</f>
        <v>5002</v>
      </c>
    </row>
    <row r="90" customFormat="false" ht="41.75" hidden="false" customHeight="false" outlineLevel="0" collapsed="false">
      <c r="A90" s="5" t="n">
        <f aca="false">IF($O90="","",INT($O90/1000))</f>
        <v>5</v>
      </c>
      <c r="B90" s="6" t="str">
        <f aca="false">IF($O90="","",INDEX(Scoring!$A$29:$A$361,MATCH($O90,Scoring!$AI$29:$AI$361,0)))</f>
        <v>Emcure</v>
      </c>
      <c r="C90" s="5" t="n">
        <f aca="false">IF($O90="","",IF(INDEX(Scoring!$F$29:$F$361,MATCH($O90,Scoring!$AI$29:$AI$361,0))="","–",INDEX(Scoring!$F$29:$F$361,MATCH($O90,Scoring!$AI$29:$AI$361,0))))</f>
        <v>3</v>
      </c>
      <c r="D90" s="6" t="str">
        <f aca="false">IF($O90="","",INDEX(Scoring!$E$29:$E$361,MATCH($O90,Scoring!$AI$29:$AI$361,0)))</f>
        <v>Priority 1</v>
      </c>
      <c r="E90" s="7" t="str">
        <f aca="false">IF($O90="","",INDEX(Scoring!$G$29:$G$361,MATCH($O90,Scoring!$AI$29:$AI$361,0)))</f>
        <v>High price, high volume</v>
      </c>
      <c r="F90" s="6" t="str">
        <f aca="false">IF($O90="","",INDEX(Scoring!$B$29:$B$361,MATCH($O90,Scoring!$AI$29:$AI$361,0)))</f>
        <v>Amikacin</v>
      </c>
      <c r="G90" s="7" t="str">
        <f aca="false">IF($O90="","",INDEX(Scoring!$C$29:$C$361,MATCH($O90,Scoring!$AI$29:$AI$361,0)))</f>
        <v>Amikacin; Amikacin Tillomed Laboratories; Amikacin Sulfate (+1 more)</v>
      </c>
      <c r="H90" s="7" t="str">
        <f aca="false">IF($O90="","",INDEX(Scoring!$D$29:$D$361,MATCH($O90,Scoring!$AI$29:$AI$361,0)))</f>
        <v>Anti-infective: serious and drug-resistant Gram-negative infections, resistant TB</v>
      </c>
      <c r="I90" s="6" t="str">
        <f aca="false">IF($O90="","",INDEX(Scoring!$R$29:$R$361,MATCH($O90,Scoring!$AI$29:$AI$361,0)))</f>
        <v>Vial</v>
      </c>
      <c r="J90" s="7" t="str">
        <f aca="false">IF($O90="","",INDEX(Scoring!$S$29:$S$361,MATCH($O90,Scoring!$AI$29:$AI$361,0)))</f>
        <v>500 mg/2 mL vial</v>
      </c>
      <c r="K90" s="8" t="n">
        <f aca="false">IF($O90="","",IF(INDEX(Scoring!$I$29:$I$361,MATCH($O90,Scoring!$AI$29:$AI$361,0))="",INDEX(Scoring!$AC$29:$AC$361,MATCH($O90,Scoring!$AI$29:$AI$361,0)),INDEX(Scoring!$I$29:$I$361,MATCH($O90,Scoring!$AI$29:$AI$361,0))))</f>
        <v>27.98</v>
      </c>
      <c r="L90" s="9" t="n">
        <f aca="false">IF($O90="","",INDEX(Scoring!$M$29:$M$361,MATCH($O90,Scoring!$AI$29:$AI$361,0)))</f>
        <v>657</v>
      </c>
      <c r="M90" s="9" t="n">
        <f aca="false">IF($O90="","",INDEX(Scoring!$O$29:$O$361,MATCH($O90,Scoring!$AI$29:$AI$361,0)))</f>
        <v>8433.6</v>
      </c>
      <c r="N90" s="7" t="str">
        <f aca="false">IF($O90="","",INDEX(Scoring!$Y$29:$Y$361,MATCH($O90,Scoring!$AI$29:$AI$361,0)))</f>
        <v>UK, Canada, Australia, UK-NI | EU/EEA (1): Malta</v>
      </c>
      <c r="O90" s="10" t="n">
        <f aca="false">IFERROR(SMALL(Scoring!$AI$29:$AI$361,86),"")</f>
        <v>5003</v>
      </c>
    </row>
    <row r="91" customFormat="false" ht="28.35" hidden="false" customHeight="false" outlineLevel="0" collapsed="false">
      <c r="A91" s="5" t="n">
        <f aca="false">IF($O91="","",INT($O91/1000))</f>
        <v>5</v>
      </c>
      <c r="B91" s="6" t="str">
        <f aca="false">IF($O91="","",INDEX(Scoring!$A$29:$A$361,MATCH($O91,Scoring!$AI$29:$AI$361,0)))</f>
        <v>Emcure</v>
      </c>
      <c r="C91" s="5" t="n">
        <f aca="false">IF($O91="","",IF(INDEX(Scoring!$F$29:$F$361,MATCH($O91,Scoring!$AI$29:$AI$361,0))="","–",INDEX(Scoring!$F$29:$F$361,MATCH($O91,Scoring!$AI$29:$AI$361,0))))</f>
        <v>4</v>
      </c>
      <c r="D91" s="6" t="str">
        <f aca="false">IF($O91="","",INDEX(Scoring!$E$29:$E$361,MATCH($O91,Scoring!$AI$29:$AI$361,0)))</f>
        <v>Priority 2</v>
      </c>
      <c r="E91" s="7" t="str">
        <f aca="false">IF($O91="","",INDEX(Scoring!$G$29:$G$361,MATCH($O91,Scoring!$AI$29:$AI$361,0)))</f>
        <v>Lower price, high volume</v>
      </c>
      <c r="F91" s="6" t="str">
        <f aca="false">IF($O91="","",INDEX(Scoring!$B$29:$B$361,MATCH($O91,Scoring!$AI$29:$AI$361,0)))</f>
        <v>Ampicillin</v>
      </c>
      <c r="G91" s="7" t="str">
        <f aca="false">IF($O91="","",INDEX(Scoring!$C$29:$C$361,MATCH($O91,Scoring!$AI$29:$AI$361,0)))</f>
        <v>Ampicillina Tillomed</v>
      </c>
      <c r="H91" s="7" t="str">
        <f aca="false">IF($O91="","",INDEX(Scoring!$D$29:$D$361,MATCH($O91,Scoring!$AI$29:$AI$361,0)))</f>
        <v>Anti-infective: meningitis, endocarditis, neonatal sepsis</v>
      </c>
      <c r="I91" s="6" t="str">
        <f aca="false">IF($O91="","",INDEX(Scoring!$R$29:$R$361,MATCH($O91,Scoring!$AI$29:$AI$361,0)))</f>
        <v>Vial</v>
      </c>
      <c r="J91" s="7" t="str">
        <f aca="false">IF($O91="","",INDEX(Scoring!$S$29:$S$361,MATCH($O91,Scoring!$AI$29:$AI$361,0)))</f>
        <v>1 g vial</v>
      </c>
      <c r="K91" s="8" t="n">
        <f aca="false">IF($O91="","",IF(INDEX(Scoring!$I$29:$I$361,MATCH($O91,Scoring!$AI$29:$AI$361,0))="",INDEX(Scoring!$AC$29:$AC$361,MATCH($O91,Scoring!$AI$29:$AI$361,0)),INDEX(Scoring!$I$29:$I$361,MATCH($O91,Scoring!$AI$29:$AI$361,0))))</f>
        <v>9.04</v>
      </c>
      <c r="L91" s="9" t="n">
        <f aca="false">IF($O91="","",INDEX(Scoring!$M$29:$M$361,MATCH($O91,Scoring!$AI$29:$AI$361,0)))</f>
        <v>934</v>
      </c>
      <c r="M91" s="9" t="n">
        <f aca="false">IF($O91="","",INDEX(Scoring!$O$29:$O$361,MATCH($O91,Scoring!$AI$29:$AI$361,0)))</f>
        <v>35129.8</v>
      </c>
      <c r="N91" s="7" t="str">
        <f aca="false">IF($O91="","",INDEX(Scoring!$Y$29:$Y$361,MATCH($O91,Scoring!$AI$29:$AI$361,0)))</f>
        <v>EU/EEA (1): Italy</v>
      </c>
      <c r="O91" s="10" t="n">
        <f aca="false">IFERROR(SMALL(Scoring!$AI$29:$AI$361,87),"")</f>
        <v>5004</v>
      </c>
    </row>
    <row r="92" customFormat="false" ht="28.35" hidden="false" customHeight="false" outlineLevel="0" collapsed="false">
      <c r="A92" s="5" t="n">
        <f aca="false">IF($O92="","",INT($O92/1000))</f>
        <v>5</v>
      </c>
      <c r="B92" s="6" t="str">
        <f aca="false">IF($O92="","",INDEX(Scoring!$A$29:$A$361,MATCH($O92,Scoring!$AI$29:$AI$361,0)))</f>
        <v>Emcure</v>
      </c>
      <c r="C92" s="5" t="n">
        <f aca="false">IF($O92="","",IF(INDEX(Scoring!$F$29:$F$361,MATCH($O92,Scoring!$AI$29:$AI$361,0))="","–",INDEX(Scoring!$F$29:$F$361,MATCH($O92,Scoring!$AI$29:$AI$361,0))))</f>
        <v>5</v>
      </c>
      <c r="D92" s="6" t="str">
        <f aca="false">IF($O92="","",INDEX(Scoring!$E$29:$E$361,MATCH($O92,Scoring!$AI$29:$AI$361,0)))</f>
        <v>Priority 2</v>
      </c>
      <c r="E92" s="7" t="str">
        <f aca="false">IF($O92="","",INDEX(Scoring!$G$29:$G$361,MATCH($O92,Scoring!$AI$29:$AI$361,0)))</f>
        <v>Lower price, high volume</v>
      </c>
      <c r="F92" s="6" t="str">
        <f aca="false">IF($O92="","",INDEX(Scoring!$B$29:$B$361,MATCH($O92,Scoring!$AI$29:$AI$361,0)))</f>
        <v>Ondansetron</v>
      </c>
      <c r="G92" s="7" t="str">
        <f aca="false">IF($O92="","",INDEX(Scoring!$C$29:$C$361,MATCH($O92,Scoring!$AI$29:$AI$361,0)))</f>
        <v>Ondansetron Tillomed</v>
      </c>
      <c r="H92" s="7" t="str">
        <f aca="false">IF($O92="","",INDEX(Scoring!$D$29:$D$361,MATCH($O92,Scoring!$AI$29:$AI$361,0)))</f>
        <v>Oncology support: nausea and vomiting from chemotherapy and surgery</v>
      </c>
      <c r="I92" s="6" t="str">
        <f aca="false">IF($O92="","",INDEX(Scoring!$R$29:$R$361,MATCH($O92,Scoring!$AI$29:$AI$361,0)))</f>
        <v>Ampoule</v>
      </c>
      <c r="J92" s="7" t="str">
        <f aca="false">IF($O92="","",INDEX(Scoring!$S$29:$S$361,MATCH($O92,Scoring!$AI$29:$AI$361,0)))</f>
        <v>4 mg/2 mL ampoule</v>
      </c>
      <c r="K92" s="8" t="n">
        <f aca="false">IF($O92="","",IF(INDEX(Scoring!$I$29:$I$361,MATCH($O92,Scoring!$AI$29:$AI$361,0))="",INDEX(Scoring!$AC$29:$AC$361,MATCH($O92,Scoring!$AI$29:$AI$361,0)),INDEX(Scoring!$I$29:$I$361,MATCH($O92,Scoring!$AI$29:$AI$361,0))))</f>
        <v>5.32</v>
      </c>
      <c r="L92" s="9" t="n">
        <f aca="false">IF($O92="","",INDEX(Scoring!$M$29:$M$361,MATCH($O92,Scoring!$AI$29:$AI$361,0)))</f>
        <v>963</v>
      </c>
      <c r="M92" s="9" t="n">
        <f aca="false">IF($O92="","",INDEX(Scoring!$O$29:$O$361,MATCH($O92,Scoring!$AI$29:$AI$361,0)))</f>
        <v>17590.5</v>
      </c>
      <c r="N92" s="7" t="str">
        <f aca="false">IF($O92="","",INDEX(Scoring!$Y$29:$Y$361,MATCH($O92,Scoring!$AI$29:$AI$361,0)))</f>
        <v>EU/EEA (1): Germany</v>
      </c>
      <c r="O92" s="10" t="n">
        <f aca="false">IFERROR(SMALL(Scoring!$AI$29:$AI$361,88),"")</f>
        <v>5005</v>
      </c>
    </row>
    <row r="93" customFormat="false" ht="28.35" hidden="false" customHeight="false" outlineLevel="0" collapsed="false">
      <c r="A93" s="5" t="n">
        <f aca="false">IF($O93="","",INT($O93/1000))</f>
        <v>5</v>
      </c>
      <c r="B93" s="6" t="str">
        <f aca="false">IF($O93="","",INDEX(Scoring!$A$29:$A$361,MATCH($O93,Scoring!$AI$29:$AI$361,0)))</f>
        <v>Emcure</v>
      </c>
      <c r="C93" s="5" t="n">
        <f aca="false">IF($O93="","",IF(INDEX(Scoring!$F$29:$F$361,MATCH($O93,Scoring!$AI$29:$AI$361,0))="","–",INDEX(Scoring!$F$29:$F$361,MATCH($O93,Scoring!$AI$29:$AI$361,0))))</f>
        <v>6</v>
      </c>
      <c r="D93" s="6" t="str">
        <f aca="false">IF($O93="","",INDEX(Scoring!$E$29:$E$361,MATCH($O93,Scoring!$AI$29:$AI$361,0)))</f>
        <v>Priority 2</v>
      </c>
      <c r="E93" s="7" t="str">
        <f aca="false">IF($O93="","",INDEX(Scoring!$G$29:$G$361,MATCH($O93,Scoring!$AI$29:$AI$361,0)))</f>
        <v>High price, lower volume</v>
      </c>
      <c r="F93" s="6" t="str">
        <f aca="false">IF($O93="","",INDEX(Scoring!$B$29:$B$361,MATCH($O93,Scoring!$AI$29:$AI$361,0)))</f>
        <v>Plerixafor</v>
      </c>
      <c r="G93" s="7" t="str">
        <f aca="false">IF($O93="","",INDEX(Scoring!$C$29:$C$361,MATCH($O93,Scoring!$AI$29:$AI$361,0)))</f>
        <v>Plerixafor; Plerixafor Tillomed</v>
      </c>
      <c r="H93" s="7" t="str">
        <f aca="false">IF($O93="","",INDEX(Scoring!$D$29:$D$361,MATCH($O93,Scoring!$AI$29:$AI$361,0)))</f>
        <v>Oncology support: stem cell mobilisation in myeloma and lymphoma</v>
      </c>
      <c r="I93" s="6" t="str">
        <f aca="false">IF($O93="","",INDEX(Scoring!$R$29:$R$361,MATCH($O93,Scoring!$AI$29:$AI$361,0)))</f>
        <v>Vial</v>
      </c>
      <c r="J93" s="7" t="str">
        <f aca="false">IF($O93="","",INDEX(Scoring!$S$29:$S$361,MATCH($O93,Scoring!$AI$29:$AI$361,0)))</f>
        <v>24 mg/1.2 mL vial</v>
      </c>
      <c r="K93" s="8" t="n">
        <f aca="false">IF($O93="","",IF(INDEX(Scoring!$I$29:$I$361,MATCH($O93,Scoring!$AI$29:$AI$361,0))="",INDEX(Scoring!$AC$29:$AC$361,MATCH($O93,Scoring!$AI$29:$AI$361,0)),INDEX(Scoring!$I$29:$I$361,MATCH($O93,Scoring!$AI$29:$AI$361,0))))</f>
        <v>6173.01</v>
      </c>
      <c r="L93" s="9" t="n">
        <f aca="false">IF($O93="","",INDEX(Scoring!$M$29:$M$361,MATCH($O93,Scoring!$AI$29:$AI$361,0)))</f>
        <v>47</v>
      </c>
      <c r="M93" s="9" t="n">
        <f aca="false">IF($O93="","",INDEX(Scoring!$O$29:$O$361,MATCH($O93,Scoring!$AI$29:$AI$361,0)))</f>
        <v>7904.7</v>
      </c>
      <c r="N93" s="7" t="str">
        <f aca="false">IF($O93="","",INDEX(Scoring!$Y$29:$Y$361,MATCH($O93,Scoring!$AI$29:$AI$361,0)))</f>
        <v>UK | EU/EEA (3): Germany, France, Italy</v>
      </c>
      <c r="O93" s="10" t="n">
        <f aca="false">IFERROR(SMALL(Scoring!$AI$29:$AI$361,89),"")</f>
        <v>5006</v>
      </c>
    </row>
    <row r="94" customFormat="false" ht="55.2" hidden="false" customHeight="false" outlineLevel="0" collapsed="false">
      <c r="A94" s="5" t="n">
        <f aca="false">IF($O94="","",INT($O94/1000))</f>
        <v>5</v>
      </c>
      <c r="B94" s="6" t="str">
        <f aca="false">IF($O94="","",INDEX(Scoring!$A$29:$A$361,MATCH($O94,Scoring!$AI$29:$AI$361,0)))</f>
        <v>Emcure</v>
      </c>
      <c r="C94" s="5" t="n">
        <f aca="false">IF($O94="","",IF(INDEX(Scoring!$F$29:$F$361,MATCH($O94,Scoring!$AI$29:$AI$361,0))="","–",INDEX(Scoring!$F$29:$F$361,MATCH($O94,Scoring!$AI$29:$AI$361,0))))</f>
        <v>7</v>
      </c>
      <c r="D94" s="6" t="str">
        <f aca="false">IF($O94="","",INDEX(Scoring!$E$29:$E$361,MATCH($O94,Scoring!$AI$29:$AI$361,0)))</f>
        <v>Priority 2</v>
      </c>
      <c r="E94" s="7" t="str">
        <f aca="false">IF($O94="","",INDEX(Scoring!$G$29:$G$361,MATCH($O94,Scoring!$AI$29:$AI$361,0)))</f>
        <v>High price, lower volume</v>
      </c>
      <c r="F94" s="6" t="str">
        <f aca="false">IF($O94="","",INDEX(Scoring!$B$29:$B$361,MATCH($O94,Scoring!$AI$29:$AI$361,0)))</f>
        <v>Pentamidine</v>
      </c>
      <c r="G94" s="7" t="str">
        <f aca="false">IF($O94="","",INDEX(Scoring!$C$29:$C$361,MATCH($O94,Scoring!$AI$29:$AI$361,0)))</f>
        <v>Pentamidine Isetionate Tillomed; Pentamidindiisetionat Tillomed; Pentamidine Isetionate (+1 more)</v>
      </c>
      <c r="H94" s="7" t="str">
        <f aca="false">IF($O94="","",INDEX(Scoring!$D$29:$D$361,MATCH($O94,Scoring!$AI$29:$AI$361,0)))</f>
        <v>Anti-infective: Pneumocystis pneumonia, leishmaniasis</v>
      </c>
      <c r="I94" s="6" t="str">
        <f aca="false">IF($O94="","",INDEX(Scoring!$R$29:$R$361,MATCH($O94,Scoring!$AI$29:$AI$361,0)))</f>
        <v>Vial</v>
      </c>
      <c r="J94" s="7" t="str">
        <f aca="false">IF($O94="","",INDEX(Scoring!$S$29:$S$361,MATCH($O94,Scoring!$AI$29:$AI$361,0)))</f>
        <v>300 mg powder vial; 300 mg in 20 mL powder vial</v>
      </c>
      <c r="K94" s="8" t="n">
        <f aca="false">IF($O94="","",IF(INDEX(Scoring!$I$29:$I$361,MATCH($O94,Scoring!$AI$29:$AI$361,0))="",INDEX(Scoring!$AC$29:$AC$361,MATCH($O94,Scoring!$AI$29:$AI$361,0)),INDEX(Scoring!$I$29:$I$361,MATCH($O94,Scoring!$AI$29:$AI$361,0))))</f>
        <v>186.04</v>
      </c>
      <c r="L94" s="9" t="n">
        <f aca="false">IF($O94="","",INDEX(Scoring!$M$29:$M$361,MATCH($O94,Scoring!$AI$29:$AI$361,0)))</f>
        <v>9</v>
      </c>
      <c r="M94" s="9" t="n">
        <f aca="false">IF($O94="","",INDEX(Scoring!$O$29:$O$361,MATCH($O94,Scoring!$AI$29:$AI$361,0)))</f>
        <v>1652</v>
      </c>
      <c r="N94" s="7" t="str">
        <f aca="false">IF($O94="","",INDEX(Scoring!$Y$29:$Y$361,MATCH($O94,Scoring!$AI$29:$AI$361,0)))</f>
        <v>UK, Canada, Australia, UK-NI | EU/EEA (8): Germany, France, Netherlands, Denmark + 4 more</v>
      </c>
      <c r="O94" s="10" t="n">
        <f aca="false">IFERROR(SMALL(Scoring!$AI$29:$AI$361,90),"")</f>
        <v>5007</v>
      </c>
    </row>
    <row r="95" customFormat="false" ht="28.35" hidden="false" customHeight="false" outlineLevel="0" collapsed="false">
      <c r="A95" s="5" t="n">
        <f aca="false">IF($O95="","",INT($O95/1000))</f>
        <v>5</v>
      </c>
      <c r="B95" s="6" t="str">
        <f aca="false">IF($O95="","",INDEX(Scoring!$A$29:$A$361,MATCH($O95,Scoring!$AI$29:$AI$361,0)))</f>
        <v>Emcure</v>
      </c>
      <c r="C95" s="5" t="n">
        <f aca="false">IF($O95="","",IF(INDEX(Scoring!$F$29:$F$361,MATCH($O95,Scoring!$AI$29:$AI$361,0))="","–",INDEX(Scoring!$F$29:$F$361,MATCH($O95,Scoring!$AI$29:$AI$361,0))))</f>
        <v>8</v>
      </c>
      <c r="D95" s="6" t="str">
        <f aca="false">IF($O95="","",INDEX(Scoring!$E$29:$E$361,MATCH($O95,Scoring!$AI$29:$AI$361,0)))</f>
        <v>Priority 3</v>
      </c>
      <c r="E95" s="7" t="str">
        <f aca="false">IF($O95="","",INDEX(Scoring!$G$29:$G$361,MATCH($O95,Scoring!$AI$29:$AI$361,0)))</f>
        <v>Lower price, lower volume</v>
      </c>
      <c r="F95" s="6" t="str">
        <f aca="false">IF($O95="","",INDEX(Scoring!$B$29:$B$361,MATCH($O95,Scoring!$AI$29:$AI$361,0)))</f>
        <v>Colistimethate Sodium</v>
      </c>
      <c r="G95" s="7" t="str">
        <f aca="false">IF($O95="","",INDEX(Scoring!$C$29:$C$361,MATCH($O95,Scoring!$AI$29:$AI$361,0)))</f>
        <v>Colistimethate</v>
      </c>
      <c r="H95" s="7" t="str">
        <f aca="false">IF($O95="","",INDEX(Scoring!$D$29:$D$361,MATCH($O95,Scoring!$AI$29:$AI$361,0)))</f>
        <v>Anti-infective: last-line treatment for drug-resistant Gram-negative infections</v>
      </c>
      <c r="I95" s="6" t="str">
        <f aca="false">IF($O95="","",INDEX(Scoring!$R$29:$R$361,MATCH($O95,Scoring!$AI$29:$AI$361,0)))</f>
        <v>Vial</v>
      </c>
      <c r="J95" s="7" t="str">
        <f aca="false">IF($O95="","",INDEX(Scoring!$S$29:$S$361,MATCH($O95,Scoring!$AI$29:$AI$361,0)))</f>
        <v>150 mg/10 mL vial</v>
      </c>
      <c r="K95" s="8" t="n">
        <f aca="false">IF($O95="","",IF(INDEX(Scoring!$I$29:$I$361,MATCH($O95,Scoring!$AI$29:$AI$361,0))="",INDEX(Scoring!$AC$29:$AC$361,MATCH($O95,Scoring!$AI$29:$AI$361,0)),INDEX(Scoring!$I$29:$I$361,MATCH($O95,Scoring!$AI$29:$AI$361,0))))</f>
        <v>23.98</v>
      </c>
      <c r="L95" s="9" t="n">
        <f aca="false">IF($O95="","",INDEX(Scoring!$M$29:$M$361,MATCH($O95,Scoring!$AI$29:$AI$361,0)))</f>
        <v>83</v>
      </c>
      <c r="M95" s="9" t="n">
        <f aca="false">IF($O95="","",INDEX(Scoring!$O$29:$O$361,MATCH($O95,Scoring!$AI$29:$AI$361,0)))</f>
        <v>2033.7</v>
      </c>
      <c r="N95" s="7" t="str">
        <f aca="false">IF($O95="","",INDEX(Scoring!$Y$29:$Y$361,MATCH($O95,Scoring!$AI$29:$AI$361,0)))</f>
        <v>Canada</v>
      </c>
      <c r="O95" s="10" t="n">
        <f aca="false">IFERROR(SMALL(Scoring!$AI$29:$AI$361,91),"")</f>
        <v>5008</v>
      </c>
    </row>
    <row r="96" customFormat="false" ht="28.35" hidden="false" customHeight="false" outlineLevel="0" collapsed="false">
      <c r="A96" s="5" t="n">
        <f aca="false">IF($O96="","",INT($O96/1000))</f>
        <v>5</v>
      </c>
      <c r="B96" s="6" t="str">
        <f aca="false">IF($O96="","",INDEX(Scoring!$A$29:$A$361,MATCH($O96,Scoring!$AI$29:$AI$361,0)))</f>
        <v>Emcure</v>
      </c>
      <c r="C96" s="5" t="n">
        <f aca="false">IF($O96="","",IF(INDEX(Scoring!$F$29:$F$361,MATCH($O96,Scoring!$AI$29:$AI$361,0))="","–",INDEX(Scoring!$F$29:$F$361,MATCH($O96,Scoring!$AI$29:$AI$361,0))))</f>
        <v>9</v>
      </c>
      <c r="D96" s="6" t="str">
        <f aca="false">IF($O96="","",INDEX(Scoring!$E$29:$E$361,MATCH($O96,Scoring!$AI$29:$AI$361,0)))</f>
        <v>Priority 3</v>
      </c>
      <c r="E96" s="7" t="str">
        <f aca="false">IF($O96="","",INDEX(Scoring!$G$29:$G$361,MATCH($O96,Scoring!$AI$29:$AI$361,0)))</f>
        <v>Lower price, lower volume</v>
      </c>
      <c r="F96" s="6" t="str">
        <f aca="false">IF($O96="","",INDEX(Scoring!$B$29:$B$361,MATCH($O96,Scoring!$AI$29:$AI$361,0)))</f>
        <v>Acetazolamide</v>
      </c>
      <c r="G96" s="7" t="str">
        <f aca="false">IF($O96="","",INDEX(Scoring!$C$29:$C$361,MATCH($O96,Scoring!$AI$29:$AI$361,0)))</f>
        <v>Acetazolamide Tillomed</v>
      </c>
      <c r="H96" s="7" t="str">
        <f aca="false">IF($O96="","",INDEX(Scoring!$D$29:$D$361,MATCH($O96,Scoring!$AI$29:$AI$361,0)))</f>
        <v>Ophthalmology: acute angle-closure glaucoma, raised eye pressure, oedema</v>
      </c>
      <c r="I96" s="6" t="str">
        <f aca="false">IF($O96="","",INDEX(Scoring!$R$29:$R$361,MATCH($O96,Scoring!$AI$29:$AI$361,0)))</f>
        <v>Vial</v>
      </c>
      <c r="J96" s="7" t="str">
        <f aca="false">IF($O96="","",INDEX(Scoring!$S$29:$S$361,MATCH($O96,Scoring!$AI$29:$AI$361,0)))</f>
        <v>500 mg powder vial</v>
      </c>
      <c r="K96" s="8" t="n">
        <f aca="false">IF($O96="","",IF(INDEX(Scoring!$I$29:$I$361,MATCH($O96,Scoring!$AI$29:$AI$361,0))="",INDEX(Scoring!$AC$29:$AC$361,MATCH($O96,Scoring!$AI$29:$AI$361,0)),INDEX(Scoring!$I$29:$I$361,MATCH($O96,Scoring!$AI$29:$AI$361,0))))</f>
        <v>17.81</v>
      </c>
      <c r="L96" s="9" t="n">
        <f aca="false">IF($O96="","",INDEX(Scoring!$M$29:$M$361,MATCH($O96,Scoring!$AI$29:$AI$361,0)))</f>
        <v>48</v>
      </c>
      <c r="M96" s="9" t="n">
        <f aca="false">IF($O96="","",INDEX(Scoring!$O$29:$O$361,MATCH($O96,Scoring!$AI$29:$AI$361,0)))</f>
        <v>1405.2</v>
      </c>
      <c r="N96" s="7" t="str">
        <f aca="false">IF($O96="","",INDEX(Scoring!$Y$29:$Y$361,MATCH($O96,Scoring!$AI$29:$AI$361,0)))</f>
        <v>UK, UK-NI</v>
      </c>
      <c r="O96" s="10" t="n">
        <f aca="false">IFERROR(SMALL(Scoring!$AI$29:$AI$361,92),"")</f>
        <v>5009</v>
      </c>
    </row>
    <row r="97" customFormat="false" ht="28.35" hidden="false" customHeight="false" outlineLevel="0" collapsed="false">
      <c r="A97" s="5" t="n">
        <f aca="false">IF($O97="","",INT($O97/1000))</f>
        <v>6</v>
      </c>
      <c r="B97" s="6" t="str">
        <f aca="false">IF($O97="","",INDEX(Scoring!$A$29:$A$361,MATCH($O97,Scoring!$AI$29:$AI$361,0)))</f>
        <v>Glenmark</v>
      </c>
      <c r="C97" s="5" t="n">
        <f aca="false">IF($O97="","",IF(INDEX(Scoring!$F$29:$F$361,MATCH($O97,Scoring!$AI$29:$AI$361,0))="","–",INDEX(Scoring!$F$29:$F$361,MATCH($O97,Scoring!$AI$29:$AI$361,0))))</f>
        <v>1</v>
      </c>
      <c r="D97" s="6" t="str">
        <f aca="false">IF($O97="","",INDEX(Scoring!$E$29:$E$361,MATCH($O97,Scoring!$AI$29:$AI$361,0)))</f>
        <v>Priority 1</v>
      </c>
      <c r="E97" s="7" t="str">
        <f aca="false">IF($O97="","",INDEX(Scoring!$G$29:$G$361,MATCH($O97,Scoring!$AI$29:$AI$361,0)))</f>
        <v>High price, high volume</v>
      </c>
      <c r="F97" s="6" t="str">
        <f aca="false">IF($O97="","",INDEX(Scoring!$B$29:$B$361,MATCH($O97,Scoring!$AI$29:$AI$361,0)))</f>
        <v>Azacitidine</v>
      </c>
      <c r="G97" s="7" t="str">
        <f aca="false">IF($O97="","",INDEX(Scoring!$C$29:$C$361,MATCH($O97,Scoring!$AI$29:$AI$361,0)))</f>
        <v>Azacitidina Glenmark</v>
      </c>
      <c r="H97" s="7" t="str">
        <f aca="false">IF($O97="","",INDEX(Scoring!$D$29:$D$361,MATCH($O97,Scoring!$AI$29:$AI$361,0)))</f>
        <v>Oncology: myelodysplastic syndromes, acute myeloid leukaemia</v>
      </c>
      <c r="I97" s="6" t="str">
        <f aca="false">IF($O97="","",INDEX(Scoring!$R$29:$R$361,MATCH($O97,Scoring!$AI$29:$AI$361,0)))</f>
        <v>Vial</v>
      </c>
      <c r="J97" s="7" t="str">
        <f aca="false">IF($O97="","",INDEX(Scoring!$S$29:$S$361,MATCH($O97,Scoring!$AI$29:$AI$361,0)))</f>
        <v>100 mg powder vial</v>
      </c>
      <c r="K97" s="8" t="n">
        <f aca="false">IF($O97="","",IF(INDEX(Scoring!$I$29:$I$361,MATCH($O97,Scoring!$AI$29:$AI$361,0))="",INDEX(Scoring!$AC$29:$AC$361,MATCH($O97,Scoring!$AI$29:$AI$361,0)),INDEX(Scoring!$I$29:$I$361,MATCH($O97,Scoring!$AI$29:$AI$361,0))))</f>
        <v>400.02</v>
      </c>
      <c r="L97" s="9" t="n">
        <f aca="false">IF($O97="","",INDEX(Scoring!$M$29:$M$361,MATCH($O97,Scoring!$AI$29:$AI$361,0)))</f>
        <v>632</v>
      </c>
      <c r="M97" s="9" t="n">
        <f aca="false">IF($O97="","",INDEX(Scoring!$O$29:$O$361,MATCH($O97,Scoring!$AI$29:$AI$361,0)))</f>
        <v>42181.7</v>
      </c>
      <c r="N97" s="7" t="str">
        <f aca="false">IF($O97="","",INDEX(Scoring!$Y$29:$Y$361,MATCH($O97,Scoring!$AI$29:$AI$361,0)))</f>
        <v>EU/EEA (3): Iceland, Slovakia, Spain</v>
      </c>
      <c r="O97" s="10" t="n">
        <f aca="false">IFERROR(SMALL(Scoring!$AI$29:$AI$361,93),"")</f>
        <v>6001</v>
      </c>
    </row>
    <row r="98" customFormat="false" ht="28.35" hidden="false" customHeight="false" outlineLevel="0" collapsed="false">
      <c r="A98" s="5" t="n">
        <f aca="false">IF($O98="","",INT($O98/1000))</f>
        <v>6</v>
      </c>
      <c r="B98" s="6" t="str">
        <f aca="false">IF($O98="","",INDEX(Scoring!$A$29:$A$361,MATCH($O98,Scoring!$AI$29:$AI$361,0)))</f>
        <v>Glenmark</v>
      </c>
      <c r="C98" s="5" t="n">
        <f aca="false">IF($O98="","",IF(INDEX(Scoring!$F$29:$F$361,MATCH($O98,Scoring!$AI$29:$AI$361,0))="","–",INDEX(Scoring!$F$29:$F$361,MATCH($O98,Scoring!$AI$29:$AI$361,0))))</f>
        <v>2</v>
      </c>
      <c r="D98" s="6" t="str">
        <f aca="false">IF($O98="","",INDEX(Scoring!$E$29:$E$361,MATCH($O98,Scoring!$AI$29:$AI$361,0)))</f>
        <v>Priority 1</v>
      </c>
      <c r="E98" s="7" t="str">
        <f aca="false">IF($O98="","",INDEX(Scoring!$G$29:$G$361,MATCH($O98,Scoring!$AI$29:$AI$361,0)))</f>
        <v>High price, high volume</v>
      </c>
      <c r="F98" s="6" t="str">
        <f aca="false">IF($O98="","",INDEX(Scoring!$B$29:$B$361,MATCH($O98,Scoring!$AI$29:$AI$361,0)))</f>
        <v>Bortezomib</v>
      </c>
      <c r="G98" s="7" t="str">
        <f aca="false">IF($O98="","",INDEX(Scoring!$C$29:$C$361,MATCH($O98,Scoring!$AI$29:$AI$361,0)))</f>
        <v>Bortezomib Glenmark; Bortraczo</v>
      </c>
      <c r="H98" s="7" t="str">
        <f aca="false">IF($O98="","",INDEX(Scoring!$D$29:$D$361,MATCH($O98,Scoring!$AI$29:$AI$361,0)))</f>
        <v>Oncology: multiple myeloma, mantle cell lymphoma</v>
      </c>
      <c r="I98" s="6" t="str">
        <f aca="false">IF($O98="","",INDEX(Scoring!$R$29:$R$361,MATCH($O98,Scoring!$AI$29:$AI$361,0)))</f>
        <v>Vial</v>
      </c>
      <c r="J98" s="7" t="str">
        <f aca="false">IF($O98="","",INDEX(Scoring!$S$29:$S$361,MATCH($O98,Scoring!$AI$29:$AI$361,0)))</f>
        <v>1 mg powder vial; 2.5 mg/1 mL vial; 3.5 mg/1.4 mL vial</v>
      </c>
      <c r="K98" s="8" t="n">
        <f aca="false">IF($O98="","",IF(INDEX(Scoring!$I$29:$I$361,MATCH($O98,Scoring!$AI$29:$AI$361,0))="",INDEX(Scoring!$AC$29:$AC$361,MATCH($O98,Scoring!$AI$29:$AI$361,0)),INDEX(Scoring!$I$29:$I$361,MATCH($O98,Scoring!$AI$29:$AI$361,0))))</f>
        <v>64.91</v>
      </c>
      <c r="L98" s="9" t="n">
        <f aca="false">IF($O98="","",INDEX(Scoring!$M$29:$M$361,MATCH($O98,Scoring!$AI$29:$AI$361,0)))</f>
        <v>905</v>
      </c>
      <c r="M98" s="9" t="n">
        <f aca="false">IF($O98="","",INDEX(Scoring!$O$29:$O$361,MATCH($O98,Scoring!$AI$29:$AI$361,0)))</f>
        <v>28093.4</v>
      </c>
      <c r="N98" s="7" t="str">
        <f aca="false">IF($O98="","",INDEX(Scoring!$Y$29:$Y$361,MATCH($O98,Scoring!$AI$29:$AI$361,0)))</f>
        <v>Australia | EU/EEA (11): Germany, France, Netherlands, Denmark + 7 more</v>
      </c>
      <c r="O98" s="10" t="n">
        <f aca="false">IFERROR(SMALL(Scoring!$AI$29:$AI$361,94),"")</f>
        <v>6002</v>
      </c>
    </row>
    <row r="99" customFormat="false" ht="28.35" hidden="false" customHeight="false" outlineLevel="0" collapsed="false">
      <c r="A99" s="5" t="n">
        <f aca="false">IF($O99="","",INT($O99/1000))</f>
        <v>6</v>
      </c>
      <c r="B99" s="6" t="str">
        <f aca="false">IF($O99="","",INDEX(Scoring!$A$29:$A$361,MATCH($O99,Scoring!$AI$29:$AI$361,0)))</f>
        <v>Glenmark</v>
      </c>
      <c r="C99" s="5" t="n">
        <f aca="false">IF($O99="","",IF(INDEX(Scoring!$F$29:$F$361,MATCH($O99,Scoring!$AI$29:$AI$361,0))="","–",INDEX(Scoring!$F$29:$F$361,MATCH($O99,Scoring!$AI$29:$AI$361,0))))</f>
        <v>3</v>
      </c>
      <c r="D99" s="6" t="str">
        <f aca="false">IF($O99="","",INDEX(Scoring!$E$29:$E$361,MATCH($O99,Scoring!$AI$29:$AI$361,0)))</f>
        <v>Priority 1</v>
      </c>
      <c r="E99" s="7" t="str">
        <f aca="false">IF($O99="","",INDEX(Scoring!$G$29:$G$361,MATCH($O99,Scoring!$AI$29:$AI$361,0)))</f>
        <v>High price, high volume</v>
      </c>
      <c r="F99" s="6" t="str">
        <f aca="false">IF($O99="","",INDEX(Scoring!$B$29:$B$361,MATCH($O99,Scoring!$AI$29:$AI$361,0)))</f>
        <v>Fulvestrant</v>
      </c>
      <c r="G99" s="7" t="str">
        <f aca="false">IF($O99="","",INDEX(Scoring!$C$29:$C$361,MATCH($O99,Scoring!$AI$29:$AI$361,0)))</f>
        <v>Fulvestrant; Fulvestrant Glenmark</v>
      </c>
      <c r="H99" s="7" t="str">
        <f aca="false">IF($O99="","",INDEX(Scoring!$D$29:$D$361,MATCH($O99,Scoring!$AI$29:$AI$361,0)))</f>
        <v>Oncology: hormone receptor-positive advanced breast cancer</v>
      </c>
      <c r="I99" s="6" t="str">
        <f aca="false">IF($O99="","",INDEX(Scoring!$R$29:$R$361,MATCH($O99,Scoring!$AI$29:$AI$361,0)))</f>
        <v>Prefilled syringe</v>
      </c>
      <c r="J99" s="7" t="str">
        <f aca="false">IF($O99="","",INDEX(Scoring!$S$29:$S$361,MATCH($O99,Scoring!$AI$29:$AI$361,0)))</f>
        <v>250 mg/5 mL pre-filled syringe; 250 mg pre-filled syringe</v>
      </c>
      <c r="K99" s="8" t="n">
        <f aca="false">IF($O99="","",IF(INDEX(Scoring!$I$29:$I$361,MATCH($O99,Scoring!$AI$29:$AI$361,0))="",INDEX(Scoring!$AC$29:$AC$361,MATCH($O99,Scoring!$AI$29:$AI$361,0)),INDEX(Scoring!$I$29:$I$361,MATCH($O99,Scoring!$AI$29:$AI$361,0))))</f>
        <v>302.38</v>
      </c>
      <c r="L99" s="9" t="n">
        <f aca="false">IF($O99="","",INDEX(Scoring!$M$29:$M$361,MATCH($O99,Scoring!$AI$29:$AI$361,0)))</f>
        <v>146</v>
      </c>
      <c r="M99" s="9" t="n">
        <f aca="false">IF($O99="","",INDEX(Scoring!$O$29:$O$361,MATCH($O99,Scoring!$AI$29:$AI$361,0)))</f>
        <v>11366.1</v>
      </c>
      <c r="N99" s="7" t="str">
        <f aca="false">IF($O99="","",INDEX(Scoring!$Y$29:$Y$361,MATCH($O99,Scoring!$AI$29:$AI$361,0)))</f>
        <v>US, UK, UK-NI | EU/EEA (5): Germany, Netherlands, Denmark, Spain, Sweden</v>
      </c>
      <c r="O99" s="10" t="n">
        <f aca="false">IFERROR(SMALL(Scoring!$AI$29:$AI$361,95),"")</f>
        <v>6003</v>
      </c>
    </row>
    <row r="100" customFormat="false" ht="28.35" hidden="false" customHeight="false" outlineLevel="0" collapsed="false">
      <c r="A100" s="5" t="n">
        <f aca="false">IF($O100="","",INT($O100/1000))</f>
        <v>6</v>
      </c>
      <c r="B100" s="6" t="str">
        <f aca="false">IF($O100="","",INDEX(Scoring!$A$29:$A$361,MATCH($O100,Scoring!$AI$29:$AI$361,0)))</f>
        <v>Glenmark</v>
      </c>
      <c r="C100" s="5" t="n">
        <f aca="false">IF($O100="","",IF(INDEX(Scoring!$F$29:$F$361,MATCH($O100,Scoring!$AI$29:$AI$361,0))="","–",INDEX(Scoring!$F$29:$F$361,MATCH($O100,Scoring!$AI$29:$AI$361,0))))</f>
        <v>4</v>
      </c>
      <c r="D100" s="6" t="str">
        <f aca="false">IF($O100="","",INDEX(Scoring!$E$29:$E$361,MATCH($O100,Scoring!$AI$29:$AI$361,0)))</f>
        <v>Priority 2</v>
      </c>
      <c r="E100" s="7" t="str">
        <f aca="false">IF($O100="","",INDEX(Scoring!$G$29:$G$361,MATCH($O100,Scoring!$AI$29:$AI$361,0)))</f>
        <v>High price, lower volume</v>
      </c>
      <c r="F100" s="6" t="str">
        <f aca="false">IF($O100="","",INDEX(Scoring!$B$29:$B$361,MATCH($O100,Scoring!$AI$29:$AI$361,0)))</f>
        <v>Plerixafor</v>
      </c>
      <c r="G100" s="7" t="str">
        <f aca="false">IF($O100="","",INDEX(Scoring!$C$29:$C$361,MATCH($O100,Scoring!$AI$29:$AI$361,0)))</f>
        <v>Plerixafor Glenmark</v>
      </c>
      <c r="H100" s="7" t="str">
        <f aca="false">IF($O100="","",INDEX(Scoring!$D$29:$D$361,MATCH($O100,Scoring!$AI$29:$AI$361,0)))</f>
        <v>Oncology support: stem cell mobilisation in myeloma and lymphoma</v>
      </c>
      <c r="I100" s="6" t="str">
        <f aca="false">IF($O100="","",INDEX(Scoring!$R$29:$R$361,MATCH($O100,Scoring!$AI$29:$AI$361,0)))</f>
        <v>Vial</v>
      </c>
      <c r="J100" s="7" t="str">
        <f aca="false">IF($O100="","",INDEX(Scoring!$S$29:$S$361,MATCH($O100,Scoring!$AI$29:$AI$361,0)))</f>
        <v>24 mg/1.2 mL vial</v>
      </c>
      <c r="K100" s="8" t="n">
        <f aca="false">IF($O100="","",IF(INDEX(Scoring!$I$29:$I$361,MATCH($O100,Scoring!$AI$29:$AI$361,0))="",INDEX(Scoring!$AC$29:$AC$361,MATCH($O100,Scoring!$AI$29:$AI$361,0)),INDEX(Scoring!$I$29:$I$361,MATCH($O100,Scoring!$AI$29:$AI$361,0))))</f>
        <v>7322.42</v>
      </c>
      <c r="L100" s="9" t="n">
        <f aca="false">IF($O100="","",INDEX(Scoring!$M$29:$M$361,MATCH($O100,Scoring!$AI$29:$AI$361,0)))</f>
        <v>47</v>
      </c>
      <c r="M100" s="9" t="n">
        <f aca="false">IF($O100="","",INDEX(Scoring!$O$29:$O$361,MATCH($O100,Scoring!$AI$29:$AI$361,0)))</f>
        <v>7904.7</v>
      </c>
      <c r="N100" s="7" t="str">
        <f aca="false">IF($O100="","",INDEX(Scoring!$Y$29:$Y$361,MATCH($O100,Scoring!$AI$29:$AI$361,0)))</f>
        <v>EU/EEA (1): Spain</v>
      </c>
      <c r="O100" s="10" t="n">
        <f aca="false">IFERROR(SMALL(Scoring!$AI$29:$AI$361,96),"")</f>
        <v>6004</v>
      </c>
    </row>
    <row r="101" customFormat="false" ht="28.35" hidden="false" customHeight="false" outlineLevel="0" collapsed="false">
      <c r="A101" s="5" t="n">
        <f aca="false">IF($O101="","",INT($O101/1000))</f>
        <v>7</v>
      </c>
      <c r="B101" s="6" t="str">
        <f aca="false">IF($O101="","",INDEX(Scoring!$A$29:$A$361,MATCH($O101,Scoring!$AI$29:$AI$361,0)))</f>
        <v>Zydus</v>
      </c>
      <c r="C101" s="5" t="n">
        <f aca="false">IF($O101="","",IF(INDEX(Scoring!$F$29:$F$361,MATCH($O101,Scoring!$AI$29:$AI$361,0))="","–",INDEX(Scoring!$F$29:$F$361,MATCH($O101,Scoring!$AI$29:$AI$361,0))))</f>
        <v>1</v>
      </c>
      <c r="D101" s="6" t="str">
        <f aca="false">IF($O101="","",INDEX(Scoring!$E$29:$E$361,MATCH($O101,Scoring!$AI$29:$AI$361,0)))</f>
        <v>Priority 1</v>
      </c>
      <c r="E101" s="7" t="str">
        <f aca="false">IF($O101="","",INDEX(Scoring!$G$29:$G$361,MATCH($O101,Scoring!$AI$29:$AI$361,0)))</f>
        <v>High price, high volume</v>
      </c>
      <c r="F101" s="6" t="str">
        <f aca="false">IF($O101="","",INDEX(Scoring!$B$29:$B$361,MATCH($O101,Scoring!$AI$29:$AI$361,0)))</f>
        <v>Bortezomib</v>
      </c>
      <c r="G101" s="7" t="str">
        <f aca="false">IF($O101="","",INDEX(Scoring!$C$29:$C$361,MATCH($O101,Scoring!$AI$29:$AI$361,0)))</f>
        <v>Bortezomib; Bortezomib Combix; Zymib</v>
      </c>
      <c r="H101" s="7" t="str">
        <f aca="false">IF($O101="","",INDEX(Scoring!$D$29:$D$361,MATCH($O101,Scoring!$AI$29:$AI$361,0)))</f>
        <v>Oncology: multiple myeloma, mantle cell lymphoma</v>
      </c>
      <c r="I101" s="6" t="str">
        <f aca="false">IF($O101="","",INDEX(Scoring!$R$29:$R$361,MATCH($O101,Scoring!$AI$29:$AI$361,0)))</f>
        <v>Vial</v>
      </c>
      <c r="J101" s="7" t="str">
        <f aca="false">IF($O101="","",INDEX(Scoring!$S$29:$S$361,MATCH($O101,Scoring!$AI$29:$AI$361,0)))</f>
        <v>3.5 mg powder vial; 3.5 mg in 10 mL powder vial</v>
      </c>
      <c r="K101" s="8" t="n">
        <f aca="false">IF($O101="","",IF(INDEX(Scoring!$I$29:$I$361,MATCH($O101,Scoring!$AI$29:$AI$361,0))="",INDEX(Scoring!$AC$29:$AC$361,MATCH($O101,Scoring!$AI$29:$AI$361,0)),INDEX(Scoring!$I$29:$I$361,MATCH($O101,Scoring!$AI$29:$AI$361,0))))</f>
        <v>618.92</v>
      </c>
      <c r="L101" s="9" t="n">
        <f aca="false">IF($O101="","",INDEX(Scoring!$M$29:$M$361,MATCH($O101,Scoring!$AI$29:$AI$361,0)))</f>
        <v>905</v>
      </c>
      <c r="M101" s="9" t="n">
        <f aca="false">IF($O101="","",INDEX(Scoring!$O$29:$O$361,MATCH($O101,Scoring!$AI$29:$AI$361,0)))</f>
        <v>28093.4</v>
      </c>
      <c r="N101" s="7" t="str">
        <f aca="false">IF($O101="","",INDEX(Scoring!$Y$29:$Y$361,MATCH($O101,Scoring!$AI$29:$AI$361,0)))</f>
        <v>US, UK, South Africa, UK-NI | EU/EEA (2): France, Spain</v>
      </c>
      <c r="O101" s="10" t="n">
        <f aca="false">IFERROR(SMALL(Scoring!$AI$29:$AI$361,97),"")</f>
        <v>7001</v>
      </c>
    </row>
    <row r="102" customFormat="false" ht="28.35" hidden="false" customHeight="false" outlineLevel="0" collapsed="false">
      <c r="A102" s="5" t="n">
        <f aca="false">IF($O102="","",INT($O102/1000))</f>
        <v>7</v>
      </c>
      <c r="B102" s="6" t="str">
        <f aca="false">IF($O102="","",INDEX(Scoring!$A$29:$A$361,MATCH($O102,Scoring!$AI$29:$AI$361,0)))</f>
        <v>Zydus</v>
      </c>
      <c r="C102" s="5" t="n">
        <f aca="false">IF($O102="","",IF(INDEX(Scoring!$F$29:$F$361,MATCH($O102,Scoring!$AI$29:$AI$361,0))="","–",INDEX(Scoring!$F$29:$F$361,MATCH($O102,Scoring!$AI$29:$AI$361,0))))</f>
        <v>2</v>
      </c>
      <c r="D102" s="6" t="str">
        <f aca="false">IF($O102="","",INDEX(Scoring!$E$29:$E$361,MATCH($O102,Scoring!$AI$29:$AI$361,0)))</f>
        <v>Priority 1</v>
      </c>
      <c r="E102" s="7" t="str">
        <f aca="false">IF($O102="","",INDEX(Scoring!$G$29:$G$361,MATCH($O102,Scoring!$AI$29:$AI$361,0)))</f>
        <v>High price, high volume</v>
      </c>
      <c r="F102" s="6" t="str">
        <f aca="false">IF($O102="","",INDEX(Scoring!$B$29:$B$361,MATCH($O102,Scoring!$AI$29:$AI$361,0)))</f>
        <v>Fulvestrant</v>
      </c>
      <c r="G102" s="7" t="str">
        <f aca="false">IF($O102="","",INDEX(Scoring!$C$29:$C$361,MATCH($O102,Scoring!$AI$29:$AI$361,0)))</f>
        <v>Fulvestrant</v>
      </c>
      <c r="H102" s="7" t="str">
        <f aca="false">IF($O102="","",INDEX(Scoring!$D$29:$D$361,MATCH($O102,Scoring!$AI$29:$AI$361,0)))</f>
        <v>Oncology: hormone receptor-positive advanced breast cancer</v>
      </c>
      <c r="I102" s="6" t="str">
        <f aca="false">IF($O102="","",INDEX(Scoring!$R$29:$R$361,MATCH($O102,Scoring!$AI$29:$AI$361,0)))</f>
        <v>Prefilled syringe</v>
      </c>
      <c r="J102" s="7" t="str">
        <f aca="false">IF($O102="","",INDEX(Scoring!$S$29:$S$361,MATCH($O102,Scoring!$AI$29:$AI$361,0)))</f>
        <v>250 mg/5 mL pre-filled syringe</v>
      </c>
      <c r="K102" s="8" t="n">
        <f aca="false">IF($O102="","",IF(INDEX(Scoring!$I$29:$I$361,MATCH($O102,Scoring!$AI$29:$AI$361,0))="",INDEX(Scoring!$AC$29:$AC$361,MATCH($O102,Scoring!$AI$29:$AI$361,0)),INDEX(Scoring!$I$29:$I$361,MATCH($O102,Scoring!$AI$29:$AI$361,0))))</f>
        <v>29.97</v>
      </c>
      <c r="L102" s="9" t="n">
        <f aca="false">IF($O102="","",INDEX(Scoring!$M$29:$M$361,MATCH($O102,Scoring!$AI$29:$AI$361,0)))</f>
        <v>146</v>
      </c>
      <c r="M102" s="9" t="n">
        <f aca="false">IF($O102="","",INDEX(Scoring!$O$29:$O$361,MATCH($O102,Scoring!$AI$29:$AI$361,0)))</f>
        <v>11366.1</v>
      </c>
      <c r="N102" s="7" t="str">
        <f aca="false">IF($O102="","",INDEX(Scoring!$Y$29:$Y$361,MATCH($O102,Scoring!$AI$29:$AI$361,0)))</f>
        <v>US</v>
      </c>
      <c r="O102" s="10" t="n">
        <f aca="false">IFERROR(SMALL(Scoring!$AI$29:$AI$361,98),"")</f>
        <v>7002</v>
      </c>
    </row>
    <row r="103" customFormat="false" ht="28.35" hidden="false" customHeight="false" outlineLevel="0" collapsed="false">
      <c r="A103" s="5" t="n">
        <f aca="false">IF($O103="","",INT($O103/1000))</f>
        <v>7</v>
      </c>
      <c r="B103" s="6" t="str">
        <f aca="false">IF($O103="","",INDEX(Scoring!$A$29:$A$361,MATCH($O103,Scoring!$AI$29:$AI$361,0)))</f>
        <v>Zydus</v>
      </c>
      <c r="C103" s="5" t="n">
        <f aca="false">IF($O103="","",IF(INDEX(Scoring!$F$29:$F$361,MATCH($O103,Scoring!$AI$29:$AI$361,0))="","–",INDEX(Scoring!$F$29:$F$361,MATCH($O103,Scoring!$AI$29:$AI$361,0))))</f>
        <v>3</v>
      </c>
      <c r="D103" s="6" t="str">
        <f aca="false">IF($O103="","",INDEX(Scoring!$E$29:$E$361,MATCH($O103,Scoring!$AI$29:$AI$361,0)))</f>
        <v>Priority 2</v>
      </c>
      <c r="E103" s="7" t="str">
        <f aca="false">IF($O103="","",INDEX(Scoring!$G$29:$G$361,MATCH($O103,Scoring!$AI$29:$AI$361,0)))</f>
        <v>Lower price, high volume</v>
      </c>
      <c r="F103" s="6" t="str">
        <f aca="false">IF($O103="","",INDEX(Scoring!$B$29:$B$361,MATCH($O103,Scoring!$AI$29:$AI$361,0)))</f>
        <v>Ceftriaxone</v>
      </c>
      <c r="G103" s="7" t="str">
        <f aca="false">IF($O103="","",INDEX(Scoring!$C$29:$C$361,MATCH($O103,Scoring!$AI$29:$AI$361,0)))</f>
        <v>Ceftriaxone Zydus</v>
      </c>
      <c r="H103" s="7" t="str">
        <f aca="false">IF($O103="","",INDEX(Scoring!$D$29:$D$361,MATCH($O103,Scoring!$AI$29:$AI$361,0)))</f>
        <v>Anti-infective: pneumonia, meningitis, sepsis, gonorrhoea, typhoid</v>
      </c>
      <c r="I103" s="6" t="str">
        <f aca="false">IF($O103="","",INDEX(Scoring!$R$29:$R$361,MATCH($O103,Scoring!$AI$29:$AI$361,0)))</f>
        <v>Vial</v>
      </c>
      <c r="J103" s="7" t="str">
        <f aca="false">IF($O103="","",INDEX(Scoring!$S$29:$S$361,MATCH($O103,Scoring!$AI$29:$AI$361,0)))</f>
        <v>1 g powder vial</v>
      </c>
      <c r="K103" s="8" t="n">
        <f aca="false">IF($O103="","",IF(INDEX(Scoring!$I$29:$I$361,MATCH($O103,Scoring!$AI$29:$AI$361,0))="",INDEX(Scoring!$AC$29:$AC$361,MATCH($O103,Scoring!$AI$29:$AI$361,0)),INDEX(Scoring!$I$29:$I$361,MATCH($O103,Scoring!$AI$29:$AI$361,0))))</f>
        <v>7.82</v>
      </c>
      <c r="L103" s="9" t="n">
        <f aca="false">IF($O103="","",INDEX(Scoring!$M$29:$M$361,MATCH($O103,Scoring!$AI$29:$AI$361,0)))</f>
        <v>3110</v>
      </c>
      <c r="M103" s="9" t="n">
        <f aca="false">IF($O103="","",INDEX(Scoring!$O$29:$O$361,MATCH($O103,Scoring!$AI$29:$AI$361,0)))</f>
        <v>93119.2</v>
      </c>
      <c r="N103" s="7" t="str">
        <f aca="false">IF($O103="","",INDEX(Scoring!$Y$29:$Y$361,MATCH($O103,Scoring!$AI$29:$AI$361,0)))</f>
        <v>EU/EEA (1): France</v>
      </c>
      <c r="O103" s="10" t="n">
        <f aca="false">IFERROR(SMALL(Scoring!$AI$29:$AI$361,99),"")</f>
        <v>7003</v>
      </c>
    </row>
    <row r="104" customFormat="false" ht="28.35" hidden="false" customHeight="false" outlineLevel="0" collapsed="false">
      <c r="A104" s="5" t="n">
        <f aca="false">IF($O104="","",INT($O104/1000))</f>
        <v>7</v>
      </c>
      <c r="B104" s="6" t="str">
        <f aca="false">IF($O104="","",INDEX(Scoring!$A$29:$A$361,MATCH($O104,Scoring!$AI$29:$AI$361,0)))</f>
        <v>Zydus</v>
      </c>
      <c r="C104" s="5" t="n">
        <f aca="false">IF($O104="","",IF(INDEX(Scoring!$F$29:$F$361,MATCH($O104,Scoring!$AI$29:$AI$361,0))="","–",INDEX(Scoring!$F$29:$F$361,MATCH($O104,Scoring!$AI$29:$AI$361,0))))</f>
        <v>4</v>
      </c>
      <c r="D104" s="6" t="str">
        <f aca="false">IF($O104="","",INDEX(Scoring!$E$29:$E$361,MATCH($O104,Scoring!$AI$29:$AI$361,0)))</f>
        <v>Priority 2</v>
      </c>
      <c r="E104" s="7" t="str">
        <f aca="false">IF($O104="","",INDEX(Scoring!$G$29:$G$361,MATCH($O104,Scoring!$AI$29:$AI$361,0)))</f>
        <v>Lower price, high volume</v>
      </c>
      <c r="F104" s="6" t="str">
        <f aca="false">IF($O104="","",INDEX(Scoring!$B$29:$B$361,MATCH($O104,Scoring!$AI$29:$AI$361,0)))</f>
        <v>Ondansetron</v>
      </c>
      <c r="G104" s="7" t="str">
        <f aca="false">IF($O104="","",INDEX(Scoring!$C$29:$C$361,MATCH($O104,Scoring!$AI$29:$AI$361,0)))</f>
        <v>Zydus-Ondansetron</v>
      </c>
      <c r="H104" s="7" t="str">
        <f aca="false">IF($O104="","",INDEX(Scoring!$D$29:$D$361,MATCH($O104,Scoring!$AI$29:$AI$361,0)))</f>
        <v>Oncology support: nausea and vomiting from chemotherapy and surgery</v>
      </c>
      <c r="I104" s="6" t="str">
        <f aca="false">IF($O104="","",INDEX(Scoring!$R$29:$R$361,MATCH($O104,Scoring!$AI$29:$AI$361,0)))</f>
        <v>Vial</v>
      </c>
      <c r="J104" s="7" t="str">
        <f aca="false">IF($O104="","",INDEX(Scoring!$S$29:$S$361,MATCH($O104,Scoring!$AI$29:$AI$361,0)))</f>
        <v>8 mg vial</v>
      </c>
      <c r="K104" s="8" t="n">
        <f aca="false">IF($O104="","",IF(INDEX(Scoring!$I$29:$I$361,MATCH($O104,Scoring!$AI$29:$AI$361,0))="",INDEX(Scoring!$AC$29:$AC$361,MATCH($O104,Scoring!$AI$29:$AI$361,0)),INDEX(Scoring!$I$29:$I$361,MATCH($O104,Scoring!$AI$29:$AI$361,0))))</f>
        <v>6.29</v>
      </c>
      <c r="L104" s="9" t="n">
        <f aca="false">IF($O104="","",INDEX(Scoring!$M$29:$M$361,MATCH($O104,Scoring!$AI$29:$AI$361,0)))</f>
        <v>963</v>
      </c>
      <c r="M104" s="9" t="n">
        <f aca="false">IF($O104="","",INDEX(Scoring!$O$29:$O$361,MATCH($O104,Scoring!$AI$29:$AI$361,0)))</f>
        <v>17590.5</v>
      </c>
      <c r="N104" s="7" t="str">
        <f aca="false">IF($O104="","",INDEX(Scoring!$Y$29:$Y$361,MATCH($O104,Scoring!$AI$29:$AI$361,0)))</f>
        <v>South Africa</v>
      </c>
      <c r="O104" s="10" t="n">
        <f aca="false">IFERROR(SMALL(Scoring!$AI$29:$AI$361,100),"")</f>
        <v>7004</v>
      </c>
    </row>
    <row r="105" customFormat="false" ht="28.35" hidden="false" customHeight="false" outlineLevel="0" collapsed="false">
      <c r="A105" s="5" t="n">
        <f aca="false">IF($O105="","",INT($O105/1000))</f>
        <v>7</v>
      </c>
      <c r="B105" s="6" t="str">
        <f aca="false">IF($O105="","",INDEX(Scoring!$A$29:$A$361,MATCH($O105,Scoring!$AI$29:$AI$361,0)))</f>
        <v>Zydus</v>
      </c>
      <c r="C105" s="5" t="n">
        <f aca="false">IF($O105="","",IF(INDEX(Scoring!$F$29:$F$361,MATCH($O105,Scoring!$AI$29:$AI$361,0))="","–",INDEX(Scoring!$F$29:$F$361,MATCH($O105,Scoring!$AI$29:$AI$361,0))))</f>
        <v>5</v>
      </c>
      <c r="D105" s="6" t="str">
        <f aca="false">IF($O105="","",INDEX(Scoring!$E$29:$E$361,MATCH($O105,Scoring!$AI$29:$AI$361,0)))</f>
        <v>Priority 2</v>
      </c>
      <c r="E105" s="7" t="str">
        <f aca="false">IF($O105="","",INDEX(Scoring!$G$29:$G$361,MATCH($O105,Scoring!$AI$29:$AI$361,0)))</f>
        <v>Lower price, high volume</v>
      </c>
      <c r="F105" s="6" t="str">
        <f aca="false">IF($O105="","",INDEX(Scoring!$B$29:$B$361,MATCH($O105,Scoring!$AI$29:$AI$361,0)))</f>
        <v>Hydrocortisone</v>
      </c>
      <c r="G105" s="7" t="str">
        <f aca="false">IF($O105="","",INDEX(Scoring!$C$29:$C$361,MATCH($O105,Scoring!$AI$29:$AI$361,0)))</f>
        <v>Hydrocortisone Sodium Succinate</v>
      </c>
      <c r="H105" s="7" t="str">
        <f aca="false">IF($O105="","",INDEX(Scoring!$D$29:$D$361,MATCH($O105,Scoring!$AI$29:$AI$361,0)))</f>
        <v>Endocrinology and critical care: adrenal crisis, anaphylaxis, severe asthma, shock</v>
      </c>
      <c r="I105" s="6" t="str">
        <f aca="false">IF($O105="","",INDEX(Scoring!$R$29:$R$361,MATCH($O105,Scoring!$AI$29:$AI$361,0)))</f>
        <v>Vial</v>
      </c>
      <c r="J105" s="7" t="str">
        <f aca="false">IF($O105="","",INDEX(Scoring!$S$29:$S$361,MATCH($O105,Scoring!$AI$29:$AI$361,0)))</f>
        <v>100 mg/2 mL vial</v>
      </c>
      <c r="K105" s="8" t="n">
        <f aca="false">IF($O105="","",IF(INDEX(Scoring!$I$29:$I$361,MATCH($O105,Scoring!$AI$29:$AI$361,0))="",INDEX(Scoring!$AC$29:$AC$361,MATCH($O105,Scoring!$AI$29:$AI$361,0)),INDEX(Scoring!$I$29:$I$361,MATCH($O105,Scoring!$AI$29:$AI$361,0))))</f>
        <v>23.15</v>
      </c>
      <c r="L105" s="9" t="n">
        <f aca="false">IF($O105="","",INDEX(Scoring!$M$29:$M$361,MATCH($O105,Scoring!$AI$29:$AI$361,0)))</f>
        <v>325</v>
      </c>
      <c r="M105" s="9" t="n">
        <f aca="false">IF($O105="","",INDEX(Scoring!$O$29:$O$361,MATCH($O105,Scoring!$AI$29:$AI$361,0)))</f>
        <v>4796.6</v>
      </c>
      <c r="N105" s="7" t="str">
        <f aca="false">IF($O105="","",INDEX(Scoring!$Y$29:$Y$361,MATCH($O105,Scoring!$AI$29:$AI$361,0)))</f>
        <v>US</v>
      </c>
      <c r="O105" s="10" t="n">
        <f aca="false">IFERROR(SMALL(Scoring!$AI$29:$AI$361,101),"")</f>
        <v>7005</v>
      </c>
    </row>
    <row r="106" customFormat="false" ht="28.35" hidden="false" customHeight="false" outlineLevel="0" collapsed="false">
      <c r="A106" s="5" t="n">
        <f aca="false">IF($O106="","",INT($O106/1000))</f>
        <v>7</v>
      </c>
      <c r="B106" s="6" t="str">
        <f aca="false">IF($O106="","",INDEX(Scoring!$A$29:$A$361,MATCH($O106,Scoring!$AI$29:$AI$361,0)))</f>
        <v>Zydus</v>
      </c>
      <c r="C106" s="5" t="n">
        <f aca="false">IF($O106="","",IF(INDEX(Scoring!$F$29:$F$361,MATCH($O106,Scoring!$AI$29:$AI$361,0))="","–",INDEX(Scoring!$F$29:$F$361,MATCH($O106,Scoring!$AI$29:$AI$361,0))))</f>
        <v>6</v>
      </c>
      <c r="D106" s="6" t="str">
        <f aca="false">IF($O106="","",INDEX(Scoring!$E$29:$E$361,MATCH($O106,Scoring!$AI$29:$AI$361,0)))</f>
        <v>Priority 2</v>
      </c>
      <c r="E106" s="7" t="str">
        <f aca="false">IF($O106="","",INDEX(Scoring!$G$29:$G$361,MATCH($O106,Scoring!$AI$29:$AI$361,0)))</f>
        <v>Lower price, high volume</v>
      </c>
      <c r="F106" s="6" t="str">
        <f aca="false">IF($O106="","",INDEX(Scoring!$B$29:$B$361,MATCH($O106,Scoring!$AI$29:$AI$361,0)))</f>
        <v>Succinylcholine (Suxamethonium)</v>
      </c>
      <c r="G106" s="7" t="str">
        <f aca="false">IF($O106="","",INDEX(Scoring!$C$29:$C$361,MATCH($O106,Scoring!$AI$29:$AI$361,0)))</f>
        <v>Succinylcholine Chloride</v>
      </c>
      <c r="H106" s="7" t="str">
        <f aca="false">IF($O106="","",INDEX(Scoring!$D$29:$D$361,MATCH($O106,Scoring!$AI$29:$AI$361,0)))</f>
        <v>Anaesthesia: muscle relaxant for rapid intubation</v>
      </c>
      <c r="I106" s="6" t="str">
        <f aca="false">IF($O106="","",INDEX(Scoring!$R$29:$R$361,MATCH($O106,Scoring!$AI$29:$AI$361,0)))</f>
        <v>Vial</v>
      </c>
      <c r="J106" s="7" t="str">
        <f aca="false">IF($O106="","",INDEX(Scoring!$S$29:$S$361,MATCH($O106,Scoring!$AI$29:$AI$361,0)))</f>
        <v>200 mg/10 mL vial</v>
      </c>
      <c r="K106" s="8" t="n">
        <f aca="false">IF($O106="","",IF(INDEX(Scoring!$I$29:$I$361,MATCH($O106,Scoring!$AI$29:$AI$361,0))="",INDEX(Scoring!$AC$29:$AC$361,MATCH($O106,Scoring!$AI$29:$AI$361,0)),INDEX(Scoring!$I$29:$I$361,MATCH($O106,Scoring!$AI$29:$AI$361,0))))</f>
        <v>5.03</v>
      </c>
      <c r="L106" s="9" t="n">
        <f aca="false">IF($O106="","",INDEX(Scoring!$M$29:$M$361,MATCH($O106,Scoring!$AI$29:$AI$361,0)))</f>
        <v>286</v>
      </c>
      <c r="M106" s="9" t="n">
        <f aca="false">IF($O106="","",INDEX(Scoring!$O$29:$O$361,MATCH($O106,Scoring!$AI$29:$AI$361,0)))</f>
        <v>3067.4</v>
      </c>
      <c r="N106" s="7" t="str">
        <f aca="false">IF($O106="","",INDEX(Scoring!$Y$29:$Y$361,MATCH($O106,Scoring!$AI$29:$AI$361,0)))</f>
        <v>US</v>
      </c>
      <c r="O106" s="10" t="n">
        <f aca="false">IFERROR(SMALL(Scoring!$AI$29:$AI$361,102),"")</f>
        <v>7006</v>
      </c>
    </row>
    <row r="107" customFormat="false" ht="28.35" hidden="false" customHeight="false" outlineLevel="0" collapsed="false">
      <c r="A107" s="5" t="n">
        <f aca="false">IF($O107="","",INT($O107/1000))</f>
        <v>7</v>
      </c>
      <c r="B107" s="6" t="str">
        <f aca="false">IF($O107="","",INDEX(Scoring!$A$29:$A$361,MATCH($O107,Scoring!$AI$29:$AI$361,0)))</f>
        <v>Zydus</v>
      </c>
      <c r="C107" s="5" t="n">
        <f aca="false">IF($O107="","",IF(INDEX(Scoring!$F$29:$F$361,MATCH($O107,Scoring!$AI$29:$AI$361,0))="","–",INDEX(Scoring!$F$29:$F$361,MATCH($O107,Scoring!$AI$29:$AI$361,0))))</f>
        <v>7</v>
      </c>
      <c r="D107" s="6" t="str">
        <f aca="false">IF($O107="","",INDEX(Scoring!$E$29:$E$361,MATCH($O107,Scoring!$AI$29:$AI$361,0)))</f>
        <v>Priority 2</v>
      </c>
      <c r="E107" s="7" t="str">
        <f aca="false">IF($O107="","",INDEX(Scoring!$G$29:$G$361,MATCH($O107,Scoring!$AI$29:$AI$361,0)))</f>
        <v>High price, lower volume</v>
      </c>
      <c r="F107" s="6" t="str">
        <f aca="false">IF($O107="","",INDEX(Scoring!$B$29:$B$361,MATCH($O107,Scoring!$AI$29:$AI$361,0)))</f>
        <v>Cyanocobalamin</v>
      </c>
      <c r="G107" s="7" t="str">
        <f aca="false">IF($O107="","",INDEX(Scoring!$C$29:$C$361,MATCH($O107,Scoring!$AI$29:$AI$361,0)))</f>
        <v>Cyanocobalamin</v>
      </c>
      <c r="H107" s="7" t="str">
        <f aca="false">IF($O107="","",INDEX(Scoring!$D$29:$D$361,MATCH($O107,Scoring!$AI$29:$AI$361,0)))</f>
        <v>Haematology: vitamin B12 deficiency, pernicious anaemia</v>
      </c>
      <c r="I107" s="6" t="str">
        <f aca="false">IF($O107="","",INDEX(Scoring!$R$29:$R$361,MATCH($O107,Scoring!$AI$29:$AI$361,0)))</f>
        <v>Vial</v>
      </c>
      <c r="J107" s="7" t="str">
        <f aca="false">IF($O107="","",INDEX(Scoring!$S$29:$S$361,MATCH($O107,Scoring!$AI$29:$AI$361,0)))</f>
        <v>1 mg/1 mL vial</v>
      </c>
      <c r="K107" s="8" t="n">
        <f aca="false">IF($O107="","",IF(INDEX(Scoring!$I$29:$I$361,MATCH($O107,Scoring!$AI$29:$AI$361,0))="",INDEX(Scoring!$AC$29:$AC$361,MATCH($O107,Scoring!$AI$29:$AI$361,0)),INDEX(Scoring!$I$29:$I$361,MATCH($O107,Scoring!$AI$29:$AI$361,0))))</f>
        <v>31.25</v>
      </c>
      <c r="L107" s="9" t="n">
        <f aca="false">IF($O107="","",INDEX(Scoring!$M$29:$M$361,MATCH($O107,Scoring!$AI$29:$AI$361,0)))</f>
        <v>122</v>
      </c>
      <c r="M107" s="9" t="n">
        <f aca="false">IF($O107="","",INDEX(Scoring!$O$29:$O$361,MATCH($O107,Scoring!$AI$29:$AI$361,0)))</f>
        <v>2413</v>
      </c>
      <c r="N107" s="7" t="str">
        <f aca="false">IF($O107="","",INDEX(Scoring!$Y$29:$Y$361,MATCH($O107,Scoring!$AI$29:$AI$361,0)))</f>
        <v>US</v>
      </c>
      <c r="O107" s="10" t="n">
        <f aca="false">IFERROR(SMALL(Scoring!$AI$29:$AI$361,103),"")</f>
        <v>7007</v>
      </c>
    </row>
    <row r="108" customFormat="false" ht="28.35" hidden="false" customHeight="false" outlineLevel="0" collapsed="false">
      <c r="A108" s="5" t="n">
        <f aca="false">IF($O108="","",INT($O108/1000))</f>
        <v>7</v>
      </c>
      <c r="B108" s="6" t="str">
        <f aca="false">IF($O108="","",INDEX(Scoring!$A$29:$A$361,MATCH($O108,Scoring!$AI$29:$AI$361,0)))</f>
        <v>Zydus</v>
      </c>
      <c r="C108" s="5" t="n">
        <f aca="false">IF($O108="","",IF(INDEX(Scoring!$F$29:$F$361,MATCH($O108,Scoring!$AI$29:$AI$361,0))="","–",INDEX(Scoring!$F$29:$F$361,MATCH($O108,Scoring!$AI$29:$AI$361,0))))</f>
        <v>8</v>
      </c>
      <c r="D108" s="6" t="str">
        <f aca="false">IF($O108="","",INDEX(Scoring!$E$29:$E$361,MATCH($O108,Scoring!$AI$29:$AI$361,0)))</f>
        <v>Priority 3</v>
      </c>
      <c r="E108" s="7" t="str">
        <f aca="false">IF($O108="","",INDEX(Scoring!$G$29:$G$361,MATCH($O108,Scoring!$AI$29:$AI$361,0)))</f>
        <v>Lower price, lower volume</v>
      </c>
      <c r="F108" s="6" t="str">
        <f aca="false">IF($O108="","",INDEX(Scoring!$B$29:$B$361,MATCH($O108,Scoring!$AI$29:$AI$361,0)))</f>
        <v>Haloperidol Decanoate</v>
      </c>
      <c r="G108" s="7" t="str">
        <f aca="false">IF($O108="","",INDEX(Scoring!$C$29:$C$361,MATCH($O108,Scoring!$AI$29:$AI$361,0)))</f>
        <v>Haloperidol Decanoate</v>
      </c>
      <c r="H108" s="7" t="str">
        <f aca="false">IF($O108="","",INDEX(Scoring!$D$29:$D$361,MATCH($O108,Scoring!$AI$29:$AI$361,0)))</f>
        <v>Psychiatry: long-acting maintenance treatment for schizophrenia</v>
      </c>
      <c r="I108" s="6" t="str">
        <f aca="false">IF($O108="","",INDEX(Scoring!$R$29:$R$361,MATCH($O108,Scoring!$AI$29:$AI$361,0)))</f>
        <v>Vial</v>
      </c>
      <c r="J108" s="7" t="str">
        <f aca="false">IF($O108="","",INDEX(Scoring!$S$29:$S$361,MATCH($O108,Scoring!$AI$29:$AI$361,0)))</f>
        <v>50 mg/1 mL vial; 100 mg/1 mL vial</v>
      </c>
      <c r="K108" s="8" t="n">
        <f aca="false">IF($O108="","",IF(INDEX(Scoring!$I$29:$I$361,MATCH($O108,Scoring!$AI$29:$AI$361,0))="",INDEX(Scoring!$AC$29:$AC$361,MATCH($O108,Scoring!$AI$29:$AI$361,0)),INDEX(Scoring!$I$29:$I$361,MATCH($O108,Scoring!$AI$29:$AI$361,0))))</f>
        <v>14.99</v>
      </c>
      <c r="L108" s="9" t="n">
        <f aca="false">IF($O108="","",INDEX(Scoring!$M$29:$M$361,MATCH($O108,Scoring!$AI$29:$AI$361,0)))</f>
        <v>36</v>
      </c>
      <c r="M108" s="9" t="n">
        <f aca="false">IF($O108="","",INDEX(Scoring!$O$29:$O$361,MATCH($O108,Scoring!$AI$29:$AI$361,0)))</f>
        <v>1618.6</v>
      </c>
      <c r="N108" s="7" t="str">
        <f aca="false">IF($O108="","",INDEX(Scoring!$Y$29:$Y$361,MATCH($O108,Scoring!$AI$29:$AI$361,0)))</f>
        <v>US</v>
      </c>
      <c r="O108" s="10" t="n">
        <f aca="false">IFERROR(SMALL(Scoring!$AI$29:$AI$361,104),"")</f>
        <v>7008</v>
      </c>
    </row>
    <row r="109" customFormat="false" ht="28.35" hidden="false" customHeight="false" outlineLevel="0" collapsed="false">
      <c r="A109" s="5" t="n">
        <f aca="false">IF($O109="","",INT($O109/1000))</f>
        <v>7</v>
      </c>
      <c r="B109" s="6" t="str">
        <f aca="false">IF($O109="","",INDEX(Scoring!$A$29:$A$361,MATCH($O109,Scoring!$AI$29:$AI$361,0)))</f>
        <v>Zydus</v>
      </c>
      <c r="C109" s="5" t="n">
        <f aca="false">IF($O109="","",IF(INDEX(Scoring!$F$29:$F$361,MATCH($O109,Scoring!$AI$29:$AI$361,0))="","–",INDEX(Scoring!$F$29:$F$361,MATCH($O109,Scoring!$AI$29:$AI$361,0))))</f>
        <v>9</v>
      </c>
      <c r="D109" s="6" t="str">
        <f aca="false">IF($O109="","",INDEX(Scoring!$E$29:$E$361,MATCH($O109,Scoring!$AI$29:$AI$361,0)))</f>
        <v>Priority 3</v>
      </c>
      <c r="E109" s="7" t="str">
        <f aca="false">IF($O109="","",INDEX(Scoring!$G$29:$G$361,MATCH($O109,Scoring!$AI$29:$AI$361,0)))</f>
        <v>Lower price, lower volume</v>
      </c>
      <c r="F109" s="6" t="str">
        <f aca="false">IF($O109="","",INDEX(Scoring!$B$29:$B$361,MATCH($O109,Scoring!$AI$29:$AI$361,0)))</f>
        <v>Chlorpromazine</v>
      </c>
      <c r="G109" s="7" t="str">
        <f aca="false">IF($O109="","",INDEX(Scoring!$C$29:$C$361,MATCH($O109,Scoring!$AI$29:$AI$361,0)))</f>
        <v>Chlorpromazine Hydrochloride</v>
      </c>
      <c r="H109" s="7" t="str">
        <f aca="false">IF($O109="","",INDEX(Scoring!$D$29:$D$361,MATCH($O109,Scoring!$AI$29:$AI$361,0)))</f>
        <v>Psychiatry: acute psychosis and agitation, severe nausea and vomiting</v>
      </c>
      <c r="I109" s="6" t="str">
        <f aca="false">IF($O109="","",INDEX(Scoring!$R$29:$R$361,MATCH($O109,Scoring!$AI$29:$AI$361,0)))</f>
        <v>Vial</v>
      </c>
      <c r="J109" s="7" t="str">
        <f aca="false">IF($O109="","",INDEX(Scoring!$S$29:$S$361,MATCH($O109,Scoring!$AI$29:$AI$361,0)))</f>
        <v>25 mg/1 mL vial</v>
      </c>
      <c r="K109" s="8" t="n">
        <f aca="false">IF($O109="","",IF(INDEX(Scoring!$I$29:$I$361,MATCH($O109,Scoring!$AI$29:$AI$361,0))="",INDEX(Scoring!$AC$29:$AC$361,MATCH($O109,Scoring!$AI$29:$AI$361,0)),INDEX(Scoring!$I$29:$I$361,MATCH($O109,Scoring!$AI$29:$AI$361,0))))</f>
        <v>14.96</v>
      </c>
      <c r="L109" s="9" t="n">
        <f aca="false">IF($O109="","",INDEX(Scoring!$M$29:$M$361,MATCH($O109,Scoring!$AI$29:$AI$361,0)))</f>
        <v>82</v>
      </c>
      <c r="M109" s="9" t="n">
        <f aca="false">IF($O109="","",INDEX(Scoring!$O$29:$O$361,MATCH($O109,Scoring!$AI$29:$AI$361,0)))</f>
        <v>1358.2</v>
      </c>
      <c r="N109" s="7" t="str">
        <f aca="false">IF($O109="","",INDEX(Scoring!$Y$29:$Y$361,MATCH($O109,Scoring!$AI$29:$AI$361,0)))</f>
        <v>US</v>
      </c>
      <c r="O109" s="10" t="n">
        <f aca="false">IFERROR(SMALL(Scoring!$AI$29:$AI$361,105),"")</f>
        <v>7009</v>
      </c>
    </row>
    <row r="110" customFormat="false" ht="28.35" hidden="false" customHeight="false" outlineLevel="0" collapsed="false">
      <c r="A110" s="5" t="n">
        <f aca="false">IF($O110="","",INT($O110/1000))</f>
        <v>8</v>
      </c>
      <c r="B110" s="6" t="str">
        <f aca="false">IF($O110="","",INDEX(Scoring!$A$29:$A$361,MATCH($O110,Scoring!$AI$29:$AI$361,0)))</f>
        <v>Hetero</v>
      </c>
      <c r="C110" s="5" t="n">
        <f aca="false">IF($O110="","",IF(INDEX(Scoring!$F$29:$F$361,MATCH($O110,Scoring!$AI$29:$AI$361,0))="","–",INDEX(Scoring!$F$29:$F$361,MATCH($O110,Scoring!$AI$29:$AI$361,0))))</f>
        <v>1</v>
      </c>
      <c r="D110" s="6" t="str">
        <f aca="false">IF($O110="","",INDEX(Scoring!$E$29:$E$361,MATCH($O110,Scoring!$AI$29:$AI$361,0)))</f>
        <v>Priority 1</v>
      </c>
      <c r="E110" s="7" t="str">
        <f aca="false">IF($O110="","",INDEX(Scoring!$G$29:$G$361,MATCH($O110,Scoring!$AI$29:$AI$361,0)))</f>
        <v>High price, high volume</v>
      </c>
      <c r="F110" s="6" t="str">
        <f aca="false">IF($O110="","",INDEX(Scoring!$B$29:$B$361,MATCH($O110,Scoring!$AI$29:$AI$361,0)))</f>
        <v>Azacitidine</v>
      </c>
      <c r="G110" s="7" t="str">
        <f aca="false">IF($O110="","",INDEX(Scoring!$C$29:$C$361,MATCH($O110,Scoring!$AI$29:$AI$361,0)))</f>
        <v>Azacitidine; Azacitidine Amarox</v>
      </c>
      <c r="H110" s="7" t="str">
        <f aca="false">IF($O110="","",INDEX(Scoring!$D$29:$D$361,MATCH($O110,Scoring!$AI$29:$AI$361,0)))</f>
        <v>Oncology: myelodysplastic syndromes, acute myeloid leukaemia</v>
      </c>
      <c r="I110" s="6" t="str">
        <f aca="false">IF($O110="","",INDEX(Scoring!$R$29:$R$361,MATCH($O110,Scoring!$AI$29:$AI$361,0)))</f>
        <v>Vial</v>
      </c>
      <c r="J110" s="7" t="str">
        <f aca="false">IF($O110="","",INDEX(Scoring!$S$29:$S$361,MATCH($O110,Scoring!$AI$29:$AI$361,0)))</f>
        <v>25 mg/mL powder vial</v>
      </c>
      <c r="K110" s="8" t="n">
        <f aca="false">IF($O110="","",IF(INDEX(Scoring!$I$29:$I$361,MATCH($O110,Scoring!$AI$29:$AI$361,0))="",INDEX(Scoring!$AC$29:$AC$361,MATCH($O110,Scoring!$AI$29:$AI$361,0)),INDEX(Scoring!$I$29:$I$361,MATCH($O110,Scoring!$AI$29:$AI$361,0))))</f>
        <v>360.71</v>
      </c>
      <c r="L110" s="9" t="n">
        <f aca="false">IF($O110="","",INDEX(Scoring!$M$29:$M$361,MATCH($O110,Scoring!$AI$29:$AI$361,0)))</f>
        <v>632</v>
      </c>
      <c r="M110" s="9" t="n">
        <f aca="false">IF($O110="","",INDEX(Scoring!$O$29:$O$361,MATCH($O110,Scoring!$AI$29:$AI$361,0)))</f>
        <v>42181.7</v>
      </c>
      <c r="N110" s="7" t="str">
        <f aca="false">IF($O110="","",INDEX(Scoring!$Y$29:$Y$361,MATCH($O110,Scoring!$AI$29:$AI$361,0)))</f>
        <v>UK, UK-NI</v>
      </c>
      <c r="O110" s="10" t="n">
        <f aca="false">IFERROR(SMALL(Scoring!$AI$29:$AI$361,106),"")</f>
        <v>8001</v>
      </c>
    </row>
    <row r="111" customFormat="false" ht="41.75" hidden="false" customHeight="false" outlineLevel="0" collapsed="false">
      <c r="A111" s="5" t="n">
        <f aca="false">IF($O111="","",INT($O111/1000))</f>
        <v>8</v>
      </c>
      <c r="B111" s="6" t="str">
        <f aca="false">IF($O111="","",INDEX(Scoring!$A$29:$A$361,MATCH($O111,Scoring!$AI$29:$AI$361,0)))</f>
        <v>Hetero</v>
      </c>
      <c r="C111" s="5" t="n">
        <f aca="false">IF($O111="","",IF(INDEX(Scoring!$F$29:$F$361,MATCH($O111,Scoring!$AI$29:$AI$361,0))="","–",INDEX(Scoring!$F$29:$F$361,MATCH($O111,Scoring!$AI$29:$AI$361,0))))</f>
        <v>2</v>
      </c>
      <c r="D111" s="6" t="str">
        <f aca="false">IF($O111="","",INDEX(Scoring!$E$29:$E$361,MATCH($O111,Scoring!$AI$29:$AI$361,0)))</f>
        <v>Priority 1</v>
      </c>
      <c r="E111" s="7" t="str">
        <f aca="false">IF($O111="","",INDEX(Scoring!$G$29:$G$361,MATCH($O111,Scoring!$AI$29:$AI$361,0)))</f>
        <v>High price, high volume</v>
      </c>
      <c r="F111" s="6" t="str">
        <f aca="false">IF($O111="","",INDEX(Scoring!$B$29:$B$361,MATCH($O111,Scoring!$AI$29:$AI$361,0)))</f>
        <v>Bortezomib</v>
      </c>
      <c r="G111" s="7" t="str">
        <f aca="false">IF($O111="","",INDEX(Scoring!$C$29:$C$361,MATCH($O111,Scoring!$AI$29:$AI$361,0)))</f>
        <v>Bortezomib; Bortezomib Amarox; Bortezomib Hetero (+1 more)</v>
      </c>
      <c r="H111" s="7" t="str">
        <f aca="false">IF($O111="","",INDEX(Scoring!$D$29:$D$361,MATCH($O111,Scoring!$AI$29:$AI$361,0)))</f>
        <v>Oncology: multiple myeloma, mantle cell lymphoma</v>
      </c>
      <c r="I111" s="6" t="str">
        <f aca="false">IF($O111="","",INDEX(Scoring!$R$29:$R$361,MATCH($O111,Scoring!$AI$29:$AI$361,0)))</f>
        <v>Vial</v>
      </c>
      <c r="J111" s="7" t="str">
        <f aca="false">IF($O111="","",INDEX(Scoring!$S$29:$S$361,MATCH($O111,Scoring!$AI$29:$AI$361,0)))</f>
        <v>3.5 mg powder vial; 1 mg/0.4 mL vial; 3.5 mg/1.4 mL vial; 2.5 mg/1 mL vial (+1 more)</v>
      </c>
      <c r="K111" s="8" t="n">
        <f aca="false">IF($O111="","",IF(INDEX(Scoring!$I$29:$I$361,MATCH($O111,Scoring!$AI$29:$AI$361,0))="",INDEX(Scoring!$AC$29:$AC$361,MATCH($O111,Scoring!$AI$29:$AI$361,0)),INDEX(Scoring!$I$29:$I$361,MATCH($O111,Scoring!$AI$29:$AI$361,0))))</f>
        <v>295.75</v>
      </c>
      <c r="L111" s="9" t="n">
        <f aca="false">IF($O111="","",INDEX(Scoring!$M$29:$M$361,MATCH($O111,Scoring!$AI$29:$AI$361,0)))</f>
        <v>905</v>
      </c>
      <c r="M111" s="9" t="n">
        <f aca="false">IF($O111="","",INDEX(Scoring!$O$29:$O$361,MATCH($O111,Scoring!$AI$29:$AI$361,0)))</f>
        <v>28093.4</v>
      </c>
      <c r="N111" s="7" t="str">
        <f aca="false">IF($O111="","",INDEX(Scoring!$Y$29:$Y$361,MATCH($O111,Scoring!$AI$29:$AI$361,0)))</f>
        <v>US, UK, Australia, South Africa, UK-NI | EU/EEA (3): Germany, Netherlands, Spain</v>
      </c>
      <c r="O111" s="10" t="n">
        <f aca="false">IFERROR(SMALL(Scoring!$AI$29:$AI$361,107),"")</f>
        <v>8002</v>
      </c>
    </row>
    <row r="112" customFormat="false" ht="41.75" hidden="false" customHeight="false" outlineLevel="0" collapsed="false">
      <c r="A112" s="5" t="n">
        <f aca="false">IF($O112="","",INT($O112/1000))</f>
        <v>8</v>
      </c>
      <c r="B112" s="6" t="str">
        <f aca="false">IF($O112="","",INDEX(Scoring!$A$29:$A$361,MATCH($O112,Scoring!$AI$29:$AI$361,0)))</f>
        <v>Hetero</v>
      </c>
      <c r="C112" s="5" t="n">
        <f aca="false">IF($O112="","",IF(INDEX(Scoring!$F$29:$F$361,MATCH($O112,Scoring!$AI$29:$AI$361,0))="","–",INDEX(Scoring!$F$29:$F$361,MATCH($O112,Scoring!$AI$29:$AI$361,0))))</f>
        <v>3</v>
      </c>
      <c r="D112" s="6" t="str">
        <f aca="false">IF($O112="","",INDEX(Scoring!$E$29:$E$361,MATCH($O112,Scoring!$AI$29:$AI$361,0)))</f>
        <v>Priority 2</v>
      </c>
      <c r="E112" s="7" t="str">
        <f aca="false">IF($O112="","",INDEX(Scoring!$G$29:$G$361,MATCH($O112,Scoring!$AI$29:$AI$361,0)))</f>
        <v>Lower price, high volume</v>
      </c>
      <c r="F112" s="6" t="str">
        <f aca="false">IF($O112="","",INDEX(Scoring!$B$29:$B$361,MATCH($O112,Scoring!$AI$29:$AI$361,0)))</f>
        <v>Methotrexate</v>
      </c>
      <c r="G112" s="7" t="str">
        <f aca="false">IF($O112="","",INDEX(Scoring!$C$29:$C$361,MATCH($O112,Scoring!$AI$29:$AI$361,0)))</f>
        <v>Methotrexate Sodium</v>
      </c>
      <c r="H112" s="7" t="str">
        <f aca="false">IF($O112="","",INDEX(Scoring!$D$29:$D$361,MATCH($O112,Scoring!$AI$29:$AI$361,0)))</f>
        <v>Oncology and immunology: leukaemia, lymphoma, bone cancer, rheumatoid arthritis, psoriasis</v>
      </c>
      <c r="I112" s="6" t="str">
        <f aca="false">IF($O112="","",INDEX(Scoring!$R$29:$R$361,MATCH($O112,Scoring!$AI$29:$AI$361,0)))</f>
        <v>Not stated</v>
      </c>
      <c r="J112" s="7" t="str">
        <f aca="false">IF($O112="","",INDEX(Scoring!$S$29:$S$361,MATCH($O112,Scoring!$AI$29:$AI$361,0)))</f>
        <v>50 mg/2 mL (container not stated)</v>
      </c>
      <c r="K112" s="8" t="n">
        <f aca="false">IF($O112="","",IF(INDEX(Scoring!$I$29:$I$361,MATCH($O112,Scoring!$AI$29:$AI$361,0))="",INDEX(Scoring!$AC$29:$AC$361,MATCH($O112,Scoring!$AI$29:$AI$361,0)),INDEX(Scoring!$I$29:$I$361,MATCH($O112,Scoring!$AI$29:$AI$361,0))))</f>
        <v>7.15</v>
      </c>
      <c r="L112" s="9" t="n">
        <f aca="false">IF($O112="","",INDEX(Scoring!$M$29:$M$361,MATCH($O112,Scoring!$AI$29:$AI$361,0)))</f>
        <v>996</v>
      </c>
      <c r="M112" s="9" t="n">
        <f aca="false">IF($O112="","",INDEX(Scoring!$O$29:$O$361,MATCH($O112,Scoring!$AI$29:$AI$361,0)))</f>
        <v>13045.6</v>
      </c>
      <c r="N112" s="7" t="str">
        <f aca="false">IF($O112="","",INDEX(Scoring!$Y$29:$Y$361,MATCH($O112,Scoring!$AI$29:$AI$361,0)))</f>
        <v>US</v>
      </c>
      <c r="O112" s="10" t="n">
        <f aca="false">IFERROR(SMALL(Scoring!$AI$29:$AI$361,108),"")</f>
        <v>8003</v>
      </c>
    </row>
    <row r="113" customFormat="false" ht="28.35" hidden="false" customHeight="false" outlineLevel="0" collapsed="false">
      <c r="A113" s="5" t="n">
        <f aca="false">IF($O113="","",INT($O113/1000))</f>
        <v>8</v>
      </c>
      <c r="B113" s="6" t="str">
        <f aca="false">IF($O113="","",INDEX(Scoring!$A$29:$A$361,MATCH($O113,Scoring!$AI$29:$AI$361,0)))</f>
        <v>Hetero</v>
      </c>
      <c r="C113" s="5" t="n">
        <f aca="false">IF($O113="","",IF(INDEX(Scoring!$F$29:$F$361,MATCH($O113,Scoring!$AI$29:$AI$361,0))="","–",INDEX(Scoring!$F$29:$F$361,MATCH($O113,Scoring!$AI$29:$AI$361,0))))</f>
        <v>4</v>
      </c>
      <c r="D113" s="6" t="str">
        <f aca="false">IF($O113="","",INDEX(Scoring!$E$29:$E$361,MATCH($O113,Scoring!$AI$29:$AI$361,0)))</f>
        <v>Priority 2</v>
      </c>
      <c r="E113" s="7" t="str">
        <f aca="false">IF($O113="","",INDEX(Scoring!$G$29:$G$361,MATCH($O113,Scoring!$AI$29:$AI$361,0)))</f>
        <v>High price, lower volume</v>
      </c>
      <c r="F113" s="6" t="str">
        <f aca="false">IF($O113="","",INDEX(Scoring!$B$29:$B$361,MATCH($O113,Scoring!$AI$29:$AI$361,0)))</f>
        <v>Plerixafor</v>
      </c>
      <c r="G113" s="7" t="str">
        <f aca="false">IF($O113="","",INDEX(Scoring!$C$29:$C$361,MATCH($O113,Scoring!$AI$29:$AI$361,0)))</f>
        <v>Plerixafor; Plerixafor Amarox; Heterix</v>
      </c>
      <c r="H113" s="7" t="str">
        <f aca="false">IF($O113="","",INDEX(Scoring!$D$29:$D$361,MATCH($O113,Scoring!$AI$29:$AI$361,0)))</f>
        <v>Oncology support: stem cell mobilisation in myeloma and lymphoma</v>
      </c>
      <c r="I113" s="6" t="str">
        <f aca="false">IF($O113="","",INDEX(Scoring!$R$29:$R$361,MATCH($O113,Scoring!$AI$29:$AI$361,0)))</f>
        <v>Vial</v>
      </c>
      <c r="J113" s="7" t="str">
        <f aca="false">IF($O113="","",INDEX(Scoring!$S$29:$S$361,MATCH($O113,Scoring!$AI$29:$AI$361,0)))</f>
        <v>24 mg/1.2 mL vial</v>
      </c>
      <c r="K113" s="8" t="n">
        <f aca="false">IF($O113="","",IF(INDEX(Scoring!$I$29:$I$361,MATCH($O113,Scoring!$AI$29:$AI$361,0))="",INDEX(Scoring!$AC$29:$AC$361,MATCH($O113,Scoring!$AI$29:$AI$361,0)),INDEX(Scoring!$I$29:$I$361,MATCH($O113,Scoring!$AI$29:$AI$361,0))))</f>
        <v>4289.93</v>
      </c>
      <c r="L113" s="9" t="n">
        <f aca="false">IF($O113="","",INDEX(Scoring!$M$29:$M$361,MATCH($O113,Scoring!$AI$29:$AI$361,0)))</f>
        <v>47</v>
      </c>
      <c r="M113" s="9" t="n">
        <f aca="false">IF($O113="","",INDEX(Scoring!$O$29:$O$361,MATCH($O113,Scoring!$AI$29:$AI$361,0)))</f>
        <v>7904.7</v>
      </c>
      <c r="N113" s="7" t="str">
        <f aca="false">IF($O113="","",INDEX(Scoring!$Y$29:$Y$361,MATCH($O113,Scoring!$AI$29:$AI$361,0)))</f>
        <v>US, UK, South Africa, UK-NI | EU/EEA (3): Germany, Netherlands, Spain</v>
      </c>
      <c r="O113" s="10" t="n">
        <f aca="false">IFERROR(SMALL(Scoring!$AI$29:$AI$361,109),"")</f>
        <v>8004</v>
      </c>
    </row>
    <row r="114" customFormat="false" ht="28.35" hidden="false" customHeight="false" outlineLevel="0" collapsed="false">
      <c r="A114" s="5" t="n">
        <f aca="false">IF($O114="","",INT($O114/1000))</f>
        <v>8</v>
      </c>
      <c r="B114" s="6" t="str">
        <f aca="false">IF($O114="","",INDEX(Scoring!$A$29:$A$361,MATCH($O114,Scoring!$AI$29:$AI$361,0)))</f>
        <v>Hetero</v>
      </c>
      <c r="C114" s="5" t="n">
        <f aca="false">IF($O114="","",IF(INDEX(Scoring!$F$29:$F$361,MATCH($O114,Scoring!$AI$29:$AI$361,0))="","–",INDEX(Scoring!$F$29:$F$361,MATCH($O114,Scoring!$AI$29:$AI$361,0))))</f>
        <v>5</v>
      </c>
      <c r="D114" s="6" t="str">
        <f aca="false">IF($O114="","",INDEX(Scoring!$E$29:$E$361,MATCH($O114,Scoring!$AI$29:$AI$361,0)))</f>
        <v>Priority 2</v>
      </c>
      <c r="E114" s="7" t="str">
        <f aca="false">IF($O114="","",INDEX(Scoring!$G$29:$G$361,MATCH($O114,Scoring!$AI$29:$AI$361,0)))</f>
        <v>High price, lower volume</v>
      </c>
      <c r="F114" s="6" t="str">
        <f aca="false">IF($O114="","",INDEX(Scoring!$B$29:$B$361,MATCH($O114,Scoring!$AI$29:$AI$361,0)))</f>
        <v>Teicoplanin</v>
      </c>
      <c r="G114" s="7" t="str">
        <f aca="false">IF($O114="","",INDEX(Scoring!$C$29:$C$361,MATCH($O114,Scoring!$AI$29:$AI$361,0)))</f>
        <v>Teicoplanin; Teicoplanin Amarox</v>
      </c>
      <c r="H114" s="7" t="str">
        <f aca="false">IF($O114="","",INDEX(Scoring!$D$29:$D$361,MATCH($O114,Scoring!$AI$29:$AI$361,0)))</f>
        <v>Anti-infective: MRSA and serious Gram-positive infections</v>
      </c>
      <c r="I114" s="6" t="str">
        <f aca="false">IF($O114="","",INDEX(Scoring!$R$29:$R$361,MATCH($O114,Scoring!$AI$29:$AI$361,0)))</f>
        <v>Vial</v>
      </c>
      <c r="J114" s="7" t="str">
        <f aca="false">IF($O114="","",INDEX(Scoring!$S$29:$S$361,MATCH($O114,Scoring!$AI$29:$AI$361,0)))</f>
        <v>400 mg powder vial</v>
      </c>
      <c r="K114" s="8" t="n">
        <f aca="false">IF($O114="","",IF(INDEX(Scoring!$I$29:$I$361,MATCH($O114,Scoring!$AI$29:$AI$361,0))="",INDEX(Scoring!$AC$29:$AC$361,MATCH($O114,Scoring!$AI$29:$AI$361,0)),INDEX(Scoring!$I$29:$I$361,MATCH($O114,Scoring!$AI$29:$AI$361,0))))</f>
        <v>36.53</v>
      </c>
      <c r="L114" s="9" t="n">
        <f aca="false">IF($O114="","",INDEX(Scoring!$M$29:$M$361,MATCH($O114,Scoring!$AI$29:$AI$361,0)))</f>
        <v>99</v>
      </c>
      <c r="M114" s="9" t="n">
        <f aca="false">IF($O114="","",INDEX(Scoring!$O$29:$O$361,MATCH($O114,Scoring!$AI$29:$AI$361,0)))</f>
        <v>6632.6</v>
      </c>
      <c r="N114" s="7" t="str">
        <f aca="false">IF($O114="","",INDEX(Scoring!$Y$29:$Y$361,MATCH($O114,Scoring!$AI$29:$AI$361,0)))</f>
        <v>UK, UK-NI</v>
      </c>
      <c r="O114" s="10" t="n">
        <f aca="false">IFERROR(SMALL(Scoring!$AI$29:$AI$361,110),"")</f>
        <v>8005</v>
      </c>
    </row>
    <row r="115" customFormat="false" ht="28.35" hidden="false" customHeight="false" outlineLevel="0" collapsed="false">
      <c r="A115" s="5" t="n">
        <f aca="false">IF($O115="","",INT($O115/1000))</f>
        <v>8</v>
      </c>
      <c r="B115" s="6" t="str">
        <f aca="false">IF($O115="","",INDEX(Scoring!$A$29:$A$361,MATCH($O115,Scoring!$AI$29:$AI$361,0)))</f>
        <v>Hetero</v>
      </c>
      <c r="C115" s="5" t="n">
        <f aca="false">IF($O115="","",IF(INDEX(Scoring!$F$29:$F$361,MATCH($O115,Scoring!$AI$29:$AI$361,0))="","–",INDEX(Scoring!$F$29:$F$361,MATCH($O115,Scoring!$AI$29:$AI$361,0))))</f>
        <v>6</v>
      </c>
      <c r="D115" s="6" t="str">
        <f aca="false">IF($O115="","",INDEX(Scoring!$E$29:$E$361,MATCH($O115,Scoring!$AI$29:$AI$361,0)))</f>
        <v>Priority 2</v>
      </c>
      <c r="E115" s="7" t="str">
        <f aca="false">IF($O115="","",INDEX(Scoring!$G$29:$G$361,MATCH($O115,Scoring!$AI$29:$AI$361,0)))</f>
        <v>Lower price, high volume</v>
      </c>
      <c r="F115" s="6" t="str">
        <f aca="false">IF($O115="","",INDEX(Scoring!$B$29:$B$361,MATCH($O115,Scoring!$AI$29:$AI$361,0)))</f>
        <v>Succinylcholine (Suxamethonium)</v>
      </c>
      <c r="G115" s="7" t="str">
        <f aca="false">IF($O115="","",INDEX(Scoring!$C$29:$C$361,MATCH($O115,Scoring!$AI$29:$AI$361,0)))</f>
        <v>Succinylcholine Chloride</v>
      </c>
      <c r="H115" s="7" t="str">
        <f aca="false">IF($O115="","",INDEX(Scoring!$D$29:$D$361,MATCH($O115,Scoring!$AI$29:$AI$361,0)))</f>
        <v>Anaesthesia: muscle relaxant for rapid intubation</v>
      </c>
      <c r="I115" s="6" t="str">
        <f aca="false">IF($O115="","",INDEX(Scoring!$R$29:$R$361,MATCH($O115,Scoring!$AI$29:$AI$361,0)))</f>
        <v>Vial</v>
      </c>
      <c r="J115" s="7" t="str">
        <f aca="false">IF($O115="","",INDEX(Scoring!$S$29:$S$361,MATCH($O115,Scoring!$AI$29:$AI$361,0)))</f>
        <v>200 mg/10 mL vial</v>
      </c>
      <c r="K115" s="8" t="n">
        <f aca="false">IF($O115="","",IF(INDEX(Scoring!$I$29:$I$361,MATCH($O115,Scoring!$AI$29:$AI$361,0))="",INDEX(Scoring!$AC$29:$AC$361,MATCH($O115,Scoring!$AI$29:$AI$361,0)),INDEX(Scoring!$I$29:$I$361,MATCH($O115,Scoring!$AI$29:$AI$361,0))))</f>
        <v>5.03</v>
      </c>
      <c r="L115" s="9" t="n">
        <f aca="false">IF($O115="","",INDEX(Scoring!$M$29:$M$361,MATCH($O115,Scoring!$AI$29:$AI$361,0)))</f>
        <v>286</v>
      </c>
      <c r="M115" s="9" t="n">
        <f aca="false">IF($O115="","",INDEX(Scoring!$O$29:$O$361,MATCH($O115,Scoring!$AI$29:$AI$361,0)))</f>
        <v>3067.4</v>
      </c>
      <c r="N115" s="7" t="str">
        <f aca="false">IF($O115="","",INDEX(Scoring!$Y$29:$Y$361,MATCH($O115,Scoring!$AI$29:$AI$361,0)))</f>
        <v>US</v>
      </c>
      <c r="O115" s="10" t="n">
        <f aca="false">IFERROR(SMALL(Scoring!$AI$29:$AI$361,111),"")</f>
        <v>8006</v>
      </c>
    </row>
    <row r="116" customFormat="false" ht="28.35" hidden="false" customHeight="false" outlineLevel="0" collapsed="false">
      <c r="A116" s="5" t="n">
        <f aca="false">IF($O116="","",INT($O116/1000))</f>
        <v>8</v>
      </c>
      <c r="B116" s="6" t="str">
        <f aca="false">IF($O116="","",INDEX(Scoring!$A$29:$A$361,MATCH($O116,Scoring!$AI$29:$AI$361,0)))</f>
        <v>Hetero</v>
      </c>
      <c r="C116" s="5" t="n">
        <f aca="false">IF($O116="","",IF(INDEX(Scoring!$F$29:$F$361,MATCH($O116,Scoring!$AI$29:$AI$361,0))="","–",INDEX(Scoring!$F$29:$F$361,MATCH($O116,Scoring!$AI$29:$AI$361,0))))</f>
        <v>7</v>
      </c>
      <c r="D116" s="6" t="str">
        <f aca="false">IF($O116="","",INDEX(Scoring!$E$29:$E$361,MATCH($O116,Scoring!$AI$29:$AI$361,0)))</f>
        <v>Priority 2</v>
      </c>
      <c r="E116" s="7" t="str">
        <f aca="false">IF($O116="","",INDEX(Scoring!$G$29:$G$361,MATCH($O116,Scoring!$AI$29:$AI$361,0)))</f>
        <v>High price, lower volume</v>
      </c>
      <c r="F116" s="6" t="str">
        <f aca="false">IF($O116="","",INDEX(Scoring!$B$29:$B$361,MATCH($O116,Scoring!$AI$29:$AI$361,0)))</f>
        <v>Isoprenaline (Isoproterenol)</v>
      </c>
      <c r="G116" s="7" t="str">
        <f aca="false">IF($O116="","",INDEX(Scoring!$C$29:$C$361,MATCH($O116,Scoring!$AI$29:$AI$361,0)))</f>
        <v>Isoproterenol Hydrochloride</v>
      </c>
      <c r="H116" s="7" t="str">
        <f aca="false">IF($O116="","",INDEX(Scoring!$D$29:$D$361,MATCH($O116,Scoring!$AI$29:$AI$361,0)))</f>
        <v>Cardiovascular: heart block, severe slow heart rate</v>
      </c>
      <c r="I116" s="6" t="str">
        <f aca="false">IF($O116="","",INDEX(Scoring!$R$29:$R$361,MATCH($O116,Scoring!$AI$29:$AI$361,0)))</f>
        <v>Not stated</v>
      </c>
      <c r="J116" s="7" t="str">
        <f aca="false">IF($O116="","",INDEX(Scoring!$S$29:$S$361,MATCH($O116,Scoring!$AI$29:$AI$361,0)))</f>
        <v>0.2 mg/mL (container not stated)</v>
      </c>
      <c r="K116" s="8" t="n">
        <f aca="false">IF($O116="","",IF(INDEX(Scoring!$I$29:$I$361,MATCH($O116,Scoring!$AI$29:$AI$361,0))="",INDEX(Scoring!$AC$29:$AC$361,MATCH($O116,Scoring!$AI$29:$AI$361,0)),INDEX(Scoring!$I$29:$I$361,MATCH($O116,Scoring!$AI$29:$AI$361,0))))</f>
        <v>69.18</v>
      </c>
      <c r="L116" s="9" t="n">
        <f aca="false">IF($O116="","",INDEX(Scoring!$M$29:$M$361,MATCH($O116,Scoring!$AI$29:$AI$361,0)))</f>
        <v>87</v>
      </c>
      <c r="M116" s="9" t="n">
        <f aca="false">IF($O116="","",INDEX(Scoring!$O$29:$O$361,MATCH($O116,Scoring!$AI$29:$AI$361,0)))</f>
        <v>2931.4</v>
      </c>
      <c r="N116" s="7" t="str">
        <f aca="false">IF($O116="","",INDEX(Scoring!$Y$29:$Y$361,MATCH($O116,Scoring!$AI$29:$AI$361,0)))</f>
        <v>US</v>
      </c>
      <c r="O116" s="10" t="n">
        <f aca="false">IFERROR(SMALL(Scoring!$AI$29:$AI$361,112),"")</f>
        <v>8007</v>
      </c>
    </row>
    <row r="117" customFormat="false" ht="28.35" hidden="false" customHeight="false" outlineLevel="0" collapsed="false">
      <c r="A117" s="5" t="n">
        <f aca="false">IF($O117="","",INT($O117/1000))</f>
        <v>8</v>
      </c>
      <c r="B117" s="6" t="str">
        <f aca="false">IF($O117="","",INDEX(Scoring!$A$29:$A$361,MATCH($O117,Scoring!$AI$29:$AI$361,0)))</f>
        <v>Hetero</v>
      </c>
      <c r="C117" s="5" t="n">
        <f aca="false">IF($O117="","",IF(INDEX(Scoring!$F$29:$F$361,MATCH($O117,Scoring!$AI$29:$AI$361,0))="","–",INDEX(Scoring!$F$29:$F$361,MATCH($O117,Scoring!$AI$29:$AI$361,0))))</f>
        <v>8</v>
      </c>
      <c r="D117" s="6" t="str">
        <f aca="false">IF($O117="","",INDEX(Scoring!$E$29:$E$361,MATCH($O117,Scoring!$AI$29:$AI$361,0)))</f>
        <v>Priority 2</v>
      </c>
      <c r="E117" s="7" t="str">
        <f aca="false">IF($O117="","",INDEX(Scoring!$G$29:$G$361,MATCH($O117,Scoring!$AI$29:$AI$361,0)))</f>
        <v>High price, lower volume</v>
      </c>
      <c r="F117" s="6" t="str">
        <f aca="false">IF($O117="","",INDEX(Scoring!$B$29:$B$361,MATCH($O117,Scoring!$AI$29:$AI$361,0)))</f>
        <v>Glycopyrrolate</v>
      </c>
      <c r="G117" s="7" t="str">
        <f aca="false">IF($O117="","",INDEX(Scoring!$C$29:$C$361,MATCH($O117,Scoring!$AI$29:$AI$361,0)))</f>
        <v>Glyopy</v>
      </c>
      <c r="H117" s="7" t="str">
        <f aca="false">IF($O117="","",INDEX(Scoring!$D$29:$D$361,MATCH($O117,Scoring!$AI$29:$AI$361,0)))</f>
        <v>Anaesthesia: reduces secretions, reversal of muscle relaxants</v>
      </c>
      <c r="I117" s="6" t="str">
        <f aca="false">IF($O117="","",INDEX(Scoring!$R$29:$R$361,MATCH($O117,Scoring!$AI$29:$AI$361,0)))</f>
        <v>Vial</v>
      </c>
      <c r="J117" s="7" t="str">
        <f aca="false">IF($O117="","",INDEX(Scoring!$S$29:$S$361,MATCH($O117,Scoring!$AI$29:$AI$361,0)))</f>
        <v>5 mg/5 mL vial</v>
      </c>
      <c r="K117" s="8" t="n">
        <f aca="false">IF($O117="","",IF(INDEX(Scoring!$I$29:$I$361,MATCH($O117,Scoring!$AI$29:$AI$361,0))="",INDEX(Scoring!$AC$29:$AC$361,MATCH($O117,Scoring!$AI$29:$AI$361,0)),INDEX(Scoring!$I$29:$I$361,MATCH($O117,Scoring!$AI$29:$AI$361,0))))</f>
        <v>30.23</v>
      </c>
      <c r="L117" s="9" t="n">
        <f aca="false">IF($O117="","",INDEX(Scoring!$M$29:$M$361,MATCH($O117,Scoring!$AI$29:$AI$361,0)))</f>
        <v>119</v>
      </c>
      <c r="M117" s="9" t="n">
        <f aca="false">IF($O117="","",INDEX(Scoring!$O$29:$O$361,MATCH($O117,Scoring!$AI$29:$AI$361,0)))</f>
        <v>1332.4</v>
      </c>
      <c r="N117" s="7" t="str">
        <f aca="false">IF($O117="","",INDEX(Scoring!$Y$29:$Y$361,MATCH($O117,Scoring!$AI$29:$AI$361,0)))</f>
        <v>South Africa</v>
      </c>
      <c r="O117" s="10" t="n">
        <f aca="false">IFERROR(SMALL(Scoring!$AI$29:$AI$361,113),"")</f>
        <v>8008</v>
      </c>
    </row>
    <row r="118" customFormat="false" ht="28.35" hidden="false" customHeight="false" outlineLevel="0" collapsed="false">
      <c r="A118" s="5" t="n">
        <f aca="false">IF($O118="","",INT($O118/1000))</f>
        <v>8</v>
      </c>
      <c r="B118" s="6" t="str">
        <f aca="false">IF($O118="","",INDEX(Scoring!$A$29:$A$361,MATCH($O118,Scoring!$AI$29:$AI$361,0)))</f>
        <v>Hetero</v>
      </c>
      <c r="C118" s="5" t="n">
        <f aca="false">IF($O118="","",IF(INDEX(Scoring!$F$29:$F$361,MATCH($O118,Scoring!$AI$29:$AI$361,0))="","–",INDEX(Scoring!$F$29:$F$361,MATCH($O118,Scoring!$AI$29:$AI$361,0))))</f>
        <v>9</v>
      </c>
      <c r="D118" s="6" t="str">
        <f aca="false">IF($O118="","",INDEX(Scoring!$E$29:$E$361,MATCH($O118,Scoring!$AI$29:$AI$361,0)))</f>
        <v>Priority 3</v>
      </c>
      <c r="E118" s="7" t="str">
        <f aca="false">IF($O118="","",INDEX(Scoring!$G$29:$G$361,MATCH($O118,Scoring!$AI$29:$AI$361,0)))</f>
        <v>Lower price, lower volume</v>
      </c>
      <c r="F118" s="6" t="str">
        <f aca="false">IF($O118="","",INDEX(Scoring!$B$29:$B$361,MATCH($O118,Scoring!$AI$29:$AI$361,0)))</f>
        <v>Magnesium Sulfate</v>
      </c>
      <c r="G118" s="7" t="str">
        <f aca="false">IF($O118="","",INDEX(Scoring!$C$29:$C$361,MATCH($O118,Scoring!$AI$29:$AI$361,0)))</f>
        <v>Magnesium Sulfate</v>
      </c>
      <c r="H118" s="7" t="str">
        <f aca="false">IF($O118="","",INDEX(Scoring!$D$29:$D$361,MATCH($O118,Scoring!$AI$29:$AI$361,0)))</f>
        <v>Women's health and critical care: eclampsia seizures, low magnesium</v>
      </c>
      <c r="I118" s="6" t="str">
        <f aca="false">IF($O118="","",INDEX(Scoring!$R$29:$R$361,MATCH($O118,Scoring!$AI$29:$AI$361,0)))</f>
        <v>Vial</v>
      </c>
      <c r="J118" s="7" t="str">
        <f aca="false">IF($O118="","",INDEX(Scoring!$S$29:$S$361,MATCH($O118,Scoring!$AI$29:$AI$361,0)))</f>
        <v>25 g/50 mL vial</v>
      </c>
      <c r="K118" s="8" t="n">
        <f aca="false">IF($O118="","",IF(INDEX(Scoring!$I$29:$I$361,MATCH($O118,Scoring!$AI$29:$AI$361,0))="",INDEX(Scoring!$AC$29:$AC$361,MATCH($O118,Scoring!$AI$29:$AI$361,0)),INDEX(Scoring!$I$29:$I$361,MATCH($O118,Scoring!$AI$29:$AI$361,0))))</f>
        <v>9.12</v>
      </c>
      <c r="L118" s="9" t="n">
        <f aca="false">IF($O118="","",INDEX(Scoring!$M$29:$M$361,MATCH($O118,Scoring!$AI$29:$AI$361,0)))</f>
        <v>116</v>
      </c>
      <c r="M118" s="9" t="n">
        <f aca="false">IF($O118="","",INDEX(Scoring!$O$29:$O$361,MATCH($O118,Scoring!$AI$29:$AI$361,0)))</f>
        <v>12210.4</v>
      </c>
      <c r="N118" s="7" t="str">
        <f aca="false">IF($O118="","",INDEX(Scoring!$Y$29:$Y$361,MATCH($O118,Scoring!$AI$29:$AI$361,0)))</f>
        <v>US</v>
      </c>
      <c r="O118" s="10" t="n">
        <f aca="false">IFERROR(SMALL(Scoring!$AI$29:$AI$361,114),"")</f>
        <v>8009</v>
      </c>
    </row>
    <row r="119" customFormat="false" ht="28.35" hidden="false" customHeight="false" outlineLevel="0" collapsed="false">
      <c r="A119" s="5" t="n">
        <f aca="false">IF($O119="","",INT($O119/1000))</f>
        <v>8</v>
      </c>
      <c r="B119" s="6" t="str">
        <f aca="false">IF($O119="","",INDEX(Scoring!$A$29:$A$361,MATCH($O119,Scoring!$AI$29:$AI$361,0)))</f>
        <v>Hetero</v>
      </c>
      <c r="C119" s="5" t="n">
        <f aca="false">IF($O119="","",IF(INDEX(Scoring!$F$29:$F$361,MATCH($O119,Scoring!$AI$29:$AI$361,0))="","–",INDEX(Scoring!$F$29:$F$361,MATCH($O119,Scoring!$AI$29:$AI$361,0))))</f>
        <v>10</v>
      </c>
      <c r="D119" s="6" t="str">
        <f aca="false">IF($O119="","",INDEX(Scoring!$E$29:$E$361,MATCH($O119,Scoring!$AI$29:$AI$361,0)))</f>
        <v>Priority 3</v>
      </c>
      <c r="E119" s="7" t="str">
        <f aca="false">IF($O119="","",INDEX(Scoring!$G$29:$G$361,MATCH($O119,Scoring!$AI$29:$AI$361,0)))</f>
        <v>Lower price, lower volume</v>
      </c>
      <c r="F119" s="6" t="str">
        <f aca="false">IF($O119="","",INDEX(Scoring!$B$29:$B$361,MATCH($O119,Scoring!$AI$29:$AI$361,0)))</f>
        <v>Chlorpromazine</v>
      </c>
      <c r="G119" s="7" t="str">
        <f aca="false">IF($O119="","",INDEX(Scoring!$C$29:$C$361,MATCH($O119,Scoring!$AI$29:$AI$361,0)))</f>
        <v>Chlorpromazine Hydrochloride</v>
      </c>
      <c r="H119" s="7" t="str">
        <f aca="false">IF($O119="","",INDEX(Scoring!$D$29:$D$361,MATCH($O119,Scoring!$AI$29:$AI$361,0)))</f>
        <v>Psychiatry: acute psychosis and agitation, severe nausea and vomiting</v>
      </c>
      <c r="I119" s="6" t="str">
        <f aca="false">IF($O119="","",INDEX(Scoring!$R$29:$R$361,MATCH($O119,Scoring!$AI$29:$AI$361,0)))</f>
        <v>Vial</v>
      </c>
      <c r="J119" s="7" t="str">
        <f aca="false">IF($O119="","",INDEX(Scoring!$S$29:$S$361,MATCH($O119,Scoring!$AI$29:$AI$361,0)))</f>
        <v>25 mg/1 mL vial</v>
      </c>
      <c r="K119" s="8" t="n">
        <f aca="false">IF($O119="","",IF(INDEX(Scoring!$I$29:$I$361,MATCH($O119,Scoring!$AI$29:$AI$361,0))="",INDEX(Scoring!$AC$29:$AC$361,MATCH($O119,Scoring!$AI$29:$AI$361,0)),INDEX(Scoring!$I$29:$I$361,MATCH($O119,Scoring!$AI$29:$AI$361,0))))</f>
        <v>14.96</v>
      </c>
      <c r="L119" s="9" t="n">
        <f aca="false">IF($O119="","",INDEX(Scoring!$M$29:$M$361,MATCH($O119,Scoring!$AI$29:$AI$361,0)))</f>
        <v>82</v>
      </c>
      <c r="M119" s="9" t="n">
        <f aca="false">IF($O119="","",INDEX(Scoring!$O$29:$O$361,MATCH($O119,Scoring!$AI$29:$AI$361,0)))</f>
        <v>1358.2</v>
      </c>
      <c r="N119" s="7" t="str">
        <f aca="false">IF($O119="","",INDEX(Scoring!$Y$29:$Y$361,MATCH($O119,Scoring!$AI$29:$AI$361,0)))</f>
        <v>US</v>
      </c>
      <c r="O119" s="10" t="n">
        <f aca="false">IFERROR(SMALL(Scoring!$AI$29:$AI$361,115),"")</f>
        <v>8010</v>
      </c>
    </row>
    <row r="120" customFormat="false" ht="28.35" hidden="false" customHeight="false" outlineLevel="0" collapsed="false">
      <c r="A120" s="5" t="n">
        <f aca="false">IF($O120="","",INT($O120/1000))</f>
        <v>8</v>
      </c>
      <c r="B120" s="6" t="str">
        <f aca="false">IF($O120="","",INDEX(Scoring!$A$29:$A$361,MATCH($O120,Scoring!$AI$29:$AI$361,0)))</f>
        <v>Hetero</v>
      </c>
      <c r="C120" s="5" t="str">
        <f aca="false">IF($O120="","",IF(INDEX(Scoring!$F$29:$F$361,MATCH($O120,Scoring!$AI$29:$AI$361,0))="","–",INDEX(Scoring!$F$29:$F$361,MATCH($O120,Scoring!$AI$29:$AI$361,0))))</f>
        <v>–</v>
      </c>
      <c r="D120" s="6" t="str">
        <f aca="false">IF($O120="","",INDEX(Scoring!$E$29:$E$361,MATCH($O120,Scoring!$AI$29:$AI$361,0)))</f>
        <v>Excluded – price ≤ USD 5</v>
      </c>
      <c r="E120" s="7" t="str">
        <f aca="false">IF($O120="","",INDEX(Scoring!$G$29:$G$361,MATCH($O120,Scoring!$AI$29:$AI$361,0)))</f>
        <v/>
      </c>
      <c r="F120" s="6" t="str">
        <f aca="false">IF($O120="","",INDEX(Scoring!$B$29:$B$361,MATCH($O120,Scoring!$AI$29:$AI$361,0)))</f>
        <v>Cyanocobalamin</v>
      </c>
      <c r="G120" s="7" t="str">
        <f aca="false">IF($O120="","",INDEX(Scoring!$C$29:$C$361,MATCH($O120,Scoring!$AI$29:$AI$361,0)))</f>
        <v>Cyanocobalamin</v>
      </c>
      <c r="H120" s="7" t="str">
        <f aca="false">IF($O120="","",INDEX(Scoring!$D$29:$D$361,MATCH($O120,Scoring!$AI$29:$AI$361,0)))</f>
        <v>Haematology: vitamin B12 deficiency, pernicious anaemia</v>
      </c>
      <c r="I120" s="6" t="str">
        <f aca="false">IF($O120="","",INDEX(Scoring!$R$29:$R$361,MATCH($O120,Scoring!$AI$29:$AI$361,0)))</f>
        <v>Not stated</v>
      </c>
      <c r="J120" s="7" t="str">
        <f aca="false">IF($O120="","",INDEX(Scoring!$S$29:$S$361,MATCH($O120,Scoring!$AI$29:$AI$361,0)))</f>
        <v>1 mg/mL (container not stated)</v>
      </c>
      <c r="K120" s="8" t="n">
        <f aca="false">IF($O120="","",IF(INDEX(Scoring!$I$29:$I$361,MATCH($O120,Scoring!$AI$29:$AI$361,0))="",INDEX(Scoring!$AC$29:$AC$361,MATCH($O120,Scoring!$AI$29:$AI$361,0)),INDEX(Scoring!$I$29:$I$361,MATCH($O120,Scoring!$AI$29:$AI$361,0))))</f>
        <v>0.65</v>
      </c>
      <c r="L120" s="9" t="n">
        <f aca="false">IF($O120="","",INDEX(Scoring!$M$29:$M$361,MATCH($O120,Scoring!$AI$29:$AI$361,0)))</f>
        <v>122</v>
      </c>
      <c r="M120" s="9" t="n">
        <f aca="false">IF($O120="","",INDEX(Scoring!$O$29:$O$361,MATCH($O120,Scoring!$AI$29:$AI$361,0)))</f>
        <v>2413</v>
      </c>
      <c r="N120" s="7" t="str">
        <f aca="false">IF($O120="","",INDEX(Scoring!$Y$29:$Y$361,MATCH($O120,Scoring!$AI$29:$AI$361,0)))</f>
        <v>US</v>
      </c>
      <c r="O120" s="10" t="n">
        <f aca="false">IFERROR(SMALL(Scoring!$AI$29:$AI$361,116),"")</f>
        <v>8901</v>
      </c>
    </row>
    <row r="121" customFormat="false" ht="28.35" hidden="false" customHeight="false" outlineLevel="0" collapsed="false">
      <c r="A121" s="5" t="n">
        <f aca="false">IF($O121="","",INT($O121/1000))</f>
        <v>8</v>
      </c>
      <c r="B121" s="6" t="str">
        <f aca="false">IF($O121="","",INDEX(Scoring!$A$29:$A$361,MATCH($O121,Scoring!$AI$29:$AI$361,0)))</f>
        <v>Hetero</v>
      </c>
      <c r="C121" s="5" t="str">
        <f aca="false">IF($O121="","",IF(INDEX(Scoring!$F$29:$F$361,MATCH($O121,Scoring!$AI$29:$AI$361,0))="","–",INDEX(Scoring!$F$29:$F$361,MATCH($O121,Scoring!$AI$29:$AI$361,0))))</f>
        <v>–</v>
      </c>
      <c r="D121" s="6" t="str">
        <f aca="false">IF($O121="","",INDEX(Scoring!$E$29:$E$361,MATCH($O121,Scoring!$AI$29:$AI$361,0)))</f>
        <v>Excluded – price ≤ USD 5</v>
      </c>
      <c r="E121" s="7" t="str">
        <f aca="false">IF($O121="","",INDEX(Scoring!$G$29:$G$361,MATCH($O121,Scoring!$AI$29:$AI$361,0)))</f>
        <v/>
      </c>
      <c r="F121" s="6" t="str">
        <f aca="false">IF($O121="","",INDEX(Scoring!$B$29:$B$361,MATCH($O121,Scoring!$AI$29:$AI$361,0)))</f>
        <v>Lidocaine</v>
      </c>
      <c r="G121" s="7" t="str">
        <f aca="false">IF($O121="","",INDEX(Scoring!$C$29:$C$361,MATCH($O121,Scoring!$AI$29:$AI$361,0)))</f>
        <v>Lidocaine Hydrochloride</v>
      </c>
      <c r="H121" s="7" t="str">
        <f aca="false">IF($O121="","",INDEX(Scoring!$D$29:$D$361,MATCH($O121,Scoring!$AI$29:$AI$361,0)))</f>
        <v>Anaesthesia: local anaesthetic, ventricular arrhythmias</v>
      </c>
      <c r="I121" s="6" t="str">
        <f aca="false">IF($O121="","",INDEX(Scoring!$R$29:$R$361,MATCH($O121,Scoring!$AI$29:$AI$361,0)))</f>
        <v>Vial</v>
      </c>
      <c r="J121" s="7" t="str">
        <f aca="false">IF($O121="","",INDEX(Scoring!$S$29:$S$361,MATCH($O121,Scoring!$AI$29:$AI$361,0)))</f>
        <v>1% in 20 mL vial</v>
      </c>
      <c r="K121" s="8" t="n">
        <f aca="false">IF($O121="","",IF(INDEX(Scoring!$I$29:$I$361,MATCH($O121,Scoring!$AI$29:$AI$361,0))="",INDEX(Scoring!$AC$29:$AC$361,MATCH($O121,Scoring!$AI$29:$AI$361,0)),INDEX(Scoring!$I$29:$I$361,MATCH($O121,Scoring!$AI$29:$AI$361,0))))</f>
        <v>1.91</v>
      </c>
      <c r="L121" s="9" t="n">
        <f aca="false">IF($O121="","",INDEX(Scoring!$M$29:$M$361,MATCH($O121,Scoring!$AI$29:$AI$361,0)))</f>
        <v>670</v>
      </c>
      <c r="M121" s="9" t="n">
        <f aca="false">IF($O121="","",INDEX(Scoring!$O$29:$O$361,MATCH($O121,Scoring!$AI$29:$AI$361,0)))</f>
        <v>18611.6</v>
      </c>
      <c r="N121" s="7" t="str">
        <f aca="false">IF($O121="","",INDEX(Scoring!$Y$29:$Y$361,MATCH($O121,Scoring!$AI$29:$AI$361,0)))</f>
        <v>US</v>
      </c>
      <c r="O121" s="10" t="n">
        <f aca="false">IFERROR(SMALL(Scoring!$AI$29:$AI$361,117),"")</f>
        <v>8902</v>
      </c>
    </row>
    <row r="122" customFormat="false" ht="28.35" hidden="false" customHeight="false" outlineLevel="0" collapsed="false">
      <c r="A122" s="5" t="n">
        <f aca="false">IF($O122="","",INT($O122/1000))</f>
        <v>9</v>
      </c>
      <c r="B122" s="6" t="str">
        <f aca="false">IF($O122="","",INDEX(Scoring!$A$29:$A$361,MATCH($O122,Scoring!$AI$29:$AI$361,0)))</f>
        <v>Venus Remedies</v>
      </c>
      <c r="C122" s="5" t="n">
        <f aca="false">IF($O122="","",IF(INDEX(Scoring!$F$29:$F$361,MATCH($O122,Scoring!$AI$29:$AI$361,0))="","–",INDEX(Scoring!$F$29:$F$361,MATCH($O122,Scoring!$AI$29:$AI$361,0))))</f>
        <v>1</v>
      </c>
      <c r="D122" s="6" t="str">
        <f aca="false">IF($O122="","",INDEX(Scoring!$E$29:$E$361,MATCH($O122,Scoring!$AI$29:$AI$361,0)))</f>
        <v>Priority 1</v>
      </c>
      <c r="E122" s="7" t="str">
        <f aca="false">IF($O122="","",INDEX(Scoring!$G$29:$G$361,MATCH($O122,Scoring!$AI$29:$AI$361,0)))</f>
        <v>High price, high volume</v>
      </c>
      <c r="F122" s="6" t="str">
        <f aca="false">IF($O122="","",INDEX(Scoring!$B$29:$B$361,MATCH($O122,Scoring!$AI$29:$AI$361,0)))</f>
        <v>Ceftriaxone</v>
      </c>
      <c r="G122" s="7" t="str">
        <f aca="false">IF($O122="","",INDEX(Scoring!$C$29:$C$361,MATCH($O122,Scoring!$AI$29:$AI$361,0)))</f>
        <v>Ceftriaxone</v>
      </c>
      <c r="H122" s="7" t="str">
        <f aca="false">IF($O122="","",INDEX(Scoring!$D$29:$D$361,MATCH($O122,Scoring!$AI$29:$AI$361,0)))</f>
        <v>Anti-infective: pneumonia, meningitis, sepsis, gonorrhoea, typhoid</v>
      </c>
      <c r="I122" s="6" t="str">
        <f aca="false">IF($O122="","",INDEX(Scoring!$R$29:$R$361,MATCH($O122,Scoring!$AI$29:$AI$361,0)))</f>
        <v>Vial</v>
      </c>
      <c r="J122" s="7" t="str">
        <f aca="false">IF($O122="","",INDEX(Scoring!$S$29:$S$361,MATCH($O122,Scoring!$AI$29:$AI$361,0)))</f>
        <v>2 g powder vial</v>
      </c>
      <c r="K122" s="8" t="n">
        <f aca="false">IF($O122="","",IF(INDEX(Scoring!$I$29:$I$361,MATCH($O122,Scoring!$AI$29:$AI$361,0))="",INDEX(Scoring!$AC$29:$AC$361,MATCH($O122,Scoring!$AI$29:$AI$361,0)),INDEX(Scoring!$I$29:$I$361,MATCH($O122,Scoring!$AI$29:$AI$361,0))))</f>
        <v>25.36</v>
      </c>
      <c r="L122" s="9" t="n">
        <f aca="false">IF($O122="","",INDEX(Scoring!$M$29:$M$361,MATCH($O122,Scoring!$AI$29:$AI$361,0)))</f>
        <v>3110</v>
      </c>
      <c r="M122" s="9" t="n">
        <f aca="false">IF($O122="","",INDEX(Scoring!$O$29:$O$361,MATCH($O122,Scoring!$AI$29:$AI$361,0)))</f>
        <v>93119.2</v>
      </c>
      <c r="N122" s="7" t="str">
        <f aca="false">IF($O122="","",INDEX(Scoring!$Y$29:$Y$361,MATCH($O122,Scoring!$AI$29:$AI$361,0)))</f>
        <v>UK</v>
      </c>
      <c r="O122" s="10" t="n">
        <f aca="false">IFERROR(SMALL(Scoring!$AI$29:$AI$361,118),"")</f>
        <v>9001</v>
      </c>
    </row>
    <row r="123" customFormat="false" ht="28.35" hidden="false" customHeight="false" outlineLevel="0" collapsed="false">
      <c r="A123" s="5" t="n">
        <f aca="false">IF($O123="","",INT($O123/1000))</f>
        <v>9</v>
      </c>
      <c r="B123" s="6" t="str">
        <f aca="false">IF($O123="","",INDEX(Scoring!$A$29:$A$361,MATCH($O123,Scoring!$AI$29:$AI$361,0)))</f>
        <v>Venus Remedies</v>
      </c>
      <c r="C123" s="5" t="n">
        <f aca="false">IF($O123="","",IF(INDEX(Scoring!$F$29:$F$361,MATCH($O123,Scoring!$AI$29:$AI$361,0))="","–",INDEX(Scoring!$F$29:$F$361,MATCH($O123,Scoring!$AI$29:$AI$361,0))))</f>
        <v>2</v>
      </c>
      <c r="D123" s="6" t="str">
        <f aca="false">IF($O123="","",INDEX(Scoring!$E$29:$E$361,MATCH($O123,Scoring!$AI$29:$AI$361,0)))</f>
        <v>Priority 1</v>
      </c>
      <c r="E123" s="7" t="str">
        <f aca="false">IF($O123="","",INDEX(Scoring!$G$29:$G$361,MATCH($O123,Scoring!$AI$29:$AI$361,0)))</f>
        <v>High price, high volume</v>
      </c>
      <c r="F123" s="6" t="str">
        <f aca="false">IF($O123="","",INDEX(Scoring!$B$29:$B$361,MATCH($O123,Scoring!$AI$29:$AI$361,0)))</f>
        <v>Bleomycin</v>
      </c>
      <c r="G123" s="7" t="str">
        <f aca="false">IF($O123="","",INDEX(Scoring!$C$29:$C$361,MATCH($O123,Scoring!$AI$29:$AI$361,0)))</f>
        <v>Bleomycin Venus Pharma</v>
      </c>
      <c r="H123" s="7" t="str">
        <f aca="false">IF($O123="","",INDEX(Scoring!$D$29:$D$361,MATCH($O123,Scoring!$AI$29:$AI$361,0)))</f>
        <v>Oncology: Hodgkin lymphoma, testicular and squamous cell cancers</v>
      </c>
      <c r="I123" s="6" t="str">
        <f aca="false">IF($O123="","",INDEX(Scoring!$R$29:$R$361,MATCH($O123,Scoring!$AI$29:$AI$361,0)))</f>
        <v>Vial</v>
      </c>
      <c r="J123" s="7" t="str">
        <f aca="false">IF($O123="","",INDEX(Scoring!$S$29:$S$361,MATCH($O123,Scoring!$AI$29:$AI$361,0)))</f>
        <v>15000 IU powder vial</v>
      </c>
      <c r="K123" s="8" t="n">
        <f aca="false">IF($O123="","",IF(INDEX(Scoring!$I$29:$I$361,MATCH($O123,Scoring!$AI$29:$AI$361,0))="",INDEX(Scoring!$AC$29:$AC$361,MATCH($O123,Scoring!$AI$29:$AI$361,0)),INDEX(Scoring!$I$29:$I$361,MATCH($O123,Scoring!$AI$29:$AI$361,0))))</f>
        <v>81.96</v>
      </c>
      <c r="L123" s="9" t="n">
        <f aca="false">IF($O123="","",INDEX(Scoring!$M$29:$M$361,MATCH($O123,Scoring!$AI$29:$AI$361,0)))</f>
        <v>441</v>
      </c>
      <c r="M123" s="9" t="n">
        <f aca="false">IF($O123="","",INDEX(Scoring!$O$29:$O$361,MATCH($O123,Scoring!$AI$29:$AI$361,0)))</f>
        <v>3973.7</v>
      </c>
      <c r="N123" s="7" t="str">
        <f aca="false">IF($O123="","",INDEX(Scoring!$Y$29:$Y$361,MATCH($O123,Scoring!$AI$29:$AI$361,0)))</f>
        <v>UK</v>
      </c>
      <c r="O123" s="10" t="n">
        <f aca="false">IFERROR(SMALL(Scoring!$AI$29:$AI$361,119),"")</f>
        <v>9002</v>
      </c>
    </row>
    <row r="124" customFormat="false" ht="28.35" hidden="false" customHeight="false" outlineLevel="0" collapsed="false">
      <c r="A124" s="5" t="n">
        <f aca="false">IF($O124="","",INT($O124/1000))</f>
        <v>10</v>
      </c>
      <c r="B124" s="6" t="str">
        <f aca="false">IF($O124="","",INDEX(Scoring!$A$29:$A$361,MATCH($O124,Scoring!$AI$29:$AI$361,0)))</f>
        <v>Sun Pharma</v>
      </c>
      <c r="C124" s="5" t="n">
        <f aca="false">IF($O124="","",IF(INDEX(Scoring!$F$29:$F$361,MATCH($O124,Scoring!$AI$29:$AI$361,0))="","–",INDEX(Scoring!$F$29:$F$361,MATCH($O124,Scoring!$AI$29:$AI$361,0))))</f>
        <v>1</v>
      </c>
      <c r="D124" s="6" t="str">
        <f aca="false">IF($O124="","",INDEX(Scoring!$E$29:$E$361,MATCH($O124,Scoring!$AI$29:$AI$361,0)))</f>
        <v>Priority 1</v>
      </c>
      <c r="E124" s="7" t="str">
        <f aca="false">IF($O124="","",INDEX(Scoring!$G$29:$G$361,MATCH($O124,Scoring!$AI$29:$AI$361,0)))</f>
        <v>High price, high volume</v>
      </c>
      <c r="F124" s="6" t="str">
        <f aca="false">IF($O124="","",INDEX(Scoring!$B$29:$B$361,MATCH($O124,Scoring!$AI$29:$AI$361,0)))</f>
        <v>Bortezomib</v>
      </c>
      <c r="G124" s="7" t="str">
        <f aca="false">IF($O124="","",INDEX(Scoring!$C$29:$C$361,MATCH($O124,Scoring!$AI$29:$AI$361,0)))</f>
        <v>Bortezomib Sun; Taro-Bortezomib; Botigen</v>
      </c>
      <c r="H124" s="7" t="str">
        <f aca="false">IF($O124="","",INDEX(Scoring!$D$29:$D$361,MATCH($O124,Scoring!$AI$29:$AI$361,0)))</f>
        <v>Oncology: multiple myeloma, mantle cell lymphoma</v>
      </c>
      <c r="I124" s="6" t="str">
        <f aca="false">IF($O124="","",INDEX(Scoring!$R$29:$R$361,MATCH($O124,Scoring!$AI$29:$AI$361,0)))</f>
        <v>Vial</v>
      </c>
      <c r="J124" s="7" t="str">
        <f aca="false">IF($O124="","",INDEX(Scoring!$S$29:$S$361,MATCH($O124,Scoring!$AI$29:$AI$361,0)))</f>
        <v>3.5 mg powder vial; 3.5 mg/10 mL vial; 3.5 mg in 10 mL powder vial</v>
      </c>
      <c r="K124" s="8" t="n">
        <f aca="false">IF($O124="","",IF(INDEX(Scoring!$I$29:$I$361,MATCH($O124,Scoring!$AI$29:$AI$361,0))="",INDEX(Scoring!$AC$29:$AC$361,MATCH($O124,Scoring!$AI$29:$AI$361,0)),INDEX(Scoring!$I$29:$I$361,MATCH($O124,Scoring!$AI$29:$AI$361,0))))</f>
        <v>887.33</v>
      </c>
      <c r="L124" s="9" t="n">
        <f aca="false">IF($O124="","",INDEX(Scoring!$M$29:$M$361,MATCH($O124,Scoring!$AI$29:$AI$361,0)))</f>
        <v>905</v>
      </c>
      <c r="M124" s="9" t="n">
        <f aca="false">IF($O124="","",INDEX(Scoring!$O$29:$O$361,MATCH($O124,Scoring!$AI$29:$AI$361,0)))</f>
        <v>28093.4</v>
      </c>
      <c r="N124" s="7" t="str">
        <f aca="false">IF($O124="","",INDEX(Scoring!$Y$29:$Y$361,MATCH($O124,Scoring!$AI$29:$AI$361,0)))</f>
        <v>UK, Canada, South Africa, UK-NI | EU/EEA: all 30 countries</v>
      </c>
      <c r="O124" s="10" t="n">
        <f aca="false">IFERROR(SMALL(Scoring!$AI$29:$AI$361,120),"")</f>
        <v>10001</v>
      </c>
    </row>
    <row r="125" customFormat="false" ht="28.35" hidden="false" customHeight="false" outlineLevel="0" collapsed="false">
      <c r="A125" s="5" t="n">
        <f aca="false">IF($O125="","",INT($O125/1000))</f>
        <v>10</v>
      </c>
      <c r="B125" s="6" t="str">
        <f aca="false">IF($O125="","",INDEX(Scoring!$A$29:$A$361,MATCH($O125,Scoring!$AI$29:$AI$361,0)))</f>
        <v>Sun Pharma</v>
      </c>
      <c r="C125" s="5" t="n">
        <f aca="false">IF($O125="","",IF(INDEX(Scoring!$F$29:$F$361,MATCH($O125,Scoring!$AI$29:$AI$361,0))="","–",INDEX(Scoring!$F$29:$F$361,MATCH($O125,Scoring!$AI$29:$AI$361,0))))</f>
        <v>2</v>
      </c>
      <c r="D125" s="6" t="str">
        <f aca="false">IF($O125="","",INDEX(Scoring!$E$29:$E$361,MATCH($O125,Scoring!$AI$29:$AI$361,0)))</f>
        <v>Priority 1</v>
      </c>
      <c r="E125" s="7" t="str">
        <f aca="false">IF($O125="","",INDEX(Scoring!$G$29:$G$361,MATCH($O125,Scoring!$AI$29:$AI$361,0)))</f>
        <v>High price, high volume</v>
      </c>
      <c r="F125" s="6" t="str">
        <f aca="false">IF($O125="","",INDEX(Scoring!$B$29:$B$361,MATCH($O125,Scoring!$AI$29:$AI$361,0)))</f>
        <v>Fulvestrant</v>
      </c>
      <c r="G125" s="7" t="str">
        <f aca="false">IF($O125="","",INDEX(Scoring!$C$29:$C$361,MATCH($O125,Scoring!$AI$29:$AI$361,0)))</f>
        <v>Fulvestrant Sun</v>
      </c>
      <c r="H125" s="7" t="str">
        <f aca="false">IF($O125="","",INDEX(Scoring!$D$29:$D$361,MATCH($O125,Scoring!$AI$29:$AI$361,0)))</f>
        <v>Oncology: hormone receptor-positive advanced breast cancer</v>
      </c>
      <c r="I125" s="6" t="str">
        <f aca="false">IF($O125="","",INDEX(Scoring!$R$29:$R$361,MATCH($O125,Scoring!$AI$29:$AI$361,0)))</f>
        <v>Prefilled syringe</v>
      </c>
      <c r="J125" s="7" t="str">
        <f aca="false">IF($O125="","",INDEX(Scoring!$S$29:$S$361,MATCH($O125,Scoring!$AI$29:$AI$361,0)))</f>
        <v>250 mg/5 mL pre-filled syringe</v>
      </c>
      <c r="K125" s="8" t="n">
        <f aca="false">IF($O125="","",IF(INDEX(Scoring!$I$29:$I$361,MATCH($O125,Scoring!$AI$29:$AI$361,0))="",INDEX(Scoring!$AC$29:$AC$361,MATCH($O125,Scoring!$AI$29:$AI$361,0)),INDEX(Scoring!$I$29:$I$361,MATCH($O125,Scoring!$AI$29:$AI$361,0))))</f>
        <v>438.59</v>
      </c>
      <c r="L125" s="9" t="n">
        <f aca="false">IF($O125="","",INDEX(Scoring!$M$29:$M$361,MATCH($O125,Scoring!$AI$29:$AI$361,0)))</f>
        <v>146</v>
      </c>
      <c r="M125" s="9" t="n">
        <f aca="false">IF($O125="","",INDEX(Scoring!$O$29:$O$361,MATCH($O125,Scoring!$AI$29:$AI$361,0)))</f>
        <v>11366.1</v>
      </c>
      <c r="N125" s="7" t="str">
        <f aca="false">IF($O125="","",INDEX(Scoring!$Y$29:$Y$361,MATCH($O125,Scoring!$AI$29:$AI$361,0)))</f>
        <v>UK, UK-NI | EU/EEA (5): Netherlands, Poland, Romania, Spain, Sweden</v>
      </c>
      <c r="O125" s="10" t="n">
        <f aca="false">IFERROR(SMALL(Scoring!$AI$29:$AI$361,121),"")</f>
        <v>10002</v>
      </c>
    </row>
    <row r="126" customFormat="false" ht="28.35" hidden="false" customHeight="false" outlineLevel="0" collapsed="false">
      <c r="A126" s="5" t="n">
        <f aca="false">IF($O126="","",INT($O126/1000))</f>
        <v>10</v>
      </c>
      <c r="B126" s="6" t="str">
        <f aca="false">IF($O126="","",INDEX(Scoring!$A$29:$A$361,MATCH($O126,Scoring!$AI$29:$AI$361,0)))</f>
        <v>Sun Pharma</v>
      </c>
      <c r="C126" s="5" t="n">
        <f aca="false">IF($O126="","",IF(INDEX(Scoring!$F$29:$F$361,MATCH($O126,Scoring!$AI$29:$AI$361,0))="","–",INDEX(Scoring!$F$29:$F$361,MATCH($O126,Scoring!$AI$29:$AI$361,0))))</f>
        <v>3</v>
      </c>
      <c r="D126" s="6" t="str">
        <f aca="false">IF($O126="","",INDEX(Scoring!$E$29:$E$361,MATCH($O126,Scoring!$AI$29:$AI$361,0)))</f>
        <v>Priority 2</v>
      </c>
      <c r="E126" s="7" t="str">
        <f aca="false">IF($O126="","",INDEX(Scoring!$G$29:$G$361,MATCH($O126,Scoring!$AI$29:$AI$361,0)))</f>
        <v>Lower price, high volume</v>
      </c>
      <c r="F126" s="6" t="str">
        <f aca="false">IF($O126="","",INDEX(Scoring!$B$29:$B$361,MATCH($O126,Scoring!$AI$29:$AI$361,0)))</f>
        <v>Octreotide</v>
      </c>
      <c r="G126" s="7" t="str">
        <f aca="false">IF($O126="","",INDEX(Scoring!$C$29:$C$361,MATCH($O126,Scoring!$AI$29:$AI$361,0)))</f>
        <v>Octreotide Sun</v>
      </c>
      <c r="H126" s="7" t="str">
        <f aca="false">IF($O126="","",INDEX(Scoring!$D$29:$D$361,MATCH($O126,Scoring!$AI$29:$AI$361,0)))</f>
        <v>Endocrinology and oncology: acromegaly, carcinoid and neuroendocrine tumours</v>
      </c>
      <c r="I126" s="6" t="str">
        <f aca="false">IF($O126="","",INDEX(Scoring!$R$29:$R$361,MATCH($O126,Scoring!$AI$29:$AI$361,0)))</f>
        <v>Ampoule</v>
      </c>
      <c r="J126" s="7" t="str">
        <f aca="false">IF($O126="","",INDEX(Scoring!$S$29:$S$361,MATCH($O126,Scoring!$AI$29:$AI$361,0)))</f>
        <v>500 mcg/1 mL ampoule</v>
      </c>
      <c r="K126" s="8" t="n">
        <f aca="false">IF($O126="","",IF(INDEX(Scoring!$I$29:$I$361,MATCH($O126,Scoring!$AI$29:$AI$361,0))="",INDEX(Scoring!$AC$29:$AC$361,MATCH($O126,Scoring!$AI$29:$AI$361,0)),INDEX(Scoring!$I$29:$I$361,MATCH($O126,Scoring!$AI$29:$AI$361,0))))</f>
        <v>14.55</v>
      </c>
      <c r="L126" s="9" t="n">
        <f aca="false">IF($O126="","",INDEX(Scoring!$M$29:$M$361,MATCH($O126,Scoring!$AI$29:$AI$361,0)))</f>
        <v>338</v>
      </c>
      <c r="M126" s="9" t="n">
        <f aca="false">IF($O126="","",INDEX(Scoring!$O$29:$O$361,MATCH($O126,Scoring!$AI$29:$AI$361,0)))</f>
        <v>8594.3</v>
      </c>
      <c r="N126" s="7" t="str">
        <f aca="false">IF($O126="","",INDEX(Scoring!$Y$29:$Y$361,MATCH($O126,Scoring!$AI$29:$AI$361,0)))</f>
        <v>Australia, UK-NI | EU/EEA (5): Germany, Denmark, Italy, Spain, Sweden</v>
      </c>
      <c r="O126" s="10" t="n">
        <f aca="false">IFERROR(SMALL(Scoring!$AI$29:$AI$361,122),"")</f>
        <v>10003</v>
      </c>
    </row>
    <row r="127" customFormat="false" ht="28.35" hidden="false" customHeight="false" outlineLevel="0" collapsed="false">
      <c r="A127" s="5" t="n">
        <f aca="false">IF($O127="","",INT($O127/1000))</f>
        <v>10</v>
      </c>
      <c r="B127" s="6" t="str">
        <f aca="false">IF($O127="","",INDEX(Scoring!$A$29:$A$361,MATCH($O127,Scoring!$AI$29:$AI$361,0)))</f>
        <v>Sun Pharma</v>
      </c>
      <c r="C127" s="5" t="n">
        <f aca="false">IF($O127="","",IF(INDEX(Scoring!$F$29:$F$361,MATCH($O127,Scoring!$AI$29:$AI$361,0))="","–",INDEX(Scoring!$F$29:$F$361,MATCH($O127,Scoring!$AI$29:$AI$361,0))))</f>
        <v>4</v>
      </c>
      <c r="D127" s="6" t="str">
        <f aca="false">IF($O127="","",INDEX(Scoring!$E$29:$E$361,MATCH($O127,Scoring!$AI$29:$AI$361,0)))</f>
        <v>Priority 2</v>
      </c>
      <c r="E127" s="7" t="str">
        <f aca="false">IF($O127="","",INDEX(Scoring!$G$29:$G$361,MATCH($O127,Scoring!$AI$29:$AI$361,0)))</f>
        <v>Lower price, high volume</v>
      </c>
      <c r="F127" s="6" t="str">
        <f aca="false">IF($O127="","",INDEX(Scoring!$B$29:$B$361,MATCH($O127,Scoring!$AI$29:$AI$361,0)))</f>
        <v>Testosterone Cypionate</v>
      </c>
      <c r="G127" s="7" t="str">
        <f aca="false">IF($O127="","",INDEX(Scoring!$C$29:$C$361,MATCH($O127,Scoring!$AI$29:$AI$361,0)))</f>
        <v>Taro-Testosterone Cypionate</v>
      </c>
      <c r="H127" s="7" t="str">
        <f aca="false">IF($O127="","",INDEX(Scoring!$D$29:$D$361,MATCH($O127,Scoring!$AI$29:$AI$361,0)))</f>
        <v>Endocrinology: testosterone replacement in male hypogonadism</v>
      </c>
      <c r="I127" s="6" t="str">
        <f aca="false">IF($O127="","",INDEX(Scoring!$R$29:$R$361,MATCH($O127,Scoring!$AI$29:$AI$361,0)))</f>
        <v>Vial</v>
      </c>
      <c r="J127" s="7" t="str">
        <f aca="false">IF($O127="","",INDEX(Scoring!$S$29:$S$361,MATCH($O127,Scoring!$AI$29:$AI$361,0)))</f>
        <v>1000 mg/10 mL vial</v>
      </c>
      <c r="K127" s="8" t="n">
        <f aca="false">IF($O127="","",IF(INDEX(Scoring!$I$29:$I$361,MATCH($O127,Scoring!$AI$29:$AI$361,0))="",INDEX(Scoring!$AC$29:$AC$361,MATCH($O127,Scoring!$AI$29:$AI$361,0)),INDEX(Scoring!$I$29:$I$361,MATCH($O127,Scoring!$AI$29:$AI$361,0))))</f>
        <v>24.41</v>
      </c>
      <c r="L127" s="9" t="n">
        <f aca="false">IF($O127="","",INDEX(Scoring!$M$29:$M$361,MATCH($O127,Scoring!$AI$29:$AI$361,0)))</f>
        <v>291</v>
      </c>
      <c r="M127" s="9" t="n">
        <f aca="false">IF($O127="","",INDEX(Scoring!$O$29:$O$361,MATCH($O127,Scoring!$AI$29:$AI$361,0)))</f>
        <v>6893.7</v>
      </c>
      <c r="N127" s="7" t="str">
        <f aca="false">IF($O127="","",INDEX(Scoring!$Y$29:$Y$361,MATCH($O127,Scoring!$AI$29:$AI$361,0)))</f>
        <v>Canada</v>
      </c>
      <c r="O127" s="10" t="n">
        <f aca="false">IFERROR(SMALL(Scoring!$AI$29:$AI$361,123),"")</f>
        <v>10004</v>
      </c>
    </row>
    <row r="128" customFormat="false" ht="28.35" hidden="false" customHeight="false" outlineLevel="0" collapsed="false">
      <c r="A128" s="5" t="n">
        <f aca="false">IF($O128="","",INT($O128/1000))</f>
        <v>10</v>
      </c>
      <c r="B128" s="6" t="str">
        <f aca="false">IF($O128="","",INDEX(Scoring!$A$29:$A$361,MATCH($O128,Scoring!$AI$29:$AI$361,0)))</f>
        <v>Sun Pharma</v>
      </c>
      <c r="C128" s="5" t="n">
        <f aca="false">IF($O128="","",IF(INDEX(Scoring!$F$29:$F$361,MATCH($O128,Scoring!$AI$29:$AI$361,0))="","–",INDEX(Scoring!$F$29:$F$361,MATCH($O128,Scoring!$AI$29:$AI$361,0))))</f>
        <v>5</v>
      </c>
      <c r="D128" s="6" t="str">
        <f aca="false">IF($O128="","",INDEX(Scoring!$E$29:$E$361,MATCH($O128,Scoring!$AI$29:$AI$361,0)))</f>
        <v>Priority 2</v>
      </c>
      <c r="E128" s="7" t="str">
        <f aca="false">IF($O128="","",INDEX(Scoring!$G$29:$G$361,MATCH($O128,Scoring!$AI$29:$AI$361,0)))</f>
        <v>High price, lower volume</v>
      </c>
      <c r="F128" s="6" t="str">
        <f aca="false">IF($O128="","",INDEX(Scoring!$B$29:$B$361,MATCH($O128,Scoring!$AI$29:$AI$361,0)))</f>
        <v>Teicoplanin</v>
      </c>
      <c r="G128" s="7" t="str">
        <f aca="false">IF($O128="","",INDEX(Scoring!$C$29:$C$361,MATCH($O128,Scoring!$AI$29:$AI$361,0)))</f>
        <v>Teicoplanin; Teicoplanin Ranbaxy</v>
      </c>
      <c r="H128" s="7" t="str">
        <f aca="false">IF($O128="","",INDEX(Scoring!$D$29:$D$361,MATCH($O128,Scoring!$AI$29:$AI$361,0)))</f>
        <v>Anti-infective: MRSA and serious Gram-positive infections</v>
      </c>
      <c r="I128" s="6" t="str">
        <f aca="false">IF($O128="","",INDEX(Scoring!$R$29:$R$361,MATCH($O128,Scoring!$AI$29:$AI$361,0)))</f>
        <v>Vial</v>
      </c>
      <c r="J128" s="7" t="str">
        <f aca="false">IF($O128="","",INDEX(Scoring!$S$29:$S$361,MATCH($O128,Scoring!$AI$29:$AI$361,0)))</f>
        <v>400 mg/20 mL vial; 400 mg powder vial</v>
      </c>
      <c r="K128" s="8" t="n">
        <f aca="false">IF($O128="","",IF(INDEX(Scoring!$I$29:$I$361,MATCH($O128,Scoring!$AI$29:$AI$361,0))="",INDEX(Scoring!$AC$29:$AC$361,MATCH($O128,Scoring!$AI$29:$AI$361,0)),INDEX(Scoring!$I$29:$I$361,MATCH($O128,Scoring!$AI$29:$AI$361,0))))</f>
        <v>36.53</v>
      </c>
      <c r="L128" s="9" t="n">
        <f aca="false">IF($O128="","",INDEX(Scoring!$M$29:$M$361,MATCH($O128,Scoring!$AI$29:$AI$361,0)))</f>
        <v>99</v>
      </c>
      <c r="M128" s="9" t="n">
        <f aca="false">IF($O128="","",INDEX(Scoring!$O$29:$O$361,MATCH($O128,Scoring!$AI$29:$AI$361,0)))</f>
        <v>6632.6</v>
      </c>
      <c r="N128" s="7" t="str">
        <f aca="false">IF($O128="","",INDEX(Scoring!$Y$29:$Y$361,MATCH($O128,Scoring!$AI$29:$AI$361,0)))</f>
        <v>UK, UK-NI | EU/EEA (2): Netherlands, Italy</v>
      </c>
      <c r="O128" s="10" t="n">
        <f aca="false">IFERROR(SMALL(Scoring!$AI$29:$AI$361,124),"")</f>
        <v>10005</v>
      </c>
    </row>
    <row r="129" customFormat="false" ht="28.35" hidden="false" customHeight="false" outlineLevel="0" collapsed="false">
      <c r="A129" s="5" t="n">
        <f aca="false">IF($O129="","",INT($O129/1000))</f>
        <v>10</v>
      </c>
      <c r="B129" s="6" t="str">
        <f aca="false">IF($O129="","",INDEX(Scoring!$A$29:$A$361,MATCH($O129,Scoring!$AI$29:$AI$361,0)))</f>
        <v>Sun Pharma</v>
      </c>
      <c r="C129" s="5" t="n">
        <f aca="false">IF($O129="","",IF(INDEX(Scoring!$F$29:$F$361,MATCH($O129,Scoring!$AI$29:$AI$361,0))="","–",INDEX(Scoring!$F$29:$F$361,MATCH($O129,Scoring!$AI$29:$AI$361,0))))</f>
        <v>6</v>
      </c>
      <c r="D129" s="6" t="str">
        <f aca="false">IF($O129="","",INDEX(Scoring!$E$29:$E$361,MATCH($O129,Scoring!$AI$29:$AI$361,0)))</f>
        <v>Priority 2</v>
      </c>
      <c r="E129" s="7" t="str">
        <f aca="false">IF($O129="","",INDEX(Scoring!$G$29:$G$361,MATCH($O129,Scoring!$AI$29:$AI$361,0)))</f>
        <v>High price, lower volume</v>
      </c>
      <c r="F129" s="6" t="str">
        <f aca="false">IF($O129="","",INDEX(Scoring!$B$29:$B$361,MATCH($O129,Scoring!$AI$29:$AI$361,0)))</f>
        <v>Aripiprazole</v>
      </c>
      <c r="G129" s="7" t="str">
        <f aca="false">IF($O129="","",INDEX(Scoring!$C$29:$C$361,MATCH($O129,Scoring!$AI$29:$AI$361,0)))</f>
        <v>Aripiprazole; Aripena</v>
      </c>
      <c r="H129" s="7" t="str">
        <f aca="false">IF($O129="","",INDEX(Scoring!$D$29:$D$361,MATCH($O129,Scoring!$AI$29:$AI$361,0)))</f>
        <v>Psychiatry: long-acting injection for schizophrenia and bipolar disorder</v>
      </c>
      <c r="I129" s="6" t="str">
        <f aca="false">IF($O129="","",INDEX(Scoring!$R$29:$R$361,MATCH($O129,Scoring!$AI$29:$AI$361,0)))</f>
        <v>Vial</v>
      </c>
      <c r="J129" s="7" t="str">
        <f aca="false">IF($O129="","",INDEX(Scoring!$S$29:$S$361,MATCH($O129,Scoring!$AI$29:$AI$361,0)))</f>
        <v>300 mg powder vial; 400 mg powder vial</v>
      </c>
      <c r="K129" s="8" t="n">
        <f aca="false">IF($O129="","",IF(INDEX(Scoring!$I$29:$I$361,MATCH($O129,Scoring!$AI$29:$AI$361,0))="",INDEX(Scoring!$AC$29:$AC$361,MATCH($O129,Scoring!$AI$29:$AI$361,0)),INDEX(Scoring!$I$29:$I$361,MATCH($O129,Scoring!$AI$29:$AI$361,0))))</f>
        <v>198.74</v>
      </c>
      <c r="L129" s="9" t="n">
        <f aca="false">IF($O129="","",INDEX(Scoring!$M$29:$M$361,MATCH($O129,Scoring!$AI$29:$AI$361,0)))</f>
        <v>113</v>
      </c>
      <c r="M129" s="9" t="n">
        <f aca="false">IF($O129="","",INDEX(Scoring!$O$29:$O$361,MATCH($O129,Scoring!$AI$29:$AI$361,0)))</f>
        <v>1976.6</v>
      </c>
      <c r="N129" s="7" t="str">
        <f aca="false">IF($O129="","",INDEX(Scoring!$Y$29:$Y$361,MATCH($O129,Scoring!$AI$29:$AI$361,0)))</f>
        <v>UK, Australia</v>
      </c>
      <c r="O129" s="10" t="n">
        <f aca="false">IFERROR(SMALL(Scoring!$AI$29:$AI$361,125),"")</f>
        <v>10006</v>
      </c>
    </row>
    <row r="130" customFormat="false" ht="28.35" hidden="false" customHeight="false" outlineLevel="0" collapsed="false">
      <c r="A130" s="5" t="n">
        <f aca="false">IF($O130="","",INT($O130/1000))</f>
        <v>10</v>
      </c>
      <c r="B130" s="6" t="str">
        <f aca="false">IF($O130="","",INDEX(Scoring!$A$29:$A$361,MATCH($O130,Scoring!$AI$29:$AI$361,0)))</f>
        <v>Sun Pharma</v>
      </c>
      <c r="C130" s="5" t="n">
        <f aca="false">IF($O130="","",IF(INDEX(Scoring!$F$29:$F$361,MATCH($O130,Scoring!$AI$29:$AI$361,0))="","–",INDEX(Scoring!$F$29:$F$361,MATCH($O130,Scoring!$AI$29:$AI$361,0))))</f>
        <v>7</v>
      </c>
      <c r="D130" s="6" t="str">
        <f aca="false">IF($O130="","",INDEX(Scoring!$E$29:$E$361,MATCH($O130,Scoring!$AI$29:$AI$361,0)))</f>
        <v>Priority 2</v>
      </c>
      <c r="E130" s="7" t="str">
        <f aca="false">IF($O130="","",INDEX(Scoring!$G$29:$G$361,MATCH($O130,Scoring!$AI$29:$AI$361,0)))</f>
        <v>High price, lower volume</v>
      </c>
      <c r="F130" s="6" t="str">
        <f aca="false">IF($O130="","",INDEX(Scoring!$B$29:$B$361,MATCH($O130,Scoring!$AI$29:$AI$361,0)))</f>
        <v>Testosterone Undecanoate</v>
      </c>
      <c r="G130" s="7" t="str">
        <f aca="false">IF($O130="","",INDEX(Scoring!$C$29:$C$361,MATCH($O130,Scoring!$AI$29:$AI$361,0)))</f>
        <v>Testosterone; Testosteron Basics; Testosterone Sun</v>
      </c>
      <c r="H130" s="7" t="str">
        <f aca="false">IF($O130="","",INDEX(Scoring!$D$29:$D$361,MATCH($O130,Scoring!$AI$29:$AI$361,0)))</f>
        <v>Endocrinology: long-acting testosterone replacement in male hypogonadism</v>
      </c>
      <c r="I130" s="6" t="str">
        <f aca="false">IF($O130="","",INDEX(Scoring!$R$29:$R$361,MATCH($O130,Scoring!$AI$29:$AI$361,0)))</f>
        <v>Vial</v>
      </c>
      <c r="J130" s="7" t="str">
        <f aca="false">IF($O130="","",INDEX(Scoring!$S$29:$S$361,MATCH($O130,Scoring!$AI$29:$AI$361,0)))</f>
        <v>1000 mg/4 mL vial</v>
      </c>
      <c r="K130" s="8" t="n">
        <f aca="false">IF($O130="","",IF(INDEX(Scoring!$I$29:$I$361,MATCH($O130,Scoring!$AI$29:$AI$361,0))="",INDEX(Scoring!$AC$29:$AC$361,MATCH($O130,Scoring!$AI$29:$AI$361,0)),INDEX(Scoring!$I$29:$I$361,MATCH($O130,Scoring!$AI$29:$AI$361,0))))</f>
        <v>64.26</v>
      </c>
      <c r="L130" s="9" t="n">
        <f aca="false">IF($O130="","",INDEX(Scoring!$M$29:$M$361,MATCH($O130,Scoring!$AI$29:$AI$361,0)))</f>
        <v>132</v>
      </c>
      <c r="M130" s="9" t="n">
        <f aca="false">IF($O130="","",INDEX(Scoring!$O$29:$O$361,MATCH($O130,Scoring!$AI$29:$AI$361,0)))</f>
        <v>184.9</v>
      </c>
      <c r="N130" s="7" t="str">
        <f aca="false">IF($O130="","",INDEX(Scoring!$Y$29:$Y$361,MATCH($O130,Scoring!$AI$29:$AI$361,0)))</f>
        <v>UK, Australia | EU/EEA (10): Germany, France, Netherlands, Finland + 6 more</v>
      </c>
      <c r="O130" s="10" t="n">
        <f aca="false">IFERROR(SMALL(Scoring!$AI$29:$AI$361,126),"")</f>
        <v>10007</v>
      </c>
    </row>
    <row r="131" customFormat="false" ht="41.75" hidden="false" customHeight="false" outlineLevel="0" collapsed="false">
      <c r="A131" s="5" t="n">
        <f aca="false">IF($O131="","",INT($O131/1000))</f>
        <v>11</v>
      </c>
      <c r="B131" s="6" t="str">
        <f aca="false">IF($O131="","",INDEX(Scoring!$A$29:$A$361,MATCH($O131,Scoring!$AI$29:$AI$361,0)))</f>
        <v>MSN</v>
      </c>
      <c r="C131" s="5" t="n">
        <f aca="false">IF($O131="","",IF(INDEX(Scoring!$F$29:$F$361,MATCH($O131,Scoring!$AI$29:$AI$361,0))="","–",INDEX(Scoring!$F$29:$F$361,MATCH($O131,Scoring!$AI$29:$AI$361,0))))</f>
        <v>1</v>
      </c>
      <c r="D131" s="6" t="str">
        <f aca="false">IF($O131="","",INDEX(Scoring!$E$29:$E$361,MATCH($O131,Scoring!$AI$29:$AI$361,0)))</f>
        <v>Priority 1</v>
      </c>
      <c r="E131" s="7" t="str">
        <f aca="false">IF($O131="","",INDEX(Scoring!$G$29:$G$361,MATCH($O131,Scoring!$AI$29:$AI$361,0)))</f>
        <v>High price, high volume</v>
      </c>
      <c r="F131" s="6" t="str">
        <f aca="false">IF($O131="","",INDEX(Scoring!$B$29:$B$361,MATCH($O131,Scoring!$AI$29:$AI$361,0)))</f>
        <v>Bortezomib</v>
      </c>
      <c r="G131" s="7" t="str">
        <f aca="false">IF($O131="","",INDEX(Scoring!$C$29:$C$361,MATCH($O131,Scoring!$AI$29:$AI$361,0)))</f>
        <v>Bortezomib; Bortezomib MSN Laboratories Europe; MSN-Bortezomib</v>
      </c>
      <c r="H131" s="7" t="str">
        <f aca="false">IF($O131="","",INDEX(Scoring!$D$29:$D$361,MATCH($O131,Scoring!$AI$29:$AI$361,0)))</f>
        <v>Oncology: multiple myeloma, mantle cell lymphoma</v>
      </c>
      <c r="I131" s="6" t="str">
        <f aca="false">IF($O131="","",INDEX(Scoring!$R$29:$R$361,MATCH($O131,Scoring!$AI$29:$AI$361,0)))</f>
        <v>Vial</v>
      </c>
      <c r="J131" s="7" t="str">
        <f aca="false">IF($O131="","",INDEX(Scoring!$S$29:$S$361,MATCH($O131,Scoring!$AI$29:$AI$361,0)))</f>
        <v>3.5 mg powder vial</v>
      </c>
      <c r="K131" s="8" t="n">
        <f aca="false">IF($O131="","",IF(INDEX(Scoring!$I$29:$I$361,MATCH($O131,Scoring!$AI$29:$AI$361,0))="",INDEX(Scoring!$AC$29:$AC$361,MATCH($O131,Scoring!$AI$29:$AI$361,0)),INDEX(Scoring!$I$29:$I$361,MATCH($O131,Scoring!$AI$29:$AI$361,0))))</f>
        <v>360.02</v>
      </c>
      <c r="L131" s="9" t="n">
        <f aca="false">IF($O131="","",INDEX(Scoring!$M$29:$M$361,MATCH($O131,Scoring!$AI$29:$AI$361,0)))</f>
        <v>905</v>
      </c>
      <c r="M131" s="9" t="n">
        <f aca="false">IF($O131="","",INDEX(Scoring!$O$29:$O$361,MATCH($O131,Scoring!$AI$29:$AI$361,0)))</f>
        <v>28093.4</v>
      </c>
      <c r="N131" s="7" t="str">
        <f aca="false">IF($O131="","",INDEX(Scoring!$Y$29:$Y$361,MATCH($O131,Scoring!$AI$29:$AI$361,0)))</f>
        <v>US, UK, Australia, UK-NI | EU/EEA (1): Ireland</v>
      </c>
      <c r="O131" s="10" t="n">
        <f aca="false">IFERROR(SMALL(Scoring!$AI$29:$AI$361,127),"")</f>
        <v>11001</v>
      </c>
    </row>
    <row r="132" customFormat="false" ht="28.35" hidden="false" customHeight="false" outlineLevel="0" collapsed="false">
      <c r="A132" s="5" t="n">
        <f aca="false">IF($O132="","",INT($O132/1000))</f>
        <v>11</v>
      </c>
      <c r="B132" s="6" t="str">
        <f aca="false">IF($O132="","",INDEX(Scoring!$A$29:$A$361,MATCH($O132,Scoring!$AI$29:$AI$361,0)))</f>
        <v>MSN</v>
      </c>
      <c r="C132" s="5" t="n">
        <f aca="false">IF($O132="","",IF(INDEX(Scoring!$F$29:$F$361,MATCH($O132,Scoring!$AI$29:$AI$361,0))="","–",INDEX(Scoring!$F$29:$F$361,MATCH($O132,Scoring!$AI$29:$AI$361,0))))</f>
        <v>2</v>
      </c>
      <c r="D132" s="6" t="str">
        <f aca="false">IF($O132="","",INDEX(Scoring!$E$29:$E$361,MATCH($O132,Scoring!$AI$29:$AI$361,0)))</f>
        <v>Priority 2</v>
      </c>
      <c r="E132" s="7" t="str">
        <f aca="false">IF($O132="","",INDEX(Scoring!$G$29:$G$361,MATCH($O132,Scoring!$AI$29:$AI$361,0)))</f>
        <v>High price, lower volume</v>
      </c>
      <c r="F132" s="6" t="str">
        <f aca="false">IF($O132="","",INDEX(Scoring!$B$29:$B$361,MATCH($O132,Scoring!$AI$29:$AI$361,0)))</f>
        <v>Plerixafor</v>
      </c>
      <c r="G132" s="7" t="str">
        <f aca="false">IF($O132="","",INDEX(Scoring!$C$29:$C$361,MATCH($O132,Scoring!$AI$29:$AI$361,0)))</f>
        <v>Plerixafor</v>
      </c>
      <c r="H132" s="7" t="str">
        <f aca="false">IF($O132="","",INDEX(Scoring!$D$29:$D$361,MATCH($O132,Scoring!$AI$29:$AI$361,0)))</f>
        <v>Oncology support: stem cell mobilisation in myeloma and lymphoma</v>
      </c>
      <c r="I132" s="6" t="str">
        <f aca="false">IF($O132="","",INDEX(Scoring!$R$29:$R$361,MATCH($O132,Scoring!$AI$29:$AI$361,0)))</f>
        <v>Vial</v>
      </c>
      <c r="J132" s="7" t="str">
        <f aca="false">IF($O132="","",INDEX(Scoring!$S$29:$S$361,MATCH($O132,Scoring!$AI$29:$AI$361,0)))</f>
        <v>24 mg/1.2 mL vial</v>
      </c>
      <c r="K132" s="8" t="n">
        <f aca="false">IF($O132="","",IF(INDEX(Scoring!$I$29:$I$361,MATCH($O132,Scoring!$AI$29:$AI$361,0))="",INDEX(Scoring!$AC$29:$AC$361,MATCH($O132,Scoring!$AI$29:$AI$361,0)),INDEX(Scoring!$I$29:$I$361,MATCH($O132,Scoring!$AI$29:$AI$361,0))))</f>
        <v>343.8</v>
      </c>
      <c r="L132" s="9" t="n">
        <f aca="false">IF($O132="","",INDEX(Scoring!$M$29:$M$361,MATCH($O132,Scoring!$AI$29:$AI$361,0)))</f>
        <v>47</v>
      </c>
      <c r="M132" s="9" t="n">
        <f aca="false">IF($O132="","",INDEX(Scoring!$O$29:$O$361,MATCH($O132,Scoring!$AI$29:$AI$361,0)))</f>
        <v>7904.7</v>
      </c>
      <c r="N132" s="7" t="str">
        <f aca="false">IF($O132="","",INDEX(Scoring!$Y$29:$Y$361,MATCH($O132,Scoring!$AI$29:$AI$361,0)))</f>
        <v>US | EU/EEA (8): Bulgaria, Croatia, Czech Republic, Hungary + 4 more</v>
      </c>
      <c r="O132" s="10" t="n">
        <f aca="false">IFERROR(SMALL(Scoring!$AI$29:$AI$361,128),"")</f>
        <v>11002</v>
      </c>
    </row>
    <row r="133" customFormat="false" ht="28.35" hidden="false" customHeight="false" outlineLevel="0" collapsed="false">
      <c r="A133" s="5" t="n">
        <f aca="false">IF($O133="","",INT($O133/1000))</f>
        <v>11</v>
      </c>
      <c r="B133" s="6" t="str">
        <f aca="false">IF($O133="","",INDEX(Scoring!$A$29:$A$361,MATCH($O133,Scoring!$AI$29:$AI$361,0)))</f>
        <v>MSN</v>
      </c>
      <c r="C133" s="5" t="n">
        <f aca="false">IF($O133="","",IF(INDEX(Scoring!$F$29:$F$361,MATCH($O133,Scoring!$AI$29:$AI$361,0))="","–",INDEX(Scoring!$F$29:$F$361,MATCH($O133,Scoring!$AI$29:$AI$361,0))))</f>
        <v>3</v>
      </c>
      <c r="D133" s="6" t="str">
        <f aca="false">IF($O133="","",INDEX(Scoring!$E$29:$E$361,MATCH($O133,Scoring!$AI$29:$AI$361,0)))</f>
        <v>Priority 2</v>
      </c>
      <c r="E133" s="7" t="str">
        <f aca="false">IF($O133="","",INDEX(Scoring!$G$29:$G$361,MATCH($O133,Scoring!$AI$29:$AI$361,0)))</f>
        <v>High price, lower volume</v>
      </c>
      <c r="F133" s="6" t="str">
        <f aca="false">IF($O133="","",INDEX(Scoring!$B$29:$B$361,MATCH($O133,Scoring!$AI$29:$AI$361,0)))</f>
        <v>Fluphenazine Decanoate</v>
      </c>
      <c r="G133" s="7" t="str">
        <f aca="false">IF($O133="","",INDEX(Scoring!$C$29:$C$361,MATCH($O133,Scoring!$AI$29:$AI$361,0)))</f>
        <v>Fluphenazine Decanoate</v>
      </c>
      <c r="H133" s="7" t="str">
        <f aca="false">IF($O133="","",INDEX(Scoring!$D$29:$D$361,MATCH($O133,Scoring!$AI$29:$AI$361,0)))</f>
        <v>Psychiatry: long-acting maintenance treatment for schizophrenia</v>
      </c>
      <c r="I133" s="6" t="str">
        <f aca="false">IF($O133="","",INDEX(Scoring!$R$29:$R$361,MATCH($O133,Scoring!$AI$29:$AI$361,0)))</f>
        <v>Vial</v>
      </c>
      <c r="J133" s="7" t="str">
        <f aca="false">IF($O133="","",INDEX(Scoring!$S$29:$S$361,MATCH($O133,Scoring!$AI$29:$AI$361,0)))</f>
        <v>125 mg/5 mL vial</v>
      </c>
      <c r="K133" s="8" t="n">
        <f aca="false">IF($O133="","",IF(INDEX(Scoring!$I$29:$I$361,MATCH($O133,Scoring!$AI$29:$AI$361,0))="",INDEX(Scoring!$AC$29:$AC$361,MATCH($O133,Scoring!$AI$29:$AI$361,0)),INDEX(Scoring!$I$29:$I$361,MATCH($O133,Scoring!$AI$29:$AI$361,0))))</f>
        <v>54.55</v>
      </c>
      <c r="L133" s="9" t="n">
        <f aca="false">IF($O133="","",INDEX(Scoring!$M$29:$M$361,MATCH($O133,Scoring!$AI$29:$AI$361,0)))</f>
        <v>126</v>
      </c>
      <c r="M133" s="9" t="n">
        <f aca="false">IF($O133="","",INDEX(Scoring!$O$29:$O$361,MATCH($O133,Scoring!$AI$29:$AI$361,0)))</f>
        <v>3407.5</v>
      </c>
      <c r="N133" s="7" t="str">
        <f aca="false">IF($O133="","",INDEX(Scoring!$Y$29:$Y$361,MATCH($O133,Scoring!$AI$29:$AI$361,0)))</f>
        <v>US</v>
      </c>
      <c r="O133" s="10" t="n">
        <f aca="false">IFERROR(SMALL(Scoring!$AI$29:$AI$361,129),"")</f>
        <v>11003</v>
      </c>
    </row>
    <row r="134" customFormat="false" ht="28.35" hidden="false" customHeight="false" outlineLevel="0" collapsed="false">
      <c r="A134" s="5" t="n">
        <f aca="false">IF($O134="","",INT($O134/1000))</f>
        <v>11</v>
      </c>
      <c r="B134" s="6" t="str">
        <f aca="false">IF($O134="","",INDEX(Scoring!$A$29:$A$361,MATCH($O134,Scoring!$AI$29:$AI$361,0)))</f>
        <v>MSN</v>
      </c>
      <c r="C134" s="5" t="n">
        <f aca="false">IF($O134="","",IF(INDEX(Scoring!$F$29:$F$361,MATCH($O134,Scoring!$AI$29:$AI$361,0))="","–",INDEX(Scoring!$F$29:$F$361,MATCH($O134,Scoring!$AI$29:$AI$361,0))))</f>
        <v>4</v>
      </c>
      <c r="D134" s="6" t="str">
        <f aca="false">IF($O134="","",INDEX(Scoring!$E$29:$E$361,MATCH($O134,Scoring!$AI$29:$AI$361,0)))</f>
        <v>Priority 3</v>
      </c>
      <c r="E134" s="7" t="str">
        <f aca="false">IF($O134="","",INDEX(Scoring!$G$29:$G$361,MATCH($O134,Scoring!$AI$29:$AI$361,0)))</f>
        <v>Lower price, lower volume</v>
      </c>
      <c r="F134" s="6" t="str">
        <f aca="false">IF($O134="","",INDEX(Scoring!$B$29:$B$361,MATCH($O134,Scoring!$AI$29:$AI$361,0)))</f>
        <v>Chlorpromazine</v>
      </c>
      <c r="G134" s="7" t="str">
        <f aca="false">IF($O134="","",INDEX(Scoring!$C$29:$C$361,MATCH($O134,Scoring!$AI$29:$AI$361,0)))</f>
        <v>Chlorpromazine Hydrochloride</v>
      </c>
      <c r="H134" s="7" t="str">
        <f aca="false">IF($O134="","",INDEX(Scoring!$D$29:$D$361,MATCH($O134,Scoring!$AI$29:$AI$361,0)))</f>
        <v>Psychiatry: acute psychosis and agitation, severe nausea and vomiting</v>
      </c>
      <c r="I134" s="6" t="str">
        <f aca="false">IF($O134="","",INDEX(Scoring!$R$29:$R$361,MATCH($O134,Scoring!$AI$29:$AI$361,0)))</f>
        <v>Vial</v>
      </c>
      <c r="J134" s="7" t="str">
        <f aca="false">IF($O134="","",INDEX(Scoring!$S$29:$S$361,MATCH($O134,Scoring!$AI$29:$AI$361,0)))</f>
        <v>25 mg/1 mL vial</v>
      </c>
      <c r="K134" s="8" t="n">
        <f aca="false">IF($O134="","",IF(INDEX(Scoring!$I$29:$I$361,MATCH($O134,Scoring!$AI$29:$AI$361,0))="",INDEX(Scoring!$AC$29:$AC$361,MATCH($O134,Scoring!$AI$29:$AI$361,0)),INDEX(Scoring!$I$29:$I$361,MATCH($O134,Scoring!$AI$29:$AI$361,0))))</f>
        <v>14.96</v>
      </c>
      <c r="L134" s="9" t="n">
        <f aca="false">IF($O134="","",INDEX(Scoring!$M$29:$M$361,MATCH($O134,Scoring!$AI$29:$AI$361,0)))</f>
        <v>82</v>
      </c>
      <c r="M134" s="9" t="n">
        <f aca="false">IF($O134="","",INDEX(Scoring!$O$29:$O$361,MATCH($O134,Scoring!$AI$29:$AI$361,0)))</f>
        <v>1358.2</v>
      </c>
      <c r="N134" s="7" t="str">
        <f aca="false">IF($O134="","",INDEX(Scoring!$Y$29:$Y$361,MATCH($O134,Scoring!$AI$29:$AI$361,0)))</f>
        <v>US</v>
      </c>
      <c r="O134" s="10" t="n">
        <f aca="false">IFERROR(SMALL(Scoring!$AI$29:$AI$361,130),"")</f>
        <v>11004</v>
      </c>
    </row>
    <row r="135" customFormat="false" ht="28.35" hidden="false" customHeight="false" outlineLevel="0" collapsed="false">
      <c r="A135" s="5" t="n">
        <f aca="false">IF($O135="","",INT($O135/1000))</f>
        <v>12</v>
      </c>
      <c r="B135" s="6" t="str">
        <f aca="false">IF($O135="","",INDEX(Scoring!$A$29:$A$361,MATCH($O135,Scoring!$AI$29:$AI$361,0)))</f>
        <v>Alembic</v>
      </c>
      <c r="C135" s="5" t="n">
        <f aca="false">IF($O135="","",IF(INDEX(Scoring!$F$29:$F$361,MATCH($O135,Scoring!$AI$29:$AI$361,0))="","–",INDEX(Scoring!$F$29:$F$361,MATCH($O135,Scoring!$AI$29:$AI$361,0))))</f>
        <v>1</v>
      </c>
      <c r="D135" s="6" t="str">
        <f aca="false">IF($O135="","",INDEX(Scoring!$E$29:$E$361,MATCH($O135,Scoring!$AI$29:$AI$361,0)))</f>
        <v>Priority 1</v>
      </c>
      <c r="E135" s="7" t="str">
        <f aca="false">IF($O135="","",INDEX(Scoring!$G$29:$G$361,MATCH($O135,Scoring!$AI$29:$AI$361,0)))</f>
        <v>High price, high volume</v>
      </c>
      <c r="F135" s="6" t="str">
        <f aca="false">IF($O135="","",INDEX(Scoring!$B$29:$B$361,MATCH($O135,Scoring!$AI$29:$AI$361,0)))</f>
        <v>Fulvestrant</v>
      </c>
      <c r="G135" s="7" t="str">
        <f aca="false">IF($O135="","",INDEX(Scoring!$C$29:$C$361,MATCH($O135,Scoring!$AI$29:$AI$361,0)))</f>
        <v>Fulvestrant</v>
      </c>
      <c r="H135" s="7" t="str">
        <f aca="false">IF($O135="","",INDEX(Scoring!$D$29:$D$361,MATCH($O135,Scoring!$AI$29:$AI$361,0)))</f>
        <v>Oncology: hormone receptor-positive advanced breast cancer</v>
      </c>
      <c r="I135" s="6" t="str">
        <f aca="false">IF($O135="","",INDEX(Scoring!$R$29:$R$361,MATCH($O135,Scoring!$AI$29:$AI$361,0)))</f>
        <v>Prefilled syringe</v>
      </c>
      <c r="J135" s="7" t="str">
        <f aca="false">IF($O135="","",INDEX(Scoring!$S$29:$S$361,MATCH($O135,Scoring!$AI$29:$AI$361,0)))</f>
        <v>250 mg/5 mL pre-filled syringe</v>
      </c>
      <c r="K135" s="8" t="n">
        <f aca="false">IF($O135="","",IF(INDEX(Scoring!$I$29:$I$361,MATCH($O135,Scoring!$AI$29:$AI$361,0))="",INDEX(Scoring!$AC$29:$AC$361,MATCH($O135,Scoring!$AI$29:$AI$361,0)),INDEX(Scoring!$I$29:$I$361,MATCH($O135,Scoring!$AI$29:$AI$361,0))))</f>
        <v>29.97</v>
      </c>
      <c r="L135" s="9" t="n">
        <f aca="false">IF($O135="","",INDEX(Scoring!$M$29:$M$361,MATCH($O135,Scoring!$AI$29:$AI$361,0)))</f>
        <v>146</v>
      </c>
      <c r="M135" s="9" t="n">
        <f aca="false">IF($O135="","",INDEX(Scoring!$O$29:$O$361,MATCH($O135,Scoring!$AI$29:$AI$361,0)))</f>
        <v>11366.1</v>
      </c>
      <c r="N135" s="7" t="str">
        <f aca="false">IF($O135="","",INDEX(Scoring!$Y$29:$Y$361,MATCH($O135,Scoring!$AI$29:$AI$361,0)))</f>
        <v>US</v>
      </c>
      <c r="O135" s="10" t="n">
        <f aca="false">IFERROR(SMALL(Scoring!$AI$29:$AI$361,131),"")</f>
        <v>12001</v>
      </c>
    </row>
    <row r="136" customFormat="false" ht="41.75" hidden="false" customHeight="false" outlineLevel="0" collapsed="false">
      <c r="A136" s="5" t="n">
        <f aca="false">IF($O136="","",INT($O136/1000))</f>
        <v>12</v>
      </c>
      <c r="B136" s="6" t="str">
        <f aca="false">IF($O136="","",INDEX(Scoring!$A$29:$A$361,MATCH($O136,Scoring!$AI$29:$AI$361,0)))</f>
        <v>Alembic</v>
      </c>
      <c r="C136" s="5" t="n">
        <f aca="false">IF($O136="","",IF(INDEX(Scoring!$F$29:$F$361,MATCH($O136,Scoring!$AI$29:$AI$361,0))="","–",INDEX(Scoring!$F$29:$F$361,MATCH($O136,Scoring!$AI$29:$AI$361,0))))</f>
        <v>2</v>
      </c>
      <c r="D136" s="6" t="str">
        <f aca="false">IF($O136="","",INDEX(Scoring!$E$29:$E$361,MATCH($O136,Scoring!$AI$29:$AI$361,0)))</f>
        <v>Priority 2</v>
      </c>
      <c r="E136" s="7" t="str">
        <f aca="false">IF($O136="","",INDEX(Scoring!$G$29:$G$361,MATCH($O136,Scoring!$AI$29:$AI$361,0)))</f>
        <v>Lower price, high volume</v>
      </c>
      <c r="F136" s="6" t="str">
        <f aca="false">IF($O136="","",INDEX(Scoring!$B$29:$B$361,MATCH($O136,Scoring!$AI$29:$AI$361,0)))</f>
        <v>Methotrexate</v>
      </c>
      <c r="G136" s="7" t="str">
        <f aca="false">IF($O136="","",INDEX(Scoring!$C$29:$C$361,MATCH($O136,Scoring!$AI$29:$AI$361,0)))</f>
        <v>Methotrexate Sodium</v>
      </c>
      <c r="H136" s="7" t="str">
        <f aca="false">IF($O136="","",INDEX(Scoring!$D$29:$D$361,MATCH($O136,Scoring!$AI$29:$AI$361,0)))</f>
        <v>Oncology and immunology: leukaemia, lymphoma, bone cancer, rheumatoid arthritis, psoriasis</v>
      </c>
      <c r="I136" s="6" t="str">
        <f aca="false">IF($O136="","",INDEX(Scoring!$R$29:$R$361,MATCH($O136,Scoring!$AI$29:$AI$361,0)))</f>
        <v>Vial</v>
      </c>
      <c r="J136" s="7" t="str">
        <f aca="false">IF($O136="","",INDEX(Scoring!$S$29:$S$361,MATCH($O136,Scoring!$AI$29:$AI$361,0)))</f>
        <v>1 g/40 mL vial; 50 mg/2 mL vial</v>
      </c>
      <c r="K136" s="8" t="n">
        <f aca="false">IF($O136="","",IF(INDEX(Scoring!$I$29:$I$361,MATCH($O136,Scoring!$AI$29:$AI$361,0))="",INDEX(Scoring!$AC$29:$AC$361,MATCH($O136,Scoring!$AI$29:$AI$361,0)),INDEX(Scoring!$I$29:$I$361,MATCH($O136,Scoring!$AI$29:$AI$361,0))))</f>
        <v>10.36</v>
      </c>
      <c r="L136" s="9" t="n">
        <f aca="false">IF($O136="","",INDEX(Scoring!$M$29:$M$361,MATCH($O136,Scoring!$AI$29:$AI$361,0)))</f>
        <v>996</v>
      </c>
      <c r="M136" s="9" t="n">
        <f aca="false">IF($O136="","",INDEX(Scoring!$O$29:$O$361,MATCH($O136,Scoring!$AI$29:$AI$361,0)))</f>
        <v>13045.6</v>
      </c>
      <c r="N136" s="7" t="str">
        <f aca="false">IF($O136="","",INDEX(Scoring!$Y$29:$Y$361,MATCH($O136,Scoring!$AI$29:$AI$361,0)))</f>
        <v>US</v>
      </c>
      <c r="O136" s="10" t="n">
        <f aca="false">IFERROR(SMALL(Scoring!$AI$29:$AI$361,132),"")</f>
        <v>12002</v>
      </c>
    </row>
    <row r="137" customFormat="false" ht="28.35" hidden="false" customHeight="false" outlineLevel="0" collapsed="false">
      <c r="A137" s="5" t="n">
        <f aca="false">IF($O137="","",INT($O137/1000))</f>
        <v>12</v>
      </c>
      <c r="B137" s="6" t="str">
        <f aca="false">IF($O137="","",INDEX(Scoring!$A$29:$A$361,MATCH($O137,Scoring!$AI$29:$AI$361,0)))</f>
        <v>Alembic</v>
      </c>
      <c r="C137" s="5" t="n">
        <f aca="false">IF($O137="","",IF(INDEX(Scoring!$F$29:$F$361,MATCH($O137,Scoring!$AI$29:$AI$361,0))="","–",INDEX(Scoring!$F$29:$F$361,MATCH($O137,Scoring!$AI$29:$AI$361,0))))</f>
        <v>3</v>
      </c>
      <c r="D137" s="6" t="str">
        <f aca="false">IF($O137="","",INDEX(Scoring!$E$29:$E$361,MATCH($O137,Scoring!$AI$29:$AI$361,0)))</f>
        <v>Priority 2</v>
      </c>
      <c r="E137" s="7" t="str">
        <f aca="false">IF($O137="","",INDEX(Scoring!$G$29:$G$361,MATCH($O137,Scoring!$AI$29:$AI$361,0)))</f>
        <v>High price, lower volume</v>
      </c>
      <c r="F137" s="6" t="str">
        <f aca="false">IF($O137="","",INDEX(Scoring!$B$29:$B$361,MATCH($O137,Scoring!$AI$29:$AI$361,0)))</f>
        <v>Carboprost</v>
      </c>
      <c r="G137" s="7" t="str">
        <f aca="false">IF($O137="","",INDEX(Scoring!$C$29:$C$361,MATCH($O137,Scoring!$AI$29:$AI$361,0)))</f>
        <v>Carboprost Tromethamine; Carboprost Alembic</v>
      </c>
      <c r="H137" s="7" t="str">
        <f aca="false">IF($O137="","",INDEX(Scoring!$D$29:$D$361,MATCH($O137,Scoring!$AI$29:$AI$361,0)))</f>
        <v>Women's health: postpartum haemorrhage, pregnancy termination</v>
      </c>
      <c r="I137" s="6" t="str">
        <f aca="false">IF($O137="","",INDEX(Scoring!$R$29:$R$361,MATCH($O137,Scoring!$AI$29:$AI$361,0)))</f>
        <v>Vial</v>
      </c>
      <c r="J137" s="7" t="str">
        <f aca="false">IF($O137="","",INDEX(Scoring!$S$29:$S$361,MATCH($O137,Scoring!$AI$29:$AI$361,0)))</f>
        <v>0.25 mg/1 mL vial</v>
      </c>
      <c r="K137" s="8" t="n">
        <f aca="false">IF($O137="","",IF(INDEX(Scoring!$I$29:$I$361,MATCH($O137,Scoring!$AI$29:$AI$361,0))="",INDEX(Scoring!$AC$29:$AC$361,MATCH($O137,Scoring!$AI$29:$AI$361,0)),INDEX(Scoring!$I$29:$I$361,MATCH($O137,Scoring!$AI$29:$AI$361,0))))</f>
        <v>52.42</v>
      </c>
      <c r="L137" s="9" t="n">
        <f aca="false">IF($O137="","",INDEX(Scoring!$M$29:$M$361,MATCH($O137,Scoring!$AI$29:$AI$361,0)))</f>
        <v>143</v>
      </c>
      <c r="M137" s="9" t="n">
        <f aca="false">IF($O137="","",INDEX(Scoring!$O$29:$O$361,MATCH($O137,Scoring!$AI$29:$AI$361,0)))</f>
        <v>3625.3</v>
      </c>
      <c r="N137" s="7" t="str">
        <f aca="false">IF($O137="","",INDEX(Scoring!$Y$29:$Y$361,MATCH($O137,Scoring!$AI$29:$AI$361,0)))</f>
        <v>US | EU/EEA (2): Malta, Sweden</v>
      </c>
      <c r="O137" s="10" t="n">
        <f aca="false">IFERROR(SMALL(Scoring!$AI$29:$AI$361,133),"")</f>
        <v>12003</v>
      </c>
    </row>
    <row r="138" customFormat="false" ht="28.35" hidden="false" customHeight="false" outlineLevel="0" collapsed="false">
      <c r="A138" s="5" t="n">
        <f aca="false">IF($O138="","",INT($O138/1000))</f>
        <v>12</v>
      </c>
      <c r="B138" s="6" t="str">
        <f aca="false">IF($O138="","",INDEX(Scoring!$A$29:$A$361,MATCH($O138,Scoring!$AI$29:$AI$361,0)))</f>
        <v>Alembic</v>
      </c>
      <c r="C138" s="5" t="n">
        <f aca="false">IF($O138="","",IF(INDEX(Scoring!$F$29:$F$361,MATCH($O138,Scoring!$AI$29:$AI$361,0))="","–",INDEX(Scoring!$F$29:$F$361,MATCH($O138,Scoring!$AI$29:$AI$361,0))))</f>
        <v>4</v>
      </c>
      <c r="D138" s="6" t="str">
        <f aca="false">IF($O138="","",INDEX(Scoring!$E$29:$E$361,MATCH($O138,Scoring!$AI$29:$AI$361,0)))</f>
        <v>Priority 3</v>
      </c>
      <c r="E138" s="7" t="str">
        <f aca="false">IF($O138="","",INDEX(Scoring!$G$29:$G$361,MATCH($O138,Scoring!$AI$29:$AI$361,0)))</f>
        <v>Lower price, lower volume</v>
      </c>
      <c r="F138" s="6" t="str">
        <f aca="false">IF($O138="","",INDEX(Scoring!$B$29:$B$361,MATCH($O138,Scoring!$AI$29:$AI$361,0)))</f>
        <v>Diazepam</v>
      </c>
      <c r="G138" s="7" t="str">
        <f aca="false">IF($O138="","",INDEX(Scoring!$C$29:$C$361,MATCH($O138,Scoring!$AI$29:$AI$361,0)))</f>
        <v>Diazepam</v>
      </c>
      <c r="H138" s="7" t="str">
        <f aca="false">IF($O138="","",INDEX(Scoring!$D$29:$D$361,MATCH($O138,Scoring!$AI$29:$AI$361,0)))</f>
        <v>Neurology: status epilepticus, seizures, acute anxiety and sedation</v>
      </c>
      <c r="I138" s="6" t="str">
        <f aca="false">IF($O138="","",INDEX(Scoring!$R$29:$R$361,MATCH($O138,Scoring!$AI$29:$AI$361,0)))</f>
        <v>Prefilled syringe</v>
      </c>
      <c r="J138" s="7" t="str">
        <f aca="false">IF($O138="","",INDEX(Scoring!$S$29:$S$361,MATCH($O138,Scoring!$AI$29:$AI$361,0)))</f>
        <v>10 mg/2 mL pre-filled syringe</v>
      </c>
      <c r="K138" s="8" t="n">
        <f aca="false">IF($O138="","",IF(INDEX(Scoring!$I$29:$I$361,MATCH($O138,Scoring!$AI$29:$AI$361,0))="",INDEX(Scoring!$AC$29:$AC$361,MATCH($O138,Scoring!$AI$29:$AI$361,0)),INDEX(Scoring!$I$29:$I$361,MATCH($O138,Scoring!$AI$29:$AI$361,0))))</f>
        <v>10.14</v>
      </c>
      <c r="L138" s="9" t="n">
        <f aca="false">IF($O138="","",INDEX(Scoring!$M$29:$M$361,MATCH($O138,Scoring!$AI$29:$AI$361,0)))</f>
        <v>35</v>
      </c>
      <c r="M138" s="9" t="n">
        <f aca="false">IF($O138="","",INDEX(Scoring!$O$29:$O$361,MATCH($O138,Scoring!$AI$29:$AI$361,0)))</f>
        <v>1053.6</v>
      </c>
      <c r="N138" s="7" t="str">
        <f aca="false">IF($O138="","",INDEX(Scoring!$Y$29:$Y$361,MATCH($O138,Scoring!$AI$29:$AI$361,0)))</f>
        <v>US</v>
      </c>
      <c r="O138" s="10" t="n">
        <f aca="false">IFERROR(SMALL(Scoring!$AI$29:$AI$361,134),"")</f>
        <v>12004</v>
      </c>
    </row>
    <row r="139" customFormat="false" ht="28.35" hidden="false" customHeight="false" outlineLevel="0" collapsed="false">
      <c r="A139" s="5" t="n">
        <f aca="false">IF($O139="","",INT($O139/1000))</f>
        <v>12</v>
      </c>
      <c r="B139" s="6" t="str">
        <f aca="false">IF($O139="","",INDEX(Scoring!$A$29:$A$361,MATCH($O139,Scoring!$AI$29:$AI$361,0)))</f>
        <v>Alembic</v>
      </c>
      <c r="C139" s="5" t="str">
        <f aca="false">IF($O139="","",IF(INDEX(Scoring!$F$29:$F$361,MATCH($O139,Scoring!$AI$29:$AI$361,0))="","–",INDEX(Scoring!$F$29:$F$361,MATCH($O139,Scoring!$AI$29:$AI$361,0))))</f>
        <v>–</v>
      </c>
      <c r="D139" s="6" t="str">
        <f aca="false">IF($O139="","",INDEX(Scoring!$E$29:$E$361,MATCH($O139,Scoring!$AI$29:$AI$361,0)))</f>
        <v>Excluded – price ≤ USD 5</v>
      </c>
      <c r="E139" s="7" t="str">
        <f aca="false">IF($O139="","",INDEX(Scoring!$G$29:$G$361,MATCH($O139,Scoring!$AI$29:$AI$361,0)))</f>
        <v/>
      </c>
      <c r="F139" s="6" t="str">
        <f aca="false">IF($O139="","",INDEX(Scoring!$B$29:$B$361,MATCH($O139,Scoring!$AI$29:$AI$361,0)))</f>
        <v>Phytonadione</v>
      </c>
      <c r="G139" s="7" t="str">
        <f aca="false">IF($O139="","",INDEX(Scoring!$C$29:$C$361,MATCH($O139,Scoring!$AI$29:$AI$361,0)))</f>
        <v>Phytonadione</v>
      </c>
      <c r="H139" s="7" t="str">
        <f aca="false">IF($O139="","",INDEX(Scoring!$D$29:$D$361,MATCH($O139,Scoring!$AI$29:$AI$361,0)))</f>
        <v>Haematology: vitamin K for newborn bleeding prevention, warfarin reversal</v>
      </c>
      <c r="I139" s="6" t="str">
        <f aca="false">IF($O139="","",INDEX(Scoring!$R$29:$R$361,MATCH($O139,Scoring!$AI$29:$AI$361,0)))</f>
        <v>Prefilled syringe</v>
      </c>
      <c r="J139" s="7" t="str">
        <f aca="false">IF($O139="","",INDEX(Scoring!$S$29:$S$361,MATCH($O139,Scoring!$AI$29:$AI$361,0)))</f>
        <v>1 mg/0.5 mL pre-filled syringe</v>
      </c>
      <c r="K139" s="8" t="n">
        <f aca="false">IF($O139="","",IF(INDEX(Scoring!$I$29:$I$361,MATCH($O139,Scoring!$AI$29:$AI$361,0))="",INDEX(Scoring!$AC$29:$AC$361,MATCH($O139,Scoring!$AI$29:$AI$361,0)),INDEX(Scoring!$I$29:$I$361,MATCH($O139,Scoring!$AI$29:$AI$361,0))))</f>
        <v>3.99</v>
      </c>
      <c r="L139" s="9" t="n">
        <f aca="false">IF($O139="","",INDEX(Scoring!$M$29:$M$361,MATCH($O139,Scoring!$AI$29:$AI$361,0)))</f>
        <v>24</v>
      </c>
      <c r="M139" s="9" t="n">
        <f aca="false">IF($O139="","",INDEX(Scoring!$O$29:$O$361,MATCH($O139,Scoring!$AI$29:$AI$361,0)))</f>
        <v>2702.3</v>
      </c>
      <c r="N139" s="7" t="str">
        <f aca="false">IF($O139="","",INDEX(Scoring!$Y$29:$Y$361,MATCH($O139,Scoring!$AI$29:$AI$361,0)))</f>
        <v>US</v>
      </c>
      <c r="O139" s="10" t="n">
        <f aca="false">IFERROR(SMALL(Scoring!$AI$29:$AI$361,135),"")</f>
        <v>12901</v>
      </c>
    </row>
    <row r="140" customFormat="false" ht="41.75" hidden="false" customHeight="false" outlineLevel="0" collapsed="false">
      <c r="A140" s="5" t="n">
        <f aca="false">IF($O140="","",INT($O140/1000))</f>
        <v>12</v>
      </c>
      <c r="B140" s="6" t="str">
        <f aca="false">IF($O140="","",INDEX(Scoring!$A$29:$A$361,MATCH($O140,Scoring!$AI$29:$AI$361,0)))</f>
        <v>Alembic</v>
      </c>
      <c r="C140" s="5" t="str">
        <f aca="false">IF($O140="","",IF(INDEX(Scoring!$F$29:$F$361,MATCH($O140,Scoring!$AI$29:$AI$361,0))="","–",INDEX(Scoring!$F$29:$F$361,MATCH($O140,Scoring!$AI$29:$AI$361,0))))</f>
        <v>–</v>
      </c>
      <c r="D140" s="6" t="str">
        <f aca="false">IF($O140="","",INDEX(Scoring!$E$29:$E$361,MATCH($O140,Scoring!$AI$29:$AI$361,0)))</f>
        <v>Excluded – price ≤ USD 5</v>
      </c>
      <c r="E140" s="7" t="str">
        <f aca="false">IF($O140="","",INDEX(Scoring!$G$29:$G$361,MATCH($O140,Scoring!$AI$29:$AI$361,0)))</f>
        <v/>
      </c>
      <c r="F140" s="6" t="str">
        <f aca="false">IF($O140="","",INDEX(Scoring!$B$29:$B$361,MATCH($O140,Scoring!$AI$29:$AI$361,0)))</f>
        <v>Triamcinolone Acetonide</v>
      </c>
      <c r="G140" s="7" t="str">
        <f aca="false">IF($O140="","",INDEX(Scoring!$C$29:$C$361,MATCH($O140,Scoring!$AI$29:$AI$361,0)))</f>
        <v>Triamcinolone Acetonide</v>
      </c>
      <c r="H140" s="7" t="str">
        <f aca="false">IF($O140="","",INDEX(Scoring!$D$29:$D$361,MATCH($O140,Scoring!$AI$29:$AI$361,0)))</f>
        <v>Musculoskeletal and immunology: joint and soft-tissue injections, allergic and skin conditions</v>
      </c>
      <c r="I140" s="6" t="str">
        <f aca="false">IF($O140="","",INDEX(Scoring!$R$29:$R$361,MATCH($O140,Scoring!$AI$29:$AI$361,0)))</f>
        <v>Not stated</v>
      </c>
      <c r="J140" s="7" t="str">
        <f aca="false">IF($O140="","",INDEX(Scoring!$S$29:$S$361,MATCH($O140,Scoring!$AI$29:$AI$361,0)))</f>
        <v>40 mg/mL (container not stated)</v>
      </c>
      <c r="K140" s="8" t="n">
        <f aca="false">IF($O140="","",IF(INDEX(Scoring!$I$29:$I$361,MATCH($O140,Scoring!$AI$29:$AI$361,0))="",INDEX(Scoring!$AC$29:$AC$361,MATCH($O140,Scoring!$AI$29:$AI$361,0)),INDEX(Scoring!$I$29:$I$361,MATCH($O140,Scoring!$AI$29:$AI$361,0))))</f>
        <v>3.15</v>
      </c>
      <c r="L140" s="9" t="n">
        <f aca="false">IF($O140="","",INDEX(Scoring!$M$29:$M$361,MATCH($O140,Scoring!$AI$29:$AI$361,0)))</f>
        <v>193</v>
      </c>
      <c r="M140" s="9" t="n">
        <f aca="false">IF($O140="","",INDEX(Scoring!$O$29:$O$361,MATCH($O140,Scoring!$AI$29:$AI$361,0)))</f>
        <v>4256.8</v>
      </c>
      <c r="N140" s="7" t="str">
        <f aca="false">IF($O140="","",INDEX(Scoring!$Y$29:$Y$361,MATCH($O140,Scoring!$AI$29:$AI$361,0)))</f>
        <v>US</v>
      </c>
      <c r="O140" s="10" t="n">
        <f aca="false">IFERROR(SMALL(Scoring!$AI$29:$AI$361,136),"")</f>
        <v>12902</v>
      </c>
    </row>
    <row r="141" customFormat="false" ht="28.35" hidden="false" customHeight="false" outlineLevel="0" collapsed="false">
      <c r="A141" s="5" t="n">
        <f aca="false">IF($O141="","",INT($O141/1000))</f>
        <v>13</v>
      </c>
      <c r="B141" s="6" t="str">
        <f aca="false">IF($O141="","",INDEX(Scoring!$A$29:$A$361,MATCH($O141,Scoring!$AI$29:$AI$361,0)))</f>
        <v>Torrent</v>
      </c>
      <c r="C141" s="5" t="n">
        <f aca="false">IF($O141="","",IF(INDEX(Scoring!$F$29:$F$361,MATCH($O141,Scoring!$AI$29:$AI$361,0))="","–",INDEX(Scoring!$F$29:$F$361,MATCH($O141,Scoring!$AI$29:$AI$361,0))))</f>
        <v>1</v>
      </c>
      <c r="D141" s="6" t="str">
        <f aca="false">IF($O141="","",INDEX(Scoring!$E$29:$E$361,MATCH($O141,Scoring!$AI$29:$AI$361,0)))</f>
        <v>Priority 1</v>
      </c>
      <c r="E141" s="7" t="str">
        <f aca="false">IF($O141="","",INDEX(Scoring!$G$29:$G$361,MATCH($O141,Scoring!$AI$29:$AI$361,0)))</f>
        <v>High price, high volume</v>
      </c>
      <c r="F141" s="6" t="str">
        <f aca="false">IF($O141="","",INDEX(Scoring!$B$29:$B$361,MATCH($O141,Scoring!$AI$29:$AI$361,0)))</f>
        <v>Fulvestrant</v>
      </c>
      <c r="G141" s="7" t="str">
        <f aca="false">IF($O141="","",INDEX(Scoring!$C$29:$C$361,MATCH($O141,Scoring!$AI$29:$AI$361,0)))</f>
        <v>Fulvestrant Heumann</v>
      </c>
      <c r="H141" s="7" t="str">
        <f aca="false">IF($O141="","",INDEX(Scoring!$D$29:$D$361,MATCH($O141,Scoring!$AI$29:$AI$361,0)))</f>
        <v>Oncology: hormone receptor-positive advanced breast cancer</v>
      </c>
      <c r="I141" s="6" t="str">
        <f aca="false">IF($O141="","",INDEX(Scoring!$R$29:$R$361,MATCH($O141,Scoring!$AI$29:$AI$361,0)))</f>
        <v>Prefilled syringe</v>
      </c>
      <c r="J141" s="7" t="str">
        <f aca="false">IF($O141="","",INDEX(Scoring!$S$29:$S$361,MATCH($O141,Scoring!$AI$29:$AI$361,0)))</f>
        <v>250 mg/5 mL pre-filled syringe</v>
      </c>
      <c r="K141" s="8" t="n">
        <f aca="false">IF($O141="","",IF(INDEX(Scoring!$I$29:$I$361,MATCH($O141,Scoring!$AI$29:$AI$361,0))="",INDEX(Scoring!$AC$29:$AC$361,MATCH($O141,Scoring!$AI$29:$AI$361,0)),INDEX(Scoring!$I$29:$I$361,MATCH($O141,Scoring!$AI$29:$AI$361,0))))</f>
        <v>77.33</v>
      </c>
      <c r="L141" s="9" t="n">
        <f aca="false">IF($O141="","",INDEX(Scoring!$M$29:$M$361,MATCH($O141,Scoring!$AI$29:$AI$361,0)))</f>
        <v>146</v>
      </c>
      <c r="M141" s="9" t="n">
        <f aca="false">IF($O141="","",INDEX(Scoring!$O$29:$O$361,MATCH($O141,Scoring!$AI$29:$AI$361,0)))</f>
        <v>11366.1</v>
      </c>
      <c r="N141" s="7" t="str">
        <f aca="false">IF($O141="","",INDEX(Scoring!$Y$29:$Y$361,MATCH($O141,Scoring!$AI$29:$AI$361,0)))</f>
        <v>EU/EEA (1): Germany</v>
      </c>
      <c r="O141" s="10" t="n">
        <f aca="false">IFERROR(SMALL(Scoring!$AI$29:$AI$361,137),"")</f>
        <v>13001</v>
      </c>
    </row>
    <row r="142" customFormat="false" ht="28.35" hidden="false" customHeight="false" outlineLevel="0" collapsed="false">
      <c r="A142" s="5" t="n">
        <f aca="false">IF($O142="","",INT($O142/1000))</f>
        <v>13</v>
      </c>
      <c r="B142" s="6" t="str">
        <f aca="false">IF($O142="","",INDEX(Scoring!$A$29:$A$361,MATCH($O142,Scoring!$AI$29:$AI$361,0)))</f>
        <v>Torrent</v>
      </c>
      <c r="C142" s="5" t="n">
        <f aca="false">IF($O142="","",IF(INDEX(Scoring!$F$29:$F$361,MATCH($O142,Scoring!$AI$29:$AI$361,0))="","–",INDEX(Scoring!$F$29:$F$361,MATCH($O142,Scoring!$AI$29:$AI$361,0))))</f>
        <v>2</v>
      </c>
      <c r="D142" s="6" t="str">
        <f aca="false">IF($O142="","",INDEX(Scoring!$E$29:$E$361,MATCH($O142,Scoring!$AI$29:$AI$361,0)))</f>
        <v>Priority 2</v>
      </c>
      <c r="E142" s="7" t="str">
        <f aca="false">IF($O142="","",INDEX(Scoring!$G$29:$G$361,MATCH($O142,Scoring!$AI$29:$AI$361,0)))</f>
        <v>High price, lower volume</v>
      </c>
      <c r="F142" s="6" t="str">
        <f aca="false">IF($O142="","",INDEX(Scoring!$B$29:$B$361,MATCH($O142,Scoring!$AI$29:$AI$361,0)))</f>
        <v>Paliperidone</v>
      </c>
      <c r="G142" s="7" t="str">
        <f aca="false">IF($O142="","",INDEX(Scoring!$C$29:$C$361,MATCH($O142,Scoring!$AI$29:$AI$361,0)))</f>
        <v>Paliperidon Heumann</v>
      </c>
      <c r="H142" s="7" t="str">
        <f aca="false">IF($O142="","",INDEX(Scoring!$D$29:$D$361,MATCH($O142,Scoring!$AI$29:$AI$361,0)))</f>
        <v>Psychiatry: long-acting injection for schizophrenia</v>
      </c>
      <c r="I142" s="6" t="str">
        <f aca="false">IF($O142="","",INDEX(Scoring!$R$29:$R$361,MATCH($O142,Scoring!$AI$29:$AI$361,0)))</f>
        <v>Prefilled syringe</v>
      </c>
      <c r="J142" s="7" t="str">
        <f aca="false">IF($O142="","",INDEX(Scoring!$S$29:$S$361,MATCH($O142,Scoring!$AI$29:$AI$361,0)))</f>
        <v>50 mg/0.5 mL pre-filled syringe</v>
      </c>
      <c r="K142" s="8" t="n">
        <f aca="false">IF($O142="","",IF(INDEX(Scoring!$I$29:$I$361,MATCH($O142,Scoring!$AI$29:$AI$361,0))="",INDEX(Scoring!$AC$29:$AC$361,MATCH($O142,Scoring!$AI$29:$AI$361,0)),INDEX(Scoring!$I$29:$I$361,MATCH($O142,Scoring!$AI$29:$AI$361,0))))</f>
        <v>118.34</v>
      </c>
      <c r="L142" s="9" t="n">
        <f aca="false">IF($O142="","",INDEX(Scoring!$M$29:$M$361,MATCH($O142,Scoring!$AI$29:$AI$361,0)))</f>
        <v>115</v>
      </c>
      <c r="M142" s="9" t="n">
        <f aca="false">IF($O142="","",INDEX(Scoring!$O$29:$O$361,MATCH($O142,Scoring!$AI$29:$AI$361,0)))</f>
        <v>6183.2</v>
      </c>
      <c r="N142" s="7" t="str">
        <f aca="false">IF($O142="","",INDEX(Scoring!$Y$29:$Y$361,MATCH($O142,Scoring!$AI$29:$AI$361,0)))</f>
        <v>EU/EEA (2): Germany, Sweden</v>
      </c>
      <c r="O142" s="10" t="n">
        <f aca="false">IFERROR(SMALL(Scoring!$AI$29:$AI$361,138),"")</f>
        <v>13002</v>
      </c>
    </row>
    <row r="143" customFormat="false" ht="28.35" hidden="false" customHeight="false" outlineLevel="0" collapsed="false">
      <c r="A143" s="5" t="n">
        <f aca="false">IF($O143="","",INT($O143/1000))</f>
        <v>14</v>
      </c>
      <c r="B143" s="6" t="str">
        <f aca="false">IF($O143="","",INDEX(Scoring!$A$29:$A$361,MATCH($O143,Scoring!$AI$29:$AI$361,0)))</f>
        <v>Wockhardt</v>
      </c>
      <c r="C143" s="5" t="n">
        <f aca="false">IF($O143="","",IF(INDEX(Scoring!$F$29:$F$361,MATCH($O143,Scoring!$AI$29:$AI$361,0))="","–",INDEX(Scoring!$F$29:$F$361,MATCH($O143,Scoring!$AI$29:$AI$361,0))))</f>
        <v>1</v>
      </c>
      <c r="D143" s="6" t="str">
        <f aca="false">IF($O143="","",INDEX(Scoring!$E$29:$E$361,MATCH($O143,Scoring!$AI$29:$AI$361,0)))</f>
        <v>Priority 2</v>
      </c>
      <c r="E143" s="7" t="str">
        <f aca="false">IF($O143="","",INDEX(Scoring!$G$29:$G$361,MATCH($O143,Scoring!$AI$29:$AI$361,0)))</f>
        <v>Lower price, high volume</v>
      </c>
      <c r="F143" s="6" t="str">
        <f aca="false">IF($O143="","",INDEX(Scoring!$B$29:$B$361,MATCH($O143,Scoring!$AI$29:$AI$361,0)))</f>
        <v>Ceftriaxone</v>
      </c>
      <c r="G143" s="7" t="str">
        <f aca="false">IF($O143="","",INDEX(Scoring!$C$29:$C$361,MATCH($O143,Scoring!$AI$29:$AI$361,0)))</f>
        <v>Ceftriaxone</v>
      </c>
      <c r="H143" s="7" t="str">
        <f aca="false">IF($O143="","",INDEX(Scoring!$D$29:$D$361,MATCH($O143,Scoring!$AI$29:$AI$361,0)))</f>
        <v>Anti-infective: pneumonia, meningitis, sepsis, gonorrhoea, typhoid</v>
      </c>
      <c r="I143" s="6" t="str">
        <f aca="false">IF($O143="","",INDEX(Scoring!$R$29:$R$361,MATCH($O143,Scoring!$AI$29:$AI$361,0)))</f>
        <v>Vial</v>
      </c>
      <c r="J143" s="7" t="str">
        <f aca="false">IF($O143="","",INDEX(Scoring!$S$29:$S$361,MATCH($O143,Scoring!$AI$29:$AI$361,0)))</f>
        <v>250 mg vial; 500 mg vial; 2 g powder vial</v>
      </c>
      <c r="K143" s="8" t="n">
        <f aca="false">IF($O143="","",IF(INDEX(Scoring!$I$29:$I$361,MATCH($O143,Scoring!$AI$29:$AI$361,0))="",INDEX(Scoring!$AC$29:$AC$361,MATCH($O143,Scoring!$AI$29:$AI$361,0)),INDEX(Scoring!$I$29:$I$361,MATCH($O143,Scoring!$AI$29:$AI$361,0))))</f>
        <v>12.3</v>
      </c>
      <c r="L143" s="9" t="n">
        <f aca="false">IF($O143="","",INDEX(Scoring!$M$29:$M$361,MATCH($O143,Scoring!$AI$29:$AI$361,0)))</f>
        <v>3110</v>
      </c>
      <c r="M143" s="9" t="n">
        <f aca="false">IF($O143="","",INDEX(Scoring!$O$29:$O$361,MATCH($O143,Scoring!$AI$29:$AI$361,0)))</f>
        <v>93119.2</v>
      </c>
      <c r="N143" s="7" t="str">
        <f aca="false">IF($O143="","",INDEX(Scoring!$Y$29:$Y$361,MATCH($O143,Scoring!$AI$29:$AI$361,0)))</f>
        <v>US, UK, UK-NI | EU/EEA (2): Ireland, Malta</v>
      </c>
      <c r="O143" s="10" t="n">
        <f aca="false">IFERROR(SMALL(Scoring!$AI$29:$AI$361,139),"")</f>
        <v>14001</v>
      </c>
    </row>
    <row r="144" customFormat="false" ht="28.35" hidden="false" customHeight="false" outlineLevel="0" collapsed="false">
      <c r="A144" s="5" t="n">
        <f aca="false">IF($O144="","",INT($O144/1000))</f>
        <v>14</v>
      </c>
      <c r="B144" s="6" t="str">
        <f aca="false">IF($O144="","",INDEX(Scoring!$A$29:$A$361,MATCH($O144,Scoring!$AI$29:$AI$361,0)))</f>
        <v>Wockhardt</v>
      </c>
      <c r="C144" s="5" t="n">
        <f aca="false">IF($O144="","",IF(INDEX(Scoring!$F$29:$F$361,MATCH($O144,Scoring!$AI$29:$AI$361,0))="","–",INDEX(Scoring!$F$29:$F$361,MATCH($O144,Scoring!$AI$29:$AI$361,0))))</f>
        <v>2</v>
      </c>
      <c r="D144" s="6" t="str">
        <f aca="false">IF($O144="","",INDEX(Scoring!$E$29:$E$361,MATCH($O144,Scoring!$AI$29:$AI$361,0)))</f>
        <v>Priority 2</v>
      </c>
      <c r="E144" s="7" t="str">
        <f aca="false">IF($O144="","",INDEX(Scoring!$G$29:$G$361,MATCH($O144,Scoring!$AI$29:$AI$361,0)))</f>
        <v>Lower price, high volume</v>
      </c>
      <c r="F144" s="6" t="str">
        <f aca="false">IF($O144="","",INDEX(Scoring!$B$29:$B$361,MATCH($O144,Scoring!$AI$29:$AI$361,0)))</f>
        <v>Ondansetron</v>
      </c>
      <c r="G144" s="7" t="str">
        <f aca="false">IF($O144="","",INDEX(Scoring!$C$29:$C$361,MATCH($O144,Scoring!$AI$29:$AI$361,0)))</f>
        <v>Ondansetron Wockhardt</v>
      </c>
      <c r="H144" s="7" t="str">
        <f aca="false">IF($O144="","",INDEX(Scoring!$D$29:$D$361,MATCH($O144,Scoring!$AI$29:$AI$361,0)))</f>
        <v>Oncology support: nausea and vomiting from chemotherapy and surgery</v>
      </c>
      <c r="I144" s="6" t="str">
        <f aca="false">IF($O144="","",INDEX(Scoring!$R$29:$R$361,MATCH($O144,Scoring!$AI$29:$AI$361,0)))</f>
        <v>Ampoule</v>
      </c>
      <c r="J144" s="7" t="str">
        <f aca="false">IF($O144="","",INDEX(Scoring!$S$29:$S$361,MATCH($O144,Scoring!$AI$29:$AI$361,0)))</f>
        <v>4 mg/2 mL ampoule</v>
      </c>
      <c r="K144" s="8" t="n">
        <f aca="false">IF($O144="","",IF(INDEX(Scoring!$I$29:$I$361,MATCH($O144,Scoring!$AI$29:$AI$361,0))="",INDEX(Scoring!$AC$29:$AC$361,MATCH($O144,Scoring!$AI$29:$AI$361,0)),INDEX(Scoring!$I$29:$I$361,MATCH($O144,Scoring!$AI$29:$AI$361,0))))</f>
        <v>5.32</v>
      </c>
      <c r="L144" s="9" t="n">
        <f aca="false">IF($O144="","",INDEX(Scoring!$M$29:$M$361,MATCH($O144,Scoring!$AI$29:$AI$361,0)))</f>
        <v>963</v>
      </c>
      <c r="M144" s="9" t="n">
        <f aca="false">IF($O144="","",INDEX(Scoring!$O$29:$O$361,MATCH($O144,Scoring!$AI$29:$AI$361,0)))</f>
        <v>17590.5</v>
      </c>
      <c r="N144" s="7" t="str">
        <f aca="false">IF($O144="","",INDEX(Scoring!$Y$29:$Y$361,MATCH($O144,Scoring!$AI$29:$AI$361,0)))</f>
        <v>UK-NI</v>
      </c>
      <c r="O144" s="10" t="n">
        <f aca="false">IFERROR(SMALL(Scoring!$AI$29:$AI$361,140),"")</f>
        <v>14002</v>
      </c>
    </row>
    <row r="145" customFormat="false" ht="28.35" hidden="false" customHeight="false" outlineLevel="0" collapsed="false">
      <c r="A145" s="5" t="n">
        <f aca="false">IF($O145="","",INT($O145/1000))</f>
        <v>14</v>
      </c>
      <c r="B145" s="6" t="str">
        <f aca="false">IF($O145="","",INDEX(Scoring!$A$29:$A$361,MATCH($O145,Scoring!$AI$29:$AI$361,0)))</f>
        <v>Wockhardt</v>
      </c>
      <c r="C145" s="5" t="n">
        <f aca="false">IF($O145="","",IF(INDEX(Scoring!$F$29:$F$361,MATCH($O145,Scoring!$AI$29:$AI$361,0))="","–",INDEX(Scoring!$F$29:$F$361,MATCH($O145,Scoring!$AI$29:$AI$361,0))))</f>
        <v>3</v>
      </c>
      <c r="D145" s="6" t="str">
        <f aca="false">IF($O145="","",INDEX(Scoring!$E$29:$E$361,MATCH($O145,Scoring!$AI$29:$AI$361,0)))</f>
        <v>Priority 2</v>
      </c>
      <c r="E145" s="7" t="str">
        <f aca="false">IF($O145="","",INDEX(Scoring!$G$29:$G$361,MATCH($O145,Scoring!$AI$29:$AI$361,0)))</f>
        <v>Lower price, high volume</v>
      </c>
      <c r="F145" s="6" t="str">
        <f aca="false">IF($O145="","",INDEX(Scoring!$B$29:$B$361,MATCH($O145,Scoring!$AI$29:$AI$361,0)))</f>
        <v>Ceftazidime</v>
      </c>
      <c r="G145" s="7" t="str">
        <f aca="false">IF($O145="","",INDEX(Scoring!$C$29:$C$361,MATCH($O145,Scoring!$AI$29:$AI$361,0)))</f>
        <v>Ceftazidime</v>
      </c>
      <c r="H145" s="7" t="str">
        <f aca="false">IF($O145="","",INDEX(Scoring!$D$29:$D$361,MATCH($O145,Scoring!$AI$29:$AI$361,0)))</f>
        <v>Anti-infective: Pseudomonas and other hospital Gram-negative infections</v>
      </c>
      <c r="I145" s="6" t="str">
        <f aca="false">IF($O145="","",INDEX(Scoring!$R$29:$R$361,MATCH($O145,Scoring!$AI$29:$AI$361,0)))</f>
        <v>Vial</v>
      </c>
      <c r="J145" s="7" t="str">
        <f aca="false">IF($O145="","",INDEX(Scoring!$S$29:$S$361,MATCH($O145,Scoring!$AI$29:$AI$361,0)))</f>
        <v>2 g powder vial</v>
      </c>
      <c r="K145" s="8" t="n">
        <f aca="false">IF($O145="","",IF(INDEX(Scoring!$I$29:$I$361,MATCH($O145,Scoring!$AI$29:$AI$361,0))="",INDEX(Scoring!$AC$29:$AC$361,MATCH($O145,Scoring!$AI$29:$AI$361,0)),INDEX(Scoring!$I$29:$I$361,MATCH($O145,Scoring!$AI$29:$AI$361,0))))</f>
        <v>20.27</v>
      </c>
      <c r="L145" s="9" t="n">
        <f aca="false">IF($O145="","",INDEX(Scoring!$M$29:$M$361,MATCH($O145,Scoring!$AI$29:$AI$361,0)))</f>
        <v>335</v>
      </c>
      <c r="M145" s="9" t="n">
        <f aca="false">IF($O145="","",INDEX(Scoring!$O$29:$O$361,MATCH($O145,Scoring!$AI$29:$AI$361,0)))</f>
        <v>5713.6</v>
      </c>
      <c r="N145" s="7" t="str">
        <f aca="false">IF($O145="","",INDEX(Scoring!$Y$29:$Y$361,MATCH($O145,Scoring!$AI$29:$AI$361,0)))</f>
        <v>UK, UK-NI | EU/EEA (2): Ireland, Malta</v>
      </c>
      <c r="O145" s="10" t="n">
        <f aca="false">IFERROR(SMALL(Scoring!$AI$29:$AI$361,141),"")</f>
        <v>14003</v>
      </c>
    </row>
    <row r="146" customFormat="false" ht="15" hidden="false" customHeight="false" outlineLevel="0" collapsed="false">
      <c r="A146" s="5" t="n">
        <f aca="false">IF($O146="","",INT($O146/1000))</f>
        <v>14</v>
      </c>
      <c r="B146" s="6" t="str">
        <f aca="false">IF($O146="","",INDEX(Scoring!$A$29:$A$361,MATCH($O146,Scoring!$AI$29:$AI$361,0)))</f>
        <v>Wockhardt</v>
      </c>
      <c r="C146" s="5" t="n">
        <f aca="false">IF($O146="","",IF(INDEX(Scoring!$F$29:$F$361,MATCH($O146,Scoring!$AI$29:$AI$361,0))="","–",INDEX(Scoring!$F$29:$F$361,MATCH($O146,Scoring!$AI$29:$AI$361,0))))</f>
        <v>4</v>
      </c>
      <c r="D146" s="6" t="str">
        <f aca="false">IF($O146="","",INDEX(Scoring!$E$29:$E$361,MATCH($O146,Scoring!$AI$29:$AI$361,0)))</f>
        <v>Priority 2</v>
      </c>
      <c r="E146" s="7" t="str">
        <f aca="false">IF($O146="","",INDEX(Scoring!$G$29:$G$361,MATCH($O146,Scoring!$AI$29:$AI$361,0)))</f>
        <v>Lower price, high volume</v>
      </c>
      <c r="F146" s="6" t="str">
        <f aca="false">IF($O146="","",INDEX(Scoring!$B$29:$B$361,MATCH($O146,Scoring!$AI$29:$AI$361,0)))</f>
        <v>Haloperidol</v>
      </c>
      <c r="G146" s="7" t="str">
        <f aca="false">IF($O146="","",INDEX(Scoring!$C$29:$C$361,MATCH($O146,Scoring!$AI$29:$AI$361,0)))</f>
        <v>Haloperidol</v>
      </c>
      <c r="H146" s="7" t="str">
        <f aca="false">IF($O146="","",INDEX(Scoring!$D$29:$D$361,MATCH($O146,Scoring!$AI$29:$AI$361,0)))</f>
        <v>Psychiatry: acute agitation, psychosis, delirium</v>
      </c>
      <c r="I146" s="6" t="str">
        <f aca="false">IF($O146="","",INDEX(Scoring!$R$29:$R$361,MATCH($O146,Scoring!$AI$29:$AI$361,0)))</f>
        <v>Ampoule</v>
      </c>
      <c r="J146" s="7" t="str">
        <f aca="false">IF($O146="","",INDEX(Scoring!$S$29:$S$361,MATCH($O146,Scoring!$AI$29:$AI$361,0)))</f>
        <v>5 mg/1 mL ampoule</v>
      </c>
      <c r="K146" s="8" t="n">
        <f aca="false">IF($O146="","",IF(INDEX(Scoring!$I$29:$I$361,MATCH($O146,Scoring!$AI$29:$AI$361,0))="",INDEX(Scoring!$AC$29:$AC$361,MATCH($O146,Scoring!$AI$29:$AI$361,0)),INDEX(Scoring!$I$29:$I$361,MATCH($O146,Scoring!$AI$29:$AI$361,0))))</f>
        <v>8.98</v>
      </c>
      <c r="L146" s="9" t="n">
        <f aca="false">IF($O146="","",INDEX(Scoring!$M$29:$M$361,MATCH($O146,Scoring!$AI$29:$AI$361,0)))</f>
        <v>273</v>
      </c>
      <c r="M146" s="9" t="n">
        <f aca="false">IF($O146="","",INDEX(Scoring!$O$29:$O$361,MATCH($O146,Scoring!$AI$29:$AI$361,0)))</f>
        <v>4492.8</v>
      </c>
      <c r="N146" s="7" t="str">
        <f aca="false">IF($O146="","",INDEX(Scoring!$Y$29:$Y$361,MATCH($O146,Scoring!$AI$29:$AI$361,0)))</f>
        <v>UK, UK-NI</v>
      </c>
      <c r="O146" s="10" t="n">
        <f aca="false">IFERROR(SMALL(Scoring!$AI$29:$AI$361,142),"")</f>
        <v>14004</v>
      </c>
    </row>
    <row r="147" customFormat="false" ht="28.35" hidden="false" customHeight="false" outlineLevel="0" collapsed="false">
      <c r="A147" s="5" t="n">
        <f aca="false">IF($O147="","",INT($O147/1000))</f>
        <v>14</v>
      </c>
      <c r="B147" s="6" t="str">
        <f aca="false">IF($O147="","",INDEX(Scoring!$A$29:$A$361,MATCH($O147,Scoring!$AI$29:$AI$361,0)))</f>
        <v>Wockhardt</v>
      </c>
      <c r="C147" s="5" t="n">
        <f aca="false">IF($O147="","",IF(INDEX(Scoring!$F$29:$F$361,MATCH($O147,Scoring!$AI$29:$AI$361,0))="","–",INDEX(Scoring!$F$29:$F$361,MATCH($O147,Scoring!$AI$29:$AI$361,0))))</f>
        <v>5</v>
      </c>
      <c r="D147" s="6" t="str">
        <f aca="false">IF($O147="","",INDEX(Scoring!$E$29:$E$361,MATCH($O147,Scoring!$AI$29:$AI$361,0)))</f>
        <v>Priority 2</v>
      </c>
      <c r="E147" s="7" t="str">
        <f aca="false">IF($O147="","",INDEX(Scoring!$G$29:$G$361,MATCH($O147,Scoring!$AI$29:$AI$361,0)))</f>
        <v>High price, lower volume</v>
      </c>
      <c r="F147" s="6" t="str">
        <f aca="false">IF($O147="","",INDEX(Scoring!$B$29:$B$361,MATCH($O147,Scoring!$AI$29:$AI$361,0)))</f>
        <v>Hyaluronidase</v>
      </c>
      <c r="G147" s="7" t="str">
        <f aca="false">IF($O147="","",INDEX(Scoring!$C$29:$C$361,MATCH($O147,Scoring!$AI$29:$AI$361,0)))</f>
        <v>Hyalase</v>
      </c>
      <c r="H147" s="7" t="str">
        <f aca="false">IF($O147="","",INDEX(Scoring!$D$29:$D$361,MATCH($O147,Scoring!$AI$29:$AI$361,0)))</f>
        <v>Anaesthesia: improves spread of injected drugs and fluids</v>
      </c>
      <c r="I147" s="6" t="str">
        <f aca="false">IF($O147="","",INDEX(Scoring!$R$29:$R$361,MATCH($O147,Scoring!$AI$29:$AI$361,0)))</f>
        <v>Ampoule</v>
      </c>
      <c r="J147" s="7" t="str">
        <f aca="false">IF($O147="","",INDEX(Scoring!$S$29:$S$361,MATCH($O147,Scoring!$AI$29:$AI$361,0)))</f>
        <v>1500 IU powder ampoule</v>
      </c>
      <c r="K147" s="8" t="n">
        <f aca="false">IF($O147="","",IF(INDEX(Scoring!$I$29:$I$361,MATCH($O147,Scoring!$AI$29:$AI$361,0))="",INDEX(Scoring!$AC$29:$AC$361,MATCH($O147,Scoring!$AI$29:$AI$361,0)),INDEX(Scoring!$I$29:$I$361,MATCH($O147,Scoring!$AI$29:$AI$361,0))))</f>
        <v>59.12</v>
      </c>
      <c r="L147" s="9" t="n">
        <f aca="false">IF($O147="","",INDEX(Scoring!$M$29:$M$361,MATCH($O147,Scoring!$AI$29:$AI$361,0)))</f>
        <v>106</v>
      </c>
      <c r="M147" s="9" t="n">
        <f aca="false">IF($O147="","",INDEX(Scoring!$O$29:$O$361,MATCH($O147,Scoring!$AI$29:$AI$361,0)))</f>
        <v>175.1</v>
      </c>
      <c r="N147" s="7" t="str">
        <f aca="false">IF($O147="","",INDEX(Scoring!$Y$29:$Y$361,MATCH($O147,Scoring!$AI$29:$AI$361,0)))</f>
        <v>UK-NI | EU/EEA (2): Ireland, Malta</v>
      </c>
      <c r="O147" s="10" t="n">
        <f aca="false">IFERROR(SMALL(Scoring!$AI$29:$AI$361,143),"")</f>
        <v>14005</v>
      </c>
    </row>
    <row r="148" customFormat="false" ht="28.35" hidden="false" customHeight="false" outlineLevel="0" collapsed="false">
      <c r="A148" s="5" t="n">
        <f aca="false">IF($O148="","",INT($O148/1000))</f>
        <v>14</v>
      </c>
      <c r="B148" s="6" t="str">
        <f aca="false">IF($O148="","",INDEX(Scoring!$A$29:$A$361,MATCH($O148,Scoring!$AI$29:$AI$361,0)))</f>
        <v>Wockhardt</v>
      </c>
      <c r="C148" s="5" t="n">
        <f aca="false">IF($O148="","",IF(INDEX(Scoring!$F$29:$F$361,MATCH($O148,Scoring!$AI$29:$AI$361,0))="","–",INDEX(Scoring!$F$29:$F$361,MATCH($O148,Scoring!$AI$29:$AI$361,0))))</f>
        <v>6</v>
      </c>
      <c r="D148" s="6" t="str">
        <f aca="false">IF($O148="","",INDEX(Scoring!$E$29:$E$361,MATCH($O148,Scoring!$AI$29:$AI$361,0)))</f>
        <v>Priority 2</v>
      </c>
      <c r="E148" s="7" t="str">
        <f aca="false">IF($O148="","",INDEX(Scoring!$G$29:$G$361,MATCH($O148,Scoring!$AI$29:$AI$361,0)))</f>
        <v>High price, lower volume</v>
      </c>
      <c r="F148" s="6" t="str">
        <f aca="false">IF($O148="","",INDEX(Scoring!$B$29:$B$361,MATCH($O148,Scoring!$AI$29:$AI$361,0)))</f>
        <v>Hyoscine Hydrobromide</v>
      </c>
      <c r="G148" s="7" t="str">
        <f aca="false">IF($O148="","",INDEX(Scoring!$C$29:$C$361,MATCH($O148,Scoring!$AI$29:$AI$361,0)))</f>
        <v>Hyoscine Hydrobromide</v>
      </c>
      <c r="H148" s="7" t="str">
        <f aca="false">IF($O148="","",INDEX(Scoring!$D$29:$D$361,MATCH($O148,Scoring!$AI$29:$AI$361,0)))</f>
        <v>Palliative care and anaesthesia: reduces secretions, nausea</v>
      </c>
      <c r="I148" s="6" t="str">
        <f aca="false">IF($O148="","",INDEX(Scoring!$R$29:$R$361,MATCH($O148,Scoring!$AI$29:$AI$361,0)))</f>
        <v>Ampoule</v>
      </c>
      <c r="J148" s="7" t="str">
        <f aca="false">IF($O148="","",INDEX(Scoring!$S$29:$S$361,MATCH($O148,Scoring!$AI$29:$AI$361,0)))</f>
        <v>600 mcg/1 mL ampoule</v>
      </c>
      <c r="K148" s="8" t="n">
        <f aca="false">IF($O148="","",IF(INDEX(Scoring!$I$29:$I$361,MATCH($O148,Scoring!$AI$29:$AI$361,0))="",INDEX(Scoring!$AC$29:$AC$361,MATCH($O148,Scoring!$AI$29:$AI$361,0)),INDEX(Scoring!$I$29:$I$361,MATCH($O148,Scoring!$AI$29:$AI$361,0))))</f>
        <v>29.63</v>
      </c>
      <c r="L148" s="9" t="n">
        <f aca="false">IF($O148="","",INDEX(Scoring!$M$29:$M$361,MATCH($O148,Scoring!$AI$29:$AI$361,0)))</f>
        <v>23</v>
      </c>
      <c r="M148" s="9" t="n">
        <f aca="false">IF($O148="","",INDEX(Scoring!$O$29:$O$361,MATCH($O148,Scoring!$AI$29:$AI$361,0)))</f>
        <v>19</v>
      </c>
      <c r="N148" s="7" t="str">
        <f aca="false">IF($O148="","",INDEX(Scoring!$Y$29:$Y$361,MATCH($O148,Scoring!$AI$29:$AI$361,0)))</f>
        <v>UK, UK-NI</v>
      </c>
      <c r="O148" s="10" t="n">
        <f aca="false">IFERROR(SMALL(Scoring!$AI$29:$AI$361,144),"")</f>
        <v>14006</v>
      </c>
    </row>
    <row r="149" customFormat="false" ht="28.35" hidden="false" customHeight="false" outlineLevel="0" collapsed="false">
      <c r="A149" s="5" t="n">
        <f aca="false">IF($O149="","",INT($O149/1000))</f>
        <v>14</v>
      </c>
      <c r="B149" s="6" t="str">
        <f aca="false">IF($O149="","",INDEX(Scoring!$A$29:$A$361,MATCH($O149,Scoring!$AI$29:$AI$361,0)))</f>
        <v>Wockhardt</v>
      </c>
      <c r="C149" s="5" t="n">
        <f aca="false">IF($O149="","",IF(INDEX(Scoring!$F$29:$F$361,MATCH($O149,Scoring!$AI$29:$AI$361,0))="","–",INDEX(Scoring!$F$29:$F$361,MATCH($O149,Scoring!$AI$29:$AI$361,0))))</f>
        <v>7</v>
      </c>
      <c r="D149" s="6" t="str">
        <f aca="false">IF($O149="","",INDEX(Scoring!$E$29:$E$361,MATCH($O149,Scoring!$AI$29:$AI$361,0)))</f>
        <v>Priority 3</v>
      </c>
      <c r="E149" s="7" t="str">
        <f aca="false">IF($O149="","",INDEX(Scoring!$G$29:$G$361,MATCH($O149,Scoring!$AI$29:$AI$361,0)))</f>
        <v>Lower price, lower volume</v>
      </c>
      <c r="F149" s="6" t="str">
        <f aca="false">IF($O149="","",INDEX(Scoring!$B$29:$B$361,MATCH($O149,Scoring!$AI$29:$AI$361,0)))</f>
        <v>Morphine</v>
      </c>
      <c r="G149" s="7" t="str">
        <f aca="false">IF($O149="","",INDEX(Scoring!$C$29:$C$361,MATCH($O149,Scoring!$AI$29:$AI$361,0)))</f>
        <v>Morphine Sulfate</v>
      </c>
      <c r="H149" s="7" t="str">
        <f aca="false">IF($O149="","",INDEX(Scoring!$D$29:$D$361,MATCH($O149,Scoring!$AI$29:$AI$361,0)))</f>
        <v>Pain management: severe acute and palliative pain</v>
      </c>
      <c r="I149" s="6" t="str">
        <f aca="false">IF($O149="","",INDEX(Scoring!$R$29:$R$361,MATCH($O149,Scoring!$AI$29:$AI$361,0)))</f>
        <v>Ampoule</v>
      </c>
      <c r="J149" s="7" t="str">
        <f aca="false">IF($O149="","",INDEX(Scoring!$S$29:$S$361,MATCH($O149,Scoring!$AI$29:$AI$361,0)))</f>
        <v>30 mg/1 mL ampoule</v>
      </c>
      <c r="K149" s="8" t="n">
        <f aca="false">IF($O149="","",IF(INDEX(Scoring!$I$29:$I$361,MATCH($O149,Scoring!$AI$29:$AI$361,0))="",INDEX(Scoring!$AC$29:$AC$361,MATCH($O149,Scoring!$AI$29:$AI$361,0)),INDEX(Scoring!$I$29:$I$361,MATCH($O149,Scoring!$AI$29:$AI$361,0))))</f>
        <v>6.4</v>
      </c>
      <c r="L149" s="9" t="n">
        <f aca="false">IF($O149="","",INDEX(Scoring!$M$29:$M$361,MATCH($O149,Scoring!$AI$29:$AI$361,0)))</f>
        <v>62</v>
      </c>
      <c r="M149" s="9" t="n">
        <f aca="false">IF($O149="","",INDEX(Scoring!$O$29:$O$361,MATCH($O149,Scoring!$AI$29:$AI$361,0)))</f>
        <v>1768.8</v>
      </c>
      <c r="N149" s="7" t="str">
        <f aca="false">IF($O149="","",INDEX(Scoring!$Y$29:$Y$361,MATCH($O149,Scoring!$AI$29:$AI$361,0)))</f>
        <v>UK, UK-NI</v>
      </c>
      <c r="O149" s="10" t="n">
        <f aca="false">IFERROR(SMALL(Scoring!$AI$29:$AI$361,145),"")</f>
        <v>14007</v>
      </c>
    </row>
    <row r="150" customFormat="false" ht="28.35" hidden="false" customHeight="false" outlineLevel="0" collapsed="false">
      <c r="A150" s="5" t="n">
        <f aca="false">IF($O150="","",INT($O150/1000))</f>
        <v>14</v>
      </c>
      <c r="B150" s="6" t="str">
        <f aca="false">IF($O150="","",INDEX(Scoring!$A$29:$A$361,MATCH($O150,Scoring!$AI$29:$AI$361,0)))</f>
        <v>Wockhardt</v>
      </c>
      <c r="C150" s="5" t="n">
        <f aca="false">IF($O150="","",IF(INDEX(Scoring!$F$29:$F$361,MATCH($O150,Scoring!$AI$29:$AI$361,0))="","–",INDEX(Scoring!$F$29:$F$361,MATCH($O150,Scoring!$AI$29:$AI$361,0))))</f>
        <v>8</v>
      </c>
      <c r="D150" s="6" t="str">
        <f aca="false">IF($O150="","",INDEX(Scoring!$E$29:$E$361,MATCH($O150,Scoring!$AI$29:$AI$361,0)))</f>
        <v>Priority 3</v>
      </c>
      <c r="E150" s="7" t="str">
        <f aca="false">IF($O150="","",INDEX(Scoring!$G$29:$G$361,MATCH($O150,Scoring!$AI$29:$AI$361,0)))</f>
        <v>Lower price, lower volume</v>
      </c>
      <c r="F150" s="6" t="str">
        <f aca="false">IF($O150="","",INDEX(Scoring!$B$29:$B$361,MATCH($O150,Scoring!$AI$29:$AI$361,0)))</f>
        <v>Oxacillin</v>
      </c>
      <c r="G150" s="7" t="str">
        <f aca="false">IF($O150="","",INDEX(Scoring!$C$29:$C$361,MATCH($O150,Scoring!$AI$29:$AI$361,0)))</f>
        <v>Oxacillin Sodium</v>
      </c>
      <c r="H150" s="7" t="str">
        <f aca="false">IF($O150="","",INDEX(Scoring!$D$29:$D$361,MATCH($O150,Scoring!$AI$29:$AI$361,0)))</f>
        <v>Anti-infective: staphylococcal infections</v>
      </c>
      <c r="I150" s="6" t="str">
        <f aca="false">IF($O150="","",INDEX(Scoring!$R$29:$R$361,MATCH($O150,Scoring!$AI$29:$AI$361,0)))</f>
        <v>Vial</v>
      </c>
      <c r="J150" s="7" t="str">
        <f aca="false">IF($O150="","",INDEX(Scoring!$S$29:$S$361,MATCH($O150,Scoring!$AI$29:$AI$361,0)))</f>
        <v>1 g powder vial; 2 g powder vial</v>
      </c>
      <c r="K150" s="8" t="n">
        <f aca="false">IF($O150="","",IF(INDEX(Scoring!$I$29:$I$361,MATCH($O150,Scoring!$AI$29:$AI$361,0))="",INDEX(Scoring!$AC$29:$AC$361,MATCH($O150,Scoring!$AI$29:$AI$361,0)),INDEX(Scoring!$I$29:$I$361,MATCH($O150,Scoring!$AI$29:$AI$361,0))))</f>
        <v>10.93</v>
      </c>
      <c r="L150" s="9" t="n">
        <f aca="false">IF($O150="","",INDEX(Scoring!$M$29:$M$361,MATCH($O150,Scoring!$AI$29:$AI$361,0)))</f>
        <v>9</v>
      </c>
      <c r="M150" s="9" t="n">
        <f aca="false">IF($O150="","",INDEX(Scoring!$O$29:$O$361,MATCH($O150,Scoring!$AI$29:$AI$361,0)))</f>
        <v>260.9</v>
      </c>
      <c r="N150" s="7" t="str">
        <f aca="false">IF($O150="","",INDEX(Scoring!$Y$29:$Y$361,MATCH($O150,Scoring!$AI$29:$AI$361,0)))</f>
        <v>US</v>
      </c>
      <c r="O150" s="10" t="n">
        <f aca="false">IFERROR(SMALL(Scoring!$AI$29:$AI$361,146),"")</f>
        <v>14008</v>
      </c>
    </row>
    <row r="151" customFormat="false" ht="28.35" hidden="false" customHeight="false" outlineLevel="0" collapsed="false">
      <c r="A151" s="5" t="n">
        <f aca="false">IF($O151="","",INT($O151/1000))</f>
        <v>14</v>
      </c>
      <c r="B151" s="6" t="str">
        <f aca="false">IF($O151="","",INDEX(Scoring!$A$29:$A$361,MATCH($O151,Scoring!$AI$29:$AI$361,0)))</f>
        <v>Wockhardt</v>
      </c>
      <c r="C151" s="5" t="n">
        <f aca="false">IF($O151="","",IF(INDEX(Scoring!$F$29:$F$361,MATCH($O151,Scoring!$AI$29:$AI$361,0))="","–",INDEX(Scoring!$F$29:$F$361,MATCH($O151,Scoring!$AI$29:$AI$361,0))))</f>
        <v>9</v>
      </c>
      <c r="D151" s="6" t="str">
        <f aca="false">IF($O151="","",INDEX(Scoring!$E$29:$E$361,MATCH($O151,Scoring!$AI$29:$AI$361,0)))</f>
        <v>Priority 3</v>
      </c>
      <c r="E151" s="7" t="str">
        <f aca="false">IF($O151="","",INDEX(Scoring!$G$29:$G$361,MATCH($O151,Scoring!$AI$29:$AI$361,0)))</f>
        <v>Lower price, lower volume</v>
      </c>
      <c r="F151" s="6" t="str">
        <f aca="false">IF($O151="","",INDEX(Scoring!$B$29:$B$361,MATCH($O151,Scoring!$AI$29:$AI$361,0)))</f>
        <v>Chlorphenamine</v>
      </c>
      <c r="G151" s="7" t="str">
        <f aca="false">IF($O151="","",INDEX(Scoring!$C$29:$C$361,MATCH($O151,Scoring!$AI$29:$AI$361,0)))</f>
        <v>Chlorphenamine</v>
      </c>
      <c r="H151" s="7" t="str">
        <f aca="false">IF($O151="","",INDEX(Scoring!$D$29:$D$361,MATCH($O151,Scoring!$AI$29:$AI$361,0)))</f>
        <v>Allergy: anaphylaxis support, acute allergic reactions</v>
      </c>
      <c r="I151" s="6" t="str">
        <f aca="false">IF($O151="","",INDEX(Scoring!$R$29:$R$361,MATCH($O151,Scoring!$AI$29:$AI$361,0)))</f>
        <v>Ampoule</v>
      </c>
      <c r="J151" s="7" t="str">
        <f aca="false">IF($O151="","",INDEX(Scoring!$S$29:$S$361,MATCH($O151,Scoring!$AI$29:$AI$361,0)))</f>
        <v>10 mg/1 mL ampoule</v>
      </c>
      <c r="K151" s="8" t="n">
        <f aca="false">IF($O151="","",IF(INDEX(Scoring!$I$29:$I$361,MATCH($O151,Scoring!$AI$29:$AI$361,0))="",INDEX(Scoring!$AC$29:$AC$361,MATCH($O151,Scoring!$AI$29:$AI$361,0)),INDEX(Scoring!$I$29:$I$361,MATCH($O151,Scoring!$AI$29:$AI$361,0))))</f>
        <v>6.74</v>
      </c>
      <c r="L151" s="9" t="n">
        <f aca="false">IF($O151="","",INDEX(Scoring!$M$29:$M$361,MATCH($O151,Scoring!$AI$29:$AI$361,0)))</f>
        <v>9</v>
      </c>
      <c r="M151" s="9" t="n">
        <f aca="false">IF($O151="","",INDEX(Scoring!$O$29:$O$361,MATCH($O151,Scoring!$AI$29:$AI$361,0)))</f>
        <v>154.9</v>
      </c>
      <c r="N151" s="7" t="str">
        <f aca="false">IF($O151="","",INDEX(Scoring!$Y$29:$Y$361,MATCH($O151,Scoring!$AI$29:$AI$361,0)))</f>
        <v>UK, UK-NI</v>
      </c>
      <c r="O151" s="10" t="n">
        <f aca="false">IFERROR(SMALL(Scoring!$AI$29:$AI$361,147),"")</f>
        <v>14009</v>
      </c>
    </row>
    <row r="152" customFormat="false" ht="28.35" hidden="false" customHeight="false" outlineLevel="0" collapsed="false">
      <c r="A152" s="5" t="n">
        <f aca="false">IF($O152="","",INT($O152/1000))</f>
        <v>14</v>
      </c>
      <c r="B152" s="6" t="str">
        <f aca="false">IF($O152="","",INDEX(Scoring!$A$29:$A$361,MATCH($O152,Scoring!$AI$29:$AI$361,0)))</f>
        <v>Wockhardt</v>
      </c>
      <c r="C152" s="5" t="str">
        <f aca="false">IF($O152="","",IF(INDEX(Scoring!$F$29:$F$361,MATCH($O152,Scoring!$AI$29:$AI$361,0))="","–",INDEX(Scoring!$F$29:$F$361,MATCH($O152,Scoring!$AI$29:$AI$361,0))))</f>
        <v>–</v>
      </c>
      <c r="D152" s="6" t="str">
        <f aca="false">IF($O152="","",INDEX(Scoring!$E$29:$E$361,MATCH($O152,Scoring!$AI$29:$AI$361,0)))</f>
        <v>Excluded – price ≤ USD 5</v>
      </c>
      <c r="E152" s="7" t="str">
        <f aca="false">IF($O152="","",INDEX(Scoring!$G$29:$G$361,MATCH($O152,Scoring!$AI$29:$AI$361,0)))</f>
        <v/>
      </c>
      <c r="F152" s="6" t="str">
        <f aca="false">IF($O152="","",INDEX(Scoring!$B$29:$B$361,MATCH($O152,Scoring!$AI$29:$AI$361,0)))</f>
        <v>Amikacin</v>
      </c>
      <c r="G152" s="7" t="str">
        <f aca="false">IF($O152="","",INDEX(Scoring!$C$29:$C$361,MATCH($O152,Scoring!$AI$29:$AI$361,0)))</f>
        <v>Amikacin Wockhardt</v>
      </c>
      <c r="H152" s="7" t="str">
        <f aca="false">IF($O152="","",INDEX(Scoring!$D$29:$D$361,MATCH($O152,Scoring!$AI$29:$AI$361,0)))</f>
        <v>Anti-infective: serious and drug-resistant Gram-negative infections, resistant TB</v>
      </c>
      <c r="I152" s="6" t="str">
        <f aca="false">IF($O152="","",INDEX(Scoring!$R$29:$R$361,MATCH($O152,Scoring!$AI$29:$AI$361,0)))</f>
        <v>Vial</v>
      </c>
      <c r="J152" s="7" t="str">
        <f aca="false">IF($O152="","",INDEX(Scoring!$S$29:$S$361,MATCH($O152,Scoring!$AI$29:$AI$361,0)))</f>
        <v>500 mg/2 mL vial</v>
      </c>
      <c r="K152" s="8" t="n">
        <f aca="false">IF($O152="","",IF(INDEX(Scoring!$I$29:$I$361,MATCH($O152,Scoring!$AI$29:$AI$361,0))="",INDEX(Scoring!$AC$29:$AC$361,MATCH($O152,Scoring!$AI$29:$AI$361,0)),INDEX(Scoring!$I$29:$I$361,MATCH($O152,Scoring!$AI$29:$AI$361,0))))</f>
        <v>3.06</v>
      </c>
      <c r="L152" s="9" t="n">
        <f aca="false">IF($O152="","",INDEX(Scoring!$M$29:$M$361,MATCH($O152,Scoring!$AI$29:$AI$361,0)))</f>
        <v>657</v>
      </c>
      <c r="M152" s="9" t="n">
        <f aca="false">IF($O152="","",INDEX(Scoring!$O$29:$O$361,MATCH($O152,Scoring!$AI$29:$AI$361,0)))</f>
        <v>8433.6</v>
      </c>
      <c r="N152" s="7" t="str">
        <f aca="false">IF($O152="","",INDEX(Scoring!$Y$29:$Y$361,MATCH($O152,Scoring!$AI$29:$AI$361,0)))</f>
        <v>Australia</v>
      </c>
      <c r="O152" s="10" t="n">
        <f aca="false">IFERROR(SMALL(Scoring!$AI$29:$AI$361,148),"")</f>
        <v>14901</v>
      </c>
    </row>
    <row r="153" customFormat="false" ht="28.35" hidden="false" customHeight="false" outlineLevel="0" collapsed="false">
      <c r="A153" s="5" t="n">
        <f aca="false">IF($O153="","",INT($O153/1000))</f>
        <v>15</v>
      </c>
      <c r="B153" s="6" t="str">
        <f aca="false">IF($O153="","",INDEX(Scoring!$A$29:$A$361,MATCH($O153,Scoring!$AI$29:$AI$361,0)))</f>
        <v>Lupin</v>
      </c>
      <c r="C153" s="5" t="n">
        <f aca="false">IF($O153="","",IF(INDEX(Scoring!$F$29:$F$361,MATCH($O153,Scoring!$AI$29:$AI$361,0))="","–",INDEX(Scoring!$F$29:$F$361,MATCH($O153,Scoring!$AI$29:$AI$361,0))))</f>
        <v>1</v>
      </c>
      <c r="D153" s="6" t="str">
        <f aca="false">IF($O153="","",INDEX(Scoring!$E$29:$E$361,MATCH($O153,Scoring!$AI$29:$AI$361,0)))</f>
        <v>Priority 2</v>
      </c>
      <c r="E153" s="7" t="str">
        <f aca="false">IF($O153="","",INDEX(Scoring!$G$29:$G$361,MATCH($O153,Scoring!$AI$29:$AI$361,0)))</f>
        <v>Lower price, high volume</v>
      </c>
      <c r="F153" s="6" t="str">
        <f aca="false">IF($O153="","",INDEX(Scoring!$B$29:$B$361,MATCH($O153,Scoring!$AI$29:$AI$361,0)))</f>
        <v>Ertapenem</v>
      </c>
      <c r="G153" s="7" t="str">
        <f aca="false">IF($O153="","",INDEX(Scoring!$C$29:$C$361,MATCH($O153,Scoring!$AI$29:$AI$361,0)))</f>
        <v>Invabex</v>
      </c>
      <c r="H153" s="7" t="str">
        <f aca="false">IF($O153="","",INDEX(Scoring!$D$29:$D$361,MATCH($O153,Scoring!$AI$29:$AI$361,0)))</f>
        <v>Anti-infective: abdominal, skin and urinary infections, pneumonia</v>
      </c>
      <c r="I153" s="6" t="str">
        <f aca="false">IF($O153="","",INDEX(Scoring!$R$29:$R$361,MATCH($O153,Scoring!$AI$29:$AI$361,0)))</f>
        <v>Vial</v>
      </c>
      <c r="J153" s="7" t="str">
        <f aca="false">IF($O153="","",INDEX(Scoring!$S$29:$S$361,MATCH($O153,Scoring!$AI$29:$AI$361,0)))</f>
        <v>1 g in 20 mL powder vial</v>
      </c>
      <c r="K153" s="8" t="n">
        <f aca="false">IF($O153="","",IF(INDEX(Scoring!$I$29:$I$361,MATCH($O153,Scoring!$AI$29:$AI$361,0))="",INDEX(Scoring!$AC$29:$AC$361,MATCH($O153,Scoring!$AI$29:$AI$361,0)),INDEX(Scoring!$I$29:$I$361,MATCH($O153,Scoring!$AI$29:$AI$361,0))))</f>
        <v>21.3</v>
      </c>
      <c r="L153" s="9" t="n">
        <f aca="false">IF($O153="","",INDEX(Scoring!$M$29:$M$361,MATCH($O153,Scoring!$AI$29:$AI$361,0)))</f>
        <v>223</v>
      </c>
      <c r="M153" s="9" t="n">
        <f aca="false">IF($O153="","",INDEX(Scoring!$O$29:$O$361,MATCH($O153,Scoring!$AI$29:$AI$361,0)))</f>
        <v>53539.9</v>
      </c>
      <c r="N153" s="7" t="str">
        <f aca="false">IF($O153="","",INDEX(Scoring!$Y$29:$Y$361,MATCH($O153,Scoring!$AI$29:$AI$361,0)))</f>
        <v>South Africa</v>
      </c>
      <c r="O153" s="10" t="n">
        <f aca="false">IFERROR(SMALL(Scoring!$AI$29:$AI$361,149),"")</f>
        <v>15001</v>
      </c>
    </row>
    <row r="154" customFormat="false" ht="28.35" hidden="false" customHeight="false" outlineLevel="0" collapsed="false">
      <c r="A154" s="5" t="n">
        <f aca="false">IF($O154="","",INT($O154/1000))</f>
        <v>15</v>
      </c>
      <c r="B154" s="6" t="str">
        <f aca="false">IF($O154="","",INDEX(Scoring!$A$29:$A$361,MATCH($O154,Scoring!$AI$29:$AI$361,0)))</f>
        <v>Lupin</v>
      </c>
      <c r="C154" s="5" t="n">
        <f aca="false">IF($O154="","",IF(INDEX(Scoring!$F$29:$F$361,MATCH($O154,Scoring!$AI$29:$AI$361,0))="","–",INDEX(Scoring!$F$29:$F$361,MATCH($O154,Scoring!$AI$29:$AI$361,0))))</f>
        <v>2</v>
      </c>
      <c r="D154" s="6" t="str">
        <f aca="false">IF($O154="","",INDEX(Scoring!$E$29:$E$361,MATCH($O154,Scoring!$AI$29:$AI$361,0)))</f>
        <v>Priority 2</v>
      </c>
      <c r="E154" s="7" t="str">
        <f aca="false">IF($O154="","",INDEX(Scoring!$G$29:$G$361,MATCH($O154,Scoring!$AI$29:$AI$361,0)))</f>
        <v>Lower price, high volume</v>
      </c>
      <c r="F154" s="6" t="str">
        <f aca="false">IF($O154="","",INDEX(Scoring!$B$29:$B$361,MATCH($O154,Scoring!$AI$29:$AI$361,0)))</f>
        <v>Oxytocin</v>
      </c>
      <c r="G154" s="7" t="str">
        <f aca="false">IF($O154="","",INDEX(Scoring!$C$29:$C$361,MATCH($O154,Scoring!$AI$29:$AI$361,0)))</f>
        <v>Oxytocin GH</v>
      </c>
      <c r="H154" s="7" t="str">
        <f aca="false">IF($O154="","",INDEX(Scoring!$D$29:$D$361,MATCH($O154,Scoring!$AI$29:$AI$361,0)))</f>
        <v>Women's health: labour induction, postpartum haemorrhage</v>
      </c>
      <c r="I154" s="6" t="str">
        <f aca="false">IF($O154="","",INDEX(Scoring!$R$29:$R$361,MATCH($O154,Scoring!$AI$29:$AI$361,0)))</f>
        <v>Ampoule</v>
      </c>
      <c r="J154" s="7" t="str">
        <f aca="false">IF($O154="","",INDEX(Scoring!$S$29:$S$361,MATCH($O154,Scoring!$AI$29:$AI$361,0)))</f>
        <v>10 IU/1 mL ampoule</v>
      </c>
      <c r="K154" s="8" t="n">
        <f aca="false">IF($O154="","",IF(INDEX(Scoring!$I$29:$I$361,MATCH($O154,Scoring!$AI$29:$AI$361,0))="",INDEX(Scoring!$AC$29:$AC$361,MATCH($O154,Scoring!$AI$29:$AI$361,0)),INDEX(Scoring!$I$29:$I$361,MATCH($O154,Scoring!$AI$29:$AI$361,0))))</f>
        <v>8.11</v>
      </c>
      <c r="L154" s="9" t="n">
        <f aca="false">IF($O154="","",INDEX(Scoring!$M$29:$M$361,MATCH($O154,Scoring!$AI$29:$AI$361,0)))</f>
        <v>304</v>
      </c>
      <c r="M154" s="9" t="n">
        <f aca="false">IF($O154="","",INDEX(Scoring!$O$29:$O$361,MATCH($O154,Scoring!$AI$29:$AI$361,0)))</f>
        <v>8224.2</v>
      </c>
      <c r="N154" s="7" t="str">
        <f aca="false">IF($O154="","",INDEX(Scoring!$Y$29:$Y$361,MATCH($O154,Scoring!$AI$29:$AI$361,0)))</f>
        <v>Australia</v>
      </c>
      <c r="O154" s="10" t="n">
        <f aca="false">IFERROR(SMALL(Scoring!$AI$29:$AI$361,150),"")</f>
        <v>15002</v>
      </c>
    </row>
    <row r="155" customFormat="false" ht="28.35" hidden="false" customHeight="false" outlineLevel="0" collapsed="false">
      <c r="A155" s="5" t="n">
        <f aca="false">IF($O155="","",INT($O155/1000))</f>
        <v>15</v>
      </c>
      <c r="B155" s="6" t="str">
        <f aca="false">IF($O155="","",INDEX(Scoring!$A$29:$A$361,MATCH($O155,Scoring!$AI$29:$AI$361,0)))</f>
        <v>Lupin</v>
      </c>
      <c r="C155" s="5" t="n">
        <f aca="false">IF($O155="","",IF(INDEX(Scoring!$F$29:$F$361,MATCH($O155,Scoring!$AI$29:$AI$361,0))="","–",INDEX(Scoring!$F$29:$F$361,MATCH($O155,Scoring!$AI$29:$AI$361,0))))</f>
        <v>3</v>
      </c>
      <c r="D155" s="6" t="str">
        <f aca="false">IF($O155="","",INDEX(Scoring!$E$29:$E$361,MATCH($O155,Scoring!$AI$29:$AI$361,0)))</f>
        <v>Priority 2</v>
      </c>
      <c r="E155" s="7" t="str">
        <f aca="false">IF($O155="","",INDEX(Scoring!$G$29:$G$361,MATCH($O155,Scoring!$AI$29:$AI$361,0)))</f>
        <v>High price, lower volume</v>
      </c>
      <c r="F155" s="6" t="str">
        <f aca="false">IF($O155="","",INDEX(Scoring!$B$29:$B$361,MATCH($O155,Scoring!$AI$29:$AI$361,0)))</f>
        <v>Teicoplanin</v>
      </c>
      <c r="G155" s="7" t="str">
        <f aca="false">IF($O155="","",INDEX(Scoring!$C$29:$C$361,MATCH($O155,Scoring!$AI$29:$AI$361,0)))</f>
        <v>Teicoplanin SXP; Dyna Teicoplanin; Teicoplanin PD</v>
      </c>
      <c r="H155" s="7" t="str">
        <f aca="false">IF($O155="","",INDEX(Scoring!$D$29:$D$361,MATCH($O155,Scoring!$AI$29:$AI$361,0)))</f>
        <v>Anti-infective: MRSA and serious Gram-positive infections</v>
      </c>
      <c r="I155" s="6" t="str">
        <f aca="false">IF($O155="","",INDEX(Scoring!$R$29:$R$361,MATCH($O155,Scoring!$AI$29:$AI$361,0)))</f>
        <v>Vial</v>
      </c>
      <c r="J155" s="7" t="str">
        <f aca="false">IF($O155="","",INDEX(Scoring!$S$29:$S$361,MATCH($O155,Scoring!$AI$29:$AI$361,0)))</f>
        <v>400 mg powder vial; 200 mg in 20 mL powder vial; 400 mg in 20 mL powder vial</v>
      </c>
      <c r="K155" s="8" t="n">
        <f aca="false">IF($O155="","",IF(INDEX(Scoring!$I$29:$I$361,MATCH($O155,Scoring!$AI$29:$AI$361,0))="",INDEX(Scoring!$AC$29:$AC$361,MATCH($O155,Scoring!$AI$29:$AI$361,0)),INDEX(Scoring!$I$29:$I$361,MATCH($O155,Scoring!$AI$29:$AI$361,0))))</f>
        <v>32.43</v>
      </c>
      <c r="L155" s="9" t="n">
        <f aca="false">IF($O155="","",INDEX(Scoring!$M$29:$M$361,MATCH($O155,Scoring!$AI$29:$AI$361,0)))</f>
        <v>99</v>
      </c>
      <c r="M155" s="9" t="n">
        <f aca="false">IF($O155="","",INDEX(Scoring!$O$29:$O$361,MATCH($O155,Scoring!$AI$29:$AI$361,0)))</f>
        <v>6632.6</v>
      </c>
      <c r="N155" s="7" t="str">
        <f aca="false">IF($O155="","",INDEX(Scoring!$Y$29:$Y$361,MATCH($O155,Scoring!$AI$29:$AI$361,0)))</f>
        <v>Australia, South Africa</v>
      </c>
      <c r="O155" s="10" t="n">
        <f aca="false">IFERROR(SMALL(Scoring!$AI$29:$AI$361,151),"")</f>
        <v>15003</v>
      </c>
    </row>
    <row r="156" customFormat="false" ht="28.35" hidden="false" customHeight="false" outlineLevel="0" collapsed="false">
      <c r="A156" s="5" t="n">
        <f aca="false">IF($O156="","",INT($O156/1000))</f>
        <v>15</v>
      </c>
      <c r="B156" s="6" t="str">
        <f aca="false">IF($O156="","",INDEX(Scoring!$A$29:$A$361,MATCH($O156,Scoring!$AI$29:$AI$361,0)))</f>
        <v>Lupin</v>
      </c>
      <c r="C156" s="5" t="n">
        <f aca="false">IF($O156="","",IF(INDEX(Scoring!$F$29:$F$361,MATCH($O156,Scoring!$AI$29:$AI$361,0))="","–",INDEX(Scoring!$F$29:$F$361,MATCH($O156,Scoring!$AI$29:$AI$361,0))))</f>
        <v>4</v>
      </c>
      <c r="D156" s="6" t="str">
        <f aca="false">IF($O156="","",INDEX(Scoring!$E$29:$E$361,MATCH($O156,Scoring!$AI$29:$AI$361,0)))</f>
        <v>Priority 2</v>
      </c>
      <c r="E156" s="7" t="str">
        <f aca="false">IF($O156="","",INDEX(Scoring!$G$29:$G$361,MATCH($O156,Scoring!$AI$29:$AI$361,0)))</f>
        <v>High price, lower volume</v>
      </c>
      <c r="F156" s="6" t="str">
        <f aca="false">IF($O156="","",INDEX(Scoring!$B$29:$B$361,MATCH($O156,Scoring!$AI$29:$AI$361,0)))</f>
        <v>Testosterone Undecanoate</v>
      </c>
      <c r="G156" s="7" t="str">
        <f aca="false">IF($O156="","",INDEX(Scoring!$C$29:$C$361,MATCH($O156,Scoring!$AI$29:$AI$361,0)))</f>
        <v>Testosterone PD</v>
      </c>
      <c r="H156" s="7" t="str">
        <f aca="false">IF($O156="","",INDEX(Scoring!$D$29:$D$361,MATCH($O156,Scoring!$AI$29:$AI$361,0)))</f>
        <v>Endocrinology: long-acting testosterone replacement in male hypogonadism</v>
      </c>
      <c r="I156" s="6" t="str">
        <f aca="false">IF($O156="","",INDEX(Scoring!$R$29:$R$361,MATCH($O156,Scoring!$AI$29:$AI$361,0)))</f>
        <v>Vial</v>
      </c>
      <c r="J156" s="7" t="str">
        <f aca="false">IF($O156="","",INDEX(Scoring!$S$29:$S$361,MATCH($O156,Scoring!$AI$29:$AI$361,0)))</f>
        <v>1000 mg/4 mL vial</v>
      </c>
      <c r="K156" s="8" t="n">
        <f aca="false">IF($O156="","",IF(INDEX(Scoring!$I$29:$I$361,MATCH($O156,Scoring!$AI$29:$AI$361,0))="",INDEX(Scoring!$AC$29:$AC$361,MATCH($O156,Scoring!$AI$29:$AI$361,0)),INDEX(Scoring!$I$29:$I$361,MATCH($O156,Scoring!$AI$29:$AI$361,0))))</f>
        <v>125.38</v>
      </c>
      <c r="L156" s="9" t="n">
        <f aca="false">IF($O156="","",INDEX(Scoring!$M$29:$M$361,MATCH($O156,Scoring!$AI$29:$AI$361,0)))</f>
        <v>132</v>
      </c>
      <c r="M156" s="9" t="n">
        <f aca="false">IF($O156="","",INDEX(Scoring!$O$29:$O$361,MATCH($O156,Scoring!$AI$29:$AI$361,0)))</f>
        <v>184.9</v>
      </c>
      <c r="N156" s="7" t="str">
        <f aca="false">IF($O156="","",INDEX(Scoring!$Y$29:$Y$361,MATCH($O156,Scoring!$AI$29:$AI$361,0)))</f>
        <v>South Africa</v>
      </c>
      <c r="O156" s="10" t="n">
        <f aca="false">IFERROR(SMALL(Scoring!$AI$29:$AI$361,152),"")</f>
        <v>15004</v>
      </c>
    </row>
    <row r="157" customFormat="false" ht="28.35" hidden="false" customHeight="false" outlineLevel="0" collapsed="false">
      <c r="A157" s="5" t="n">
        <f aca="false">IF($O157="","",INT($O157/1000))</f>
        <v>15</v>
      </c>
      <c r="B157" s="6" t="str">
        <f aca="false">IF($O157="","",INDEX(Scoring!$A$29:$A$361,MATCH($O157,Scoring!$AI$29:$AI$361,0)))</f>
        <v>Lupin</v>
      </c>
      <c r="C157" s="5" t="n">
        <f aca="false">IF($O157="","",IF(INDEX(Scoring!$F$29:$F$361,MATCH($O157,Scoring!$AI$29:$AI$361,0))="","–",INDEX(Scoring!$F$29:$F$361,MATCH($O157,Scoring!$AI$29:$AI$361,0))))</f>
        <v>5</v>
      </c>
      <c r="D157" s="6" t="str">
        <f aca="false">IF($O157="","",INDEX(Scoring!$E$29:$E$361,MATCH($O157,Scoring!$AI$29:$AI$361,0)))</f>
        <v>Priority 3</v>
      </c>
      <c r="E157" s="7" t="str">
        <f aca="false">IF($O157="","",INDEX(Scoring!$G$29:$G$361,MATCH($O157,Scoring!$AI$29:$AI$361,0)))</f>
        <v>Lower price, lower volume</v>
      </c>
      <c r="F157" s="6" t="str">
        <f aca="false">IF($O157="","",INDEX(Scoring!$B$29:$B$361,MATCH($O157,Scoring!$AI$29:$AI$361,0)))</f>
        <v>Olanzapine</v>
      </c>
      <c r="G157" s="7" t="str">
        <f aca="false">IF($O157="","",INDEX(Scoring!$C$29:$C$361,MATCH($O157,Scoring!$AI$29:$AI$361,0)))</f>
        <v>Olanzapine GH IM</v>
      </c>
      <c r="H157" s="7" t="str">
        <f aca="false">IF($O157="","",INDEX(Scoring!$D$29:$D$361,MATCH($O157,Scoring!$AI$29:$AI$361,0)))</f>
        <v>Psychiatry: acute agitation in schizophrenia and bipolar mania</v>
      </c>
      <c r="I157" s="6" t="str">
        <f aca="false">IF($O157="","",INDEX(Scoring!$R$29:$R$361,MATCH($O157,Scoring!$AI$29:$AI$361,0)))</f>
        <v>Vial</v>
      </c>
      <c r="J157" s="7" t="str">
        <f aca="false">IF($O157="","",INDEX(Scoring!$S$29:$S$361,MATCH($O157,Scoring!$AI$29:$AI$361,0)))</f>
        <v>10 mg powder vial</v>
      </c>
      <c r="K157" s="8" t="n">
        <f aca="false">IF($O157="","",IF(INDEX(Scoring!$I$29:$I$361,MATCH($O157,Scoring!$AI$29:$AI$361,0))="",INDEX(Scoring!$AC$29:$AC$361,MATCH($O157,Scoring!$AI$29:$AI$361,0)),INDEX(Scoring!$I$29:$I$361,MATCH($O157,Scoring!$AI$29:$AI$361,0))))</f>
        <v>18.28</v>
      </c>
      <c r="L157" s="9" t="n">
        <f aca="false">IF($O157="","",INDEX(Scoring!$M$29:$M$361,MATCH($O157,Scoring!$AI$29:$AI$361,0)))</f>
        <v>65</v>
      </c>
      <c r="M157" s="9" t="n">
        <f aca="false">IF($O157="","",INDEX(Scoring!$O$29:$O$361,MATCH($O157,Scoring!$AI$29:$AI$361,0)))</f>
        <v>1223.2</v>
      </c>
      <c r="N157" s="7" t="str">
        <f aca="false">IF($O157="","",INDEX(Scoring!$Y$29:$Y$361,MATCH($O157,Scoring!$AI$29:$AI$361,0)))</f>
        <v>Australia</v>
      </c>
      <c r="O157" s="10" t="n">
        <f aca="false">IFERROR(SMALL(Scoring!$AI$29:$AI$361,153),"")</f>
        <v>15005</v>
      </c>
    </row>
    <row r="158" customFormat="false" ht="28.35" hidden="false" customHeight="false" outlineLevel="0" collapsed="false">
      <c r="A158" s="5" t="n">
        <f aca="false">IF($O158="","",INT($O158/1000))</f>
        <v>15</v>
      </c>
      <c r="B158" s="6" t="str">
        <f aca="false">IF($O158="","",INDEX(Scoring!$A$29:$A$361,MATCH($O158,Scoring!$AI$29:$AI$361,0)))</f>
        <v>Lupin</v>
      </c>
      <c r="C158" s="5" t="n">
        <f aca="false">IF($O158="","",IF(INDEX(Scoring!$F$29:$F$361,MATCH($O158,Scoring!$AI$29:$AI$361,0))="","–",INDEX(Scoring!$F$29:$F$361,MATCH($O158,Scoring!$AI$29:$AI$361,0))))</f>
        <v>6</v>
      </c>
      <c r="D158" s="6" t="str">
        <f aca="false">IF($O158="","",INDEX(Scoring!$E$29:$E$361,MATCH($O158,Scoring!$AI$29:$AI$361,0)))</f>
        <v>Priority 3</v>
      </c>
      <c r="E158" s="7" t="str">
        <f aca="false">IF($O158="","",INDEX(Scoring!$G$29:$G$361,MATCH($O158,Scoring!$AI$29:$AI$361,0)))</f>
        <v>Lower price, lower volume</v>
      </c>
      <c r="F158" s="6" t="str">
        <f aca="false">IF($O158="","",INDEX(Scoring!$B$29:$B$361,MATCH($O158,Scoring!$AI$29:$AI$361,0)))</f>
        <v>Diazepam</v>
      </c>
      <c r="G158" s="7" t="str">
        <f aca="false">IF($O158="","",INDEX(Scoring!$C$29:$C$361,MATCH($O158,Scoring!$AI$29:$AI$361,0)))</f>
        <v>Diazepam</v>
      </c>
      <c r="H158" s="7" t="str">
        <f aca="false">IF($O158="","",INDEX(Scoring!$D$29:$D$361,MATCH($O158,Scoring!$AI$29:$AI$361,0)))</f>
        <v>Neurology: status epilepticus, seizures, acute anxiety and sedation</v>
      </c>
      <c r="I158" s="6" t="str">
        <f aca="false">IF($O158="","",INDEX(Scoring!$R$29:$R$361,MATCH($O158,Scoring!$AI$29:$AI$361,0)))</f>
        <v>Not stated</v>
      </c>
      <c r="J158" s="7" t="str">
        <f aca="false">IF($O158="","",INDEX(Scoring!$S$29:$S$361,MATCH($O158,Scoring!$AI$29:$AI$361,0)))</f>
        <v>10 mg/2 mL (container not stated)</v>
      </c>
      <c r="K158" s="8" t="n">
        <f aca="false">IF($O158="","",IF(INDEX(Scoring!$I$29:$I$361,MATCH($O158,Scoring!$AI$29:$AI$361,0))="",INDEX(Scoring!$AC$29:$AC$361,MATCH($O158,Scoring!$AI$29:$AI$361,0)),INDEX(Scoring!$I$29:$I$361,MATCH($O158,Scoring!$AI$29:$AI$361,0))))</f>
        <v>10.14</v>
      </c>
      <c r="L158" s="9" t="n">
        <f aca="false">IF($O158="","",INDEX(Scoring!$M$29:$M$361,MATCH($O158,Scoring!$AI$29:$AI$361,0)))</f>
        <v>35</v>
      </c>
      <c r="M158" s="9" t="n">
        <f aca="false">IF($O158="","",INDEX(Scoring!$O$29:$O$361,MATCH($O158,Scoring!$AI$29:$AI$361,0)))</f>
        <v>1053.6</v>
      </c>
      <c r="N158" s="7" t="str">
        <f aca="false">IF($O158="","",INDEX(Scoring!$Y$29:$Y$361,MATCH($O158,Scoring!$AI$29:$AI$361,0)))</f>
        <v>US</v>
      </c>
      <c r="O158" s="10" t="n">
        <f aca="false">IFERROR(SMALL(Scoring!$AI$29:$AI$361,154),"")</f>
        <v>15006</v>
      </c>
    </row>
    <row r="159" customFormat="false" ht="28.35" hidden="false" customHeight="false" outlineLevel="0" collapsed="false">
      <c r="A159" s="5" t="n">
        <f aca="false">IF($O159="","",INT($O159/1000))</f>
        <v>15</v>
      </c>
      <c r="B159" s="6" t="str">
        <f aca="false">IF($O159="","",INDEX(Scoring!$A$29:$A$361,MATCH($O159,Scoring!$AI$29:$AI$361,0)))</f>
        <v>Lupin</v>
      </c>
      <c r="C159" s="5" t="n">
        <f aca="false">IF($O159="","",IF(INDEX(Scoring!$F$29:$F$361,MATCH($O159,Scoring!$AI$29:$AI$361,0))="","–",INDEX(Scoring!$F$29:$F$361,MATCH($O159,Scoring!$AI$29:$AI$361,0))))</f>
        <v>7</v>
      </c>
      <c r="D159" s="6" t="str">
        <f aca="false">IF($O159="","",INDEX(Scoring!$E$29:$E$361,MATCH($O159,Scoring!$AI$29:$AI$361,0)))</f>
        <v>Priority 3</v>
      </c>
      <c r="E159" s="7" t="str">
        <f aca="false">IF($O159="","",INDEX(Scoring!$G$29:$G$361,MATCH($O159,Scoring!$AI$29:$AI$361,0)))</f>
        <v>Lower price, lower volume</v>
      </c>
      <c r="F159" s="6" t="str">
        <f aca="false">IF($O159="","",INDEX(Scoring!$B$29:$B$361,MATCH($O159,Scoring!$AI$29:$AI$361,0)))</f>
        <v>Fentanyl</v>
      </c>
      <c r="G159" s="7" t="str">
        <f aca="false">IF($O159="","",INDEX(Scoring!$C$29:$C$361,MATCH($O159,Scoring!$AI$29:$AI$361,0)))</f>
        <v>Fentanyl GH</v>
      </c>
      <c r="H159" s="7" t="str">
        <f aca="false">IF($O159="","",INDEX(Scoring!$D$29:$D$361,MATCH($O159,Scoring!$AI$29:$AI$361,0)))</f>
        <v>Anaesthesia and pain: opioid pain relief in surgery and ICU</v>
      </c>
      <c r="I159" s="6" t="str">
        <f aca="false">IF($O159="","",INDEX(Scoring!$R$29:$R$361,MATCH($O159,Scoring!$AI$29:$AI$361,0)))</f>
        <v>Ampoule</v>
      </c>
      <c r="J159" s="7" t="str">
        <f aca="false">IF($O159="","",INDEX(Scoring!$S$29:$S$361,MATCH($O159,Scoring!$AI$29:$AI$361,0)))</f>
        <v>500 mcg/10 mL ampoule; 100 mcg/2 mL ampoule</v>
      </c>
      <c r="K159" s="8" t="n">
        <f aca="false">IF($O159="","",IF(INDEX(Scoring!$I$29:$I$361,MATCH($O159,Scoring!$AI$29:$AI$361,0))="",INDEX(Scoring!$AC$29:$AC$361,MATCH($O159,Scoring!$AI$29:$AI$361,0)),INDEX(Scoring!$I$29:$I$361,MATCH($O159,Scoring!$AI$29:$AI$361,0))))</f>
        <v>6.81</v>
      </c>
      <c r="L159" s="9" t="n">
        <f aca="false">IF($O159="","",INDEX(Scoring!$M$29:$M$361,MATCH($O159,Scoring!$AI$29:$AI$361,0)))</f>
        <v>15</v>
      </c>
      <c r="M159" s="9" t="n">
        <f aca="false">IF($O159="","",INDEX(Scoring!$O$29:$O$361,MATCH($O159,Scoring!$AI$29:$AI$361,0)))</f>
        <v>287.5</v>
      </c>
      <c r="N159" s="7" t="str">
        <f aca="false">IF($O159="","",INDEX(Scoring!$Y$29:$Y$361,MATCH($O159,Scoring!$AI$29:$AI$361,0)))</f>
        <v>Australia</v>
      </c>
      <c r="O159" s="10" t="n">
        <f aca="false">IFERROR(SMALL(Scoring!$AI$29:$AI$361,155),"")</f>
        <v>15007</v>
      </c>
    </row>
    <row r="160" customFormat="false" ht="28.35" hidden="false" customHeight="false" outlineLevel="0" collapsed="false">
      <c r="A160" s="5" t="n">
        <f aca="false">IF($O160="","",INT($O160/1000))</f>
        <v>15</v>
      </c>
      <c r="B160" s="6" t="str">
        <f aca="false">IF($O160="","",INDEX(Scoring!$A$29:$A$361,MATCH($O160,Scoring!$AI$29:$AI$361,0)))</f>
        <v>Lupin</v>
      </c>
      <c r="C160" s="5" t="n">
        <f aca="false">IF($O160="","",IF(INDEX(Scoring!$F$29:$F$361,MATCH($O160,Scoring!$AI$29:$AI$361,0))="","–",INDEX(Scoring!$F$29:$F$361,MATCH($O160,Scoring!$AI$29:$AI$361,0))))</f>
        <v>8</v>
      </c>
      <c r="D160" s="6" t="str">
        <f aca="false">IF($O160="","",INDEX(Scoring!$E$29:$E$361,MATCH($O160,Scoring!$AI$29:$AI$361,0)))</f>
        <v>Priority 3</v>
      </c>
      <c r="E160" s="7" t="str">
        <f aca="false">IF($O160="","",INDEX(Scoring!$G$29:$G$361,MATCH($O160,Scoring!$AI$29:$AI$361,0)))</f>
        <v>Lower price, lower volume</v>
      </c>
      <c r="F160" s="6" t="str">
        <f aca="false">IF($O160="","",INDEX(Scoring!$B$29:$B$361,MATCH($O160,Scoring!$AI$29:$AI$361,0)))</f>
        <v>Droperidol</v>
      </c>
      <c r="G160" s="7" t="str">
        <f aca="false">IF($O160="","",INDEX(Scoring!$C$29:$C$361,MATCH($O160,Scoring!$AI$29:$AI$361,0)))</f>
        <v>Droperidol Lupin; Droperidol AJS</v>
      </c>
      <c r="H160" s="7" t="str">
        <f aca="false">IF($O160="","",INDEX(Scoring!$D$29:$D$361,MATCH($O160,Scoring!$AI$29:$AI$361,0)))</f>
        <v>Anaesthesia: post-operative nausea and vomiting</v>
      </c>
      <c r="I160" s="6" t="str">
        <f aca="false">IF($O160="","",INDEX(Scoring!$R$29:$R$361,MATCH($O160,Scoring!$AI$29:$AI$361,0)))</f>
        <v>Ampoule</v>
      </c>
      <c r="J160" s="7" t="str">
        <f aca="false">IF($O160="","",INDEX(Scoring!$S$29:$S$361,MATCH($O160,Scoring!$AI$29:$AI$361,0)))</f>
        <v>2.5 mg/1 mL ampoule; 5 mg/2 mL ampoule</v>
      </c>
      <c r="K160" s="8" t="n">
        <f aca="false">IF($O160="","",IF(INDEX(Scoring!$I$29:$I$361,MATCH($O160,Scoring!$AI$29:$AI$361,0))="",INDEX(Scoring!$AC$29:$AC$361,MATCH($O160,Scoring!$AI$29:$AI$361,0)),INDEX(Scoring!$I$29:$I$361,MATCH($O160,Scoring!$AI$29:$AI$361,0))))</f>
        <v>5.35</v>
      </c>
      <c r="L160" s="9" t="n">
        <f aca="false">IF($O160="","",INDEX(Scoring!$M$29:$M$361,MATCH($O160,Scoring!$AI$29:$AI$361,0)))</f>
        <v>17</v>
      </c>
      <c r="M160" s="9" t="n">
        <f aca="false">IF($O160="","",INDEX(Scoring!$O$29:$O$361,MATCH($O160,Scoring!$AI$29:$AI$361,0)))</f>
        <v>170.5</v>
      </c>
      <c r="N160" s="7" t="str">
        <f aca="false">IF($O160="","",INDEX(Scoring!$Y$29:$Y$361,MATCH($O160,Scoring!$AI$29:$AI$361,0)))</f>
        <v>Australia</v>
      </c>
      <c r="O160" s="10" t="n">
        <f aca="false">IFERROR(SMALL(Scoring!$AI$29:$AI$361,156),"")</f>
        <v>15008</v>
      </c>
    </row>
    <row r="161" customFormat="false" ht="28.35" hidden="false" customHeight="false" outlineLevel="0" collapsed="false">
      <c r="A161" s="5" t="n">
        <f aca="false">IF($O161="","",INT($O161/1000))</f>
        <v>15</v>
      </c>
      <c r="B161" s="6" t="str">
        <f aca="false">IF($O161="","",INDEX(Scoring!$A$29:$A$361,MATCH($O161,Scoring!$AI$29:$AI$361,0)))</f>
        <v>Lupin</v>
      </c>
      <c r="C161" s="5" t="str">
        <f aca="false">IF($O161="","",IF(INDEX(Scoring!$F$29:$F$361,MATCH($O161,Scoring!$AI$29:$AI$361,0))="","–",INDEX(Scoring!$F$29:$F$361,MATCH($O161,Scoring!$AI$29:$AI$361,0))))</f>
        <v>–</v>
      </c>
      <c r="D161" s="6" t="str">
        <f aca="false">IF($O161="","",INDEX(Scoring!$E$29:$E$361,MATCH($O161,Scoring!$AI$29:$AI$361,0)))</f>
        <v>Excluded – price ≤ USD 5</v>
      </c>
      <c r="E161" s="7" t="str">
        <f aca="false">IF($O161="","",INDEX(Scoring!$G$29:$G$361,MATCH($O161,Scoring!$AI$29:$AI$361,0)))</f>
        <v/>
      </c>
      <c r="F161" s="6" t="str">
        <f aca="false">IF($O161="","",INDEX(Scoring!$B$29:$B$361,MATCH($O161,Scoring!$AI$29:$AI$361,0)))</f>
        <v>Cefazolin</v>
      </c>
      <c r="G161" s="7" t="str">
        <f aca="false">IF($O161="","",INDEX(Scoring!$C$29:$C$361,MATCH($O161,Scoring!$AI$29:$AI$361,0)))</f>
        <v>Cefazolin SXP</v>
      </c>
      <c r="H161" s="7" t="str">
        <f aca="false">IF($O161="","",INDEX(Scoring!$D$29:$D$361,MATCH($O161,Scoring!$AI$29:$AI$361,0)))</f>
        <v>Anti-infective: surgical infection prevention, staphylococcal infections</v>
      </c>
      <c r="I161" s="6" t="str">
        <f aca="false">IF($O161="","",INDEX(Scoring!$R$29:$R$361,MATCH($O161,Scoring!$AI$29:$AI$361,0)))</f>
        <v>Vial</v>
      </c>
      <c r="J161" s="7" t="str">
        <f aca="false">IF($O161="","",INDEX(Scoring!$S$29:$S$361,MATCH($O161,Scoring!$AI$29:$AI$361,0)))</f>
        <v>1000 mg powder vial</v>
      </c>
      <c r="K161" s="8" t="n">
        <f aca="false">IF($O161="","",IF(INDEX(Scoring!$I$29:$I$361,MATCH($O161,Scoring!$AI$29:$AI$361,0))="",INDEX(Scoring!$AC$29:$AC$361,MATCH($O161,Scoring!$AI$29:$AI$361,0)),INDEX(Scoring!$I$29:$I$361,MATCH($O161,Scoring!$AI$29:$AI$361,0))))</f>
        <v>0.57</v>
      </c>
      <c r="L161" s="9" t="n">
        <f aca="false">IF($O161="","",INDEX(Scoring!$M$29:$M$361,MATCH($O161,Scoring!$AI$29:$AI$361,0)))</f>
        <v>93</v>
      </c>
      <c r="M161" s="9" t="n">
        <f aca="false">IF($O161="","",INDEX(Scoring!$O$29:$O$361,MATCH($O161,Scoring!$AI$29:$AI$361,0)))</f>
        <v>1930</v>
      </c>
      <c r="N161" s="7" t="str">
        <f aca="false">IF($O161="","",INDEX(Scoring!$Y$29:$Y$361,MATCH($O161,Scoring!$AI$29:$AI$361,0)))</f>
        <v>Australia</v>
      </c>
      <c r="O161" s="10" t="n">
        <f aca="false">IFERROR(SMALL(Scoring!$AI$29:$AI$361,157),"")</f>
        <v>15901</v>
      </c>
    </row>
    <row r="162" customFormat="false" ht="28.35" hidden="false" customHeight="false" outlineLevel="0" collapsed="false">
      <c r="A162" s="5" t="n">
        <f aca="false">IF($O162="","",INT($O162/1000))</f>
        <v>15</v>
      </c>
      <c r="B162" s="6" t="str">
        <f aca="false">IF($O162="","",INDEX(Scoring!$A$29:$A$361,MATCH($O162,Scoring!$AI$29:$AI$361,0)))</f>
        <v>Lupin</v>
      </c>
      <c r="C162" s="5" t="str">
        <f aca="false">IF($O162="","",IF(INDEX(Scoring!$F$29:$F$361,MATCH($O162,Scoring!$AI$29:$AI$361,0))="","–",INDEX(Scoring!$F$29:$F$361,MATCH($O162,Scoring!$AI$29:$AI$361,0))))</f>
        <v>–</v>
      </c>
      <c r="D162" s="6" t="str">
        <f aca="false">IF($O162="","",INDEX(Scoring!$E$29:$E$361,MATCH($O162,Scoring!$AI$29:$AI$361,0)))</f>
        <v>Excluded – price ≤ USD 5</v>
      </c>
      <c r="E162" s="7" t="str">
        <f aca="false">IF($O162="","",INDEX(Scoring!$G$29:$G$361,MATCH($O162,Scoring!$AI$29:$AI$361,0)))</f>
        <v/>
      </c>
      <c r="F162" s="6" t="str">
        <f aca="false">IF($O162="","",INDEX(Scoring!$B$29:$B$361,MATCH($O162,Scoring!$AI$29:$AI$361,0)))</f>
        <v>Ephedrine</v>
      </c>
      <c r="G162" s="7" t="str">
        <f aca="false">IF($O162="","",INDEX(Scoring!$C$29:$C$361,MATCH($O162,Scoring!$AI$29:$AI$361,0)))</f>
        <v>Ephedrine Hydrochloride AJS</v>
      </c>
      <c r="H162" s="7" t="str">
        <f aca="false">IF($O162="","",INDEX(Scoring!$D$29:$D$361,MATCH($O162,Scoring!$AI$29:$AI$361,0)))</f>
        <v>Anaesthesia: low blood pressure during spinal anaesthesia and caesarean section</v>
      </c>
      <c r="I162" s="6" t="str">
        <f aca="false">IF($O162="","",INDEX(Scoring!$R$29:$R$361,MATCH($O162,Scoring!$AI$29:$AI$361,0)))</f>
        <v>Ampoule</v>
      </c>
      <c r="J162" s="7" t="str">
        <f aca="false">IF($O162="","",INDEX(Scoring!$S$29:$S$361,MATCH($O162,Scoring!$AI$29:$AI$361,0)))</f>
        <v>30 mg/mL ampoule</v>
      </c>
      <c r="K162" s="8" t="n">
        <f aca="false">IF($O162="","",IF(INDEX(Scoring!$I$29:$I$361,MATCH($O162,Scoring!$AI$29:$AI$361,0))="",INDEX(Scoring!$AC$29:$AC$361,MATCH($O162,Scoring!$AI$29:$AI$361,0)),INDEX(Scoring!$I$29:$I$361,MATCH($O162,Scoring!$AI$29:$AI$361,0))))</f>
        <v>3.53</v>
      </c>
      <c r="L162" s="9" t="n">
        <f aca="false">IF($O162="","",INDEX(Scoring!$M$29:$M$361,MATCH($O162,Scoring!$AI$29:$AI$361,0)))</f>
        <v>49</v>
      </c>
      <c r="M162" s="9" t="n">
        <f aca="false">IF($O162="","",INDEX(Scoring!$O$29:$O$361,MATCH($O162,Scoring!$AI$29:$AI$361,0)))</f>
        <v>2937.3</v>
      </c>
      <c r="N162" s="7" t="str">
        <f aca="false">IF($O162="","",INDEX(Scoring!$Y$29:$Y$361,MATCH($O162,Scoring!$AI$29:$AI$361,0)))</f>
        <v>Australia</v>
      </c>
      <c r="O162" s="10" t="n">
        <f aca="false">IFERROR(SMALL(Scoring!$AI$29:$AI$361,158),"")</f>
        <v>15902</v>
      </c>
    </row>
    <row r="163" customFormat="false" ht="28.35" hidden="false" customHeight="false" outlineLevel="0" collapsed="false">
      <c r="A163" s="5" t="n">
        <f aca="false">IF($O163="","",INT($O163/1000))</f>
        <v>16</v>
      </c>
      <c r="B163" s="6" t="str">
        <f aca="false">IF($O163="","",INDEX(Scoring!$A$29:$A$361,MATCH($O163,Scoring!$AI$29:$AI$361,0)))</f>
        <v>OneSource</v>
      </c>
      <c r="C163" s="5" t="n">
        <f aca="false">IF($O163="","",IF(INDEX(Scoring!$F$29:$F$361,MATCH($O163,Scoring!$AI$29:$AI$361,0))="","–",INDEX(Scoring!$F$29:$F$361,MATCH($O163,Scoring!$AI$29:$AI$361,0))))</f>
        <v>1</v>
      </c>
      <c r="D163" s="6" t="str">
        <f aca="false">IF($O163="","",INDEX(Scoring!$E$29:$E$361,MATCH($O163,Scoring!$AI$29:$AI$361,0)))</f>
        <v>Priority 2</v>
      </c>
      <c r="E163" s="7" t="str">
        <f aca="false">IF($O163="","",INDEX(Scoring!$G$29:$G$361,MATCH($O163,Scoring!$AI$29:$AI$361,0)))</f>
        <v>Lower price, high volume</v>
      </c>
      <c r="F163" s="6" t="str">
        <f aca="false">IF($O163="","",INDEX(Scoring!$B$29:$B$361,MATCH($O163,Scoring!$AI$29:$AI$361,0)))</f>
        <v>Bupivacaine</v>
      </c>
      <c r="G163" s="7" t="str">
        <f aca="false">IF($O163="","",INDEX(Scoring!$C$29:$C$361,MATCH($O163,Scoring!$AI$29:$AI$361,0)))</f>
        <v>Bupivacaine Hydrochloride</v>
      </c>
      <c r="H163" s="7" t="str">
        <f aca="false">IF($O163="","",INDEX(Scoring!$D$29:$D$361,MATCH($O163,Scoring!$AI$29:$AI$361,0)))</f>
        <v>Anaesthesia: long-acting local anaesthetic for spinal, epidural and nerve block</v>
      </c>
      <c r="I163" s="6" t="str">
        <f aca="false">IF($O163="","",INDEX(Scoring!$R$29:$R$361,MATCH($O163,Scoring!$AI$29:$AI$361,0)))</f>
        <v>Vial</v>
      </c>
      <c r="J163" s="7" t="str">
        <f aca="false">IF($O163="","",INDEX(Scoring!$S$29:$S$361,MATCH($O163,Scoring!$AI$29:$AI$361,0)))</f>
        <v>0.25% in 10 mL vial; 0.5% in 30 mL vial</v>
      </c>
      <c r="K163" s="8" t="n">
        <f aca="false">IF($O163="","",IF(INDEX(Scoring!$I$29:$I$361,MATCH($O163,Scoring!$AI$29:$AI$361,0))="",INDEX(Scoring!$AC$29:$AC$361,MATCH($O163,Scoring!$AI$29:$AI$361,0)),INDEX(Scoring!$I$29:$I$361,MATCH($O163,Scoring!$AI$29:$AI$361,0))))</f>
        <v>6.38</v>
      </c>
      <c r="L163" s="9" t="n">
        <f aca="false">IF($O163="","",INDEX(Scoring!$M$29:$M$361,MATCH($O163,Scoring!$AI$29:$AI$361,0)))</f>
        <v>581</v>
      </c>
      <c r="M163" s="9" t="n">
        <f aca="false">IF($O163="","",INDEX(Scoring!$O$29:$O$361,MATCH($O163,Scoring!$AI$29:$AI$361,0)))</f>
        <v>16359.3</v>
      </c>
      <c r="N163" s="7" t="str">
        <f aca="false">IF($O163="","",INDEX(Scoring!$Y$29:$Y$361,MATCH($O163,Scoring!$AI$29:$AI$361,0)))</f>
        <v>US</v>
      </c>
      <c r="O163" s="10" t="n">
        <f aca="false">IFERROR(SMALL(Scoring!$AI$29:$AI$361,159),"")</f>
        <v>16001</v>
      </c>
    </row>
    <row r="164" customFormat="false" ht="28.35" hidden="false" customHeight="false" outlineLevel="0" collapsed="false">
      <c r="A164" s="5" t="n">
        <f aca="false">IF($O164="","",INT($O164/1000))</f>
        <v>16</v>
      </c>
      <c r="B164" s="6" t="str">
        <f aca="false">IF($O164="","",INDEX(Scoring!$A$29:$A$361,MATCH($O164,Scoring!$AI$29:$AI$361,0)))</f>
        <v>OneSource</v>
      </c>
      <c r="C164" s="5" t="n">
        <f aca="false">IF($O164="","",IF(INDEX(Scoring!$F$29:$F$361,MATCH($O164,Scoring!$AI$29:$AI$361,0))="","–",INDEX(Scoring!$F$29:$F$361,MATCH($O164,Scoring!$AI$29:$AI$361,0))))</f>
        <v>2</v>
      </c>
      <c r="D164" s="6" t="str">
        <f aca="false">IF($O164="","",INDEX(Scoring!$E$29:$E$361,MATCH($O164,Scoring!$AI$29:$AI$361,0)))</f>
        <v>Priority 2</v>
      </c>
      <c r="E164" s="7" t="str">
        <f aca="false">IF($O164="","",INDEX(Scoring!$G$29:$G$361,MATCH($O164,Scoring!$AI$29:$AI$361,0)))</f>
        <v>High price, lower volume</v>
      </c>
      <c r="F164" s="6" t="str">
        <f aca="false">IF($O164="","",INDEX(Scoring!$B$29:$B$361,MATCH($O164,Scoring!$AI$29:$AI$361,0)))</f>
        <v>Carboprost</v>
      </c>
      <c r="G164" s="7" t="str">
        <f aca="false">IF($O164="","",INDEX(Scoring!$C$29:$C$361,MATCH($O164,Scoring!$AI$29:$AI$361,0)))</f>
        <v>Carboprost Tromethamine</v>
      </c>
      <c r="H164" s="7" t="str">
        <f aca="false">IF($O164="","",INDEX(Scoring!$D$29:$D$361,MATCH($O164,Scoring!$AI$29:$AI$361,0)))</f>
        <v>Women's health: postpartum haemorrhage, pregnancy termination</v>
      </c>
      <c r="I164" s="6" t="str">
        <f aca="false">IF($O164="","",INDEX(Scoring!$R$29:$R$361,MATCH($O164,Scoring!$AI$29:$AI$361,0)))</f>
        <v>Vial</v>
      </c>
      <c r="J164" s="7" t="str">
        <f aca="false">IF($O164="","",INDEX(Scoring!$S$29:$S$361,MATCH($O164,Scoring!$AI$29:$AI$361,0)))</f>
        <v>0.25 mg/1 mL vial</v>
      </c>
      <c r="K164" s="8" t="n">
        <f aca="false">IF($O164="","",IF(INDEX(Scoring!$I$29:$I$361,MATCH($O164,Scoring!$AI$29:$AI$361,0))="",INDEX(Scoring!$AC$29:$AC$361,MATCH($O164,Scoring!$AI$29:$AI$361,0)),INDEX(Scoring!$I$29:$I$361,MATCH($O164,Scoring!$AI$29:$AI$361,0))))</f>
        <v>30.01</v>
      </c>
      <c r="L164" s="9" t="n">
        <f aca="false">IF($O164="","",INDEX(Scoring!$M$29:$M$361,MATCH($O164,Scoring!$AI$29:$AI$361,0)))</f>
        <v>143</v>
      </c>
      <c r="M164" s="9" t="n">
        <f aca="false">IF($O164="","",INDEX(Scoring!$O$29:$O$361,MATCH($O164,Scoring!$AI$29:$AI$361,0)))</f>
        <v>3625.3</v>
      </c>
      <c r="N164" s="7" t="str">
        <f aca="false">IF($O164="","",INDEX(Scoring!$Y$29:$Y$361,MATCH($O164,Scoring!$AI$29:$AI$361,0)))</f>
        <v>US</v>
      </c>
      <c r="O164" s="10" t="n">
        <f aca="false">IFERROR(SMALL(Scoring!$AI$29:$AI$361,160),"")</f>
        <v>16002</v>
      </c>
    </row>
    <row r="165" customFormat="false" ht="28.35" hidden="false" customHeight="false" outlineLevel="0" collapsed="false">
      <c r="A165" s="5" t="n">
        <f aca="false">IF($O165="","",INT($O165/1000))</f>
        <v>16</v>
      </c>
      <c r="B165" s="6" t="str">
        <f aca="false">IF($O165="","",INDEX(Scoring!$A$29:$A$361,MATCH($O165,Scoring!$AI$29:$AI$361,0)))</f>
        <v>OneSource</v>
      </c>
      <c r="C165" s="5" t="n">
        <f aca="false">IF($O165="","",IF(INDEX(Scoring!$F$29:$F$361,MATCH($O165,Scoring!$AI$29:$AI$361,0))="","–",INDEX(Scoring!$F$29:$F$361,MATCH($O165,Scoring!$AI$29:$AI$361,0))))</f>
        <v>3</v>
      </c>
      <c r="D165" s="6" t="str">
        <f aca="false">IF($O165="","",INDEX(Scoring!$E$29:$E$361,MATCH($O165,Scoring!$AI$29:$AI$361,0)))</f>
        <v>Priority 2</v>
      </c>
      <c r="E165" s="7" t="str">
        <f aca="false">IF($O165="","",INDEX(Scoring!$G$29:$G$361,MATCH($O165,Scoring!$AI$29:$AI$361,0)))</f>
        <v>High price, lower volume</v>
      </c>
      <c r="F165" s="6" t="str">
        <f aca="false">IF($O165="","",INDEX(Scoring!$B$29:$B$361,MATCH($O165,Scoring!$AI$29:$AI$361,0)))</f>
        <v>Methohexital</v>
      </c>
      <c r="G165" s="7" t="str">
        <f aca="false">IF($O165="","",INDEX(Scoring!$C$29:$C$361,MATCH($O165,Scoring!$AI$29:$AI$361,0)))</f>
        <v>Methohexital Sodium</v>
      </c>
      <c r="H165" s="7" t="str">
        <f aca="false">IF($O165="","",INDEX(Scoring!$D$29:$D$361,MATCH($O165,Scoring!$AI$29:$AI$361,0)))</f>
        <v>Anaesthesia: short procedures and electroconvulsive therapy</v>
      </c>
      <c r="I165" s="6" t="str">
        <f aca="false">IF($O165="","",INDEX(Scoring!$R$29:$R$361,MATCH($O165,Scoring!$AI$29:$AI$361,0)))</f>
        <v>Vial</v>
      </c>
      <c r="J165" s="7" t="str">
        <f aca="false">IF($O165="","",INDEX(Scoring!$S$29:$S$361,MATCH($O165,Scoring!$AI$29:$AI$361,0)))</f>
        <v>500 mg vial</v>
      </c>
      <c r="K165" s="8" t="n">
        <f aca="false">IF($O165="","",IF(INDEX(Scoring!$I$29:$I$361,MATCH($O165,Scoring!$AI$29:$AI$361,0))="",INDEX(Scoring!$AC$29:$AC$361,MATCH($O165,Scoring!$AI$29:$AI$361,0)),INDEX(Scoring!$I$29:$I$361,MATCH($O165,Scoring!$AI$29:$AI$361,0))))</f>
        <v>54.62</v>
      </c>
      <c r="L165" s="9" t="n">
        <f aca="false">IF($O165="","",INDEX(Scoring!$M$29:$M$361,MATCH($O165,Scoring!$AI$29:$AI$361,0)))</f>
        <v>2</v>
      </c>
      <c r="M165" s="9" t="n">
        <f aca="false">IF($O165="","",INDEX(Scoring!$O$29:$O$361,MATCH($O165,Scoring!$AI$29:$AI$361,0)))</f>
        <v>117.1</v>
      </c>
      <c r="N165" s="7" t="str">
        <f aca="false">IF($O165="","",INDEX(Scoring!$Y$29:$Y$361,MATCH($O165,Scoring!$AI$29:$AI$361,0)))</f>
        <v>US</v>
      </c>
      <c r="O165" s="10" t="n">
        <f aca="false">IFERROR(SMALL(Scoring!$AI$29:$AI$361,161),"")</f>
        <v>16003</v>
      </c>
    </row>
    <row r="166" customFormat="false" ht="28.35" hidden="false" customHeight="false" outlineLevel="0" collapsed="false">
      <c r="A166" s="5" t="n">
        <f aca="false">IF($O166="","",INT($O166/1000))</f>
        <v>16</v>
      </c>
      <c r="B166" s="6" t="str">
        <f aca="false">IF($O166="","",INDEX(Scoring!$A$29:$A$361,MATCH($O166,Scoring!$AI$29:$AI$361,0)))</f>
        <v>OneSource</v>
      </c>
      <c r="C166" s="5" t="n">
        <f aca="false">IF($O166="","",IF(INDEX(Scoring!$F$29:$F$361,MATCH($O166,Scoring!$AI$29:$AI$361,0))="","–",INDEX(Scoring!$F$29:$F$361,MATCH($O166,Scoring!$AI$29:$AI$361,0))))</f>
        <v>4</v>
      </c>
      <c r="D166" s="6" t="str">
        <f aca="false">IF($O166="","",INDEX(Scoring!$E$29:$E$361,MATCH($O166,Scoring!$AI$29:$AI$361,0)))</f>
        <v>Priority 3</v>
      </c>
      <c r="E166" s="7" t="str">
        <f aca="false">IF($O166="","",INDEX(Scoring!$G$29:$G$361,MATCH($O166,Scoring!$AI$29:$AI$361,0)))</f>
        <v>Lower price, lower volume</v>
      </c>
      <c r="F166" s="6" t="str">
        <f aca="false">IF($O166="","",INDEX(Scoring!$B$29:$B$361,MATCH($O166,Scoring!$AI$29:$AI$361,0)))</f>
        <v>Nafcillin</v>
      </c>
      <c r="G166" s="7" t="str">
        <f aca="false">IF($O166="","",INDEX(Scoring!$C$29:$C$361,MATCH($O166,Scoring!$AI$29:$AI$361,0)))</f>
        <v>Nafcillin Sodium</v>
      </c>
      <c r="H166" s="7" t="str">
        <f aca="false">IF($O166="","",INDEX(Scoring!$D$29:$D$361,MATCH($O166,Scoring!$AI$29:$AI$361,0)))</f>
        <v>Anti-infective: staphylococcal infections</v>
      </c>
      <c r="I166" s="6" t="str">
        <f aca="false">IF($O166="","",INDEX(Scoring!$R$29:$R$361,MATCH($O166,Scoring!$AI$29:$AI$361,0)))</f>
        <v>Vial</v>
      </c>
      <c r="J166" s="7" t="str">
        <f aca="false">IF($O166="","",INDEX(Scoring!$S$29:$S$361,MATCH($O166,Scoring!$AI$29:$AI$361,0)))</f>
        <v>1 g powder vial; 2 g powder vial</v>
      </c>
      <c r="K166" s="8" t="n">
        <f aca="false">IF($O166="","",IF(INDEX(Scoring!$I$29:$I$361,MATCH($O166,Scoring!$AI$29:$AI$361,0))="",INDEX(Scoring!$AC$29:$AC$361,MATCH($O166,Scoring!$AI$29:$AI$361,0)),INDEX(Scoring!$I$29:$I$361,MATCH($O166,Scoring!$AI$29:$AI$361,0))))</f>
        <v>7.41</v>
      </c>
      <c r="L166" s="9" t="n">
        <f aca="false">IF($O166="","",INDEX(Scoring!$M$29:$M$361,MATCH($O166,Scoring!$AI$29:$AI$361,0)))</f>
        <v>4</v>
      </c>
      <c r="M166" s="9" t="n">
        <f aca="false">IF($O166="","",INDEX(Scoring!$O$29:$O$361,MATCH($O166,Scoring!$AI$29:$AI$361,0)))</f>
        <v>570.1</v>
      </c>
      <c r="N166" s="7" t="str">
        <f aca="false">IF($O166="","",INDEX(Scoring!$Y$29:$Y$361,MATCH($O166,Scoring!$AI$29:$AI$361,0)))</f>
        <v>US</v>
      </c>
      <c r="O166" s="10" t="n">
        <f aca="false">IFERROR(SMALL(Scoring!$AI$29:$AI$361,162),"")</f>
        <v>16004</v>
      </c>
    </row>
    <row r="167" customFormat="false" ht="28.35" hidden="false" customHeight="false" outlineLevel="0" collapsed="false">
      <c r="A167" s="5" t="n">
        <f aca="false">IF($O167="","",INT($O167/1000))</f>
        <v>17</v>
      </c>
      <c r="B167" s="6" t="str">
        <f aca="false">IF($O167="","",INDEX(Scoring!$A$29:$A$361,MATCH($O167,Scoring!$AI$29:$AI$361,0)))</f>
        <v>Strides</v>
      </c>
      <c r="C167" s="5" t="n">
        <f aca="false">IF($O167="","",IF(INDEX(Scoring!$F$29:$F$361,MATCH($O167,Scoring!$AI$29:$AI$361,0))="","–",INDEX(Scoring!$F$29:$F$361,MATCH($O167,Scoring!$AI$29:$AI$361,0))))</f>
        <v>1</v>
      </c>
      <c r="D167" s="6" t="str">
        <f aca="false">IF($O167="","",INDEX(Scoring!$E$29:$E$361,MATCH($O167,Scoring!$AI$29:$AI$361,0)))</f>
        <v>Priority 2</v>
      </c>
      <c r="E167" s="7" t="str">
        <f aca="false">IF($O167="","",INDEX(Scoring!$G$29:$G$361,MATCH($O167,Scoring!$AI$29:$AI$361,0)))</f>
        <v>Lower price, high volume</v>
      </c>
      <c r="F167" s="6" t="str">
        <f aca="false">IF($O167="","",INDEX(Scoring!$B$29:$B$361,MATCH($O167,Scoring!$AI$29:$AI$361,0)))</f>
        <v>Cefepime</v>
      </c>
      <c r="G167" s="7" t="str">
        <f aca="false">IF($O167="","",INDEX(Scoring!$C$29:$C$361,MATCH($O167,Scoring!$AI$29:$AI$361,0)))</f>
        <v>Bindozef</v>
      </c>
      <c r="H167" s="7" t="str">
        <f aca="false">IF($O167="","",INDEX(Scoring!$D$29:$D$361,MATCH($O167,Scoring!$AI$29:$AI$361,0)))</f>
        <v>Anti-infective: hospital Gram-negative infections, febrile neutropenia</v>
      </c>
      <c r="I167" s="6" t="str">
        <f aca="false">IF($O167="","",INDEX(Scoring!$R$29:$R$361,MATCH($O167,Scoring!$AI$29:$AI$361,0)))</f>
        <v>Vial</v>
      </c>
      <c r="J167" s="7" t="str">
        <f aca="false">IF($O167="","",INDEX(Scoring!$S$29:$S$361,MATCH($O167,Scoring!$AI$29:$AI$361,0)))</f>
        <v>1 g powder vial; 2 g powder vial</v>
      </c>
      <c r="K167" s="8" t="n">
        <f aca="false">IF($O167="","",IF(INDEX(Scoring!$I$29:$I$361,MATCH($O167,Scoring!$AI$29:$AI$361,0))="",INDEX(Scoring!$AC$29:$AC$361,MATCH($O167,Scoring!$AI$29:$AI$361,0)),INDEX(Scoring!$I$29:$I$361,MATCH($O167,Scoring!$AI$29:$AI$361,0))))</f>
        <v>13.03</v>
      </c>
      <c r="L167" s="9" t="n">
        <f aca="false">IF($O167="","",INDEX(Scoring!$M$29:$M$361,MATCH($O167,Scoring!$AI$29:$AI$361,0)))</f>
        <v>288</v>
      </c>
      <c r="M167" s="9" t="n">
        <f aca="false">IF($O167="","",INDEX(Scoring!$O$29:$O$361,MATCH($O167,Scoring!$AI$29:$AI$361,0)))</f>
        <v>6294.9</v>
      </c>
      <c r="N167" s="7" t="str">
        <f aca="false">IF($O167="","",INDEX(Scoring!$Y$29:$Y$361,MATCH($O167,Scoring!$AI$29:$AI$361,0)))</f>
        <v>Australia</v>
      </c>
      <c r="O167" s="10" t="n">
        <f aca="false">IFERROR(SMALL(Scoring!$AI$29:$AI$361,163),"")</f>
        <v>17001</v>
      </c>
    </row>
    <row r="168" customFormat="false" ht="28.35" hidden="false" customHeight="false" outlineLevel="0" collapsed="false">
      <c r="A168" s="5" t="n">
        <f aca="false">IF($O168="","",INT($O168/1000))</f>
        <v>17</v>
      </c>
      <c r="B168" s="6" t="str">
        <f aca="false">IF($O168="","",INDEX(Scoring!$A$29:$A$361,MATCH($O168,Scoring!$AI$29:$AI$361,0)))</f>
        <v>Strides</v>
      </c>
      <c r="C168" s="5" t="n">
        <f aca="false">IF($O168="","",IF(INDEX(Scoring!$F$29:$F$361,MATCH($O168,Scoring!$AI$29:$AI$361,0))="","–",INDEX(Scoring!$F$29:$F$361,MATCH($O168,Scoring!$AI$29:$AI$361,0))))</f>
        <v>2</v>
      </c>
      <c r="D168" s="6" t="str">
        <f aca="false">IF($O168="","",INDEX(Scoring!$E$29:$E$361,MATCH($O168,Scoring!$AI$29:$AI$361,0)))</f>
        <v>Priority 2</v>
      </c>
      <c r="E168" s="7" t="str">
        <f aca="false">IF($O168="","",INDEX(Scoring!$G$29:$G$361,MATCH($O168,Scoring!$AI$29:$AI$361,0)))</f>
        <v>Lower price, high volume</v>
      </c>
      <c r="F168" s="6" t="str">
        <f aca="false">IF($O168="","",INDEX(Scoring!$B$29:$B$361,MATCH($O168,Scoring!$AI$29:$AI$361,0)))</f>
        <v>Ceftazidime</v>
      </c>
      <c r="G168" s="7" t="str">
        <f aca="false">IF($O168="","",INDEX(Scoring!$C$29:$C$361,MATCH($O168,Scoring!$AI$29:$AI$361,0)))</f>
        <v>Zetaf</v>
      </c>
      <c r="H168" s="7" t="str">
        <f aca="false">IF($O168="","",INDEX(Scoring!$D$29:$D$361,MATCH($O168,Scoring!$AI$29:$AI$361,0)))</f>
        <v>Anti-infective: Pseudomonas and other hospital Gram-negative infections</v>
      </c>
      <c r="I168" s="6" t="str">
        <f aca="false">IF($O168="","",INDEX(Scoring!$R$29:$R$361,MATCH($O168,Scoring!$AI$29:$AI$361,0)))</f>
        <v>Vial</v>
      </c>
      <c r="J168" s="7" t="str">
        <f aca="false">IF($O168="","",INDEX(Scoring!$S$29:$S$361,MATCH($O168,Scoring!$AI$29:$AI$361,0)))</f>
        <v>2 g powder vial; 1 g powder vial</v>
      </c>
      <c r="K168" s="8" t="n">
        <f aca="false">IF($O168="","",IF(INDEX(Scoring!$I$29:$I$361,MATCH($O168,Scoring!$AI$29:$AI$361,0))="",INDEX(Scoring!$AC$29:$AC$361,MATCH($O168,Scoring!$AI$29:$AI$361,0)),INDEX(Scoring!$I$29:$I$361,MATCH($O168,Scoring!$AI$29:$AI$361,0))))</f>
        <v>23.05</v>
      </c>
      <c r="L168" s="9" t="n">
        <f aca="false">IF($O168="","",INDEX(Scoring!$M$29:$M$361,MATCH($O168,Scoring!$AI$29:$AI$361,0)))</f>
        <v>335</v>
      </c>
      <c r="M168" s="9" t="n">
        <f aca="false">IF($O168="","",INDEX(Scoring!$O$29:$O$361,MATCH($O168,Scoring!$AI$29:$AI$361,0)))</f>
        <v>5713.6</v>
      </c>
      <c r="N168" s="7" t="str">
        <f aca="false">IF($O168="","",INDEX(Scoring!$Y$29:$Y$361,MATCH($O168,Scoring!$AI$29:$AI$361,0)))</f>
        <v>Australia</v>
      </c>
      <c r="O168" s="10" t="n">
        <f aca="false">IFERROR(SMALL(Scoring!$AI$29:$AI$361,164),"")</f>
        <v>17002</v>
      </c>
    </row>
    <row r="169" customFormat="false" ht="28.35" hidden="false" customHeight="false" outlineLevel="0" collapsed="false">
      <c r="A169" s="5" t="n">
        <f aca="false">IF($O169="","",INT($O169/1000))</f>
        <v>17</v>
      </c>
      <c r="B169" s="6" t="str">
        <f aca="false">IF($O169="","",INDEX(Scoring!$A$29:$A$361,MATCH($O169,Scoring!$AI$29:$AI$361,0)))</f>
        <v>Strides</v>
      </c>
      <c r="C169" s="5" t="n">
        <f aca="false">IF($O169="","",IF(INDEX(Scoring!$F$29:$F$361,MATCH($O169,Scoring!$AI$29:$AI$361,0))="","–",INDEX(Scoring!$F$29:$F$361,MATCH($O169,Scoring!$AI$29:$AI$361,0))))</f>
        <v>3</v>
      </c>
      <c r="D169" s="6" t="str">
        <f aca="false">IF($O169="","",INDEX(Scoring!$E$29:$E$361,MATCH($O169,Scoring!$AI$29:$AI$361,0)))</f>
        <v>Priority 2</v>
      </c>
      <c r="E169" s="7" t="str">
        <f aca="false">IF($O169="","",INDEX(Scoring!$G$29:$G$361,MATCH($O169,Scoring!$AI$29:$AI$361,0)))</f>
        <v>Lower price, high volume</v>
      </c>
      <c r="F169" s="6" t="str">
        <f aca="false">IF($O169="","",INDEX(Scoring!$B$29:$B$361,MATCH($O169,Scoring!$AI$29:$AI$361,0)))</f>
        <v>Hydrocortisone</v>
      </c>
      <c r="G169" s="7" t="str">
        <f aca="false">IF($O169="","",INDEX(Scoring!$C$29:$C$361,MATCH($O169,Scoring!$AI$29:$AI$361,0)))</f>
        <v>Cortaject</v>
      </c>
      <c r="H169" s="7" t="str">
        <f aca="false">IF($O169="","",INDEX(Scoring!$D$29:$D$361,MATCH($O169,Scoring!$AI$29:$AI$361,0)))</f>
        <v>Endocrinology and critical care: adrenal crisis, anaphylaxis, severe asthma, shock</v>
      </c>
      <c r="I169" s="6" t="str">
        <f aca="false">IF($O169="","",INDEX(Scoring!$R$29:$R$361,MATCH($O169,Scoring!$AI$29:$AI$361,0)))</f>
        <v>Vial</v>
      </c>
      <c r="J169" s="7" t="str">
        <f aca="false">IF($O169="","",INDEX(Scoring!$S$29:$S$361,MATCH($O169,Scoring!$AI$29:$AI$361,0)))</f>
        <v>100 mg/5 mL vial</v>
      </c>
      <c r="K169" s="8" t="n">
        <f aca="false">IF($O169="","",IF(INDEX(Scoring!$I$29:$I$361,MATCH($O169,Scoring!$AI$29:$AI$361,0))="",INDEX(Scoring!$AC$29:$AC$361,MATCH($O169,Scoring!$AI$29:$AI$361,0)),INDEX(Scoring!$I$29:$I$361,MATCH($O169,Scoring!$AI$29:$AI$361,0))))</f>
        <v>6.94</v>
      </c>
      <c r="L169" s="9" t="n">
        <f aca="false">IF($O169="","",INDEX(Scoring!$M$29:$M$361,MATCH($O169,Scoring!$AI$29:$AI$361,0)))</f>
        <v>325</v>
      </c>
      <c r="M169" s="9" t="n">
        <f aca="false">IF($O169="","",INDEX(Scoring!$O$29:$O$361,MATCH($O169,Scoring!$AI$29:$AI$361,0)))</f>
        <v>4796.6</v>
      </c>
      <c r="N169" s="7" t="str">
        <f aca="false">IF($O169="","",INDEX(Scoring!$Y$29:$Y$361,MATCH($O169,Scoring!$AI$29:$AI$361,0)))</f>
        <v>South Africa</v>
      </c>
      <c r="O169" s="10" t="n">
        <f aca="false">IFERROR(SMALL(Scoring!$AI$29:$AI$361,165),"")</f>
        <v>17003</v>
      </c>
    </row>
    <row r="170" customFormat="false" ht="28.35" hidden="false" customHeight="false" outlineLevel="0" collapsed="false">
      <c r="A170" s="5" t="n">
        <f aca="false">IF($O170="","",INT($O170/1000))</f>
        <v>18</v>
      </c>
      <c r="B170" s="6" t="str">
        <f aca="false">IF($O170="","",INDEX(Scoring!$A$29:$A$361,MATCH($O170,Scoring!$AI$29:$AI$361,0)))</f>
        <v>Micro Labs</v>
      </c>
      <c r="C170" s="5" t="n">
        <f aca="false">IF($O170="","",IF(INDEX(Scoring!$F$29:$F$361,MATCH($O170,Scoring!$AI$29:$AI$361,0))="","–",INDEX(Scoring!$F$29:$F$361,MATCH($O170,Scoring!$AI$29:$AI$361,0))))</f>
        <v>1</v>
      </c>
      <c r="D170" s="6" t="str">
        <f aca="false">IF($O170="","",INDEX(Scoring!$E$29:$E$361,MATCH($O170,Scoring!$AI$29:$AI$361,0)))</f>
        <v>Priority 2</v>
      </c>
      <c r="E170" s="7" t="str">
        <f aca="false">IF($O170="","",INDEX(Scoring!$G$29:$G$361,MATCH($O170,Scoring!$AI$29:$AI$361,0)))</f>
        <v>High price, lower volume</v>
      </c>
      <c r="F170" s="6" t="str">
        <f aca="false">IF($O170="","",INDEX(Scoring!$B$29:$B$361,MATCH($O170,Scoring!$AI$29:$AI$361,0)))</f>
        <v>Carboprost</v>
      </c>
      <c r="G170" s="7" t="str">
        <f aca="false">IF($O170="","",INDEX(Scoring!$C$29:$C$361,MATCH($O170,Scoring!$AI$29:$AI$361,0)))</f>
        <v>Carboprost Tromethamine</v>
      </c>
      <c r="H170" s="7" t="str">
        <f aca="false">IF($O170="","",INDEX(Scoring!$D$29:$D$361,MATCH($O170,Scoring!$AI$29:$AI$361,0)))</f>
        <v>Women's health: postpartum haemorrhage, pregnancy termination</v>
      </c>
      <c r="I170" s="6" t="str">
        <f aca="false">IF($O170="","",INDEX(Scoring!$R$29:$R$361,MATCH($O170,Scoring!$AI$29:$AI$361,0)))</f>
        <v>Vial</v>
      </c>
      <c r="J170" s="7" t="str">
        <f aca="false">IF($O170="","",INDEX(Scoring!$S$29:$S$361,MATCH($O170,Scoring!$AI$29:$AI$361,0)))</f>
        <v>0.25 mg/1 mL vial</v>
      </c>
      <c r="K170" s="8" t="n">
        <f aca="false">IF($O170="","",IF(INDEX(Scoring!$I$29:$I$361,MATCH($O170,Scoring!$AI$29:$AI$361,0))="",INDEX(Scoring!$AC$29:$AC$361,MATCH($O170,Scoring!$AI$29:$AI$361,0)),INDEX(Scoring!$I$29:$I$361,MATCH($O170,Scoring!$AI$29:$AI$361,0))))</f>
        <v>30.01</v>
      </c>
      <c r="L170" s="9" t="n">
        <f aca="false">IF($O170="","",INDEX(Scoring!$M$29:$M$361,MATCH($O170,Scoring!$AI$29:$AI$361,0)))</f>
        <v>143</v>
      </c>
      <c r="M170" s="9" t="n">
        <f aca="false">IF($O170="","",INDEX(Scoring!$O$29:$O$361,MATCH($O170,Scoring!$AI$29:$AI$361,0)))</f>
        <v>3625.3</v>
      </c>
      <c r="N170" s="7" t="str">
        <f aca="false">IF($O170="","",INDEX(Scoring!$Y$29:$Y$361,MATCH($O170,Scoring!$AI$29:$AI$361,0)))</f>
        <v>US</v>
      </c>
      <c r="O170" s="10" t="n">
        <f aca="false">IFERROR(SMALL(Scoring!$AI$29:$AI$361,166),"")</f>
        <v>18001</v>
      </c>
    </row>
    <row r="171" customFormat="false" ht="28.35" hidden="false" customHeight="false" outlineLevel="0" collapsed="false">
      <c r="A171" s="5" t="n">
        <f aca="false">IF($O171="","",INT($O171/1000))</f>
        <v>18</v>
      </c>
      <c r="B171" s="6" t="str">
        <f aca="false">IF($O171="","",INDEX(Scoring!$A$29:$A$361,MATCH($O171,Scoring!$AI$29:$AI$361,0)))</f>
        <v>Micro Labs</v>
      </c>
      <c r="C171" s="5" t="n">
        <f aca="false">IF($O171="","",IF(INDEX(Scoring!$F$29:$F$361,MATCH($O171,Scoring!$AI$29:$AI$361,0))="","–",INDEX(Scoring!$F$29:$F$361,MATCH($O171,Scoring!$AI$29:$AI$361,0))))</f>
        <v>2</v>
      </c>
      <c r="D171" s="6" t="str">
        <f aca="false">IF($O171="","",INDEX(Scoring!$E$29:$E$361,MATCH($O171,Scoring!$AI$29:$AI$361,0)))</f>
        <v>Priority 2</v>
      </c>
      <c r="E171" s="7" t="str">
        <f aca="false">IF($O171="","",INDEX(Scoring!$G$29:$G$361,MATCH($O171,Scoring!$AI$29:$AI$361,0)))</f>
        <v>Lower price, high volume</v>
      </c>
      <c r="F171" s="6" t="str">
        <f aca="false">IF($O171="","",INDEX(Scoring!$B$29:$B$361,MATCH($O171,Scoring!$AI$29:$AI$361,0)))</f>
        <v>Succinylcholine (Suxamethonium)</v>
      </c>
      <c r="G171" s="7" t="str">
        <f aca="false">IF($O171="","",INDEX(Scoring!$C$29:$C$361,MATCH($O171,Scoring!$AI$29:$AI$361,0)))</f>
        <v>Succinylcholine Chloride</v>
      </c>
      <c r="H171" s="7" t="str">
        <f aca="false">IF($O171="","",INDEX(Scoring!$D$29:$D$361,MATCH($O171,Scoring!$AI$29:$AI$361,0)))</f>
        <v>Anaesthesia: muscle relaxant for rapid intubation</v>
      </c>
      <c r="I171" s="6" t="str">
        <f aca="false">IF($O171="","",INDEX(Scoring!$R$29:$R$361,MATCH($O171,Scoring!$AI$29:$AI$361,0)))</f>
        <v>Vial</v>
      </c>
      <c r="J171" s="7" t="str">
        <f aca="false">IF($O171="","",INDEX(Scoring!$S$29:$S$361,MATCH($O171,Scoring!$AI$29:$AI$361,0)))</f>
        <v>200 mg/10 mL vial</v>
      </c>
      <c r="K171" s="8" t="n">
        <f aca="false">IF($O171="","",IF(INDEX(Scoring!$I$29:$I$361,MATCH($O171,Scoring!$AI$29:$AI$361,0))="",INDEX(Scoring!$AC$29:$AC$361,MATCH($O171,Scoring!$AI$29:$AI$361,0)),INDEX(Scoring!$I$29:$I$361,MATCH($O171,Scoring!$AI$29:$AI$361,0))))</f>
        <v>5.03</v>
      </c>
      <c r="L171" s="9" t="n">
        <f aca="false">IF($O171="","",INDEX(Scoring!$M$29:$M$361,MATCH($O171,Scoring!$AI$29:$AI$361,0)))</f>
        <v>286</v>
      </c>
      <c r="M171" s="9" t="n">
        <f aca="false">IF($O171="","",INDEX(Scoring!$O$29:$O$361,MATCH($O171,Scoring!$AI$29:$AI$361,0)))</f>
        <v>3067.4</v>
      </c>
      <c r="N171" s="7" t="str">
        <f aca="false">IF($O171="","",INDEX(Scoring!$Y$29:$Y$361,MATCH($O171,Scoring!$AI$29:$AI$361,0)))</f>
        <v>US</v>
      </c>
      <c r="O171" s="10" t="n">
        <f aca="false">IFERROR(SMALL(Scoring!$AI$29:$AI$361,167),"")</f>
        <v>18002</v>
      </c>
    </row>
    <row r="172" customFormat="false" ht="28.35" hidden="false" customHeight="false" outlineLevel="0" collapsed="false">
      <c r="A172" s="5" t="n">
        <f aca="false">IF($O172="","",INT($O172/1000))</f>
        <v>18</v>
      </c>
      <c r="B172" s="6" t="str">
        <f aca="false">IF($O172="","",INDEX(Scoring!$A$29:$A$361,MATCH($O172,Scoring!$AI$29:$AI$361,0)))</f>
        <v>Micro Labs</v>
      </c>
      <c r="C172" s="5" t="n">
        <f aca="false">IF($O172="","",IF(INDEX(Scoring!$F$29:$F$361,MATCH($O172,Scoring!$AI$29:$AI$361,0))="","–",INDEX(Scoring!$F$29:$F$361,MATCH($O172,Scoring!$AI$29:$AI$361,0))))</f>
        <v>3</v>
      </c>
      <c r="D172" s="6" t="str">
        <f aca="false">IF($O172="","",INDEX(Scoring!$E$29:$E$361,MATCH($O172,Scoring!$AI$29:$AI$361,0)))</f>
        <v>Priority 2</v>
      </c>
      <c r="E172" s="7" t="str">
        <f aca="false">IF($O172="","",INDEX(Scoring!$G$29:$G$361,MATCH($O172,Scoring!$AI$29:$AI$361,0)))</f>
        <v>High price, lower volume</v>
      </c>
      <c r="F172" s="6" t="str">
        <f aca="false">IF($O172="","",INDEX(Scoring!$B$29:$B$361,MATCH($O172,Scoring!$AI$29:$AI$361,0)))</f>
        <v>Isoprenaline (Isoproterenol)</v>
      </c>
      <c r="G172" s="7" t="str">
        <f aca="false">IF($O172="","",INDEX(Scoring!$C$29:$C$361,MATCH($O172,Scoring!$AI$29:$AI$361,0)))</f>
        <v>Isoproterenol Hydrochloride; Isoprika</v>
      </c>
      <c r="H172" s="7" t="str">
        <f aca="false">IF($O172="","",INDEX(Scoring!$D$29:$D$361,MATCH($O172,Scoring!$AI$29:$AI$361,0)))</f>
        <v>Cardiovascular: heart block, severe slow heart rate</v>
      </c>
      <c r="I172" s="6" t="str">
        <f aca="false">IF($O172="","",INDEX(Scoring!$R$29:$R$361,MATCH($O172,Scoring!$AI$29:$AI$361,0)))</f>
        <v>Ampoule</v>
      </c>
      <c r="J172" s="7" t="str">
        <f aca="false">IF($O172="","",INDEX(Scoring!$S$29:$S$361,MATCH($O172,Scoring!$AI$29:$AI$361,0)))</f>
        <v>0.2 mg/1 mL ampoule; 1 mg/5 mL ampoule</v>
      </c>
      <c r="K172" s="8" t="n">
        <f aca="false">IF($O172="","",IF(INDEX(Scoring!$I$29:$I$361,MATCH($O172,Scoring!$AI$29:$AI$361,0))="",INDEX(Scoring!$AC$29:$AC$361,MATCH($O172,Scoring!$AI$29:$AI$361,0)),INDEX(Scoring!$I$29:$I$361,MATCH($O172,Scoring!$AI$29:$AI$361,0))))</f>
        <v>51.18</v>
      </c>
      <c r="L172" s="9" t="n">
        <f aca="false">IF($O172="","",INDEX(Scoring!$M$29:$M$361,MATCH($O172,Scoring!$AI$29:$AI$361,0)))</f>
        <v>87</v>
      </c>
      <c r="M172" s="9" t="n">
        <f aca="false">IF($O172="","",INDEX(Scoring!$O$29:$O$361,MATCH($O172,Scoring!$AI$29:$AI$361,0)))</f>
        <v>2931.4</v>
      </c>
      <c r="N172" s="7" t="str">
        <f aca="false">IF($O172="","",INDEX(Scoring!$Y$29:$Y$361,MATCH($O172,Scoring!$AI$29:$AI$361,0)))</f>
        <v>US, Australia</v>
      </c>
      <c r="O172" s="10" t="n">
        <f aca="false">IFERROR(SMALL(Scoring!$AI$29:$AI$361,168),"")</f>
        <v>18003</v>
      </c>
    </row>
    <row r="173" customFormat="false" ht="28.35" hidden="false" customHeight="false" outlineLevel="0" collapsed="false">
      <c r="A173" s="5" t="n">
        <f aca="false">IF($O173="","",INT($O173/1000))</f>
        <v>18</v>
      </c>
      <c r="B173" s="6" t="str">
        <f aca="false">IF($O173="","",INDEX(Scoring!$A$29:$A$361,MATCH($O173,Scoring!$AI$29:$AI$361,0)))</f>
        <v>Micro Labs</v>
      </c>
      <c r="C173" s="5" t="n">
        <f aca="false">IF($O173="","",IF(INDEX(Scoring!$F$29:$F$361,MATCH($O173,Scoring!$AI$29:$AI$361,0))="","–",INDEX(Scoring!$F$29:$F$361,MATCH($O173,Scoring!$AI$29:$AI$361,0))))</f>
        <v>4</v>
      </c>
      <c r="D173" s="6" t="str">
        <f aca="false">IF($O173="","",INDEX(Scoring!$E$29:$E$361,MATCH($O173,Scoring!$AI$29:$AI$361,0)))</f>
        <v>Priority 2</v>
      </c>
      <c r="E173" s="7" t="str">
        <f aca="false">IF($O173="","",INDEX(Scoring!$G$29:$G$361,MATCH($O173,Scoring!$AI$29:$AI$361,0)))</f>
        <v>High price, lower volume</v>
      </c>
      <c r="F173" s="6" t="str">
        <f aca="false">IF($O173="","",INDEX(Scoring!$B$29:$B$361,MATCH($O173,Scoring!$AI$29:$AI$361,0)))</f>
        <v>Cyclizine</v>
      </c>
      <c r="G173" s="7" t="str">
        <f aca="false">IF($O173="","",INDEX(Scoring!$C$29:$C$361,MATCH($O173,Scoring!$AI$29:$AI$361,0)))</f>
        <v>Cyclact</v>
      </c>
      <c r="H173" s="7" t="str">
        <f aca="false">IF($O173="","",INDEX(Scoring!$D$29:$D$361,MATCH($O173,Scoring!$AI$29:$AI$361,0)))</f>
        <v>Gastroenterology: nausea and vomiting after surgery or with opioids</v>
      </c>
      <c r="I173" s="6" t="str">
        <f aca="false">IF($O173="","",INDEX(Scoring!$R$29:$R$361,MATCH($O173,Scoring!$AI$29:$AI$361,0)))</f>
        <v>Ampoule</v>
      </c>
      <c r="J173" s="7" t="str">
        <f aca="false">IF($O173="","",INDEX(Scoring!$S$29:$S$361,MATCH($O173,Scoring!$AI$29:$AI$361,0)))</f>
        <v>50 mg/1 mL ampoule</v>
      </c>
      <c r="K173" s="8" t="n">
        <f aca="false">IF($O173="","",IF(INDEX(Scoring!$I$29:$I$361,MATCH($O173,Scoring!$AI$29:$AI$361,0))="",INDEX(Scoring!$AC$29:$AC$361,MATCH($O173,Scoring!$AI$29:$AI$361,0)),INDEX(Scoring!$I$29:$I$361,MATCH($O173,Scoring!$AI$29:$AI$361,0))))</f>
        <v>30.35</v>
      </c>
      <c r="L173" s="9" t="n">
        <f aca="false">IF($O173="","",INDEX(Scoring!$M$29:$M$361,MATCH($O173,Scoring!$AI$29:$AI$361,0)))</f>
        <v>24</v>
      </c>
      <c r="M173" s="9" t="n">
        <f aca="false">IF($O173="","",INDEX(Scoring!$O$29:$O$361,MATCH($O173,Scoring!$AI$29:$AI$361,0)))</f>
        <v>1296.8</v>
      </c>
      <c r="N173" s="7" t="str">
        <f aca="false">IF($O173="","",INDEX(Scoring!$Y$29:$Y$361,MATCH($O173,Scoring!$AI$29:$AI$361,0)))</f>
        <v>Australia, UK-NI</v>
      </c>
      <c r="O173" s="10" t="n">
        <f aca="false">IFERROR(SMALL(Scoring!$AI$29:$AI$361,169),"")</f>
        <v>18004</v>
      </c>
    </row>
    <row r="174" customFormat="false" ht="28.35" hidden="false" customHeight="false" outlineLevel="0" collapsed="false">
      <c r="A174" s="5" t="n">
        <f aca="false">IF($O174="","",INT($O174/1000))</f>
        <v>18</v>
      </c>
      <c r="B174" s="6" t="str">
        <f aca="false">IF($O174="","",INDEX(Scoring!$A$29:$A$361,MATCH($O174,Scoring!$AI$29:$AI$361,0)))</f>
        <v>Micro Labs</v>
      </c>
      <c r="C174" s="5" t="n">
        <f aca="false">IF($O174="","",IF(INDEX(Scoring!$F$29:$F$361,MATCH($O174,Scoring!$AI$29:$AI$361,0))="","–",INDEX(Scoring!$F$29:$F$361,MATCH($O174,Scoring!$AI$29:$AI$361,0))))</f>
        <v>5</v>
      </c>
      <c r="D174" s="6" t="str">
        <f aca="false">IF($O174="","",INDEX(Scoring!$E$29:$E$361,MATCH($O174,Scoring!$AI$29:$AI$361,0)))</f>
        <v>Priority 3</v>
      </c>
      <c r="E174" s="7" t="str">
        <f aca="false">IF($O174="","",INDEX(Scoring!$G$29:$G$361,MATCH($O174,Scoring!$AI$29:$AI$361,0)))</f>
        <v>Lower price, lower volume</v>
      </c>
      <c r="F174" s="6" t="str">
        <f aca="false">IF($O174="","",INDEX(Scoring!$B$29:$B$361,MATCH($O174,Scoring!$AI$29:$AI$361,0)))</f>
        <v>Lincomycin</v>
      </c>
      <c r="G174" s="7" t="str">
        <f aca="false">IF($O174="","",INDEX(Scoring!$C$29:$C$361,MATCH($O174,Scoring!$AI$29:$AI$361,0)))</f>
        <v>Lincomycin Hydrochloride</v>
      </c>
      <c r="H174" s="7" t="str">
        <f aca="false">IF($O174="","",INDEX(Scoring!$D$29:$D$361,MATCH($O174,Scoring!$AI$29:$AI$361,0)))</f>
        <v>Anti-infective: serious Gram-positive infections in penicillin-allergic patients</v>
      </c>
      <c r="I174" s="6" t="str">
        <f aca="false">IF($O174="","",INDEX(Scoring!$R$29:$R$361,MATCH($O174,Scoring!$AI$29:$AI$361,0)))</f>
        <v>Vial</v>
      </c>
      <c r="J174" s="7" t="str">
        <f aca="false">IF($O174="","",INDEX(Scoring!$S$29:$S$361,MATCH($O174,Scoring!$AI$29:$AI$361,0)))</f>
        <v>600 mg/2 mL vial</v>
      </c>
      <c r="K174" s="8" t="n">
        <f aca="false">IF($O174="","",IF(INDEX(Scoring!$I$29:$I$361,MATCH($O174,Scoring!$AI$29:$AI$361,0))="",INDEX(Scoring!$AC$29:$AC$361,MATCH($O174,Scoring!$AI$29:$AI$361,0)),INDEX(Scoring!$I$29:$I$361,MATCH($O174,Scoring!$AI$29:$AI$361,0))))</f>
        <v>22.55</v>
      </c>
      <c r="L174" s="9" t="n">
        <f aca="false">IF($O174="","",INDEX(Scoring!$M$29:$M$361,MATCH($O174,Scoring!$AI$29:$AI$361,0)))</f>
        <v>54</v>
      </c>
      <c r="M174" s="9" t="n">
        <f aca="false">IF($O174="","",INDEX(Scoring!$O$29:$O$361,MATCH($O174,Scoring!$AI$29:$AI$361,0)))</f>
        <v>1076.1</v>
      </c>
      <c r="N174" s="7" t="str">
        <f aca="false">IF($O174="","",INDEX(Scoring!$Y$29:$Y$361,MATCH($O174,Scoring!$AI$29:$AI$361,0)))</f>
        <v>US</v>
      </c>
      <c r="O174" s="10" t="n">
        <f aca="false">IFERROR(SMALL(Scoring!$AI$29:$AI$361,170),"")</f>
        <v>18005</v>
      </c>
    </row>
    <row r="175" customFormat="false" ht="28.35" hidden="false" customHeight="false" outlineLevel="0" collapsed="false">
      <c r="A175" s="5" t="n">
        <f aca="false">IF($O175="","",INT($O175/1000))</f>
        <v>18</v>
      </c>
      <c r="B175" s="6" t="str">
        <f aca="false">IF($O175="","",INDEX(Scoring!$A$29:$A$361,MATCH($O175,Scoring!$AI$29:$AI$361,0)))</f>
        <v>Micro Labs</v>
      </c>
      <c r="C175" s="5" t="n">
        <f aca="false">IF($O175="","",IF(INDEX(Scoring!$F$29:$F$361,MATCH($O175,Scoring!$AI$29:$AI$361,0))="","–",INDEX(Scoring!$F$29:$F$361,MATCH($O175,Scoring!$AI$29:$AI$361,0))))</f>
        <v>6</v>
      </c>
      <c r="D175" s="6" t="str">
        <f aca="false">IF($O175="","",INDEX(Scoring!$E$29:$E$361,MATCH($O175,Scoring!$AI$29:$AI$361,0)))</f>
        <v>Priority 3</v>
      </c>
      <c r="E175" s="7" t="str">
        <f aca="false">IF($O175="","",INDEX(Scoring!$G$29:$G$361,MATCH($O175,Scoring!$AI$29:$AI$361,0)))</f>
        <v>Lower price, lower volume</v>
      </c>
      <c r="F175" s="6" t="str">
        <f aca="false">IF($O175="","",INDEX(Scoring!$B$29:$B$361,MATCH($O175,Scoring!$AI$29:$AI$361,0)))</f>
        <v>Diphenhydramine</v>
      </c>
      <c r="G175" s="7" t="str">
        <f aca="false">IF($O175="","",INDEX(Scoring!$C$29:$C$361,MATCH($O175,Scoring!$AI$29:$AI$361,0)))</f>
        <v>Diphenhydramine Hydrochloride</v>
      </c>
      <c r="H175" s="7" t="str">
        <f aca="false">IF($O175="","",INDEX(Scoring!$D$29:$D$361,MATCH($O175,Scoring!$AI$29:$AI$361,0)))</f>
        <v>Allergy: acute allergic reactions, drug-induced dystonia</v>
      </c>
      <c r="I175" s="6" t="str">
        <f aca="false">IF($O175="","",INDEX(Scoring!$R$29:$R$361,MATCH($O175,Scoring!$AI$29:$AI$361,0)))</f>
        <v>Vial</v>
      </c>
      <c r="J175" s="7" t="str">
        <f aca="false">IF($O175="","",INDEX(Scoring!$S$29:$S$361,MATCH($O175,Scoring!$AI$29:$AI$361,0)))</f>
        <v>500 mg/10 mL vial</v>
      </c>
      <c r="K175" s="8" t="n">
        <f aca="false">IF($O175="","",IF(INDEX(Scoring!$I$29:$I$361,MATCH($O175,Scoring!$AI$29:$AI$361,0))="",INDEX(Scoring!$AC$29:$AC$361,MATCH($O175,Scoring!$AI$29:$AI$361,0)),INDEX(Scoring!$I$29:$I$361,MATCH($O175,Scoring!$AI$29:$AI$361,0))))</f>
        <v>18</v>
      </c>
      <c r="L175" s="9" t="n">
        <f aca="false">IF($O175="","",INDEX(Scoring!$M$29:$M$361,MATCH($O175,Scoring!$AI$29:$AI$361,0)))</f>
        <v>14</v>
      </c>
      <c r="M175" s="9" t="n">
        <f aca="false">IF($O175="","",INDEX(Scoring!$O$29:$O$361,MATCH($O175,Scoring!$AI$29:$AI$361,0)))</f>
        <v>513.2</v>
      </c>
      <c r="N175" s="7" t="str">
        <f aca="false">IF($O175="","",INDEX(Scoring!$Y$29:$Y$361,MATCH($O175,Scoring!$AI$29:$AI$361,0)))</f>
        <v>US</v>
      </c>
      <c r="O175" s="10" t="n">
        <f aca="false">IFERROR(SMALL(Scoring!$AI$29:$AI$361,171),"")</f>
        <v>18006</v>
      </c>
    </row>
    <row r="176" customFormat="false" ht="28.35" hidden="false" customHeight="false" outlineLevel="0" collapsed="false">
      <c r="A176" s="5" t="n">
        <f aca="false">IF($O176="","",INT($O176/1000))</f>
        <v>19</v>
      </c>
      <c r="B176" s="6" t="str">
        <f aca="false">IF($O176="","",INDEX(Scoring!$A$29:$A$361,MATCH($O176,Scoring!$AI$29:$AI$361,0)))</f>
        <v>Piramal</v>
      </c>
      <c r="C176" s="5" t="n">
        <f aca="false">IF($O176="","",IF(INDEX(Scoring!$F$29:$F$361,MATCH($O176,Scoring!$AI$29:$AI$361,0))="","–",INDEX(Scoring!$F$29:$F$361,MATCH($O176,Scoring!$AI$29:$AI$361,0))))</f>
        <v>1</v>
      </c>
      <c r="D176" s="6" t="str">
        <f aca="false">IF($O176="","",INDEX(Scoring!$E$29:$E$361,MATCH($O176,Scoring!$AI$29:$AI$361,0)))</f>
        <v>Priority 3</v>
      </c>
      <c r="E176" s="7" t="str">
        <f aca="false">IF($O176="","",INDEX(Scoring!$G$29:$G$361,MATCH($O176,Scoring!$AI$29:$AI$361,0)))</f>
        <v>Lower price, lower volume</v>
      </c>
      <c r="F176" s="6" t="str">
        <f aca="false">IF($O176="","",INDEX(Scoring!$B$29:$B$361,MATCH($O176,Scoring!$AI$29:$AI$361,0)))</f>
        <v>Fentanyl</v>
      </c>
      <c r="G176" s="7" t="str">
        <f aca="false">IF($O176="","",INDEX(Scoring!$C$29:$C$361,MATCH($O176,Scoring!$AI$29:$AI$361,0)))</f>
        <v>Sublimaze</v>
      </c>
      <c r="H176" s="7" t="str">
        <f aca="false">IF($O176="","",INDEX(Scoring!$D$29:$D$361,MATCH($O176,Scoring!$AI$29:$AI$361,0)))</f>
        <v>Anaesthesia and pain: opioid pain relief in surgery and ICU</v>
      </c>
      <c r="I176" s="6" t="str">
        <f aca="false">IF($O176="","",INDEX(Scoring!$R$29:$R$361,MATCH($O176,Scoring!$AI$29:$AI$361,0)))</f>
        <v>Ampoule</v>
      </c>
      <c r="J176" s="7" t="str">
        <f aca="false">IF($O176="","",INDEX(Scoring!$S$29:$S$361,MATCH($O176,Scoring!$AI$29:$AI$361,0)))</f>
        <v>100 mcg/2 mL ampoule; 500 mcg/10 mL ampoule</v>
      </c>
      <c r="K176" s="8" t="n">
        <f aca="false">IF($O176="","",IF(INDEX(Scoring!$I$29:$I$361,MATCH($O176,Scoring!$AI$29:$AI$361,0))="",INDEX(Scoring!$AC$29:$AC$361,MATCH($O176,Scoring!$AI$29:$AI$361,0)),INDEX(Scoring!$I$29:$I$361,MATCH($O176,Scoring!$AI$29:$AI$361,0))))</f>
        <v>15.8</v>
      </c>
      <c r="L176" s="9" t="n">
        <f aca="false">IF($O176="","",INDEX(Scoring!$M$29:$M$361,MATCH($O176,Scoring!$AI$29:$AI$361,0)))</f>
        <v>15</v>
      </c>
      <c r="M176" s="9" t="n">
        <f aca="false">IF($O176="","",INDEX(Scoring!$O$29:$O$361,MATCH($O176,Scoring!$AI$29:$AI$361,0)))</f>
        <v>287.5</v>
      </c>
      <c r="N176" s="7" t="str">
        <f aca="false">IF($O176="","",INDEX(Scoring!$Y$29:$Y$361,MATCH($O176,Scoring!$AI$29:$AI$361,0)))</f>
        <v>South Africa, UK-NI | EU/EEA (16): Germany, France, Netherlands, Belgium + 12 more</v>
      </c>
      <c r="O176" s="10" t="n">
        <f aca="false">IFERROR(SMALL(Scoring!$AI$29:$AI$361,172),"")</f>
        <v>19001</v>
      </c>
    </row>
    <row r="177" customFormat="false" ht="15" hidden="false" customHeight="false" outlineLevel="0" collapsed="false">
      <c r="A177" s="5" t="str">
        <f aca="false">IF($O177="","",INT($O177/1000))</f>
        <v/>
      </c>
      <c r="B177" s="6" t="str">
        <f aca="false">IF($O177="","",INDEX(Scoring!$A$29:$A$361,MATCH($O177,Scoring!$AI$29:$AI$361,0)))</f>
        <v/>
      </c>
      <c r="C177" s="5" t="str">
        <f aca="false">IF($O177="","",IF(INDEX(Scoring!$F$29:$F$361,MATCH($O177,Scoring!$AI$29:$AI$361,0))="","–",INDEX(Scoring!$F$29:$F$361,MATCH($O177,Scoring!$AI$29:$AI$361,0))))</f>
        <v/>
      </c>
      <c r="D177" s="6" t="str">
        <f aca="false">IF($O177="","",INDEX(Scoring!$E$29:$E$361,MATCH($O177,Scoring!$AI$29:$AI$361,0)))</f>
        <v/>
      </c>
      <c r="E177" s="7" t="str">
        <f aca="false">IF($O177="","",INDEX(Scoring!$G$29:$G$361,MATCH($O177,Scoring!$AI$29:$AI$361,0)))</f>
        <v/>
      </c>
      <c r="F177" s="6" t="str">
        <f aca="false">IF($O177="","",INDEX(Scoring!$B$29:$B$361,MATCH($O177,Scoring!$AI$29:$AI$361,0)))</f>
        <v/>
      </c>
      <c r="G177" s="7" t="str">
        <f aca="false">IF($O177="","",INDEX(Scoring!$C$29:$C$361,MATCH($O177,Scoring!$AI$29:$AI$361,0)))</f>
        <v/>
      </c>
      <c r="H177" s="7" t="str">
        <f aca="false">IF($O177="","",INDEX(Scoring!$D$29:$D$361,MATCH($O177,Scoring!$AI$29:$AI$361,0)))</f>
        <v/>
      </c>
      <c r="I177" s="6" t="str">
        <f aca="false">IF($O177="","",INDEX(Scoring!$R$29:$R$361,MATCH($O177,Scoring!$AI$29:$AI$361,0)))</f>
        <v/>
      </c>
      <c r="J177" s="7" t="str">
        <f aca="false">IF($O177="","",INDEX(Scoring!$S$29:$S$361,MATCH($O177,Scoring!$AI$29:$AI$361,0)))</f>
        <v/>
      </c>
      <c r="K177" s="8" t="str">
        <f aca="false">IF($O177="","",IF(INDEX(Scoring!$I$29:$I$361,MATCH($O177,Scoring!$AI$29:$AI$361,0))="",INDEX(Scoring!$AC$29:$AC$361,MATCH($O177,Scoring!$AI$29:$AI$361,0)),INDEX(Scoring!$I$29:$I$361,MATCH($O177,Scoring!$AI$29:$AI$361,0))))</f>
        <v/>
      </c>
      <c r="L177" s="9" t="str">
        <f aca="false">IF($O177="","",INDEX(Scoring!$M$29:$M$361,MATCH($O177,Scoring!$AI$29:$AI$361,0)))</f>
        <v/>
      </c>
      <c r="M177" s="9" t="str">
        <f aca="false">IF($O177="","",INDEX(Scoring!$O$29:$O$361,MATCH($O177,Scoring!$AI$29:$AI$361,0)))</f>
        <v/>
      </c>
      <c r="N177" s="7" t="str">
        <f aca="false">IF($O177="","",INDEX(Scoring!$Y$29:$Y$361,MATCH($O177,Scoring!$AI$29:$AI$361,0)))</f>
        <v/>
      </c>
      <c r="O177" s="10" t="str">
        <f aca="false">IFERROR(SMALL(Scoring!$AI$29:$AI$361,173),"")</f>
        <v/>
      </c>
    </row>
    <row r="178" customFormat="false" ht="15" hidden="false" customHeight="false" outlineLevel="0" collapsed="false">
      <c r="A178" s="5" t="str">
        <f aca="false">IF($O178="","",INT($O178/1000))</f>
        <v/>
      </c>
      <c r="B178" s="6" t="str">
        <f aca="false">IF($O178="","",INDEX(Scoring!$A$29:$A$361,MATCH($O178,Scoring!$AI$29:$AI$361,0)))</f>
        <v/>
      </c>
      <c r="C178" s="5" t="str">
        <f aca="false">IF($O178="","",IF(INDEX(Scoring!$F$29:$F$361,MATCH($O178,Scoring!$AI$29:$AI$361,0))="","–",INDEX(Scoring!$F$29:$F$361,MATCH($O178,Scoring!$AI$29:$AI$361,0))))</f>
        <v/>
      </c>
      <c r="D178" s="6" t="str">
        <f aca="false">IF($O178="","",INDEX(Scoring!$E$29:$E$361,MATCH($O178,Scoring!$AI$29:$AI$361,0)))</f>
        <v/>
      </c>
      <c r="E178" s="7" t="str">
        <f aca="false">IF($O178="","",INDEX(Scoring!$G$29:$G$361,MATCH($O178,Scoring!$AI$29:$AI$361,0)))</f>
        <v/>
      </c>
      <c r="F178" s="6" t="str">
        <f aca="false">IF($O178="","",INDEX(Scoring!$B$29:$B$361,MATCH($O178,Scoring!$AI$29:$AI$361,0)))</f>
        <v/>
      </c>
      <c r="G178" s="7" t="str">
        <f aca="false">IF($O178="","",INDEX(Scoring!$C$29:$C$361,MATCH($O178,Scoring!$AI$29:$AI$361,0)))</f>
        <v/>
      </c>
      <c r="H178" s="7" t="str">
        <f aca="false">IF($O178="","",INDEX(Scoring!$D$29:$D$361,MATCH($O178,Scoring!$AI$29:$AI$361,0)))</f>
        <v/>
      </c>
      <c r="I178" s="6" t="str">
        <f aca="false">IF($O178="","",INDEX(Scoring!$R$29:$R$361,MATCH($O178,Scoring!$AI$29:$AI$361,0)))</f>
        <v/>
      </c>
      <c r="J178" s="7" t="str">
        <f aca="false">IF($O178="","",INDEX(Scoring!$S$29:$S$361,MATCH($O178,Scoring!$AI$29:$AI$361,0)))</f>
        <v/>
      </c>
      <c r="K178" s="8" t="str">
        <f aca="false">IF($O178="","",IF(INDEX(Scoring!$I$29:$I$361,MATCH($O178,Scoring!$AI$29:$AI$361,0))="",INDEX(Scoring!$AC$29:$AC$361,MATCH($O178,Scoring!$AI$29:$AI$361,0)),INDEX(Scoring!$I$29:$I$361,MATCH($O178,Scoring!$AI$29:$AI$361,0))))</f>
        <v/>
      </c>
      <c r="L178" s="9" t="str">
        <f aca="false">IF($O178="","",INDEX(Scoring!$M$29:$M$361,MATCH($O178,Scoring!$AI$29:$AI$361,0)))</f>
        <v/>
      </c>
      <c r="M178" s="9" t="str">
        <f aca="false">IF($O178="","",INDEX(Scoring!$O$29:$O$361,MATCH($O178,Scoring!$AI$29:$AI$361,0)))</f>
        <v/>
      </c>
      <c r="N178" s="7" t="str">
        <f aca="false">IF($O178="","",INDEX(Scoring!$Y$29:$Y$361,MATCH($O178,Scoring!$AI$29:$AI$361,0)))</f>
        <v/>
      </c>
      <c r="O178" s="10" t="str">
        <f aca="false">IFERROR(SMALL(Scoring!$AI$29:$AI$361,174),"")</f>
        <v/>
      </c>
    </row>
    <row r="179" customFormat="false" ht="15" hidden="false" customHeight="false" outlineLevel="0" collapsed="false">
      <c r="A179" s="5" t="str">
        <f aca="false">IF($O179="","",INT($O179/1000))</f>
        <v/>
      </c>
      <c r="B179" s="6" t="str">
        <f aca="false">IF($O179="","",INDEX(Scoring!$A$29:$A$361,MATCH($O179,Scoring!$AI$29:$AI$361,0)))</f>
        <v/>
      </c>
      <c r="C179" s="5" t="str">
        <f aca="false">IF($O179="","",IF(INDEX(Scoring!$F$29:$F$361,MATCH($O179,Scoring!$AI$29:$AI$361,0))="","–",INDEX(Scoring!$F$29:$F$361,MATCH($O179,Scoring!$AI$29:$AI$361,0))))</f>
        <v/>
      </c>
      <c r="D179" s="6" t="str">
        <f aca="false">IF($O179="","",INDEX(Scoring!$E$29:$E$361,MATCH($O179,Scoring!$AI$29:$AI$361,0)))</f>
        <v/>
      </c>
      <c r="E179" s="7" t="str">
        <f aca="false">IF($O179="","",INDEX(Scoring!$G$29:$G$361,MATCH($O179,Scoring!$AI$29:$AI$361,0)))</f>
        <v/>
      </c>
      <c r="F179" s="6" t="str">
        <f aca="false">IF($O179="","",INDEX(Scoring!$B$29:$B$361,MATCH($O179,Scoring!$AI$29:$AI$361,0)))</f>
        <v/>
      </c>
      <c r="G179" s="7" t="str">
        <f aca="false">IF($O179="","",INDEX(Scoring!$C$29:$C$361,MATCH($O179,Scoring!$AI$29:$AI$361,0)))</f>
        <v/>
      </c>
      <c r="H179" s="7" t="str">
        <f aca="false">IF($O179="","",INDEX(Scoring!$D$29:$D$361,MATCH($O179,Scoring!$AI$29:$AI$361,0)))</f>
        <v/>
      </c>
      <c r="I179" s="6" t="str">
        <f aca="false">IF($O179="","",INDEX(Scoring!$R$29:$R$361,MATCH($O179,Scoring!$AI$29:$AI$361,0)))</f>
        <v/>
      </c>
      <c r="J179" s="7" t="str">
        <f aca="false">IF($O179="","",INDEX(Scoring!$S$29:$S$361,MATCH($O179,Scoring!$AI$29:$AI$361,0)))</f>
        <v/>
      </c>
      <c r="K179" s="8" t="str">
        <f aca="false">IF($O179="","",IF(INDEX(Scoring!$I$29:$I$361,MATCH($O179,Scoring!$AI$29:$AI$361,0))="",INDEX(Scoring!$AC$29:$AC$361,MATCH($O179,Scoring!$AI$29:$AI$361,0)),INDEX(Scoring!$I$29:$I$361,MATCH($O179,Scoring!$AI$29:$AI$361,0))))</f>
        <v/>
      </c>
      <c r="L179" s="9" t="str">
        <f aca="false">IF($O179="","",INDEX(Scoring!$M$29:$M$361,MATCH($O179,Scoring!$AI$29:$AI$361,0)))</f>
        <v/>
      </c>
      <c r="M179" s="9" t="str">
        <f aca="false">IF($O179="","",INDEX(Scoring!$O$29:$O$361,MATCH($O179,Scoring!$AI$29:$AI$361,0)))</f>
        <v/>
      </c>
      <c r="N179" s="7" t="str">
        <f aca="false">IF($O179="","",INDEX(Scoring!$Y$29:$Y$361,MATCH($O179,Scoring!$AI$29:$AI$361,0)))</f>
        <v/>
      </c>
      <c r="O179" s="10" t="str">
        <f aca="false">IFERROR(SMALL(Scoring!$AI$29:$AI$361,175),"")</f>
        <v/>
      </c>
    </row>
    <row r="180" customFormat="false" ht="15" hidden="false" customHeight="false" outlineLevel="0" collapsed="false">
      <c r="A180" s="5" t="str">
        <f aca="false">IF($O180="","",INT($O180/1000))</f>
        <v/>
      </c>
      <c r="B180" s="6" t="str">
        <f aca="false">IF($O180="","",INDEX(Scoring!$A$29:$A$361,MATCH($O180,Scoring!$AI$29:$AI$361,0)))</f>
        <v/>
      </c>
      <c r="C180" s="5" t="str">
        <f aca="false">IF($O180="","",IF(INDEX(Scoring!$F$29:$F$361,MATCH($O180,Scoring!$AI$29:$AI$361,0))="","–",INDEX(Scoring!$F$29:$F$361,MATCH($O180,Scoring!$AI$29:$AI$361,0))))</f>
        <v/>
      </c>
      <c r="D180" s="6" t="str">
        <f aca="false">IF($O180="","",INDEX(Scoring!$E$29:$E$361,MATCH($O180,Scoring!$AI$29:$AI$361,0)))</f>
        <v/>
      </c>
      <c r="E180" s="7" t="str">
        <f aca="false">IF($O180="","",INDEX(Scoring!$G$29:$G$361,MATCH($O180,Scoring!$AI$29:$AI$361,0)))</f>
        <v/>
      </c>
      <c r="F180" s="6" t="str">
        <f aca="false">IF($O180="","",INDEX(Scoring!$B$29:$B$361,MATCH($O180,Scoring!$AI$29:$AI$361,0)))</f>
        <v/>
      </c>
      <c r="G180" s="7" t="str">
        <f aca="false">IF($O180="","",INDEX(Scoring!$C$29:$C$361,MATCH($O180,Scoring!$AI$29:$AI$361,0)))</f>
        <v/>
      </c>
      <c r="H180" s="7" t="str">
        <f aca="false">IF($O180="","",INDEX(Scoring!$D$29:$D$361,MATCH($O180,Scoring!$AI$29:$AI$361,0)))</f>
        <v/>
      </c>
      <c r="I180" s="6" t="str">
        <f aca="false">IF($O180="","",INDEX(Scoring!$R$29:$R$361,MATCH($O180,Scoring!$AI$29:$AI$361,0)))</f>
        <v/>
      </c>
      <c r="J180" s="7" t="str">
        <f aca="false">IF($O180="","",INDEX(Scoring!$S$29:$S$361,MATCH($O180,Scoring!$AI$29:$AI$361,0)))</f>
        <v/>
      </c>
      <c r="K180" s="8" t="str">
        <f aca="false">IF($O180="","",IF(INDEX(Scoring!$I$29:$I$361,MATCH($O180,Scoring!$AI$29:$AI$361,0))="",INDEX(Scoring!$AC$29:$AC$361,MATCH($O180,Scoring!$AI$29:$AI$361,0)),INDEX(Scoring!$I$29:$I$361,MATCH($O180,Scoring!$AI$29:$AI$361,0))))</f>
        <v/>
      </c>
      <c r="L180" s="9" t="str">
        <f aca="false">IF($O180="","",INDEX(Scoring!$M$29:$M$361,MATCH($O180,Scoring!$AI$29:$AI$361,0)))</f>
        <v/>
      </c>
      <c r="M180" s="9" t="str">
        <f aca="false">IF($O180="","",INDEX(Scoring!$O$29:$O$361,MATCH($O180,Scoring!$AI$29:$AI$361,0)))</f>
        <v/>
      </c>
      <c r="N180" s="7" t="str">
        <f aca="false">IF($O180="","",INDEX(Scoring!$Y$29:$Y$361,MATCH($O180,Scoring!$AI$29:$AI$361,0)))</f>
        <v/>
      </c>
      <c r="O180" s="10" t="str">
        <f aca="false">IFERROR(SMALL(Scoring!$AI$29:$AI$361,176),"")</f>
        <v/>
      </c>
    </row>
    <row r="181" customFormat="false" ht="15" hidden="false" customHeight="false" outlineLevel="0" collapsed="false">
      <c r="A181" s="5" t="str">
        <f aca="false">IF($O181="","",INT($O181/1000))</f>
        <v/>
      </c>
      <c r="B181" s="6" t="str">
        <f aca="false">IF($O181="","",INDEX(Scoring!$A$29:$A$361,MATCH($O181,Scoring!$AI$29:$AI$361,0)))</f>
        <v/>
      </c>
      <c r="C181" s="5" t="str">
        <f aca="false">IF($O181="","",IF(INDEX(Scoring!$F$29:$F$361,MATCH($O181,Scoring!$AI$29:$AI$361,0))="","–",INDEX(Scoring!$F$29:$F$361,MATCH($O181,Scoring!$AI$29:$AI$361,0))))</f>
        <v/>
      </c>
      <c r="D181" s="6" t="str">
        <f aca="false">IF($O181="","",INDEX(Scoring!$E$29:$E$361,MATCH($O181,Scoring!$AI$29:$AI$361,0)))</f>
        <v/>
      </c>
      <c r="E181" s="7" t="str">
        <f aca="false">IF($O181="","",INDEX(Scoring!$G$29:$G$361,MATCH($O181,Scoring!$AI$29:$AI$361,0)))</f>
        <v/>
      </c>
      <c r="F181" s="6" t="str">
        <f aca="false">IF($O181="","",INDEX(Scoring!$B$29:$B$361,MATCH($O181,Scoring!$AI$29:$AI$361,0)))</f>
        <v/>
      </c>
      <c r="G181" s="7" t="str">
        <f aca="false">IF($O181="","",INDEX(Scoring!$C$29:$C$361,MATCH($O181,Scoring!$AI$29:$AI$361,0)))</f>
        <v/>
      </c>
      <c r="H181" s="7" t="str">
        <f aca="false">IF($O181="","",INDEX(Scoring!$D$29:$D$361,MATCH($O181,Scoring!$AI$29:$AI$361,0)))</f>
        <v/>
      </c>
      <c r="I181" s="6" t="str">
        <f aca="false">IF($O181="","",INDEX(Scoring!$R$29:$R$361,MATCH($O181,Scoring!$AI$29:$AI$361,0)))</f>
        <v/>
      </c>
      <c r="J181" s="7" t="str">
        <f aca="false">IF($O181="","",INDEX(Scoring!$S$29:$S$361,MATCH($O181,Scoring!$AI$29:$AI$361,0)))</f>
        <v/>
      </c>
      <c r="K181" s="8" t="str">
        <f aca="false">IF($O181="","",IF(INDEX(Scoring!$I$29:$I$361,MATCH($O181,Scoring!$AI$29:$AI$361,0))="",INDEX(Scoring!$AC$29:$AC$361,MATCH($O181,Scoring!$AI$29:$AI$361,0)),INDEX(Scoring!$I$29:$I$361,MATCH($O181,Scoring!$AI$29:$AI$361,0))))</f>
        <v/>
      </c>
      <c r="L181" s="9" t="str">
        <f aca="false">IF($O181="","",INDEX(Scoring!$M$29:$M$361,MATCH($O181,Scoring!$AI$29:$AI$361,0)))</f>
        <v/>
      </c>
      <c r="M181" s="9" t="str">
        <f aca="false">IF($O181="","",INDEX(Scoring!$O$29:$O$361,MATCH($O181,Scoring!$AI$29:$AI$361,0)))</f>
        <v/>
      </c>
      <c r="N181" s="7" t="str">
        <f aca="false">IF($O181="","",INDEX(Scoring!$Y$29:$Y$361,MATCH($O181,Scoring!$AI$29:$AI$361,0)))</f>
        <v/>
      </c>
      <c r="O181" s="10" t="str">
        <f aca="false">IFERROR(SMALL(Scoring!$AI$29:$AI$361,177),"")</f>
        <v/>
      </c>
    </row>
    <row r="182" customFormat="false" ht="15" hidden="false" customHeight="false" outlineLevel="0" collapsed="false">
      <c r="A182" s="5" t="str">
        <f aca="false">IF($O182="","",INT($O182/1000))</f>
        <v/>
      </c>
      <c r="B182" s="6" t="str">
        <f aca="false">IF($O182="","",INDEX(Scoring!$A$29:$A$361,MATCH($O182,Scoring!$AI$29:$AI$361,0)))</f>
        <v/>
      </c>
      <c r="C182" s="5" t="str">
        <f aca="false">IF($O182="","",IF(INDEX(Scoring!$F$29:$F$361,MATCH($O182,Scoring!$AI$29:$AI$361,0))="","–",INDEX(Scoring!$F$29:$F$361,MATCH($O182,Scoring!$AI$29:$AI$361,0))))</f>
        <v/>
      </c>
      <c r="D182" s="6" t="str">
        <f aca="false">IF($O182="","",INDEX(Scoring!$E$29:$E$361,MATCH($O182,Scoring!$AI$29:$AI$361,0)))</f>
        <v/>
      </c>
      <c r="E182" s="7" t="str">
        <f aca="false">IF($O182="","",INDEX(Scoring!$G$29:$G$361,MATCH($O182,Scoring!$AI$29:$AI$361,0)))</f>
        <v/>
      </c>
      <c r="F182" s="6" t="str">
        <f aca="false">IF($O182="","",INDEX(Scoring!$B$29:$B$361,MATCH($O182,Scoring!$AI$29:$AI$361,0)))</f>
        <v/>
      </c>
      <c r="G182" s="7" t="str">
        <f aca="false">IF($O182="","",INDEX(Scoring!$C$29:$C$361,MATCH($O182,Scoring!$AI$29:$AI$361,0)))</f>
        <v/>
      </c>
      <c r="H182" s="7" t="str">
        <f aca="false">IF($O182="","",INDEX(Scoring!$D$29:$D$361,MATCH($O182,Scoring!$AI$29:$AI$361,0)))</f>
        <v/>
      </c>
      <c r="I182" s="6" t="str">
        <f aca="false">IF($O182="","",INDEX(Scoring!$R$29:$R$361,MATCH($O182,Scoring!$AI$29:$AI$361,0)))</f>
        <v/>
      </c>
      <c r="J182" s="7" t="str">
        <f aca="false">IF($O182="","",INDEX(Scoring!$S$29:$S$361,MATCH($O182,Scoring!$AI$29:$AI$361,0)))</f>
        <v/>
      </c>
      <c r="K182" s="8" t="str">
        <f aca="false">IF($O182="","",IF(INDEX(Scoring!$I$29:$I$361,MATCH($O182,Scoring!$AI$29:$AI$361,0))="",INDEX(Scoring!$AC$29:$AC$361,MATCH($O182,Scoring!$AI$29:$AI$361,0)),INDEX(Scoring!$I$29:$I$361,MATCH($O182,Scoring!$AI$29:$AI$361,0))))</f>
        <v/>
      </c>
      <c r="L182" s="9" t="str">
        <f aca="false">IF($O182="","",INDEX(Scoring!$M$29:$M$361,MATCH($O182,Scoring!$AI$29:$AI$361,0)))</f>
        <v/>
      </c>
      <c r="M182" s="9" t="str">
        <f aca="false">IF($O182="","",INDEX(Scoring!$O$29:$O$361,MATCH($O182,Scoring!$AI$29:$AI$361,0)))</f>
        <v/>
      </c>
      <c r="N182" s="7" t="str">
        <f aca="false">IF($O182="","",INDEX(Scoring!$Y$29:$Y$361,MATCH($O182,Scoring!$AI$29:$AI$361,0)))</f>
        <v/>
      </c>
      <c r="O182" s="10" t="str">
        <f aca="false">IFERROR(SMALL(Scoring!$AI$29:$AI$361,178),"")</f>
        <v/>
      </c>
    </row>
    <row r="183" customFormat="false" ht="15" hidden="false" customHeight="false" outlineLevel="0" collapsed="false">
      <c r="A183" s="5" t="str">
        <f aca="false">IF($O183="","",INT($O183/1000))</f>
        <v/>
      </c>
      <c r="B183" s="6" t="str">
        <f aca="false">IF($O183="","",INDEX(Scoring!$A$29:$A$361,MATCH($O183,Scoring!$AI$29:$AI$361,0)))</f>
        <v/>
      </c>
      <c r="C183" s="5" t="str">
        <f aca="false">IF($O183="","",IF(INDEX(Scoring!$F$29:$F$361,MATCH($O183,Scoring!$AI$29:$AI$361,0))="","–",INDEX(Scoring!$F$29:$F$361,MATCH($O183,Scoring!$AI$29:$AI$361,0))))</f>
        <v/>
      </c>
      <c r="D183" s="6" t="str">
        <f aca="false">IF($O183="","",INDEX(Scoring!$E$29:$E$361,MATCH($O183,Scoring!$AI$29:$AI$361,0)))</f>
        <v/>
      </c>
      <c r="E183" s="7" t="str">
        <f aca="false">IF($O183="","",INDEX(Scoring!$G$29:$G$361,MATCH($O183,Scoring!$AI$29:$AI$361,0)))</f>
        <v/>
      </c>
      <c r="F183" s="6" t="str">
        <f aca="false">IF($O183="","",INDEX(Scoring!$B$29:$B$361,MATCH($O183,Scoring!$AI$29:$AI$361,0)))</f>
        <v/>
      </c>
      <c r="G183" s="7" t="str">
        <f aca="false">IF($O183="","",INDEX(Scoring!$C$29:$C$361,MATCH($O183,Scoring!$AI$29:$AI$361,0)))</f>
        <v/>
      </c>
      <c r="H183" s="7" t="str">
        <f aca="false">IF($O183="","",INDEX(Scoring!$D$29:$D$361,MATCH($O183,Scoring!$AI$29:$AI$361,0)))</f>
        <v/>
      </c>
      <c r="I183" s="6" t="str">
        <f aca="false">IF($O183="","",INDEX(Scoring!$R$29:$R$361,MATCH($O183,Scoring!$AI$29:$AI$361,0)))</f>
        <v/>
      </c>
      <c r="J183" s="7" t="str">
        <f aca="false">IF($O183="","",INDEX(Scoring!$S$29:$S$361,MATCH($O183,Scoring!$AI$29:$AI$361,0)))</f>
        <v/>
      </c>
      <c r="K183" s="8" t="str">
        <f aca="false">IF($O183="","",IF(INDEX(Scoring!$I$29:$I$361,MATCH($O183,Scoring!$AI$29:$AI$361,0))="",INDEX(Scoring!$AC$29:$AC$361,MATCH($O183,Scoring!$AI$29:$AI$361,0)),INDEX(Scoring!$I$29:$I$361,MATCH($O183,Scoring!$AI$29:$AI$361,0))))</f>
        <v/>
      </c>
      <c r="L183" s="9" t="str">
        <f aca="false">IF($O183="","",INDEX(Scoring!$M$29:$M$361,MATCH($O183,Scoring!$AI$29:$AI$361,0)))</f>
        <v/>
      </c>
      <c r="M183" s="9" t="str">
        <f aca="false">IF($O183="","",INDEX(Scoring!$O$29:$O$361,MATCH($O183,Scoring!$AI$29:$AI$361,0)))</f>
        <v/>
      </c>
      <c r="N183" s="7" t="str">
        <f aca="false">IF($O183="","",INDEX(Scoring!$Y$29:$Y$361,MATCH($O183,Scoring!$AI$29:$AI$361,0)))</f>
        <v/>
      </c>
      <c r="O183" s="10" t="str">
        <f aca="false">IFERROR(SMALL(Scoring!$AI$29:$AI$361,179),"")</f>
        <v/>
      </c>
    </row>
    <row r="184" customFormat="false" ht="15" hidden="false" customHeight="false" outlineLevel="0" collapsed="false">
      <c r="A184" s="5" t="str">
        <f aca="false">IF($O184="","",INT($O184/1000))</f>
        <v/>
      </c>
      <c r="B184" s="6" t="str">
        <f aca="false">IF($O184="","",INDEX(Scoring!$A$29:$A$361,MATCH($O184,Scoring!$AI$29:$AI$361,0)))</f>
        <v/>
      </c>
      <c r="C184" s="5" t="str">
        <f aca="false">IF($O184="","",IF(INDEX(Scoring!$F$29:$F$361,MATCH($O184,Scoring!$AI$29:$AI$361,0))="","–",INDEX(Scoring!$F$29:$F$361,MATCH($O184,Scoring!$AI$29:$AI$361,0))))</f>
        <v/>
      </c>
      <c r="D184" s="6" t="str">
        <f aca="false">IF($O184="","",INDEX(Scoring!$E$29:$E$361,MATCH($O184,Scoring!$AI$29:$AI$361,0)))</f>
        <v/>
      </c>
      <c r="E184" s="7" t="str">
        <f aca="false">IF($O184="","",INDEX(Scoring!$G$29:$G$361,MATCH($O184,Scoring!$AI$29:$AI$361,0)))</f>
        <v/>
      </c>
      <c r="F184" s="6" t="str">
        <f aca="false">IF($O184="","",INDEX(Scoring!$B$29:$B$361,MATCH($O184,Scoring!$AI$29:$AI$361,0)))</f>
        <v/>
      </c>
      <c r="G184" s="7" t="str">
        <f aca="false">IF($O184="","",INDEX(Scoring!$C$29:$C$361,MATCH($O184,Scoring!$AI$29:$AI$361,0)))</f>
        <v/>
      </c>
      <c r="H184" s="7" t="str">
        <f aca="false">IF($O184="","",INDEX(Scoring!$D$29:$D$361,MATCH($O184,Scoring!$AI$29:$AI$361,0)))</f>
        <v/>
      </c>
      <c r="I184" s="6" t="str">
        <f aca="false">IF($O184="","",INDEX(Scoring!$R$29:$R$361,MATCH($O184,Scoring!$AI$29:$AI$361,0)))</f>
        <v/>
      </c>
      <c r="J184" s="7" t="str">
        <f aca="false">IF($O184="","",INDEX(Scoring!$S$29:$S$361,MATCH($O184,Scoring!$AI$29:$AI$361,0)))</f>
        <v/>
      </c>
      <c r="K184" s="8" t="str">
        <f aca="false">IF($O184="","",IF(INDEX(Scoring!$I$29:$I$361,MATCH($O184,Scoring!$AI$29:$AI$361,0))="",INDEX(Scoring!$AC$29:$AC$361,MATCH($O184,Scoring!$AI$29:$AI$361,0)),INDEX(Scoring!$I$29:$I$361,MATCH($O184,Scoring!$AI$29:$AI$361,0))))</f>
        <v/>
      </c>
      <c r="L184" s="9" t="str">
        <f aca="false">IF($O184="","",INDEX(Scoring!$M$29:$M$361,MATCH($O184,Scoring!$AI$29:$AI$361,0)))</f>
        <v/>
      </c>
      <c r="M184" s="9" t="str">
        <f aca="false">IF($O184="","",INDEX(Scoring!$O$29:$O$361,MATCH($O184,Scoring!$AI$29:$AI$361,0)))</f>
        <v/>
      </c>
      <c r="N184" s="7" t="str">
        <f aca="false">IF($O184="","",INDEX(Scoring!$Y$29:$Y$361,MATCH($O184,Scoring!$AI$29:$AI$361,0)))</f>
        <v/>
      </c>
      <c r="O184" s="10" t="str">
        <f aca="false">IFERROR(SMALL(Scoring!$AI$29:$AI$361,180),"")</f>
        <v/>
      </c>
    </row>
    <row r="185" customFormat="false" ht="15" hidden="false" customHeight="false" outlineLevel="0" collapsed="false">
      <c r="A185" s="5" t="str">
        <f aca="false">IF($O185="","",INT($O185/1000))</f>
        <v/>
      </c>
      <c r="B185" s="6" t="str">
        <f aca="false">IF($O185="","",INDEX(Scoring!$A$29:$A$361,MATCH($O185,Scoring!$AI$29:$AI$361,0)))</f>
        <v/>
      </c>
      <c r="C185" s="5" t="str">
        <f aca="false">IF($O185="","",IF(INDEX(Scoring!$F$29:$F$361,MATCH($O185,Scoring!$AI$29:$AI$361,0))="","–",INDEX(Scoring!$F$29:$F$361,MATCH($O185,Scoring!$AI$29:$AI$361,0))))</f>
        <v/>
      </c>
      <c r="D185" s="6" t="str">
        <f aca="false">IF($O185="","",INDEX(Scoring!$E$29:$E$361,MATCH($O185,Scoring!$AI$29:$AI$361,0)))</f>
        <v/>
      </c>
      <c r="E185" s="7" t="str">
        <f aca="false">IF($O185="","",INDEX(Scoring!$G$29:$G$361,MATCH($O185,Scoring!$AI$29:$AI$361,0)))</f>
        <v/>
      </c>
      <c r="F185" s="6" t="str">
        <f aca="false">IF($O185="","",INDEX(Scoring!$B$29:$B$361,MATCH($O185,Scoring!$AI$29:$AI$361,0)))</f>
        <v/>
      </c>
      <c r="G185" s="7" t="str">
        <f aca="false">IF($O185="","",INDEX(Scoring!$C$29:$C$361,MATCH($O185,Scoring!$AI$29:$AI$361,0)))</f>
        <v/>
      </c>
      <c r="H185" s="7" t="str">
        <f aca="false">IF($O185="","",INDEX(Scoring!$D$29:$D$361,MATCH($O185,Scoring!$AI$29:$AI$361,0)))</f>
        <v/>
      </c>
      <c r="I185" s="6" t="str">
        <f aca="false">IF($O185="","",INDEX(Scoring!$R$29:$R$361,MATCH($O185,Scoring!$AI$29:$AI$361,0)))</f>
        <v/>
      </c>
      <c r="J185" s="7" t="str">
        <f aca="false">IF($O185="","",INDEX(Scoring!$S$29:$S$361,MATCH($O185,Scoring!$AI$29:$AI$361,0)))</f>
        <v/>
      </c>
      <c r="K185" s="8" t="str">
        <f aca="false">IF($O185="","",IF(INDEX(Scoring!$I$29:$I$361,MATCH($O185,Scoring!$AI$29:$AI$361,0))="",INDEX(Scoring!$AC$29:$AC$361,MATCH($O185,Scoring!$AI$29:$AI$361,0)),INDEX(Scoring!$I$29:$I$361,MATCH($O185,Scoring!$AI$29:$AI$361,0))))</f>
        <v/>
      </c>
      <c r="L185" s="9" t="str">
        <f aca="false">IF($O185="","",INDEX(Scoring!$M$29:$M$361,MATCH($O185,Scoring!$AI$29:$AI$361,0)))</f>
        <v/>
      </c>
      <c r="M185" s="9" t="str">
        <f aca="false">IF($O185="","",INDEX(Scoring!$O$29:$O$361,MATCH($O185,Scoring!$AI$29:$AI$361,0)))</f>
        <v/>
      </c>
      <c r="N185" s="7" t="str">
        <f aca="false">IF($O185="","",INDEX(Scoring!$Y$29:$Y$361,MATCH($O185,Scoring!$AI$29:$AI$361,0)))</f>
        <v/>
      </c>
      <c r="O185" s="10" t="str">
        <f aca="false">IFERROR(SMALL(Scoring!$AI$29:$AI$361,181),"")</f>
        <v/>
      </c>
    </row>
    <row r="186" customFormat="false" ht="15" hidden="false" customHeight="false" outlineLevel="0" collapsed="false">
      <c r="A186" s="5" t="str">
        <f aca="false">IF($O186="","",INT($O186/1000))</f>
        <v/>
      </c>
      <c r="B186" s="6" t="str">
        <f aca="false">IF($O186="","",INDEX(Scoring!$A$29:$A$361,MATCH($O186,Scoring!$AI$29:$AI$361,0)))</f>
        <v/>
      </c>
      <c r="C186" s="5" t="str">
        <f aca="false">IF($O186="","",IF(INDEX(Scoring!$F$29:$F$361,MATCH($O186,Scoring!$AI$29:$AI$361,0))="","–",INDEX(Scoring!$F$29:$F$361,MATCH($O186,Scoring!$AI$29:$AI$361,0))))</f>
        <v/>
      </c>
      <c r="D186" s="6" t="str">
        <f aca="false">IF($O186="","",INDEX(Scoring!$E$29:$E$361,MATCH($O186,Scoring!$AI$29:$AI$361,0)))</f>
        <v/>
      </c>
      <c r="E186" s="7" t="str">
        <f aca="false">IF($O186="","",INDEX(Scoring!$G$29:$G$361,MATCH($O186,Scoring!$AI$29:$AI$361,0)))</f>
        <v/>
      </c>
      <c r="F186" s="6" t="str">
        <f aca="false">IF($O186="","",INDEX(Scoring!$B$29:$B$361,MATCH($O186,Scoring!$AI$29:$AI$361,0)))</f>
        <v/>
      </c>
      <c r="G186" s="7" t="str">
        <f aca="false">IF($O186="","",INDEX(Scoring!$C$29:$C$361,MATCH($O186,Scoring!$AI$29:$AI$361,0)))</f>
        <v/>
      </c>
      <c r="H186" s="7" t="str">
        <f aca="false">IF($O186="","",INDEX(Scoring!$D$29:$D$361,MATCH($O186,Scoring!$AI$29:$AI$361,0)))</f>
        <v/>
      </c>
      <c r="I186" s="6" t="str">
        <f aca="false">IF($O186="","",INDEX(Scoring!$R$29:$R$361,MATCH($O186,Scoring!$AI$29:$AI$361,0)))</f>
        <v/>
      </c>
      <c r="J186" s="7" t="str">
        <f aca="false">IF($O186="","",INDEX(Scoring!$S$29:$S$361,MATCH($O186,Scoring!$AI$29:$AI$361,0)))</f>
        <v/>
      </c>
      <c r="K186" s="8" t="str">
        <f aca="false">IF($O186="","",IF(INDEX(Scoring!$I$29:$I$361,MATCH($O186,Scoring!$AI$29:$AI$361,0))="",INDEX(Scoring!$AC$29:$AC$361,MATCH($O186,Scoring!$AI$29:$AI$361,0)),INDEX(Scoring!$I$29:$I$361,MATCH($O186,Scoring!$AI$29:$AI$361,0))))</f>
        <v/>
      </c>
      <c r="L186" s="9" t="str">
        <f aca="false">IF($O186="","",INDEX(Scoring!$M$29:$M$361,MATCH($O186,Scoring!$AI$29:$AI$361,0)))</f>
        <v/>
      </c>
      <c r="M186" s="9" t="str">
        <f aca="false">IF($O186="","",INDEX(Scoring!$O$29:$O$361,MATCH($O186,Scoring!$AI$29:$AI$361,0)))</f>
        <v/>
      </c>
      <c r="N186" s="7" t="str">
        <f aca="false">IF($O186="","",INDEX(Scoring!$Y$29:$Y$361,MATCH($O186,Scoring!$AI$29:$AI$361,0)))</f>
        <v/>
      </c>
      <c r="O186" s="10" t="str">
        <f aca="false">IFERROR(SMALL(Scoring!$AI$29:$AI$361,182),"")</f>
        <v/>
      </c>
    </row>
    <row r="187" customFormat="false" ht="15" hidden="false" customHeight="false" outlineLevel="0" collapsed="false">
      <c r="A187" s="5" t="str">
        <f aca="false">IF($O187="","",INT($O187/1000))</f>
        <v/>
      </c>
      <c r="B187" s="6" t="str">
        <f aca="false">IF($O187="","",INDEX(Scoring!$A$29:$A$361,MATCH($O187,Scoring!$AI$29:$AI$361,0)))</f>
        <v/>
      </c>
      <c r="C187" s="5" t="str">
        <f aca="false">IF($O187="","",IF(INDEX(Scoring!$F$29:$F$361,MATCH($O187,Scoring!$AI$29:$AI$361,0))="","–",INDEX(Scoring!$F$29:$F$361,MATCH($O187,Scoring!$AI$29:$AI$361,0))))</f>
        <v/>
      </c>
      <c r="D187" s="6" t="str">
        <f aca="false">IF($O187="","",INDEX(Scoring!$E$29:$E$361,MATCH($O187,Scoring!$AI$29:$AI$361,0)))</f>
        <v/>
      </c>
      <c r="E187" s="7" t="str">
        <f aca="false">IF($O187="","",INDEX(Scoring!$G$29:$G$361,MATCH($O187,Scoring!$AI$29:$AI$361,0)))</f>
        <v/>
      </c>
      <c r="F187" s="6" t="str">
        <f aca="false">IF($O187="","",INDEX(Scoring!$B$29:$B$361,MATCH($O187,Scoring!$AI$29:$AI$361,0)))</f>
        <v/>
      </c>
      <c r="G187" s="7" t="str">
        <f aca="false">IF($O187="","",INDEX(Scoring!$C$29:$C$361,MATCH($O187,Scoring!$AI$29:$AI$361,0)))</f>
        <v/>
      </c>
      <c r="H187" s="7" t="str">
        <f aca="false">IF($O187="","",INDEX(Scoring!$D$29:$D$361,MATCH($O187,Scoring!$AI$29:$AI$361,0)))</f>
        <v/>
      </c>
      <c r="I187" s="6" t="str">
        <f aca="false">IF($O187="","",INDEX(Scoring!$R$29:$R$361,MATCH($O187,Scoring!$AI$29:$AI$361,0)))</f>
        <v/>
      </c>
      <c r="J187" s="7" t="str">
        <f aca="false">IF($O187="","",INDEX(Scoring!$S$29:$S$361,MATCH($O187,Scoring!$AI$29:$AI$361,0)))</f>
        <v/>
      </c>
      <c r="K187" s="8" t="str">
        <f aca="false">IF($O187="","",IF(INDEX(Scoring!$I$29:$I$361,MATCH($O187,Scoring!$AI$29:$AI$361,0))="",INDEX(Scoring!$AC$29:$AC$361,MATCH($O187,Scoring!$AI$29:$AI$361,0)),INDEX(Scoring!$I$29:$I$361,MATCH($O187,Scoring!$AI$29:$AI$361,0))))</f>
        <v/>
      </c>
      <c r="L187" s="9" t="str">
        <f aca="false">IF($O187="","",INDEX(Scoring!$M$29:$M$361,MATCH($O187,Scoring!$AI$29:$AI$361,0)))</f>
        <v/>
      </c>
      <c r="M187" s="9" t="str">
        <f aca="false">IF($O187="","",INDEX(Scoring!$O$29:$O$361,MATCH($O187,Scoring!$AI$29:$AI$361,0)))</f>
        <v/>
      </c>
      <c r="N187" s="7" t="str">
        <f aca="false">IF($O187="","",INDEX(Scoring!$Y$29:$Y$361,MATCH($O187,Scoring!$AI$29:$AI$361,0)))</f>
        <v/>
      </c>
      <c r="O187" s="10" t="str">
        <f aca="false">IFERROR(SMALL(Scoring!$AI$29:$AI$361,183),"")</f>
        <v/>
      </c>
    </row>
    <row r="188" customFormat="false" ht="15" hidden="false" customHeight="false" outlineLevel="0" collapsed="false">
      <c r="A188" s="5" t="str">
        <f aca="false">IF($O188="","",INT($O188/1000))</f>
        <v/>
      </c>
      <c r="B188" s="6" t="str">
        <f aca="false">IF($O188="","",INDEX(Scoring!$A$29:$A$361,MATCH($O188,Scoring!$AI$29:$AI$361,0)))</f>
        <v/>
      </c>
      <c r="C188" s="5" t="str">
        <f aca="false">IF($O188="","",IF(INDEX(Scoring!$F$29:$F$361,MATCH($O188,Scoring!$AI$29:$AI$361,0))="","–",INDEX(Scoring!$F$29:$F$361,MATCH($O188,Scoring!$AI$29:$AI$361,0))))</f>
        <v/>
      </c>
      <c r="D188" s="6" t="str">
        <f aca="false">IF($O188="","",INDEX(Scoring!$E$29:$E$361,MATCH($O188,Scoring!$AI$29:$AI$361,0)))</f>
        <v/>
      </c>
      <c r="E188" s="7" t="str">
        <f aca="false">IF($O188="","",INDEX(Scoring!$G$29:$G$361,MATCH($O188,Scoring!$AI$29:$AI$361,0)))</f>
        <v/>
      </c>
      <c r="F188" s="6" t="str">
        <f aca="false">IF($O188="","",INDEX(Scoring!$B$29:$B$361,MATCH($O188,Scoring!$AI$29:$AI$361,0)))</f>
        <v/>
      </c>
      <c r="G188" s="7" t="str">
        <f aca="false">IF($O188="","",INDEX(Scoring!$C$29:$C$361,MATCH($O188,Scoring!$AI$29:$AI$361,0)))</f>
        <v/>
      </c>
      <c r="H188" s="7" t="str">
        <f aca="false">IF($O188="","",INDEX(Scoring!$D$29:$D$361,MATCH($O188,Scoring!$AI$29:$AI$361,0)))</f>
        <v/>
      </c>
      <c r="I188" s="6" t="str">
        <f aca="false">IF($O188="","",INDEX(Scoring!$R$29:$R$361,MATCH($O188,Scoring!$AI$29:$AI$361,0)))</f>
        <v/>
      </c>
      <c r="J188" s="7" t="str">
        <f aca="false">IF($O188="","",INDEX(Scoring!$S$29:$S$361,MATCH($O188,Scoring!$AI$29:$AI$361,0)))</f>
        <v/>
      </c>
      <c r="K188" s="8" t="str">
        <f aca="false">IF($O188="","",IF(INDEX(Scoring!$I$29:$I$361,MATCH($O188,Scoring!$AI$29:$AI$361,0))="",INDEX(Scoring!$AC$29:$AC$361,MATCH($O188,Scoring!$AI$29:$AI$361,0)),INDEX(Scoring!$I$29:$I$361,MATCH($O188,Scoring!$AI$29:$AI$361,0))))</f>
        <v/>
      </c>
      <c r="L188" s="9" t="str">
        <f aca="false">IF($O188="","",INDEX(Scoring!$M$29:$M$361,MATCH($O188,Scoring!$AI$29:$AI$361,0)))</f>
        <v/>
      </c>
      <c r="M188" s="9" t="str">
        <f aca="false">IF($O188="","",INDEX(Scoring!$O$29:$O$361,MATCH($O188,Scoring!$AI$29:$AI$361,0)))</f>
        <v/>
      </c>
      <c r="N188" s="7" t="str">
        <f aca="false">IF($O188="","",INDEX(Scoring!$Y$29:$Y$361,MATCH($O188,Scoring!$AI$29:$AI$361,0)))</f>
        <v/>
      </c>
      <c r="O188" s="10" t="str">
        <f aca="false">IFERROR(SMALL(Scoring!$AI$29:$AI$361,184),"")</f>
        <v/>
      </c>
    </row>
    <row r="189" customFormat="false" ht="15" hidden="false" customHeight="false" outlineLevel="0" collapsed="false">
      <c r="A189" s="5" t="str">
        <f aca="false">IF($O189="","",INT($O189/1000))</f>
        <v/>
      </c>
      <c r="B189" s="6" t="str">
        <f aca="false">IF($O189="","",INDEX(Scoring!$A$29:$A$361,MATCH($O189,Scoring!$AI$29:$AI$361,0)))</f>
        <v/>
      </c>
      <c r="C189" s="5" t="str">
        <f aca="false">IF($O189="","",IF(INDEX(Scoring!$F$29:$F$361,MATCH($O189,Scoring!$AI$29:$AI$361,0))="","–",INDEX(Scoring!$F$29:$F$361,MATCH($O189,Scoring!$AI$29:$AI$361,0))))</f>
        <v/>
      </c>
      <c r="D189" s="6" t="str">
        <f aca="false">IF($O189="","",INDEX(Scoring!$E$29:$E$361,MATCH($O189,Scoring!$AI$29:$AI$361,0)))</f>
        <v/>
      </c>
      <c r="E189" s="7" t="str">
        <f aca="false">IF($O189="","",INDEX(Scoring!$G$29:$G$361,MATCH($O189,Scoring!$AI$29:$AI$361,0)))</f>
        <v/>
      </c>
      <c r="F189" s="6" t="str">
        <f aca="false">IF($O189="","",INDEX(Scoring!$B$29:$B$361,MATCH($O189,Scoring!$AI$29:$AI$361,0)))</f>
        <v/>
      </c>
      <c r="G189" s="7" t="str">
        <f aca="false">IF($O189="","",INDEX(Scoring!$C$29:$C$361,MATCH($O189,Scoring!$AI$29:$AI$361,0)))</f>
        <v/>
      </c>
      <c r="H189" s="7" t="str">
        <f aca="false">IF($O189="","",INDEX(Scoring!$D$29:$D$361,MATCH($O189,Scoring!$AI$29:$AI$361,0)))</f>
        <v/>
      </c>
      <c r="I189" s="6" t="str">
        <f aca="false">IF($O189="","",INDEX(Scoring!$R$29:$R$361,MATCH($O189,Scoring!$AI$29:$AI$361,0)))</f>
        <v/>
      </c>
      <c r="J189" s="7" t="str">
        <f aca="false">IF($O189="","",INDEX(Scoring!$S$29:$S$361,MATCH($O189,Scoring!$AI$29:$AI$361,0)))</f>
        <v/>
      </c>
      <c r="K189" s="8" t="str">
        <f aca="false">IF($O189="","",IF(INDEX(Scoring!$I$29:$I$361,MATCH($O189,Scoring!$AI$29:$AI$361,0))="",INDEX(Scoring!$AC$29:$AC$361,MATCH($O189,Scoring!$AI$29:$AI$361,0)),INDEX(Scoring!$I$29:$I$361,MATCH($O189,Scoring!$AI$29:$AI$361,0))))</f>
        <v/>
      </c>
      <c r="L189" s="9" t="str">
        <f aca="false">IF($O189="","",INDEX(Scoring!$M$29:$M$361,MATCH($O189,Scoring!$AI$29:$AI$361,0)))</f>
        <v/>
      </c>
      <c r="M189" s="9" t="str">
        <f aca="false">IF($O189="","",INDEX(Scoring!$O$29:$O$361,MATCH($O189,Scoring!$AI$29:$AI$361,0)))</f>
        <v/>
      </c>
      <c r="N189" s="7" t="str">
        <f aca="false">IF($O189="","",INDEX(Scoring!$Y$29:$Y$361,MATCH($O189,Scoring!$AI$29:$AI$361,0)))</f>
        <v/>
      </c>
      <c r="O189" s="10" t="str">
        <f aca="false">IFERROR(SMALL(Scoring!$AI$29:$AI$361,185),"")</f>
        <v/>
      </c>
    </row>
    <row r="190" customFormat="false" ht="15" hidden="false" customHeight="false" outlineLevel="0" collapsed="false">
      <c r="A190" s="5" t="str">
        <f aca="false">IF($O190="","",INT($O190/1000))</f>
        <v/>
      </c>
      <c r="B190" s="6" t="str">
        <f aca="false">IF($O190="","",INDEX(Scoring!$A$29:$A$361,MATCH($O190,Scoring!$AI$29:$AI$361,0)))</f>
        <v/>
      </c>
      <c r="C190" s="5" t="str">
        <f aca="false">IF($O190="","",IF(INDEX(Scoring!$F$29:$F$361,MATCH($O190,Scoring!$AI$29:$AI$361,0))="","–",INDEX(Scoring!$F$29:$F$361,MATCH($O190,Scoring!$AI$29:$AI$361,0))))</f>
        <v/>
      </c>
      <c r="D190" s="6" t="str">
        <f aca="false">IF($O190="","",INDEX(Scoring!$E$29:$E$361,MATCH($O190,Scoring!$AI$29:$AI$361,0)))</f>
        <v/>
      </c>
      <c r="E190" s="7" t="str">
        <f aca="false">IF($O190="","",INDEX(Scoring!$G$29:$G$361,MATCH($O190,Scoring!$AI$29:$AI$361,0)))</f>
        <v/>
      </c>
      <c r="F190" s="6" t="str">
        <f aca="false">IF($O190="","",INDEX(Scoring!$B$29:$B$361,MATCH($O190,Scoring!$AI$29:$AI$361,0)))</f>
        <v/>
      </c>
      <c r="G190" s="7" t="str">
        <f aca="false">IF($O190="","",INDEX(Scoring!$C$29:$C$361,MATCH($O190,Scoring!$AI$29:$AI$361,0)))</f>
        <v/>
      </c>
      <c r="H190" s="7" t="str">
        <f aca="false">IF($O190="","",INDEX(Scoring!$D$29:$D$361,MATCH($O190,Scoring!$AI$29:$AI$361,0)))</f>
        <v/>
      </c>
      <c r="I190" s="6" t="str">
        <f aca="false">IF($O190="","",INDEX(Scoring!$R$29:$R$361,MATCH($O190,Scoring!$AI$29:$AI$361,0)))</f>
        <v/>
      </c>
      <c r="J190" s="7" t="str">
        <f aca="false">IF($O190="","",INDEX(Scoring!$S$29:$S$361,MATCH($O190,Scoring!$AI$29:$AI$361,0)))</f>
        <v/>
      </c>
      <c r="K190" s="8" t="str">
        <f aca="false">IF($O190="","",IF(INDEX(Scoring!$I$29:$I$361,MATCH($O190,Scoring!$AI$29:$AI$361,0))="",INDEX(Scoring!$AC$29:$AC$361,MATCH($O190,Scoring!$AI$29:$AI$361,0)),INDEX(Scoring!$I$29:$I$361,MATCH($O190,Scoring!$AI$29:$AI$361,0))))</f>
        <v/>
      </c>
      <c r="L190" s="9" t="str">
        <f aca="false">IF($O190="","",INDEX(Scoring!$M$29:$M$361,MATCH($O190,Scoring!$AI$29:$AI$361,0)))</f>
        <v/>
      </c>
      <c r="M190" s="9" t="str">
        <f aca="false">IF($O190="","",INDEX(Scoring!$O$29:$O$361,MATCH($O190,Scoring!$AI$29:$AI$361,0)))</f>
        <v/>
      </c>
      <c r="N190" s="7" t="str">
        <f aca="false">IF($O190="","",INDEX(Scoring!$Y$29:$Y$361,MATCH($O190,Scoring!$AI$29:$AI$361,0)))</f>
        <v/>
      </c>
      <c r="O190" s="10" t="str">
        <f aca="false">IFERROR(SMALL(Scoring!$AI$29:$AI$361,186),"")</f>
        <v/>
      </c>
    </row>
    <row r="191" customFormat="false" ht="15" hidden="false" customHeight="false" outlineLevel="0" collapsed="false">
      <c r="A191" s="5" t="str">
        <f aca="false">IF($O191="","",INT($O191/1000))</f>
        <v/>
      </c>
      <c r="B191" s="6" t="str">
        <f aca="false">IF($O191="","",INDEX(Scoring!$A$29:$A$361,MATCH($O191,Scoring!$AI$29:$AI$361,0)))</f>
        <v/>
      </c>
      <c r="C191" s="5" t="str">
        <f aca="false">IF($O191="","",IF(INDEX(Scoring!$F$29:$F$361,MATCH($O191,Scoring!$AI$29:$AI$361,0))="","–",INDEX(Scoring!$F$29:$F$361,MATCH($O191,Scoring!$AI$29:$AI$361,0))))</f>
        <v/>
      </c>
      <c r="D191" s="6" t="str">
        <f aca="false">IF($O191="","",INDEX(Scoring!$E$29:$E$361,MATCH($O191,Scoring!$AI$29:$AI$361,0)))</f>
        <v/>
      </c>
      <c r="E191" s="7" t="str">
        <f aca="false">IF($O191="","",INDEX(Scoring!$G$29:$G$361,MATCH($O191,Scoring!$AI$29:$AI$361,0)))</f>
        <v/>
      </c>
      <c r="F191" s="6" t="str">
        <f aca="false">IF($O191="","",INDEX(Scoring!$B$29:$B$361,MATCH($O191,Scoring!$AI$29:$AI$361,0)))</f>
        <v/>
      </c>
      <c r="G191" s="7" t="str">
        <f aca="false">IF($O191="","",INDEX(Scoring!$C$29:$C$361,MATCH($O191,Scoring!$AI$29:$AI$361,0)))</f>
        <v/>
      </c>
      <c r="H191" s="7" t="str">
        <f aca="false">IF($O191="","",INDEX(Scoring!$D$29:$D$361,MATCH($O191,Scoring!$AI$29:$AI$361,0)))</f>
        <v/>
      </c>
      <c r="I191" s="6" t="str">
        <f aca="false">IF($O191="","",INDEX(Scoring!$R$29:$R$361,MATCH($O191,Scoring!$AI$29:$AI$361,0)))</f>
        <v/>
      </c>
      <c r="J191" s="7" t="str">
        <f aca="false">IF($O191="","",INDEX(Scoring!$S$29:$S$361,MATCH($O191,Scoring!$AI$29:$AI$361,0)))</f>
        <v/>
      </c>
      <c r="K191" s="8" t="str">
        <f aca="false">IF($O191="","",IF(INDEX(Scoring!$I$29:$I$361,MATCH($O191,Scoring!$AI$29:$AI$361,0))="",INDEX(Scoring!$AC$29:$AC$361,MATCH($O191,Scoring!$AI$29:$AI$361,0)),INDEX(Scoring!$I$29:$I$361,MATCH($O191,Scoring!$AI$29:$AI$361,0))))</f>
        <v/>
      </c>
      <c r="L191" s="9" t="str">
        <f aca="false">IF($O191="","",INDEX(Scoring!$M$29:$M$361,MATCH($O191,Scoring!$AI$29:$AI$361,0)))</f>
        <v/>
      </c>
      <c r="M191" s="9" t="str">
        <f aca="false">IF($O191="","",INDEX(Scoring!$O$29:$O$361,MATCH($O191,Scoring!$AI$29:$AI$361,0)))</f>
        <v/>
      </c>
      <c r="N191" s="7" t="str">
        <f aca="false">IF($O191="","",INDEX(Scoring!$Y$29:$Y$361,MATCH($O191,Scoring!$AI$29:$AI$361,0)))</f>
        <v/>
      </c>
      <c r="O191" s="10" t="str">
        <f aca="false">IFERROR(SMALL(Scoring!$AI$29:$AI$361,187),"")</f>
        <v/>
      </c>
    </row>
    <row r="192" customFormat="false" ht="15" hidden="false" customHeight="false" outlineLevel="0" collapsed="false">
      <c r="A192" s="5" t="str">
        <f aca="false">IF($O192="","",INT($O192/1000))</f>
        <v/>
      </c>
      <c r="B192" s="6" t="str">
        <f aca="false">IF($O192="","",INDEX(Scoring!$A$29:$A$361,MATCH($O192,Scoring!$AI$29:$AI$361,0)))</f>
        <v/>
      </c>
      <c r="C192" s="5" t="str">
        <f aca="false">IF($O192="","",IF(INDEX(Scoring!$F$29:$F$361,MATCH($O192,Scoring!$AI$29:$AI$361,0))="","–",INDEX(Scoring!$F$29:$F$361,MATCH($O192,Scoring!$AI$29:$AI$361,0))))</f>
        <v/>
      </c>
      <c r="D192" s="6" t="str">
        <f aca="false">IF($O192="","",INDEX(Scoring!$E$29:$E$361,MATCH($O192,Scoring!$AI$29:$AI$361,0)))</f>
        <v/>
      </c>
      <c r="E192" s="7" t="str">
        <f aca="false">IF($O192="","",INDEX(Scoring!$G$29:$G$361,MATCH($O192,Scoring!$AI$29:$AI$361,0)))</f>
        <v/>
      </c>
      <c r="F192" s="6" t="str">
        <f aca="false">IF($O192="","",INDEX(Scoring!$B$29:$B$361,MATCH($O192,Scoring!$AI$29:$AI$361,0)))</f>
        <v/>
      </c>
      <c r="G192" s="7" t="str">
        <f aca="false">IF($O192="","",INDEX(Scoring!$C$29:$C$361,MATCH($O192,Scoring!$AI$29:$AI$361,0)))</f>
        <v/>
      </c>
      <c r="H192" s="7" t="str">
        <f aca="false">IF($O192="","",INDEX(Scoring!$D$29:$D$361,MATCH($O192,Scoring!$AI$29:$AI$361,0)))</f>
        <v/>
      </c>
      <c r="I192" s="6" t="str">
        <f aca="false">IF($O192="","",INDEX(Scoring!$R$29:$R$361,MATCH($O192,Scoring!$AI$29:$AI$361,0)))</f>
        <v/>
      </c>
      <c r="J192" s="7" t="str">
        <f aca="false">IF($O192="","",INDEX(Scoring!$S$29:$S$361,MATCH($O192,Scoring!$AI$29:$AI$361,0)))</f>
        <v/>
      </c>
      <c r="K192" s="8" t="str">
        <f aca="false">IF($O192="","",IF(INDEX(Scoring!$I$29:$I$361,MATCH($O192,Scoring!$AI$29:$AI$361,0))="",INDEX(Scoring!$AC$29:$AC$361,MATCH($O192,Scoring!$AI$29:$AI$361,0)),INDEX(Scoring!$I$29:$I$361,MATCH($O192,Scoring!$AI$29:$AI$361,0))))</f>
        <v/>
      </c>
      <c r="L192" s="9" t="str">
        <f aca="false">IF($O192="","",INDEX(Scoring!$M$29:$M$361,MATCH($O192,Scoring!$AI$29:$AI$361,0)))</f>
        <v/>
      </c>
      <c r="M192" s="9" t="str">
        <f aca="false">IF($O192="","",INDEX(Scoring!$O$29:$O$361,MATCH($O192,Scoring!$AI$29:$AI$361,0)))</f>
        <v/>
      </c>
      <c r="N192" s="7" t="str">
        <f aca="false">IF($O192="","",INDEX(Scoring!$Y$29:$Y$361,MATCH($O192,Scoring!$AI$29:$AI$361,0)))</f>
        <v/>
      </c>
      <c r="O192" s="10" t="str">
        <f aca="false">IFERROR(SMALL(Scoring!$AI$29:$AI$361,188),"")</f>
        <v/>
      </c>
    </row>
    <row r="193" customFormat="false" ht="15" hidden="false" customHeight="false" outlineLevel="0" collapsed="false">
      <c r="A193" s="5" t="str">
        <f aca="false">IF($O193="","",INT($O193/1000))</f>
        <v/>
      </c>
      <c r="B193" s="6" t="str">
        <f aca="false">IF($O193="","",INDEX(Scoring!$A$29:$A$361,MATCH($O193,Scoring!$AI$29:$AI$361,0)))</f>
        <v/>
      </c>
      <c r="C193" s="5" t="str">
        <f aca="false">IF($O193="","",IF(INDEX(Scoring!$F$29:$F$361,MATCH($O193,Scoring!$AI$29:$AI$361,0))="","–",INDEX(Scoring!$F$29:$F$361,MATCH($O193,Scoring!$AI$29:$AI$361,0))))</f>
        <v/>
      </c>
      <c r="D193" s="6" t="str">
        <f aca="false">IF($O193="","",INDEX(Scoring!$E$29:$E$361,MATCH($O193,Scoring!$AI$29:$AI$361,0)))</f>
        <v/>
      </c>
      <c r="E193" s="7" t="str">
        <f aca="false">IF($O193="","",INDEX(Scoring!$G$29:$G$361,MATCH($O193,Scoring!$AI$29:$AI$361,0)))</f>
        <v/>
      </c>
      <c r="F193" s="6" t="str">
        <f aca="false">IF($O193="","",INDEX(Scoring!$B$29:$B$361,MATCH($O193,Scoring!$AI$29:$AI$361,0)))</f>
        <v/>
      </c>
      <c r="G193" s="7" t="str">
        <f aca="false">IF($O193="","",INDEX(Scoring!$C$29:$C$361,MATCH($O193,Scoring!$AI$29:$AI$361,0)))</f>
        <v/>
      </c>
      <c r="H193" s="7" t="str">
        <f aca="false">IF($O193="","",INDEX(Scoring!$D$29:$D$361,MATCH($O193,Scoring!$AI$29:$AI$361,0)))</f>
        <v/>
      </c>
      <c r="I193" s="6" t="str">
        <f aca="false">IF($O193="","",INDEX(Scoring!$R$29:$R$361,MATCH($O193,Scoring!$AI$29:$AI$361,0)))</f>
        <v/>
      </c>
      <c r="J193" s="7" t="str">
        <f aca="false">IF($O193="","",INDEX(Scoring!$S$29:$S$361,MATCH($O193,Scoring!$AI$29:$AI$361,0)))</f>
        <v/>
      </c>
      <c r="K193" s="8" t="str">
        <f aca="false">IF($O193="","",IF(INDEX(Scoring!$I$29:$I$361,MATCH($O193,Scoring!$AI$29:$AI$361,0))="",INDEX(Scoring!$AC$29:$AC$361,MATCH($O193,Scoring!$AI$29:$AI$361,0)),INDEX(Scoring!$I$29:$I$361,MATCH($O193,Scoring!$AI$29:$AI$361,0))))</f>
        <v/>
      </c>
      <c r="L193" s="9" t="str">
        <f aca="false">IF($O193="","",INDEX(Scoring!$M$29:$M$361,MATCH($O193,Scoring!$AI$29:$AI$361,0)))</f>
        <v/>
      </c>
      <c r="M193" s="9" t="str">
        <f aca="false">IF($O193="","",INDEX(Scoring!$O$29:$O$361,MATCH($O193,Scoring!$AI$29:$AI$361,0)))</f>
        <v/>
      </c>
      <c r="N193" s="7" t="str">
        <f aca="false">IF($O193="","",INDEX(Scoring!$Y$29:$Y$361,MATCH($O193,Scoring!$AI$29:$AI$361,0)))</f>
        <v/>
      </c>
      <c r="O193" s="10" t="str">
        <f aca="false">IFERROR(SMALL(Scoring!$AI$29:$AI$361,189),"")</f>
        <v/>
      </c>
    </row>
    <row r="194" customFormat="false" ht="15" hidden="false" customHeight="false" outlineLevel="0" collapsed="false">
      <c r="A194" s="5" t="str">
        <f aca="false">IF($O194="","",INT($O194/1000))</f>
        <v/>
      </c>
      <c r="B194" s="6" t="str">
        <f aca="false">IF($O194="","",INDEX(Scoring!$A$29:$A$361,MATCH($O194,Scoring!$AI$29:$AI$361,0)))</f>
        <v/>
      </c>
      <c r="C194" s="5" t="str">
        <f aca="false">IF($O194="","",IF(INDEX(Scoring!$F$29:$F$361,MATCH($O194,Scoring!$AI$29:$AI$361,0))="","–",INDEX(Scoring!$F$29:$F$361,MATCH($O194,Scoring!$AI$29:$AI$361,0))))</f>
        <v/>
      </c>
      <c r="D194" s="6" t="str">
        <f aca="false">IF($O194="","",INDEX(Scoring!$E$29:$E$361,MATCH($O194,Scoring!$AI$29:$AI$361,0)))</f>
        <v/>
      </c>
      <c r="E194" s="7" t="str">
        <f aca="false">IF($O194="","",INDEX(Scoring!$G$29:$G$361,MATCH($O194,Scoring!$AI$29:$AI$361,0)))</f>
        <v/>
      </c>
      <c r="F194" s="6" t="str">
        <f aca="false">IF($O194="","",INDEX(Scoring!$B$29:$B$361,MATCH($O194,Scoring!$AI$29:$AI$361,0)))</f>
        <v/>
      </c>
      <c r="G194" s="7" t="str">
        <f aca="false">IF($O194="","",INDEX(Scoring!$C$29:$C$361,MATCH($O194,Scoring!$AI$29:$AI$361,0)))</f>
        <v/>
      </c>
      <c r="H194" s="7" t="str">
        <f aca="false">IF($O194="","",INDEX(Scoring!$D$29:$D$361,MATCH($O194,Scoring!$AI$29:$AI$361,0)))</f>
        <v/>
      </c>
      <c r="I194" s="6" t="str">
        <f aca="false">IF($O194="","",INDEX(Scoring!$R$29:$R$361,MATCH($O194,Scoring!$AI$29:$AI$361,0)))</f>
        <v/>
      </c>
      <c r="J194" s="7" t="str">
        <f aca="false">IF($O194="","",INDEX(Scoring!$S$29:$S$361,MATCH($O194,Scoring!$AI$29:$AI$361,0)))</f>
        <v/>
      </c>
      <c r="K194" s="8" t="str">
        <f aca="false">IF($O194="","",IF(INDEX(Scoring!$I$29:$I$361,MATCH($O194,Scoring!$AI$29:$AI$361,0))="",INDEX(Scoring!$AC$29:$AC$361,MATCH($O194,Scoring!$AI$29:$AI$361,0)),INDEX(Scoring!$I$29:$I$361,MATCH($O194,Scoring!$AI$29:$AI$361,0))))</f>
        <v/>
      </c>
      <c r="L194" s="9" t="str">
        <f aca="false">IF($O194="","",INDEX(Scoring!$M$29:$M$361,MATCH($O194,Scoring!$AI$29:$AI$361,0)))</f>
        <v/>
      </c>
      <c r="M194" s="9" t="str">
        <f aca="false">IF($O194="","",INDEX(Scoring!$O$29:$O$361,MATCH($O194,Scoring!$AI$29:$AI$361,0)))</f>
        <v/>
      </c>
      <c r="N194" s="7" t="str">
        <f aca="false">IF($O194="","",INDEX(Scoring!$Y$29:$Y$361,MATCH($O194,Scoring!$AI$29:$AI$361,0)))</f>
        <v/>
      </c>
      <c r="O194" s="10" t="str">
        <f aca="false">IFERROR(SMALL(Scoring!$AI$29:$AI$361,190),"")</f>
        <v/>
      </c>
    </row>
    <row r="195" customFormat="false" ht="15" hidden="false" customHeight="false" outlineLevel="0" collapsed="false">
      <c r="A195" s="5" t="str">
        <f aca="false">IF($O195="","",INT($O195/1000))</f>
        <v/>
      </c>
      <c r="B195" s="6" t="str">
        <f aca="false">IF($O195="","",INDEX(Scoring!$A$29:$A$361,MATCH($O195,Scoring!$AI$29:$AI$361,0)))</f>
        <v/>
      </c>
      <c r="C195" s="5" t="str">
        <f aca="false">IF($O195="","",IF(INDEX(Scoring!$F$29:$F$361,MATCH($O195,Scoring!$AI$29:$AI$361,0))="","–",INDEX(Scoring!$F$29:$F$361,MATCH($O195,Scoring!$AI$29:$AI$361,0))))</f>
        <v/>
      </c>
      <c r="D195" s="6" t="str">
        <f aca="false">IF($O195="","",INDEX(Scoring!$E$29:$E$361,MATCH($O195,Scoring!$AI$29:$AI$361,0)))</f>
        <v/>
      </c>
      <c r="E195" s="7" t="str">
        <f aca="false">IF($O195="","",INDEX(Scoring!$G$29:$G$361,MATCH($O195,Scoring!$AI$29:$AI$361,0)))</f>
        <v/>
      </c>
      <c r="F195" s="6" t="str">
        <f aca="false">IF($O195="","",INDEX(Scoring!$B$29:$B$361,MATCH($O195,Scoring!$AI$29:$AI$361,0)))</f>
        <v/>
      </c>
      <c r="G195" s="7" t="str">
        <f aca="false">IF($O195="","",INDEX(Scoring!$C$29:$C$361,MATCH($O195,Scoring!$AI$29:$AI$361,0)))</f>
        <v/>
      </c>
      <c r="H195" s="7" t="str">
        <f aca="false">IF($O195="","",INDEX(Scoring!$D$29:$D$361,MATCH($O195,Scoring!$AI$29:$AI$361,0)))</f>
        <v/>
      </c>
      <c r="I195" s="6" t="str">
        <f aca="false">IF($O195="","",INDEX(Scoring!$R$29:$R$361,MATCH($O195,Scoring!$AI$29:$AI$361,0)))</f>
        <v/>
      </c>
      <c r="J195" s="7" t="str">
        <f aca="false">IF($O195="","",INDEX(Scoring!$S$29:$S$361,MATCH($O195,Scoring!$AI$29:$AI$361,0)))</f>
        <v/>
      </c>
      <c r="K195" s="8" t="str">
        <f aca="false">IF($O195="","",IF(INDEX(Scoring!$I$29:$I$361,MATCH($O195,Scoring!$AI$29:$AI$361,0))="",INDEX(Scoring!$AC$29:$AC$361,MATCH($O195,Scoring!$AI$29:$AI$361,0)),INDEX(Scoring!$I$29:$I$361,MATCH($O195,Scoring!$AI$29:$AI$361,0))))</f>
        <v/>
      </c>
      <c r="L195" s="9" t="str">
        <f aca="false">IF($O195="","",INDEX(Scoring!$M$29:$M$361,MATCH($O195,Scoring!$AI$29:$AI$361,0)))</f>
        <v/>
      </c>
      <c r="M195" s="9" t="str">
        <f aca="false">IF($O195="","",INDEX(Scoring!$O$29:$O$361,MATCH($O195,Scoring!$AI$29:$AI$361,0)))</f>
        <v/>
      </c>
      <c r="N195" s="7" t="str">
        <f aca="false">IF($O195="","",INDEX(Scoring!$Y$29:$Y$361,MATCH($O195,Scoring!$AI$29:$AI$361,0)))</f>
        <v/>
      </c>
      <c r="O195" s="10" t="str">
        <f aca="false">IFERROR(SMALL(Scoring!$AI$29:$AI$361,191),"")</f>
        <v/>
      </c>
    </row>
    <row r="196" customFormat="false" ht="15" hidden="false" customHeight="false" outlineLevel="0" collapsed="false">
      <c r="A196" s="5" t="str">
        <f aca="false">IF($O196="","",INT($O196/1000))</f>
        <v/>
      </c>
      <c r="B196" s="6" t="str">
        <f aca="false">IF($O196="","",INDEX(Scoring!$A$29:$A$361,MATCH($O196,Scoring!$AI$29:$AI$361,0)))</f>
        <v/>
      </c>
      <c r="C196" s="5" t="str">
        <f aca="false">IF($O196="","",IF(INDEX(Scoring!$F$29:$F$361,MATCH($O196,Scoring!$AI$29:$AI$361,0))="","–",INDEX(Scoring!$F$29:$F$361,MATCH($O196,Scoring!$AI$29:$AI$361,0))))</f>
        <v/>
      </c>
      <c r="D196" s="6" t="str">
        <f aca="false">IF($O196="","",INDEX(Scoring!$E$29:$E$361,MATCH($O196,Scoring!$AI$29:$AI$361,0)))</f>
        <v/>
      </c>
      <c r="E196" s="7" t="str">
        <f aca="false">IF($O196="","",INDEX(Scoring!$G$29:$G$361,MATCH($O196,Scoring!$AI$29:$AI$361,0)))</f>
        <v/>
      </c>
      <c r="F196" s="6" t="str">
        <f aca="false">IF($O196="","",INDEX(Scoring!$B$29:$B$361,MATCH($O196,Scoring!$AI$29:$AI$361,0)))</f>
        <v/>
      </c>
      <c r="G196" s="7" t="str">
        <f aca="false">IF($O196="","",INDEX(Scoring!$C$29:$C$361,MATCH($O196,Scoring!$AI$29:$AI$361,0)))</f>
        <v/>
      </c>
      <c r="H196" s="7" t="str">
        <f aca="false">IF($O196="","",INDEX(Scoring!$D$29:$D$361,MATCH($O196,Scoring!$AI$29:$AI$361,0)))</f>
        <v/>
      </c>
      <c r="I196" s="6" t="str">
        <f aca="false">IF($O196="","",INDEX(Scoring!$R$29:$R$361,MATCH($O196,Scoring!$AI$29:$AI$361,0)))</f>
        <v/>
      </c>
      <c r="J196" s="7" t="str">
        <f aca="false">IF($O196="","",INDEX(Scoring!$S$29:$S$361,MATCH($O196,Scoring!$AI$29:$AI$361,0)))</f>
        <v/>
      </c>
      <c r="K196" s="8" t="str">
        <f aca="false">IF($O196="","",IF(INDEX(Scoring!$I$29:$I$361,MATCH($O196,Scoring!$AI$29:$AI$361,0))="",INDEX(Scoring!$AC$29:$AC$361,MATCH($O196,Scoring!$AI$29:$AI$361,0)),INDEX(Scoring!$I$29:$I$361,MATCH($O196,Scoring!$AI$29:$AI$361,0))))</f>
        <v/>
      </c>
      <c r="L196" s="9" t="str">
        <f aca="false">IF($O196="","",INDEX(Scoring!$M$29:$M$361,MATCH($O196,Scoring!$AI$29:$AI$361,0)))</f>
        <v/>
      </c>
      <c r="M196" s="9" t="str">
        <f aca="false">IF($O196="","",INDEX(Scoring!$O$29:$O$361,MATCH($O196,Scoring!$AI$29:$AI$361,0)))</f>
        <v/>
      </c>
      <c r="N196" s="7" t="str">
        <f aca="false">IF($O196="","",INDEX(Scoring!$Y$29:$Y$361,MATCH($O196,Scoring!$AI$29:$AI$361,0)))</f>
        <v/>
      </c>
      <c r="O196" s="10" t="str">
        <f aca="false">IFERROR(SMALL(Scoring!$AI$29:$AI$361,192),"")</f>
        <v/>
      </c>
    </row>
    <row r="197" customFormat="false" ht="15" hidden="false" customHeight="false" outlineLevel="0" collapsed="false">
      <c r="A197" s="5" t="str">
        <f aca="false">IF($O197="","",INT($O197/1000))</f>
        <v/>
      </c>
      <c r="B197" s="6" t="str">
        <f aca="false">IF($O197="","",INDEX(Scoring!$A$29:$A$361,MATCH($O197,Scoring!$AI$29:$AI$361,0)))</f>
        <v/>
      </c>
      <c r="C197" s="5" t="str">
        <f aca="false">IF($O197="","",IF(INDEX(Scoring!$F$29:$F$361,MATCH($O197,Scoring!$AI$29:$AI$361,0))="","–",INDEX(Scoring!$F$29:$F$361,MATCH($O197,Scoring!$AI$29:$AI$361,0))))</f>
        <v/>
      </c>
      <c r="D197" s="6" t="str">
        <f aca="false">IF($O197="","",INDEX(Scoring!$E$29:$E$361,MATCH($O197,Scoring!$AI$29:$AI$361,0)))</f>
        <v/>
      </c>
      <c r="E197" s="7" t="str">
        <f aca="false">IF($O197="","",INDEX(Scoring!$G$29:$G$361,MATCH($O197,Scoring!$AI$29:$AI$361,0)))</f>
        <v/>
      </c>
      <c r="F197" s="6" t="str">
        <f aca="false">IF($O197="","",INDEX(Scoring!$B$29:$B$361,MATCH($O197,Scoring!$AI$29:$AI$361,0)))</f>
        <v/>
      </c>
      <c r="G197" s="7" t="str">
        <f aca="false">IF($O197="","",INDEX(Scoring!$C$29:$C$361,MATCH($O197,Scoring!$AI$29:$AI$361,0)))</f>
        <v/>
      </c>
      <c r="H197" s="7" t="str">
        <f aca="false">IF($O197="","",INDEX(Scoring!$D$29:$D$361,MATCH($O197,Scoring!$AI$29:$AI$361,0)))</f>
        <v/>
      </c>
      <c r="I197" s="6" t="str">
        <f aca="false">IF($O197="","",INDEX(Scoring!$R$29:$R$361,MATCH($O197,Scoring!$AI$29:$AI$361,0)))</f>
        <v/>
      </c>
      <c r="J197" s="7" t="str">
        <f aca="false">IF($O197="","",INDEX(Scoring!$S$29:$S$361,MATCH($O197,Scoring!$AI$29:$AI$361,0)))</f>
        <v/>
      </c>
      <c r="K197" s="8" t="str">
        <f aca="false">IF($O197="","",IF(INDEX(Scoring!$I$29:$I$361,MATCH($O197,Scoring!$AI$29:$AI$361,0))="",INDEX(Scoring!$AC$29:$AC$361,MATCH($O197,Scoring!$AI$29:$AI$361,0)),INDEX(Scoring!$I$29:$I$361,MATCH($O197,Scoring!$AI$29:$AI$361,0))))</f>
        <v/>
      </c>
      <c r="L197" s="9" t="str">
        <f aca="false">IF($O197="","",INDEX(Scoring!$M$29:$M$361,MATCH($O197,Scoring!$AI$29:$AI$361,0)))</f>
        <v/>
      </c>
      <c r="M197" s="9" t="str">
        <f aca="false">IF($O197="","",INDEX(Scoring!$O$29:$O$361,MATCH($O197,Scoring!$AI$29:$AI$361,0)))</f>
        <v/>
      </c>
      <c r="N197" s="7" t="str">
        <f aca="false">IF($O197="","",INDEX(Scoring!$Y$29:$Y$361,MATCH($O197,Scoring!$AI$29:$AI$361,0)))</f>
        <v/>
      </c>
      <c r="O197" s="10" t="str">
        <f aca="false">IFERROR(SMALL(Scoring!$AI$29:$AI$361,193),"")</f>
        <v/>
      </c>
    </row>
    <row r="198" customFormat="false" ht="15" hidden="false" customHeight="false" outlineLevel="0" collapsed="false">
      <c r="A198" s="5" t="str">
        <f aca="false">IF($O198="","",INT($O198/1000))</f>
        <v/>
      </c>
      <c r="B198" s="6" t="str">
        <f aca="false">IF($O198="","",INDEX(Scoring!$A$29:$A$361,MATCH($O198,Scoring!$AI$29:$AI$361,0)))</f>
        <v/>
      </c>
      <c r="C198" s="5" t="str">
        <f aca="false">IF($O198="","",IF(INDEX(Scoring!$F$29:$F$361,MATCH($O198,Scoring!$AI$29:$AI$361,0))="","–",INDEX(Scoring!$F$29:$F$361,MATCH($O198,Scoring!$AI$29:$AI$361,0))))</f>
        <v/>
      </c>
      <c r="D198" s="6" t="str">
        <f aca="false">IF($O198="","",INDEX(Scoring!$E$29:$E$361,MATCH($O198,Scoring!$AI$29:$AI$361,0)))</f>
        <v/>
      </c>
      <c r="E198" s="7" t="str">
        <f aca="false">IF($O198="","",INDEX(Scoring!$G$29:$G$361,MATCH($O198,Scoring!$AI$29:$AI$361,0)))</f>
        <v/>
      </c>
      <c r="F198" s="6" t="str">
        <f aca="false">IF($O198="","",INDEX(Scoring!$B$29:$B$361,MATCH($O198,Scoring!$AI$29:$AI$361,0)))</f>
        <v/>
      </c>
      <c r="G198" s="7" t="str">
        <f aca="false">IF($O198="","",INDEX(Scoring!$C$29:$C$361,MATCH($O198,Scoring!$AI$29:$AI$361,0)))</f>
        <v/>
      </c>
      <c r="H198" s="7" t="str">
        <f aca="false">IF($O198="","",INDEX(Scoring!$D$29:$D$361,MATCH($O198,Scoring!$AI$29:$AI$361,0)))</f>
        <v/>
      </c>
      <c r="I198" s="6" t="str">
        <f aca="false">IF($O198="","",INDEX(Scoring!$R$29:$R$361,MATCH($O198,Scoring!$AI$29:$AI$361,0)))</f>
        <v/>
      </c>
      <c r="J198" s="7" t="str">
        <f aca="false">IF($O198="","",INDEX(Scoring!$S$29:$S$361,MATCH($O198,Scoring!$AI$29:$AI$361,0)))</f>
        <v/>
      </c>
      <c r="K198" s="8" t="str">
        <f aca="false">IF($O198="","",IF(INDEX(Scoring!$I$29:$I$361,MATCH($O198,Scoring!$AI$29:$AI$361,0))="",INDEX(Scoring!$AC$29:$AC$361,MATCH($O198,Scoring!$AI$29:$AI$361,0)),INDEX(Scoring!$I$29:$I$361,MATCH($O198,Scoring!$AI$29:$AI$361,0))))</f>
        <v/>
      </c>
      <c r="L198" s="9" t="str">
        <f aca="false">IF($O198="","",INDEX(Scoring!$M$29:$M$361,MATCH($O198,Scoring!$AI$29:$AI$361,0)))</f>
        <v/>
      </c>
      <c r="M198" s="9" t="str">
        <f aca="false">IF($O198="","",INDEX(Scoring!$O$29:$O$361,MATCH($O198,Scoring!$AI$29:$AI$361,0)))</f>
        <v/>
      </c>
      <c r="N198" s="7" t="str">
        <f aca="false">IF($O198="","",INDEX(Scoring!$Y$29:$Y$361,MATCH($O198,Scoring!$AI$29:$AI$361,0)))</f>
        <v/>
      </c>
      <c r="O198" s="10" t="str">
        <f aca="false">IFERROR(SMALL(Scoring!$AI$29:$AI$361,194),"")</f>
        <v/>
      </c>
    </row>
    <row r="199" customFormat="false" ht="15" hidden="false" customHeight="false" outlineLevel="0" collapsed="false">
      <c r="A199" s="5" t="str">
        <f aca="false">IF($O199="","",INT($O199/1000))</f>
        <v/>
      </c>
      <c r="B199" s="6" t="str">
        <f aca="false">IF($O199="","",INDEX(Scoring!$A$29:$A$361,MATCH($O199,Scoring!$AI$29:$AI$361,0)))</f>
        <v/>
      </c>
      <c r="C199" s="5" t="str">
        <f aca="false">IF($O199="","",IF(INDEX(Scoring!$F$29:$F$361,MATCH($O199,Scoring!$AI$29:$AI$361,0))="","–",INDEX(Scoring!$F$29:$F$361,MATCH($O199,Scoring!$AI$29:$AI$361,0))))</f>
        <v/>
      </c>
      <c r="D199" s="6" t="str">
        <f aca="false">IF($O199="","",INDEX(Scoring!$E$29:$E$361,MATCH($O199,Scoring!$AI$29:$AI$361,0)))</f>
        <v/>
      </c>
      <c r="E199" s="7" t="str">
        <f aca="false">IF($O199="","",INDEX(Scoring!$G$29:$G$361,MATCH($O199,Scoring!$AI$29:$AI$361,0)))</f>
        <v/>
      </c>
      <c r="F199" s="6" t="str">
        <f aca="false">IF($O199="","",INDEX(Scoring!$B$29:$B$361,MATCH($O199,Scoring!$AI$29:$AI$361,0)))</f>
        <v/>
      </c>
      <c r="G199" s="7" t="str">
        <f aca="false">IF($O199="","",INDEX(Scoring!$C$29:$C$361,MATCH($O199,Scoring!$AI$29:$AI$361,0)))</f>
        <v/>
      </c>
      <c r="H199" s="7" t="str">
        <f aca="false">IF($O199="","",INDEX(Scoring!$D$29:$D$361,MATCH($O199,Scoring!$AI$29:$AI$361,0)))</f>
        <v/>
      </c>
      <c r="I199" s="6" t="str">
        <f aca="false">IF($O199="","",INDEX(Scoring!$R$29:$R$361,MATCH($O199,Scoring!$AI$29:$AI$361,0)))</f>
        <v/>
      </c>
      <c r="J199" s="7" t="str">
        <f aca="false">IF($O199="","",INDEX(Scoring!$S$29:$S$361,MATCH($O199,Scoring!$AI$29:$AI$361,0)))</f>
        <v/>
      </c>
      <c r="K199" s="8" t="str">
        <f aca="false">IF($O199="","",IF(INDEX(Scoring!$I$29:$I$361,MATCH($O199,Scoring!$AI$29:$AI$361,0))="",INDEX(Scoring!$AC$29:$AC$361,MATCH($O199,Scoring!$AI$29:$AI$361,0)),INDEX(Scoring!$I$29:$I$361,MATCH($O199,Scoring!$AI$29:$AI$361,0))))</f>
        <v/>
      </c>
      <c r="L199" s="9" t="str">
        <f aca="false">IF($O199="","",INDEX(Scoring!$M$29:$M$361,MATCH($O199,Scoring!$AI$29:$AI$361,0)))</f>
        <v/>
      </c>
      <c r="M199" s="9" t="str">
        <f aca="false">IF($O199="","",INDEX(Scoring!$O$29:$O$361,MATCH($O199,Scoring!$AI$29:$AI$361,0)))</f>
        <v/>
      </c>
      <c r="N199" s="7" t="str">
        <f aca="false">IF($O199="","",INDEX(Scoring!$Y$29:$Y$361,MATCH($O199,Scoring!$AI$29:$AI$361,0)))</f>
        <v/>
      </c>
      <c r="O199" s="10" t="str">
        <f aca="false">IFERROR(SMALL(Scoring!$AI$29:$AI$361,195),"")</f>
        <v/>
      </c>
    </row>
    <row r="200" customFormat="false" ht="15" hidden="false" customHeight="false" outlineLevel="0" collapsed="false">
      <c r="A200" s="5" t="str">
        <f aca="false">IF($O200="","",INT($O200/1000))</f>
        <v/>
      </c>
      <c r="B200" s="6" t="str">
        <f aca="false">IF($O200="","",INDEX(Scoring!$A$29:$A$361,MATCH($O200,Scoring!$AI$29:$AI$361,0)))</f>
        <v/>
      </c>
      <c r="C200" s="5" t="str">
        <f aca="false">IF($O200="","",IF(INDEX(Scoring!$F$29:$F$361,MATCH($O200,Scoring!$AI$29:$AI$361,0))="","–",INDEX(Scoring!$F$29:$F$361,MATCH($O200,Scoring!$AI$29:$AI$361,0))))</f>
        <v/>
      </c>
      <c r="D200" s="6" t="str">
        <f aca="false">IF($O200="","",INDEX(Scoring!$E$29:$E$361,MATCH($O200,Scoring!$AI$29:$AI$361,0)))</f>
        <v/>
      </c>
      <c r="E200" s="7" t="str">
        <f aca="false">IF($O200="","",INDEX(Scoring!$G$29:$G$361,MATCH($O200,Scoring!$AI$29:$AI$361,0)))</f>
        <v/>
      </c>
      <c r="F200" s="6" t="str">
        <f aca="false">IF($O200="","",INDEX(Scoring!$B$29:$B$361,MATCH($O200,Scoring!$AI$29:$AI$361,0)))</f>
        <v/>
      </c>
      <c r="G200" s="7" t="str">
        <f aca="false">IF($O200="","",INDEX(Scoring!$C$29:$C$361,MATCH($O200,Scoring!$AI$29:$AI$361,0)))</f>
        <v/>
      </c>
      <c r="H200" s="7" t="str">
        <f aca="false">IF($O200="","",INDEX(Scoring!$D$29:$D$361,MATCH($O200,Scoring!$AI$29:$AI$361,0)))</f>
        <v/>
      </c>
      <c r="I200" s="6" t="str">
        <f aca="false">IF($O200="","",INDEX(Scoring!$R$29:$R$361,MATCH($O200,Scoring!$AI$29:$AI$361,0)))</f>
        <v/>
      </c>
      <c r="J200" s="7" t="str">
        <f aca="false">IF($O200="","",INDEX(Scoring!$S$29:$S$361,MATCH($O200,Scoring!$AI$29:$AI$361,0)))</f>
        <v/>
      </c>
      <c r="K200" s="8" t="str">
        <f aca="false">IF($O200="","",IF(INDEX(Scoring!$I$29:$I$361,MATCH($O200,Scoring!$AI$29:$AI$361,0))="",INDEX(Scoring!$AC$29:$AC$361,MATCH($O200,Scoring!$AI$29:$AI$361,0)),INDEX(Scoring!$I$29:$I$361,MATCH($O200,Scoring!$AI$29:$AI$361,0))))</f>
        <v/>
      </c>
      <c r="L200" s="9" t="str">
        <f aca="false">IF($O200="","",INDEX(Scoring!$M$29:$M$361,MATCH($O200,Scoring!$AI$29:$AI$361,0)))</f>
        <v/>
      </c>
      <c r="M200" s="9" t="str">
        <f aca="false">IF($O200="","",INDEX(Scoring!$O$29:$O$361,MATCH($O200,Scoring!$AI$29:$AI$361,0)))</f>
        <v/>
      </c>
      <c r="N200" s="7" t="str">
        <f aca="false">IF($O200="","",INDEX(Scoring!$Y$29:$Y$361,MATCH($O200,Scoring!$AI$29:$AI$361,0)))</f>
        <v/>
      </c>
      <c r="O200" s="10" t="str">
        <f aca="false">IFERROR(SMALL(Scoring!$AI$29:$AI$361,196),"")</f>
        <v/>
      </c>
    </row>
    <row r="201" customFormat="false" ht="15" hidden="false" customHeight="false" outlineLevel="0" collapsed="false">
      <c r="A201" s="5" t="str">
        <f aca="false">IF($O201="","",INT($O201/1000))</f>
        <v/>
      </c>
      <c r="B201" s="6" t="str">
        <f aca="false">IF($O201="","",INDEX(Scoring!$A$29:$A$361,MATCH($O201,Scoring!$AI$29:$AI$361,0)))</f>
        <v/>
      </c>
      <c r="C201" s="5" t="str">
        <f aca="false">IF($O201="","",IF(INDEX(Scoring!$F$29:$F$361,MATCH($O201,Scoring!$AI$29:$AI$361,0))="","–",INDEX(Scoring!$F$29:$F$361,MATCH($O201,Scoring!$AI$29:$AI$361,0))))</f>
        <v/>
      </c>
      <c r="D201" s="6" t="str">
        <f aca="false">IF($O201="","",INDEX(Scoring!$E$29:$E$361,MATCH($O201,Scoring!$AI$29:$AI$361,0)))</f>
        <v/>
      </c>
      <c r="E201" s="7" t="str">
        <f aca="false">IF($O201="","",INDEX(Scoring!$G$29:$G$361,MATCH($O201,Scoring!$AI$29:$AI$361,0)))</f>
        <v/>
      </c>
      <c r="F201" s="6" t="str">
        <f aca="false">IF($O201="","",INDEX(Scoring!$B$29:$B$361,MATCH($O201,Scoring!$AI$29:$AI$361,0)))</f>
        <v/>
      </c>
      <c r="G201" s="7" t="str">
        <f aca="false">IF($O201="","",INDEX(Scoring!$C$29:$C$361,MATCH($O201,Scoring!$AI$29:$AI$361,0)))</f>
        <v/>
      </c>
      <c r="H201" s="7" t="str">
        <f aca="false">IF($O201="","",INDEX(Scoring!$D$29:$D$361,MATCH($O201,Scoring!$AI$29:$AI$361,0)))</f>
        <v/>
      </c>
      <c r="I201" s="6" t="str">
        <f aca="false">IF($O201="","",INDEX(Scoring!$R$29:$R$361,MATCH($O201,Scoring!$AI$29:$AI$361,0)))</f>
        <v/>
      </c>
      <c r="J201" s="7" t="str">
        <f aca="false">IF($O201="","",INDEX(Scoring!$S$29:$S$361,MATCH($O201,Scoring!$AI$29:$AI$361,0)))</f>
        <v/>
      </c>
      <c r="K201" s="8" t="str">
        <f aca="false">IF($O201="","",IF(INDEX(Scoring!$I$29:$I$361,MATCH($O201,Scoring!$AI$29:$AI$361,0))="",INDEX(Scoring!$AC$29:$AC$361,MATCH($O201,Scoring!$AI$29:$AI$361,0)),INDEX(Scoring!$I$29:$I$361,MATCH($O201,Scoring!$AI$29:$AI$361,0))))</f>
        <v/>
      </c>
      <c r="L201" s="9" t="str">
        <f aca="false">IF($O201="","",INDEX(Scoring!$M$29:$M$361,MATCH($O201,Scoring!$AI$29:$AI$361,0)))</f>
        <v/>
      </c>
      <c r="M201" s="9" t="str">
        <f aca="false">IF($O201="","",INDEX(Scoring!$O$29:$O$361,MATCH($O201,Scoring!$AI$29:$AI$361,0)))</f>
        <v/>
      </c>
      <c r="N201" s="7" t="str">
        <f aca="false">IF($O201="","",INDEX(Scoring!$Y$29:$Y$361,MATCH($O201,Scoring!$AI$29:$AI$361,0)))</f>
        <v/>
      </c>
      <c r="O201" s="10" t="str">
        <f aca="false">IFERROR(SMALL(Scoring!$AI$29:$AI$361,197),"")</f>
        <v/>
      </c>
    </row>
    <row r="202" customFormat="false" ht="15" hidden="false" customHeight="false" outlineLevel="0" collapsed="false">
      <c r="A202" s="5" t="str">
        <f aca="false">IF($O202="","",INT($O202/1000))</f>
        <v/>
      </c>
      <c r="B202" s="6" t="str">
        <f aca="false">IF($O202="","",INDEX(Scoring!$A$29:$A$361,MATCH($O202,Scoring!$AI$29:$AI$361,0)))</f>
        <v/>
      </c>
      <c r="C202" s="5" t="str">
        <f aca="false">IF($O202="","",IF(INDEX(Scoring!$F$29:$F$361,MATCH($O202,Scoring!$AI$29:$AI$361,0))="","–",INDEX(Scoring!$F$29:$F$361,MATCH($O202,Scoring!$AI$29:$AI$361,0))))</f>
        <v/>
      </c>
      <c r="D202" s="6" t="str">
        <f aca="false">IF($O202="","",INDEX(Scoring!$E$29:$E$361,MATCH($O202,Scoring!$AI$29:$AI$361,0)))</f>
        <v/>
      </c>
      <c r="E202" s="7" t="str">
        <f aca="false">IF($O202="","",INDEX(Scoring!$G$29:$G$361,MATCH($O202,Scoring!$AI$29:$AI$361,0)))</f>
        <v/>
      </c>
      <c r="F202" s="6" t="str">
        <f aca="false">IF($O202="","",INDEX(Scoring!$B$29:$B$361,MATCH($O202,Scoring!$AI$29:$AI$361,0)))</f>
        <v/>
      </c>
      <c r="G202" s="7" t="str">
        <f aca="false">IF($O202="","",INDEX(Scoring!$C$29:$C$361,MATCH($O202,Scoring!$AI$29:$AI$361,0)))</f>
        <v/>
      </c>
      <c r="H202" s="7" t="str">
        <f aca="false">IF($O202="","",INDEX(Scoring!$D$29:$D$361,MATCH($O202,Scoring!$AI$29:$AI$361,0)))</f>
        <v/>
      </c>
      <c r="I202" s="6" t="str">
        <f aca="false">IF($O202="","",INDEX(Scoring!$R$29:$R$361,MATCH($O202,Scoring!$AI$29:$AI$361,0)))</f>
        <v/>
      </c>
      <c r="J202" s="7" t="str">
        <f aca="false">IF($O202="","",INDEX(Scoring!$S$29:$S$361,MATCH($O202,Scoring!$AI$29:$AI$361,0)))</f>
        <v/>
      </c>
      <c r="K202" s="8" t="str">
        <f aca="false">IF($O202="","",IF(INDEX(Scoring!$I$29:$I$361,MATCH($O202,Scoring!$AI$29:$AI$361,0))="",INDEX(Scoring!$AC$29:$AC$361,MATCH($O202,Scoring!$AI$29:$AI$361,0)),INDEX(Scoring!$I$29:$I$361,MATCH($O202,Scoring!$AI$29:$AI$361,0))))</f>
        <v/>
      </c>
      <c r="L202" s="9" t="str">
        <f aca="false">IF($O202="","",INDEX(Scoring!$M$29:$M$361,MATCH($O202,Scoring!$AI$29:$AI$361,0)))</f>
        <v/>
      </c>
      <c r="M202" s="9" t="str">
        <f aca="false">IF($O202="","",INDEX(Scoring!$O$29:$O$361,MATCH($O202,Scoring!$AI$29:$AI$361,0)))</f>
        <v/>
      </c>
      <c r="N202" s="7" t="str">
        <f aca="false">IF($O202="","",INDEX(Scoring!$Y$29:$Y$361,MATCH($O202,Scoring!$AI$29:$AI$361,0)))</f>
        <v/>
      </c>
      <c r="O202" s="10" t="str">
        <f aca="false">IFERROR(SMALL(Scoring!$AI$29:$AI$361,198),"")</f>
        <v/>
      </c>
    </row>
    <row r="203" customFormat="false" ht="15" hidden="false" customHeight="false" outlineLevel="0" collapsed="false">
      <c r="A203" s="5" t="str">
        <f aca="false">IF($O203="","",INT($O203/1000))</f>
        <v/>
      </c>
      <c r="B203" s="6" t="str">
        <f aca="false">IF($O203="","",INDEX(Scoring!$A$29:$A$361,MATCH($O203,Scoring!$AI$29:$AI$361,0)))</f>
        <v/>
      </c>
      <c r="C203" s="5" t="str">
        <f aca="false">IF($O203="","",IF(INDEX(Scoring!$F$29:$F$361,MATCH($O203,Scoring!$AI$29:$AI$361,0))="","–",INDEX(Scoring!$F$29:$F$361,MATCH($O203,Scoring!$AI$29:$AI$361,0))))</f>
        <v/>
      </c>
      <c r="D203" s="6" t="str">
        <f aca="false">IF($O203="","",INDEX(Scoring!$E$29:$E$361,MATCH($O203,Scoring!$AI$29:$AI$361,0)))</f>
        <v/>
      </c>
      <c r="E203" s="7" t="str">
        <f aca="false">IF($O203="","",INDEX(Scoring!$G$29:$G$361,MATCH($O203,Scoring!$AI$29:$AI$361,0)))</f>
        <v/>
      </c>
      <c r="F203" s="6" t="str">
        <f aca="false">IF($O203="","",INDEX(Scoring!$B$29:$B$361,MATCH($O203,Scoring!$AI$29:$AI$361,0)))</f>
        <v/>
      </c>
      <c r="G203" s="7" t="str">
        <f aca="false">IF($O203="","",INDEX(Scoring!$C$29:$C$361,MATCH($O203,Scoring!$AI$29:$AI$361,0)))</f>
        <v/>
      </c>
      <c r="H203" s="7" t="str">
        <f aca="false">IF($O203="","",INDEX(Scoring!$D$29:$D$361,MATCH($O203,Scoring!$AI$29:$AI$361,0)))</f>
        <v/>
      </c>
      <c r="I203" s="6" t="str">
        <f aca="false">IF($O203="","",INDEX(Scoring!$R$29:$R$361,MATCH($O203,Scoring!$AI$29:$AI$361,0)))</f>
        <v/>
      </c>
      <c r="J203" s="7" t="str">
        <f aca="false">IF($O203="","",INDEX(Scoring!$S$29:$S$361,MATCH($O203,Scoring!$AI$29:$AI$361,0)))</f>
        <v/>
      </c>
      <c r="K203" s="8" t="str">
        <f aca="false">IF($O203="","",IF(INDEX(Scoring!$I$29:$I$361,MATCH($O203,Scoring!$AI$29:$AI$361,0))="",INDEX(Scoring!$AC$29:$AC$361,MATCH($O203,Scoring!$AI$29:$AI$361,0)),INDEX(Scoring!$I$29:$I$361,MATCH($O203,Scoring!$AI$29:$AI$361,0))))</f>
        <v/>
      </c>
      <c r="L203" s="9" t="str">
        <f aca="false">IF($O203="","",INDEX(Scoring!$M$29:$M$361,MATCH($O203,Scoring!$AI$29:$AI$361,0)))</f>
        <v/>
      </c>
      <c r="M203" s="9" t="str">
        <f aca="false">IF($O203="","",INDEX(Scoring!$O$29:$O$361,MATCH($O203,Scoring!$AI$29:$AI$361,0)))</f>
        <v/>
      </c>
      <c r="N203" s="7" t="str">
        <f aca="false">IF($O203="","",INDEX(Scoring!$Y$29:$Y$361,MATCH($O203,Scoring!$AI$29:$AI$361,0)))</f>
        <v/>
      </c>
      <c r="O203" s="10" t="str">
        <f aca="false">IFERROR(SMALL(Scoring!$AI$29:$AI$361,199),"")</f>
        <v/>
      </c>
    </row>
    <row r="204" customFormat="false" ht="15" hidden="false" customHeight="false" outlineLevel="0" collapsed="false">
      <c r="A204" s="5" t="str">
        <f aca="false">IF($O204="","",INT($O204/1000))</f>
        <v/>
      </c>
      <c r="B204" s="6" t="str">
        <f aca="false">IF($O204="","",INDEX(Scoring!$A$29:$A$361,MATCH($O204,Scoring!$AI$29:$AI$361,0)))</f>
        <v/>
      </c>
      <c r="C204" s="5" t="str">
        <f aca="false">IF($O204="","",IF(INDEX(Scoring!$F$29:$F$361,MATCH($O204,Scoring!$AI$29:$AI$361,0))="","–",INDEX(Scoring!$F$29:$F$361,MATCH($O204,Scoring!$AI$29:$AI$361,0))))</f>
        <v/>
      </c>
      <c r="D204" s="6" t="str">
        <f aca="false">IF($O204="","",INDEX(Scoring!$E$29:$E$361,MATCH($O204,Scoring!$AI$29:$AI$361,0)))</f>
        <v/>
      </c>
      <c r="E204" s="7" t="str">
        <f aca="false">IF($O204="","",INDEX(Scoring!$G$29:$G$361,MATCH($O204,Scoring!$AI$29:$AI$361,0)))</f>
        <v/>
      </c>
      <c r="F204" s="6" t="str">
        <f aca="false">IF($O204="","",INDEX(Scoring!$B$29:$B$361,MATCH($O204,Scoring!$AI$29:$AI$361,0)))</f>
        <v/>
      </c>
      <c r="G204" s="7" t="str">
        <f aca="false">IF($O204="","",INDEX(Scoring!$C$29:$C$361,MATCH($O204,Scoring!$AI$29:$AI$361,0)))</f>
        <v/>
      </c>
      <c r="H204" s="7" t="str">
        <f aca="false">IF($O204="","",INDEX(Scoring!$D$29:$D$361,MATCH($O204,Scoring!$AI$29:$AI$361,0)))</f>
        <v/>
      </c>
      <c r="I204" s="6" t="str">
        <f aca="false">IF($O204="","",INDEX(Scoring!$R$29:$R$361,MATCH($O204,Scoring!$AI$29:$AI$361,0)))</f>
        <v/>
      </c>
      <c r="J204" s="7" t="str">
        <f aca="false">IF($O204="","",INDEX(Scoring!$S$29:$S$361,MATCH($O204,Scoring!$AI$29:$AI$361,0)))</f>
        <v/>
      </c>
      <c r="K204" s="8" t="str">
        <f aca="false">IF($O204="","",IF(INDEX(Scoring!$I$29:$I$361,MATCH($O204,Scoring!$AI$29:$AI$361,0))="",INDEX(Scoring!$AC$29:$AC$361,MATCH($O204,Scoring!$AI$29:$AI$361,0)),INDEX(Scoring!$I$29:$I$361,MATCH($O204,Scoring!$AI$29:$AI$361,0))))</f>
        <v/>
      </c>
      <c r="L204" s="9" t="str">
        <f aca="false">IF($O204="","",INDEX(Scoring!$M$29:$M$361,MATCH($O204,Scoring!$AI$29:$AI$361,0)))</f>
        <v/>
      </c>
      <c r="M204" s="9" t="str">
        <f aca="false">IF($O204="","",INDEX(Scoring!$O$29:$O$361,MATCH($O204,Scoring!$AI$29:$AI$361,0)))</f>
        <v/>
      </c>
      <c r="N204" s="7" t="str">
        <f aca="false">IF($O204="","",INDEX(Scoring!$Y$29:$Y$361,MATCH($O204,Scoring!$AI$29:$AI$361,0)))</f>
        <v/>
      </c>
      <c r="O204" s="10" t="str">
        <f aca="false">IFERROR(SMALL(Scoring!$AI$29:$AI$361,200),"")</f>
        <v/>
      </c>
    </row>
    <row r="205" customFormat="false" ht="15" hidden="false" customHeight="false" outlineLevel="0" collapsed="false">
      <c r="A205" s="5" t="str">
        <f aca="false">IF($O205="","",INT($O205/1000))</f>
        <v/>
      </c>
      <c r="B205" s="6" t="str">
        <f aca="false">IF($O205="","",INDEX(Scoring!$A$29:$A$361,MATCH($O205,Scoring!$AI$29:$AI$361,0)))</f>
        <v/>
      </c>
      <c r="C205" s="5" t="str">
        <f aca="false">IF($O205="","",IF(INDEX(Scoring!$F$29:$F$361,MATCH($O205,Scoring!$AI$29:$AI$361,0))="","–",INDEX(Scoring!$F$29:$F$361,MATCH($O205,Scoring!$AI$29:$AI$361,0))))</f>
        <v/>
      </c>
      <c r="D205" s="6" t="str">
        <f aca="false">IF($O205="","",INDEX(Scoring!$E$29:$E$361,MATCH($O205,Scoring!$AI$29:$AI$361,0)))</f>
        <v/>
      </c>
      <c r="E205" s="7" t="str">
        <f aca="false">IF($O205="","",INDEX(Scoring!$G$29:$G$361,MATCH($O205,Scoring!$AI$29:$AI$361,0)))</f>
        <v/>
      </c>
      <c r="F205" s="6" t="str">
        <f aca="false">IF($O205="","",INDEX(Scoring!$B$29:$B$361,MATCH($O205,Scoring!$AI$29:$AI$361,0)))</f>
        <v/>
      </c>
      <c r="G205" s="7" t="str">
        <f aca="false">IF($O205="","",INDEX(Scoring!$C$29:$C$361,MATCH($O205,Scoring!$AI$29:$AI$361,0)))</f>
        <v/>
      </c>
      <c r="H205" s="7" t="str">
        <f aca="false">IF($O205="","",INDEX(Scoring!$D$29:$D$361,MATCH($O205,Scoring!$AI$29:$AI$361,0)))</f>
        <v/>
      </c>
      <c r="I205" s="6" t="str">
        <f aca="false">IF($O205="","",INDEX(Scoring!$R$29:$R$361,MATCH($O205,Scoring!$AI$29:$AI$361,0)))</f>
        <v/>
      </c>
      <c r="J205" s="7" t="str">
        <f aca="false">IF($O205="","",INDEX(Scoring!$S$29:$S$361,MATCH($O205,Scoring!$AI$29:$AI$361,0)))</f>
        <v/>
      </c>
      <c r="K205" s="8" t="str">
        <f aca="false">IF($O205="","",IF(INDEX(Scoring!$I$29:$I$361,MATCH($O205,Scoring!$AI$29:$AI$361,0))="",INDEX(Scoring!$AC$29:$AC$361,MATCH($O205,Scoring!$AI$29:$AI$361,0)),INDEX(Scoring!$I$29:$I$361,MATCH($O205,Scoring!$AI$29:$AI$361,0))))</f>
        <v/>
      </c>
      <c r="L205" s="9" t="str">
        <f aca="false">IF($O205="","",INDEX(Scoring!$M$29:$M$361,MATCH($O205,Scoring!$AI$29:$AI$361,0)))</f>
        <v/>
      </c>
      <c r="M205" s="9" t="str">
        <f aca="false">IF($O205="","",INDEX(Scoring!$O$29:$O$361,MATCH($O205,Scoring!$AI$29:$AI$361,0)))</f>
        <v/>
      </c>
      <c r="N205" s="7" t="str">
        <f aca="false">IF($O205="","",INDEX(Scoring!$Y$29:$Y$361,MATCH($O205,Scoring!$AI$29:$AI$361,0)))</f>
        <v/>
      </c>
      <c r="O205" s="10" t="str">
        <f aca="false">IFERROR(SMALL(Scoring!$AI$29:$AI$361,201),"")</f>
        <v/>
      </c>
    </row>
    <row r="206" customFormat="false" ht="15" hidden="false" customHeight="false" outlineLevel="0" collapsed="false">
      <c r="A206" s="5" t="str">
        <f aca="false">IF($O206="","",INT($O206/1000))</f>
        <v/>
      </c>
      <c r="B206" s="6" t="str">
        <f aca="false">IF($O206="","",INDEX(Scoring!$A$29:$A$361,MATCH($O206,Scoring!$AI$29:$AI$361,0)))</f>
        <v/>
      </c>
      <c r="C206" s="5" t="str">
        <f aca="false">IF($O206="","",IF(INDEX(Scoring!$F$29:$F$361,MATCH($O206,Scoring!$AI$29:$AI$361,0))="","–",INDEX(Scoring!$F$29:$F$361,MATCH($O206,Scoring!$AI$29:$AI$361,0))))</f>
        <v/>
      </c>
      <c r="D206" s="6" t="str">
        <f aca="false">IF($O206="","",INDEX(Scoring!$E$29:$E$361,MATCH($O206,Scoring!$AI$29:$AI$361,0)))</f>
        <v/>
      </c>
      <c r="E206" s="7" t="str">
        <f aca="false">IF($O206="","",INDEX(Scoring!$G$29:$G$361,MATCH($O206,Scoring!$AI$29:$AI$361,0)))</f>
        <v/>
      </c>
      <c r="F206" s="6" t="str">
        <f aca="false">IF($O206="","",INDEX(Scoring!$B$29:$B$361,MATCH($O206,Scoring!$AI$29:$AI$361,0)))</f>
        <v/>
      </c>
      <c r="G206" s="7" t="str">
        <f aca="false">IF($O206="","",INDEX(Scoring!$C$29:$C$361,MATCH($O206,Scoring!$AI$29:$AI$361,0)))</f>
        <v/>
      </c>
      <c r="H206" s="7" t="str">
        <f aca="false">IF($O206="","",INDEX(Scoring!$D$29:$D$361,MATCH($O206,Scoring!$AI$29:$AI$361,0)))</f>
        <v/>
      </c>
      <c r="I206" s="6" t="str">
        <f aca="false">IF($O206="","",INDEX(Scoring!$R$29:$R$361,MATCH($O206,Scoring!$AI$29:$AI$361,0)))</f>
        <v/>
      </c>
      <c r="J206" s="7" t="str">
        <f aca="false">IF($O206="","",INDEX(Scoring!$S$29:$S$361,MATCH($O206,Scoring!$AI$29:$AI$361,0)))</f>
        <v/>
      </c>
      <c r="K206" s="8" t="str">
        <f aca="false">IF($O206="","",IF(INDEX(Scoring!$I$29:$I$361,MATCH($O206,Scoring!$AI$29:$AI$361,0))="",INDEX(Scoring!$AC$29:$AC$361,MATCH($O206,Scoring!$AI$29:$AI$361,0)),INDEX(Scoring!$I$29:$I$361,MATCH($O206,Scoring!$AI$29:$AI$361,0))))</f>
        <v/>
      </c>
      <c r="L206" s="9" t="str">
        <f aca="false">IF($O206="","",INDEX(Scoring!$M$29:$M$361,MATCH($O206,Scoring!$AI$29:$AI$361,0)))</f>
        <v/>
      </c>
      <c r="M206" s="9" t="str">
        <f aca="false">IF($O206="","",INDEX(Scoring!$O$29:$O$361,MATCH($O206,Scoring!$AI$29:$AI$361,0)))</f>
        <v/>
      </c>
      <c r="N206" s="7" t="str">
        <f aca="false">IF($O206="","",INDEX(Scoring!$Y$29:$Y$361,MATCH($O206,Scoring!$AI$29:$AI$361,0)))</f>
        <v/>
      </c>
      <c r="O206" s="10" t="str">
        <f aca="false">IFERROR(SMALL(Scoring!$AI$29:$AI$361,202),"")</f>
        <v/>
      </c>
    </row>
    <row r="207" customFormat="false" ht="15" hidden="false" customHeight="false" outlineLevel="0" collapsed="false">
      <c r="A207" s="5" t="str">
        <f aca="false">IF($O207="","",INT($O207/1000))</f>
        <v/>
      </c>
      <c r="B207" s="6" t="str">
        <f aca="false">IF($O207="","",INDEX(Scoring!$A$29:$A$361,MATCH($O207,Scoring!$AI$29:$AI$361,0)))</f>
        <v/>
      </c>
      <c r="C207" s="5" t="str">
        <f aca="false">IF($O207="","",IF(INDEX(Scoring!$F$29:$F$361,MATCH($O207,Scoring!$AI$29:$AI$361,0))="","–",INDEX(Scoring!$F$29:$F$361,MATCH($O207,Scoring!$AI$29:$AI$361,0))))</f>
        <v/>
      </c>
      <c r="D207" s="6" t="str">
        <f aca="false">IF($O207="","",INDEX(Scoring!$E$29:$E$361,MATCH($O207,Scoring!$AI$29:$AI$361,0)))</f>
        <v/>
      </c>
      <c r="E207" s="7" t="str">
        <f aca="false">IF($O207="","",INDEX(Scoring!$G$29:$G$361,MATCH($O207,Scoring!$AI$29:$AI$361,0)))</f>
        <v/>
      </c>
      <c r="F207" s="6" t="str">
        <f aca="false">IF($O207="","",INDEX(Scoring!$B$29:$B$361,MATCH($O207,Scoring!$AI$29:$AI$361,0)))</f>
        <v/>
      </c>
      <c r="G207" s="7" t="str">
        <f aca="false">IF($O207="","",INDEX(Scoring!$C$29:$C$361,MATCH($O207,Scoring!$AI$29:$AI$361,0)))</f>
        <v/>
      </c>
      <c r="H207" s="7" t="str">
        <f aca="false">IF($O207="","",INDEX(Scoring!$D$29:$D$361,MATCH($O207,Scoring!$AI$29:$AI$361,0)))</f>
        <v/>
      </c>
      <c r="I207" s="6" t="str">
        <f aca="false">IF($O207="","",INDEX(Scoring!$R$29:$R$361,MATCH($O207,Scoring!$AI$29:$AI$361,0)))</f>
        <v/>
      </c>
      <c r="J207" s="7" t="str">
        <f aca="false">IF($O207="","",INDEX(Scoring!$S$29:$S$361,MATCH($O207,Scoring!$AI$29:$AI$361,0)))</f>
        <v/>
      </c>
      <c r="K207" s="8" t="str">
        <f aca="false">IF($O207="","",IF(INDEX(Scoring!$I$29:$I$361,MATCH($O207,Scoring!$AI$29:$AI$361,0))="",INDEX(Scoring!$AC$29:$AC$361,MATCH($O207,Scoring!$AI$29:$AI$361,0)),INDEX(Scoring!$I$29:$I$361,MATCH($O207,Scoring!$AI$29:$AI$361,0))))</f>
        <v/>
      </c>
      <c r="L207" s="9" t="str">
        <f aca="false">IF($O207="","",INDEX(Scoring!$M$29:$M$361,MATCH($O207,Scoring!$AI$29:$AI$361,0)))</f>
        <v/>
      </c>
      <c r="M207" s="9" t="str">
        <f aca="false">IF($O207="","",INDEX(Scoring!$O$29:$O$361,MATCH($O207,Scoring!$AI$29:$AI$361,0)))</f>
        <v/>
      </c>
      <c r="N207" s="7" t="str">
        <f aca="false">IF($O207="","",INDEX(Scoring!$Y$29:$Y$361,MATCH($O207,Scoring!$AI$29:$AI$361,0)))</f>
        <v/>
      </c>
      <c r="O207" s="10" t="str">
        <f aca="false">IFERROR(SMALL(Scoring!$AI$29:$AI$361,203),"")</f>
        <v/>
      </c>
    </row>
    <row r="208" customFormat="false" ht="15" hidden="false" customHeight="false" outlineLevel="0" collapsed="false">
      <c r="A208" s="5" t="str">
        <f aca="false">IF($O208="","",INT($O208/1000))</f>
        <v/>
      </c>
      <c r="B208" s="6" t="str">
        <f aca="false">IF($O208="","",INDEX(Scoring!$A$29:$A$361,MATCH($O208,Scoring!$AI$29:$AI$361,0)))</f>
        <v/>
      </c>
      <c r="C208" s="5" t="str">
        <f aca="false">IF($O208="","",IF(INDEX(Scoring!$F$29:$F$361,MATCH($O208,Scoring!$AI$29:$AI$361,0))="","–",INDEX(Scoring!$F$29:$F$361,MATCH($O208,Scoring!$AI$29:$AI$361,0))))</f>
        <v/>
      </c>
      <c r="D208" s="6" t="str">
        <f aca="false">IF($O208="","",INDEX(Scoring!$E$29:$E$361,MATCH($O208,Scoring!$AI$29:$AI$361,0)))</f>
        <v/>
      </c>
      <c r="E208" s="7" t="str">
        <f aca="false">IF($O208="","",INDEX(Scoring!$G$29:$G$361,MATCH($O208,Scoring!$AI$29:$AI$361,0)))</f>
        <v/>
      </c>
      <c r="F208" s="6" t="str">
        <f aca="false">IF($O208="","",INDEX(Scoring!$B$29:$B$361,MATCH($O208,Scoring!$AI$29:$AI$361,0)))</f>
        <v/>
      </c>
      <c r="G208" s="7" t="str">
        <f aca="false">IF($O208="","",INDEX(Scoring!$C$29:$C$361,MATCH($O208,Scoring!$AI$29:$AI$361,0)))</f>
        <v/>
      </c>
      <c r="H208" s="7" t="str">
        <f aca="false">IF($O208="","",INDEX(Scoring!$D$29:$D$361,MATCH($O208,Scoring!$AI$29:$AI$361,0)))</f>
        <v/>
      </c>
      <c r="I208" s="6" t="str">
        <f aca="false">IF($O208="","",INDEX(Scoring!$R$29:$R$361,MATCH($O208,Scoring!$AI$29:$AI$361,0)))</f>
        <v/>
      </c>
      <c r="J208" s="7" t="str">
        <f aca="false">IF($O208="","",INDEX(Scoring!$S$29:$S$361,MATCH($O208,Scoring!$AI$29:$AI$361,0)))</f>
        <v/>
      </c>
      <c r="K208" s="8" t="str">
        <f aca="false">IF($O208="","",IF(INDEX(Scoring!$I$29:$I$361,MATCH($O208,Scoring!$AI$29:$AI$361,0))="",INDEX(Scoring!$AC$29:$AC$361,MATCH($O208,Scoring!$AI$29:$AI$361,0)),INDEX(Scoring!$I$29:$I$361,MATCH($O208,Scoring!$AI$29:$AI$361,0))))</f>
        <v/>
      </c>
      <c r="L208" s="9" t="str">
        <f aca="false">IF($O208="","",INDEX(Scoring!$M$29:$M$361,MATCH($O208,Scoring!$AI$29:$AI$361,0)))</f>
        <v/>
      </c>
      <c r="M208" s="9" t="str">
        <f aca="false">IF($O208="","",INDEX(Scoring!$O$29:$O$361,MATCH($O208,Scoring!$AI$29:$AI$361,0)))</f>
        <v/>
      </c>
      <c r="N208" s="7" t="str">
        <f aca="false">IF($O208="","",INDEX(Scoring!$Y$29:$Y$361,MATCH($O208,Scoring!$AI$29:$AI$361,0)))</f>
        <v/>
      </c>
      <c r="O208" s="10" t="str">
        <f aca="false">IFERROR(SMALL(Scoring!$AI$29:$AI$361,204),"")</f>
        <v/>
      </c>
    </row>
    <row r="209" customFormat="false" ht="15" hidden="false" customHeight="false" outlineLevel="0" collapsed="false">
      <c r="A209" s="5" t="str">
        <f aca="false">IF($O209="","",INT($O209/1000))</f>
        <v/>
      </c>
      <c r="B209" s="6" t="str">
        <f aca="false">IF($O209="","",INDEX(Scoring!$A$29:$A$361,MATCH($O209,Scoring!$AI$29:$AI$361,0)))</f>
        <v/>
      </c>
      <c r="C209" s="5" t="str">
        <f aca="false">IF($O209="","",IF(INDEX(Scoring!$F$29:$F$361,MATCH($O209,Scoring!$AI$29:$AI$361,0))="","–",INDEX(Scoring!$F$29:$F$361,MATCH($O209,Scoring!$AI$29:$AI$361,0))))</f>
        <v/>
      </c>
      <c r="D209" s="6" t="str">
        <f aca="false">IF($O209="","",INDEX(Scoring!$E$29:$E$361,MATCH($O209,Scoring!$AI$29:$AI$361,0)))</f>
        <v/>
      </c>
      <c r="E209" s="7" t="str">
        <f aca="false">IF($O209="","",INDEX(Scoring!$G$29:$G$361,MATCH($O209,Scoring!$AI$29:$AI$361,0)))</f>
        <v/>
      </c>
      <c r="F209" s="6" t="str">
        <f aca="false">IF($O209="","",INDEX(Scoring!$B$29:$B$361,MATCH($O209,Scoring!$AI$29:$AI$361,0)))</f>
        <v/>
      </c>
      <c r="G209" s="7" t="str">
        <f aca="false">IF($O209="","",INDEX(Scoring!$C$29:$C$361,MATCH($O209,Scoring!$AI$29:$AI$361,0)))</f>
        <v/>
      </c>
      <c r="H209" s="7" t="str">
        <f aca="false">IF($O209="","",INDEX(Scoring!$D$29:$D$361,MATCH($O209,Scoring!$AI$29:$AI$361,0)))</f>
        <v/>
      </c>
      <c r="I209" s="6" t="str">
        <f aca="false">IF($O209="","",INDEX(Scoring!$R$29:$R$361,MATCH($O209,Scoring!$AI$29:$AI$361,0)))</f>
        <v/>
      </c>
      <c r="J209" s="7" t="str">
        <f aca="false">IF($O209="","",INDEX(Scoring!$S$29:$S$361,MATCH($O209,Scoring!$AI$29:$AI$361,0)))</f>
        <v/>
      </c>
      <c r="K209" s="8" t="str">
        <f aca="false">IF($O209="","",IF(INDEX(Scoring!$I$29:$I$361,MATCH($O209,Scoring!$AI$29:$AI$361,0))="",INDEX(Scoring!$AC$29:$AC$361,MATCH($O209,Scoring!$AI$29:$AI$361,0)),INDEX(Scoring!$I$29:$I$361,MATCH($O209,Scoring!$AI$29:$AI$361,0))))</f>
        <v/>
      </c>
      <c r="L209" s="9" t="str">
        <f aca="false">IF($O209="","",INDEX(Scoring!$M$29:$M$361,MATCH($O209,Scoring!$AI$29:$AI$361,0)))</f>
        <v/>
      </c>
      <c r="M209" s="9" t="str">
        <f aca="false">IF($O209="","",INDEX(Scoring!$O$29:$O$361,MATCH($O209,Scoring!$AI$29:$AI$361,0)))</f>
        <v/>
      </c>
      <c r="N209" s="7" t="str">
        <f aca="false">IF($O209="","",INDEX(Scoring!$Y$29:$Y$361,MATCH($O209,Scoring!$AI$29:$AI$361,0)))</f>
        <v/>
      </c>
      <c r="O209" s="10" t="str">
        <f aca="false">IFERROR(SMALL(Scoring!$AI$29:$AI$361,205),"")</f>
        <v/>
      </c>
    </row>
    <row r="210" customFormat="false" ht="15" hidden="false" customHeight="false" outlineLevel="0" collapsed="false">
      <c r="A210" s="5" t="str">
        <f aca="false">IF($O210="","",INT($O210/1000))</f>
        <v/>
      </c>
      <c r="B210" s="6" t="str">
        <f aca="false">IF($O210="","",INDEX(Scoring!$A$29:$A$361,MATCH($O210,Scoring!$AI$29:$AI$361,0)))</f>
        <v/>
      </c>
      <c r="C210" s="5" t="str">
        <f aca="false">IF($O210="","",IF(INDEX(Scoring!$F$29:$F$361,MATCH($O210,Scoring!$AI$29:$AI$361,0))="","–",INDEX(Scoring!$F$29:$F$361,MATCH($O210,Scoring!$AI$29:$AI$361,0))))</f>
        <v/>
      </c>
      <c r="D210" s="6" t="str">
        <f aca="false">IF($O210="","",INDEX(Scoring!$E$29:$E$361,MATCH($O210,Scoring!$AI$29:$AI$361,0)))</f>
        <v/>
      </c>
      <c r="E210" s="7" t="str">
        <f aca="false">IF($O210="","",INDEX(Scoring!$G$29:$G$361,MATCH($O210,Scoring!$AI$29:$AI$361,0)))</f>
        <v/>
      </c>
      <c r="F210" s="6" t="str">
        <f aca="false">IF($O210="","",INDEX(Scoring!$B$29:$B$361,MATCH($O210,Scoring!$AI$29:$AI$361,0)))</f>
        <v/>
      </c>
      <c r="G210" s="7" t="str">
        <f aca="false">IF($O210="","",INDEX(Scoring!$C$29:$C$361,MATCH($O210,Scoring!$AI$29:$AI$361,0)))</f>
        <v/>
      </c>
      <c r="H210" s="7" t="str">
        <f aca="false">IF($O210="","",INDEX(Scoring!$D$29:$D$361,MATCH($O210,Scoring!$AI$29:$AI$361,0)))</f>
        <v/>
      </c>
      <c r="I210" s="6" t="str">
        <f aca="false">IF($O210="","",INDEX(Scoring!$R$29:$R$361,MATCH($O210,Scoring!$AI$29:$AI$361,0)))</f>
        <v/>
      </c>
      <c r="J210" s="7" t="str">
        <f aca="false">IF($O210="","",INDEX(Scoring!$S$29:$S$361,MATCH($O210,Scoring!$AI$29:$AI$361,0)))</f>
        <v/>
      </c>
      <c r="K210" s="8" t="str">
        <f aca="false">IF($O210="","",IF(INDEX(Scoring!$I$29:$I$361,MATCH($O210,Scoring!$AI$29:$AI$361,0))="",INDEX(Scoring!$AC$29:$AC$361,MATCH($O210,Scoring!$AI$29:$AI$361,0)),INDEX(Scoring!$I$29:$I$361,MATCH($O210,Scoring!$AI$29:$AI$361,0))))</f>
        <v/>
      </c>
      <c r="L210" s="9" t="str">
        <f aca="false">IF($O210="","",INDEX(Scoring!$M$29:$M$361,MATCH($O210,Scoring!$AI$29:$AI$361,0)))</f>
        <v/>
      </c>
      <c r="M210" s="9" t="str">
        <f aca="false">IF($O210="","",INDEX(Scoring!$O$29:$O$361,MATCH($O210,Scoring!$AI$29:$AI$361,0)))</f>
        <v/>
      </c>
      <c r="N210" s="7" t="str">
        <f aca="false">IF($O210="","",INDEX(Scoring!$Y$29:$Y$361,MATCH($O210,Scoring!$AI$29:$AI$361,0)))</f>
        <v/>
      </c>
      <c r="O210" s="10" t="str">
        <f aca="false">IFERROR(SMALL(Scoring!$AI$29:$AI$361,206),"")</f>
        <v/>
      </c>
    </row>
    <row r="211" customFormat="false" ht="15" hidden="false" customHeight="false" outlineLevel="0" collapsed="false">
      <c r="A211" s="5" t="str">
        <f aca="false">IF($O211="","",INT($O211/1000))</f>
        <v/>
      </c>
      <c r="B211" s="6" t="str">
        <f aca="false">IF($O211="","",INDEX(Scoring!$A$29:$A$361,MATCH($O211,Scoring!$AI$29:$AI$361,0)))</f>
        <v/>
      </c>
      <c r="C211" s="5" t="str">
        <f aca="false">IF($O211="","",IF(INDEX(Scoring!$F$29:$F$361,MATCH($O211,Scoring!$AI$29:$AI$361,0))="","–",INDEX(Scoring!$F$29:$F$361,MATCH($O211,Scoring!$AI$29:$AI$361,0))))</f>
        <v/>
      </c>
      <c r="D211" s="6" t="str">
        <f aca="false">IF($O211="","",INDEX(Scoring!$E$29:$E$361,MATCH($O211,Scoring!$AI$29:$AI$361,0)))</f>
        <v/>
      </c>
      <c r="E211" s="7" t="str">
        <f aca="false">IF($O211="","",INDEX(Scoring!$G$29:$G$361,MATCH($O211,Scoring!$AI$29:$AI$361,0)))</f>
        <v/>
      </c>
      <c r="F211" s="6" t="str">
        <f aca="false">IF($O211="","",INDEX(Scoring!$B$29:$B$361,MATCH($O211,Scoring!$AI$29:$AI$361,0)))</f>
        <v/>
      </c>
      <c r="G211" s="7" t="str">
        <f aca="false">IF($O211="","",INDEX(Scoring!$C$29:$C$361,MATCH($O211,Scoring!$AI$29:$AI$361,0)))</f>
        <v/>
      </c>
      <c r="H211" s="7" t="str">
        <f aca="false">IF($O211="","",INDEX(Scoring!$D$29:$D$361,MATCH($O211,Scoring!$AI$29:$AI$361,0)))</f>
        <v/>
      </c>
      <c r="I211" s="6" t="str">
        <f aca="false">IF($O211="","",INDEX(Scoring!$R$29:$R$361,MATCH($O211,Scoring!$AI$29:$AI$361,0)))</f>
        <v/>
      </c>
      <c r="J211" s="7" t="str">
        <f aca="false">IF($O211="","",INDEX(Scoring!$S$29:$S$361,MATCH($O211,Scoring!$AI$29:$AI$361,0)))</f>
        <v/>
      </c>
      <c r="K211" s="8" t="str">
        <f aca="false">IF($O211="","",IF(INDEX(Scoring!$I$29:$I$361,MATCH($O211,Scoring!$AI$29:$AI$361,0))="",INDEX(Scoring!$AC$29:$AC$361,MATCH($O211,Scoring!$AI$29:$AI$361,0)),INDEX(Scoring!$I$29:$I$361,MATCH($O211,Scoring!$AI$29:$AI$361,0))))</f>
        <v/>
      </c>
      <c r="L211" s="9" t="str">
        <f aca="false">IF($O211="","",INDEX(Scoring!$M$29:$M$361,MATCH($O211,Scoring!$AI$29:$AI$361,0)))</f>
        <v/>
      </c>
      <c r="M211" s="9" t="str">
        <f aca="false">IF($O211="","",INDEX(Scoring!$O$29:$O$361,MATCH($O211,Scoring!$AI$29:$AI$361,0)))</f>
        <v/>
      </c>
      <c r="N211" s="7" t="str">
        <f aca="false">IF($O211="","",INDEX(Scoring!$Y$29:$Y$361,MATCH($O211,Scoring!$AI$29:$AI$361,0)))</f>
        <v/>
      </c>
      <c r="O211" s="10" t="str">
        <f aca="false">IFERROR(SMALL(Scoring!$AI$29:$AI$361,207),"")</f>
        <v/>
      </c>
    </row>
    <row r="212" customFormat="false" ht="15" hidden="false" customHeight="false" outlineLevel="0" collapsed="false">
      <c r="A212" s="5" t="str">
        <f aca="false">IF($O212="","",INT($O212/1000))</f>
        <v/>
      </c>
      <c r="B212" s="6" t="str">
        <f aca="false">IF($O212="","",INDEX(Scoring!$A$29:$A$361,MATCH($O212,Scoring!$AI$29:$AI$361,0)))</f>
        <v/>
      </c>
      <c r="C212" s="5" t="str">
        <f aca="false">IF($O212="","",IF(INDEX(Scoring!$F$29:$F$361,MATCH($O212,Scoring!$AI$29:$AI$361,0))="","–",INDEX(Scoring!$F$29:$F$361,MATCH($O212,Scoring!$AI$29:$AI$361,0))))</f>
        <v/>
      </c>
      <c r="D212" s="6" t="str">
        <f aca="false">IF($O212="","",INDEX(Scoring!$E$29:$E$361,MATCH($O212,Scoring!$AI$29:$AI$361,0)))</f>
        <v/>
      </c>
      <c r="E212" s="7" t="str">
        <f aca="false">IF($O212="","",INDEX(Scoring!$G$29:$G$361,MATCH($O212,Scoring!$AI$29:$AI$361,0)))</f>
        <v/>
      </c>
      <c r="F212" s="6" t="str">
        <f aca="false">IF($O212="","",INDEX(Scoring!$B$29:$B$361,MATCH($O212,Scoring!$AI$29:$AI$361,0)))</f>
        <v/>
      </c>
      <c r="G212" s="7" t="str">
        <f aca="false">IF($O212="","",INDEX(Scoring!$C$29:$C$361,MATCH($O212,Scoring!$AI$29:$AI$361,0)))</f>
        <v/>
      </c>
      <c r="H212" s="7" t="str">
        <f aca="false">IF($O212="","",INDEX(Scoring!$D$29:$D$361,MATCH($O212,Scoring!$AI$29:$AI$361,0)))</f>
        <v/>
      </c>
      <c r="I212" s="6" t="str">
        <f aca="false">IF($O212="","",INDEX(Scoring!$R$29:$R$361,MATCH($O212,Scoring!$AI$29:$AI$361,0)))</f>
        <v/>
      </c>
      <c r="J212" s="7" t="str">
        <f aca="false">IF($O212="","",INDEX(Scoring!$S$29:$S$361,MATCH($O212,Scoring!$AI$29:$AI$361,0)))</f>
        <v/>
      </c>
      <c r="K212" s="8" t="str">
        <f aca="false">IF($O212="","",IF(INDEX(Scoring!$I$29:$I$361,MATCH($O212,Scoring!$AI$29:$AI$361,0))="",INDEX(Scoring!$AC$29:$AC$361,MATCH($O212,Scoring!$AI$29:$AI$361,0)),INDEX(Scoring!$I$29:$I$361,MATCH($O212,Scoring!$AI$29:$AI$361,0))))</f>
        <v/>
      </c>
      <c r="L212" s="9" t="str">
        <f aca="false">IF($O212="","",INDEX(Scoring!$M$29:$M$361,MATCH($O212,Scoring!$AI$29:$AI$361,0)))</f>
        <v/>
      </c>
      <c r="M212" s="9" t="str">
        <f aca="false">IF($O212="","",INDEX(Scoring!$O$29:$O$361,MATCH($O212,Scoring!$AI$29:$AI$361,0)))</f>
        <v/>
      </c>
      <c r="N212" s="7" t="str">
        <f aca="false">IF($O212="","",INDEX(Scoring!$Y$29:$Y$361,MATCH($O212,Scoring!$AI$29:$AI$361,0)))</f>
        <v/>
      </c>
      <c r="O212" s="10" t="str">
        <f aca="false">IFERROR(SMALL(Scoring!$AI$29:$AI$361,208),"")</f>
        <v/>
      </c>
    </row>
    <row r="213" customFormat="false" ht="15" hidden="false" customHeight="false" outlineLevel="0" collapsed="false">
      <c r="A213" s="5" t="str">
        <f aca="false">IF($O213="","",INT($O213/1000))</f>
        <v/>
      </c>
      <c r="B213" s="6" t="str">
        <f aca="false">IF($O213="","",INDEX(Scoring!$A$29:$A$361,MATCH($O213,Scoring!$AI$29:$AI$361,0)))</f>
        <v/>
      </c>
      <c r="C213" s="5" t="str">
        <f aca="false">IF($O213="","",IF(INDEX(Scoring!$F$29:$F$361,MATCH($O213,Scoring!$AI$29:$AI$361,0))="","–",INDEX(Scoring!$F$29:$F$361,MATCH($O213,Scoring!$AI$29:$AI$361,0))))</f>
        <v/>
      </c>
      <c r="D213" s="6" t="str">
        <f aca="false">IF($O213="","",INDEX(Scoring!$E$29:$E$361,MATCH($O213,Scoring!$AI$29:$AI$361,0)))</f>
        <v/>
      </c>
      <c r="E213" s="7" t="str">
        <f aca="false">IF($O213="","",INDEX(Scoring!$G$29:$G$361,MATCH($O213,Scoring!$AI$29:$AI$361,0)))</f>
        <v/>
      </c>
      <c r="F213" s="6" t="str">
        <f aca="false">IF($O213="","",INDEX(Scoring!$B$29:$B$361,MATCH($O213,Scoring!$AI$29:$AI$361,0)))</f>
        <v/>
      </c>
      <c r="G213" s="7" t="str">
        <f aca="false">IF($O213="","",INDEX(Scoring!$C$29:$C$361,MATCH($O213,Scoring!$AI$29:$AI$361,0)))</f>
        <v/>
      </c>
      <c r="H213" s="7" t="str">
        <f aca="false">IF($O213="","",INDEX(Scoring!$D$29:$D$361,MATCH($O213,Scoring!$AI$29:$AI$361,0)))</f>
        <v/>
      </c>
      <c r="I213" s="6" t="str">
        <f aca="false">IF($O213="","",INDEX(Scoring!$R$29:$R$361,MATCH($O213,Scoring!$AI$29:$AI$361,0)))</f>
        <v/>
      </c>
      <c r="J213" s="7" t="str">
        <f aca="false">IF($O213="","",INDEX(Scoring!$S$29:$S$361,MATCH($O213,Scoring!$AI$29:$AI$361,0)))</f>
        <v/>
      </c>
      <c r="K213" s="8" t="str">
        <f aca="false">IF($O213="","",IF(INDEX(Scoring!$I$29:$I$361,MATCH($O213,Scoring!$AI$29:$AI$361,0))="",INDEX(Scoring!$AC$29:$AC$361,MATCH($O213,Scoring!$AI$29:$AI$361,0)),INDEX(Scoring!$I$29:$I$361,MATCH($O213,Scoring!$AI$29:$AI$361,0))))</f>
        <v/>
      </c>
      <c r="L213" s="9" t="str">
        <f aca="false">IF($O213="","",INDEX(Scoring!$M$29:$M$361,MATCH($O213,Scoring!$AI$29:$AI$361,0)))</f>
        <v/>
      </c>
      <c r="M213" s="9" t="str">
        <f aca="false">IF($O213="","",INDEX(Scoring!$O$29:$O$361,MATCH($O213,Scoring!$AI$29:$AI$361,0)))</f>
        <v/>
      </c>
      <c r="N213" s="7" t="str">
        <f aca="false">IF($O213="","",INDEX(Scoring!$Y$29:$Y$361,MATCH($O213,Scoring!$AI$29:$AI$361,0)))</f>
        <v/>
      </c>
      <c r="O213" s="10" t="str">
        <f aca="false">IFERROR(SMALL(Scoring!$AI$29:$AI$361,209),"")</f>
        <v/>
      </c>
    </row>
    <row r="214" customFormat="false" ht="15" hidden="false" customHeight="false" outlineLevel="0" collapsed="false">
      <c r="A214" s="5" t="str">
        <f aca="false">IF($O214="","",INT($O214/1000))</f>
        <v/>
      </c>
      <c r="B214" s="6" t="str">
        <f aca="false">IF($O214="","",INDEX(Scoring!$A$29:$A$361,MATCH($O214,Scoring!$AI$29:$AI$361,0)))</f>
        <v/>
      </c>
      <c r="C214" s="5" t="str">
        <f aca="false">IF($O214="","",IF(INDEX(Scoring!$F$29:$F$361,MATCH($O214,Scoring!$AI$29:$AI$361,0))="","–",INDEX(Scoring!$F$29:$F$361,MATCH($O214,Scoring!$AI$29:$AI$361,0))))</f>
        <v/>
      </c>
      <c r="D214" s="6" t="str">
        <f aca="false">IF($O214="","",INDEX(Scoring!$E$29:$E$361,MATCH($O214,Scoring!$AI$29:$AI$361,0)))</f>
        <v/>
      </c>
      <c r="E214" s="7" t="str">
        <f aca="false">IF($O214="","",INDEX(Scoring!$G$29:$G$361,MATCH($O214,Scoring!$AI$29:$AI$361,0)))</f>
        <v/>
      </c>
      <c r="F214" s="6" t="str">
        <f aca="false">IF($O214="","",INDEX(Scoring!$B$29:$B$361,MATCH($O214,Scoring!$AI$29:$AI$361,0)))</f>
        <v/>
      </c>
      <c r="G214" s="7" t="str">
        <f aca="false">IF($O214="","",INDEX(Scoring!$C$29:$C$361,MATCH($O214,Scoring!$AI$29:$AI$361,0)))</f>
        <v/>
      </c>
      <c r="H214" s="7" t="str">
        <f aca="false">IF($O214="","",INDEX(Scoring!$D$29:$D$361,MATCH($O214,Scoring!$AI$29:$AI$361,0)))</f>
        <v/>
      </c>
      <c r="I214" s="6" t="str">
        <f aca="false">IF($O214="","",INDEX(Scoring!$R$29:$R$361,MATCH($O214,Scoring!$AI$29:$AI$361,0)))</f>
        <v/>
      </c>
      <c r="J214" s="7" t="str">
        <f aca="false">IF($O214="","",INDEX(Scoring!$S$29:$S$361,MATCH($O214,Scoring!$AI$29:$AI$361,0)))</f>
        <v/>
      </c>
      <c r="K214" s="8" t="str">
        <f aca="false">IF($O214="","",IF(INDEX(Scoring!$I$29:$I$361,MATCH($O214,Scoring!$AI$29:$AI$361,0))="",INDEX(Scoring!$AC$29:$AC$361,MATCH($O214,Scoring!$AI$29:$AI$361,0)),INDEX(Scoring!$I$29:$I$361,MATCH($O214,Scoring!$AI$29:$AI$361,0))))</f>
        <v/>
      </c>
      <c r="L214" s="9" t="str">
        <f aca="false">IF($O214="","",INDEX(Scoring!$M$29:$M$361,MATCH($O214,Scoring!$AI$29:$AI$361,0)))</f>
        <v/>
      </c>
      <c r="M214" s="9" t="str">
        <f aca="false">IF($O214="","",INDEX(Scoring!$O$29:$O$361,MATCH($O214,Scoring!$AI$29:$AI$361,0)))</f>
        <v/>
      </c>
      <c r="N214" s="7" t="str">
        <f aca="false">IF($O214="","",INDEX(Scoring!$Y$29:$Y$361,MATCH($O214,Scoring!$AI$29:$AI$361,0)))</f>
        <v/>
      </c>
      <c r="O214" s="10" t="str">
        <f aca="false">IFERROR(SMALL(Scoring!$AI$29:$AI$361,210),"")</f>
        <v/>
      </c>
    </row>
    <row r="215" customFormat="false" ht="15" hidden="false" customHeight="false" outlineLevel="0" collapsed="false">
      <c r="A215" s="5" t="str">
        <f aca="false">IF($O215="","",INT($O215/1000))</f>
        <v/>
      </c>
      <c r="B215" s="6" t="str">
        <f aca="false">IF($O215="","",INDEX(Scoring!$A$29:$A$361,MATCH($O215,Scoring!$AI$29:$AI$361,0)))</f>
        <v/>
      </c>
      <c r="C215" s="5" t="str">
        <f aca="false">IF($O215="","",IF(INDEX(Scoring!$F$29:$F$361,MATCH($O215,Scoring!$AI$29:$AI$361,0))="","–",INDEX(Scoring!$F$29:$F$361,MATCH($O215,Scoring!$AI$29:$AI$361,0))))</f>
        <v/>
      </c>
      <c r="D215" s="6" t="str">
        <f aca="false">IF($O215="","",INDEX(Scoring!$E$29:$E$361,MATCH($O215,Scoring!$AI$29:$AI$361,0)))</f>
        <v/>
      </c>
      <c r="E215" s="7" t="str">
        <f aca="false">IF($O215="","",INDEX(Scoring!$G$29:$G$361,MATCH($O215,Scoring!$AI$29:$AI$361,0)))</f>
        <v/>
      </c>
      <c r="F215" s="6" t="str">
        <f aca="false">IF($O215="","",INDEX(Scoring!$B$29:$B$361,MATCH($O215,Scoring!$AI$29:$AI$361,0)))</f>
        <v/>
      </c>
      <c r="G215" s="7" t="str">
        <f aca="false">IF($O215="","",INDEX(Scoring!$C$29:$C$361,MATCH($O215,Scoring!$AI$29:$AI$361,0)))</f>
        <v/>
      </c>
      <c r="H215" s="7" t="str">
        <f aca="false">IF($O215="","",INDEX(Scoring!$D$29:$D$361,MATCH($O215,Scoring!$AI$29:$AI$361,0)))</f>
        <v/>
      </c>
      <c r="I215" s="6" t="str">
        <f aca="false">IF($O215="","",INDEX(Scoring!$R$29:$R$361,MATCH($O215,Scoring!$AI$29:$AI$361,0)))</f>
        <v/>
      </c>
      <c r="J215" s="7" t="str">
        <f aca="false">IF($O215="","",INDEX(Scoring!$S$29:$S$361,MATCH($O215,Scoring!$AI$29:$AI$361,0)))</f>
        <v/>
      </c>
      <c r="K215" s="8" t="str">
        <f aca="false">IF($O215="","",IF(INDEX(Scoring!$I$29:$I$361,MATCH($O215,Scoring!$AI$29:$AI$361,0))="",INDEX(Scoring!$AC$29:$AC$361,MATCH($O215,Scoring!$AI$29:$AI$361,0)),INDEX(Scoring!$I$29:$I$361,MATCH($O215,Scoring!$AI$29:$AI$361,0))))</f>
        <v/>
      </c>
      <c r="L215" s="9" t="str">
        <f aca="false">IF($O215="","",INDEX(Scoring!$M$29:$M$361,MATCH($O215,Scoring!$AI$29:$AI$361,0)))</f>
        <v/>
      </c>
      <c r="M215" s="9" t="str">
        <f aca="false">IF($O215="","",INDEX(Scoring!$O$29:$O$361,MATCH($O215,Scoring!$AI$29:$AI$361,0)))</f>
        <v/>
      </c>
      <c r="N215" s="7" t="str">
        <f aca="false">IF($O215="","",INDEX(Scoring!$Y$29:$Y$361,MATCH($O215,Scoring!$AI$29:$AI$361,0)))</f>
        <v/>
      </c>
      <c r="O215" s="10" t="str">
        <f aca="false">IFERROR(SMALL(Scoring!$AI$29:$AI$361,211),"")</f>
        <v/>
      </c>
    </row>
    <row r="216" customFormat="false" ht="15" hidden="false" customHeight="false" outlineLevel="0" collapsed="false">
      <c r="A216" s="5" t="str">
        <f aca="false">IF($O216="","",INT($O216/1000))</f>
        <v/>
      </c>
      <c r="B216" s="6" t="str">
        <f aca="false">IF($O216="","",INDEX(Scoring!$A$29:$A$361,MATCH($O216,Scoring!$AI$29:$AI$361,0)))</f>
        <v/>
      </c>
      <c r="C216" s="5" t="str">
        <f aca="false">IF($O216="","",IF(INDEX(Scoring!$F$29:$F$361,MATCH($O216,Scoring!$AI$29:$AI$361,0))="","–",INDEX(Scoring!$F$29:$F$361,MATCH($O216,Scoring!$AI$29:$AI$361,0))))</f>
        <v/>
      </c>
      <c r="D216" s="6" t="str">
        <f aca="false">IF($O216="","",INDEX(Scoring!$E$29:$E$361,MATCH($O216,Scoring!$AI$29:$AI$361,0)))</f>
        <v/>
      </c>
      <c r="E216" s="7" t="str">
        <f aca="false">IF($O216="","",INDEX(Scoring!$G$29:$G$361,MATCH($O216,Scoring!$AI$29:$AI$361,0)))</f>
        <v/>
      </c>
      <c r="F216" s="6" t="str">
        <f aca="false">IF($O216="","",INDEX(Scoring!$B$29:$B$361,MATCH($O216,Scoring!$AI$29:$AI$361,0)))</f>
        <v/>
      </c>
      <c r="G216" s="7" t="str">
        <f aca="false">IF($O216="","",INDEX(Scoring!$C$29:$C$361,MATCH($O216,Scoring!$AI$29:$AI$361,0)))</f>
        <v/>
      </c>
      <c r="H216" s="7" t="str">
        <f aca="false">IF($O216="","",INDEX(Scoring!$D$29:$D$361,MATCH($O216,Scoring!$AI$29:$AI$361,0)))</f>
        <v/>
      </c>
      <c r="I216" s="6" t="str">
        <f aca="false">IF($O216="","",INDEX(Scoring!$R$29:$R$361,MATCH($O216,Scoring!$AI$29:$AI$361,0)))</f>
        <v/>
      </c>
      <c r="J216" s="7" t="str">
        <f aca="false">IF($O216="","",INDEX(Scoring!$S$29:$S$361,MATCH($O216,Scoring!$AI$29:$AI$361,0)))</f>
        <v/>
      </c>
      <c r="K216" s="8" t="str">
        <f aca="false">IF($O216="","",IF(INDEX(Scoring!$I$29:$I$361,MATCH($O216,Scoring!$AI$29:$AI$361,0))="",INDEX(Scoring!$AC$29:$AC$361,MATCH($O216,Scoring!$AI$29:$AI$361,0)),INDEX(Scoring!$I$29:$I$361,MATCH($O216,Scoring!$AI$29:$AI$361,0))))</f>
        <v/>
      </c>
      <c r="L216" s="9" t="str">
        <f aca="false">IF($O216="","",INDEX(Scoring!$M$29:$M$361,MATCH($O216,Scoring!$AI$29:$AI$361,0)))</f>
        <v/>
      </c>
      <c r="M216" s="9" t="str">
        <f aca="false">IF($O216="","",INDEX(Scoring!$O$29:$O$361,MATCH($O216,Scoring!$AI$29:$AI$361,0)))</f>
        <v/>
      </c>
      <c r="N216" s="7" t="str">
        <f aca="false">IF($O216="","",INDEX(Scoring!$Y$29:$Y$361,MATCH($O216,Scoring!$AI$29:$AI$361,0)))</f>
        <v/>
      </c>
      <c r="O216" s="10" t="str">
        <f aca="false">IFERROR(SMALL(Scoring!$AI$29:$AI$361,212),"")</f>
        <v/>
      </c>
    </row>
    <row r="217" customFormat="false" ht="15" hidden="false" customHeight="false" outlineLevel="0" collapsed="false">
      <c r="A217" s="5" t="str">
        <f aca="false">IF($O217="","",INT($O217/1000))</f>
        <v/>
      </c>
      <c r="B217" s="6" t="str">
        <f aca="false">IF($O217="","",INDEX(Scoring!$A$29:$A$361,MATCH($O217,Scoring!$AI$29:$AI$361,0)))</f>
        <v/>
      </c>
      <c r="C217" s="5" t="str">
        <f aca="false">IF($O217="","",IF(INDEX(Scoring!$F$29:$F$361,MATCH($O217,Scoring!$AI$29:$AI$361,0))="","–",INDEX(Scoring!$F$29:$F$361,MATCH($O217,Scoring!$AI$29:$AI$361,0))))</f>
        <v/>
      </c>
      <c r="D217" s="6" t="str">
        <f aca="false">IF($O217="","",INDEX(Scoring!$E$29:$E$361,MATCH($O217,Scoring!$AI$29:$AI$361,0)))</f>
        <v/>
      </c>
      <c r="E217" s="7" t="str">
        <f aca="false">IF($O217="","",INDEX(Scoring!$G$29:$G$361,MATCH($O217,Scoring!$AI$29:$AI$361,0)))</f>
        <v/>
      </c>
      <c r="F217" s="6" t="str">
        <f aca="false">IF($O217="","",INDEX(Scoring!$B$29:$B$361,MATCH($O217,Scoring!$AI$29:$AI$361,0)))</f>
        <v/>
      </c>
      <c r="G217" s="7" t="str">
        <f aca="false">IF($O217="","",INDEX(Scoring!$C$29:$C$361,MATCH($O217,Scoring!$AI$29:$AI$361,0)))</f>
        <v/>
      </c>
      <c r="H217" s="7" t="str">
        <f aca="false">IF($O217="","",INDEX(Scoring!$D$29:$D$361,MATCH($O217,Scoring!$AI$29:$AI$361,0)))</f>
        <v/>
      </c>
      <c r="I217" s="6" t="str">
        <f aca="false">IF($O217="","",INDEX(Scoring!$R$29:$R$361,MATCH($O217,Scoring!$AI$29:$AI$361,0)))</f>
        <v/>
      </c>
      <c r="J217" s="7" t="str">
        <f aca="false">IF($O217="","",INDEX(Scoring!$S$29:$S$361,MATCH($O217,Scoring!$AI$29:$AI$361,0)))</f>
        <v/>
      </c>
      <c r="K217" s="8" t="str">
        <f aca="false">IF($O217="","",IF(INDEX(Scoring!$I$29:$I$361,MATCH($O217,Scoring!$AI$29:$AI$361,0))="",INDEX(Scoring!$AC$29:$AC$361,MATCH($O217,Scoring!$AI$29:$AI$361,0)),INDEX(Scoring!$I$29:$I$361,MATCH($O217,Scoring!$AI$29:$AI$361,0))))</f>
        <v/>
      </c>
      <c r="L217" s="9" t="str">
        <f aca="false">IF($O217="","",INDEX(Scoring!$M$29:$M$361,MATCH($O217,Scoring!$AI$29:$AI$361,0)))</f>
        <v/>
      </c>
      <c r="M217" s="9" t="str">
        <f aca="false">IF($O217="","",INDEX(Scoring!$O$29:$O$361,MATCH($O217,Scoring!$AI$29:$AI$361,0)))</f>
        <v/>
      </c>
      <c r="N217" s="7" t="str">
        <f aca="false">IF($O217="","",INDEX(Scoring!$Y$29:$Y$361,MATCH($O217,Scoring!$AI$29:$AI$361,0)))</f>
        <v/>
      </c>
      <c r="O217" s="10" t="str">
        <f aca="false">IFERROR(SMALL(Scoring!$AI$29:$AI$361,213),"")</f>
        <v/>
      </c>
    </row>
    <row r="218" customFormat="false" ht="15" hidden="false" customHeight="false" outlineLevel="0" collapsed="false">
      <c r="A218" s="5" t="str">
        <f aca="false">IF($O218="","",INT($O218/1000))</f>
        <v/>
      </c>
      <c r="B218" s="6" t="str">
        <f aca="false">IF($O218="","",INDEX(Scoring!$A$29:$A$361,MATCH($O218,Scoring!$AI$29:$AI$361,0)))</f>
        <v/>
      </c>
      <c r="C218" s="5" t="str">
        <f aca="false">IF($O218="","",IF(INDEX(Scoring!$F$29:$F$361,MATCH($O218,Scoring!$AI$29:$AI$361,0))="","–",INDEX(Scoring!$F$29:$F$361,MATCH($O218,Scoring!$AI$29:$AI$361,0))))</f>
        <v/>
      </c>
      <c r="D218" s="6" t="str">
        <f aca="false">IF($O218="","",INDEX(Scoring!$E$29:$E$361,MATCH($O218,Scoring!$AI$29:$AI$361,0)))</f>
        <v/>
      </c>
      <c r="E218" s="7" t="str">
        <f aca="false">IF($O218="","",INDEX(Scoring!$G$29:$G$361,MATCH($O218,Scoring!$AI$29:$AI$361,0)))</f>
        <v/>
      </c>
      <c r="F218" s="6" t="str">
        <f aca="false">IF($O218="","",INDEX(Scoring!$B$29:$B$361,MATCH($O218,Scoring!$AI$29:$AI$361,0)))</f>
        <v/>
      </c>
      <c r="G218" s="7" t="str">
        <f aca="false">IF($O218="","",INDEX(Scoring!$C$29:$C$361,MATCH($O218,Scoring!$AI$29:$AI$361,0)))</f>
        <v/>
      </c>
      <c r="H218" s="7" t="str">
        <f aca="false">IF($O218="","",INDEX(Scoring!$D$29:$D$361,MATCH($O218,Scoring!$AI$29:$AI$361,0)))</f>
        <v/>
      </c>
      <c r="I218" s="6" t="str">
        <f aca="false">IF($O218="","",INDEX(Scoring!$R$29:$R$361,MATCH($O218,Scoring!$AI$29:$AI$361,0)))</f>
        <v/>
      </c>
      <c r="J218" s="7" t="str">
        <f aca="false">IF($O218="","",INDEX(Scoring!$S$29:$S$361,MATCH($O218,Scoring!$AI$29:$AI$361,0)))</f>
        <v/>
      </c>
      <c r="K218" s="8" t="str">
        <f aca="false">IF($O218="","",IF(INDEX(Scoring!$I$29:$I$361,MATCH($O218,Scoring!$AI$29:$AI$361,0))="",INDEX(Scoring!$AC$29:$AC$361,MATCH($O218,Scoring!$AI$29:$AI$361,0)),INDEX(Scoring!$I$29:$I$361,MATCH($O218,Scoring!$AI$29:$AI$361,0))))</f>
        <v/>
      </c>
      <c r="L218" s="9" t="str">
        <f aca="false">IF($O218="","",INDEX(Scoring!$M$29:$M$361,MATCH($O218,Scoring!$AI$29:$AI$361,0)))</f>
        <v/>
      </c>
      <c r="M218" s="9" t="str">
        <f aca="false">IF($O218="","",INDEX(Scoring!$O$29:$O$361,MATCH($O218,Scoring!$AI$29:$AI$361,0)))</f>
        <v/>
      </c>
      <c r="N218" s="7" t="str">
        <f aca="false">IF($O218="","",INDEX(Scoring!$Y$29:$Y$361,MATCH($O218,Scoring!$AI$29:$AI$361,0)))</f>
        <v/>
      </c>
      <c r="O218" s="10" t="str">
        <f aca="false">IFERROR(SMALL(Scoring!$AI$29:$AI$361,214),"")</f>
        <v/>
      </c>
    </row>
    <row r="219" customFormat="false" ht="15" hidden="false" customHeight="false" outlineLevel="0" collapsed="false">
      <c r="A219" s="5" t="str">
        <f aca="false">IF($O219="","",INT($O219/1000))</f>
        <v/>
      </c>
      <c r="B219" s="6" t="str">
        <f aca="false">IF($O219="","",INDEX(Scoring!$A$29:$A$361,MATCH($O219,Scoring!$AI$29:$AI$361,0)))</f>
        <v/>
      </c>
      <c r="C219" s="5" t="str">
        <f aca="false">IF($O219="","",IF(INDEX(Scoring!$F$29:$F$361,MATCH($O219,Scoring!$AI$29:$AI$361,0))="","–",INDEX(Scoring!$F$29:$F$361,MATCH($O219,Scoring!$AI$29:$AI$361,0))))</f>
        <v/>
      </c>
      <c r="D219" s="6" t="str">
        <f aca="false">IF($O219="","",INDEX(Scoring!$E$29:$E$361,MATCH($O219,Scoring!$AI$29:$AI$361,0)))</f>
        <v/>
      </c>
      <c r="E219" s="7" t="str">
        <f aca="false">IF($O219="","",INDEX(Scoring!$G$29:$G$361,MATCH($O219,Scoring!$AI$29:$AI$361,0)))</f>
        <v/>
      </c>
      <c r="F219" s="6" t="str">
        <f aca="false">IF($O219="","",INDEX(Scoring!$B$29:$B$361,MATCH($O219,Scoring!$AI$29:$AI$361,0)))</f>
        <v/>
      </c>
      <c r="G219" s="7" t="str">
        <f aca="false">IF($O219="","",INDEX(Scoring!$C$29:$C$361,MATCH($O219,Scoring!$AI$29:$AI$361,0)))</f>
        <v/>
      </c>
      <c r="H219" s="7" t="str">
        <f aca="false">IF($O219="","",INDEX(Scoring!$D$29:$D$361,MATCH($O219,Scoring!$AI$29:$AI$361,0)))</f>
        <v/>
      </c>
      <c r="I219" s="6" t="str">
        <f aca="false">IF($O219="","",INDEX(Scoring!$R$29:$R$361,MATCH($O219,Scoring!$AI$29:$AI$361,0)))</f>
        <v/>
      </c>
      <c r="J219" s="7" t="str">
        <f aca="false">IF($O219="","",INDEX(Scoring!$S$29:$S$361,MATCH($O219,Scoring!$AI$29:$AI$361,0)))</f>
        <v/>
      </c>
      <c r="K219" s="8" t="str">
        <f aca="false">IF($O219="","",IF(INDEX(Scoring!$I$29:$I$361,MATCH($O219,Scoring!$AI$29:$AI$361,0))="",INDEX(Scoring!$AC$29:$AC$361,MATCH($O219,Scoring!$AI$29:$AI$361,0)),INDEX(Scoring!$I$29:$I$361,MATCH($O219,Scoring!$AI$29:$AI$361,0))))</f>
        <v/>
      </c>
      <c r="L219" s="9" t="str">
        <f aca="false">IF($O219="","",INDEX(Scoring!$M$29:$M$361,MATCH($O219,Scoring!$AI$29:$AI$361,0)))</f>
        <v/>
      </c>
      <c r="M219" s="9" t="str">
        <f aca="false">IF($O219="","",INDEX(Scoring!$O$29:$O$361,MATCH($O219,Scoring!$AI$29:$AI$361,0)))</f>
        <v/>
      </c>
      <c r="N219" s="7" t="str">
        <f aca="false">IF($O219="","",INDEX(Scoring!$Y$29:$Y$361,MATCH($O219,Scoring!$AI$29:$AI$361,0)))</f>
        <v/>
      </c>
      <c r="O219" s="10" t="str">
        <f aca="false">IFERROR(SMALL(Scoring!$AI$29:$AI$361,215),"")</f>
        <v/>
      </c>
    </row>
    <row r="220" customFormat="false" ht="15" hidden="false" customHeight="false" outlineLevel="0" collapsed="false">
      <c r="A220" s="5" t="str">
        <f aca="false">IF($O220="","",INT($O220/1000))</f>
        <v/>
      </c>
      <c r="B220" s="6" t="str">
        <f aca="false">IF($O220="","",INDEX(Scoring!$A$29:$A$361,MATCH($O220,Scoring!$AI$29:$AI$361,0)))</f>
        <v/>
      </c>
      <c r="C220" s="5" t="str">
        <f aca="false">IF($O220="","",IF(INDEX(Scoring!$F$29:$F$361,MATCH($O220,Scoring!$AI$29:$AI$361,0))="","–",INDEX(Scoring!$F$29:$F$361,MATCH($O220,Scoring!$AI$29:$AI$361,0))))</f>
        <v/>
      </c>
      <c r="D220" s="6" t="str">
        <f aca="false">IF($O220="","",INDEX(Scoring!$E$29:$E$361,MATCH($O220,Scoring!$AI$29:$AI$361,0)))</f>
        <v/>
      </c>
      <c r="E220" s="7" t="str">
        <f aca="false">IF($O220="","",INDEX(Scoring!$G$29:$G$361,MATCH($O220,Scoring!$AI$29:$AI$361,0)))</f>
        <v/>
      </c>
      <c r="F220" s="6" t="str">
        <f aca="false">IF($O220="","",INDEX(Scoring!$B$29:$B$361,MATCH($O220,Scoring!$AI$29:$AI$361,0)))</f>
        <v/>
      </c>
      <c r="G220" s="7" t="str">
        <f aca="false">IF($O220="","",INDEX(Scoring!$C$29:$C$361,MATCH($O220,Scoring!$AI$29:$AI$361,0)))</f>
        <v/>
      </c>
      <c r="H220" s="7" t="str">
        <f aca="false">IF($O220="","",INDEX(Scoring!$D$29:$D$361,MATCH($O220,Scoring!$AI$29:$AI$361,0)))</f>
        <v/>
      </c>
      <c r="I220" s="6" t="str">
        <f aca="false">IF($O220="","",INDEX(Scoring!$R$29:$R$361,MATCH($O220,Scoring!$AI$29:$AI$361,0)))</f>
        <v/>
      </c>
      <c r="J220" s="7" t="str">
        <f aca="false">IF($O220="","",INDEX(Scoring!$S$29:$S$361,MATCH($O220,Scoring!$AI$29:$AI$361,0)))</f>
        <v/>
      </c>
      <c r="K220" s="8" t="str">
        <f aca="false">IF($O220="","",IF(INDEX(Scoring!$I$29:$I$361,MATCH($O220,Scoring!$AI$29:$AI$361,0))="",INDEX(Scoring!$AC$29:$AC$361,MATCH($O220,Scoring!$AI$29:$AI$361,0)),INDEX(Scoring!$I$29:$I$361,MATCH($O220,Scoring!$AI$29:$AI$361,0))))</f>
        <v/>
      </c>
      <c r="L220" s="9" t="str">
        <f aca="false">IF($O220="","",INDEX(Scoring!$M$29:$M$361,MATCH($O220,Scoring!$AI$29:$AI$361,0)))</f>
        <v/>
      </c>
      <c r="M220" s="9" t="str">
        <f aca="false">IF($O220="","",INDEX(Scoring!$O$29:$O$361,MATCH($O220,Scoring!$AI$29:$AI$361,0)))</f>
        <v/>
      </c>
      <c r="N220" s="7" t="str">
        <f aca="false">IF($O220="","",INDEX(Scoring!$Y$29:$Y$361,MATCH($O220,Scoring!$AI$29:$AI$361,0)))</f>
        <v/>
      </c>
      <c r="O220" s="10" t="str">
        <f aca="false">IFERROR(SMALL(Scoring!$AI$29:$AI$361,216),"")</f>
        <v/>
      </c>
    </row>
    <row r="221" customFormat="false" ht="15" hidden="false" customHeight="false" outlineLevel="0" collapsed="false">
      <c r="A221" s="5" t="str">
        <f aca="false">IF($O221="","",INT($O221/1000))</f>
        <v/>
      </c>
      <c r="B221" s="6" t="str">
        <f aca="false">IF($O221="","",INDEX(Scoring!$A$29:$A$361,MATCH($O221,Scoring!$AI$29:$AI$361,0)))</f>
        <v/>
      </c>
      <c r="C221" s="5" t="str">
        <f aca="false">IF($O221="","",IF(INDEX(Scoring!$F$29:$F$361,MATCH($O221,Scoring!$AI$29:$AI$361,0))="","–",INDEX(Scoring!$F$29:$F$361,MATCH($O221,Scoring!$AI$29:$AI$361,0))))</f>
        <v/>
      </c>
      <c r="D221" s="6" t="str">
        <f aca="false">IF($O221="","",INDEX(Scoring!$E$29:$E$361,MATCH($O221,Scoring!$AI$29:$AI$361,0)))</f>
        <v/>
      </c>
      <c r="E221" s="7" t="str">
        <f aca="false">IF($O221="","",INDEX(Scoring!$G$29:$G$361,MATCH($O221,Scoring!$AI$29:$AI$361,0)))</f>
        <v/>
      </c>
      <c r="F221" s="6" t="str">
        <f aca="false">IF($O221="","",INDEX(Scoring!$B$29:$B$361,MATCH($O221,Scoring!$AI$29:$AI$361,0)))</f>
        <v/>
      </c>
      <c r="G221" s="7" t="str">
        <f aca="false">IF($O221="","",INDEX(Scoring!$C$29:$C$361,MATCH($O221,Scoring!$AI$29:$AI$361,0)))</f>
        <v/>
      </c>
      <c r="H221" s="7" t="str">
        <f aca="false">IF($O221="","",INDEX(Scoring!$D$29:$D$361,MATCH($O221,Scoring!$AI$29:$AI$361,0)))</f>
        <v/>
      </c>
      <c r="I221" s="6" t="str">
        <f aca="false">IF($O221="","",INDEX(Scoring!$R$29:$R$361,MATCH($O221,Scoring!$AI$29:$AI$361,0)))</f>
        <v/>
      </c>
      <c r="J221" s="7" t="str">
        <f aca="false">IF($O221="","",INDEX(Scoring!$S$29:$S$361,MATCH($O221,Scoring!$AI$29:$AI$361,0)))</f>
        <v/>
      </c>
      <c r="K221" s="8" t="str">
        <f aca="false">IF($O221="","",IF(INDEX(Scoring!$I$29:$I$361,MATCH($O221,Scoring!$AI$29:$AI$361,0))="",INDEX(Scoring!$AC$29:$AC$361,MATCH($O221,Scoring!$AI$29:$AI$361,0)),INDEX(Scoring!$I$29:$I$361,MATCH($O221,Scoring!$AI$29:$AI$361,0))))</f>
        <v/>
      </c>
      <c r="L221" s="9" t="str">
        <f aca="false">IF($O221="","",INDEX(Scoring!$M$29:$M$361,MATCH($O221,Scoring!$AI$29:$AI$361,0)))</f>
        <v/>
      </c>
      <c r="M221" s="9" t="str">
        <f aca="false">IF($O221="","",INDEX(Scoring!$O$29:$O$361,MATCH($O221,Scoring!$AI$29:$AI$361,0)))</f>
        <v/>
      </c>
      <c r="N221" s="7" t="str">
        <f aca="false">IF($O221="","",INDEX(Scoring!$Y$29:$Y$361,MATCH($O221,Scoring!$AI$29:$AI$361,0)))</f>
        <v/>
      </c>
      <c r="O221" s="10" t="str">
        <f aca="false">IFERROR(SMALL(Scoring!$AI$29:$AI$361,217),"")</f>
        <v/>
      </c>
    </row>
    <row r="222" customFormat="false" ht="15" hidden="false" customHeight="false" outlineLevel="0" collapsed="false">
      <c r="A222" s="5" t="str">
        <f aca="false">IF($O222="","",INT($O222/1000))</f>
        <v/>
      </c>
      <c r="B222" s="6" t="str">
        <f aca="false">IF($O222="","",INDEX(Scoring!$A$29:$A$361,MATCH($O222,Scoring!$AI$29:$AI$361,0)))</f>
        <v/>
      </c>
      <c r="C222" s="5" t="str">
        <f aca="false">IF($O222="","",IF(INDEX(Scoring!$F$29:$F$361,MATCH($O222,Scoring!$AI$29:$AI$361,0))="","–",INDEX(Scoring!$F$29:$F$361,MATCH($O222,Scoring!$AI$29:$AI$361,0))))</f>
        <v/>
      </c>
      <c r="D222" s="6" t="str">
        <f aca="false">IF($O222="","",INDEX(Scoring!$E$29:$E$361,MATCH($O222,Scoring!$AI$29:$AI$361,0)))</f>
        <v/>
      </c>
      <c r="E222" s="7" t="str">
        <f aca="false">IF($O222="","",INDEX(Scoring!$G$29:$G$361,MATCH($O222,Scoring!$AI$29:$AI$361,0)))</f>
        <v/>
      </c>
      <c r="F222" s="6" t="str">
        <f aca="false">IF($O222="","",INDEX(Scoring!$B$29:$B$361,MATCH($O222,Scoring!$AI$29:$AI$361,0)))</f>
        <v/>
      </c>
      <c r="G222" s="7" t="str">
        <f aca="false">IF($O222="","",INDEX(Scoring!$C$29:$C$361,MATCH($O222,Scoring!$AI$29:$AI$361,0)))</f>
        <v/>
      </c>
      <c r="H222" s="7" t="str">
        <f aca="false">IF($O222="","",INDEX(Scoring!$D$29:$D$361,MATCH($O222,Scoring!$AI$29:$AI$361,0)))</f>
        <v/>
      </c>
      <c r="I222" s="6" t="str">
        <f aca="false">IF($O222="","",INDEX(Scoring!$R$29:$R$361,MATCH($O222,Scoring!$AI$29:$AI$361,0)))</f>
        <v/>
      </c>
      <c r="J222" s="7" t="str">
        <f aca="false">IF($O222="","",INDEX(Scoring!$S$29:$S$361,MATCH($O222,Scoring!$AI$29:$AI$361,0)))</f>
        <v/>
      </c>
      <c r="K222" s="8" t="str">
        <f aca="false">IF($O222="","",IF(INDEX(Scoring!$I$29:$I$361,MATCH($O222,Scoring!$AI$29:$AI$361,0))="",INDEX(Scoring!$AC$29:$AC$361,MATCH($O222,Scoring!$AI$29:$AI$361,0)),INDEX(Scoring!$I$29:$I$361,MATCH($O222,Scoring!$AI$29:$AI$361,0))))</f>
        <v/>
      </c>
      <c r="L222" s="9" t="str">
        <f aca="false">IF($O222="","",INDEX(Scoring!$M$29:$M$361,MATCH($O222,Scoring!$AI$29:$AI$361,0)))</f>
        <v/>
      </c>
      <c r="M222" s="9" t="str">
        <f aca="false">IF($O222="","",INDEX(Scoring!$O$29:$O$361,MATCH($O222,Scoring!$AI$29:$AI$361,0)))</f>
        <v/>
      </c>
      <c r="N222" s="7" t="str">
        <f aca="false">IF($O222="","",INDEX(Scoring!$Y$29:$Y$361,MATCH($O222,Scoring!$AI$29:$AI$361,0)))</f>
        <v/>
      </c>
      <c r="O222" s="10" t="str">
        <f aca="false">IFERROR(SMALL(Scoring!$AI$29:$AI$361,218),"")</f>
        <v/>
      </c>
    </row>
    <row r="223" customFormat="false" ht="15" hidden="false" customHeight="false" outlineLevel="0" collapsed="false">
      <c r="A223" s="5" t="str">
        <f aca="false">IF($O223="","",INT($O223/1000))</f>
        <v/>
      </c>
      <c r="B223" s="6" t="str">
        <f aca="false">IF($O223="","",INDEX(Scoring!$A$29:$A$361,MATCH($O223,Scoring!$AI$29:$AI$361,0)))</f>
        <v/>
      </c>
      <c r="C223" s="5" t="str">
        <f aca="false">IF($O223="","",IF(INDEX(Scoring!$F$29:$F$361,MATCH($O223,Scoring!$AI$29:$AI$361,0))="","–",INDEX(Scoring!$F$29:$F$361,MATCH($O223,Scoring!$AI$29:$AI$361,0))))</f>
        <v/>
      </c>
      <c r="D223" s="6" t="str">
        <f aca="false">IF($O223="","",INDEX(Scoring!$E$29:$E$361,MATCH($O223,Scoring!$AI$29:$AI$361,0)))</f>
        <v/>
      </c>
      <c r="E223" s="7" t="str">
        <f aca="false">IF($O223="","",INDEX(Scoring!$G$29:$G$361,MATCH($O223,Scoring!$AI$29:$AI$361,0)))</f>
        <v/>
      </c>
      <c r="F223" s="6" t="str">
        <f aca="false">IF($O223="","",INDEX(Scoring!$B$29:$B$361,MATCH($O223,Scoring!$AI$29:$AI$361,0)))</f>
        <v/>
      </c>
      <c r="G223" s="7" t="str">
        <f aca="false">IF($O223="","",INDEX(Scoring!$C$29:$C$361,MATCH($O223,Scoring!$AI$29:$AI$361,0)))</f>
        <v/>
      </c>
      <c r="H223" s="7" t="str">
        <f aca="false">IF($O223="","",INDEX(Scoring!$D$29:$D$361,MATCH($O223,Scoring!$AI$29:$AI$361,0)))</f>
        <v/>
      </c>
      <c r="I223" s="6" t="str">
        <f aca="false">IF($O223="","",INDEX(Scoring!$R$29:$R$361,MATCH($O223,Scoring!$AI$29:$AI$361,0)))</f>
        <v/>
      </c>
      <c r="J223" s="7" t="str">
        <f aca="false">IF($O223="","",INDEX(Scoring!$S$29:$S$361,MATCH($O223,Scoring!$AI$29:$AI$361,0)))</f>
        <v/>
      </c>
      <c r="K223" s="8" t="str">
        <f aca="false">IF($O223="","",IF(INDEX(Scoring!$I$29:$I$361,MATCH($O223,Scoring!$AI$29:$AI$361,0))="",INDEX(Scoring!$AC$29:$AC$361,MATCH($O223,Scoring!$AI$29:$AI$361,0)),INDEX(Scoring!$I$29:$I$361,MATCH($O223,Scoring!$AI$29:$AI$361,0))))</f>
        <v/>
      </c>
      <c r="L223" s="9" t="str">
        <f aca="false">IF($O223="","",INDEX(Scoring!$M$29:$M$361,MATCH($O223,Scoring!$AI$29:$AI$361,0)))</f>
        <v/>
      </c>
      <c r="M223" s="9" t="str">
        <f aca="false">IF($O223="","",INDEX(Scoring!$O$29:$O$361,MATCH($O223,Scoring!$AI$29:$AI$361,0)))</f>
        <v/>
      </c>
      <c r="N223" s="7" t="str">
        <f aca="false">IF($O223="","",INDEX(Scoring!$Y$29:$Y$361,MATCH($O223,Scoring!$AI$29:$AI$361,0)))</f>
        <v/>
      </c>
      <c r="O223" s="10" t="str">
        <f aca="false">IFERROR(SMALL(Scoring!$AI$29:$AI$361,219),"")</f>
        <v/>
      </c>
    </row>
    <row r="224" customFormat="false" ht="15" hidden="false" customHeight="false" outlineLevel="0" collapsed="false">
      <c r="A224" s="5" t="str">
        <f aca="false">IF($O224="","",INT($O224/1000))</f>
        <v/>
      </c>
      <c r="B224" s="6" t="str">
        <f aca="false">IF($O224="","",INDEX(Scoring!$A$29:$A$361,MATCH($O224,Scoring!$AI$29:$AI$361,0)))</f>
        <v/>
      </c>
      <c r="C224" s="5" t="str">
        <f aca="false">IF($O224="","",IF(INDEX(Scoring!$F$29:$F$361,MATCH($O224,Scoring!$AI$29:$AI$361,0))="","–",INDEX(Scoring!$F$29:$F$361,MATCH($O224,Scoring!$AI$29:$AI$361,0))))</f>
        <v/>
      </c>
      <c r="D224" s="6" t="str">
        <f aca="false">IF($O224="","",INDEX(Scoring!$E$29:$E$361,MATCH($O224,Scoring!$AI$29:$AI$361,0)))</f>
        <v/>
      </c>
      <c r="E224" s="7" t="str">
        <f aca="false">IF($O224="","",INDEX(Scoring!$G$29:$G$361,MATCH($O224,Scoring!$AI$29:$AI$361,0)))</f>
        <v/>
      </c>
      <c r="F224" s="6" t="str">
        <f aca="false">IF($O224="","",INDEX(Scoring!$B$29:$B$361,MATCH($O224,Scoring!$AI$29:$AI$361,0)))</f>
        <v/>
      </c>
      <c r="G224" s="7" t="str">
        <f aca="false">IF($O224="","",INDEX(Scoring!$C$29:$C$361,MATCH($O224,Scoring!$AI$29:$AI$361,0)))</f>
        <v/>
      </c>
      <c r="H224" s="7" t="str">
        <f aca="false">IF($O224="","",INDEX(Scoring!$D$29:$D$361,MATCH($O224,Scoring!$AI$29:$AI$361,0)))</f>
        <v/>
      </c>
      <c r="I224" s="6" t="str">
        <f aca="false">IF($O224="","",INDEX(Scoring!$R$29:$R$361,MATCH($O224,Scoring!$AI$29:$AI$361,0)))</f>
        <v/>
      </c>
      <c r="J224" s="7" t="str">
        <f aca="false">IF($O224="","",INDEX(Scoring!$S$29:$S$361,MATCH($O224,Scoring!$AI$29:$AI$361,0)))</f>
        <v/>
      </c>
      <c r="K224" s="8" t="str">
        <f aca="false">IF($O224="","",IF(INDEX(Scoring!$I$29:$I$361,MATCH($O224,Scoring!$AI$29:$AI$361,0))="",INDEX(Scoring!$AC$29:$AC$361,MATCH($O224,Scoring!$AI$29:$AI$361,0)),INDEX(Scoring!$I$29:$I$361,MATCH($O224,Scoring!$AI$29:$AI$361,0))))</f>
        <v/>
      </c>
      <c r="L224" s="9" t="str">
        <f aca="false">IF($O224="","",INDEX(Scoring!$M$29:$M$361,MATCH($O224,Scoring!$AI$29:$AI$361,0)))</f>
        <v/>
      </c>
      <c r="M224" s="9" t="str">
        <f aca="false">IF($O224="","",INDEX(Scoring!$O$29:$O$361,MATCH($O224,Scoring!$AI$29:$AI$361,0)))</f>
        <v/>
      </c>
      <c r="N224" s="7" t="str">
        <f aca="false">IF($O224="","",INDEX(Scoring!$Y$29:$Y$361,MATCH($O224,Scoring!$AI$29:$AI$361,0)))</f>
        <v/>
      </c>
      <c r="O224" s="10" t="str">
        <f aca="false">IFERROR(SMALL(Scoring!$AI$29:$AI$361,220),"")</f>
        <v/>
      </c>
    </row>
    <row r="225" customFormat="false" ht="15" hidden="false" customHeight="false" outlineLevel="0" collapsed="false">
      <c r="A225" s="5" t="str">
        <f aca="false">IF($O225="","",INT($O225/1000))</f>
        <v/>
      </c>
      <c r="B225" s="6" t="str">
        <f aca="false">IF($O225="","",INDEX(Scoring!$A$29:$A$361,MATCH($O225,Scoring!$AI$29:$AI$361,0)))</f>
        <v/>
      </c>
      <c r="C225" s="5" t="str">
        <f aca="false">IF($O225="","",IF(INDEX(Scoring!$F$29:$F$361,MATCH($O225,Scoring!$AI$29:$AI$361,0))="","–",INDEX(Scoring!$F$29:$F$361,MATCH($O225,Scoring!$AI$29:$AI$361,0))))</f>
        <v/>
      </c>
      <c r="D225" s="6" t="str">
        <f aca="false">IF($O225="","",INDEX(Scoring!$E$29:$E$361,MATCH($O225,Scoring!$AI$29:$AI$361,0)))</f>
        <v/>
      </c>
      <c r="E225" s="7" t="str">
        <f aca="false">IF($O225="","",INDEX(Scoring!$G$29:$G$361,MATCH($O225,Scoring!$AI$29:$AI$361,0)))</f>
        <v/>
      </c>
      <c r="F225" s="6" t="str">
        <f aca="false">IF($O225="","",INDEX(Scoring!$B$29:$B$361,MATCH($O225,Scoring!$AI$29:$AI$361,0)))</f>
        <v/>
      </c>
      <c r="G225" s="7" t="str">
        <f aca="false">IF($O225="","",INDEX(Scoring!$C$29:$C$361,MATCH($O225,Scoring!$AI$29:$AI$361,0)))</f>
        <v/>
      </c>
      <c r="H225" s="7" t="str">
        <f aca="false">IF($O225="","",INDEX(Scoring!$D$29:$D$361,MATCH($O225,Scoring!$AI$29:$AI$361,0)))</f>
        <v/>
      </c>
      <c r="I225" s="6" t="str">
        <f aca="false">IF($O225="","",INDEX(Scoring!$R$29:$R$361,MATCH($O225,Scoring!$AI$29:$AI$361,0)))</f>
        <v/>
      </c>
      <c r="J225" s="7" t="str">
        <f aca="false">IF($O225="","",INDEX(Scoring!$S$29:$S$361,MATCH($O225,Scoring!$AI$29:$AI$361,0)))</f>
        <v/>
      </c>
      <c r="K225" s="8" t="str">
        <f aca="false">IF($O225="","",IF(INDEX(Scoring!$I$29:$I$361,MATCH($O225,Scoring!$AI$29:$AI$361,0))="",INDEX(Scoring!$AC$29:$AC$361,MATCH($O225,Scoring!$AI$29:$AI$361,0)),INDEX(Scoring!$I$29:$I$361,MATCH($O225,Scoring!$AI$29:$AI$361,0))))</f>
        <v/>
      </c>
      <c r="L225" s="9" t="str">
        <f aca="false">IF($O225="","",INDEX(Scoring!$M$29:$M$361,MATCH($O225,Scoring!$AI$29:$AI$361,0)))</f>
        <v/>
      </c>
      <c r="M225" s="9" t="str">
        <f aca="false">IF($O225="","",INDEX(Scoring!$O$29:$O$361,MATCH($O225,Scoring!$AI$29:$AI$361,0)))</f>
        <v/>
      </c>
      <c r="N225" s="7" t="str">
        <f aca="false">IF($O225="","",INDEX(Scoring!$Y$29:$Y$361,MATCH($O225,Scoring!$AI$29:$AI$361,0)))</f>
        <v/>
      </c>
      <c r="O225" s="10" t="str">
        <f aca="false">IFERROR(SMALL(Scoring!$AI$29:$AI$361,221),"")</f>
        <v/>
      </c>
    </row>
    <row r="226" customFormat="false" ht="15" hidden="false" customHeight="false" outlineLevel="0" collapsed="false">
      <c r="A226" s="5" t="str">
        <f aca="false">IF($O226="","",INT($O226/1000))</f>
        <v/>
      </c>
      <c r="B226" s="6" t="str">
        <f aca="false">IF($O226="","",INDEX(Scoring!$A$29:$A$361,MATCH($O226,Scoring!$AI$29:$AI$361,0)))</f>
        <v/>
      </c>
      <c r="C226" s="5" t="str">
        <f aca="false">IF($O226="","",IF(INDEX(Scoring!$F$29:$F$361,MATCH($O226,Scoring!$AI$29:$AI$361,0))="","–",INDEX(Scoring!$F$29:$F$361,MATCH($O226,Scoring!$AI$29:$AI$361,0))))</f>
        <v/>
      </c>
      <c r="D226" s="6" t="str">
        <f aca="false">IF($O226="","",INDEX(Scoring!$E$29:$E$361,MATCH($O226,Scoring!$AI$29:$AI$361,0)))</f>
        <v/>
      </c>
      <c r="E226" s="7" t="str">
        <f aca="false">IF($O226="","",INDEX(Scoring!$G$29:$G$361,MATCH($O226,Scoring!$AI$29:$AI$361,0)))</f>
        <v/>
      </c>
      <c r="F226" s="6" t="str">
        <f aca="false">IF($O226="","",INDEX(Scoring!$B$29:$B$361,MATCH($O226,Scoring!$AI$29:$AI$361,0)))</f>
        <v/>
      </c>
      <c r="G226" s="7" t="str">
        <f aca="false">IF($O226="","",INDEX(Scoring!$C$29:$C$361,MATCH($O226,Scoring!$AI$29:$AI$361,0)))</f>
        <v/>
      </c>
      <c r="H226" s="7" t="str">
        <f aca="false">IF($O226="","",INDEX(Scoring!$D$29:$D$361,MATCH($O226,Scoring!$AI$29:$AI$361,0)))</f>
        <v/>
      </c>
      <c r="I226" s="6" t="str">
        <f aca="false">IF($O226="","",INDEX(Scoring!$R$29:$R$361,MATCH($O226,Scoring!$AI$29:$AI$361,0)))</f>
        <v/>
      </c>
      <c r="J226" s="7" t="str">
        <f aca="false">IF($O226="","",INDEX(Scoring!$S$29:$S$361,MATCH($O226,Scoring!$AI$29:$AI$361,0)))</f>
        <v/>
      </c>
      <c r="K226" s="8" t="str">
        <f aca="false">IF($O226="","",IF(INDEX(Scoring!$I$29:$I$361,MATCH($O226,Scoring!$AI$29:$AI$361,0))="",INDEX(Scoring!$AC$29:$AC$361,MATCH($O226,Scoring!$AI$29:$AI$361,0)),INDEX(Scoring!$I$29:$I$361,MATCH($O226,Scoring!$AI$29:$AI$361,0))))</f>
        <v/>
      </c>
      <c r="L226" s="9" t="str">
        <f aca="false">IF($O226="","",INDEX(Scoring!$M$29:$M$361,MATCH($O226,Scoring!$AI$29:$AI$361,0)))</f>
        <v/>
      </c>
      <c r="M226" s="9" t="str">
        <f aca="false">IF($O226="","",INDEX(Scoring!$O$29:$O$361,MATCH($O226,Scoring!$AI$29:$AI$361,0)))</f>
        <v/>
      </c>
      <c r="N226" s="7" t="str">
        <f aca="false">IF($O226="","",INDEX(Scoring!$Y$29:$Y$361,MATCH($O226,Scoring!$AI$29:$AI$361,0)))</f>
        <v/>
      </c>
      <c r="O226" s="10" t="str">
        <f aca="false">IFERROR(SMALL(Scoring!$AI$29:$AI$361,222),"")</f>
        <v/>
      </c>
    </row>
    <row r="227" customFormat="false" ht="15" hidden="false" customHeight="false" outlineLevel="0" collapsed="false">
      <c r="A227" s="5" t="str">
        <f aca="false">IF($O227="","",INT($O227/1000))</f>
        <v/>
      </c>
      <c r="B227" s="6" t="str">
        <f aca="false">IF($O227="","",INDEX(Scoring!$A$29:$A$361,MATCH($O227,Scoring!$AI$29:$AI$361,0)))</f>
        <v/>
      </c>
      <c r="C227" s="5" t="str">
        <f aca="false">IF($O227="","",IF(INDEX(Scoring!$F$29:$F$361,MATCH($O227,Scoring!$AI$29:$AI$361,0))="","–",INDEX(Scoring!$F$29:$F$361,MATCH($O227,Scoring!$AI$29:$AI$361,0))))</f>
        <v/>
      </c>
      <c r="D227" s="6" t="str">
        <f aca="false">IF($O227="","",INDEX(Scoring!$E$29:$E$361,MATCH($O227,Scoring!$AI$29:$AI$361,0)))</f>
        <v/>
      </c>
      <c r="E227" s="7" t="str">
        <f aca="false">IF($O227="","",INDEX(Scoring!$G$29:$G$361,MATCH($O227,Scoring!$AI$29:$AI$361,0)))</f>
        <v/>
      </c>
      <c r="F227" s="6" t="str">
        <f aca="false">IF($O227="","",INDEX(Scoring!$B$29:$B$361,MATCH($O227,Scoring!$AI$29:$AI$361,0)))</f>
        <v/>
      </c>
      <c r="G227" s="7" t="str">
        <f aca="false">IF($O227="","",INDEX(Scoring!$C$29:$C$361,MATCH($O227,Scoring!$AI$29:$AI$361,0)))</f>
        <v/>
      </c>
      <c r="H227" s="7" t="str">
        <f aca="false">IF($O227="","",INDEX(Scoring!$D$29:$D$361,MATCH($O227,Scoring!$AI$29:$AI$361,0)))</f>
        <v/>
      </c>
      <c r="I227" s="6" t="str">
        <f aca="false">IF($O227="","",INDEX(Scoring!$R$29:$R$361,MATCH($O227,Scoring!$AI$29:$AI$361,0)))</f>
        <v/>
      </c>
      <c r="J227" s="7" t="str">
        <f aca="false">IF($O227="","",INDEX(Scoring!$S$29:$S$361,MATCH($O227,Scoring!$AI$29:$AI$361,0)))</f>
        <v/>
      </c>
      <c r="K227" s="8" t="str">
        <f aca="false">IF($O227="","",IF(INDEX(Scoring!$I$29:$I$361,MATCH($O227,Scoring!$AI$29:$AI$361,0))="",INDEX(Scoring!$AC$29:$AC$361,MATCH($O227,Scoring!$AI$29:$AI$361,0)),INDEX(Scoring!$I$29:$I$361,MATCH($O227,Scoring!$AI$29:$AI$361,0))))</f>
        <v/>
      </c>
      <c r="L227" s="9" t="str">
        <f aca="false">IF($O227="","",INDEX(Scoring!$M$29:$M$361,MATCH($O227,Scoring!$AI$29:$AI$361,0)))</f>
        <v/>
      </c>
      <c r="M227" s="9" t="str">
        <f aca="false">IF($O227="","",INDEX(Scoring!$O$29:$O$361,MATCH($O227,Scoring!$AI$29:$AI$361,0)))</f>
        <v/>
      </c>
      <c r="N227" s="7" t="str">
        <f aca="false">IF($O227="","",INDEX(Scoring!$Y$29:$Y$361,MATCH($O227,Scoring!$AI$29:$AI$361,0)))</f>
        <v/>
      </c>
      <c r="O227" s="10" t="str">
        <f aca="false">IFERROR(SMALL(Scoring!$AI$29:$AI$361,223),"")</f>
        <v/>
      </c>
    </row>
    <row r="228" customFormat="false" ht="15" hidden="false" customHeight="false" outlineLevel="0" collapsed="false">
      <c r="A228" s="5" t="str">
        <f aca="false">IF($O228="","",INT($O228/1000))</f>
        <v/>
      </c>
      <c r="B228" s="6" t="str">
        <f aca="false">IF($O228="","",INDEX(Scoring!$A$29:$A$361,MATCH($O228,Scoring!$AI$29:$AI$361,0)))</f>
        <v/>
      </c>
      <c r="C228" s="5" t="str">
        <f aca="false">IF($O228="","",IF(INDEX(Scoring!$F$29:$F$361,MATCH($O228,Scoring!$AI$29:$AI$361,0))="","–",INDEX(Scoring!$F$29:$F$361,MATCH($O228,Scoring!$AI$29:$AI$361,0))))</f>
        <v/>
      </c>
      <c r="D228" s="6" t="str">
        <f aca="false">IF($O228="","",INDEX(Scoring!$E$29:$E$361,MATCH($O228,Scoring!$AI$29:$AI$361,0)))</f>
        <v/>
      </c>
      <c r="E228" s="7" t="str">
        <f aca="false">IF($O228="","",INDEX(Scoring!$G$29:$G$361,MATCH($O228,Scoring!$AI$29:$AI$361,0)))</f>
        <v/>
      </c>
      <c r="F228" s="6" t="str">
        <f aca="false">IF($O228="","",INDEX(Scoring!$B$29:$B$361,MATCH($O228,Scoring!$AI$29:$AI$361,0)))</f>
        <v/>
      </c>
      <c r="G228" s="7" t="str">
        <f aca="false">IF($O228="","",INDEX(Scoring!$C$29:$C$361,MATCH($O228,Scoring!$AI$29:$AI$361,0)))</f>
        <v/>
      </c>
      <c r="H228" s="7" t="str">
        <f aca="false">IF($O228="","",INDEX(Scoring!$D$29:$D$361,MATCH($O228,Scoring!$AI$29:$AI$361,0)))</f>
        <v/>
      </c>
      <c r="I228" s="6" t="str">
        <f aca="false">IF($O228="","",INDEX(Scoring!$R$29:$R$361,MATCH($O228,Scoring!$AI$29:$AI$361,0)))</f>
        <v/>
      </c>
      <c r="J228" s="7" t="str">
        <f aca="false">IF($O228="","",INDEX(Scoring!$S$29:$S$361,MATCH($O228,Scoring!$AI$29:$AI$361,0)))</f>
        <v/>
      </c>
      <c r="K228" s="8" t="str">
        <f aca="false">IF($O228="","",IF(INDEX(Scoring!$I$29:$I$361,MATCH($O228,Scoring!$AI$29:$AI$361,0))="",INDEX(Scoring!$AC$29:$AC$361,MATCH($O228,Scoring!$AI$29:$AI$361,0)),INDEX(Scoring!$I$29:$I$361,MATCH($O228,Scoring!$AI$29:$AI$361,0))))</f>
        <v/>
      </c>
      <c r="L228" s="9" t="str">
        <f aca="false">IF($O228="","",INDEX(Scoring!$M$29:$M$361,MATCH($O228,Scoring!$AI$29:$AI$361,0)))</f>
        <v/>
      </c>
      <c r="M228" s="9" t="str">
        <f aca="false">IF($O228="","",INDEX(Scoring!$O$29:$O$361,MATCH($O228,Scoring!$AI$29:$AI$361,0)))</f>
        <v/>
      </c>
      <c r="N228" s="7" t="str">
        <f aca="false">IF($O228="","",INDEX(Scoring!$Y$29:$Y$361,MATCH($O228,Scoring!$AI$29:$AI$361,0)))</f>
        <v/>
      </c>
      <c r="O228" s="10" t="str">
        <f aca="false">IFERROR(SMALL(Scoring!$AI$29:$AI$361,224),"")</f>
        <v/>
      </c>
    </row>
    <row r="229" customFormat="false" ht="15" hidden="false" customHeight="false" outlineLevel="0" collapsed="false">
      <c r="A229" s="5" t="str">
        <f aca="false">IF($O229="","",INT($O229/1000))</f>
        <v/>
      </c>
      <c r="B229" s="6" t="str">
        <f aca="false">IF($O229="","",INDEX(Scoring!$A$29:$A$361,MATCH($O229,Scoring!$AI$29:$AI$361,0)))</f>
        <v/>
      </c>
      <c r="C229" s="5" t="str">
        <f aca="false">IF($O229="","",IF(INDEX(Scoring!$F$29:$F$361,MATCH($O229,Scoring!$AI$29:$AI$361,0))="","–",INDEX(Scoring!$F$29:$F$361,MATCH($O229,Scoring!$AI$29:$AI$361,0))))</f>
        <v/>
      </c>
      <c r="D229" s="6" t="str">
        <f aca="false">IF($O229="","",INDEX(Scoring!$E$29:$E$361,MATCH($O229,Scoring!$AI$29:$AI$361,0)))</f>
        <v/>
      </c>
      <c r="E229" s="7" t="str">
        <f aca="false">IF($O229="","",INDEX(Scoring!$G$29:$G$361,MATCH($O229,Scoring!$AI$29:$AI$361,0)))</f>
        <v/>
      </c>
      <c r="F229" s="6" t="str">
        <f aca="false">IF($O229="","",INDEX(Scoring!$B$29:$B$361,MATCH($O229,Scoring!$AI$29:$AI$361,0)))</f>
        <v/>
      </c>
      <c r="G229" s="7" t="str">
        <f aca="false">IF($O229="","",INDEX(Scoring!$C$29:$C$361,MATCH($O229,Scoring!$AI$29:$AI$361,0)))</f>
        <v/>
      </c>
      <c r="H229" s="7" t="str">
        <f aca="false">IF($O229="","",INDEX(Scoring!$D$29:$D$361,MATCH($O229,Scoring!$AI$29:$AI$361,0)))</f>
        <v/>
      </c>
      <c r="I229" s="6" t="str">
        <f aca="false">IF($O229="","",INDEX(Scoring!$R$29:$R$361,MATCH($O229,Scoring!$AI$29:$AI$361,0)))</f>
        <v/>
      </c>
      <c r="J229" s="7" t="str">
        <f aca="false">IF($O229="","",INDEX(Scoring!$S$29:$S$361,MATCH($O229,Scoring!$AI$29:$AI$361,0)))</f>
        <v/>
      </c>
      <c r="K229" s="8" t="str">
        <f aca="false">IF($O229="","",IF(INDEX(Scoring!$I$29:$I$361,MATCH($O229,Scoring!$AI$29:$AI$361,0))="",INDEX(Scoring!$AC$29:$AC$361,MATCH($O229,Scoring!$AI$29:$AI$361,0)),INDEX(Scoring!$I$29:$I$361,MATCH($O229,Scoring!$AI$29:$AI$361,0))))</f>
        <v/>
      </c>
      <c r="L229" s="9" t="str">
        <f aca="false">IF($O229="","",INDEX(Scoring!$M$29:$M$361,MATCH($O229,Scoring!$AI$29:$AI$361,0)))</f>
        <v/>
      </c>
      <c r="M229" s="9" t="str">
        <f aca="false">IF($O229="","",INDEX(Scoring!$O$29:$O$361,MATCH($O229,Scoring!$AI$29:$AI$361,0)))</f>
        <v/>
      </c>
      <c r="N229" s="7" t="str">
        <f aca="false">IF($O229="","",INDEX(Scoring!$Y$29:$Y$361,MATCH($O229,Scoring!$AI$29:$AI$361,0)))</f>
        <v/>
      </c>
      <c r="O229" s="10" t="str">
        <f aca="false">IFERROR(SMALL(Scoring!$AI$29:$AI$361,225),"")</f>
        <v/>
      </c>
    </row>
    <row r="230" customFormat="false" ht="15" hidden="false" customHeight="false" outlineLevel="0" collapsed="false">
      <c r="A230" s="5" t="str">
        <f aca="false">IF($O230="","",INT($O230/1000))</f>
        <v/>
      </c>
      <c r="B230" s="6" t="str">
        <f aca="false">IF($O230="","",INDEX(Scoring!$A$29:$A$361,MATCH($O230,Scoring!$AI$29:$AI$361,0)))</f>
        <v/>
      </c>
      <c r="C230" s="5" t="str">
        <f aca="false">IF($O230="","",IF(INDEX(Scoring!$F$29:$F$361,MATCH($O230,Scoring!$AI$29:$AI$361,0))="","–",INDEX(Scoring!$F$29:$F$361,MATCH($O230,Scoring!$AI$29:$AI$361,0))))</f>
        <v/>
      </c>
      <c r="D230" s="6" t="str">
        <f aca="false">IF($O230="","",INDEX(Scoring!$E$29:$E$361,MATCH($O230,Scoring!$AI$29:$AI$361,0)))</f>
        <v/>
      </c>
      <c r="E230" s="7" t="str">
        <f aca="false">IF($O230="","",INDEX(Scoring!$G$29:$G$361,MATCH($O230,Scoring!$AI$29:$AI$361,0)))</f>
        <v/>
      </c>
      <c r="F230" s="6" t="str">
        <f aca="false">IF($O230="","",INDEX(Scoring!$B$29:$B$361,MATCH($O230,Scoring!$AI$29:$AI$361,0)))</f>
        <v/>
      </c>
      <c r="G230" s="7" t="str">
        <f aca="false">IF($O230="","",INDEX(Scoring!$C$29:$C$361,MATCH($O230,Scoring!$AI$29:$AI$361,0)))</f>
        <v/>
      </c>
      <c r="H230" s="7" t="str">
        <f aca="false">IF($O230="","",INDEX(Scoring!$D$29:$D$361,MATCH($O230,Scoring!$AI$29:$AI$361,0)))</f>
        <v/>
      </c>
      <c r="I230" s="6" t="str">
        <f aca="false">IF($O230="","",INDEX(Scoring!$R$29:$R$361,MATCH($O230,Scoring!$AI$29:$AI$361,0)))</f>
        <v/>
      </c>
      <c r="J230" s="7" t="str">
        <f aca="false">IF($O230="","",INDEX(Scoring!$S$29:$S$361,MATCH($O230,Scoring!$AI$29:$AI$361,0)))</f>
        <v/>
      </c>
      <c r="K230" s="8" t="str">
        <f aca="false">IF($O230="","",IF(INDEX(Scoring!$I$29:$I$361,MATCH($O230,Scoring!$AI$29:$AI$361,0))="",INDEX(Scoring!$AC$29:$AC$361,MATCH($O230,Scoring!$AI$29:$AI$361,0)),INDEX(Scoring!$I$29:$I$361,MATCH($O230,Scoring!$AI$29:$AI$361,0))))</f>
        <v/>
      </c>
      <c r="L230" s="9" t="str">
        <f aca="false">IF($O230="","",INDEX(Scoring!$M$29:$M$361,MATCH($O230,Scoring!$AI$29:$AI$361,0)))</f>
        <v/>
      </c>
      <c r="M230" s="9" t="str">
        <f aca="false">IF($O230="","",INDEX(Scoring!$O$29:$O$361,MATCH($O230,Scoring!$AI$29:$AI$361,0)))</f>
        <v/>
      </c>
      <c r="N230" s="7" t="str">
        <f aca="false">IF($O230="","",INDEX(Scoring!$Y$29:$Y$361,MATCH($O230,Scoring!$AI$29:$AI$361,0)))</f>
        <v/>
      </c>
      <c r="O230" s="10" t="str">
        <f aca="false">IFERROR(SMALL(Scoring!$AI$29:$AI$361,226),"")</f>
        <v/>
      </c>
    </row>
    <row r="231" customFormat="false" ht="15" hidden="false" customHeight="false" outlineLevel="0" collapsed="false">
      <c r="A231" s="5" t="str">
        <f aca="false">IF($O231="","",INT($O231/1000))</f>
        <v/>
      </c>
      <c r="B231" s="6" t="str">
        <f aca="false">IF($O231="","",INDEX(Scoring!$A$29:$A$361,MATCH($O231,Scoring!$AI$29:$AI$361,0)))</f>
        <v/>
      </c>
      <c r="C231" s="5" t="str">
        <f aca="false">IF($O231="","",IF(INDEX(Scoring!$F$29:$F$361,MATCH($O231,Scoring!$AI$29:$AI$361,0))="","–",INDEX(Scoring!$F$29:$F$361,MATCH($O231,Scoring!$AI$29:$AI$361,0))))</f>
        <v/>
      </c>
      <c r="D231" s="6" t="str">
        <f aca="false">IF($O231="","",INDEX(Scoring!$E$29:$E$361,MATCH($O231,Scoring!$AI$29:$AI$361,0)))</f>
        <v/>
      </c>
      <c r="E231" s="7" t="str">
        <f aca="false">IF($O231="","",INDEX(Scoring!$G$29:$G$361,MATCH($O231,Scoring!$AI$29:$AI$361,0)))</f>
        <v/>
      </c>
      <c r="F231" s="6" t="str">
        <f aca="false">IF($O231="","",INDEX(Scoring!$B$29:$B$361,MATCH($O231,Scoring!$AI$29:$AI$361,0)))</f>
        <v/>
      </c>
      <c r="G231" s="7" t="str">
        <f aca="false">IF($O231="","",INDEX(Scoring!$C$29:$C$361,MATCH($O231,Scoring!$AI$29:$AI$361,0)))</f>
        <v/>
      </c>
      <c r="H231" s="7" t="str">
        <f aca="false">IF($O231="","",INDEX(Scoring!$D$29:$D$361,MATCH($O231,Scoring!$AI$29:$AI$361,0)))</f>
        <v/>
      </c>
      <c r="I231" s="6" t="str">
        <f aca="false">IF($O231="","",INDEX(Scoring!$R$29:$R$361,MATCH($O231,Scoring!$AI$29:$AI$361,0)))</f>
        <v/>
      </c>
      <c r="J231" s="7" t="str">
        <f aca="false">IF($O231="","",INDEX(Scoring!$S$29:$S$361,MATCH($O231,Scoring!$AI$29:$AI$361,0)))</f>
        <v/>
      </c>
      <c r="K231" s="8" t="str">
        <f aca="false">IF($O231="","",IF(INDEX(Scoring!$I$29:$I$361,MATCH($O231,Scoring!$AI$29:$AI$361,0))="",INDEX(Scoring!$AC$29:$AC$361,MATCH($O231,Scoring!$AI$29:$AI$361,0)),INDEX(Scoring!$I$29:$I$361,MATCH($O231,Scoring!$AI$29:$AI$361,0))))</f>
        <v/>
      </c>
      <c r="L231" s="9" t="str">
        <f aca="false">IF($O231="","",INDEX(Scoring!$M$29:$M$361,MATCH($O231,Scoring!$AI$29:$AI$361,0)))</f>
        <v/>
      </c>
      <c r="M231" s="9" t="str">
        <f aca="false">IF($O231="","",INDEX(Scoring!$O$29:$O$361,MATCH($O231,Scoring!$AI$29:$AI$361,0)))</f>
        <v/>
      </c>
      <c r="N231" s="7" t="str">
        <f aca="false">IF($O231="","",INDEX(Scoring!$Y$29:$Y$361,MATCH($O231,Scoring!$AI$29:$AI$361,0)))</f>
        <v/>
      </c>
      <c r="O231" s="10" t="str">
        <f aca="false">IFERROR(SMALL(Scoring!$AI$29:$AI$361,227),"")</f>
        <v/>
      </c>
    </row>
    <row r="232" customFormat="false" ht="15" hidden="false" customHeight="false" outlineLevel="0" collapsed="false">
      <c r="A232" s="5" t="str">
        <f aca="false">IF($O232="","",INT($O232/1000))</f>
        <v/>
      </c>
      <c r="B232" s="6" t="str">
        <f aca="false">IF($O232="","",INDEX(Scoring!$A$29:$A$361,MATCH($O232,Scoring!$AI$29:$AI$361,0)))</f>
        <v/>
      </c>
      <c r="C232" s="5" t="str">
        <f aca="false">IF($O232="","",IF(INDEX(Scoring!$F$29:$F$361,MATCH($O232,Scoring!$AI$29:$AI$361,0))="","–",INDEX(Scoring!$F$29:$F$361,MATCH($O232,Scoring!$AI$29:$AI$361,0))))</f>
        <v/>
      </c>
      <c r="D232" s="6" t="str">
        <f aca="false">IF($O232="","",INDEX(Scoring!$E$29:$E$361,MATCH($O232,Scoring!$AI$29:$AI$361,0)))</f>
        <v/>
      </c>
      <c r="E232" s="7" t="str">
        <f aca="false">IF($O232="","",INDEX(Scoring!$G$29:$G$361,MATCH($O232,Scoring!$AI$29:$AI$361,0)))</f>
        <v/>
      </c>
      <c r="F232" s="6" t="str">
        <f aca="false">IF($O232="","",INDEX(Scoring!$B$29:$B$361,MATCH($O232,Scoring!$AI$29:$AI$361,0)))</f>
        <v/>
      </c>
      <c r="G232" s="7" t="str">
        <f aca="false">IF($O232="","",INDEX(Scoring!$C$29:$C$361,MATCH($O232,Scoring!$AI$29:$AI$361,0)))</f>
        <v/>
      </c>
      <c r="H232" s="7" t="str">
        <f aca="false">IF($O232="","",INDEX(Scoring!$D$29:$D$361,MATCH($O232,Scoring!$AI$29:$AI$361,0)))</f>
        <v/>
      </c>
      <c r="I232" s="6" t="str">
        <f aca="false">IF($O232="","",INDEX(Scoring!$R$29:$R$361,MATCH($O232,Scoring!$AI$29:$AI$361,0)))</f>
        <v/>
      </c>
      <c r="J232" s="7" t="str">
        <f aca="false">IF($O232="","",INDEX(Scoring!$S$29:$S$361,MATCH($O232,Scoring!$AI$29:$AI$361,0)))</f>
        <v/>
      </c>
      <c r="K232" s="8" t="str">
        <f aca="false">IF($O232="","",IF(INDEX(Scoring!$I$29:$I$361,MATCH($O232,Scoring!$AI$29:$AI$361,0))="",INDEX(Scoring!$AC$29:$AC$361,MATCH($O232,Scoring!$AI$29:$AI$361,0)),INDEX(Scoring!$I$29:$I$361,MATCH($O232,Scoring!$AI$29:$AI$361,0))))</f>
        <v/>
      </c>
      <c r="L232" s="9" t="str">
        <f aca="false">IF($O232="","",INDEX(Scoring!$M$29:$M$361,MATCH($O232,Scoring!$AI$29:$AI$361,0)))</f>
        <v/>
      </c>
      <c r="M232" s="9" t="str">
        <f aca="false">IF($O232="","",INDEX(Scoring!$O$29:$O$361,MATCH($O232,Scoring!$AI$29:$AI$361,0)))</f>
        <v/>
      </c>
      <c r="N232" s="7" t="str">
        <f aca="false">IF($O232="","",INDEX(Scoring!$Y$29:$Y$361,MATCH($O232,Scoring!$AI$29:$AI$361,0)))</f>
        <v/>
      </c>
      <c r="O232" s="10" t="str">
        <f aca="false">IFERROR(SMALL(Scoring!$AI$29:$AI$361,228),"")</f>
        <v/>
      </c>
    </row>
    <row r="233" customFormat="false" ht="15" hidden="false" customHeight="false" outlineLevel="0" collapsed="false">
      <c r="A233" s="5" t="str">
        <f aca="false">IF($O233="","",INT($O233/1000))</f>
        <v/>
      </c>
      <c r="B233" s="6" t="str">
        <f aca="false">IF($O233="","",INDEX(Scoring!$A$29:$A$361,MATCH($O233,Scoring!$AI$29:$AI$361,0)))</f>
        <v/>
      </c>
      <c r="C233" s="5" t="str">
        <f aca="false">IF($O233="","",IF(INDEX(Scoring!$F$29:$F$361,MATCH($O233,Scoring!$AI$29:$AI$361,0))="","–",INDEX(Scoring!$F$29:$F$361,MATCH($O233,Scoring!$AI$29:$AI$361,0))))</f>
        <v/>
      </c>
      <c r="D233" s="6" t="str">
        <f aca="false">IF($O233="","",INDEX(Scoring!$E$29:$E$361,MATCH($O233,Scoring!$AI$29:$AI$361,0)))</f>
        <v/>
      </c>
      <c r="E233" s="7" t="str">
        <f aca="false">IF($O233="","",INDEX(Scoring!$G$29:$G$361,MATCH($O233,Scoring!$AI$29:$AI$361,0)))</f>
        <v/>
      </c>
      <c r="F233" s="6" t="str">
        <f aca="false">IF($O233="","",INDEX(Scoring!$B$29:$B$361,MATCH($O233,Scoring!$AI$29:$AI$361,0)))</f>
        <v/>
      </c>
      <c r="G233" s="7" t="str">
        <f aca="false">IF($O233="","",INDEX(Scoring!$C$29:$C$361,MATCH($O233,Scoring!$AI$29:$AI$361,0)))</f>
        <v/>
      </c>
      <c r="H233" s="7" t="str">
        <f aca="false">IF($O233="","",INDEX(Scoring!$D$29:$D$361,MATCH($O233,Scoring!$AI$29:$AI$361,0)))</f>
        <v/>
      </c>
      <c r="I233" s="6" t="str">
        <f aca="false">IF($O233="","",INDEX(Scoring!$R$29:$R$361,MATCH($O233,Scoring!$AI$29:$AI$361,0)))</f>
        <v/>
      </c>
      <c r="J233" s="7" t="str">
        <f aca="false">IF($O233="","",INDEX(Scoring!$S$29:$S$361,MATCH($O233,Scoring!$AI$29:$AI$361,0)))</f>
        <v/>
      </c>
      <c r="K233" s="8" t="str">
        <f aca="false">IF($O233="","",IF(INDEX(Scoring!$I$29:$I$361,MATCH($O233,Scoring!$AI$29:$AI$361,0))="",INDEX(Scoring!$AC$29:$AC$361,MATCH($O233,Scoring!$AI$29:$AI$361,0)),INDEX(Scoring!$I$29:$I$361,MATCH($O233,Scoring!$AI$29:$AI$361,0))))</f>
        <v/>
      </c>
      <c r="L233" s="9" t="str">
        <f aca="false">IF($O233="","",INDEX(Scoring!$M$29:$M$361,MATCH($O233,Scoring!$AI$29:$AI$361,0)))</f>
        <v/>
      </c>
      <c r="M233" s="9" t="str">
        <f aca="false">IF($O233="","",INDEX(Scoring!$O$29:$O$361,MATCH($O233,Scoring!$AI$29:$AI$361,0)))</f>
        <v/>
      </c>
      <c r="N233" s="7" t="str">
        <f aca="false">IF($O233="","",INDEX(Scoring!$Y$29:$Y$361,MATCH($O233,Scoring!$AI$29:$AI$361,0)))</f>
        <v/>
      </c>
      <c r="O233" s="10" t="str">
        <f aca="false">IFERROR(SMALL(Scoring!$AI$29:$AI$361,229),"")</f>
        <v/>
      </c>
    </row>
    <row r="234" customFormat="false" ht="15" hidden="false" customHeight="false" outlineLevel="0" collapsed="false">
      <c r="A234" s="5" t="str">
        <f aca="false">IF($O234="","",INT($O234/1000))</f>
        <v/>
      </c>
      <c r="B234" s="6" t="str">
        <f aca="false">IF($O234="","",INDEX(Scoring!$A$29:$A$361,MATCH($O234,Scoring!$AI$29:$AI$361,0)))</f>
        <v/>
      </c>
      <c r="C234" s="5" t="str">
        <f aca="false">IF($O234="","",IF(INDEX(Scoring!$F$29:$F$361,MATCH($O234,Scoring!$AI$29:$AI$361,0))="","–",INDEX(Scoring!$F$29:$F$361,MATCH($O234,Scoring!$AI$29:$AI$361,0))))</f>
        <v/>
      </c>
      <c r="D234" s="6" t="str">
        <f aca="false">IF($O234="","",INDEX(Scoring!$E$29:$E$361,MATCH($O234,Scoring!$AI$29:$AI$361,0)))</f>
        <v/>
      </c>
      <c r="E234" s="7" t="str">
        <f aca="false">IF($O234="","",INDEX(Scoring!$G$29:$G$361,MATCH($O234,Scoring!$AI$29:$AI$361,0)))</f>
        <v/>
      </c>
      <c r="F234" s="6" t="str">
        <f aca="false">IF($O234="","",INDEX(Scoring!$B$29:$B$361,MATCH($O234,Scoring!$AI$29:$AI$361,0)))</f>
        <v/>
      </c>
      <c r="G234" s="7" t="str">
        <f aca="false">IF($O234="","",INDEX(Scoring!$C$29:$C$361,MATCH($O234,Scoring!$AI$29:$AI$361,0)))</f>
        <v/>
      </c>
      <c r="H234" s="7" t="str">
        <f aca="false">IF($O234="","",INDEX(Scoring!$D$29:$D$361,MATCH($O234,Scoring!$AI$29:$AI$361,0)))</f>
        <v/>
      </c>
      <c r="I234" s="6" t="str">
        <f aca="false">IF($O234="","",INDEX(Scoring!$R$29:$R$361,MATCH($O234,Scoring!$AI$29:$AI$361,0)))</f>
        <v/>
      </c>
      <c r="J234" s="7" t="str">
        <f aca="false">IF($O234="","",INDEX(Scoring!$S$29:$S$361,MATCH($O234,Scoring!$AI$29:$AI$361,0)))</f>
        <v/>
      </c>
      <c r="K234" s="8" t="str">
        <f aca="false">IF($O234="","",IF(INDEX(Scoring!$I$29:$I$361,MATCH($O234,Scoring!$AI$29:$AI$361,0))="",INDEX(Scoring!$AC$29:$AC$361,MATCH($O234,Scoring!$AI$29:$AI$361,0)),INDEX(Scoring!$I$29:$I$361,MATCH($O234,Scoring!$AI$29:$AI$361,0))))</f>
        <v/>
      </c>
      <c r="L234" s="9" t="str">
        <f aca="false">IF($O234="","",INDEX(Scoring!$M$29:$M$361,MATCH($O234,Scoring!$AI$29:$AI$361,0)))</f>
        <v/>
      </c>
      <c r="M234" s="9" t="str">
        <f aca="false">IF($O234="","",INDEX(Scoring!$O$29:$O$361,MATCH($O234,Scoring!$AI$29:$AI$361,0)))</f>
        <v/>
      </c>
      <c r="N234" s="7" t="str">
        <f aca="false">IF($O234="","",INDEX(Scoring!$Y$29:$Y$361,MATCH($O234,Scoring!$AI$29:$AI$361,0)))</f>
        <v/>
      </c>
      <c r="O234" s="10" t="str">
        <f aca="false">IFERROR(SMALL(Scoring!$AI$29:$AI$361,230),"")</f>
        <v/>
      </c>
    </row>
    <row r="235" customFormat="false" ht="15" hidden="false" customHeight="false" outlineLevel="0" collapsed="false">
      <c r="A235" s="5" t="str">
        <f aca="false">IF($O235="","",INT($O235/1000))</f>
        <v/>
      </c>
      <c r="B235" s="6" t="str">
        <f aca="false">IF($O235="","",INDEX(Scoring!$A$29:$A$361,MATCH($O235,Scoring!$AI$29:$AI$361,0)))</f>
        <v/>
      </c>
      <c r="C235" s="5" t="str">
        <f aca="false">IF($O235="","",IF(INDEX(Scoring!$F$29:$F$361,MATCH($O235,Scoring!$AI$29:$AI$361,0))="","–",INDEX(Scoring!$F$29:$F$361,MATCH($O235,Scoring!$AI$29:$AI$361,0))))</f>
        <v/>
      </c>
      <c r="D235" s="6" t="str">
        <f aca="false">IF($O235="","",INDEX(Scoring!$E$29:$E$361,MATCH($O235,Scoring!$AI$29:$AI$361,0)))</f>
        <v/>
      </c>
      <c r="E235" s="7" t="str">
        <f aca="false">IF($O235="","",INDEX(Scoring!$G$29:$G$361,MATCH($O235,Scoring!$AI$29:$AI$361,0)))</f>
        <v/>
      </c>
      <c r="F235" s="6" t="str">
        <f aca="false">IF($O235="","",INDEX(Scoring!$B$29:$B$361,MATCH($O235,Scoring!$AI$29:$AI$361,0)))</f>
        <v/>
      </c>
      <c r="G235" s="7" t="str">
        <f aca="false">IF($O235="","",INDEX(Scoring!$C$29:$C$361,MATCH($O235,Scoring!$AI$29:$AI$361,0)))</f>
        <v/>
      </c>
      <c r="H235" s="7" t="str">
        <f aca="false">IF($O235="","",INDEX(Scoring!$D$29:$D$361,MATCH($O235,Scoring!$AI$29:$AI$361,0)))</f>
        <v/>
      </c>
      <c r="I235" s="6" t="str">
        <f aca="false">IF($O235="","",INDEX(Scoring!$R$29:$R$361,MATCH($O235,Scoring!$AI$29:$AI$361,0)))</f>
        <v/>
      </c>
      <c r="J235" s="7" t="str">
        <f aca="false">IF($O235="","",INDEX(Scoring!$S$29:$S$361,MATCH($O235,Scoring!$AI$29:$AI$361,0)))</f>
        <v/>
      </c>
      <c r="K235" s="8" t="str">
        <f aca="false">IF($O235="","",IF(INDEX(Scoring!$I$29:$I$361,MATCH($O235,Scoring!$AI$29:$AI$361,0))="",INDEX(Scoring!$AC$29:$AC$361,MATCH($O235,Scoring!$AI$29:$AI$361,0)),INDEX(Scoring!$I$29:$I$361,MATCH($O235,Scoring!$AI$29:$AI$361,0))))</f>
        <v/>
      </c>
      <c r="L235" s="9" t="str">
        <f aca="false">IF($O235="","",INDEX(Scoring!$M$29:$M$361,MATCH($O235,Scoring!$AI$29:$AI$361,0)))</f>
        <v/>
      </c>
      <c r="M235" s="9" t="str">
        <f aca="false">IF($O235="","",INDEX(Scoring!$O$29:$O$361,MATCH($O235,Scoring!$AI$29:$AI$361,0)))</f>
        <v/>
      </c>
      <c r="N235" s="7" t="str">
        <f aca="false">IF($O235="","",INDEX(Scoring!$Y$29:$Y$361,MATCH($O235,Scoring!$AI$29:$AI$361,0)))</f>
        <v/>
      </c>
      <c r="O235" s="10" t="str">
        <f aca="false">IFERROR(SMALL(Scoring!$AI$29:$AI$361,231),"")</f>
        <v/>
      </c>
    </row>
    <row r="236" customFormat="false" ht="15" hidden="false" customHeight="false" outlineLevel="0" collapsed="false">
      <c r="A236" s="5" t="str">
        <f aca="false">IF($O236="","",INT($O236/1000))</f>
        <v/>
      </c>
      <c r="B236" s="6" t="str">
        <f aca="false">IF($O236="","",INDEX(Scoring!$A$29:$A$361,MATCH($O236,Scoring!$AI$29:$AI$361,0)))</f>
        <v/>
      </c>
      <c r="C236" s="5" t="str">
        <f aca="false">IF($O236="","",IF(INDEX(Scoring!$F$29:$F$361,MATCH($O236,Scoring!$AI$29:$AI$361,0))="","–",INDEX(Scoring!$F$29:$F$361,MATCH($O236,Scoring!$AI$29:$AI$361,0))))</f>
        <v/>
      </c>
      <c r="D236" s="6" t="str">
        <f aca="false">IF($O236="","",INDEX(Scoring!$E$29:$E$361,MATCH($O236,Scoring!$AI$29:$AI$361,0)))</f>
        <v/>
      </c>
      <c r="E236" s="7" t="str">
        <f aca="false">IF($O236="","",INDEX(Scoring!$G$29:$G$361,MATCH($O236,Scoring!$AI$29:$AI$361,0)))</f>
        <v/>
      </c>
      <c r="F236" s="6" t="str">
        <f aca="false">IF($O236="","",INDEX(Scoring!$B$29:$B$361,MATCH($O236,Scoring!$AI$29:$AI$361,0)))</f>
        <v/>
      </c>
      <c r="G236" s="7" t="str">
        <f aca="false">IF($O236="","",INDEX(Scoring!$C$29:$C$361,MATCH($O236,Scoring!$AI$29:$AI$361,0)))</f>
        <v/>
      </c>
      <c r="H236" s="7" t="str">
        <f aca="false">IF($O236="","",INDEX(Scoring!$D$29:$D$361,MATCH($O236,Scoring!$AI$29:$AI$361,0)))</f>
        <v/>
      </c>
      <c r="I236" s="6" t="str">
        <f aca="false">IF($O236="","",INDEX(Scoring!$R$29:$R$361,MATCH($O236,Scoring!$AI$29:$AI$361,0)))</f>
        <v/>
      </c>
      <c r="J236" s="7" t="str">
        <f aca="false">IF($O236="","",INDEX(Scoring!$S$29:$S$361,MATCH($O236,Scoring!$AI$29:$AI$361,0)))</f>
        <v/>
      </c>
      <c r="K236" s="8" t="str">
        <f aca="false">IF($O236="","",IF(INDEX(Scoring!$I$29:$I$361,MATCH($O236,Scoring!$AI$29:$AI$361,0))="",INDEX(Scoring!$AC$29:$AC$361,MATCH($O236,Scoring!$AI$29:$AI$361,0)),INDEX(Scoring!$I$29:$I$361,MATCH($O236,Scoring!$AI$29:$AI$361,0))))</f>
        <v/>
      </c>
      <c r="L236" s="9" t="str">
        <f aca="false">IF($O236="","",INDEX(Scoring!$M$29:$M$361,MATCH($O236,Scoring!$AI$29:$AI$361,0)))</f>
        <v/>
      </c>
      <c r="M236" s="9" t="str">
        <f aca="false">IF($O236="","",INDEX(Scoring!$O$29:$O$361,MATCH($O236,Scoring!$AI$29:$AI$361,0)))</f>
        <v/>
      </c>
      <c r="N236" s="7" t="str">
        <f aca="false">IF($O236="","",INDEX(Scoring!$Y$29:$Y$361,MATCH($O236,Scoring!$AI$29:$AI$361,0)))</f>
        <v/>
      </c>
      <c r="O236" s="10" t="str">
        <f aca="false">IFERROR(SMALL(Scoring!$AI$29:$AI$361,232),"")</f>
        <v/>
      </c>
    </row>
    <row r="237" customFormat="false" ht="15" hidden="false" customHeight="false" outlineLevel="0" collapsed="false">
      <c r="A237" s="5" t="str">
        <f aca="false">IF($O237="","",INT($O237/1000))</f>
        <v/>
      </c>
      <c r="B237" s="6" t="str">
        <f aca="false">IF($O237="","",INDEX(Scoring!$A$29:$A$361,MATCH($O237,Scoring!$AI$29:$AI$361,0)))</f>
        <v/>
      </c>
      <c r="C237" s="5" t="str">
        <f aca="false">IF($O237="","",IF(INDEX(Scoring!$F$29:$F$361,MATCH($O237,Scoring!$AI$29:$AI$361,0))="","–",INDEX(Scoring!$F$29:$F$361,MATCH($O237,Scoring!$AI$29:$AI$361,0))))</f>
        <v/>
      </c>
      <c r="D237" s="6" t="str">
        <f aca="false">IF($O237="","",INDEX(Scoring!$E$29:$E$361,MATCH($O237,Scoring!$AI$29:$AI$361,0)))</f>
        <v/>
      </c>
      <c r="E237" s="7" t="str">
        <f aca="false">IF($O237="","",INDEX(Scoring!$G$29:$G$361,MATCH($O237,Scoring!$AI$29:$AI$361,0)))</f>
        <v/>
      </c>
      <c r="F237" s="6" t="str">
        <f aca="false">IF($O237="","",INDEX(Scoring!$B$29:$B$361,MATCH($O237,Scoring!$AI$29:$AI$361,0)))</f>
        <v/>
      </c>
      <c r="G237" s="7" t="str">
        <f aca="false">IF($O237="","",INDEX(Scoring!$C$29:$C$361,MATCH($O237,Scoring!$AI$29:$AI$361,0)))</f>
        <v/>
      </c>
      <c r="H237" s="7" t="str">
        <f aca="false">IF($O237="","",INDEX(Scoring!$D$29:$D$361,MATCH($O237,Scoring!$AI$29:$AI$361,0)))</f>
        <v/>
      </c>
      <c r="I237" s="6" t="str">
        <f aca="false">IF($O237="","",INDEX(Scoring!$R$29:$R$361,MATCH($O237,Scoring!$AI$29:$AI$361,0)))</f>
        <v/>
      </c>
      <c r="J237" s="7" t="str">
        <f aca="false">IF($O237="","",INDEX(Scoring!$S$29:$S$361,MATCH($O237,Scoring!$AI$29:$AI$361,0)))</f>
        <v/>
      </c>
      <c r="K237" s="8" t="str">
        <f aca="false">IF($O237="","",IF(INDEX(Scoring!$I$29:$I$361,MATCH($O237,Scoring!$AI$29:$AI$361,0))="",INDEX(Scoring!$AC$29:$AC$361,MATCH($O237,Scoring!$AI$29:$AI$361,0)),INDEX(Scoring!$I$29:$I$361,MATCH($O237,Scoring!$AI$29:$AI$361,0))))</f>
        <v/>
      </c>
      <c r="L237" s="9" t="str">
        <f aca="false">IF($O237="","",INDEX(Scoring!$M$29:$M$361,MATCH($O237,Scoring!$AI$29:$AI$361,0)))</f>
        <v/>
      </c>
      <c r="M237" s="9" t="str">
        <f aca="false">IF($O237="","",INDEX(Scoring!$O$29:$O$361,MATCH($O237,Scoring!$AI$29:$AI$361,0)))</f>
        <v/>
      </c>
      <c r="N237" s="7" t="str">
        <f aca="false">IF($O237="","",INDEX(Scoring!$Y$29:$Y$361,MATCH($O237,Scoring!$AI$29:$AI$361,0)))</f>
        <v/>
      </c>
      <c r="O237" s="10" t="str">
        <f aca="false">IFERROR(SMALL(Scoring!$AI$29:$AI$361,233),"")</f>
        <v/>
      </c>
    </row>
    <row r="238" customFormat="false" ht="15" hidden="false" customHeight="false" outlineLevel="0" collapsed="false">
      <c r="A238" s="5" t="str">
        <f aca="false">IF($O238="","",INT($O238/1000))</f>
        <v/>
      </c>
      <c r="B238" s="6" t="str">
        <f aca="false">IF($O238="","",INDEX(Scoring!$A$29:$A$361,MATCH($O238,Scoring!$AI$29:$AI$361,0)))</f>
        <v/>
      </c>
      <c r="C238" s="5" t="str">
        <f aca="false">IF($O238="","",IF(INDEX(Scoring!$F$29:$F$361,MATCH($O238,Scoring!$AI$29:$AI$361,0))="","–",INDEX(Scoring!$F$29:$F$361,MATCH($O238,Scoring!$AI$29:$AI$361,0))))</f>
        <v/>
      </c>
      <c r="D238" s="6" t="str">
        <f aca="false">IF($O238="","",INDEX(Scoring!$E$29:$E$361,MATCH($O238,Scoring!$AI$29:$AI$361,0)))</f>
        <v/>
      </c>
      <c r="E238" s="7" t="str">
        <f aca="false">IF($O238="","",INDEX(Scoring!$G$29:$G$361,MATCH($O238,Scoring!$AI$29:$AI$361,0)))</f>
        <v/>
      </c>
      <c r="F238" s="6" t="str">
        <f aca="false">IF($O238="","",INDEX(Scoring!$B$29:$B$361,MATCH($O238,Scoring!$AI$29:$AI$361,0)))</f>
        <v/>
      </c>
      <c r="G238" s="7" t="str">
        <f aca="false">IF($O238="","",INDEX(Scoring!$C$29:$C$361,MATCH($O238,Scoring!$AI$29:$AI$361,0)))</f>
        <v/>
      </c>
      <c r="H238" s="7" t="str">
        <f aca="false">IF($O238="","",INDEX(Scoring!$D$29:$D$361,MATCH($O238,Scoring!$AI$29:$AI$361,0)))</f>
        <v/>
      </c>
      <c r="I238" s="6" t="str">
        <f aca="false">IF($O238="","",INDEX(Scoring!$R$29:$R$361,MATCH($O238,Scoring!$AI$29:$AI$361,0)))</f>
        <v/>
      </c>
      <c r="J238" s="7" t="str">
        <f aca="false">IF($O238="","",INDEX(Scoring!$S$29:$S$361,MATCH($O238,Scoring!$AI$29:$AI$361,0)))</f>
        <v/>
      </c>
      <c r="K238" s="8" t="str">
        <f aca="false">IF($O238="","",IF(INDEX(Scoring!$I$29:$I$361,MATCH($O238,Scoring!$AI$29:$AI$361,0))="",INDEX(Scoring!$AC$29:$AC$361,MATCH($O238,Scoring!$AI$29:$AI$361,0)),INDEX(Scoring!$I$29:$I$361,MATCH($O238,Scoring!$AI$29:$AI$361,0))))</f>
        <v/>
      </c>
      <c r="L238" s="9" t="str">
        <f aca="false">IF($O238="","",INDEX(Scoring!$M$29:$M$361,MATCH($O238,Scoring!$AI$29:$AI$361,0)))</f>
        <v/>
      </c>
      <c r="M238" s="9" t="str">
        <f aca="false">IF($O238="","",INDEX(Scoring!$O$29:$O$361,MATCH($O238,Scoring!$AI$29:$AI$361,0)))</f>
        <v/>
      </c>
      <c r="N238" s="7" t="str">
        <f aca="false">IF($O238="","",INDEX(Scoring!$Y$29:$Y$361,MATCH($O238,Scoring!$AI$29:$AI$361,0)))</f>
        <v/>
      </c>
      <c r="O238" s="10" t="str">
        <f aca="false">IFERROR(SMALL(Scoring!$AI$29:$AI$361,234),"")</f>
        <v/>
      </c>
    </row>
    <row r="239" customFormat="false" ht="15" hidden="false" customHeight="false" outlineLevel="0" collapsed="false">
      <c r="A239" s="5" t="str">
        <f aca="false">IF($O239="","",INT($O239/1000))</f>
        <v/>
      </c>
      <c r="B239" s="6" t="str">
        <f aca="false">IF($O239="","",INDEX(Scoring!$A$29:$A$361,MATCH($O239,Scoring!$AI$29:$AI$361,0)))</f>
        <v/>
      </c>
      <c r="C239" s="5" t="str">
        <f aca="false">IF($O239="","",IF(INDEX(Scoring!$F$29:$F$361,MATCH($O239,Scoring!$AI$29:$AI$361,0))="","–",INDEX(Scoring!$F$29:$F$361,MATCH($O239,Scoring!$AI$29:$AI$361,0))))</f>
        <v/>
      </c>
      <c r="D239" s="6" t="str">
        <f aca="false">IF($O239="","",INDEX(Scoring!$E$29:$E$361,MATCH($O239,Scoring!$AI$29:$AI$361,0)))</f>
        <v/>
      </c>
      <c r="E239" s="7" t="str">
        <f aca="false">IF($O239="","",INDEX(Scoring!$G$29:$G$361,MATCH($O239,Scoring!$AI$29:$AI$361,0)))</f>
        <v/>
      </c>
      <c r="F239" s="6" t="str">
        <f aca="false">IF($O239="","",INDEX(Scoring!$B$29:$B$361,MATCH($O239,Scoring!$AI$29:$AI$361,0)))</f>
        <v/>
      </c>
      <c r="G239" s="7" t="str">
        <f aca="false">IF($O239="","",INDEX(Scoring!$C$29:$C$361,MATCH($O239,Scoring!$AI$29:$AI$361,0)))</f>
        <v/>
      </c>
      <c r="H239" s="7" t="str">
        <f aca="false">IF($O239="","",INDEX(Scoring!$D$29:$D$361,MATCH($O239,Scoring!$AI$29:$AI$361,0)))</f>
        <v/>
      </c>
      <c r="I239" s="6" t="str">
        <f aca="false">IF($O239="","",INDEX(Scoring!$R$29:$R$361,MATCH($O239,Scoring!$AI$29:$AI$361,0)))</f>
        <v/>
      </c>
      <c r="J239" s="7" t="str">
        <f aca="false">IF($O239="","",INDEX(Scoring!$S$29:$S$361,MATCH($O239,Scoring!$AI$29:$AI$361,0)))</f>
        <v/>
      </c>
      <c r="K239" s="8" t="str">
        <f aca="false">IF($O239="","",IF(INDEX(Scoring!$I$29:$I$361,MATCH($O239,Scoring!$AI$29:$AI$361,0))="",INDEX(Scoring!$AC$29:$AC$361,MATCH($O239,Scoring!$AI$29:$AI$361,0)),INDEX(Scoring!$I$29:$I$361,MATCH($O239,Scoring!$AI$29:$AI$361,0))))</f>
        <v/>
      </c>
      <c r="L239" s="9" t="str">
        <f aca="false">IF($O239="","",INDEX(Scoring!$M$29:$M$361,MATCH($O239,Scoring!$AI$29:$AI$361,0)))</f>
        <v/>
      </c>
      <c r="M239" s="9" t="str">
        <f aca="false">IF($O239="","",INDEX(Scoring!$O$29:$O$361,MATCH($O239,Scoring!$AI$29:$AI$361,0)))</f>
        <v/>
      </c>
      <c r="N239" s="7" t="str">
        <f aca="false">IF($O239="","",INDEX(Scoring!$Y$29:$Y$361,MATCH($O239,Scoring!$AI$29:$AI$361,0)))</f>
        <v/>
      </c>
      <c r="O239" s="10" t="str">
        <f aca="false">IFERROR(SMALL(Scoring!$AI$29:$AI$361,235),"")</f>
        <v/>
      </c>
    </row>
    <row r="240" customFormat="false" ht="15" hidden="false" customHeight="false" outlineLevel="0" collapsed="false">
      <c r="A240" s="5" t="str">
        <f aca="false">IF($O240="","",INT($O240/1000))</f>
        <v/>
      </c>
      <c r="B240" s="6" t="str">
        <f aca="false">IF($O240="","",INDEX(Scoring!$A$29:$A$361,MATCH($O240,Scoring!$AI$29:$AI$361,0)))</f>
        <v/>
      </c>
      <c r="C240" s="5" t="str">
        <f aca="false">IF($O240="","",IF(INDEX(Scoring!$F$29:$F$361,MATCH($O240,Scoring!$AI$29:$AI$361,0))="","–",INDEX(Scoring!$F$29:$F$361,MATCH($O240,Scoring!$AI$29:$AI$361,0))))</f>
        <v/>
      </c>
      <c r="D240" s="6" t="str">
        <f aca="false">IF($O240="","",INDEX(Scoring!$E$29:$E$361,MATCH($O240,Scoring!$AI$29:$AI$361,0)))</f>
        <v/>
      </c>
      <c r="E240" s="7" t="str">
        <f aca="false">IF($O240="","",INDEX(Scoring!$G$29:$G$361,MATCH($O240,Scoring!$AI$29:$AI$361,0)))</f>
        <v/>
      </c>
      <c r="F240" s="6" t="str">
        <f aca="false">IF($O240="","",INDEX(Scoring!$B$29:$B$361,MATCH($O240,Scoring!$AI$29:$AI$361,0)))</f>
        <v/>
      </c>
      <c r="G240" s="7" t="str">
        <f aca="false">IF($O240="","",INDEX(Scoring!$C$29:$C$361,MATCH($O240,Scoring!$AI$29:$AI$361,0)))</f>
        <v/>
      </c>
      <c r="H240" s="7" t="str">
        <f aca="false">IF($O240="","",INDEX(Scoring!$D$29:$D$361,MATCH($O240,Scoring!$AI$29:$AI$361,0)))</f>
        <v/>
      </c>
      <c r="I240" s="6" t="str">
        <f aca="false">IF($O240="","",INDEX(Scoring!$R$29:$R$361,MATCH($O240,Scoring!$AI$29:$AI$361,0)))</f>
        <v/>
      </c>
      <c r="J240" s="7" t="str">
        <f aca="false">IF($O240="","",INDEX(Scoring!$S$29:$S$361,MATCH($O240,Scoring!$AI$29:$AI$361,0)))</f>
        <v/>
      </c>
      <c r="K240" s="8" t="str">
        <f aca="false">IF($O240="","",IF(INDEX(Scoring!$I$29:$I$361,MATCH($O240,Scoring!$AI$29:$AI$361,0))="",INDEX(Scoring!$AC$29:$AC$361,MATCH($O240,Scoring!$AI$29:$AI$361,0)),INDEX(Scoring!$I$29:$I$361,MATCH($O240,Scoring!$AI$29:$AI$361,0))))</f>
        <v/>
      </c>
      <c r="L240" s="9" t="str">
        <f aca="false">IF($O240="","",INDEX(Scoring!$M$29:$M$361,MATCH($O240,Scoring!$AI$29:$AI$361,0)))</f>
        <v/>
      </c>
      <c r="M240" s="9" t="str">
        <f aca="false">IF($O240="","",INDEX(Scoring!$O$29:$O$361,MATCH($O240,Scoring!$AI$29:$AI$361,0)))</f>
        <v/>
      </c>
      <c r="N240" s="7" t="str">
        <f aca="false">IF($O240="","",INDEX(Scoring!$Y$29:$Y$361,MATCH($O240,Scoring!$AI$29:$AI$361,0)))</f>
        <v/>
      </c>
      <c r="O240" s="10" t="str">
        <f aca="false">IFERROR(SMALL(Scoring!$AI$29:$AI$361,236),"")</f>
        <v/>
      </c>
    </row>
    <row r="241" customFormat="false" ht="15" hidden="false" customHeight="false" outlineLevel="0" collapsed="false">
      <c r="A241" s="5" t="str">
        <f aca="false">IF($O241="","",INT($O241/1000))</f>
        <v/>
      </c>
      <c r="B241" s="6" t="str">
        <f aca="false">IF($O241="","",INDEX(Scoring!$A$29:$A$361,MATCH($O241,Scoring!$AI$29:$AI$361,0)))</f>
        <v/>
      </c>
      <c r="C241" s="5" t="str">
        <f aca="false">IF($O241="","",IF(INDEX(Scoring!$F$29:$F$361,MATCH($O241,Scoring!$AI$29:$AI$361,0))="","–",INDEX(Scoring!$F$29:$F$361,MATCH($O241,Scoring!$AI$29:$AI$361,0))))</f>
        <v/>
      </c>
      <c r="D241" s="6" t="str">
        <f aca="false">IF($O241="","",INDEX(Scoring!$E$29:$E$361,MATCH($O241,Scoring!$AI$29:$AI$361,0)))</f>
        <v/>
      </c>
      <c r="E241" s="7" t="str">
        <f aca="false">IF($O241="","",INDEX(Scoring!$G$29:$G$361,MATCH($O241,Scoring!$AI$29:$AI$361,0)))</f>
        <v/>
      </c>
      <c r="F241" s="6" t="str">
        <f aca="false">IF($O241="","",INDEX(Scoring!$B$29:$B$361,MATCH($O241,Scoring!$AI$29:$AI$361,0)))</f>
        <v/>
      </c>
      <c r="G241" s="7" t="str">
        <f aca="false">IF($O241="","",INDEX(Scoring!$C$29:$C$361,MATCH($O241,Scoring!$AI$29:$AI$361,0)))</f>
        <v/>
      </c>
      <c r="H241" s="7" t="str">
        <f aca="false">IF($O241="","",INDEX(Scoring!$D$29:$D$361,MATCH($O241,Scoring!$AI$29:$AI$361,0)))</f>
        <v/>
      </c>
      <c r="I241" s="6" t="str">
        <f aca="false">IF($O241="","",INDEX(Scoring!$R$29:$R$361,MATCH($O241,Scoring!$AI$29:$AI$361,0)))</f>
        <v/>
      </c>
      <c r="J241" s="7" t="str">
        <f aca="false">IF($O241="","",INDEX(Scoring!$S$29:$S$361,MATCH($O241,Scoring!$AI$29:$AI$361,0)))</f>
        <v/>
      </c>
      <c r="K241" s="8" t="str">
        <f aca="false">IF($O241="","",IF(INDEX(Scoring!$I$29:$I$361,MATCH($O241,Scoring!$AI$29:$AI$361,0))="",INDEX(Scoring!$AC$29:$AC$361,MATCH($O241,Scoring!$AI$29:$AI$361,0)),INDEX(Scoring!$I$29:$I$361,MATCH($O241,Scoring!$AI$29:$AI$361,0))))</f>
        <v/>
      </c>
      <c r="L241" s="9" t="str">
        <f aca="false">IF($O241="","",INDEX(Scoring!$M$29:$M$361,MATCH($O241,Scoring!$AI$29:$AI$361,0)))</f>
        <v/>
      </c>
      <c r="M241" s="9" t="str">
        <f aca="false">IF($O241="","",INDEX(Scoring!$O$29:$O$361,MATCH($O241,Scoring!$AI$29:$AI$361,0)))</f>
        <v/>
      </c>
      <c r="N241" s="7" t="str">
        <f aca="false">IF($O241="","",INDEX(Scoring!$Y$29:$Y$361,MATCH($O241,Scoring!$AI$29:$AI$361,0)))</f>
        <v/>
      </c>
      <c r="O241" s="10" t="str">
        <f aca="false">IFERROR(SMALL(Scoring!$AI$29:$AI$361,237),"")</f>
        <v/>
      </c>
    </row>
    <row r="242" customFormat="false" ht="15" hidden="false" customHeight="false" outlineLevel="0" collapsed="false">
      <c r="A242" s="5" t="str">
        <f aca="false">IF($O242="","",INT($O242/1000))</f>
        <v/>
      </c>
      <c r="B242" s="6" t="str">
        <f aca="false">IF($O242="","",INDEX(Scoring!$A$29:$A$361,MATCH($O242,Scoring!$AI$29:$AI$361,0)))</f>
        <v/>
      </c>
      <c r="C242" s="5" t="str">
        <f aca="false">IF($O242="","",IF(INDEX(Scoring!$F$29:$F$361,MATCH($O242,Scoring!$AI$29:$AI$361,0))="","–",INDEX(Scoring!$F$29:$F$361,MATCH($O242,Scoring!$AI$29:$AI$361,0))))</f>
        <v/>
      </c>
      <c r="D242" s="6" t="str">
        <f aca="false">IF($O242="","",INDEX(Scoring!$E$29:$E$361,MATCH($O242,Scoring!$AI$29:$AI$361,0)))</f>
        <v/>
      </c>
      <c r="E242" s="7" t="str">
        <f aca="false">IF($O242="","",INDEX(Scoring!$G$29:$G$361,MATCH($O242,Scoring!$AI$29:$AI$361,0)))</f>
        <v/>
      </c>
      <c r="F242" s="6" t="str">
        <f aca="false">IF($O242="","",INDEX(Scoring!$B$29:$B$361,MATCH($O242,Scoring!$AI$29:$AI$361,0)))</f>
        <v/>
      </c>
      <c r="G242" s="7" t="str">
        <f aca="false">IF($O242="","",INDEX(Scoring!$C$29:$C$361,MATCH($O242,Scoring!$AI$29:$AI$361,0)))</f>
        <v/>
      </c>
      <c r="H242" s="7" t="str">
        <f aca="false">IF($O242="","",INDEX(Scoring!$D$29:$D$361,MATCH($O242,Scoring!$AI$29:$AI$361,0)))</f>
        <v/>
      </c>
      <c r="I242" s="6" t="str">
        <f aca="false">IF($O242="","",INDEX(Scoring!$R$29:$R$361,MATCH($O242,Scoring!$AI$29:$AI$361,0)))</f>
        <v/>
      </c>
      <c r="J242" s="7" t="str">
        <f aca="false">IF($O242="","",INDEX(Scoring!$S$29:$S$361,MATCH($O242,Scoring!$AI$29:$AI$361,0)))</f>
        <v/>
      </c>
      <c r="K242" s="8" t="str">
        <f aca="false">IF($O242="","",IF(INDEX(Scoring!$I$29:$I$361,MATCH($O242,Scoring!$AI$29:$AI$361,0))="",INDEX(Scoring!$AC$29:$AC$361,MATCH($O242,Scoring!$AI$29:$AI$361,0)),INDEX(Scoring!$I$29:$I$361,MATCH($O242,Scoring!$AI$29:$AI$361,0))))</f>
        <v/>
      </c>
      <c r="L242" s="9" t="str">
        <f aca="false">IF($O242="","",INDEX(Scoring!$M$29:$M$361,MATCH($O242,Scoring!$AI$29:$AI$361,0)))</f>
        <v/>
      </c>
      <c r="M242" s="9" t="str">
        <f aca="false">IF($O242="","",INDEX(Scoring!$O$29:$O$361,MATCH($O242,Scoring!$AI$29:$AI$361,0)))</f>
        <v/>
      </c>
      <c r="N242" s="7" t="str">
        <f aca="false">IF($O242="","",INDEX(Scoring!$Y$29:$Y$361,MATCH($O242,Scoring!$AI$29:$AI$361,0)))</f>
        <v/>
      </c>
      <c r="O242" s="10" t="str">
        <f aca="false">IFERROR(SMALL(Scoring!$AI$29:$AI$361,238),"")</f>
        <v/>
      </c>
    </row>
    <row r="243" customFormat="false" ht="15" hidden="false" customHeight="false" outlineLevel="0" collapsed="false">
      <c r="A243" s="5" t="str">
        <f aca="false">IF($O243="","",INT($O243/1000))</f>
        <v/>
      </c>
      <c r="B243" s="6" t="str">
        <f aca="false">IF($O243="","",INDEX(Scoring!$A$29:$A$361,MATCH($O243,Scoring!$AI$29:$AI$361,0)))</f>
        <v/>
      </c>
      <c r="C243" s="5" t="str">
        <f aca="false">IF($O243="","",IF(INDEX(Scoring!$F$29:$F$361,MATCH($O243,Scoring!$AI$29:$AI$361,0))="","–",INDEX(Scoring!$F$29:$F$361,MATCH($O243,Scoring!$AI$29:$AI$361,0))))</f>
        <v/>
      </c>
      <c r="D243" s="6" t="str">
        <f aca="false">IF($O243="","",INDEX(Scoring!$E$29:$E$361,MATCH($O243,Scoring!$AI$29:$AI$361,0)))</f>
        <v/>
      </c>
      <c r="E243" s="7" t="str">
        <f aca="false">IF($O243="","",INDEX(Scoring!$G$29:$G$361,MATCH($O243,Scoring!$AI$29:$AI$361,0)))</f>
        <v/>
      </c>
      <c r="F243" s="6" t="str">
        <f aca="false">IF($O243="","",INDEX(Scoring!$B$29:$B$361,MATCH($O243,Scoring!$AI$29:$AI$361,0)))</f>
        <v/>
      </c>
      <c r="G243" s="7" t="str">
        <f aca="false">IF($O243="","",INDEX(Scoring!$C$29:$C$361,MATCH($O243,Scoring!$AI$29:$AI$361,0)))</f>
        <v/>
      </c>
      <c r="H243" s="7" t="str">
        <f aca="false">IF($O243="","",INDEX(Scoring!$D$29:$D$361,MATCH($O243,Scoring!$AI$29:$AI$361,0)))</f>
        <v/>
      </c>
      <c r="I243" s="6" t="str">
        <f aca="false">IF($O243="","",INDEX(Scoring!$R$29:$R$361,MATCH($O243,Scoring!$AI$29:$AI$361,0)))</f>
        <v/>
      </c>
      <c r="J243" s="7" t="str">
        <f aca="false">IF($O243="","",INDEX(Scoring!$S$29:$S$361,MATCH($O243,Scoring!$AI$29:$AI$361,0)))</f>
        <v/>
      </c>
      <c r="K243" s="8" t="str">
        <f aca="false">IF($O243="","",IF(INDEX(Scoring!$I$29:$I$361,MATCH($O243,Scoring!$AI$29:$AI$361,0))="",INDEX(Scoring!$AC$29:$AC$361,MATCH($O243,Scoring!$AI$29:$AI$361,0)),INDEX(Scoring!$I$29:$I$361,MATCH($O243,Scoring!$AI$29:$AI$361,0))))</f>
        <v/>
      </c>
      <c r="L243" s="9" t="str">
        <f aca="false">IF($O243="","",INDEX(Scoring!$M$29:$M$361,MATCH($O243,Scoring!$AI$29:$AI$361,0)))</f>
        <v/>
      </c>
      <c r="M243" s="9" t="str">
        <f aca="false">IF($O243="","",INDEX(Scoring!$O$29:$O$361,MATCH($O243,Scoring!$AI$29:$AI$361,0)))</f>
        <v/>
      </c>
      <c r="N243" s="7" t="str">
        <f aca="false">IF($O243="","",INDEX(Scoring!$Y$29:$Y$361,MATCH($O243,Scoring!$AI$29:$AI$361,0)))</f>
        <v/>
      </c>
      <c r="O243" s="10" t="str">
        <f aca="false">IFERROR(SMALL(Scoring!$AI$29:$AI$361,239),"")</f>
        <v/>
      </c>
    </row>
    <row r="244" customFormat="false" ht="15" hidden="false" customHeight="false" outlineLevel="0" collapsed="false">
      <c r="A244" s="5" t="str">
        <f aca="false">IF($O244="","",INT($O244/1000))</f>
        <v/>
      </c>
      <c r="B244" s="6" t="str">
        <f aca="false">IF($O244="","",INDEX(Scoring!$A$29:$A$361,MATCH($O244,Scoring!$AI$29:$AI$361,0)))</f>
        <v/>
      </c>
      <c r="C244" s="5" t="str">
        <f aca="false">IF($O244="","",IF(INDEX(Scoring!$F$29:$F$361,MATCH($O244,Scoring!$AI$29:$AI$361,0))="","–",INDEX(Scoring!$F$29:$F$361,MATCH($O244,Scoring!$AI$29:$AI$361,0))))</f>
        <v/>
      </c>
      <c r="D244" s="6" t="str">
        <f aca="false">IF($O244="","",INDEX(Scoring!$E$29:$E$361,MATCH($O244,Scoring!$AI$29:$AI$361,0)))</f>
        <v/>
      </c>
      <c r="E244" s="7" t="str">
        <f aca="false">IF($O244="","",INDEX(Scoring!$G$29:$G$361,MATCH($O244,Scoring!$AI$29:$AI$361,0)))</f>
        <v/>
      </c>
      <c r="F244" s="6" t="str">
        <f aca="false">IF($O244="","",INDEX(Scoring!$B$29:$B$361,MATCH($O244,Scoring!$AI$29:$AI$361,0)))</f>
        <v/>
      </c>
      <c r="G244" s="7" t="str">
        <f aca="false">IF($O244="","",INDEX(Scoring!$C$29:$C$361,MATCH($O244,Scoring!$AI$29:$AI$361,0)))</f>
        <v/>
      </c>
      <c r="H244" s="7" t="str">
        <f aca="false">IF($O244="","",INDEX(Scoring!$D$29:$D$361,MATCH($O244,Scoring!$AI$29:$AI$361,0)))</f>
        <v/>
      </c>
      <c r="I244" s="6" t="str">
        <f aca="false">IF($O244="","",INDEX(Scoring!$R$29:$R$361,MATCH($O244,Scoring!$AI$29:$AI$361,0)))</f>
        <v/>
      </c>
      <c r="J244" s="7" t="str">
        <f aca="false">IF($O244="","",INDEX(Scoring!$S$29:$S$361,MATCH($O244,Scoring!$AI$29:$AI$361,0)))</f>
        <v/>
      </c>
      <c r="K244" s="8" t="str">
        <f aca="false">IF($O244="","",IF(INDEX(Scoring!$I$29:$I$361,MATCH($O244,Scoring!$AI$29:$AI$361,0))="",INDEX(Scoring!$AC$29:$AC$361,MATCH($O244,Scoring!$AI$29:$AI$361,0)),INDEX(Scoring!$I$29:$I$361,MATCH($O244,Scoring!$AI$29:$AI$361,0))))</f>
        <v/>
      </c>
      <c r="L244" s="9" t="str">
        <f aca="false">IF($O244="","",INDEX(Scoring!$M$29:$M$361,MATCH($O244,Scoring!$AI$29:$AI$361,0)))</f>
        <v/>
      </c>
      <c r="M244" s="9" t="str">
        <f aca="false">IF($O244="","",INDEX(Scoring!$O$29:$O$361,MATCH($O244,Scoring!$AI$29:$AI$361,0)))</f>
        <v/>
      </c>
      <c r="N244" s="7" t="str">
        <f aca="false">IF($O244="","",INDEX(Scoring!$Y$29:$Y$361,MATCH($O244,Scoring!$AI$29:$AI$361,0)))</f>
        <v/>
      </c>
      <c r="O244" s="10" t="str">
        <f aca="false">IFERROR(SMALL(Scoring!$AI$29:$AI$361,240),"")</f>
        <v/>
      </c>
    </row>
    <row r="245" customFormat="false" ht="15" hidden="false" customHeight="false" outlineLevel="0" collapsed="false">
      <c r="A245" s="5" t="str">
        <f aca="false">IF($O245="","",INT($O245/1000))</f>
        <v/>
      </c>
      <c r="B245" s="6" t="str">
        <f aca="false">IF($O245="","",INDEX(Scoring!$A$29:$A$361,MATCH($O245,Scoring!$AI$29:$AI$361,0)))</f>
        <v/>
      </c>
      <c r="C245" s="5" t="str">
        <f aca="false">IF($O245="","",IF(INDEX(Scoring!$F$29:$F$361,MATCH($O245,Scoring!$AI$29:$AI$361,0))="","–",INDEX(Scoring!$F$29:$F$361,MATCH($O245,Scoring!$AI$29:$AI$361,0))))</f>
        <v/>
      </c>
      <c r="D245" s="6" t="str">
        <f aca="false">IF($O245="","",INDEX(Scoring!$E$29:$E$361,MATCH($O245,Scoring!$AI$29:$AI$361,0)))</f>
        <v/>
      </c>
      <c r="E245" s="7" t="str">
        <f aca="false">IF($O245="","",INDEX(Scoring!$G$29:$G$361,MATCH($O245,Scoring!$AI$29:$AI$361,0)))</f>
        <v/>
      </c>
      <c r="F245" s="6" t="str">
        <f aca="false">IF($O245="","",INDEX(Scoring!$B$29:$B$361,MATCH($O245,Scoring!$AI$29:$AI$361,0)))</f>
        <v/>
      </c>
      <c r="G245" s="7" t="str">
        <f aca="false">IF($O245="","",INDEX(Scoring!$C$29:$C$361,MATCH($O245,Scoring!$AI$29:$AI$361,0)))</f>
        <v/>
      </c>
      <c r="H245" s="7" t="str">
        <f aca="false">IF($O245="","",INDEX(Scoring!$D$29:$D$361,MATCH($O245,Scoring!$AI$29:$AI$361,0)))</f>
        <v/>
      </c>
      <c r="I245" s="6" t="str">
        <f aca="false">IF($O245="","",INDEX(Scoring!$R$29:$R$361,MATCH($O245,Scoring!$AI$29:$AI$361,0)))</f>
        <v/>
      </c>
      <c r="J245" s="7" t="str">
        <f aca="false">IF($O245="","",INDEX(Scoring!$S$29:$S$361,MATCH($O245,Scoring!$AI$29:$AI$361,0)))</f>
        <v/>
      </c>
      <c r="K245" s="8" t="str">
        <f aca="false">IF($O245="","",IF(INDEX(Scoring!$I$29:$I$361,MATCH($O245,Scoring!$AI$29:$AI$361,0))="",INDEX(Scoring!$AC$29:$AC$361,MATCH($O245,Scoring!$AI$29:$AI$361,0)),INDEX(Scoring!$I$29:$I$361,MATCH($O245,Scoring!$AI$29:$AI$361,0))))</f>
        <v/>
      </c>
      <c r="L245" s="9" t="str">
        <f aca="false">IF($O245="","",INDEX(Scoring!$M$29:$M$361,MATCH($O245,Scoring!$AI$29:$AI$361,0)))</f>
        <v/>
      </c>
      <c r="M245" s="9" t="str">
        <f aca="false">IF($O245="","",INDEX(Scoring!$O$29:$O$361,MATCH($O245,Scoring!$AI$29:$AI$361,0)))</f>
        <v/>
      </c>
      <c r="N245" s="7" t="str">
        <f aca="false">IF($O245="","",INDEX(Scoring!$Y$29:$Y$361,MATCH($O245,Scoring!$AI$29:$AI$361,0)))</f>
        <v/>
      </c>
      <c r="O245" s="10" t="str">
        <f aca="false">IFERROR(SMALL(Scoring!$AI$29:$AI$361,241),"")</f>
        <v/>
      </c>
    </row>
    <row r="246" customFormat="false" ht="15" hidden="false" customHeight="false" outlineLevel="0" collapsed="false">
      <c r="A246" s="5" t="str">
        <f aca="false">IF($O246="","",INT($O246/1000))</f>
        <v/>
      </c>
      <c r="B246" s="6" t="str">
        <f aca="false">IF($O246="","",INDEX(Scoring!$A$29:$A$361,MATCH($O246,Scoring!$AI$29:$AI$361,0)))</f>
        <v/>
      </c>
      <c r="C246" s="5" t="str">
        <f aca="false">IF($O246="","",IF(INDEX(Scoring!$F$29:$F$361,MATCH($O246,Scoring!$AI$29:$AI$361,0))="","–",INDEX(Scoring!$F$29:$F$361,MATCH($O246,Scoring!$AI$29:$AI$361,0))))</f>
        <v/>
      </c>
      <c r="D246" s="6" t="str">
        <f aca="false">IF($O246="","",INDEX(Scoring!$E$29:$E$361,MATCH($O246,Scoring!$AI$29:$AI$361,0)))</f>
        <v/>
      </c>
      <c r="E246" s="7" t="str">
        <f aca="false">IF($O246="","",INDEX(Scoring!$G$29:$G$361,MATCH($O246,Scoring!$AI$29:$AI$361,0)))</f>
        <v/>
      </c>
      <c r="F246" s="6" t="str">
        <f aca="false">IF($O246="","",INDEX(Scoring!$B$29:$B$361,MATCH($O246,Scoring!$AI$29:$AI$361,0)))</f>
        <v/>
      </c>
      <c r="G246" s="7" t="str">
        <f aca="false">IF($O246="","",INDEX(Scoring!$C$29:$C$361,MATCH($O246,Scoring!$AI$29:$AI$361,0)))</f>
        <v/>
      </c>
      <c r="H246" s="7" t="str">
        <f aca="false">IF($O246="","",INDEX(Scoring!$D$29:$D$361,MATCH($O246,Scoring!$AI$29:$AI$361,0)))</f>
        <v/>
      </c>
      <c r="I246" s="6" t="str">
        <f aca="false">IF($O246="","",INDEX(Scoring!$R$29:$R$361,MATCH($O246,Scoring!$AI$29:$AI$361,0)))</f>
        <v/>
      </c>
      <c r="J246" s="7" t="str">
        <f aca="false">IF($O246="","",INDEX(Scoring!$S$29:$S$361,MATCH($O246,Scoring!$AI$29:$AI$361,0)))</f>
        <v/>
      </c>
      <c r="K246" s="8" t="str">
        <f aca="false">IF($O246="","",IF(INDEX(Scoring!$I$29:$I$361,MATCH($O246,Scoring!$AI$29:$AI$361,0))="",INDEX(Scoring!$AC$29:$AC$361,MATCH($O246,Scoring!$AI$29:$AI$361,0)),INDEX(Scoring!$I$29:$I$361,MATCH($O246,Scoring!$AI$29:$AI$361,0))))</f>
        <v/>
      </c>
      <c r="L246" s="9" t="str">
        <f aca="false">IF($O246="","",INDEX(Scoring!$M$29:$M$361,MATCH($O246,Scoring!$AI$29:$AI$361,0)))</f>
        <v/>
      </c>
      <c r="M246" s="9" t="str">
        <f aca="false">IF($O246="","",INDEX(Scoring!$O$29:$O$361,MATCH($O246,Scoring!$AI$29:$AI$361,0)))</f>
        <v/>
      </c>
      <c r="N246" s="7" t="str">
        <f aca="false">IF($O246="","",INDEX(Scoring!$Y$29:$Y$361,MATCH($O246,Scoring!$AI$29:$AI$361,0)))</f>
        <v/>
      </c>
      <c r="O246" s="10" t="str">
        <f aca="false">IFERROR(SMALL(Scoring!$AI$29:$AI$361,242),"")</f>
        <v/>
      </c>
    </row>
    <row r="247" customFormat="false" ht="15" hidden="false" customHeight="false" outlineLevel="0" collapsed="false">
      <c r="A247" s="5" t="str">
        <f aca="false">IF($O247="","",INT($O247/1000))</f>
        <v/>
      </c>
      <c r="B247" s="6" t="str">
        <f aca="false">IF($O247="","",INDEX(Scoring!$A$29:$A$361,MATCH($O247,Scoring!$AI$29:$AI$361,0)))</f>
        <v/>
      </c>
      <c r="C247" s="5" t="str">
        <f aca="false">IF($O247="","",IF(INDEX(Scoring!$F$29:$F$361,MATCH($O247,Scoring!$AI$29:$AI$361,0))="","–",INDEX(Scoring!$F$29:$F$361,MATCH($O247,Scoring!$AI$29:$AI$361,0))))</f>
        <v/>
      </c>
      <c r="D247" s="6" t="str">
        <f aca="false">IF($O247="","",INDEX(Scoring!$E$29:$E$361,MATCH($O247,Scoring!$AI$29:$AI$361,0)))</f>
        <v/>
      </c>
      <c r="E247" s="7" t="str">
        <f aca="false">IF($O247="","",INDEX(Scoring!$G$29:$G$361,MATCH($O247,Scoring!$AI$29:$AI$361,0)))</f>
        <v/>
      </c>
      <c r="F247" s="6" t="str">
        <f aca="false">IF($O247="","",INDEX(Scoring!$B$29:$B$361,MATCH($O247,Scoring!$AI$29:$AI$361,0)))</f>
        <v/>
      </c>
      <c r="G247" s="7" t="str">
        <f aca="false">IF($O247="","",INDEX(Scoring!$C$29:$C$361,MATCH($O247,Scoring!$AI$29:$AI$361,0)))</f>
        <v/>
      </c>
      <c r="H247" s="7" t="str">
        <f aca="false">IF($O247="","",INDEX(Scoring!$D$29:$D$361,MATCH($O247,Scoring!$AI$29:$AI$361,0)))</f>
        <v/>
      </c>
      <c r="I247" s="6" t="str">
        <f aca="false">IF($O247="","",INDEX(Scoring!$R$29:$R$361,MATCH($O247,Scoring!$AI$29:$AI$361,0)))</f>
        <v/>
      </c>
      <c r="J247" s="7" t="str">
        <f aca="false">IF($O247="","",INDEX(Scoring!$S$29:$S$361,MATCH($O247,Scoring!$AI$29:$AI$361,0)))</f>
        <v/>
      </c>
      <c r="K247" s="8" t="str">
        <f aca="false">IF($O247="","",IF(INDEX(Scoring!$I$29:$I$361,MATCH($O247,Scoring!$AI$29:$AI$361,0))="",INDEX(Scoring!$AC$29:$AC$361,MATCH($O247,Scoring!$AI$29:$AI$361,0)),INDEX(Scoring!$I$29:$I$361,MATCH($O247,Scoring!$AI$29:$AI$361,0))))</f>
        <v/>
      </c>
      <c r="L247" s="9" t="str">
        <f aca="false">IF($O247="","",INDEX(Scoring!$M$29:$M$361,MATCH($O247,Scoring!$AI$29:$AI$361,0)))</f>
        <v/>
      </c>
      <c r="M247" s="9" t="str">
        <f aca="false">IF($O247="","",INDEX(Scoring!$O$29:$O$361,MATCH($O247,Scoring!$AI$29:$AI$361,0)))</f>
        <v/>
      </c>
      <c r="N247" s="7" t="str">
        <f aca="false">IF($O247="","",INDEX(Scoring!$Y$29:$Y$361,MATCH($O247,Scoring!$AI$29:$AI$361,0)))</f>
        <v/>
      </c>
      <c r="O247" s="10" t="str">
        <f aca="false">IFERROR(SMALL(Scoring!$AI$29:$AI$361,243),"")</f>
        <v/>
      </c>
    </row>
    <row r="248" customFormat="false" ht="15" hidden="false" customHeight="false" outlineLevel="0" collapsed="false">
      <c r="A248" s="5" t="str">
        <f aca="false">IF($O248="","",INT($O248/1000))</f>
        <v/>
      </c>
      <c r="B248" s="6" t="str">
        <f aca="false">IF($O248="","",INDEX(Scoring!$A$29:$A$361,MATCH($O248,Scoring!$AI$29:$AI$361,0)))</f>
        <v/>
      </c>
      <c r="C248" s="5" t="str">
        <f aca="false">IF($O248="","",IF(INDEX(Scoring!$F$29:$F$361,MATCH($O248,Scoring!$AI$29:$AI$361,0))="","–",INDEX(Scoring!$F$29:$F$361,MATCH($O248,Scoring!$AI$29:$AI$361,0))))</f>
        <v/>
      </c>
      <c r="D248" s="6" t="str">
        <f aca="false">IF($O248="","",INDEX(Scoring!$E$29:$E$361,MATCH($O248,Scoring!$AI$29:$AI$361,0)))</f>
        <v/>
      </c>
      <c r="E248" s="7" t="str">
        <f aca="false">IF($O248="","",INDEX(Scoring!$G$29:$G$361,MATCH($O248,Scoring!$AI$29:$AI$361,0)))</f>
        <v/>
      </c>
      <c r="F248" s="6" t="str">
        <f aca="false">IF($O248="","",INDEX(Scoring!$B$29:$B$361,MATCH($O248,Scoring!$AI$29:$AI$361,0)))</f>
        <v/>
      </c>
      <c r="G248" s="7" t="str">
        <f aca="false">IF($O248="","",INDEX(Scoring!$C$29:$C$361,MATCH($O248,Scoring!$AI$29:$AI$361,0)))</f>
        <v/>
      </c>
      <c r="H248" s="7" t="str">
        <f aca="false">IF($O248="","",INDEX(Scoring!$D$29:$D$361,MATCH($O248,Scoring!$AI$29:$AI$361,0)))</f>
        <v/>
      </c>
      <c r="I248" s="6" t="str">
        <f aca="false">IF($O248="","",INDEX(Scoring!$R$29:$R$361,MATCH($O248,Scoring!$AI$29:$AI$361,0)))</f>
        <v/>
      </c>
      <c r="J248" s="7" t="str">
        <f aca="false">IF($O248="","",INDEX(Scoring!$S$29:$S$361,MATCH($O248,Scoring!$AI$29:$AI$361,0)))</f>
        <v/>
      </c>
      <c r="K248" s="8" t="str">
        <f aca="false">IF($O248="","",IF(INDEX(Scoring!$I$29:$I$361,MATCH($O248,Scoring!$AI$29:$AI$361,0))="",INDEX(Scoring!$AC$29:$AC$361,MATCH($O248,Scoring!$AI$29:$AI$361,0)),INDEX(Scoring!$I$29:$I$361,MATCH($O248,Scoring!$AI$29:$AI$361,0))))</f>
        <v/>
      </c>
      <c r="L248" s="9" t="str">
        <f aca="false">IF($O248="","",INDEX(Scoring!$M$29:$M$361,MATCH($O248,Scoring!$AI$29:$AI$361,0)))</f>
        <v/>
      </c>
      <c r="M248" s="9" t="str">
        <f aca="false">IF($O248="","",INDEX(Scoring!$O$29:$O$361,MATCH($O248,Scoring!$AI$29:$AI$361,0)))</f>
        <v/>
      </c>
      <c r="N248" s="7" t="str">
        <f aca="false">IF($O248="","",INDEX(Scoring!$Y$29:$Y$361,MATCH($O248,Scoring!$AI$29:$AI$361,0)))</f>
        <v/>
      </c>
      <c r="O248" s="10" t="str">
        <f aca="false">IFERROR(SMALL(Scoring!$AI$29:$AI$361,244),"")</f>
        <v/>
      </c>
    </row>
    <row r="249" customFormat="false" ht="15" hidden="false" customHeight="false" outlineLevel="0" collapsed="false">
      <c r="A249" s="5" t="str">
        <f aca="false">IF($O249="","",INT($O249/1000))</f>
        <v/>
      </c>
      <c r="B249" s="6" t="str">
        <f aca="false">IF($O249="","",INDEX(Scoring!$A$29:$A$361,MATCH($O249,Scoring!$AI$29:$AI$361,0)))</f>
        <v/>
      </c>
      <c r="C249" s="5" t="str">
        <f aca="false">IF($O249="","",IF(INDEX(Scoring!$F$29:$F$361,MATCH($O249,Scoring!$AI$29:$AI$361,0))="","–",INDEX(Scoring!$F$29:$F$361,MATCH($O249,Scoring!$AI$29:$AI$361,0))))</f>
        <v/>
      </c>
      <c r="D249" s="6" t="str">
        <f aca="false">IF($O249="","",INDEX(Scoring!$E$29:$E$361,MATCH($O249,Scoring!$AI$29:$AI$361,0)))</f>
        <v/>
      </c>
      <c r="E249" s="7" t="str">
        <f aca="false">IF($O249="","",INDEX(Scoring!$G$29:$G$361,MATCH($O249,Scoring!$AI$29:$AI$361,0)))</f>
        <v/>
      </c>
      <c r="F249" s="6" t="str">
        <f aca="false">IF($O249="","",INDEX(Scoring!$B$29:$B$361,MATCH($O249,Scoring!$AI$29:$AI$361,0)))</f>
        <v/>
      </c>
      <c r="G249" s="7" t="str">
        <f aca="false">IF($O249="","",INDEX(Scoring!$C$29:$C$361,MATCH($O249,Scoring!$AI$29:$AI$361,0)))</f>
        <v/>
      </c>
      <c r="H249" s="7" t="str">
        <f aca="false">IF($O249="","",INDEX(Scoring!$D$29:$D$361,MATCH($O249,Scoring!$AI$29:$AI$361,0)))</f>
        <v/>
      </c>
      <c r="I249" s="6" t="str">
        <f aca="false">IF($O249="","",INDEX(Scoring!$R$29:$R$361,MATCH($O249,Scoring!$AI$29:$AI$361,0)))</f>
        <v/>
      </c>
      <c r="J249" s="7" t="str">
        <f aca="false">IF($O249="","",INDEX(Scoring!$S$29:$S$361,MATCH($O249,Scoring!$AI$29:$AI$361,0)))</f>
        <v/>
      </c>
      <c r="K249" s="8" t="str">
        <f aca="false">IF($O249="","",IF(INDEX(Scoring!$I$29:$I$361,MATCH($O249,Scoring!$AI$29:$AI$361,0))="",INDEX(Scoring!$AC$29:$AC$361,MATCH($O249,Scoring!$AI$29:$AI$361,0)),INDEX(Scoring!$I$29:$I$361,MATCH($O249,Scoring!$AI$29:$AI$361,0))))</f>
        <v/>
      </c>
      <c r="L249" s="9" t="str">
        <f aca="false">IF($O249="","",INDEX(Scoring!$M$29:$M$361,MATCH($O249,Scoring!$AI$29:$AI$361,0)))</f>
        <v/>
      </c>
      <c r="M249" s="9" t="str">
        <f aca="false">IF($O249="","",INDEX(Scoring!$O$29:$O$361,MATCH($O249,Scoring!$AI$29:$AI$361,0)))</f>
        <v/>
      </c>
      <c r="N249" s="7" t="str">
        <f aca="false">IF($O249="","",INDEX(Scoring!$Y$29:$Y$361,MATCH($O249,Scoring!$AI$29:$AI$361,0)))</f>
        <v/>
      </c>
      <c r="O249" s="10" t="str">
        <f aca="false">IFERROR(SMALL(Scoring!$AI$29:$AI$361,245),"")</f>
        <v/>
      </c>
    </row>
    <row r="250" customFormat="false" ht="15" hidden="false" customHeight="false" outlineLevel="0" collapsed="false">
      <c r="A250" s="5" t="str">
        <f aca="false">IF($O250="","",INT($O250/1000))</f>
        <v/>
      </c>
      <c r="B250" s="6" t="str">
        <f aca="false">IF($O250="","",INDEX(Scoring!$A$29:$A$361,MATCH($O250,Scoring!$AI$29:$AI$361,0)))</f>
        <v/>
      </c>
      <c r="C250" s="5" t="str">
        <f aca="false">IF($O250="","",IF(INDEX(Scoring!$F$29:$F$361,MATCH($O250,Scoring!$AI$29:$AI$361,0))="","–",INDEX(Scoring!$F$29:$F$361,MATCH($O250,Scoring!$AI$29:$AI$361,0))))</f>
        <v/>
      </c>
      <c r="D250" s="6" t="str">
        <f aca="false">IF($O250="","",INDEX(Scoring!$E$29:$E$361,MATCH($O250,Scoring!$AI$29:$AI$361,0)))</f>
        <v/>
      </c>
      <c r="E250" s="7" t="str">
        <f aca="false">IF($O250="","",INDEX(Scoring!$G$29:$G$361,MATCH($O250,Scoring!$AI$29:$AI$361,0)))</f>
        <v/>
      </c>
      <c r="F250" s="6" t="str">
        <f aca="false">IF($O250="","",INDEX(Scoring!$B$29:$B$361,MATCH($O250,Scoring!$AI$29:$AI$361,0)))</f>
        <v/>
      </c>
      <c r="G250" s="7" t="str">
        <f aca="false">IF($O250="","",INDEX(Scoring!$C$29:$C$361,MATCH($O250,Scoring!$AI$29:$AI$361,0)))</f>
        <v/>
      </c>
      <c r="H250" s="7" t="str">
        <f aca="false">IF($O250="","",INDEX(Scoring!$D$29:$D$361,MATCH($O250,Scoring!$AI$29:$AI$361,0)))</f>
        <v/>
      </c>
      <c r="I250" s="6" t="str">
        <f aca="false">IF($O250="","",INDEX(Scoring!$R$29:$R$361,MATCH($O250,Scoring!$AI$29:$AI$361,0)))</f>
        <v/>
      </c>
      <c r="J250" s="7" t="str">
        <f aca="false">IF($O250="","",INDEX(Scoring!$S$29:$S$361,MATCH($O250,Scoring!$AI$29:$AI$361,0)))</f>
        <v/>
      </c>
      <c r="K250" s="8" t="str">
        <f aca="false">IF($O250="","",IF(INDEX(Scoring!$I$29:$I$361,MATCH($O250,Scoring!$AI$29:$AI$361,0))="",INDEX(Scoring!$AC$29:$AC$361,MATCH($O250,Scoring!$AI$29:$AI$361,0)),INDEX(Scoring!$I$29:$I$361,MATCH($O250,Scoring!$AI$29:$AI$361,0))))</f>
        <v/>
      </c>
      <c r="L250" s="9" t="str">
        <f aca="false">IF($O250="","",INDEX(Scoring!$M$29:$M$361,MATCH($O250,Scoring!$AI$29:$AI$361,0)))</f>
        <v/>
      </c>
      <c r="M250" s="9" t="str">
        <f aca="false">IF($O250="","",INDEX(Scoring!$O$29:$O$361,MATCH($O250,Scoring!$AI$29:$AI$361,0)))</f>
        <v/>
      </c>
      <c r="N250" s="7" t="str">
        <f aca="false">IF($O250="","",INDEX(Scoring!$Y$29:$Y$361,MATCH($O250,Scoring!$AI$29:$AI$361,0)))</f>
        <v/>
      </c>
      <c r="O250" s="10" t="str">
        <f aca="false">IFERROR(SMALL(Scoring!$AI$29:$AI$361,246),"")</f>
        <v/>
      </c>
    </row>
    <row r="251" customFormat="false" ht="15" hidden="false" customHeight="false" outlineLevel="0" collapsed="false">
      <c r="A251" s="5" t="str">
        <f aca="false">IF($O251="","",INT($O251/1000))</f>
        <v/>
      </c>
      <c r="B251" s="6" t="str">
        <f aca="false">IF($O251="","",INDEX(Scoring!$A$29:$A$361,MATCH($O251,Scoring!$AI$29:$AI$361,0)))</f>
        <v/>
      </c>
      <c r="C251" s="5" t="str">
        <f aca="false">IF($O251="","",IF(INDEX(Scoring!$F$29:$F$361,MATCH($O251,Scoring!$AI$29:$AI$361,0))="","–",INDEX(Scoring!$F$29:$F$361,MATCH($O251,Scoring!$AI$29:$AI$361,0))))</f>
        <v/>
      </c>
      <c r="D251" s="6" t="str">
        <f aca="false">IF($O251="","",INDEX(Scoring!$E$29:$E$361,MATCH($O251,Scoring!$AI$29:$AI$361,0)))</f>
        <v/>
      </c>
      <c r="E251" s="7" t="str">
        <f aca="false">IF($O251="","",INDEX(Scoring!$G$29:$G$361,MATCH($O251,Scoring!$AI$29:$AI$361,0)))</f>
        <v/>
      </c>
      <c r="F251" s="6" t="str">
        <f aca="false">IF($O251="","",INDEX(Scoring!$B$29:$B$361,MATCH($O251,Scoring!$AI$29:$AI$361,0)))</f>
        <v/>
      </c>
      <c r="G251" s="7" t="str">
        <f aca="false">IF($O251="","",INDEX(Scoring!$C$29:$C$361,MATCH($O251,Scoring!$AI$29:$AI$361,0)))</f>
        <v/>
      </c>
      <c r="H251" s="7" t="str">
        <f aca="false">IF($O251="","",INDEX(Scoring!$D$29:$D$361,MATCH($O251,Scoring!$AI$29:$AI$361,0)))</f>
        <v/>
      </c>
      <c r="I251" s="6" t="str">
        <f aca="false">IF($O251="","",INDEX(Scoring!$R$29:$R$361,MATCH($O251,Scoring!$AI$29:$AI$361,0)))</f>
        <v/>
      </c>
      <c r="J251" s="7" t="str">
        <f aca="false">IF($O251="","",INDEX(Scoring!$S$29:$S$361,MATCH($O251,Scoring!$AI$29:$AI$361,0)))</f>
        <v/>
      </c>
      <c r="K251" s="8" t="str">
        <f aca="false">IF($O251="","",IF(INDEX(Scoring!$I$29:$I$361,MATCH($O251,Scoring!$AI$29:$AI$361,0))="",INDEX(Scoring!$AC$29:$AC$361,MATCH($O251,Scoring!$AI$29:$AI$361,0)),INDEX(Scoring!$I$29:$I$361,MATCH($O251,Scoring!$AI$29:$AI$361,0))))</f>
        <v/>
      </c>
      <c r="L251" s="9" t="str">
        <f aca="false">IF($O251="","",INDEX(Scoring!$M$29:$M$361,MATCH($O251,Scoring!$AI$29:$AI$361,0)))</f>
        <v/>
      </c>
      <c r="M251" s="9" t="str">
        <f aca="false">IF($O251="","",INDEX(Scoring!$O$29:$O$361,MATCH($O251,Scoring!$AI$29:$AI$361,0)))</f>
        <v/>
      </c>
      <c r="N251" s="7" t="str">
        <f aca="false">IF($O251="","",INDEX(Scoring!$Y$29:$Y$361,MATCH($O251,Scoring!$AI$29:$AI$361,0)))</f>
        <v/>
      </c>
      <c r="O251" s="10" t="str">
        <f aca="false">IFERROR(SMALL(Scoring!$AI$29:$AI$361,247),"")</f>
        <v/>
      </c>
    </row>
    <row r="252" customFormat="false" ht="15" hidden="false" customHeight="false" outlineLevel="0" collapsed="false">
      <c r="A252" s="5" t="str">
        <f aca="false">IF($O252="","",INT($O252/1000))</f>
        <v/>
      </c>
      <c r="B252" s="6" t="str">
        <f aca="false">IF($O252="","",INDEX(Scoring!$A$29:$A$361,MATCH($O252,Scoring!$AI$29:$AI$361,0)))</f>
        <v/>
      </c>
      <c r="C252" s="5" t="str">
        <f aca="false">IF($O252="","",IF(INDEX(Scoring!$F$29:$F$361,MATCH($O252,Scoring!$AI$29:$AI$361,0))="","–",INDEX(Scoring!$F$29:$F$361,MATCH($O252,Scoring!$AI$29:$AI$361,0))))</f>
        <v/>
      </c>
      <c r="D252" s="6" t="str">
        <f aca="false">IF($O252="","",INDEX(Scoring!$E$29:$E$361,MATCH($O252,Scoring!$AI$29:$AI$361,0)))</f>
        <v/>
      </c>
      <c r="E252" s="7" t="str">
        <f aca="false">IF($O252="","",INDEX(Scoring!$G$29:$G$361,MATCH($O252,Scoring!$AI$29:$AI$361,0)))</f>
        <v/>
      </c>
      <c r="F252" s="6" t="str">
        <f aca="false">IF($O252="","",INDEX(Scoring!$B$29:$B$361,MATCH($O252,Scoring!$AI$29:$AI$361,0)))</f>
        <v/>
      </c>
      <c r="G252" s="7" t="str">
        <f aca="false">IF($O252="","",INDEX(Scoring!$C$29:$C$361,MATCH($O252,Scoring!$AI$29:$AI$361,0)))</f>
        <v/>
      </c>
      <c r="H252" s="7" t="str">
        <f aca="false">IF($O252="","",INDEX(Scoring!$D$29:$D$361,MATCH($O252,Scoring!$AI$29:$AI$361,0)))</f>
        <v/>
      </c>
      <c r="I252" s="6" t="str">
        <f aca="false">IF($O252="","",INDEX(Scoring!$R$29:$R$361,MATCH($O252,Scoring!$AI$29:$AI$361,0)))</f>
        <v/>
      </c>
      <c r="J252" s="7" t="str">
        <f aca="false">IF($O252="","",INDEX(Scoring!$S$29:$S$361,MATCH($O252,Scoring!$AI$29:$AI$361,0)))</f>
        <v/>
      </c>
      <c r="K252" s="8" t="str">
        <f aca="false">IF($O252="","",IF(INDEX(Scoring!$I$29:$I$361,MATCH($O252,Scoring!$AI$29:$AI$361,0))="",INDEX(Scoring!$AC$29:$AC$361,MATCH($O252,Scoring!$AI$29:$AI$361,0)),INDEX(Scoring!$I$29:$I$361,MATCH($O252,Scoring!$AI$29:$AI$361,0))))</f>
        <v/>
      </c>
      <c r="L252" s="9" t="str">
        <f aca="false">IF($O252="","",INDEX(Scoring!$M$29:$M$361,MATCH($O252,Scoring!$AI$29:$AI$361,0)))</f>
        <v/>
      </c>
      <c r="M252" s="9" t="str">
        <f aca="false">IF($O252="","",INDEX(Scoring!$O$29:$O$361,MATCH($O252,Scoring!$AI$29:$AI$361,0)))</f>
        <v/>
      </c>
      <c r="N252" s="7" t="str">
        <f aca="false">IF($O252="","",INDEX(Scoring!$Y$29:$Y$361,MATCH($O252,Scoring!$AI$29:$AI$361,0)))</f>
        <v/>
      </c>
      <c r="O252" s="10" t="str">
        <f aca="false">IFERROR(SMALL(Scoring!$AI$29:$AI$361,248),"")</f>
        <v/>
      </c>
    </row>
    <row r="253" customFormat="false" ht="15" hidden="false" customHeight="false" outlineLevel="0" collapsed="false">
      <c r="A253" s="5" t="str">
        <f aca="false">IF($O253="","",INT($O253/1000))</f>
        <v/>
      </c>
      <c r="B253" s="6" t="str">
        <f aca="false">IF($O253="","",INDEX(Scoring!$A$29:$A$361,MATCH($O253,Scoring!$AI$29:$AI$361,0)))</f>
        <v/>
      </c>
      <c r="C253" s="5" t="str">
        <f aca="false">IF($O253="","",IF(INDEX(Scoring!$F$29:$F$361,MATCH($O253,Scoring!$AI$29:$AI$361,0))="","–",INDEX(Scoring!$F$29:$F$361,MATCH($O253,Scoring!$AI$29:$AI$361,0))))</f>
        <v/>
      </c>
      <c r="D253" s="6" t="str">
        <f aca="false">IF($O253="","",INDEX(Scoring!$E$29:$E$361,MATCH($O253,Scoring!$AI$29:$AI$361,0)))</f>
        <v/>
      </c>
      <c r="E253" s="7" t="str">
        <f aca="false">IF($O253="","",INDEX(Scoring!$G$29:$G$361,MATCH($O253,Scoring!$AI$29:$AI$361,0)))</f>
        <v/>
      </c>
      <c r="F253" s="6" t="str">
        <f aca="false">IF($O253="","",INDEX(Scoring!$B$29:$B$361,MATCH($O253,Scoring!$AI$29:$AI$361,0)))</f>
        <v/>
      </c>
      <c r="G253" s="7" t="str">
        <f aca="false">IF($O253="","",INDEX(Scoring!$C$29:$C$361,MATCH($O253,Scoring!$AI$29:$AI$361,0)))</f>
        <v/>
      </c>
      <c r="H253" s="7" t="str">
        <f aca="false">IF($O253="","",INDEX(Scoring!$D$29:$D$361,MATCH($O253,Scoring!$AI$29:$AI$361,0)))</f>
        <v/>
      </c>
      <c r="I253" s="6" t="str">
        <f aca="false">IF($O253="","",INDEX(Scoring!$R$29:$R$361,MATCH($O253,Scoring!$AI$29:$AI$361,0)))</f>
        <v/>
      </c>
      <c r="J253" s="7" t="str">
        <f aca="false">IF($O253="","",INDEX(Scoring!$S$29:$S$361,MATCH($O253,Scoring!$AI$29:$AI$361,0)))</f>
        <v/>
      </c>
      <c r="K253" s="8" t="str">
        <f aca="false">IF($O253="","",IF(INDEX(Scoring!$I$29:$I$361,MATCH($O253,Scoring!$AI$29:$AI$361,0))="",INDEX(Scoring!$AC$29:$AC$361,MATCH($O253,Scoring!$AI$29:$AI$361,0)),INDEX(Scoring!$I$29:$I$361,MATCH($O253,Scoring!$AI$29:$AI$361,0))))</f>
        <v/>
      </c>
      <c r="L253" s="9" t="str">
        <f aca="false">IF($O253="","",INDEX(Scoring!$M$29:$M$361,MATCH($O253,Scoring!$AI$29:$AI$361,0)))</f>
        <v/>
      </c>
      <c r="M253" s="9" t="str">
        <f aca="false">IF($O253="","",INDEX(Scoring!$O$29:$O$361,MATCH($O253,Scoring!$AI$29:$AI$361,0)))</f>
        <v/>
      </c>
      <c r="N253" s="7" t="str">
        <f aca="false">IF($O253="","",INDEX(Scoring!$Y$29:$Y$361,MATCH($O253,Scoring!$AI$29:$AI$361,0)))</f>
        <v/>
      </c>
      <c r="O253" s="10" t="str">
        <f aca="false">IFERROR(SMALL(Scoring!$AI$29:$AI$361,249),"")</f>
        <v/>
      </c>
    </row>
    <row r="254" customFormat="false" ht="15" hidden="false" customHeight="false" outlineLevel="0" collapsed="false">
      <c r="A254" s="5" t="str">
        <f aca="false">IF($O254="","",INT($O254/1000))</f>
        <v/>
      </c>
      <c r="B254" s="6" t="str">
        <f aca="false">IF($O254="","",INDEX(Scoring!$A$29:$A$361,MATCH($O254,Scoring!$AI$29:$AI$361,0)))</f>
        <v/>
      </c>
      <c r="C254" s="5" t="str">
        <f aca="false">IF($O254="","",IF(INDEX(Scoring!$F$29:$F$361,MATCH($O254,Scoring!$AI$29:$AI$361,0))="","–",INDEX(Scoring!$F$29:$F$361,MATCH($O254,Scoring!$AI$29:$AI$361,0))))</f>
        <v/>
      </c>
      <c r="D254" s="6" t="str">
        <f aca="false">IF($O254="","",INDEX(Scoring!$E$29:$E$361,MATCH($O254,Scoring!$AI$29:$AI$361,0)))</f>
        <v/>
      </c>
      <c r="E254" s="7" t="str">
        <f aca="false">IF($O254="","",INDEX(Scoring!$G$29:$G$361,MATCH($O254,Scoring!$AI$29:$AI$361,0)))</f>
        <v/>
      </c>
      <c r="F254" s="6" t="str">
        <f aca="false">IF($O254="","",INDEX(Scoring!$B$29:$B$361,MATCH($O254,Scoring!$AI$29:$AI$361,0)))</f>
        <v/>
      </c>
      <c r="G254" s="7" t="str">
        <f aca="false">IF($O254="","",INDEX(Scoring!$C$29:$C$361,MATCH($O254,Scoring!$AI$29:$AI$361,0)))</f>
        <v/>
      </c>
      <c r="H254" s="7" t="str">
        <f aca="false">IF($O254="","",INDEX(Scoring!$D$29:$D$361,MATCH($O254,Scoring!$AI$29:$AI$361,0)))</f>
        <v/>
      </c>
      <c r="I254" s="6" t="str">
        <f aca="false">IF($O254="","",INDEX(Scoring!$R$29:$R$361,MATCH($O254,Scoring!$AI$29:$AI$361,0)))</f>
        <v/>
      </c>
      <c r="J254" s="7" t="str">
        <f aca="false">IF($O254="","",INDEX(Scoring!$S$29:$S$361,MATCH($O254,Scoring!$AI$29:$AI$361,0)))</f>
        <v/>
      </c>
      <c r="K254" s="8" t="str">
        <f aca="false">IF($O254="","",IF(INDEX(Scoring!$I$29:$I$361,MATCH($O254,Scoring!$AI$29:$AI$361,0))="",INDEX(Scoring!$AC$29:$AC$361,MATCH($O254,Scoring!$AI$29:$AI$361,0)),INDEX(Scoring!$I$29:$I$361,MATCH($O254,Scoring!$AI$29:$AI$361,0))))</f>
        <v/>
      </c>
      <c r="L254" s="9" t="str">
        <f aca="false">IF($O254="","",INDEX(Scoring!$M$29:$M$361,MATCH($O254,Scoring!$AI$29:$AI$361,0)))</f>
        <v/>
      </c>
      <c r="M254" s="9" t="str">
        <f aca="false">IF($O254="","",INDEX(Scoring!$O$29:$O$361,MATCH($O254,Scoring!$AI$29:$AI$361,0)))</f>
        <v/>
      </c>
      <c r="N254" s="7" t="str">
        <f aca="false">IF($O254="","",INDEX(Scoring!$Y$29:$Y$361,MATCH($O254,Scoring!$AI$29:$AI$361,0)))</f>
        <v/>
      </c>
      <c r="O254" s="10" t="str">
        <f aca="false">IFERROR(SMALL(Scoring!$AI$29:$AI$361,250),"")</f>
        <v/>
      </c>
    </row>
    <row r="255" customFormat="false" ht="15" hidden="false" customHeight="false" outlineLevel="0" collapsed="false">
      <c r="A255" s="5" t="str">
        <f aca="false">IF($O255="","",INT($O255/1000))</f>
        <v/>
      </c>
      <c r="B255" s="6" t="str">
        <f aca="false">IF($O255="","",INDEX(Scoring!$A$29:$A$361,MATCH($O255,Scoring!$AI$29:$AI$361,0)))</f>
        <v/>
      </c>
      <c r="C255" s="5" t="str">
        <f aca="false">IF($O255="","",IF(INDEX(Scoring!$F$29:$F$361,MATCH($O255,Scoring!$AI$29:$AI$361,0))="","–",INDEX(Scoring!$F$29:$F$361,MATCH($O255,Scoring!$AI$29:$AI$361,0))))</f>
        <v/>
      </c>
      <c r="D255" s="6" t="str">
        <f aca="false">IF($O255="","",INDEX(Scoring!$E$29:$E$361,MATCH($O255,Scoring!$AI$29:$AI$361,0)))</f>
        <v/>
      </c>
      <c r="E255" s="7" t="str">
        <f aca="false">IF($O255="","",INDEX(Scoring!$G$29:$G$361,MATCH($O255,Scoring!$AI$29:$AI$361,0)))</f>
        <v/>
      </c>
      <c r="F255" s="6" t="str">
        <f aca="false">IF($O255="","",INDEX(Scoring!$B$29:$B$361,MATCH($O255,Scoring!$AI$29:$AI$361,0)))</f>
        <v/>
      </c>
      <c r="G255" s="7" t="str">
        <f aca="false">IF($O255="","",INDEX(Scoring!$C$29:$C$361,MATCH($O255,Scoring!$AI$29:$AI$361,0)))</f>
        <v/>
      </c>
      <c r="H255" s="7" t="str">
        <f aca="false">IF($O255="","",INDEX(Scoring!$D$29:$D$361,MATCH($O255,Scoring!$AI$29:$AI$361,0)))</f>
        <v/>
      </c>
      <c r="I255" s="6" t="str">
        <f aca="false">IF($O255="","",INDEX(Scoring!$R$29:$R$361,MATCH($O255,Scoring!$AI$29:$AI$361,0)))</f>
        <v/>
      </c>
      <c r="J255" s="7" t="str">
        <f aca="false">IF($O255="","",INDEX(Scoring!$S$29:$S$361,MATCH($O255,Scoring!$AI$29:$AI$361,0)))</f>
        <v/>
      </c>
      <c r="K255" s="8" t="str">
        <f aca="false">IF($O255="","",IF(INDEX(Scoring!$I$29:$I$361,MATCH($O255,Scoring!$AI$29:$AI$361,0))="",INDEX(Scoring!$AC$29:$AC$361,MATCH($O255,Scoring!$AI$29:$AI$361,0)),INDEX(Scoring!$I$29:$I$361,MATCH($O255,Scoring!$AI$29:$AI$361,0))))</f>
        <v/>
      </c>
      <c r="L255" s="9" t="str">
        <f aca="false">IF($O255="","",INDEX(Scoring!$M$29:$M$361,MATCH($O255,Scoring!$AI$29:$AI$361,0)))</f>
        <v/>
      </c>
      <c r="M255" s="9" t="str">
        <f aca="false">IF($O255="","",INDEX(Scoring!$O$29:$O$361,MATCH($O255,Scoring!$AI$29:$AI$361,0)))</f>
        <v/>
      </c>
      <c r="N255" s="7" t="str">
        <f aca="false">IF($O255="","",INDEX(Scoring!$Y$29:$Y$361,MATCH($O255,Scoring!$AI$29:$AI$361,0)))</f>
        <v/>
      </c>
      <c r="O255" s="10" t="str">
        <f aca="false">IFERROR(SMALL(Scoring!$AI$29:$AI$361,251),"")</f>
        <v/>
      </c>
    </row>
    <row r="256" customFormat="false" ht="15" hidden="false" customHeight="false" outlineLevel="0" collapsed="false">
      <c r="A256" s="5" t="str">
        <f aca="false">IF($O256="","",INT($O256/1000))</f>
        <v/>
      </c>
      <c r="B256" s="6" t="str">
        <f aca="false">IF($O256="","",INDEX(Scoring!$A$29:$A$361,MATCH($O256,Scoring!$AI$29:$AI$361,0)))</f>
        <v/>
      </c>
      <c r="C256" s="5" t="str">
        <f aca="false">IF($O256="","",IF(INDEX(Scoring!$F$29:$F$361,MATCH($O256,Scoring!$AI$29:$AI$361,0))="","–",INDEX(Scoring!$F$29:$F$361,MATCH($O256,Scoring!$AI$29:$AI$361,0))))</f>
        <v/>
      </c>
      <c r="D256" s="6" t="str">
        <f aca="false">IF($O256="","",INDEX(Scoring!$E$29:$E$361,MATCH($O256,Scoring!$AI$29:$AI$361,0)))</f>
        <v/>
      </c>
      <c r="E256" s="7" t="str">
        <f aca="false">IF($O256="","",INDEX(Scoring!$G$29:$G$361,MATCH($O256,Scoring!$AI$29:$AI$361,0)))</f>
        <v/>
      </c>
      <c r="F256" s="6" t="str">
        <f aca="false">IF($O256="","",INDEX(Scoring!$B$29:$B$361,MATCH($O256,Scoring!$AI$29:$AI$361,0)))</f>
        <v/>
      </c>
      <c r="G256" s="7" t="str">
        <f aca="false">IF($O256="","",INDEX(Scoring!$C$29:$C$361,MATCH($O256,Scoring!$AI$29:$AI$361,0)))</f>
        <v/>
      </c>
      <c r="H256" s="7" t="str">
        <f aca="false">IF($O256="","",INDEX(Scoring!$D$29:$D$361,MATCH($O256,Scoring!$AI$29:$AI$361,0)))</f>
        <v/>
      </c>
      <c r="I256" s="6" t="str">
        <f aca="false">IF($O256="","",INDEX(Scoring!$R$29:$R$361,MATCH($O256,Scoring!$AI$29:$AI$361,0)))</f>
        <v/>
      </c>
      <c r="J256" s="7" t="str">
        <f aca="false">IF($O256="","",INDEX(Scoring!$S$29:$S$361,MATCH($O256,Scoring!$AI$29:$AI$361,0)))</f>
        <v/>
      </c>
      <c r="K256" s="8" t="str">
        <f aca="false">IF($O256="","",IF(INDEX(Scoring!$I$29:$I$361,MATCH($O256,Scoring!$AI$29:$AI$361,0))="",INDEX(Scoring!$AC$29:$AC$361,MATCH($O256,Scoring!$AI$29:$AI$361,0)),INDEX(Scoring!$I$29:$I$361,MATCH($O256,Scoring!$AI$29:$AI$361,0))))</f>
        <v/>
      </c>
      <c r="L256" s="9" t="str">
        <f aca="false">IF($O256="","",INDEX(Scoring!$M$29:$M$361,MATCH($O256,Scoring!$AI$29:$AI$361,0)))</f>
        <v/>
      </c>
      <c r="M256" s="9" t="str">
        <f aca="false">IF($O256="","",INDEX(Scoring!$O$29:$O$361,MATCH($O256,Scoring!$AI$29:$AI$361,0)))</f>
        <v/>
      </c>
      <c r="N256" s="7" t="str">
        <f aca="false">IF($O256="","",INDEX(Scoring!$Y$29:$Y$361,MATCH($O256,Scoring!$AI$29:$AI$361,0)))</f>
        <v/>
      </c>
      <c r="O256" s="10" t="str">
        <f aca="false">IFERROR(SMALL(Scoring!$AI$29:$AI$361,252),"")</f>
        <v/>
      </c>
    </row>
    <row r="257" customFormat="false" ht="15" hidden="false" customHeight="false" outlineLevel="0" collapsed="false">
      <c r="A257" s="5" t="str">
        <f aca="false">IF($O257="","",INT($O257/1000))</f>
        <v/>
      </c>
      <c r="B257" s="6" t="str">
        <f aca="false">IF($O257="","",INDEX(Scoring!$A$29:$A$361,MATCH($O257,Scoring!$AI$29:$AI$361,0)))</f>
        <v/>
      </c>
      <c r="C257" s="5" t="str">
        <f aca="false">IF($O257="","",IF(INDEX(Scoring!$F$29:$F$361,MATCH($O257,Scoring!$AI$29:$AI$361,0))="","–",INDEX(Scoring!$F$29:$F$361,MATCH($O257,Scoring!$AI$29:$AI$361,0))))</f>
        <v/>
      </c>
      <c r="D257" s="6" t="str">
        <f aca="false">IF($O257="","",INDEX(Scoring!$E$29:$E$361,MATCH($O257,Scoring!$AI$29:$AI$361,0)))</f>
        <v/>
      </c>
      <c r="E257" s="7" t="str">
        <f aca="false">IF($O257="","",INDEX(Scoring!$G$29:$G$361,MATCH($O257,Scoring!$AI$29:$AI$361,0)))</f>
        <v/>
      </c>
      <c r="F257" s="6" t="str">
        <f aca="false">IF($O257="","",INDEX(Scoring!$B$29:$B$361,MATCH($O257,Scoring!$AI$29:$AI$361,0)))</f>
        <v/>
      </c>
      <c r="G257" s="7" t="str">
        <f aca="false">IF($O257="","",INDEX(Scoring!$C$29:$C$361,MATCH($O257,Scoring!$AI$29:$AI$361,0)))</f>
        <v/>
      </c>
      <c r="H257" s="7" t="str">
        <f aca="false">IF($O257="","",INDEX(Scoring!$D$29:$D$361,MATCH($O257,Scoring!$AI$29:$AI$361,0)))</f>
        <v/>
      </c>
      <c r="I257" s="6" t="str">
        <f aca="false">IF($O257="","",INDEX(Scoring!$R$29:$R$361,MATCH($O257,Scoring!$AI$29:$AI$361,0)))</f>
        <v/>
      </c>
      <c r="J257" s="7" t="str">
        <f aca="false">IF($O257="","",INDEX(Scoring!$S$29:$S$361,MATCH($O257,Scoring!$AI$29:$AI$361,0)))</f>
        <v/>
      </c>
      <c r="K257" s="8" t="str">
        <f aca="false">IF($O257="","",IF(INDEX(Scoring!$I$29:$I$361,MATCH($O257,Scoring!$AI$29:$AI$361,0))="",INDEX(Scoring!$AC$29:$AC$361,MATCH($O257,Scoring!$AI$29:$AI$361,0)),INDEX(Scoring!$I$29:$I$361,MATCH($O257,Scoring!$AI$29:$AI$361,0))))</f>
        <v/>
      </c>
      <c r="L257" s="9" t="str">
        <f aca="false">IF($O257="","",INDEX(Scoring!$M$29:$M$361,MATCH($O257,Scoring!$AI$29:$AI$361,0)))</f>
        <v/>
      </c>
      <c r="M257" s="9" t="str">
        <f aca="false">IF($O257="","",INDEX(Scoring!$O$29:$O$361,MATCH($O257,Scoring!$AI$29:$AI$361,0)))</f>
        <v/>
      </c>
      <c r="N257" s="7" t="str">
        <f aca="false">IF($O257="","",INDEX(Scoring!$Y$29:$Y$361,MATCH($O257,Scoring!$AI$29:$AI$361,0)))</f>
        <v/>
      </c>
      <c r="O257" s="10" t="str">
        <f aca="false">IFERROR(SMALL(Scoring!$AI$29:$AI$361,253),"")</f>
        <v/>
      </c>
    </row>
    <row r="258" customFormat="false" ht="15" hidden="false" customHeight="false" outlineLevel="0" collapsed="false">
      <c r="A258" s="5" t="str">
        <f aca="false">IF($O258="","",INT($O258/1000))</f>
        <v/>
      </c>
      <c r="B258" s="6" t="str">
        <f aca="false">IF($O258="","",INDEX(Scoring!$A$29:$A$361,MATCH($O258,Scoring!$AI$29:$AI$361,0)))</f>
        <v/>
      </c>
      <c r="C258" s="5" t="str">
        <f aca="false">IF($O258="","",IF(INDEX(Scoring!$F$29:$F$361,MATCH($O258,Scoring!$AI$29:$AI$361,0))="","–",INDEX(Scoring!$F$29:$F$361,MATCH($O258,Scoring!$AI$29:$AI$361,0))))</f>
        <v/>
      </c>
      <c r="D258" s="6" t="str">
        <f aca="false">IF($O258="","",INDEX(Scoring!$E$29:$E$361,MATCH($O258,Scoring!$AI$29:$AI$361,0)))</f>
        <v/>
      </c>
      <c r="E258" s="7" t="str">
        <f aca="false">IF($O258="","",INDEX(Scoring!$G$29:$G$361,MATCH($O258,Scoring!$AI$29:$AI$361,0)))</f>
        <v/>
      </c>
      <c r="F258" s="6" t="str">
        <f aca="false">IF($O258="","",INDEX(Scoring!$B$29:$B$361,MATCH($O258,Scoring!$AI$29:$AI$361,0)))</f>
        <v/>
      </c>
      <c r="G258" s="7" t="str">
        <f aca="false">IF($O258="","",INDEX(Scoring!$C$29:$C$361,MATCH($O258,Scoring!$AI$29:$AI$361,0)))</f>
        <v/>
      </c>
      <c r="H258" s="7" t="str">
        <f aca="false">IF($O258="","",INDEX(Scoring!$D$29:$D$361,MATCH($O258,Scoring!$AI$29:$AI$361,0)))</f>
        <v/>
      </c>
      <c r="I258" s="6" t="str">
        <f aca="false">IF($O258="","",INDEX(Scoring!$R$29:$R$361,MATCH($O258,Scoring!$AI$29:$AI$361,0)))</f>
        <v/>
      </c>
      <c r="J258" s="7" t="str">
        <f aca="false">IF($O258="","",INDEX(Scoring!$S$29:$S$361,MATCH($O258,Scoring!$AI$29:$AI$361,0)))</f>
        <v/>
      </c>
      <c r="K258" s="8" t="str">
        <f aca="false">IF($O258="","",IF(INDEX(Scoring!$I$29:$I$361,MATCH($O258,Scoring!$AI$29:$AI$361,0))="",INDEX(Scoring!$AC$29:$AC$361,MATCH($O258,Scoring!$AI$29:$AI$361,0)),INDEX(Scoring!$I$29:$I$361,MATCH($O258,Scoring!$AI$29:$AI$361,0))))</f>
        <v/>
      </c>
      <c r="L258" s="9" t="str">
        <f aca="false">IF($O258="","",INDEX(Scoring!$M$29:$M$361,MATCH($O258,Scoring!$AI$29:$AI$361,0)))</f>
        <v/>
      </c>
      <c r="M258" s="9" t="str">
        <f aca="false">IF($O258="","",INDEX(Scoring!$O$29:$O$361,MATCH($O258,Scoring!$AI$29:$AI$361,0)))</f>
        <v/>
      </c>
      <c r="N258" s="7" t="str">
        <f aca="false">IF($O258="","",INDEX(Scoring!$Y$29:$Y$361,MATCH($O258,Scoring!$AI$29:$AI$361,0)))</f>
        <v/>
      </c>
      <c r="O258" s="10" t="str">
        <f aca="false">IFERROR(SMALL(Scoring!$AI$29:$AI$361,254),"")</f>
        <v/>
      </c>
    </row>
    <row r="259" customFormat="false" ht="15" hidden="false" customHeight="false" outlineLevel="0" collapsed="false">
      <c r="A259" s="5" t="str">
        <f aca="false">IF($O259="","",INT($O259/1000))</f>
        <v/>
      </c>
      <c r="B259" s="6" t="str">
        <f aca="false">IF($O259="","",INDEX(Scoring!$A$29:$A$361,MATCH($O259,Scoring!$AI$29:$AI$361,0)))</f>
        <v/>
      </c>
      <c r="C259" s="5" t="str">
        <f aca="false">IF($O259="","",IF(INDEX(Scoring!$F$29:$F$361,MATCH($O259,Scoring!$AI$29:$AI$361,0))="","–",INDEX(Scoring!$F$29:$F$361,MATCH($O259,Scoring!$AI$29:$AI$361,0))))</f>
        <v/>
      </c>
      <c r="D259" s="6" t="str">
        <f aca="false">IF($O259="","",INDEX(Scoring!$E$29:$E$361,MATCH($O259,Scoring!$AI$29:$AI$361,0)))</f>
        <v/>
      </c>
      <c r="E259" s="7" t="str">
        <f aca="false">IF($O259="","",INDEX(Scoring!$G$29:$G$361,MATCH($O259,Scoring!$AI$29:$AI$361,0)))</f>
        <v/>
      </c>
      <c r="F259" s="6" t="str">
        <f aca="false">IF($O259="","",INDEX(Scoring!$B$29:$B$361,MATCH($O259,Scoring!$AI$29:$AI$361,0)))</f>
        <v/>
      </c>
      <c r="G259" s="7" t="str">
        <f aca="false">IF($O259="","",INDEX(Scoring!$C$29:$C$361,MATCH($O259,Scoring!$AI$29:$AI$361,0)))</f>
        <v/>
      </c>
      <c r="H259" s="7" t="str">
        <f aca="false">IF($O259="","",INDEX(Scoring!$D$29:$D$361,MATCH($O259,Scoring!$AI$29:$AI$361,0)))</f>
        <v/>
      </c>
      <c r="I259" s="6" t="str">
        <f aca="false">IF($O259="","",INDEX(Scoring!$R$29:$R$361,MATCH($O259,Scoring!$AI$29:$AI$361,0)))</f>
        <v/>
      </c>
      <c r="J259" s="7" t="str">
        <f aca="false">IF($O259="","",INDEX(Scoring!$S$29:$S$361,MATCH($O259,Scoring!$AI$29:$AI$361,0)))</f>
        <v/>
      </c>
      <c r="K259" s="8" t="str">
        <f aca="false">IF($O259="","",IF(INDEX(Scoring!$I$29:$I$361,MATCH($O259,Scoring!$AI$29:$AI$361,0))="",INDEX(Scoring!$AC$29:$AC$361,MATCH($O259,Scoring!$AI$29:$AI$361,0)),INDEX(Scoring!$I$29:$I$361,MATCH($O259,Scoring!$AI$29:$AI$361,0))))</f>
        <v/>
      </c>
      <c r="L259" s="9" t="str">
        <f aca="false">IF($O259="","",INDEX(Scoring!$M$29:$M$361,MATCH($O259,Scoring!$AI$29:$AI$361,0)))</f>
        <v/>
      </c>
      <c r="M259" s="9" t="str">
        <f aca="false">IF($O259="","",INDEX(Scoring!$O$29:$O$361,MATCH($O259,Scoring!$AI$29:$AI$361,0)))</f>
        <v/>
      </c>
      <c r="N259" s="7" t="str">
        <f aca="false">IF($O259="","",INDEX(Scoring!$Y$29:$Y$361,MATCH($O259,Scoring!$AI$29:$AI$361,0)))</f>
        <v/>
      </c>
      <c r="O259" s="10" t="str">
        <f aca="false">IFERROR(SMALL(Scoring!$AI$29:$AI$361,255),"")</f>
        <v/>
      </c>
    </row>
    <row r="260" customFormat="false" ht="15" hidden="false" customHeight="false" outlineLevel="0" collapsed="false">
      <c r="A260" s="5" t="str">
        <f aca="false">IF($O260="","",INT($O260/1000))</f>
        <v/>
      </c>
      <c r="B260" s="6" t="str">
        <f aca="false">IF($O260="","",INDEX(Scoring!$A$29:$A$361,MATCH($O260,Scoring!$AI$29:$AI$361,0)))</f>
        <v/>
      </c>
      <c r="C260" s="5" t="str">
        <f aca="false">IF($O260="","",IF(INDEX(Scoring!$F$29:$F$361,MATCH($O260,Scoring!$AI$29:$AI$361,0))="","–",INDEX(Scoring!$F$29:$F$361,MATCH($O260,Scoring!$AI$29:$AI$361,0))))</f>
        <v/>
      </c>
      <c r="D260" s="6" t="str">
        <f aca="false">IF($O260="","",INDEX(Scoring!$E$29:$E$361,MATCH($O260,Scoring!$AI$29:$AI$361,0)))</f>
        <v/>
      </c>
      <c r="E260" s="7" t="str">
        <f aca="false">IF($O260="","",INDEX(Scoring!$G$29:$G$361,MATCH($O260,Scoring!$AI$29:$AI$361,0)))</f>
        <v/>
      </c>
      <c r="F260" s="6" t="str">
        <f aca="false">IF($O260="","",INDEX(Scoring!$B$29:$B$361,MATCH($O260,Scoring!$AI$29:$AI$361,0)))</f>
        <v/>
      </c>
      <c r="G260" s="7" t="str">
        <f aca="false">IF($O260="","",INDEX(Scoring!$C$29:$C$361,MATCH($O260,Scoring!$AI$29:$AI$361,0)))</f>
        <v/>
      </c>
      <c r="H260" s="7" t="str">
        <f aca="false">IF($O260="","",INDEX(Scoring!$D$29:$D$361,MATCH($O260,Scoring!$AI$29:$AI$361,0)))</f>
        <v/>
      </c>
      <c r="I260" s="6" t="str">
        <f aca="false">IF($O260="","",INDEX(Scoring!$R$29:$R$361,MATCH($O260,Scoring!$AI$29:$AI$361,0)))</f>
        <v/>
      </c>
      <c r="J260" s="7" t="str">
        <f aca="false">IF($O260="","",INDEX(Scoring!$S$29:$S$361,MATCH($O260,Scoring!$AI$29:$AI$361,0)))</f>
        <v/>
      </c>
      <c r="K260" s="8" t="str">
        <f aca="false">IF($O260="","",IF(INDEX(Scoring!$I$29:$I$361,MATCH($O260,Scoring!$AI$29:$AI$361,0))="",INDEX(Scoring!$AC$29:$AC$361,MATCH($O260,Scoring!$AI$29:$AI$361,0)),INDEX(Scoring!$I$29:$I$361,MATCH($O260,Scoring!$AI$29:$AI$361,0))))</f>
        <v/>
      </c>
      <c r="L260" s="9" t="str">
        <f aca="false">IF($O260="","",INDEX(Scoring!$M$29:$M$361,MATCH($O260,Scoring!$AI$29:$AI$361,0)))</f>
        <v/>
      </c>
      <c r="M260" s="9" t="str">
        <f aca="false">IF($O260="","",INDEX(Scoring!$O$29:$O$361,MATCH($O260,Scoring!$AI$29:$AI$361,0)))</f>
        <v/>
      </c>
      <c r="N260" s="7" t="str">
        <f aca="false">IF($O260="","",INDEX(Scoring!$Y$29:$Y$361,MATCH($O260,Scoring!$AI$29:$AI$361,0)))</f>
        <v/>
      </c>
      <c r="O260" s="10" t="str">
        <f aca="false">IFERROR(SMALL(Scoring!$AI$29:$AI$361,256),"")</f>
        <v/>
      </c>
    </row>
    <row r="261" customFormat="false" ht="15" hidden="false" customHeight="false" outlineLevel="0" collapsed="false">
      <c r="A261" s="5" t="str">
        <f aca="false">IF($O261="","",INT($O261/1000))</f>
        <v/>
      </c>
      <c r="B261" s="6" t="str">
        <f aca="false">IF($O261="","",INDEX(Scoring!$A$29:$A$361,MATCH($O261,Scoring!$AI$29:$AI$361,0)))</f>
        <v/>
      </c>
      <c r="C261" s="5" t="str">
        <f aca="false">IF($O261="","",IF(INDEX(Scoring!$F$29:$F$361,MATCH($O261,Scoring!$AI$29:$AI$361,0))="","–",INDEX(Scoring!$F$29:$F$361,MATCH($O261,Scoring!$AI$29:$AI$361,0))))</f>
        <v/>
      </c>
      <c r="D261" s="6" t="str">
        <f aca="false">IF($O261="","",INDEX(Scoring!$E$29:$E$361,MATCH($O261,Scoring!$AI$29:$AI$361,0)))</f>
        <v/>
      </c>
      <c r="E261" s="7" t="str">
        <f aca="false">IF($O261="","",INDEX(Scoring!$G$29:$G$361,MATCH($O261,Scoring!$AI$29:$AI$361,0)))</f>
        <v/>
      </c>
      <c r="F261" s="6" t="str">
        <f aca="false">IF($O261="","",INDEX(Scoring!$B$29:$B$361,MATCH($O261,Scoring!$AI$29:$AI$361,0)))</f>
        <v/>
      </c>
      <c r="G261" s="7" t="str">
        <f aca="false">IF($O261="","",INDEX(Scoring!$C$29:$C$361,MATCH($O261,Scoring!$AI$29:$AI$361,0)))</f>
        <v/>
      </c>
      <c r="H261" s="7" t="str">
        <f aca="false">IF($O261="","",INDEX(Scoring!$D$29:$D$361,MATCH($O261,Scoring!$AI$29:$AI$361,0)))</f>
        <v/>
      </c>
      <c r="I261" s="6" t="str">
        <f aca="false">IF($O261="","",INDEX(Scoring!$R$29:$R$361,MATCH($O261,Scoring!$AI$29:$AI$361,0)))</f>
        <v/>
      </c>
      <c r="J261" s="7" t="str">
        <f aca="false">IF($O261="","",INDEX(Scoring!$S$29:$S$361,MATCH($O261,Scoring!$AI$29:$AI$361,0)))</f>
        <v/>
      </c>
      <c r="K261" s="8" t="str">
        <f aca="false">IF($O261="","",IF(INDEX(Scoring!$I$29:$I$361,MATCH($O261,Scoring!$AI$29:$AI$361,0))="",INDEX(Scoring!$AC$29:$AC$361,MATCH($O261,Scoring!$AI$29:$AI$361,0)),INDEX(Scoring!$I$29:$I$361,MATCH($O261,Scoring!$AI$29:$AI$361,0))))</f>
        <v/>
      </c>
      <c r="L261" s="9" t="str">
        <f aca="false">IF($O261="","",INDEX(Scoring!$M$29:$M$361,MATCH($O261,Scoring!$AI$29:$AI$361,0)))</f>
        <v/>
      </c>
      <c r="M261" s="9" t="str">
        <f aca="false">IF($O261="","",INDEX(Scoring!$O$29:$O$361,MATCH($O261,Scoring!$AI$29:$AI$361,0)))</f>
        <v/>
      </c>
      <c r="N261" s="7" t="str">
        <f aca="false">IF($O261="","",INDEX(Scoring!$Y$29:$Y$361,MATCH($O261,Scoring!$AI$29:$AI$361,0)))</f>
        <v/>
      </c>
      <c r="O261" s="10" t="str">
        <f aca="false">IFERROR(SMALL(Scoring!$AI$29:$AI$361,257),"")</f>
        <v/>
      </c>
    </row>
    <row r="262" customFormat="false" ht="15" hidden="false" customHeight="false" outlineLevel="0" collapsed="false">
      <c r="A262" s="5" t="str">
        <f aca="false">IF($O262="","",INT($O262/1000))</f>
        <v/>
      </c>
      <c r="B262" s="6" t="str">
        <f aca="false">IF($O262="","",INDEX(Scoring!$A$29:$A$361,MATCH($O262,Scoring!$AI$29:$AI$361,0)))</f>
        <v/>
      </c>
      <c r="C262" s="5" t="str">
        <f aca="false">IF($O262="","",IF(INDEX(Scoring!$F$29:$F$361,MATCH($O262,Scoring!$AI$29:$AI$361,0))="","–",INDEX(Scoring!$F$29:$F$361,MATCH($O262,Scoring!$AI$29:$AI$361,0))))</f>
        <v/>
      </c>
      <c r="D262" s="6" t="str">
        <f aca="false">IF($O262="","",INDEX(Scoring!$E$29:$E$361,MATCH($O262,Scoring!$AI$29:$AI$361,0)))</f>
        <v/>
      </c>
      <c r="E262" s="7" t="str">
        <f aca="false">IF($O262="","",INDEX(Scoring!$G$29:$G$361,MATCH($O262,Scoring!$AI$29:$AI$361,0)))</f>
        <v/>
      </c>
      <c r="F262" s="6" t="str">
        <f aca="false">IF($O262="","",INDEX(Scoring!$B$29:$B$361,MATCH($O262,Scoring!$AI$29:$AI$361,0)))</f>
        <v/>
      </c>
      <c r="G262" s="7" t="str">
        <f aca="false">IF($O262="","",INDEX(Scoring!$C$29:$C$361,MATCH($O262,Scoring!$AI$29:$AI$361,0)))</f>
        <v/>
      </c>
      <c r="H262" s="7" t="str">
        <f aca="false">IF($O262="","",INDEX(Scoring!$D$29:$D$361,MATCH($O262,Scoring!$AI$29:$AI$361,0)))</f>
        <v/>
      </c>
      <c r="I262" s="6" t="str">
        <f aca="false">IF($O262="","",INDEX(Scoring!$R$29:$R$361,MATCH($O262,Scoring!$AI$29:$AI$361,0)))</f>
        <v/>
      </c>
      <c r="J262" s="7" t="str">
        <f aca="false">IF($O262="","",INDEX(Scoring!$S$29:$S$361,MATCH($O262,Scoring!$AI$29:$AI$361,0)))</f>
        <v/>
      </c>
      <c r="K262" s="8" t="str">
        <f aca="false">IF($O262="","",IF(INDEX(Scoring!$I$29:$I$361,MATCH($O262,Scoring!$AI$29:$AI$361,0))="",INDEX(Scoring!$AC$29:$AC$361,MATCH($O262,Scoring!$AI$29:$AI$361,0)),INDEX(Scoring!$I$29:$I$361,MATCH($O262,Scoring!$AI$29:$AI$361,0))))</f>
        <v/>
      </c>
      <c r="L262" s="9" t="str">
        <f aca="false">IF($O262="","",INDEX(Scoring!$M$29:$M$361,MATCH($O262,Scoring!$AI$29:$AI$361,0)))</f>
        <v/>
      </c>
      <c r="M262" s="9" t="str">
        <f aca="false">IF($O262="","",INDEX(Scoring!$O$29:$O$361,MATCH($O262,Scoring!$AI$29:$AI$361,0)))</f>
        <v/>
      </c>
      <c r="N262" s="7" t="str">
        <f aca="false">IF($O262="","",INDEX(Scoring!$Y$29:$Y$361,MATCH($O262,Scoring!$AI$29:$AI$361,0)))</f>
        <v/>
      </c>
      <c r="O262" s="10" t="str">
        <f aca="false">IFERROR(SMALL(Scoring!$AI$29:$AI$361,258),"")</f>
        <v/>
      </c>
    </row>
    <row r="263" customFormat="false" ht="15" hidden="false" customHeight="false" outlineLevel="0" collapsed="false">
      <c r="A263" s="5" t="str">
        <f aca="false">IF($O263="","",INT($O263/1000))</f>
        <v/>
      </c>
      <c r="B263" s="6" t="str">
        <f aca="false">IF($O263="","",INDEX(Scoring!$A$29:$A$361,MATCH($O263,Scoring!$AI$29:$AI$361,0)))</f>
        <v/>
      </c>
      <c r="C263" s="5" t="str">
        <f aca="false">IF($O263="","",IF(INDEX(Scoring!$F$29:$F$361,MATCH($O263,Scoring!$AI$29:$AI$361,0))="","–",INDEX(Scoring!$F$29:$F$361,MATCH($O263,Scoring!$AI$29:$AI$361,0))))</f>
        <v/>
      </c>
      <c r="D263" s="6" t="str">
        <f aca="false">IF($O263="","",INDEX(Scoring!$E$29:$E$361,MATCH($O263,Scoring!$AI$29:$AI$361,0)))</f>
        <v/>
      </c>
      <c r="E263" s="7" t="str">
        <f aca="false">IF($O263="","",INDEX(Scoring!$G$29:$G$361,MATCH($O263,Scoring!$AI$29:$AI$361,0)))</f>
        <v/>
      </c>
      <c r="F263" s="6" t="str">
        <f aca="false">IF($O263="","",INDEX(Scoring!$B$29:$B$361,MATCH($O263,Scoring!$AI$29:$AI$361,0)))</f>
        <v/>
      </c>
      <c r="G263" s="7" t="str">
        <f aca="false">IF($O263="","",INDEX(Scoring!$C$29:$C$361,MATCH($O263,Scoring!$AI$29:$AI$361,0)))</f>
        <v/>
      </c>
      <c r="H263" s="7" t="str">
        <f aca="false">IF($O263="","",INDEX(Scoring!$D$29:$D$361,MATCH($O263,Scoring!$AI$29:$AI$361,0)))</f>
        <v/>
      </c>
      <c r="I263" s="6" t="str">
        <f aca="false">IF($O263="","",INDEX(Scoring!$R$29:$R$361,MATCH($O263,Scoring!$AI$29:$AI$361,0)))</f>
        <v/>
      </c>
      <c r="J263" s="7" t="str">
        <f aca="false">IF($O263="","",INDEX(Scoring!$S$29:$S$361,MATCH($O263,Scoring!$AI$29:$AI$361,0)))</f>
        <v/>
      </c>
      <c r="K263" s="8" t="str">
        <f aca="false">IF($O263="","",IF(INDEX(Scoring!$I$29:$I$361,MATCH($O263,Scoring!$AI$29:$AI$361,0))="",INDEX(Scoring!$AC$29:$AC$361,MATCH($O263,Scoring!$AI$29:$AI$361,0)),INDEX(Scoring!$I$29:$I$361,MATCH($O263,Scoring!$AI$29:$AI$361,0))))</f>
        <v/>
      </c>
      <c r="L263" s="9" t="str">
        <f aca="false">IF($O263="","",INDEX(Scoring!$M$29:$M$361,MATCH($O263,Scoring!$AI$29:$AI$361,0)))</f>
        <v/>
      </c>
      <c r="M263" s="9" t="str">
        <f aca="false">IF($O263="","",INDEX(Scoring!$O$29:$O$361,MATCH($O263,Scoring!$AI$29:$AI$361,0)))</f>
        <v/>
      </c>
      <c r="N263" s="7" t="str">
        <f aca="false">IF($O263="","",INDEX(Scoring!$Y$29:$Y$361,MATCH($O263,Scoring!$AI$29:$AI$361,0)))</f>
        <v/>
      </c>
      <c r="O263" s="10" t="str">
        <f aca="false">IFERROR(SMALL(Scoring!$AI$29:$AI$361,259),"")</f>
        <v/>
      </c>
    </row>
    <row r="264" customFormat="false" ht="15" hidden="false" customHeight="false" outlineLevel="0" collapsed="false">
      <c r="A264" s="5" t="str">
        <f aca="false">IF($O264="","",INT($O264/1000))</f>
        <v/>
      </c>
      <c r="B264" s="6" t="str">
        <f aca="false">IF($O264="","",INDEX(Scoring!$A$29:$A$361,MATCH($O264,Scoring!$AI$29:$AI$361,0)))</f>
        <v/>
      </c>
      <c r="C264" s="5" t="str">
        <f aca="false">IF($O264="","",IF(INDEX(Scoring!$F$29:$F$361,MATCH($O264,Scoring!$AI$29:$AI$361,0))="","–",INDEX(Scoring!$F$29:$F$361,MATCH($O264,Scoring!$AI$29:$AI$361,0))))</f>
        <v/>
      </c>
      <c r="D264" s="6" t="str">
        <f aca="false">IF($O264="","",INDEX(Scoring!$E$29:$E$361,MATCH($O264,Scoring!$AI$29:$AI$361,0)))</f>
        <v/>
      </c>
      <c r="E264" s="7" t="str">
        <f aca="false">IF($O264="","",INDEX(Scoring!$G$29:$G$361,MATCH($O264,Scoring!$AI$29:$AI$361,0)))</f>
        <v/>
      </c>
      <c r="F264" s="6" t="str">
        <f aca="false">IF($O264="","",INDEX(Scoring!$B$29:$B$361,MATCH($O264,Scoring!$AI$29:$AI$361,0)))</f>
        <v/>
      </c>
      <c r="G264" s="7" t="str">
        <f aca="false">IF($O264="","",INDEX(Scoring!$C$29:$C$361,MATCH($O264,Scoring!$AI$29:$AI$361,0)))</f>
        <v/>
      </c>
      <c r="H264" s="7" t="str">
        <f aca="false">IF($O264="","",INDEX(Scoring!$D$29:$D$361,MATCH($O264,Scoring!$AI$29:$AI$361,0)))</f>
        <v/>
      </c>
      <c r="I264" s="6" t="str">
        <f aca="false">IF($O264="","",INDEX(Scoring!$R$29:$R$361,MATCH($O264,Scoring!$AI$29:$AI$361,0)))</f>
        <v/>
      </c>
      <c r="J264" s="7" t="str">
        <f aca="false">IF($O264="","",INDEX(Scoring!$S$29:$S$361,MATCH($O264,Scoring!$AI$29:$AI$361,0)))</f>
        <v/>
      </c>
      <c r="K264" s="8" t="str">
        <f aca="false">IF($O264="","",IF(INDEX(Scoring!$I$29:$I$361,MATCH($O264,Scoring!$AI$29:$AI$361,0))="",INDEX(Scoring!$AC$29:$AC$361,MATCH($O264,Scoring!$AI$29:$AI$361,0)),INDEX(Scoring!$I$29:$I$361,MATCH($O264,Scoring!$AI$29:$AI$361,0))))</f>
        <v/>
      </c>
      <c r="L264" s="9" t="str">
        <f aca="false">IF($O264="","",INDEX(Scoring!$M$29:$M$361,MATCH($O264,Scoring!$AI$29:$AI$361,0)))</f>
        <v/>
      </c>
      <c r="M264" s="9" t="str">
        <f aca="false">IF($O264="","",INDEX(Scoring!$O$29:$O$361,MATCH($O264,Scoring!$AI$29:$AI$361,0)))</f>
        <v/>
      </c>
      <c r="N264" s="7" t="str">
        <f aca="false">IF($O264="","",INDEX(Scoring!$Y$29:$Y$361,MATCH($O264,Scoring!$AI$29:$AI$361,0)))</f>
        <v/>
      </c>
      <c r="O264" s="10" t="str">
        <f aca="false">IFERROR(SMALL(Scoring!$AI$29:$AI$361,260),"")</f>
        <v/>
      </c>
    </row>
    <row r="265" customFormat="false" ht="15" hidden="false" customHeight="false" outlineLevel="0" collapsed="false">
      <c r="A265" s="5" t="str">
        <f aca="false">IF($O265="","",INT($O265/1000))</f>
        <v/>
      </c>
      <c r="B265" s="6" t="str">
        <f aca="false">IF($O265="","",INDEX(Scoring!$A$29:$A$361,MATCH($O265,Scoring!$AI$29:$AI$361,0)))</f>
        <v/>
      </c>
      <c r="C265" s="5" t="str">
        <f aca="false">IF($O265="","",IF(INDEX(Scoring!$F$29:$F$361,MATCH($O265,Scoring!$AI$29:$AI$361,0))="","–",INDEX(Scoring!$F$29:$F$361,MATCH($O265,Scoring!$AI$29:$AI$361,0))))</f>
        <v/>
      </c>
      <c r="D265" s="6" t="str">
        <f aca="false">IF($O265="","",INDEX(Scoring!$E$29:$E$361,MATCH($O265,Scoring!$AI$29:$AI$361,0)))</f>
        <v/>
      </c>
      <c r="E265" s="7" t="str">
        <f aca="false">IF($O265="","",INDEX(Scoring!$G$29:$G$361,MATCH($O265,Scoring!$AI$29:$AI$361,0)))</f>
        <v/>
      </c>
      <c r="F265" s="6" t="str">
        <f aca="false">IF($O265="","",INDEX(Scoring!$B$29:$B$361,MATCH($O265,Scoring!$AI$29:$AI$361,0)))</f>
        <v/>
      </c>
      <c r="G265" s="7" t="str">
        <f aca="false">IF($O265="","",INDEX(Scoring!$C$29:$C$361,MATCH($O265,Scoring!$AI$29:$AI$361,0)))</f>
        <v/>
      </c>
      <c r="H265" s="7" t="str">
        <f aca="false">IF($O265="","",INDEX(Scoring!$D$29:$D$361,MATCH($O265,Scoring!$AI$29:$AI$361,0)))</f>
        <v/>
      </c>
      <c r="I265" s="6" t="str">
        <f aca="false">IF($O265="","",INDEX(Scoring!$R$29:$R$361,MATCH($O265,Scoring!$AI$29:$AI$361,0)))</f>
        <v/>
      </c>
      <c r="J265" s="7" t="str">
        <f aca="false">IF($O265="","",INDEX(Scoring!$S$29:$S$361,MATCH($O265,Scoring!$AI$29:$AI$361,0)))</f>
        <v/>
      </c>
      <c r="K265" s="8" t="str">
        <f aca="false">IF($O265="","",IF(INDEX(Scoring!$I$29:$I$361,MATCH($O265,Scoring!$AI$29:$AI$361,0))="",INDEX(Scoring!$AC$29:$AC$361,MATCH($O265,Scoring!$AI$29:$AI$361,0)),INDEX(Scoring!$I$29:$I$361,MATCH($O265,Scoring!$AI$29:$AI$361,0))))</f>
        <v/>
      </c>
      <c r="L265" s="9" t="str">
        <f aca="false">IF($O265="","",INDEX(Scoring!$M$29:$M$361,MATCH($O265,Scoring!$AI$29:$AI$361,0)))</f>
        <v/>
      </c>
      <c r="M265" s="9" t="str">
        <f aca="false">IF($O265="","",INDEX(Scoring!$O$29:$O$361,MATCH($O265,Scoring!$AI$29:$AI$361,0)))</f>
        <v/>
      </c>
      <c r="N265" s="7" t="str">
        <f aca="false">IF($O265="","",INDEX(Scoring!$Y$29:$Y$361,MATCH($O265,Scoring!$AI$29:$AI$361,0)))</f>
        <v/>
      </c>
      <c r="O265" s="10" t="str">
        <f aca="false">IFERROR(SMALL(Scoring!$AI$29:$AI$361,261),"")</f>
        <v/>
      </c>
    </row>
    <row r="266" customFormat="false" ht="15" hidden="false" customHeight="false" outlineLevel="0" collapsed="false">
      <c r="A266" s="5" t="str">
        <f aca="false">IF($O266="","",INT($O266/1000))</f>
        <v/>
      </c>
      <c r="B266" s="6" t="str">
        <f aca="false">IF($O266="","",INDEX(Scoring!$A$29:$A$361,MATCH($O266,Scoring!$AI$29:$AI$361,0)))</f>
        <v/>
      </c>
      <c r="C266" s="5" t="str">
        <f aca="false">IF($O266="","",IF(INDEX(Scoring!$F$29:$F$361,MATCH($O266,Scoring!$AI$29:$AI$361,0))="","–",INDEX(Scoring!$F$29:$F$361,MATCH($O266,Scoring!$AI$29:$AI$361,0))))</f>
        <v/>
      </c>
      <c r="D266" s="6" t="str">
        <f aca="false">IF($O266="","",INDEX(Scoring!$E$29:$E$361,MATCH($O266,Scoring!$AI$29:$AI$361,0)))</f>
        <v/>
      </c>
      <c r="E266" s="7" t="str">
        <f aca="false">IF($O266="","",INDEX(Scoring!$G$29:$G$361,MATCH($O266,Scoring!$AI$29:$AI$361,0)))</f>
        <v/>
      </c>
      <c r="F266" s="6" t="str">
        <f aca="false">IF($O266="","",INDEX(Scoring!$B$29:$B$361,MATCH($O266,Scoring!$AI$29:$AI$361,0)))</f>
        <v/>
      </c>
      <c r="G266" s="7" t="str">
        <f aca="false">IF($O266="","",INDEX(Scoring!$C$29:$C$361,MATCH($O266,Scoring!$AI$29:$AI$361,0)))</f>
        <v/>
      </c>
      <c r="H266" s="7" t="str">
        <f aca="false">IF($O266="","",INDEX(Scoring!$D$29:$D$361,MATCH($O266,Scoring!$AI$29:$AI$361,0)))</f>
        <v/>
      </c>
      <c r="I266" s="6" t="str">
        <f aca="false">IF($O266="","",INDEX(Scoring!$R$29:$R$361,MATCH($O266,Scoring!$AI$29:$AI$361,0)))</f>
        <v/>
      </c>
      <c r="J266" s="7" t="str">
        <f aca="false">IF($O266="","",INDEX(Scoring!$S$29:$S$361,MATCH($O266,Scoring!$AI$29:$AI$361,0)))</f>
        <v/>
      </c>
      <c r="K266" s="8" t="str">
        <f aca="false">IF($O266="","",IF(INDEX(Scoring!$I$29:$I$361,MATCH($O266,Scoring!$AI$29:$AI$361,0))="",INDEX(Scoring!$AC$29:$AC$361,MATCH($O266,Scoring!$AI$29:$AI$361,0)),INDEX(Scoring!$I$29:$I$361,MATCH($O266,Scoring!$AI$29:$AI$361,0))))</f>
        <v/>
      </c>
      <c r="L266" s="9" t="str">
        <f aca="false">IF($O266="","",INDEX(Scoring!$M$29:$M$361,MATCH($O266,Scoring!$AI$29:$AI$361,0)))</f>
        <v/>
      </c>
      <c r="M266" s="9" t="str">
        <f aca="false">IF($O266="","",INDEX(Scoring!$O$29:$O$361,MATCH($O266,Scoring!$AI$29:$AI$361,0)))</f>
        <v/>
      </c>
      <c r="N266" s="7" t="str">
        <f aca="false">IF($O266="","",INDEX(Scoring!$Y$29:$Y$361,MATCH($O266,Scoring!$AI$29:$AI$361,0)))</f>
        <v/>
      </c>
      <c r="O266" s="10" t="str">
        <f aca="false">IFERROR(SMALL(Scoring!$AI$29:$AI$361,262),"")</f>
        <v/>
      </c>
    </row>
    <row r="267" customFormat="false" ht="15" hidden="false" customHeight="false" outlineLevel="0" collapsed="false">
      <c r="A267" s="5" t="str">
        <f aca="false">IF($O267="","",INT($O267/1000))</f>
        <v/>
      </c>
      <c r="B267" s="6" t="str">
        <f aca="false">IF($O267="","",INDEX(Scoring!$A$29:$A$361,MATCH($O267,Scoring!$AI$29:$AI$361,0)))</f>
        <v/>
      </c>
      <c r="C267" s="5" t="str">
        <f aca="false">IF($O267="","",IF(INDEX(Scoring!$F$29:$F$361,MATCH($O267,Scoring!$AI$29:$AI$361,0))="","–",INDEX(Scoring!$F$29:$F$361,MATCH($O267,Scoring!$AI$29:$AI$361,0))))</f>
        <v/>
      </c>
      <c r="D267" s="6" t="str">
        <f aca="false">IF($O267="","",INDEX(Scoring!$E$29:$E$361,MATCH($O267,Scoring!$AI$29:$AI$361,0)))</f>
        <v/>
      </c>
      <c r="E267" s="7" t="str">
        <f aca="false">IF($O267="","",INDEX(Scoring!$G$29:$G$361,MATCH($O267,Scoring!$AI$29:$AI$361,0)))</f>
        <v/>
      </c>
      <c r="F267" s="6" t="str">
        <f aca="false">IF($O267="","",INDEX(Scoring!$B$29:$B$361,MATCH($O267,Scoring!$AI$29:$AI$361,0)))</f>
        <v/>
      </c>
      <c r="G267" s="7" t="str">
        <f aca="false">IF($O267="","",INDEX(Scoring!$C$29:$C$361,MATCH($O267,Scoring!$AI$29:$AI$361,0)))</f>
        <v/>
      </c>
      <c r="H267" s="7" t="str">
        <f aca="false">IF($O267="","",INDEX(Scoring!$D$29:$D$361,MATCH($O267,Scoring!$AI$29:$AI$361,0)))</f>
        <v/>
      </c>
      <c r="I267" s="6" t="str">
        <f aca="false">IF($O267="","",INDEX(Scoring!$R$29:$R$361,MATCH($O267,Scoring!$AI$29:$AI$361,0)))</f>
        <v/>
      </c>
      <c r="J267" s="7" t="str">
        <f aca="false">IF($O267="","",INDEX(Scoring!$S$29:$S$361,MATCH($O267,Scoring!$AI$29:$AI$361,0)))</f>
        <v/>
      </c>
      <c r="K267" s="8" t="str">
        <f aca="false">IF($O267="","",IF(INDEX(Scoring!$I$29:$I$361,MATCH($O267,Scoring!$AI$29:$AI$361,0))="",INDEX(Scoring!$AC$29:$AC$361,MATCH($O267,Scoring!$AI$29:$AI$361,0)),INDEX(Scoring!$I$29:$I$361,MATCH($O267,Scoring!$AI$29:$AI$361,0))))</f>
        <v/>
      </c>
      <c r="L267" s="9" t="str">
        <f aca="false">IF($O267="","",INDEX(Scoring!$M$29:$M$361,MATCH($O267,Scoring!$AI$29:$AI$361,0)))</f>
        <v/>
      </c>
      <c r="M267" s="9" t="str">
        <f aca="false">IF($O267="","",INDEX(Scoring!$O$29:$O$361,MATCH($O267,Scoring!$AI$29:$AI$361,0)))</f>
        <v/>
      </c>
      <c r="N267" s="7" t="str">
        <f aca="false">IF($O267="","",INDEX(Scoring!$Y$29:$Y$361,MATCH($O267,Scoring!$AI$29:$AI$361,0)))</f>
        <v/>
      </c>
      <c r="O267" s="10" t="str">
        <f aca="false">IFERROR(SMALL(Scoring!$AI$29:$AI$361,263),"")</f>
        <v/>
      </c>
    </row>
    <row r="268" customFormat="false" ht="15" hidden="false" customHeight="false" outlineLevel="0" collapsed="false">
      <c r="A268" s="5" t="str">
        <f aca="false">IF($O268="","",INT($O268/1000))</f>
        <v/>
      </c>
      <c r="B268" s="6" t="str">
        <f aca="false">IF($O268="","",INDEX(Scoring!$A$29:$A$361,MATCH($O268,Scoring!$AI$29:$AI$361,0)))</f>
        <v/>
      </c>
      <c r="C268" s="5" t="str">
        <f aca="false">IF($O268="","",IF(INDEX(Scoring!$F$29:$F$361,MATCH($O268,Scoring!$AI$29:$AI$361,0))="","–",INDEX(Scoring!$F$29:$F$361,MATCH($O268,Scoring!$AI$29:$AI$361,0))))</f>
        <v/>
      </c>
      <c r="D268" s="6" t="str">
        <f aca="false">IF($O268="","",INDEX(Scoring!$E$29:$E$361,MATCH($O268,Scoring!$AI$29:$AI$361,0)))</f>
        <v/>
      </c>
      <c r="E268" s="7" t="str">
        <f aca="false">IF($O268="","",INDEX(Scoring!$G$29:$G$361,MATCH($O268,Scoring!$AI$29:$AI$361,0)))</f>
        <v/>
      </c>
      <c r="F268" s="6" t="str">
        <f aca="false">IF($O268="","",INDEX(Scoring!$B$29:$B$361,MATCH($O268,Scoring!$AI$29:$AI$361,0)))</f>
        <v/>
      </c>
      <c r="G268" s="7" t="str">
        <f aca="false">IF($O268="","",INDEX(Scoring!$C$29:$C$361,MATCH($O268,Scoring!$AI$29:$AI$361,0)))</f>
        <v/>
      </c>
      <c r="H268" s="7" t="str">
        <f aca="false">IF($O268="","",INDEX(Scoring!$D$29:$D$361,MATCH($O268,Scoring!$AI$29:$AI$361,0)))</f>
        <v/>
      </c>
      <c r="I268" s="6" t="str">
        <f aca="false">IF($O268="","",INDEX(Scoring!$R$29:$R$361,MATCH($O268,Scoring!$AI$29:$AI$361,0)))</f>
        <v/>
      </c>
      <c r="J268" s="7" t="str">
        <f aca="false">IF($O268="","",INDEX(Scoring!$S$29:$S$361,MATCH($O268,Scoring!$AI$29:$AI$361,0)))</f>
        <v/>
      </c>
      <c r="K268" s="8" t="str">
        <f aca="false">IF($O268="","",IF(INDEX(Scoring!$I$29:$I$361,MATCH($O268,Scoring!$AI$29:$AI$361,0))="",INDEX(Scoring!$AC$29:$AC$361,MATCH($O268,Scoring!$AI$29:$AI$361,0)),INDEX(Scoring!$I$29:$I$361,MATCH($O268,Scoring!$AI$29:$AI$361,0))))</f>
        <v/>
      </c>
      <c r="L268" s="9" t="str">
        <f aca="false">IF($O268="","",INDEX(Scoring!$M$29:$M$361,MATCH($O268,Scoring!$AI$29:$AI$361,0)))</f>
        <v/>
      </c>
      <c r="M268" s="9" t="str">
        <f aca="false">IF($O268="","",INDEX(Scoring!$O$29:$O$361,MATCH($O268,Scoring!$AI$29:$AI$361,0)))</f>
        <v/>
      </c>
      <c r="N268" s="7" t="str">
        <f aca="false">IF($O268="","",INDEX(Scoring!$Y$29:$Y$361,MATCH($O268,Scoring!$AI$29:$AI$361,0)))</f>
        <v/>
      </c>
      <c r="O268" s="10" t="str">
        <f aca="false">IFERROR(SMALL(Scoring!$AI$29:$AI$361,264),"")</f>
        <v/>
      </c>
    </row>
    <row r="269" customFormat="false" ht="15" hidden="false" customHeight="false" outlineLevel="0" collapsed="false">
      <c r="A269" s="5" t="str">
        <f aca="false">IF($O269="","",INT($O269/1000))</f>
        <v/>
      </c>
      <c r="B269" s="6" t="str">
        <f aca="false">IF($O269="","",INDEX(Scoring!$A$29:$A$361,MATCH($O269,Scoring!$AI$29:$AI$361,0)))</f>
        <v/>
      </c>
      <c r="C269" s="5" t="str">
        <f aca="false">IF($O269="","",IF(INDEX(Scoring!$F$29:$F$361,MATCH($O269,Scoring!$AI$29:$AI$361,0))="","–",INDEX(Scoring!$F$29:$F$361,MATCH($O269,Scoring!$AI$29:$AI$361,0))))</f>
        <v/>
      </c>
      <c r="D269" s="6" t="str">
        <f aca="false">IF($O269="","",INDEX(Scoring!$E$29:$E$361,MATCH($O269,Scoring!$AI$29:$AI$361,0)))</f>
        <v/>
      </c>
      <c r="E269" s="7" t="str">
        <f aca="false">IF($O269="","",INDEX(Scoring!$G$29:$G$361,MATCH($O269,Scoring!$AI$29:$AI$361,0)))</f>
        <v/>
      </c>
      <c r="F269" s="6" t="str">
        <f aca="false">IF($O269="","",INDEX(Scoring!$B$29:$B$361,MATCH($O269,Scoring!$AI$29:$AI$361,0)))</f>
        <v/>
      </c>
      <c r="G269" s="7" t="str">
        <f aca="false">IF($O269="","",INDEX(Scoring!$C$29:$C$361,MATCH($O269,Scoring!$AI$29:$AI$361,0)))</f>
        <v/>
      </c>
      <c r="H269" s="7" t="str">
        <f aca="false">IF($O269="","",INDEX(Scoring!$D$29:$D$361,MATCH($O269,Scoring!$AI$29:$AI$361,0)))</f>
        <v/>
      </c>
      <c r="I269" s="6" t="str">
        <f aca="false">IF($O269="","",INDEX(Scoring!$R$29:$R$361,MATCH($O269,Scoring!$AI$29:$AI$361,0)))</f>
        <v/>
      </c>
      <c r="J269" s="7" t="str">
        <f aca="false">IF($O269="","",INDEX(Scoring!$S$29:$S$361,MATCH($O269,Scoring!$AI$29:$AI$361,0)))</f>
        <v/>
      </c>
      <c r="K269" s="8" t="str">
        <f aca="false">IF($O269="","",IF(INDEX(Scoring!$I$29:$I$361,MATCH($O269,Scoring!$AI$29:$AI$361,0))="",INDEX(Scoring!$AC$29:$AC$361,MATCH($O269,Scoring!$AI$29:$AI$361,0)),INDEX(Scoring!$I$29:$I$361,MATCH($O269,Scoring!$AI$29:$AI$361,0))))</f>
        <v/>
      </c>
      <c r="L269" s="9" t="str">
        <f aca="false">IF($O269="","",INDEX(Scoring!$M$29:$M$361,MATCH($O269,Scoring!$AI$29:$AI$361,0)))</f>
        <v/>
      </c>
      <c r="M269" s="9" t="str">
        <f aca="false">IF($O269="","",INDEX(Scoring!$O$29:$O$361,MATCH($O269,Scoring!$AI$29:$AI$361,0)))</f>
        <v/>
      </c>
      <c r="N269" s="7" t="str">
        <f aca="false">IF($O269="","",INDEX(Scoring!$Y$29:$Y$361,MATCH($O269,Scoring!$AI$29:$AI$361,0)))</f>
        <v/>
      </c>
      <c r="O269" s="10" t="str">
        <f aca="false">IFERROR(SMALL(Scoring!$AI$29:$AI$361,265),"")</f>
        <v/>
      </c>
    </row>
    <row r="270" customFormat="false" ht="15" hidden="false" customHeight="false" outlineLevel="0" collapsed="false">
      <c r="A270" s="5" t="str">
        <f aca="false">IF($O270="","",INT($O270/1000))</f>
        <v/>
      </c>
      <c r="B270" s="6" t="str">
        <f aca="false">IF($O270="","",INDEX(Scoring!$A$29:$A$361,MATCH($O270,Scoring!$AI$29:$AI$361,0)))</f>
        <v/>
      </c>
      <c r="C270" s="5" t="str">
        <f aca="false">IF($O270="","",IF(INDEX(Scoring!$F$29:$F$361,MATCH($O270,Scoring!$AI$29:$AI$361,0))="","–",INDEX(Scoring!$F$29:$F$361,MATCH($O270,Scoring!$AI$29:$AI$361,0))))</f>
        <v/>
      </c>
      <c r="D270" s="6" t="str">
        <f aca="false">IF($O270="","",INDEX(Scoring!$E$29:$E$361,MATCH($O270,Scoring!$AI$29:$AI$361,0)))</f>
        <v/>
      </c>
      <c r="E270" s="7" t="str">
        <f aca="false">IF($O270="","",INDEX(Scoring!$G$29:$G$361,MATCH($O270,Scoring!$AI$29:$AI$361,0)))</f>
        <v/>
      </c>
      <c r="F270" s="6" t="str">
        <f aca="false">IF($O270="","",INDEX(Scoring!$B$29:$B$361,MATCH($O270,Scoring!$AI$29:$AI$361,0)))</f>
        <v/>
      </c>
      <c r="G270" s="7" t="str">
        <f aca="false">IF($O270="","",INDEX(Scoring!$C$29:$C$361,MATCH($O270,Scoring!$AI$29:$AI$361,0)))</f>
        <v/>
      </c>
      <c r="H270" s="7" t="str">
        <f aca="false">IF($O270="","",INDEX(Scoring!$D$29:$D$361,MATCH($O270,Scoring!$AI$29:$AI$361,0)))</f>
        <v/>
      </c>
      <c r="I270" s="6" t="str">
        <f aca="false">IF($O270="","",INDEX(Scoring!$R$29:$R$361,MATCH($O270,Scoring!$AI$29:$AI$361,0)))</f>
        <v/>
      </c>
      <c r="J270" s="7" t="str">
        <f aca="false">IF($O270="","",INDEX(Scoring!$S$29:$S$361,MATCH($O270,Scoring!$AI$29:$AI$361,0)))</f>
        <v/>
      </c>
      <c r="K270" s="8" t="str">
        <f aca="false">IF($O270="","",IF(INDEX(Scoring!$I$29:$I$361,MATCH($O270,Scoring!$AI$29:$AI$361,0))="",INDEX(Scoring!$AC$29:$AC$361,MATCH($O270,Scoring!$AI$29:$AI$361,0)),INDEX(Scoring!$I$29:$I$361,MATCH($O270,Scoring!$AI$29:$AI$361,0))))</f>
        <v/>
      </c>
      <c r="L270" s="9" t="str">
        <f aca="false">IF($O270="","",INDEX(Scoring!$M$29:$M$361,MATCH($O270,Scoring!$AI$29:$AI$361,0)))</f>
        <v/>
      </c>
      <c r="M270" s="9" t="str">
        <f aca="false">IF($O270="","",INDEX(Scoring!$O$29:$O$361,MATCH($O270,Scoring!$AI$29:$AI$361,0)))</f>
        <v/>
      </c>
      <c r="N270" s="7" t="str">
        <f aca="false">IF($O270="","",INDEX(Scoring!$Y$29:$Y$361,MATCH($O270,Scoring!$AI$29:$AI$361,0)))</f>
        <v/>
      </c>
      <c r="O270" s="10" t="str">
        <f aca="false">IFERROR(SMALL(Scoring!$AI$29:$AI$361,266),"")</f>
        <v/>
      </c>
    </row>
    <row r="271" customFormat="false" ht="15" hidden="false" customHeight="false" outlineLevel="0" collapsed="false">
      <c r="A271" s="5" t="str">
        <f aca="false">IF($O271="","",INT($O271/1000))</f>
        <v/>
      </c>
      <c r="B271" s="6" t="str">
        <f aca="false">IF($O271="","",INDEX(Scoring!$A$29:$A$361,MATCH($O271,Scoring!$AI$29:$AI$361,0)))</f>
        <v/>
      </c>
      <c r="C271" s="5" t="str">
        <f aca="false">IF($O271="","",IF(INDEX(Scoring!$F$29:$F$361,MATCH($O271,Scoring!$AI$29:$AI$361,0))="","–",INDEX(Scoring!$F$29:$F$361,MATCH($O271,Scoring!$AI$29:$AI$361,0))))</f>
        <v/>
      </c>
      <c r="D271" s="6" t="str">
        <f aca="false">IF($O271="","",INDEX(Scoring!$E$29:$E$361,MATCH($O271,Scoring!$AI$29:$AI$361,0)))</f>
        <v/>
      </c>
      <c r="E271" s="7" t="str">
        <f aca="false">IF($O271="","",INDEX(Scoring!$G$29:$G$361,MATCH($O271,Scoring!$AI$29:$AI$361,0)))</f>
        <v/>
      </c>
      <c r="F271" s="6" t="str">
        <f aca="false">IF($O271="","",INDEX(Scoring!$B$29:$B$361,MATCH($O271,Scoring!$AI$29:$AI$361,0)))</f>
        <v/>
      </c>
      <c r="G271" s="7" t="str">
        <f aca="false">IF($O271="","",INDEX(Scoring!$C$29:$C$361,MATCH($O271,Scoring!$AI$29:$AI$361,0)))</f>
        <v/>
      </c>
      <c r="H271" s="7" t="str">
        <f aca="false">IF($O271="","",INDEX(Scoring!$D$29:$D$361,MATCH($O271,Scoring!$AI$29:$AI$361,0)))</f>
        <v/>
      </c>
      <c r="I271" s="6" t="str">
        <f aca="false">IF($O271="","",INDEX(Scoring!$R$29:$R$361,MATCH($O271,Scoring!$AI$29:$AI$361,0)))</f>
        <v/>
      </c>
      <c r="J271" s="7" t="str">
        <f aca="false">IF($O271="","",INDEX(Scoring!$S$29:$S$361,MATCH($O271,Scoring!$AI$29:$AI$361,0)))</f>
        <v/>
      </c>
      <c r="K271" s="8" t="str">
        <f aca="false">IF($O271="","",IF(INDEX(Scoring!$I$29:$I$361,MATCH($O271,Scoring!$AI$29:$AI$361,0))="",INDEX(Scoring!$AC$29:$AC$361,MATCH($O271,Scoring!$AI$29:$AI$361,0)),INDEX(Scoring!$I$29:$I$361,MATCH($O271,Scoring!$AI$29:$AI$361,0))))</f>
        <v/>
      </c>
      <c r="L271" s="9" t="str">
        <f aca="false">IF($O271="","",INDEX(Scoring!$M$29:$M$361,MATCH($O271,Scoring!$AI$29:$AI$361,0)))</f>
        <v/>
      </c>
      <c r="M271" s="9" t="str">
        <f aca="false">IF($O271="","",INDEX(Scoring!$O$29:$O$361,MATCH($O271,Scoring!$AI$29:$AI$361,0)))</f>
        <v/>
      </c>
      <c r="N271" s="7" t="str">
        <f aca="false">IF($O271="","",INDEX(Scoring!$Y$29:$Y$361,MATCH($O271,Scoring!$AI$29:$AI$361,0)))</f>
        <v/>
      </c>
      <c r="O271" s="10" t="str">
        <f aca="false">IFERROR(SMALL(Scoring!$AI$29:$AI$361,267),"")</f>
        <v/>
      </c>
    </row>
    <row r="272" customFormat="false" ht="15" hidden="false" customHeight="false" outlineLevel="0" collapsed="false">
      <c r="A272" s="5" t="str">
        <f aca="false">IF($O272="","",INT($O272/1000))</f>
        <v/>
      </c>
      <c r="B272" s="6" t="str">
        <f aca="false">IF($O272="","",INDEX(Scoring!$A$29:$A$361,MATCH($O272,Scoring!$AI$29:$AI$361,0)))</f>
        <v/>
      </c>
      <c r="C272" s="5" t="str">
        <f aca="false">IF($O272="","",IF(INDEX(Scoring!$F$29:$F$361,MATCH($O272,Scoring!$AI$29:$AI$361,0))="","–",INDEX(Scoring!$F$29:$F$361,MATCH($O272,Scoring!$AI$29:$AI$361,0))))</f>
        <v/>
      </c>
      <c r="D272" s="6" t="str">
        <f aca="false">IF($O272="","",INDEX(Scoring!$E$29:$E$361,MATCH($O272,Scoring!$AI$29:$AI$361,0)))</f>
        <v/>
      </c>
      <c r="E272" s="7" t="str">
        <f aca="false">IF($O272="","",INDEX(Scoring!$G$29:$G$361,MATCH($O272,Scoring!$AI$29:$AI$361,0)))</f>
        <v/>
      </c>
      <c r="F272" s="6" t="str">
        <f aca="false">IF($O272="","",INDEX(Scoring!$B$29:$B$361,MATCH($O272,Scoring!$AI$29:$AI$361,0)))</f>
        <v/>
      </c>
      <c r="G272" s="7" t="str">
        <f aca="false">IF($O272="","",INDEX(Scoring!$C$29:$C$361,MATCH($O272,Scoring!$AI$29:$AI$361,0)))</f>
        <v/>
      </c>
      <c r="H272" s="7" t="str">
        <f aca="false">IF($O272="","",INDEX(Scoring!$D$29:$D$361,MATCH($O272,Scoring!$AI$29:$AI$361,0)))</f>
        <v/>
      </c>
      <c r="I272" s="6" t="str">
        <f aca="false">IF($O272="","",INDEX(Scoring!$R$29:$R$361,MATCH($O272,Scoring!$AI$29:$AI$361,0)))</f>
        <v/>
      </c>
      <c r="J272" s="7" t="str">
        <f aca="false">IF($O272="","",INDEX(Scoring!$S$29:$S$361,MATCH($O272,Scoring!$AI$29:$AI$361,0)))</f>
        <v/>
      </c>
      <c r="K272" s="8" t="str">
        <f aca="false">IF($O272="","",IF(INDEX(Scoring!$I$29:$I$361,MATCH($O272,Scoring!$AI$29:$AI$361,0))="",INDEX(Scoring!$AC$29:$AC$361,MATCH($O272,Scoring!$AI$29:$AI$361,0)),INDEX(Scoring!$I$29:$I$361,MATCH($O272,Scoring!$AI$29:$AI$361,0))))</f>
        <v/>
      </c>
      <c r="L272" s="9" t="str">
        <f aca="false">IF($O272="","",INDEX(Scoring!$M$29:$M$361,MATCH($O272,Scoring!$AI$29:$AI$361,0)))</f>
        <v/>
      </c>
      <c r="M272" s="9" t="str">
        <f aca="false">IF($O272="","",INDEX(Scoring!$O$29:$O$361,MATCH($O272,Scoring!$AI$29:$AI$361,0)))</f>
        <v/>
      </c>
      <c r="N272" s="7" t="str">
        <f aca="false">IF($O272="","",INDEX(Scoring!$Y$29:$Y$361,MATCH($O272,Scoring!$AI$29:$AI$361,0)))</f>
        <v/>
      </c>
      <c r="O272" s="10" t="str">
        <f aca="false">IFERROR(SMALL(Scoring!$AI$29:$AI$361,268),"")</f>
        <v/>
      </c>
    </row>
    <row r="273" customFormat="false" ht="15" hidden="false" customHeight="false" outlineLevel="0" collapsed="false">
      <c r="A273" s="5" t="str">
        <f aca="false">IF($O273="","",INT($O273/1000))</f>
        <v/>
      </c>
      <c r="B273" s="6" t="str">
        <f aca="false">IF($O273="","",INDEX(Scoring!$A$29:$A$361,MATCH($O273,Scoring!$AI$29:$AI$361,0)))</f>
        <v/>
      </c>
      <c r="C273" s="5" t="str">
        <f aca="false">IF($O273="","",IF(INDEX(Scoring!$F$29:$F$361,MATCH($O273,Scoring!$AI$29:$AI$361,0))="","–",INDEX(Scoring!$F$29:$F$361,MATCH($O273,Scoring!$AI$29:$AI$361,0))))</f>
        <v/>
      </c>
      <c r="D273" s="6" t="str">
        <f aca="false">IF($O273="","",INDEX(Scoring!$E$29:$E$361,MATCH($O273,Scoring!$AI$29:$AI$361,0)))</f>
        <v/>
      </c>
      <c r="E273" s="7" t="str">
        <f aca="false">IF($O273="","",INDEX(Scoring!$G$29:$G$361,MATCH($O273,Scoring!$AI$29:$AI$361,0)))</f>
        <v/>
      </c>
      <c r="F273" s="6" t="str">
        <f aca="false">IF($O273="","",INDEX(Scoring!$B$29:$B$361,MATCH($O273,Scoring!$AI$29:$AI$361,0)))</f>
        <v/>
      </c>
      <c r="G273" s="7" t="str">
        <f aca="false">IF($O273="","",INDEX(Scoring!$C$29:$C$361,MATCH($O273,Scoring!$AI$29:$AI$361,0)))</f>
        <v/>
      </c>
      <c r="H273" s="7" t="str">
        <f aca="false">IF($O273="","",INDEX(Scoring!$D$29:$D$361,MATCH($O273,Scoring!$AI$29:$AI$361,0)))</f>
        <v/>
      </c>
      <c r="I273" s="6" t="str">
        <f aca="false">IF($O273="","",INDEX(Scoring!$R$29:$R$361,MATCH($O273,Scoring!$AI$29:$AI$361,0)))</f>
        <v/>
      </c>
      <c r="J273" s="7" t="str">
        <f aca="false">IF($O273="","",INDEX(Scoring!$S$29:$S$361,MATCH($O273,Scoring!$AI$29:$AI$361,0)))</f>
        <v/>
      </c>
      <c r="K273" s="8" t="str">
        <f aca="false">IF($O273="","",IF(INDEX(Scoring!$I$29:$I$361,MATCH($O273,Scoring!$AI$29:$AI$361,0))="",INDEX(Scoring!$AC$29:$AC$361,MATCH($O273,Scoring!$AI$29:$AI$361,0)),INDEX(Scoring!$I$29:$I$361,MATCH($O273,Scoring!$AI$29:$AI$361,0))))</f>
        <v/>
      </c>
      <c r="L273" s="9" t="str">
        <f aca="false">IF($O273="","",INDEX(Scoring!$M$29:$M$361,MATCH($O273,Scoring!$AI$29:$AI$361,0)))</f>
        <v/>
      </c>
      <c r="M273" s="9" t="str">
        <f aca="false">IF($O273="","",INDEX(Scoring!$O$29:$O$361,MATCH($O273,Scoring!$AI$29:$AI$361,0)))</f>
        <v/>
      </c>
      <c r="N273" s="7" t="str">
        <f aca="false">IF($O273="","",INDEX(Scoring!$Y$29:$Y$361,MATCH($O273,Scoring!$AI$29:$AI$361,0)))</f>
        <v/>
      </c>
      <c r="O273" s="10" t="str">
        <f aca="false">IFERROR(SMALL(Scoring!$AI$29:$AI$361,269),"")</f>
        <v/>
      </c>
    </row>
    <row r="274" customFormat="false" ht="15" hidden="false" customHeight="false" outlineLevel="0" collapsed="false">
      <c r="A274" s="5" t="str">
        <f aca="false">IF($O274="","",INT($O274/1000))</f>
        <v/>
      </c>
      <c r="B274" s="6" t="str">
        <f aca="false">IF($O274="","",INDEX(Scoring!$A$29:$A$361,MATCH($O274,Scoring!$AI$29:$AI$361,0)))</f>
        <v/>
      </c>
      <c r="C274" s="5" t="str">
        <f aca="false">IF($O274="","",IF(INDEX(Scoring!$F$29:$F$361,MATCH($O274,Scoring!$AI$29:$AI$361,0))="","–",INDEX(Scoring!$F$29:$F$361,MATCH($O274,Scoring!$AI$29:$AI$361,0))))</f>
        <v/>
      </c>
      <c r="D274" s="6" t="str">
        <f aca="false">IF($O274="","",INDEX(Scoring!$E$29:$E$361,MATCH($O274,Scoring!$AI$29:$AI$361,0)))</f>
        <v/>
      </c>
      <c r="E274" s="7" t="str">
        <f aca="false">IF($O274="","",INDEX(Scoring!$G$29:$G$361,MATCH($O274,Scoring!$AI$29:$AI$361,0)))</f>
        <v/>
      </c>
      <c r="F274" s="6" t="str">
        <f aca="false">IF($O274="","",INDEX(Scoring!$B$29:$B$361,MATCH($O274,Scoring!$AI$29:$AI$361,0)))</f>
        <v/>
      </c>
      <c r="G274" s="7" t="str">
        <f aca="false">IF($O274="","",INDEX(Scoring!$C$29:$C$361,MATCH($O274,Scoring!$AI$29:$AI$361,0)))</f>
        <v/>
      </c>
      <c r="H274" s="7" t="str">
        <f aca="false">IF($O274="","",INDEX(Scoring!$D$29:$D$361,MATCH($O274,Scoring!$AI$29:$AI$361,0)))</f>
        <v/>
      </c>
      <c r="I274" s="6" t="str">
        <f aca="false">IF($O274="","",INDEX(Scoring!$R$29:$R$361,MATCH($O274,Scoring!$AI$29:$AI$361,0)))</f>
        <v/>
      </c>
      <c r="J274" s="7" t="str">
        <f aca="false">IF($O274="","",INDEX(Scoring!$S$29:$S$361,MATCH($O274,Scoring!$AI$29:$AI$361,0)))</f>
        <v/>
      </c>
      <c r="K274" s="8" t="str">
        <f aca="false">IF($O274="","",IF(INDEX(Scoring!$I$29:$I$361,MATCH($O274,Scoring!$AI$29:$AI$361,0))="",INDEX(Scoring!$AC$29:$AC$361,MATCH($O274,Scoring!$AI$29:$AI$361,0)),INDEX(Scoring!$I$29:$I$361,MATCH($O274,Scoring!$AI$29:$AI$361,0))))</f>
        <v/>
      </c>
      <c r="L274" s="9" t="str">
        <f aca="false">IF($O274="","",INDEX(Scoring!$M$29:$M$361,MATCH($O274,Scoring!$AI$29:$AI$361,0)))</f>
        <v/>
      </c>
      <c r="M274" s="9" t="str">
        <f aca="false">IF($O274="","",INDEX(Scoring!$O$29:$O$361,MATCH($O274,Scoring!$AI$29:$AI$361,0)))</f>
        <v/>
      </c>
      <c r="N274" s="7" t="str">
        <f aca="false">IF($O274="","",INDEX(Scoring!$Y$29:$Y$361,MATCH($O274,Scoring!$AI$29:$AI$361,0)))</f>
        <v/>
      </c>
      <c r="O274" s="10" t="str">
        <f aca="false">IFERROR(SMALL(Scoring!$AI$29:$AI$361,270),"")</f>
        <v/>
      </c>
    </row>
    <row r="275" customFormat="false" ht="15" hidden="false" customHeight="false" outlineLevel="0" collapsed="false">
      <c r="A275" s="5" t="str">
        <f aca="false">IF($O275="","",INT($O275/1000))</f>
        <v/>
      </c>
      <c r="B275" s="6" t="str">
        <f aca="false">IF($O275="","",INDEX(Scoring!$A$29:$A$361,MATCH($O275,Scoring!$AI$29:$AI$361,0)))</f>
        <v/>
      </c>
      <c r="C275" s="5" t="str">
        <f aca="false">IF($O275="","",IF(INDEX(Scoring!$F$29:$F$361,MATCH($O275,Scoring!$AI$29:$AI$361,0))="","–",INDEX(Scoring!$F$29:$F$361,MATCH($O275,Scoring!$AI$29:$AI$361,0))))</f>
        <v/>
      </c>
      <c r="D275" s="6" t="str">
        <f aca="false">IF($O275="","",INDEX(Scoring!$E$29:$E$361,MATCH($O275,Scoring!$AI$29:$AI$361,0)))</f>
        <v/>
      </c>
      <c r="E275" s="7" t="str">
        <f aca="false">IF($O275="","",INDEX(Scoring!$G$29:$G$361,MATCH($O275,Scoring!$AI$29:$AI$361,0)))</f>
        <v/>
      </c>
      <c r="F275" s="6" t="str">
        <f aca="false">IF($O275="","",INDEX(Scoring!$B$29:$B$361,MATCH($O275,Scoring!$AI$29:$AI$361,0)))</f>
        <v/>
      </c>
      <c r="G275" s="7" t="str">
        <f aca="false">IF($O275="","",INDEX(Scoring!$C$29:$C$361,MATCH($O275,Scoring!$AI$29:$AI$361,0)))</f>
        <v/>
      </c>
      <c r="H275" s="7" t="str">
        <f aca="false">IF($O275="","",INDEX(Scoring!$D$29:$D$361,MATCH($O275,Scoring!$AI$29:$AI$361,0)))</f>
        <v/>
      </c>
      <c r="I275" s="6" t="str">
        <f aca="false">IF($O275="","",INDEX(Scoring!$R$29:$R$361,MATCH($O275,Scoring!$AI$29:$AI$361,0)))</f>
        <v/>
      </c>
      <c r="J275" s="7" t="str">
        <f aca="false">IF($O275="","",INDEX(Scoring!$S$29:$S$361,MATCH($O275,Scoring!$AI$29:$AI$361,0)))</f>
        <v/>
      </c>
      <c r="K275" s="8" t="str">
        <f aca="false">IF($O275="","",IF(INDEX(Scoring!$I$29:$I$361,MATCH($O275,Scoring!$AI$29:$AI$361,0))="",INDEX(Scoring!$AC$29:$AC$361,MATCH($O275,Scoring!$AI$29:$AI$361,0)),INDEX(Scoring!$I$29:$I$361,MATCH($O275,Scoring!$AI$29:$AI$361,0))))</f>
        <v/>
      </c>
      <c r="L275" s="9" t="str">
        <f aca="false">IF($O275="","",INDEX(Scoring!$M$29:$M$361,MATCH($O275,Scoring!$AI$29:$AI$361,0)))</f>
        <v/>
      </c>
      <c r="M275" s="9" t="str">
        <f aca="false">IF($O275="","",INDEX(Scoring!$O$29:$O$361,MATCH($O275,Scoring!$AI$29:$AI$361,0)))</f>
        <v/>
      </c>
      <c r="N275" s="7" t="str">
        <f aca="false">IF($O275="","",INDEX(Scoring!$Y$29:$Y$361,MATCH($O275,Scoring!$AI$29:$AI$361,0)))</f>
        <v/>
      </c>
      <c r="O275" s="10" t="str">
        <f aca="false">IFERROR(SMALL(Scoring!$AI$29:$AI$361,271),"")</f>
        <v/>
      </c>
    </row>
    <row r="276" customFormat="false" ht="15" hidden="false" customHeight="false" outlineLevel="0" collapsed="false">
      <c r="A276" s="5" t="str">
        <f aca="false">IF($O276="","",INT($O276/1000))</f>
        <v/>
      </c>
      <c r="B276" s="6" t="str">
        <f aca="false">IF($O276="","",INDEX(Scoring!$A$29:$A$361,MATCH($O276,Scoring!$AI$29:$AI$361,0)))</f>
        <v/>
      </c>
      <c r="C276" s="5" t="str">
        <f aca="false">IF($O276="","",IF(INDEX(Scoring!$F$29:$F$361,MATCH($O276,Scoring!$AI$29:$AI$361,0))="","–",INDEX(Scoring!$F$29:$F$361,MATCH($O276,Scoring!$AI$29:$AI$361,0))))</f>
        <v/>
      </c>
      <c r="D276" s="6" t="str">
        <f aca="false">IF($O276="","",INDEX(Scoring!$E$29:$E$361,MATCH($O276,Scoring!$AI$29:$AI$361,0)))</f>
        <v/>
      </c>
      <c r="E276" s="7" t="str">
        <f aca="false">IF($O276="","",INDEX(Scoring!$G$29:$G$361,MATCH($O276,Scoring!$AI$29:$AI$361,0)))</f>
        <v/>
      </c>
      <c r="F276" s="6" t="str">
        <f aca="false">IF($O276="","",INDEX(Scoring!$B$29:$B$361,MATCH($O276,Scoring!$AI$29:$AI$361,0)))</f>
        <v/>
      </c>
      <c r="G276" s="7" t="str">
        <f aca="false">IF($O276="","",INDEX(Scoring!$C$29:$C$361,MATCH($O276,Scoring!$AI$29:$AI$361,0)))</f>
        <v/>
      </c>
      <c r="H276" s="7" t="str">
        <f aca="false">IF($O276="","",INDEX(Scoring!$D$29:$D$361,MATCH($O276,Scoring!$AI$29:$AI$361,0)))</f>
        <v/>
      </c>
      <c r="I276" s="6" t="str">
        <f aca="false">IF($O276="","",INDEX(Scoring!$R$29:$R$361,MATCH($O276,Scoring!$AI$29:$AI$361,0)))</f>
        <v/>
      </c>
      <c r="J276" s="7" t="str">
        <f aca="false">IF($O276="","",INDEX(Scoring!$S$29:$S$361,MATCH($O276,Scoring!$AI$29:$AI$361,0)))</f>
        <v/>
      </c>
      <c r="K276" s="8" t="str">
        <f aca="false">IF($O276="","",IF(INDEX(Scoring!$I$29:$I$361,MATCH($O276,Scoring!$AI$29:$AI$361,0))="",INDEX(Scoring!$AC$29:$AC$361,MATCH($O276,Scoring!$AI$29:$AI$361,0)),INDEX(Scoring!$I$29:$I$361,MATCH($O276,Scoring!$AI$29:$AI$361,0))))</f>
        <v/>
      </c>
      <c r="L276" s="9" t="str">
        <f aca="false">IF($O276="","",INDEX(Scoring!$M$29:$M$361,MATCH($O276,Scoring!$AI$29:$AI$361,0)))</f>
        <v/>
      </c>
      <c r="M276" s="9" t="str">
        <f aca="false">IF($O276="","",INDEX(Scoring!$O$29:$O$361,MATCH($O276,Scoring!$AI$29:$AI$361,0)))</f>
        <v/>
      </c>
      <c r="N276" s="7" t="str">
        <f aca="false">IF($O276="","",INDEX(Scoring!$Y$29:$Y$361,MATCH($O276,Scoring!$AI$29:$AI$361,0)))</f>
        <v/>
      </c>
      <c r="O276" s="10" t="str">
        <f aca="false">IFERROR(SMALL(Scoring!$AI$29:$AI$361,272),"")</f>
        <v/>
      </c>
    </row>
    <row r="277" customFormat="false" ht="15" hidden="false" customHeight="false" outlineLevel="0" collapsed="false">
      <c r="A277" s="5" t="str">
        <f aca="false">IF($O277="","",INT($O277/1000))</f>
        <v/>
      </c>
      <c r="B277" s="6" t="str">
        <f aca="false">IF($O277="","",INDEX(Scoring!$A$29:$A$361,MATCH($O277,Scoring!$AI$29:$AI$361,0)))</f>
        <v/>
      </c>
      <c r="C277" s="5" t="str">
        <f aca="false">IF($O277="","",IF(INDEX(Scoring!$F$29:$F$361,MATCH($O277,Scoring!$AI$29:$AI$361,0))="","–",INDEX(Scoring!$F$29:$F$361,MATCH($O277,Scoring!$AI$29:$AI$361,0))))</f>
        <v/>
      </c>
      <c r="D277" s="6" t="str">
        <f aca="false">IF($O277="","",INDEX(Scoring!$E$29:$E$361,MATCH($O277,Scoring!$AI$29:$AI$361,0)))</f>
        <v/>
      </c>
      <c r="E277" s="7" t="str">
        <f aca="false">IF($O277="","",INDEX(Scoring!$G$29:$G$361,MATCH($O277,Scoring!$AI$29:$AI$361,0)))</f>
        <v/>
      </c>
      <c r="F277" s="6" t="str">
        <f aca="false">IF($O277="","",INDEX(Scoring!$B$29:$B$361,MATCH($O277,Scoring!$AI$29:$AI$361,0)))</f>
        <v/>
      </c>
      <c r="G277" s="7" t="str">
        <f aca="false">IF($O277="","",INDEX(Scoring!$C$29:$C$361,MATCH($O277,Scoring!$AI$29:$AI$361,0)))</f>
        <v/>
      </c>
      <c r="H277" s="7" t="str">
        <f aca="false">IF($O277="","",INDEX(Scoring!$D$29:$D$361,MATCH($O277,Scoring!$AI$29:$AI$361,0)))</f>
        <v/>
      </c>
      <c r="I277" s="6" t="str">
        <f aca="false">IF($O277="","",INDEX(Scoring!$R$29:$R$361,MATCH($O277,Scoring!$AI$29:$AI$361,0)))</f>
        <v/>
      </c>
      <c r="J277" s="7" t="str">
        <f aca="false">IF($O277="","",INDEX(Scoring!$S$29:$S$361,MATCH($O277,Scoring!$AI$29:$AI$361,0)))</f>
        <v/>
      </c>
      <c r="K277" s="8" t="str">
        <f aca="false">IF($O277="","",IF(INDEX(Scoring!$I$29:$I$361,MATCH($O277,Scoring!$AI$29:$AI$361,0))="",INDEX(Scoring!$AC$29:$AC$361,MATCH($O277,Scoring!$AI$29:$AI$361,0)),INDEX(Scoring!$I$29:$I$361,MATCH($O277,Scoring!$AI$29:$AI$361,0))))</f>
        <v/>
      </c>
      <c r="L277" s="9" t="str">
        <f aca="false">IF($O277="","",INDEX(Scoring!$M$29:$M$361,MATCH($O277,Scoring!$AI$29:$AI$361,0)))</f>
        <v/>
      </c>
      <c r="M277" s="9" t="str">
        <f aca="false">IF($O277="","",INDEX(Scoring!$O$29:$O$361,MATCH($O277,Scoring!$AI$29:$AI$361,0)))</f>
        <v/>
      </c>
      <c r="N277" s="7" t="str">
        <f aca="false">IF($O277="","",INDEX(Scoring!$Y$29:$Y$361,MATCH($O277,Scoring!$AI$29:$AI$361,0)))</f>
        <v/>
      </c>
      <c r="O277" s="10" t="str">
        <f aca="false">IFERROR(SMALL(Scoring!$AI$29:$AI$361,273),"")</f>
        <v/>
      </c>
    </row>
    <row r="278" customFormat="false" ht="15" hidden="false" customHeight="false" outlineLevel="0" collapsed="false">
      <c r="A278" s="5" t="str">
        <f aca="false">IF($O278="","",INT($O278/1000))</f>
        <v/>
      </c>
      <c r="B278" s="6" t="str">
        <f aca="false">IF($O278="","",INDEX(Scoring!$A$29:$A$361,MATCH($O278,Scoring!$AI$29:$AI$361,0)))</f>
        <v/>
      </c>
      <c r="C278" s="5" t="str">
        <f aca="false">IF($O278="","",IF(INDEX(Scoring!$F$29:$F$361,MATCH($O278,Scoring!$AI$29:$AI$361,0))="","–",INDEX(Scoring!$F$29:$F$361,MATCH($O278,Scoring!$AI$29:$AI$361,0))))</f>
        <v/>
      </c>
      <c r="D278" s="6" t="str">
        <f aca="false">IF($O278="","",INDEX(Scoring!$E$29:$E$361,MATCH($O278,Scoring!$AI$29:$AI$361,0)))</f>
        <v/>
      </c>
      <c r="E278" s="7" t="str">
        <f aca="false">IF($O278="","",INDEX(Scoring!$G$29:$G$361,MATCH($O278,Scoring!$AI$29:$AI$361,0)))</f>
        <v/>
      </c>
      <c r="F278" s="6" t="str">
        <f aca="false">IF($O278="","",INDEX(Scoring!$B$29:$B$361,MATCH($O278,Scoring!$AI$29:$AI$361,0)))</f>
        <v/>
      </c>
      <c r="G278" s="7" t="str">
        <f aca="false">IF($O278="","",INDEX(Scoring!$C$29:$C$361,MATCH($O278,Scoring!$AI$29:$AI$361,0)))</f>
        <v/>
      </c>
      <c r="H278" s="7" t="str">
        <f aca="false">IF($O278="","",INDEX(Scoring!$D$29:$D$361,MATCH($O278,Scoring!$AI$29:$AI$361,0)))</f>
        <v/>
      </c>
      <c r="I278" s="6" t="str">
        <f aca="false">IF($O278="","",INDEX(Scoring!$R$29:$R$361,MATCH($O278,Scoring!$AI$29:$AI$361,0)))</f>
        <v/>
      </c>
      <c r="J278" s="7" t="str">
        <f aca="false">IF($O278="","",INDEX(Scoring!$S$29:$S$361,MATCH($O278,Scoring!$AI$29:$AI$361,0)))</f>
        <v/>
      </c>
      <c r="K278" s="8" t="str">
        <f aca="false">IF($O278="","",IF(INDEX(Scoring!$I$29:$I$361,MATCH($O278,Scoring!$AI$29:$AI$361,0))="",INDEX(Scoring!$AC$29:$AC$361,MATCH($O278,Scoring!$AI$29:$AI$361,0)),INDEX(Scoring!$I$29:$I$361,MATCH($O278,Scoring!$AI$29:$AI$361,0))))</f>
        <v/>
      </c>
      <c r="L278" s="9" t="str">
        <f aca="false">IF($O278="","",INDEX(Scoring!$M$29:$M$361,MATCH($O278,Scoring!$AI$29:$AI$361,0)))</f>
        <v/>
      </c>
      <c r="M278" s="9" t="str">
        <f aca="false">IF($O278="","",INDEX(Scoring!$O$29:$O$361,MATCH($O278,Scoring!$AI$29:$AI$361,0)))</f>
        <v/>
      </c>
      <c r="N278" s="7" t="str">
        <f aca="false">IF($O278="","",INDEX(Scoring!$Y$29:$Y$361,MATCH($O278,Scoring!$AI$29:$AI$361,0)))</f>
        <v/>
      </c>
      <c r="O278" s="10" t="str">
        <f aca="false">IFERROR(SMALL(Scoring!$AI$29:$AI$361,274),"")</f>
        <v/>
      </c>
    </row>
    <row r="279" customFormat="false" ht="15" hidden="false" customHeight="false" outlineLevel="0" collapsed="false">
      <c r="A279" s="5" t="str">
        <f aca="false">IF($O279="","",INT($O279/1000))</f>
        <v/>
      </c>
      <c r="B279" s="6" t="str">
        <f aca="false">IF($O279="","",INDEX(Scoring!$A$29:$A$361,MATCH($O279,Scoring!$AI$29:$AI$361,0)))</f>
        <v/>
      </c>
      <c r="C279" s="5" t="str">
        <f aca="false">IF($O279="","",IF(INDEX(Scoring!$F$29:$F$361,MATCH($O279,Scoring!$AI$29:$AI$361,0))="","–",INDEX(Scoring!$F$29:$F$361,MATCH($O279,Scoring!$AI$29:$AI$361,0))))</f>
        <v/>
      </c>
      <c r="D279" s="6" t="str">
        <f aca="false">IF($O279="","",INDEX(Scoring!$E$29:$E$361,MATCH($O279,Scoring!$AI$29:$AI$361,0)))</f>
        <v/>
      </c>
      <c r="E279" s="7" t="str">
        <f aca="false">IF($O279="","",INDEX(Scoring!$G$29:$G$361,MATCH($O279,Scoring!$AI$29:$AI$361,0)))</f>
        <v/>
      </c>
      <c r="F279" s="6" t="str">
        <f aca="false">IF($O279="","",INDEX(Scoring!$B$29:$B$361,MATCH($O279,Scoring!$AI$29:$AI$361,0)))</f>
        <v/>
      </c>
      <c r="G279" s="7" t="str">
        <f aca="false">IF($O279="","",INDEX(Scoring!$C$29:$C$361,MATCH($O279,Scoring!$AI$29:$AI$361,0)))</f>
        <v/>
      </c>
      <c r="H279" s="7" t="str">
        <f aca="false">IF($O279="","",INDEX(Scoring!$D$29:$D$361,MATCH($O279,Scoring!$AI$29:$AI$361,0)))</f>
        <v/>
      </c>
      <c r="I279" s="6" t="str">
        <f aca="false">IF($O279="","",INDEX(Scoring!$R$29:$R$361,MATCH($O279,Scoring!$AI$29:$AI$361,0)))</f>
        <v/>
      </c>
      <c r="J279" s="7" t="str">
        <f aca="false">IF($O279="","",INDEX(Scoring!$S$29:$S$361,MATCH($O279,Scoring!$AI$29:$AI$361,0)))</f>
        <v/>
      </c>
      <c r="K279" s="8" t="str">
        <f aca="false">IF($O279="","",IF(INDEX(Scoring!$I$29:$I$361,MATCH($O279,Scoring!$AI$29:$AI$361,0))="",INDEX(Scoring!$AC$29:$AC$361,MATCH($O279,Scoring!$AI$29:$AI$361,0)),INDEX(Scoring!$I$29:$I$361,MATCH($O279,Scoring!$AI$29:$AI$361,0))))</f>
        <v/>
      </c>
      <c r="L279" s="9" t="str">
        <f aca="false">IF($O279="","",INDEX(Scoring!$M$29:$M$361,MATCH($O279,Scoring!$AI$29:$AI$361,0)))</f>
        <v/>
      </c>
      <c r="M279" s="9" t="str">
        <f aca="false">IF($O279="","",INDEX(Scoring!$O$29:$O$361,MATCH($O279,Scoring!$AI$29:$AI$361,0)))</f>
        <v/>
      </c>
      <c r="N279" s="7" t="str">
        <f aca="false">IF($O279="","",INDEX(Scoring!$Y$29:$Y$361,MATCH($O279,Scoring!$AI$29:$AI$361,0)))</f>
        <v/>
      </c>
      <c r="O279" s="10" t="str">
        <f aca="false">IFERROR(SMALL(Scoring!$AI$29:$AI$361,275),"")</f>
        <v/>
      </c>
    </row>
    <row r="280" customFormat="false" ht="15" hidden="false" customHeight="false" outlineLevel="0" collapsed="false">
      <c r="A280" s="5" t="str">
        <f aca="false">IF($O280="","",INT($O280/1000))</f>
        <v/>
      </c>
      <c r="B280" s="6" t="str">
        <f aca="false">IF($O280="","",INDEX(Scoring!$A$29:$A$361,MATCH($O280,Scoring!$AI$29:$AI$361,0)))</f>
        <v/>
      </c>
      <c r="C280" s="5" t="str">
        <f aca="false">IF($O280="","",IF(INDEX(Scoring!$F$29:$F$361,MATCH($O280,Scoring!$AI$29:$AI$361,0))="","–",INDEX(Scoring!$F$29:$F$361,MATCH($O280,Scoring!$AI$29:$AI$361,0))))</f>
        <v/>
      </c>
      <c r="D280" s="6" t="str">
        <f aca="false">IF($O280="","",INDEX(Scoring!$E$29:$E$361,MATCH($O280,Scoring!$AI$29:$AI$361,0)))</f>
        <v/>
      </c>
      <c r="E280" s="7" t="str">
        <f aca="false">IF($O280="","",INDEX(Scoring!$G$29:$G$361,MATCH($O280,Scoring!$AI$29:$AI$361,0)))</f>
        <v/>
      </c>
      <c r="F280" s="6" t="str">
        <f aca="false">IF($O280="","",INDEX(Scoring!$B$29:$B$361,MATCH($O280,Scoring!$AI$29:$AI$361,0)))</f>
        <v/>
      </c>
      <c r="G280" s="7" t="str">
        <f aca="false">IF($O280="","",INDEX(Scoring!$C$29:$C$361,MATCH($O280,Scoring!$AI$29:$AI$361,0)))</f>
        <v/>
      </c>
      <c r="H280" s="7" t="str">
        <f aca="false">IF($O280="","",INDEX(Scoring!$D$29:$D$361,MATCH($O280,Scoring!$AI$29:$AI$361,0)))</f>
        <v/>
      </c>
      <c r="I280" s="6" t="str">
        <f aca="false">IF($O280="","",INDEX(Scoring!$R$29:$R$361,MATCH($O280,Scoring!$AI$29:$AI$361,0)))</f>
        <v/>
      </c>
      <c r="J280" s="7" t="str">
        <f aca="false">IF($O280="","",INDEX(Scoring!$S$29:$S$361,MATCH($O280,Scoring!$AI$29:$AI$361,0)))</f>
        <v/>
      </c>
      <c r="K280" s="8" t="str">
        <f aca="false">IF($O280="","",IF(INDEX(Scoring!$I$29:$I$361,MATCH($O280,Scoring!$AI$29:$AI$361,0))="",INDEX(Scoring!$AC$29:$AC$361,MATCH($O280,Scoring!$AI$29:$AI$361,0)),INDEX(Scoring!$I$29:$I$361,MATCH($O280,Scoring!$AI$29:$AI$361,0))))</f>
        <v/>
      </c>
      <c r="L280" s="9" t="str">
        <f aca="false">IF($O280="","",INDEX(Scoring!$M$29:$M$361,MATCH($O280,Scoring!$AI$29:$AI$361,0)))</f>
        <v/>
      </c>
      <c r="M280" s="9" t="str">
        <f aca="false">IF($O280="","",INDEX(Scoring!$O$29:$O$361,MATCH($O280,Scoring!$AI$29:$AI$361,0)))</f>
        <v/>
      </c>
      <c r="N280" s="7" t="str">
        <f aca="false">IF($O280="","",INDEX(Scoring!$Y$29:$Y$361,MATCH($O280,Scoring!$AI$29:$AI$361,0)))</f>
        <v/>
      </c>
      <c r="O280" s="10" t="str">
        <f aca="false">IFERROR(SMALL(Scoring!$AI$29:$AI$361,276),"")</f>
        <v/>
      </c>
    </row>
    <row r="281" customFormat="false" ht="15" hidden="false" customHeight="false" outlineLevel="0" collapsed="false">
      <c r="A281" s="5" t="str">
        <f aca="false">IF($O281="","",INT($O281/1000))</f>
        <v/>
      </c>
      <c r="B281" s="6" t="str">
        <f aca="false">IF($O281="","",INDEX(Scoring!$A$29:$A$361,MATCH($O281,Scoring!$AI$29:$AI$361,0)))</f>
        <v/>
      </c>
      <c r="C281" s="5" t="str">
        <f aca="false">IF($O281="","",IF(INDEX(Scoring!$F$29:$F$361,MATCH($O281,Scoring!$AI$29:$AI$361,0))="","–",INDEX(Scoring!$F$29:$F$361,MATCH($O281,Scoring!$AI$29:$AI$361,0))))</f>
        <v/>
      </c>
      <c r="D281" s="6" t="str">
        <f aca="false">IF($O281="","",INDEX(Scoring!$E$29:$E$361,MATCH($O281,Scoring!$AI$29:$AI$361,0)))</f>
        <v/>
      </c>
      <c r="E281" s="7" t="str">
        <f aca="false">IF($O281="","",INDEX(Scoring!$G$29:$G$361,MATCH($O281,Scoring!$AI$29:$AI$361,0)))</f>
        <v/>
      </c>
      <c r="F281" s="6" t="str">
        <f aca="false">IF($O281="","",INDEX(Scoring!$B$29:$B$361,MATCH($O281,Scoring!$AI$29:$AI$361,0)))</f>
        <v/>
      </c>
      <c r="G281" s="7" t="str">
        <f aca="false">IF($O281="","",INDEX(Scoring!$C$29:$C$361,MATCH($O281,Scoring!$AI$29:$AI$361,0)))</f>
        <v/>
      </c>
      <c r="H281" s="7" t="str">
        <f aca="false">IF($O281="","",INDEX(Scoring!$D$29:$D$361,MATCH($O281,Scoring!$AI$29:$AI$361,0)))</f>
        <v/>
      </c>
      <c r="I281" s="6" t="str">
        <f aca="false">IF($O281="","",INDEX(Scoring!$R$29:$R$361,MATCH($O281,Scoring!$AI$29:$AI$361,0)))</f>
        <v/>
      </c>
      <c r="J281" s="7" t="str">
        <f aca="false">IF($O281="","",INDEX(Scoring!$S$29:$S$361,MATCH($O281,Scoring!$AI$29:$AI$361,0)))</f>
        <v/>
      </c>
      <c r="K281" s="8" t="str">
        <f aca="false">IF($O281="","",IF(INDEX(Scoring!$I$29:$I$361,MATCH($O281,Scoring!$AI$29:$AI$361,0))="",INDEX(Scoring!$AC$29:$AC$361,MATCH($O281,Scoring!$AI$29:$AI$361,0)),INDEX(Scoring!$I$29:$I$361,MATCH($O281,Scoring!$AI$29:$AI$361,0))))</f>
        <v/>
      </c>
      <c r="L281" s="9" t="str">
        <f aca="false">IF($O281="","",INDEX(Scoring!$M$29:$M$361,MATCH($O281,Scoring!$AI$29:$AI$361,0)))</f>
        <v/>
      </c>
      <c r="M281" s="9" t="str">
        <f aca="false">IF($O281="","",INDEX(Scoring!$O$29:$O$361,MATCH($O281,Scoring!$AI$29:$AI$361,0)))</f>
        <v/>
      </c>
      <c r="N281" s="7" t="str">
        <f aca="false">IF($O281="","",INDEX(Scoring!$Y$29:$Y$361,MATCH($O281,Scoring!$AI$29:$AI$361,0)))</f>
        <v/>
      </c>
      <c r="O281" s="10" t="str">
        <f aca="false">IFERROR(SMALL(Scoring!$AI$29:$AI$361,277),"")</f>
        <v/>
      </c>
    </row>
    <row r="282" customFormat="false" ht="15" hidden="false" customHeight="false" outlineLevel="0" collapsed="false">
      <c r="A282" s="5" t="str">
        <f aca="false">IF($O282="","",INT($O282/1000))</f>
        <v/>
      </c>
      <c r="B282" s="6" t="str">
        <f aca="false">IF($O282="","",INDEX(Scoring!$A$29:$A$361,MATCH($O282,Scoring!$AI$29:$AI$361,0)))</f>
        <v/>
      </c>
      <c r="C282" s="5" t="str">
        <f aca="false">IF($O282="","",IF(INDEX(Scoring!$F$29:$F$361,MATCH($O282,Scoring!$AI$29:$AI$361,0))="","–",INDEX(Scoring!$F$29:$F$361,MATCH($O282,Scoring!$AI$29:$AI$361,0))))</f>
        <v/>
      </c>
      <c r="D282" s="6" t="str">
        <f aca="false">IF($O282="","",INDEX(Scoring!$E$29:$E$361,MATCH($O282,Scoring!$AI$29:$AI$361,0)))</f>
        <v/>
      </c>
      <c r="E282" s="7" t="str">
        <f aca="false">IF($O282="","",INDEX(Scoring!$G$29:$G$361,MATCH($O282,Scoring!$AI$29:$AI$361,0)))</f>
        <v/>
      </c>
      <c r="F282" s="6" t="str">
        <f aca="false">IF($O282="","",INDEX(Scoring!$B$29:$B$361,MATCH($O282,Scoring!$AI$29:$AI$361,0)))</f>
        <v/>
      </c>
      <c r="G282" s="7" t="str">
        <f aca="false">IF($O282="","",INDEX(Scoring!$C$29:$C$361,MATCH($O282,Scoring!$AI$29:$AI$361,0)))</f>
        <v/>
      </c>
      <c r="H282" s="7" t="str">
        <f aca="false">IF($O282="","",INDEX(Scoring!$D$29:$D$361,MATCH($O282,Scoring!$AI$29:$AI$361,0)))</f>
        <v/>
      </c>
      <c r="I282" s="6" t="str">
        <f aca="false">IF($O282="","",INDEX(Scoring!$R$29:$R$361,MATCH($O282,Scoring!$AI$29:$AI$361,0)))</f>
        <v/>
      </c>
      <c r="J282" s="7" t="str">
        <f aca="false">IF($O282="","",INDEX(Scoring!$S$29:$S$361,MATCH($O282,Scoring!$AI$29:$AI$361,0)))</f>
        <v/>
      </c>
      <c r="K282" s="8" t="str">
        <f aca="false">IF($O282="","",IF(INDEX(Scoring!$I$29:$I$361,MATCH($O282,Scoring!$AI$29:$AI$361,0))="",INDEX(Scoring!$AC$29:$AC$361,MATCH($O282,Scoring!$AI$29:$AI$361,0)),INDEX(Scoring!$I$29:$I$361,MATCH($O282,Scoring!$AI$29:$AI$361,0))))</f>
        <v/>
      </c>
      <c r="L282" s="9" t="str">
        <f aca="false">IF($O282="","",INDEX(Scoring!$M$29:$M$361,MATCH($O282,Scoring!$AI$29:$AI$361,0)))</f>
        <v/>
      </c>
      <c r="M282" s="9" t="str">
        <f aca="false">IF($O282="","",INDEX(Scoring!$O$29:$O$361,MATCH($O282,Scoring!$AI$29:$AI$361,0)))</f>
        <v/>
      </c>
      <c r="N282" s="7" t="str">
        <f aca="false">IF($O282="","",INDEX(Scoring!$Y$29:$Y$361,MATCH($O282,Scoring!$AI$29:$AI$361,0)))</f>
        <v/>
      </c>
      <c r="O282" s="10" t="str">
        <f aca="false">IFERROR(SMALL(Scoring!$AI$29:$AI$361,278),"")</f>
        <v/>
      </c>
    </row>
    <row r="283" customFormat="false" ht="15" hidden="false" customHeight="false" outlineLevel="0" collapsed="false">
      <c r="A283" s="5" t="str">
        <f aca="false">IF($O283="","",INT($O283/1000))</f>
        <v/>
      </c>
      <c r="B283" s="6" t="str">
        <f aca="false">IF($O283="","",INDEX(Scoring!$A$29:$A$361,MATCH($O283,Scoring!$AI$29:$AI$361,0)))</f>
        <v/>
      </c>
      <c r="C283" s="5" t="str">
        <f aca="false">IF($O283="","",IF(INDEX(Scoring!$F$29:$F$361,MATCH($O283,Scoring!$AI$29:$AI$361,0))="","–",INDEX(Scoring!$F$29:$F$361,MATCH($O283,Scoring!$AI$29:$AI$361,0))))</f>
        <v/>
      </c>
      <c r="D283" s="6" t="str">
        <f aca="false">IF($O283="","",INDEX(Scoring!$E$29:$E$361,MATCH($O283,Scoring!$AI$29:$AI$361,0)))</f>
        <v/>
      </c>
      <c r="E283" s="7" t="str">
        <f aca="false">IF($O283="","",INDEX(Scoring!$G$29:$G$361,MATCH($O283,Scoring!$AI$29:$AI$361,0)))</f>
        <v/>
      </c>
      <c r="F283" s="6" t="str">
        <f aca="false">IF($O283="","",INDEX(Scoring!$B$29:$B$361,MATCH($O283,Scoring!$AI$29:$AI$361,0)))</f>
        <v/>
      </c>
      <c r="G283" s="7" t="str">
        <f aca="false">IF($O283="","",INDEX(Scoring!$C$29:$C$361,MATCH($O283,Scoring!$AI$29:$AI$361,0)))</f>
        <v/>
      </c>
      <c r="H283" s="7" t="str">
        <f aca="false">IF($O283="","",INDEX(Scoring!$D$29:$D$361,MATCH($O283,Scoring!$AI$29:$AI$361,0)))</f>
        <v/>
      </c>
      <c r="I283" s="6" t="str">
        <f aca="false">IF($O283="","",INDEX(Scoring!$R$29:$R$361,MATCH($O283,Scoring!$AI$29:$AI$361,0)))</f>
        <v/>
      </c>
      <c r="J283" s="7" t="str">
        <f aca="false">IF($O283="","",INDEX(Scoring!$S$29:$S$361,MATCH($O283,Scoring!$AI$29:$AI$361,0)))</f>
        <v/>
      </c>
      <c r="K283" s="8" t="str">
        <f aca="false">IF($O283="","",IF(INDEX(Scoring!$I$29:$I$361,MATCH($O283,Scoring!$AI$29:$AI$361,0))="",INDEX(Scoring!$AC$29:$AC$361,MATCH($O283,Scoring!$AI$29:$AI$361,0)),INDEX(Scoring!$I$29:$I$361,MATCH($O283,Scoring!$AI$29:$AI$361,0))))</f>
        <v/>
      </c>
      <c r="L283" s="9" t="str">
        <f aca="false">IF($O283="","",INDEX(Scoring!$M$29:$M$361,MATCH($O283,Scoring!$AI$29:$AI$361,0)))</f>
        <v/>
      </c>
      <c r="M283" s="9" t="str">
        <f aca="false">IF($O283="","",INDEX(Scoring!$O$29:$O$361,MATCH($O283,Scoring!$AI$29:$AI$361,0)))</f>
        <v/>
      </c>
      <c r="N283" s="7" t="str">
        <f aca="false">IF($O283="","",INDEX(Scoring!$Y$29:$Y$361,MATCH($O283,Scoring!$AI$29:$AI$361,0)))</f>
        <v/>
      </c>
      <c r="O283" s="10" t="str">
        <f aca="false">IFERROR(SMALL(Scoring!$AI$29:$AI$361,279),"")</f>
        <v/>
      </c>
    </row>
    <row r="284" customFormat="false" ht="15" hidden="false" customHeight="false" outlineLevel="0" collapsed="false">
      <c r="A284" s="5" t="str">
        <f aca="false">IF($O284="","",INT($O284/1000))</f>
        <v/>
      </c>
      <c r="B284" s="6" t="str">
        <f aca="false">IF($O284="","",INDEX(Scoring!$A$29:$A$361,MATCH($O284,Scoring!$AI$29:$AI$361,0)))</f>
        <v/>
      </c>
      <c r="C284" s="5" t="str">
        <f aca="false">IF($O284="","",IF(INDEX(Scoring!$F$29:$F$361,MATCH($O284,Scoring!$AI$29:$AI$361,0))="","–",INDEX(Scoring!$F$29:$F$361,MATCH($O284,Scoring!$AI$29:$AI$361,0))))</f>
        <v/>
      </c>
      <c r="D284" s="6" t="str">
        <f aca="false">IF($O284="","",INDEX(Scoring!$E$29:$E$361,MATCH($O284,Scoring!$AI$29:$AI$361,0)))</f>
        <v/>
      </c>
      <c r="E284" s="7" t="str">
        <f aca="false">IF($O284="","",INDEX(Scoring!$G$29:$G$361,MATCH($O284,Scoring!$AI$29:$AI$361,0)))</f>
        <v/>
      </c>
      <c r="F284" s="6" t="str">
        <f aca="false">IF($O284="","",INDEX(Scoring!$B$29:$B$361,MATCH($O284,Scoring!$AI$29:$AI$361,0)))</f>
        <v/>
      </c>
      <c r="G284" s="7" t="str">
        <f aca="false">IF($O284="","",INDEX(Scoring!$C$29:$C$361,MATCH($O284,Scoring!$AI$29:$AI$361,0)))</f>
        <v/>
      </c>
      <c r="H284" s="7" t="str">
        <f aca="false">IF($O284="","",INDEX(Scoring!$D$29:$D$361,MATCH($O284,Scoring!$AI$29:$AI$361,0)))</f>
        <v/>
      </c>
      <c r="I284" s="6" t="str">
        <f aca="false">IF($O284="","",INDEX(Scoring!$R$29:$R$361,MATCH($O284,Scoring!$AI$29:$AI$361,0)))</f>
        <v/>
      </c>
      <c r="J284" s="7" t="str">
        <f aca="false">IF($O284="","",INDEX(Scoring!$S$29:$S$361,MATCH($O284,Scoring!$AI$29:$AI$361,0)))</f>
        <v/>
      </c>
      <c r="K284" s="8" t="str">
        <f aca="false">IF($O284="","",IF(INDEX(Scoring!$I$29:$I$361,MATCH($O284,Scoring!$AI$29:$AI$361,0))="",INDEX(Scoring!$AC$29:$AC$361,MATCH($O284,Scoring!$AI$29:$AI$361,0)),INDEX(Scoring!$I$29:$I$361,MATCH($O284,Scoring!$AI$29:$AI$361,0))))</f>
        <v/>
      </c>
      <c r="L284" s="9" t="str">
        <f aca="false">IF($O284="","",INDEX(Scoring!$M$29:$M$361,MATCH($O284,Scoring!$AI$29:$AI$361,0)))</f>
        <v/>
      </c>
      <c r="M284" s="9" t="str">
        <f aca="false">IF($O284="","",INDEX(Scoring!$O$29:$O$361,MATCH($O284,Scoring!$AI$29:$AI$361,0)))</f>
        <v/>
      </c>
      <c r="N284" s="7" t="str">
        <f aca="false">IF($O284="","",INDEX(Scoring!$Y$29:$Y$361,MATCH($O284,Scoring!$AI$29:$AI$361,0)))</f>
        <v/>
      </c>
      <c r="O284" s="10" t="str">
        <f aca="false">IFERROR(SMALL(Scoring!$AI$29:$AI$361,280),"")</f>
        <v/>
      </c>
    </row>
    <row r="285" customFormat="false" ht="15" hidden="false" customHeight="false" outlineLevel="0" collapsed="false">
      <c r="A285" s="5" t="str">
        <f aca="false">IF($O285="","",INT($O285/1000))</f>
        <v/>
      </c>
      <c r="B285" s="6" t="str">
        <f aca="false">IF($O285="","",INDEX(Scoring!$A$29:$A$361,MATCH($O285,Scoring!$AI$29:$AI$361,0)))</f>
        <v/>
      </c>
      <c r="C285" s="5" t="str">
        <f aca="false">IF($O285="","",IF(INDEX(Scoring!$F$29:$F$361,MATCH($O285,Scoring!$AI$29:$AI$361,0))="","–",INDEX(Scoring!$F$29:$F$361,MATCH($O285,Scoring!$AI$29:$AI$361,0))))</f>
        <v/>
      </c>
      <c r="D285" s="6" t="str">
        <f aca="false">IF($O285="","",INDEX(Scoring!$E$29:$E$361,MATCH($O285,Scoring!$AI$29:$AI$361,0)))</f>
        <v/>
      </c>
      <c r="E285" s="7" t="str">
        <f aca="false">IF($O285="","",INDEX(Scoring!$G$29:$G$361,MATCH($O285,Scoring!$AI$29:$AI$361,0)))</f>
        <v/>
      </c>
      <c r="F285" s="6" t="str">
        <f aca="false">IF($O285="","",INDEX(Scoring!$B$29:$B$361,MATCH($O285,Scoring!$AI$29:$AI$361,0)))</f>
        <v/>
      </c>
      <c r="G285" s="7" t="str">
        <f aca="false">IF($O285="","",INDEX(Scoring!$C$29:$C$361,MATCH($O285,Scoring!$AI$29:$AI$361,0)))</f>
        <v/>
      </c>
      <c r="H285" s="7" t="str">
        <f aca="false">IF($O285="","",INDEX(Scoring!$D$29:$D$361,MATCH($O285,Scoring!$AI$29:$AI$361,0)))</f>
        <v/>
      </c>
      <c r="I285" s="6" t="str">
        <f aca="false">IF($O285="","",INDEX(Scoring!$R$29:$R$361,MATCH($O285,Scoring!$AI$29:$AI$361,0)))</f>
        <v/>
      </c>
      <c r="J285" s="7" t="str">
        <f aca="false">IF($O285="","",INDEX(Scoring!$S$29:$S$361,MATCH($O285,Scoring!$AI$29:$AI$361,0)))</f>
        <v/>
      </c>
      <c r="K285" s="8" t="str">
        <f aca="false">IF($O285="","",IF(INDEX(Scoring!$I$29:$I$361,MATCH($O285,Scoring!$AI$29:$AI$361,0))="",INDEX(Scoring!$AC$29:$AC$361,MATCH($O285,Scoring!$AI$29:$AI$361,0)),INDEX(Scoring!$I$29:$I$361,MATCH($O285,Scoring!$AI$29:$AI$361,0))))</f>
        <v/>
      </c>
      <c r="L285" s="9" t="str">
        <f aca="false">IF($O285="","",INDEX(Scoring!$M$29:$M$361,MATCH($O285,Scoring!$AI$29:$AI$361,0)))</f>
        <v/>
      </c>
      <c r="M285" s="9" t="str">
        <f aca="false">IF($O285="","",INDEX(Scoring!$O$29:$O$361,MATCH($O285,Scoring!$AI$29:$AI$361,0)))</f>
        <v/>
      </c>
      <c r="N285" s="7" t="str">
        <f aca="false">IF($O285="","",INDEX(Scoring!$Y$29:$Y$361,MATCH($O285,Scoring!$AI$29:$AI$361,0)))</f>
        <v/>
      </c>
      <c r="O285" s="10" t="str">
        <f aca="false">IFERROR(SMALL(Scoring!$AI$29:$AI$361,281),"")</f>
        <v/>
      </c>
    </row>
    <row r="286" customFormat="false" ht="15" hidden="false" customHeight="false" outlineLevel="0" collapsed="false">
      <c r="A286" s="5" t="str">
        <f aca="false">IF($O286="","",INT($O286/1000))</f>
        <v/>
      </c>
      <c r="B286" s="6" t="str">
        <f aca="false">IF($O286="","",INDEX(Scoring!$A$29:$A$361,MATCH($O286,Scoring!$AI$29:$AI$361,0)))</f>
        <v/>
      </c>
      <c r="C286" s="5" t="str">
        <f aca="false">IF($O286="","",IF(INDEX(Scoring!$F$29:$F$361,MATCH($O286,Scoring!$AI$29:$AI$361,0))="","–",INDEX(Scoring!$F$29:$F$361,MATCH($O286,Scoring!$AI$29:$AI$361,0))))</f>
        <v/>
      </c>
      <c r="D286" s="6" t="str">
        <f aca="false">IF($O286="","",INDEX(Scoring!$E$29:$E$361,MATCH($O286,Scoring!$AI$29:$AI$361,0)))</f>
        <v/>
      </c>
      <c r="E286" s="7" t="str">
        <f aca="false">IF($O286="","",INDEX(Scoring!$G$29:$G$361,MATCH($O286,Scoring!$AI$29:$AI$361,0)))</f>
        <v/>
      </c>
      <c r="F286" s="6" t="str">
        <f aca="false">IF($O286="","",INDEX(Scoring!$B$29:$B$361,MATCH($O286,Scoring!$AI$29:$AI$361,0)))</f>
        <v/>
      </c>
      <c r="G286" s="7" t="str">
        <f aca="false">IF($O286="","",INDEX(Scoring!$C$29:$C$361,MATCH($O286,Scoring!$AI$29:$AI$361,0)))</f>
        <v/>
      </c>
      <c r="H286" s="7" t="str">
        <f aca="false">IF($O286="","",INDEX(Scoring!$D$29:$D$361,MATCH($O286,Scoring!$AI$29:$AI$361,0)))</f>
        <v/>
      </c>
      <c r="I286" s="6" t="str">
        <f aca="false">IF($O286="","",INDEX(Scoring!$R$29:$R$361,MATCH($O286,Scoring!$AI$29:$AI$361,0)))</f>
        <v/>
      </c>
      <c r="J286" s="7" t="str">
        <f aca="false">IF($O286="","",INDEX(Scoring!$S$29:$S$361,MATCH($O286,Scoring!$AI$29:$AI$361,0)))</f>
        <v/>
      </c>
      <c r="K286" s="8" t="str">
        <f aca="false">IF($O286="","",IF(INDEX(Scoring!$I$29:$I$361,MATCH($O286,Scoring!$AI$29:$AI$361,0))="",INDEX(Scoring!$AC$29:$AC$361,MATCH($O286,Scoring!$AI$29:$AI$361,0)),INDEX(Scoring!$I$29:$I$361,MATCH($O286,Scoring!$AI$29:$AI$361,0))))</f>
        <v/>
      </c>
      <c r="L286" s="9" t="str">
        <f aca="false">IF($O286="","",INDEX(Scoring!$M$29:$M$361,MATCH($O286,Scoring!$AI$29:$AI$361,0)))</f>
        <v/>
      </c>
      <c r="M286" s="9" t="str">
        <f aca="false">IF($O286="","",INDEX(Scoring!$O$29:$O$361,MATCH($O286,Scoring!$AI$29:$AI$361,0)))</f>
        <v/>
      </c>
      <c r="N286" s="7" t="str">
        <f aca="false">IF($O286="","",INDEX(Scoring!$Y$29:$Y$361,MATCH($O286,Scoring!$AI$29:$AI$361,0)))</f>
        <v/>
      </c>
      <c r="O286" s="10" t="str">
        <f aca="false">IFERROR(SMALL(Scoring!$AI$29:$AI$361,282),"")</f>
        <v/>
      </c>
    </row>
    <row r="287" customFormat="false" ht="15" hidden="false" customHeight="false" outlineLevel="0" collapsed="false">
      <c r="A287" s="5" t="str">
        <f aca="false">IF($O287="","",INT($O287/1000))</f>
        <v/>
      </c>
      <c r="B287" s="6" t="str">
        <f aca="false">IF($O287="","",INDEX(Scoring!$A$29:$A$361,MATCH($O287,Scoring!$AI$29:$AI$361,0)))</f>
        <v/>
      </c>
      <c r="C287" s="5" t="str">
        <f aca="false">IF($O287="","",IF(INDEX(Scoring!$F$29:$F$361,MATCH($O287,Scoring!$AI$29:$AI$361,0))="","–",INDEX(Scoring!$F$29:$F$361,MATCH($O287,Scoring!$AI$29:$AI$361,0))))</f>
        <v/>
      </c>
      <c r="D287" s="6" t="str">
        <f aca="false">IF($O287="","",INDEX(Scoring!$E$29:$E$361,MATCH($O287,Scoring!$AI$29:$AI$361,0)))</f>
        <v/>
      </c>
      <c r="E287" s="7" t="str">
        <f aca="false">IF($O287="","",INDEX(Scoring!$G$29:$G$361,MATCH($O287,Scoring!$AI$29:$AI$361,0)))</f>
        <v/>
      </c>
      <c r="F287" s="6" t="str">
        <f aca="false">IF($O287="","",INDEX(Scoring!$B$29:$B$361,MATCH($O287,Scoring!$AI$29:$AI$361,0)))</f>
        <v/>
      </c>
      <c r="G287" s="7" t="str">
        <f aca="false">IF($O287="","",INDEX(Scoring!$C$29:$C$361,MATCH($O287,Scoring!$AI$29:$AI$361,0)))</f>
        <v/>
      </c>
      <c r="H287" s="7" t="str">
        <f aca="false">IF($O287="","",INDEX(Scoring!$D$29:$D$361,MATCH($O287,Scoring!$AI$29:$AI$361,0)))</f>
        <v/>
      </c>
      <c r="I287" s="6" t="str">
        <f aca="false">IF($O287="","",INDEX(Scoring!$R$29:$R$361,MATCH($O287,Scoring!$AI$29:$AI$361,0)))</f>
        <v/>
      </c>
      <c r="J287" s="7" t="str">
        <f aca="false">IF($O287="","",INDEX(Scoring!$S$29:$S$361,MATCH($O287,Scoring!$AI$29:$AI$361,0)))</f>
        <v/>
      </c>
      <c r="K287" s="8" t="str">
        <f aca="false">IF($O287="","",IF(INDEX(Scoring!$I$29:$I$361,MATCH($O287,Scoring!$AI$29:$AI$361,0))="",INDEX(Scoring!$AC$29:$AC$361,MATCH($O287,Scoring!$AI$29:$AI$361,0)),INDEX(Scoring!$I$29:$I$361,MATCH($O287,Scoring!$AI$29:$AI$361,0))))</f>
        <v/>
      </c>
      <c r="L287" s="9" t="str">
        <f aca="false">IF($O287="","",INDEX(Scoring!$M$29:$M$361,MATCH($O287,Scoring!$AI$29:$AI$361,0)))</f>
        <v/>
      </c>
      <c r="M287" s="9" t="str">
        <f aca="false">IF($O287="","",INDEX(Scoring!$O$29:$O$361,MATCH($O287,Scoring!$AI$29:$AI$361,0)))</f>
        <v/>
      </c>
      <c r="N287" s="7" t="str">
        <f aca="false">IF($O287="","",INDEX(Scoring!$Y$29:$Y$361,MATCH($O287,Scoring!$AI$29:$AI$361,0)))</f>
        <v/>
      </c>
      <c r="O287" s="10" t="str">
        <f aca="false">IFERROR(SMALL(Scoring!$AI$29:$AI$361,283),"")</f>
        <v/>
      </c>
    </row>
    <row r="288" customFormat="false" ht="15" hidden="false" customHeight="false" outlineLevel="0" collapsed="false">
      <c r="A288" s="5" t="str">
        <f aca="false">IF($O288="","",INT($O288/1000))</f>
        <v/>
      </c>
      <c r="B288" s="6" t="str">
        <f aca="false">IF($O288="","",INDEX(Scoring!$A$29:$A$361,MATCH($O288,Scoring!$AI$29:$AI$361,0)))</f>
        <v/>
      </c>
      <c r="C288" s="5" t="str">
        <f aca="false">IF($O288="","",IF(INDEX(Scoring!$F$29:$F$361,MATCH($O288,Scoring!$AI$29:$AI$361,0))="","–",INDEX(Scoring!$F$29:$F$361,MATCH($O288,Scoring!$AI$29:$AI$361,0))))</f>
        <v/>
      </c>
      <c r="D288" s="6" t="str">
        <f aca="false">IF($O288="","",INDEX(Scoring!$E$29:$E$361,MATCH($O288,Scoring!$AI$29:$AI$361,0)))</f>
        <v/>
      </c>
      <c r="E288" s="7" t="str">
        <f aca="false">IF($O288="","",INDEX(Scoring!$G$29:$G$361,MATCH($O288,Scoring!$AI$29:$AI$361,0)))</f>
        <v/>
      </c>
      <c r="F288" s="6" t="str">
        <f aca="false">IF($O288="","",INDEX(Scoring!$B$29:$B$361,MATCH($O288,Scoring!$AI$29:$AI$361,0)))</f>
        <v/>
      </c>
      <c r="G288" s="7" t="str">
        <f aca="false">IF($O288="","",INDEX(Scoring!$C$29:$C$361,MATCH($O288,Scoring!$AI$29:$AI$361,0)))</f>
        <v/>
      </c>
      <c r="H288" s="7" t="str">
        <f aca="false">IF($O288="","",INDEX(Scoring!$D$29:$D$361,MATCH($O288,Scoring!$AI$29:$AI$361,0)))</f>
        <v/>
      </c>
      <c r="I288" s="6" t="str">
        <f aca="false">IF($O288="","",INDEX(Scoring!$R$29:$R$361,MATCH($O288,Scoring!$AI$29:$AI$361,0)))</f>
        <v/>
      </c>
      <c r="J288" s="7" t="str">
        <f aca="false">IF($O288="","",INDEX(Scoring!$S$29:$S$361,MATCH($O288,Scoring!$AI$29:$AI$361,0)))</f>
        <v/>
      </c>
      <c r="K288" s="8" t="str">
        <f aca="false">IF($O288="","",IF(INDEX(Scoring!$I$29:$I$361,MATCH($O288,Scoring!$AI$29:$AI$361,0))="",INDEX(Scoring!$AC$29:$AC$361,MATCH($O288,Scoring!$AI$29:$AI$361,0)),INDEX(Scoring!$I$29:$I$361,MATCH($O288,Scoring!$AI$29:$AI$361,0))))</f>
        <v/>
      </c>
      <c r="L288" s="9" t="str">
        <f aca="false">IF($O288="","",INDEX(Scoring!$M$29:$M$361,MATCH($O288,Scoring!$AI$29:$AI$361,0)))</f>
        <v/>
      </c>
      <c r="M288" s="9" t="str">
        <f aca="false">IF($O288="","",INDEX(Scoring!$O$29:$O$361,MATCH($O288,Scoring!$AI$29:$AI$361,0)))</f>
        <v/>
      </c>
      <c r="N288" s="7" t="str">
        <f aca="false">IF($O288="","",INDEX(Scoring!$Y$29:$Y$361,MATCH($O288,Scoring!$AI$29:$AI$361,0)))</f>
        <v/>
      </c>
      <c r="O288" s="10" t="str">
        <f aca="false">IFERROR(SMALL(Scoring!$AI$29:$AI$361,284),"")</f>
        <v/>
      </c>
    </row>
    <row r="289" customFormat="false" ht="15" hidden="false" customHeight="false" outlineLevel="0" collapsed="false">
      <c r="A289" s="5" t="str">
        <f aca="false">IF($O289="","",INT($O289/1000))</f>
        <v/>
      </c>
      <c r="B289" s="6" t="str">
        <f aca="false">IF($O289="","",INDEX(Scoring!$A$29:$A$361,MATCH($O289,Scoring!$AI$29:$AI$361,0)))</f>
        <v/>
      </c>
      <c r="C289" s="5" t="str">
        <f aca="false">IF($O289="","",IF(INDEX(Scoring!$F$29:$F$361,MATCH($O289,Scoring!$AI$29:$AI$361,0))="","–",INDEX(Scoring!$F$29:$F$361,MATCH($O289,Scoring!$AI$29:$AI$361,0))))</f>
        <v/>
      </c>
      <c r="D289" s="6" t="str">
        <f aca="false">IF($O289="","",INDEX(Scoring!$E$29:$E$361,MATCH($O289,Scoring!$AI$29:$AI$361,0)))</f>
        <v/>
      </c>
      <c r="E289" s="7" t="str">
        <f aca="false">IF($O289="","",INDEX(Scoring!$G$29:$G$361,MATCH($O289,Scoring!$AI$29:$AI$361,0)))</f>
        <v/>
      </c>
      <c r="F289" s="6" t="str">
        <f aca="false">IF($O289="","",INDEX(Scoring!$B$29:$B$361,MATCH($O289,Scoring!$AI$29:$AI$361,0)))</f>
        <v/>
      </c>
      <c r="G289" s="7" t="str">
        <f aca="false">IF($O289="","",INDEX(Scoring!$C$29:$C$361,MATCH($O289,Scoring!$AI$29:$AI$361,0)))</f>
        <v/>
      </c>
      <c r="H289" s="7" t="str">
        <f aca="false">IF($O289="","",INDEX(Scoring!$D$29:$D$361,MATCH($O289,Scoring!$AI$29:$AI$361,0)))</f>
        <v/>
      </c>
      <c r="I289" s="6" t="str">
        <f aca="false">IF($O289="","",INDEX(Scoring!$R$29:$R$361,MATCH($O289,Scoring!$AI$29:$AI$361,0)))</f>
        <v/>
      </c>
      <c r="J289" s="7" t="str">
        <f aca="false">IF($O289="","",INDEX(Scoring!$S$29:$S$361,MATCH($O289,Scoring!$AI$29:$AI$361,0)))</f>
        <v/>
      </c>
      <c r="K289" s="8" t="str">
        <f aca="false">IF($O289="","",IF(INDEX(Scoring!$I$29:$I$361,MATCH($O289,Scoring!$AI$29:$AI$361,0))="",INDEX(Scoring!$AC$29:$AC$361,MATCH($O289,Scoring!$AI$29:$AI$361,0)),INDEX(Scoring!$I$29:$I$361,MATCH($O289,Scoring!$AI$29:$AI$361,0))))</f>
        <v/>
      </c>
      <c r="L289" s="9" t="str">
        <f aca="false">IF($O289="","",INDEX(Scoring!$M$29:$M$361,MATCH($O289,Scoring!$AI$29:$AI$361,0)))</f>
        <v/>
      </c>
      <c r="M289" s="9" t="str">
        <f aca="false">IF($O289="","",INDEX(Scoring!$O$29:$O$361,MATCH($O289,Scoring!$AI$29:$AI$361,0)))</f>
        <v/>
      </c>
      <c r="N289" s="7" t="str">
        <f aca="false">IF($O289="","",INDEX(Scoring!$Y$29:$Y$361,MATCH($O289,Scoring!$AI$29:$AI$361,0)))</f>
        <v/>
      </c>
      <c r="O289" s="10" t="str">
        <f aca="false">IFERROR(SMALL(Scoring!$AI$29:$AI$361,285),"")</f>
        <v/>
      </c>
    </row>
    <row r="290" customFormat="false" ht="15" hidden="false" customHeight="false" outlineLevel="0" collapsed="false">
      <c r="A290" s="5" t="str">
        <f aca="false">IF($O290="","",INT($O290/1000))</f>
        <v/>
      </c>
      <c r="B290" s="6" t="str">
        <f aca="false">IF($O290="","",INDEX(Scoring!$A$29:$A$361,MATCH($O290,Scoring!$AI$29:$AI$361,0)))</f>
        <v/>
      </c>
      <c r="C290" s="5" t="str">
        <f aca="false">IF($O290="","",IF(INDEX(Scoring!$F$29:$F$361,MATCH($O290,Scoring!$AI$29:$AI$361,0))="","–",INDEX(Scoring!$F$29:$F$361,MATCH($O290,Scoring!$AI$29:$AI$361,0))))</f>
        <v/>
      </c>
      <c r="D290" s="6" t="str">
        <f aca="false">IF($O290="","",INDEX(Scoring!$E$29:$E$361,MATCH($O290,Scoring!$AI$29:$AI$361,0)))</f>
        <v/>
      </c>
      <c r="E290" s="7" t="str">
        <f aca="false">IF($O290="","",INDEX(Scoring!$G$29:$G$361,MATCH($O290,Scoring!$AI$29:$AI$361,0)))</f>
        <v/>
      </c>
      <c r="F290" s="6" t="str">
        <f aca="false">IF($O290="","",INDEX(Scoring!$B$29:$B$361,MATCH($O290,Scoring!$AI$29:$AI$361,0)))</f>
        <v/>
      </c>
      <c r="G290" s="7" t="str">
        <f aca="false">IF($O290="","",INDEX(Scoring!$C$29:$C$361,MATCH($O290,Scoring!$AI$29:$AI$361,0)))</f>
        <v/>
      </c>
      <c r="H290" s="7" t="str">
        <f aca="false">IF($O290="","",INDEX(Scoring!$D$29:$D$361,MATCH($O290,Scoring!$AI$29:$AI$361,0)))</f>
        <v/>
      </c>
      <c r="I290" s="6" t="str">
        <f aca="false">IF($O290="","",INDEX(Scoring!$R$29:$R$361,MATCH($O290,Scoring!$AI$29:$AI$361,0)))</f>
        <v/>
      </c>
      <c r="J290" s="7" t="str">
        <f aca="false">IF($O290="","",INDEX(Scoring!$S$29:$S$361,MATCH($O290,Scoring!$AI$29:$AI$361,0)))</f>
        <v/>
      </c>
      <c r="K290" s="8" t="str">
        <f aca="false">IF($O290="","",IF(INDEX(Scoring!$I$29:$I$361,MATCH($O290,Scoring!$AI$29:$AI$361,0))="",INDEX(Scoring!$AC$29:$AC$361,MATCH($O290,Scoring!$AI$29:$AI$361,0)),INDEX(Scoring!$I$29:$I$361,MATCH($O290,Scoring!$AI$29:$AI$361,0))))</f>
        <v/>
      </c>
      <c r="L290" s="9" t="str">
        <f aca="false">IF($O290="","",INDEX(Scoring!$M$29:$M$361,MATCH($O290,Scoring!$AI$29:$AI$361,0)))</f>
        <v/>
      </c>
      <c r="M290" s="9" t="str">
        <f aca="false">IF($O290="","",INDEX(Scoring!$O$29:$O$361,MATCH($O290,Scoring!$AI$29:$AI$361,0)))</f>
        <v/>
      </c>
      <c r="N290" s="7" t="str">
        <f aca="false">IF($O290="","",INDEX(Scoring!$Y$29:$Y$361,MATCH($O290,Scoring!$AI$29:$AI$361,0)))</f>
        <v/>
      </c>
      <c r="O290" s="10" t="str">
        <f aca="false">IFERROR(SMALL(Scoring!$AI$29:$AI$361,286),"")</f>
        <v/>
      </c>
    </row>
    <row r="291" customFormat="false" ht="15" hidden="false" customHeight="false" outlineLevel="0" collapsed="false">
      <c r="A291" s="5" t="str">
        <f aca="false">IF($O291="","",INT($O291/1000))</f>
        <v/>
      </c>
      <c r="B291" s="6" t="str">
        <f aca="false">IF($O291="","",INDEX(Scoring!$A$29:$A$361,MATCH($O291,Scoring!$AI$29:$AI$361,0)))</f>
        <v/>
      </c>
      <c r="C291" s="5" t="str">
        <f aca="false">IF($O291="","",IF(INDEX(Scoring!$F$29:$F$361,MATCH($O291,Scoring!$AI$29:$AI$361,0))="","–",INDEX(Scoring!$F$29:$F$361,MATCH($O291,Scoring!$AI$29:$AI$361,0))))</f>
        <v/>
      </c>
      <c r="D291" s="6" t="str">
        <f aca="false">IF($O291="","",INDEX(Scoring!$E$29:$E$361,MATCH($O291,Scoring!$AI$29:$AI$361,0)))</f>
        <v/>
      </c>
      <c r="E291" s="7" t="str">
        <f aca="false">IF($O291="","",INDEX(Scoring!$G$29:$G$361,MATCH($O291,Scoring!$AI$29:$AI$361,0)))</f>
        <v/>
      </c>
      <c r="F291" s="6" t="str">
        <f aca="false">IF($O291="","",INDEX(Scoring!$B$29:$B$361,MATCH($O291,Scoring!$AI$29:$AI$361,0)))</f>
        <v/>
      </c>
      <c r="G291" s="7" t="str">
        <f aca="false">IF($O291="","",INDEX(Scoring!$C$29:$C$361,MATCH($O291,Scoring!$AI$29:$AI$361,0)))</f>
        <v/>
      </c>
      <c r="H291" s="7" t="str">
        <f aca="false">IF($O291="","",INDEX(Scoring!$D$29:$D$361,MATCH($O291,Scoring!$AI$29:$AI$361,0)))</f>
        <v/>
      </c>
      <c r="I291" s="6" t="str">
        <f aca="false">IF($O291="","",INDEX(Scoring!$R$29:$R$361,MATCH($O291,Scoring!$AI$29:$AI$361,0)))</f>
        <v/>
      </c>
      <c r="J291" s="7" t="str">
        <f aca="false">IF($O291="","",INDEX(Scoring!$S$29:$S$361,MATCH($O291,Scoring!$AI$29:$AI$361,0)))</f>
        <v/>
      </c>
      <c r="K291" s="8" t="str">
        <f aca="false">IF($O291="","",IF(INDEX(Scoring!$I$29:$I$361,MATCH($O291,Scoring!$AI$29:$AI$361,0))="",INDEX(Scoring!$AC$29:$AC$361,MATCH($O291,Scoring!$AI$29:$AI$361,0)),INDEX(Scoring!$I$29:$I$361,MATCH($O291,Scoring!$AI$29:$AI$361,0))))</f>
        <v/>
      </c>
      <c r="L291" s="9" t="str">
        <f aca="false">IF($O291="","",INDEX(Scoring!$M$29:$M$361,MATCH($O291,Scoring!$AI$29:$AI$361,0)))</f>
        <v/>
      </c>
      <c r="M291" s="9" t="str">
        <f aca="false">IF($O291="","",INDEX(Scoring!$O$29:$O$361,MATCH($O291,Scoring!$AI$29:$AI$361,0)))</f>
        <v/>
      </c>
      <c r="N291" s="7" t="str">
        <f aca="false">IF($O291="","",INDEX(Scoring!$Y$29:$Y$361,MATCH($O291,Scoring!$AI$29:$AI$361,0)))</f>
        <v/>
      </c>
      <c r="O291" s="10" t="str">
        <f aca="false">IFERROR(SMALL(Scoring!$AI$29:$AI$361,287),"")</f>
        <v/>
      </c>
    </row>
    <row r="292" customFormat="false" ht="15" hidden="false" customHeight="false" outlineLevel="0" collapsed="false">
      <c r="A292" s="5" t="str">
        <f aca="false">IF($O292="","",INT($O292/1000))</f>
        <v/>
      </c>
      <c r="B292" s="6" t="str">
        <f aca="false">IF($O292="","",INDEX(Scoring!$A$29:$A$361,MATCH($O292,Scoring!$AI$29:$AI$361,0)))</f>
        <v/>
      </c>
      <c r="C292" s="5" t="str">
        <f aca="false">IF($O292="","",IF(INDEX(Scoring!$F$29:$F$361,MATCH($O292,Scoring!$AI$29:$AI$361,0))="","–",INDEX(Scoring!$F$29:$F$361,MATCH($O292,Scoring!$AI$29:$AI$361,0))))</f>
        <v/>
      </c>
      <c r="D292" s="6" t="str">
        <f aca="false">IF($O292="","",INDEX(Scoring!$E$29:$E$361,MATCH($O292,Scoring!$AI$29:$AI$361,0)))</f>
        <v/>
      </c>
      <c r="E292" s="7" t="str">
        <f aca="false">IF($O292="","",INDEX(Scoring!$G$29:$G$361,MATCH($O292,Scoring!$AI$29:$AI$361,0)))</f>
        <v/>
      </c>
      <c r="F292" s="6" t="str">
        <f aca="false">IF($O292="","",INDEX(Scoring!$B$29:$B$361,MATCH($O292,Scoring!$AI$29:$AI$361,0)))</f>
        <v/>
      </c>
      <c r="G292" s="7" t="str">
        <f aca="false">IF($O292="","",INDEX(Scoring!$C$29:$C$361,MATCH($O292,Scoring!$AI$29:$AI$361,0)))</f>
        <v/>
      </c>
      <c r="H292" s="7" t="str">
        <f aca="false">IF($O292="","",INDEX(Scoring!$D$29:$D$361,MATCH($O292,Scoring!$AI$29:$AI$361,0)))</f>
        <v/>
      </c>
      <c r="I292" s="6" t="str">
        <f aca="false">IF($O292="","",INDEX(Scoring!$R$29:$R$361,MATCH($O292,Scoring!$AI$29:$AI$361,0)))</f>
        <v/>
      </c>
      <c r="J292" s="7" t="str">
        <f aca="false">IF($O292="","",INDEX(Scoring!$S$29:$S$361,MATCH($O292,Scoring!$AI$29:$AI$361,0)))</f>
        <v/>
      </c>
      <c r="K292" s="8" t="str">
        <f aca="false">IF($O292="","",IF(INDEX(Scoring!$I$29:$I$361,MATCH($O292,Scoring!$AI$29:$AI$361,0))="",INDEX(Scoring!$AC$29:$AC$361,MATCH($O292,Scoring!$AI$29:$AI$361,0)),INDEX(Scoring!$I$29:$I$361,MATCH($O292,Scoring!$AI$29:$AI$361,0))))</f>
        <v/>
      </c>
      <c r="L292" s="9" t="str">
        <f aca="false">IF($O292="","",INDEX(Scoring!$M$29:$M$361,MATCH($O292,Scoring!$AI$29:$AI$361,0)))</f>
        <v/>
      </c>
      <c r="M292" s="9" t="str">
        <f aca="false">IF($O292="","",INDEX(Scoring!$O$29:$O$361,MATCH($O292,Scoring!$AI$29:$AI$361,0)))</f>
        <v/>
      </c>
      <c r="N292" s="7" t="str">
        <f aca="false">IF($O292="","",INDEX(Scoring!$Y$29:$Y$361,MATCH($O292,Scoring!$AI$29:$AI$361,0)))</f>
        <v/>
      </c>
      <c r="O292" s="10" t="str">
        <f aca="false">IFERROR(SMALL(Scoring!$AI$29:$AI$361,288),"")</f>
        <v/>
      </c>
    </row>
    <row r="293" customFormat="false" ht="15" hidden="false" customHeight="false" outlineLevel="0" collapsed="false">
      <c r="A293" s="5" t="str">
        <f aca="false">IF($O293="","",INT($O293/1000))</f>
        <v/>
      </c>
      <c r="B293" s="6" t="str">
        <f aca="false">IF($O293="","",INDEX(Scoring!$A$29:$A$361,MATCH($O293,Scoring!$AI$29:$AI$361,0)))</f>
        <v/>
      </c>
      <c r="C293" s="5" t="str">
        <f aca="false">IF($O293="","",IF(INDEX(Scoring!$F$29:$F$361,MATCH($O293,Scoring!$AI$29:$AI$361,0))="","–",INDEX(Scoring!$F$29:$F$361,MATCH($O293,Scoring!$AI$29:$AI$361,0))))</f>
        <v/>
      </c>
      <c r="D293" s="6" t="str">
        <f aca="false">IF($O293="","",INDEX(Scoring!$E$29:$E$361,MATCH($O293,Scoring!$AI$29:$AI$361,0)))</f>
        <v/>
      </c>
      <c r="E293" s="7" t="str">
        <f aca="false">IF($O293="","",INDEX(Scoring!$G$29:$G$361,MATCH($O293,Scoring!$AI$29:$AI$361,0)))</f>
        <v/>
      </c>
      <c r="F293" s="6" t="str">
        <f aca="false">IF($O293="","",INDEX(Scoring!$B$29:$B$361,MATCH($O293,Scoring!$AI$29:$AI$361,0)))</f>
        <v/>
      </c>
      <c r="G293" s="7" t="str">
        <f aca="false">IF($O293="","",INDEX(Scoring!$C$29:$C$361,MATCH($O293,Scoring!$AI$29:$AI$361,0)))</f>
        <v/>
      </c>
      <c r="H293" s="7" t="str">
        <f aca="false">IF($O293="","",INDEX(Scoring!$D$29:$D$361,MATCH($O293,Scoring!$AI$29:$AI$361,0)))</f>
        <v/>
      </c>
      <c r="I293" s="6" t="str">
        <f aca="false">IF($O293="","",INDEX(Scoring!$R$29:$R$361,MATCH($O293,Scoring!$AI$29:$AI$361,0)))</f>
        <v/>
      </c>
      <c r="J293" s="7" t="str">
        <f aca="false">IF($O293="","",INDEX(Scoring!$S$29:$S$361,MATCH($O293,Scoring!$AI$29:$AI$361,0)))</f>
        <v/>
      </c>
      <c r="K293" s="8" t="str">
        <f aca="false">IF($O293="","",IF(INDEX(Scoring!$I$29:$I$361,MATCH($O293,Scoring!$AI$29:$AI$361,0))="",INDEX(Scoring!$AC$29:$AC$361,MATCH($O293,Scoring!$AI$29:$AI$361,0)),INDEX(Scoring!$I$29:$I$361,MATCH($O293,Scoring!$AI$29:$AI$361,0))))</f>
        <v/>
      </c>
      <c r="L293" s="9" t="str">
        <f aca="false">IF($O293="","",INDEX(Scoring!$M$29:$M$361,MATCH($O293,Scoring!$AI$29:$AI$361,0)))</f>
        <v/>
      </c>
      <c r="M293" s="9" t="str">
        <f aca="false">IF($O293="","",INDEX(Scoring!$O$29:$O$361,MATCH($O293,Scoring!$AI$29:$AI$361,0)))</f>
        <v/>
      </c>
      <c r="N293" s="7" t="str">
        <f aca="false">IF($O293="","",INDEX(Scoring!$Y$29:$Y$361,MATCH($O293,Scoring!$AI$29:$AI$361,0)))</f>
        <v/>
      </c>
      <c r="O293" s="10" t="str">
        <f aca="false">IFERROR(SMALL(Scoring!$AI$29:$AI$361,289),"")</f>
        <v/>
      </c>
    </row>
    <row r="294" customFormat="false" ht="15" hidden="false" customHeight="false" outlineLevel="0" collapsed="false">
      <c r="A294" s="5" t="str">
        <f aca="false">IF($O294="","",INT($O294/1000))</f>
        <v/>
      </c>
      <c r="B294" s="6" t="str">
        <f aca="false">IF($O294="","",INDEX(Scoring!$A$29:$A$361,MATCH($O294,Scoring!$AI$29:$AI$361,0)))</f>
        <v/>
      </c>
      <c r="C294" s="5" t="str">
        <f aca="false">IF($O294="","",IF(INDEX(Scoring!$F$29:$F$361,MATCH($O294,Scoring!$AI$29:$AI$361,0))="","–",INDEX(Scoring!$F$29:$F$361,MATCH($O294,Scoring!$AI$29:$AI$361,0))))</f>
        <v/>
      </c>
      <c r="D294" s="6" t="str">
        <f aca="false">IF($O294="","",INDEX(Scoring!$E$29:$E$361,MATCH($O294,Scoring!$AI$29:$AI$361,0)))</f>
        <v/>
      </c>
      <c r="E294" s="7" t="str">
        <f aca="false">IF($O294="","",INDEX(Scoring!$G$29:$G$361,MATCH($O294,Scoring!$AI$29:$AI$361,0)))</f>
        <v/>
      </c>
      <c r="F294" s="6" t="str">
        <f aca="false">IF($O294="","",INDEX(Scoring!$B$29:$B$361,MATCH($O294,Scoring!$AI$29:$AI$361,0)))</f>
        <v/>
      </c>
      <c r="G294" s="7" t="str">
        <f aca="false">IF($O294="","",INDEX(Scoring!$C$29:$C$361,MATCH($O294,Scoring!$AI$29:$AI$361,0)))</f>
        <v/>
      </c>
      <c r="H294" s="7" t="str">
        <f aca="false">IF($O294="","",INDEX(Scoring!$D$29:$D$361,MATCH($O294,Scoring!$AI$29:$AI$361,0)))</f>
        <v/>
      </c>
      <c r="I294" s="6" t="str">
        <f aca="false">IF($O294="","",INDEX(Scoring!$R$29:$R$361,MATCH($O294,Scoring!$AI$29:$AI$361,0)))</f>
        <v/>
      </c>
      <c r="J294" s="7" t="str">
        <f aca="false">IF($O294="","",INDEX(Scoring!$S$29:$S$361,MATCH($O294,Scoring!$AI$29:$AI$361,0)))</f>
        <v/>
      </c>
      <c r="K294" s="8" t="str">
        <f aca="false">IF($O294="","",IF(INDEX(Scoring!$I$29:$I$361,MATCH($O294,Scoring!$AI$29:$AI$361,0))="",INDEX(Scoring!$AC$29:$AC$361,MATCH($O294,Scoring!$AI$29:$AI$361,0)),INDEX(Scoring!$I$29:$I$361,MATCH($O294,Scoring!$AI$29:$AI$361,0))))</f>
        <v/>
      </c>
      <c r="L294" s="9" t="str">
        <f aca="false">IF($O294="","",INDEX(Scoring!$M$29:$M$361,MATCH($O294,Scoring!$AI$29:$AI$361,0)))</f>
        <v/>
      </c>
      <c r="M294" s="9" t="str">
        <f aca="false">IF($O294="","",INDEX(Scoring!$O$29:$O$361,MATCH($O294,Scoring!$AI$29:$AI$361,0)))</f>
        <v/>
      </c>
      <c r="N294" s="7" t="str">
        <f aca="false">IF($O294="","",INDEX(Scoring!$Y$29:$Y$361,MATCH($O294,Scoring!$AI$29:$AI$361,0)))</f>
        <v/>
      </c>
      <c r="O294" s="10" t="str">
        <f aca="false">IFERROR(SMALL(Scoring!$AI$29:$AI$361,290),"")</f>
        <v/>
      </c>
    </row>
    <row r="295" customFormat="false" ht="15" hidden="false" customHeight="false" outlineLevel="0" collapsed="false">
      <c r="A295" s="5" t="str">
        <f aca="false">IF($O295="","",INT($O295/1000))</f>
        <v/>
      </c>
      <c r="B295" s="6" t="str">
        <f aca="false">IF($O295="","",INDEX(Scoring!$A$29:$A$361,MATCH($O295,Scoring!$AI$29:$AI$361,0)))</f>
        <v/>
      </c>
      <c r="C295" s="5" t="str">
        <f aca="false">IF($O295="","",IF(INDEX(Scoring!$F$29:$F$361,MATCH($O295,Scoring!$AI$29:$AI$361,0))="","–",INDEX(Scoring!$F$29:$F$361,MATCH($O295,Scoring!$AI$29:$AI$361,0))))</f>
        <v/>
      </c>
      <c r="D295" s="6" t="str">
        <f aca="false">IF($O295="","",INDEX(Scoring!$E$29:$E$361,MATCH($O295,Scoring!$AI$29:$AI$361,0)))</f>
        <v/>
      </c>
      <c r="E295" s="7" t="str">
        <f aca="false">IF($O295="","",INDEX(Scoring!$G$29:$G$361,MATCH($O295,Scoring!$AI$29:$AI$361,0)))</f>
        <v/>
      </c>
      <c r="F295" s="6" t="str">
        <f aca="false">IF($O295="","",INDEX(Scoring!$B$29:$B$361,MATCH($O295,Scoring!$AI$29:$AI$361,0)))</f>
        <v/>
      </c>
      <c r="G295" s="7" t="str">
        <f aca="false">IF($O295="","",INDEX(Scoring!$C$29:$C$361,MATCH($O295,Scoring!$AI$29:$AI$361,0)))</f>
        <v/>
      </c>
      <c r="H295" s="7" t="str">
        <f aca="false">IF($O295="","",INDEX(Scoring!$D$29:$D$361,MATCH($O295,Scoring!$AI$29:$AI$361,0)))</f>
        <v/>
      </c>
      <c r="I295" s="6" t="str">
        <f aca="false">IF($O295="","",INDEX(Scoring!$R$29:$R$361,MATCH($O295,Scoring!$AI$29:$AI$361,0)))</f>
        <v/>
      </c>
      <c r="J295" s="7" t="str">
        <f aca="false">IF($O295="","",INDEX(Scoring!$S$29:$S$361,MATCH($O295,Scoring!$AI$29:$AI$361,0)))</f>
        <v/>
      </c>
      <c r="K295" s="8" t="str">
        <f aca="false">IF($O295="","",IF(INDEX(Scoring!$I$29:$I$361,MATCH($O295,Scoring!$AI$29:$AI$361,0))="",INDEX(Scoring!$AC$29:$AC$361,MATCH($O295,Scoring!$AI$29:$AI$361,0)),INDEX(Scoring!$I$29:$I$361,MATCH($O295,Scoring!$AI$29:$AI$361,0))))</f>
        <v/>
      </c>
      <c r="L295" s="9" t="str">
        <f aca="false">IF($O295="","",INDEX(Scoring!$M$29:$M$361,MATCH($O295,Scoring!$AI$29:$AI$361,0)))</f>
        <v/>
      </c>
      <c r="M295" s="9" t="str">
        <f aca="false">IF($O295="","",INDEX(Scoring!$O$29:$O$361,MATCH($O295,Scoring!$AI$29:$AI$361,0)))</f>
        <v/>
      </c>
      <c r="N295" s="7" t="str">
        <f aca="false">IF($O295="","",INDEX(Scoring!$Y$29:$Y$361,MATCH($O295,Scoring!$AI$29:$AI$361,0)))</f>
        <v/>
      </c>
      <c r="O295" s="10" t="str">
        <f aca="false">IFERROR(SMALL(Scoring!$AI$29:$AI$361,291),"")</f>
        <v/>
      </c>
    </row>
    <row r="296" customFormat="false" ht="15" hidden="false" customHeight="false" outlineLevel="0" collapsed="false">
      <c r="A296" s="5" t="str">
        <f aca="false">IF($O296="","",INT($O296/1000))</f>
        <v/>
      </c>
      <c r="B296" s="6" t="str">
        <f aca="false">IF($O296="","",INDEX(Scoring!$A$29:$A$361,MATCH($O296,Scoring!$AI$29:$AI$361,0)))</f>
        <v/>
      </c>
      <c r="C296" s="5" t="str">
        <f aca="false">IF($O296="","",IF(INDEX(Scoring!$F$29:$F$361,MATCH($O296,Scoring!$AI$29:$AI$361,0))="","–",INDEX(Scoring!$F$29:$F$361,MATCH($O296,Scoring!$AI$29:$AI$361,0))))</f>
        <v/>
      </c>
      <c r="D296" s="6" t="str">
        <f aca="false">IF($O296="","",INDEX(Scoring!$E$29:$E$361,MATCH($O296,Scoring!$AI$29:$AI$361,0)))</f>
        <v/>
      </c>
      <c r="E296" s="7" t="str">
        <f aca="false">IF($O296="","",INDEX(Scoring!$G$29:$G$361,MATCH($O296,Scoring!$AI$29:$AI$361,0)))</f>
        <v/>
      </c>
      <c r="F296" s="6" t="str">
        <f aca="false">IF($O296="","",INDEX(Scoring!$B$29:$B$361,MATCH($O296,Scoring!$AI$29:$AI$361,0)))</f>
        <v/>
      </c>
      <c r="G296" s="7" t="str">
        <f aca="false">IF($O296="","",INDEX(Scoring!$C$29:$C$361,MATCH($O296,Scoring!$AI$29:$AI$361,0)))</f>
        <v/>
      </c>
      <c r="H296" s="7" t="str">
        <f aca="false">IF($O296="","",INDEX(Scoring!$D$29:$D$361,MATCH($O296,Scoring!$AI$29:$AI$361,0)))</f>
        <v/>
      </c>
      <c r="I296" s="6" t="str">
        <f aca="false">IF($O296="","",INDEX(Scoring!$R$29:$R$361,MATCH($O296,Scoring!$AI$29:$AI$361,0)))</f>
        <v/>
      </c>
      <c r="J296" s="7" t="str">
        <f aca="false">IF($O296="","",INDEX(Scoring!$S$29:$S$361,MATCH($O296,Scoring!$AI$29:$AI$361,0)))</f>
        <v/>
      </c>
      <c r="K296" s="8" t="str">
        <f aca="false">IF($O296="","",IF(INDEX(Scoring!$I$29:$I$361,MATCH($O296,Scoring!$AI$29:$AI$361,0))="",INDEX(Scoring!$AC$29:$AC$361,MATCH($O296,Scoring!$AI$29:$AI$361,0)),INDEX(Scoring!$I$29:$I$361,MATCH($O296,Scoring!$AI$29:$AI$361,0))))</f>
        <v/>
      </c>
      <c r="L296" s="9" t="str">
        <f aca="false">IF($O296="","",INDEX(Scoring!$M$29:$M$361,MATCH($O296,Scoring!$AI$29:$AI$361,0)))</f>
        <v/>
      </c>
      <c r="M296" s="9" t="str">
        <f aca="false">IF($O296="","",INDEX(Scoring!$O$29:$O$361,MATCH($O296,Scoring!$AI$29:$AI$361,0)))</f>
        <v/>
      </c>
      <c r="N296" s="7" t="str">
        <f aca="false">IF($O296="","",INDEX(Scoring!$Y$29:$Y$361,MATCH($O296,Scoring!$AI$29:$AI$361,0)))</f>
        <v/>
      </c>
      <c r="O296" s="10" t="str">
        <f aca="false">IFERROR(SMALL(Scoring!$AI$29:$AI$361,292),"")</f>
        <v/>
      </c>
    </row>
    <row r="297" customFormat="false" ht="15" hidden="false" customHeight="false" outlineLevel="0" collapsed="false">
      <c r="A297" s="5" t="str">
        <f aca="false">IF($O297="","",INT($O297/1000))</f>
        <v/>
      </c>
      <c r="B297" s="6" t="str">
        <f aca="false">IF($O297="","",INDEX(Scoring!$A$29:$A$361,MATCH($O297,Scoring!$AI$29:$AI$361,0)))</f>
        <v/>
      </c>
      <c r="C297" s="5" t="str">
        <f aca="false">IF($O297="","",IF(INDEX(Scoring!$F$29:$F$361,MATCH($O297,Scoring!$AI$29:$AI$361,0))="","–",INDEX(Scoring!$F$29:$F$361,MATCH($O297,Scoring!$AI$29:$AI$361,0))))</f>
        <v/>
      </c>
      <c r="D297" s="6" t="str">
        <f aca="false">IF($O297="","",INDEX(Scoring!$E$29:$E$361,MATCH($O297,Scoring!$AI$29:$AI$361,0)))</f>
        <v/>
      </c>
      <c r="E297" s="7" t="str">
        <f aca="false">IF($O297="","",INDEX(Scoring!$G$29:$G$361,MATCH($O297,Scoring!$AI$29:$AI$361,0)))</f>
        <v/>
      </c>
      <c r="F297" s="6" t="str">
        <f aca="false">IF($O297="","",INDEX(Scoring!$B$29:$B$361,MATCH($O297,Scoring!$AI$29:$AI$361,0)))</f>
        <v/>
      </c>
      <c r="G297" s="7" t="str">
        <f aca="false">IF($O297="","",INDEX(Scoring!$C$29:$C$361,MATCH($O297,Scoring!$AI$29:$AI$361,0)))</f>
        <v/>
      </c>
      <c r="H297" s="7" t="str">
        <f aca="false">IF($O297="","",INDEX(Scoring!$D$29:$D$361,MATCH($O297,Scoring!$AI$29:$AI$361,0)))</f>
        <v/>
      </c>
      <c r="I297" s="6" t="str">
        <f aca="false">IF($O297="","",INDEX(Scoring!$R$29:$R$361,MATCH($O297,Scoring!$AI$29:$AI$361,0)))</f>
        <v/>
      </c>
      <c r="J297" s="7" t="str">
        <f aca="false">IF($O297="","",INDEX(Scoring!$S$29:$S$361,MATCH($O297,Scoring!$AI$29:$AI$361,0)))</f>
        <v/>
      </c>
      <c r="K297" s="8" t="str">
        <f aca="false">IF($O297="","",IF(INDEX(Scoring!$I$29:$I$361,MATCH($O297,Scoring!$AI$29:$AI$361,0))="",INDEX(Scoring!$AC$29:$AC$361,MATCH($O297,Scoring!$AI$29:$AI$361,0)),INDEX(Scoring!$I$29:$I$361,MATCH($O297,Scoring!$AI$29:$AI$361,0))))</f>
        <v/>
      </c>
      <c r="L297" s="9" t="str">
        <f aca="false">IF($O297="","",INDEX(Scoring!$M$29:$M$361,MATCH($O297,Scoring!$AI$29:$AI$361,0)))</f>
        <v/>
      </c>
      <c r="M297" s="9" t="str">
        <f aca="false">IF($O297="","",INDEX(Scoring!$O$29:$O$361,MATCH($O297,Scoring!$AI$29:$AI$361,0)))</f>
        <v/>
      </c>
      <c r="N297" s="7" t="str">
        <f aca="false">IF($O297="","",INDEX(Scoring!$Y$29:$Y$361,MATCH($O297,Scoring!$AI$29:$AI$361,0)))</f>
        <v/>
      </c>
      <c r="O297" s="10" t="str">
        <f aca="false">IFERROR(SMALL(Scoring!$AI$29:$AI$361,293),"")</f>
        <v/>
      </c>
    </row>
    <row r="298" customFormat="false" ht="15" hidden="false" customHeight="false" outlineLevel="0" collapsed="false">
      <c r="A298" s="5" t="str">
        <f aca="false">IF($O298="","",INT($O298/1000))</f>
        <v/>
      </c>
      <c r="B298" s="6" t="str">
        <f aca="false">IF($O298="","",INDEX(Scoring!$A$29:$A$361,MATCH($O298,Scoring!$AI$29:$AI$361,0)))</f>
        <v/>
      </c>
      <c r="C298" s="5" t="str">
        <f aca="false">IF($O298="","",IF(INDEX(Scoring!$F$29:$F$361,MATCH($O298,Scoring!$AI$29:$AI$361,0))="","–",INDEX(Scoring!$F$29:$F$361,MATCH($O298,Scoring!$AI$29:$AI$361,0))))</f>
        <v/>
      </c>
      <c r="D298" s="6" t="str">
        <f aca="false">IF($O298="","",INDEX(Scoring!$E$29:$E$361,MATCH($O298,Scoring!$AI$29:$AI$361,0)))</f>
        <v/>
      </c>
      <c r="E298" s="7" t="str">
        <f aca="false">IF($O298="","",INDEX(Scoring!$G$29:$G$361,MATCH($O298,Scoring!$AI$29:$AI$361,0)))</f>
        <v/>
      </c>
      <c r="F298" s="6" t="str">
        <f aca="false">IF($O298="","",INDEX(Scoring!$B$29:$B$361,MATCH($O298,Scoring!$AI$29:$AI$361,0)))</f>
        <v/>
      </c>
      <c r="G298" s="7" t="str">
        <f aca="false">IF($O298="","",INDEX(Scoring!$C$29:$C$361,MATCH($O298,Scoring!$AI$29:$AI$361,0)))</f>
        <v/>
      </c>
      <c r="H298" s="7" t="str">
        <f aca="false">IF($O298="","",INDEX(Scoring!$D$29:$D$361,MATCH($O298,Scoring!$AI$29:$AI$361,0)))</f>
        <v/>
      </c>
      <c r="I298" s="6" t="str">
        <f aca="false">IF($O298="","",INDEX(Scoring!$R$29:$R$361,MATCH($O298,Scoring!$AI$29:$AI$361,0)))</f>
        <v/>
      </c>
      <c r="J298" s="7" t="str">
        <f aca="false">IF($O298="","",INDEX(Scoring!$S$29:$S$361,MATCH($O298,Scoring!$AI$29:$AI$361,0)))</f>
        <v/>
      </c>
      <c r="K298" s="8" t="str">
        <f aca="false">IF($O298="","",IF(INDEX(Scoring!$I$29:$I$361,MATCH($O298,Scoring!$AI$29:$AI$361,0))="",INDEX(Scoring!$AC$29:$AC$361,MATCH($O298,Scoring!$AI$29:$AI$361,0)),INDEX(Scoring!$I$29:$I$361,MATCH($O298,Scoring!$AI$29:$AI$361,0))))</f>
        <v/>
      </c>
      <c r="L298" s="9" t="str">
        <f aca="false">IF($O298="","",INDEX(Scoring!$M$29:$M$361,MATCH($O298,Scoring!$AI$29:$AI$361,0)))</f>
        <v/>
      </c>
      <c r="M298" s="9" t="str">
        <f aca="false">IF($O298="","",INDEX(Scoring!$O$29:$O$361,MATCH($O298,Scoring!$AI$29:$AI$361,0)))</f>
        <v/>
      </c>
      <c r="N298" s="7" t="str">
        <f aca="false">IF($O298="","",INDEX(Scoring!$Y$29:$Y$361,MATCH($O298,Scoring!$AI$29:$AI$361,0)))</f>
        <v/>
      </c>
      <c r="O298" s="10" t="str">
        <f aca="false">IFERROR(SMALL(Scoring!$AI$29:$AI$361,294),"")</f>
        <v/>
      </c>
    </row>
    <row r="299" customFormat="false" ht="15" hidden="false" customHeight="false" outlineLevel="0" collapsed="false">
      <c r="A299" s="5" t="str">
        <f aca="false">IF($O299="","",INT($O299/1000))</f>
        <v/>
      </c>
      <c r="B299" s="6" t="str">
        <f aca="false">IF($O299="","",INDEX(Scoring!$A$29:$A$361,MATCH($O299,Scoring!$AI$29:$AI$361,0)))</f>
        <v/>
      </c>
      <c r="C299" s="5" t="str">
        <f aca="false">IF($O299="","",IF(INDEX(Scoring!$F$29:$F$361,MATCH($O299,Scoring!$AI$29:$AI$361,0))="","–",INDEX(Scoring!$F$29:$F$361,MATCH($O299,Scoring!$AI$29:$AI$361,0))))</f>
        <v/>
      </c>
      <c r="D299" s="6" t="str">
        <f aca="false">IF($O299="","",INDEX(Scoring!$E$29:$E$361,MATCH($O299,Scoring!$AI$29:$AI$361,0)))</f>
        <v/>
      </c>
      <c r="E299" s="7" t="str">
        <f aca="false">IF($O299="","",INDEX(Scoring!$G$29:$G$361,MATCH($O299,Scoring!$AI$29:$AI$361,0)))</f>
        <v/>
      </c>
      <c r="F299" s="6" t="str">
        <f aca="false">IF($O299="","",INDEX(Scoring!$B$29:$B$361,MATCH($O299,Scoring!$AI$29:$AI$361,0)))</f>
        <v/>
      </c>
      <c r="G299" s="7" t="str">
        <f aca="false">IF($O299="","",INDEX(Scoring!$C$29:$C$361,MATCH($O299,Scoring!$AI$29:$AI$361,0)))</f>
        <v/>
      </c>
      <c r="H299" s="7" t="str">
        <f aca="false">IF($O299="","",INDEX(Scoring!$D$29:$D$361,MATCH($O299,Scoring!$AI$29:$AI$361,0)))</f>
        <v/>
      </c>
      <c r="I299" s="6" t="str">
        <f aca="false">IF($O299="","",INDEX(Scoring!$R$29:$R$361,MATCH($O299,Scoring!$AI$29:$AI$361,0)))</f>
        <v/>
      </c>
      <c r="J299" s="7" t="str">
        <f aca="false">IF($O299="","",INDEX(Scoring!$S$29:$S$361,MATCH($O299,Scoring!$AI$29:$AI$361,0)))</f>
        <v/>
      </c>
      <c r="K299" s="8" t="str">
        <f aca="false">IF($O299="","",IF(INDEX(Scoring!$I$29:$I$361,MATCH($O299,Scoring!$AI$29:$AI$361,0))="",INDEX(Scoring!$AC$29:$AC$361,MATCH($O299,Scoring!$AI$29:$AI$361,0)),INDEX(Scoring!$I$29:$I$361,MATCH($O299,Scoring!$AI$29:$AI$361,0))))</f>
        <v/>
      </c>
      <c r="L299" s="9" t="str">
        <f aca="false">IF($O299="","",INDEX(Scoring!$M$29:$M$361,MATCH($O299,Scoring!$AI$29:$AI$361,0)))</f>
        <v/>
      </c>
      <c r="M299" s="9" t="str">
        <f aca="false">IF($O299="","",INDEX(Scoring!$O$29:$O$361,MATCH($O299,Scoring!$AI$29:$AI$361,0)))</f>
        <v/>
      </c>
      <c r="N299" s="7" t="str">
        <f aca="false">IF($O299="","",INDEX(Scoring!$Y$29:$Y$361,MATCH($O299,Scoring!$AI$29:$AI$361,0)))</f>
        <v/>
      </c>
      <c r="O299" s="10" t="str">
        <f aca="false">IFERROR(SMALL(Scoring!$AI$29:$AI$361,295),"")</f>
        <v/>
      </c>
    </row>
    <row r="300" customFormat="false" ht="15" hidden="false" customHeight="false" outlineLevel="0" collapsed="false">
      <c r="A300" s="5" t="str">
        <f aca="false">IF($O300="","",INT($O300/1000))</f>
        <v/>
      </c>
      <c r="B300" s="6" t="str">
        <f aca="false">IF($O300="","",INDEX(Scoring!$A$29:$A$361,MATCH($O300,Scoring!$AI$29:$AI$361,0)))</f>
        <v/>
      </c>
      <c r="C300" s="5" t="str">
        <f aca="false">IF($O300="","",IF(INDEX(Scoring!$F$29:$F$361,MATCH($O300,Scoring!$AI$29:$AI$361,0))="","–",INDEX(Scoring!$F$29:$F$361,MATCH($O300,Scoring!$AI$29:$AI$361,0))))</f>
        <v/>
      </c>
      <c r="D300" s="6" t="str">
        <f aca="false">IF($O300="","",INDEX(Scoring!$E$29:$E$361,MATCH($O300,Scoring!$AI$29:$AI$361,0)))</f>
        <v/>
      </c>
      <c r="E300" s="7" t="str">
        <f aca="false">IF($O300="","",INDEX(Scoring!$G$29:$G$361,MATCH($O300,Scoring!$AI$29:$AI$361,0)))</f>
        <v/>
      </c>
      <c r="F300" s="6" t="str">
        <f aca="false">IF($O300="","",INDEX(Scoring!$B$29:$B$361,MATCH($O300,Scoring!$AI$29:$AI$361,0)))</f>
        <v/>
      </c>
      <c r="G300" s="7" t="str">
        <f aca="false">IF($O300="","",INDEX(Scoring!$C$29:$C$361,MATCH($O300,Scoring!$AI$29:$AI$361,0)))</f>
        <v/>
      </c>
      <c r="H300" s="7" t="str">
        <f aca="false">IF($O300="","",INDEX(Scoring!$D$29:$D$361,MATCH($O300,Scoring!$AI$29:$AI$361,0)))</f>
        <v/>
      </c>
      <c r="I300" s="6" t="str">
        <f aca="false">IF($O300="","",INDEX(Scoring!$R$29:$R$361,MATCH($O300,Scoring!$AI$29:$AI$361,0)))</f>
        <v/>
      </c>
      <c r="J300" s="7" t="str">
        <f aca="false">IF($O300="","",INDEX(Scoring!$S$29:$S$361,MATCH($O300,Scoring!$AI$29:$AI$361,0)))</f>
        <v/>
      </c>
      <c r="K300" s="8" t="str">
        <f aca="false">IF($O300="","",IF(INDEX(Scoring!$I$29:$I$361,MATCH($O300,Scoring!$AI$29:$AI$361,0))="",INDEX(Scoring!$AC$29:$AC$361,MATCH($O300,Scoring!$AI$29:$AI$361,0)),INDEX(Scoring!$I$29:$I$361,MATCH($O300,Scoring!$AI$29:$AI$361,0))))</f>
        <v/>
      </c>
      <c r="L300" s="9" t="str">
        <f aca="false">IF($O300="","",INDEX(Scoring!$M$29:$M$361,MATCH($O300,Scoring!$AI$29:$AI$361,0)))</f>
        <v/>
      </c>
      <c r="M300" s="9" t="str">
        <f aca="false">IF($O300="","",INDEX(Scoring!$O$29:$O$361,MATCH($O300,Scoring!$AI$29:$AI$361,0)))</f>
        <v/>
      </c>
      <c r="N300" s="7" t="str">
        <f aca="false">IF($O300="","",INDEX(Scoring!$Y$29:$Y$361,MATCH($O300,Scoring!$AI$29:$AI$361,0)))</f>
        <v/>
      </c>
      <c r="O300" s="10" t="str">
        <f aca="false">IFERROR(SMALL(Scoring!$AI$29:$AI$361,296),"")</f>
        <v/>
      </c>
    </row>
    <row r="301" customFormat="false" ht="15" hidden="false" customHeight="false" outlineLevel="0" collapsed="false">
      <c r="A301" s="5" t="str">
        <f aca="false">IF($O301="","",INT($O301/1000))</f>
        <v/>
      </c>
      <c r="B301" s="6" t="str">
        <f aca="false">IF($O301="","",INDEX(Scoring!$A$29:$A$361,MATCH($O301,Scoring!$AI$29:$AI$361,0)))</f>
        <v/>
      </c>
      <c r="C301" s="5" t="str">
        <f aca="false">IF($O301="","",IF(INDEX(Scoring!$F$29:$F$361,MATCH($O301,Scoring!$AI$29:$AI$361,0))="","–",INDEX(Scoring!$F$29:$F$361,MATCH($O301,Scoring!$AI$29:$AI$361,0))))</f>
        <v/>
      </c>
      <c r="D301" s="6" t="str">
        <f aca="false">IF($O301="","",INDEX(Scoring!$E$29:$E$361,MATCH($O301,Scoring!$AI$29:$AI$361,0)))</f>
        <v/>
      </c>
      <c r="E301" s="7" t="str">
        <f aca="false">IF($O301="","",INDEX(Scoring!$G$29:$G$361,MATCH($O301,Scoring!$AI$29:$AI$361,0)))</f>
        <v/>
      </c>
      <c r="F301" s="6" t="str">
        <f aca="false">IF($O301="","",INDEX(Scoring!$B$29:$B$361,MATCH($O301,Scoring!$AI$29:$AI$361,0)))</f>
        <v/>
      </c>
      <c r="G301" s="7" t="str">
        <f aca="false">IF($O301="","",INDEX(Scoring!$C$29:$C$361,MATCH($O301,Scoring!$AI$29:$AI$361,0)))</f>
        <v/>
      </c>
      <c r="H301" s="7" t="str">
        <f aca="false">IF($O301="","",INDEX(Scoring!$D$29:$D$361,MATCH($O301,Scoring!$AI$29:$AI$361,0)))</f>
        <v/>
      </c>
      <c r="I301" s="6" t="str">
        <f aca="false">IF($O301="","",INDEX(Scoring!$R$29:$R$361,MATCH($O301,Scoring!$AI$29:$AI$361,0)))</f>
        <v/>
      </c>
      <c r="J301" s="7" t="str">
        <f aca="false">IF($O301="","",INDEX(Scoring!$S$29:$S$361,MATCH($O301,Scoring!$AI$29:$AI$361,0)))</f>
        <v/>
      </c>
      <c r="K301" s="8" t="str">
        <f aca="false">IF($O301="","",IF(INDEX(Scoring!$I$29:$I$361,MATCH($O301,Scoring!$AI$29:$AI$361,0))="",INDEX(Scoring!$AC$29:$AC$361,MATCH($O301,Scoring!$AI$29:$AI$361,0)),INDEX(Scoring!$I$29:$I$361,MATCH($O301,Scoring!$AI$29:$AI$361,0))))</f>
        <v/>
      </c>
      <c r="L301" s="9" t="str">
        <f aca="false">IF($O301="","",INDEX(Scoring!$M$29:$M$361,MATCH($O301,Scoring!$AI$29:$AI$361,0)))</f>
        <v/>
      </c>
      <c r="M301" s="9" t="str">
        <f aca="false">IF($O301="","",INDEX(Scoring!$O$29:$O$361,MATCH($O301,Scoring!$AI$29:$AI$361,0)))</f>
        <v/>
      </c>
      <c r="N301" s="7" t="str">
        <f aca="false">IF($O301="","",INDEX(Scoring!$Y$29:$Y$361,MATCH($O301,Scoring!$AI$29:$AI$361,0)))</f>
        <v/>
      </c>
      <c r="O301" s="10" t="str">
        <f aca="false">IFERROR(SMALL(Scoring!$AI$29:$AI$361,297),"")</f>
        <v/>
      </c>
    </row>
    <row r="302" customFormat="false" ht="15" hidden="false" customHeight="false" outlineLevel="0" collapsed="false">
      <c r="A302" s="5" t="str">
        <f aca="false">IF($O302="","",INT($O302/1000))</f>
        <v/>
      </c>
      <c r="B302" s="6" t="str">
        <f aca="false">IF($O302="","",INDEX(Scoring!$A$29:$A$361,MATCH($O302,Scoring!$AI$29:$AI$361,0)))</f>
        <v/>
      </c>
      <c r="C302" s="5" t="str">
        <f aca="false">IF($O302="","",IF(INDEX(Scoring!$F$29:$F$361,MATCH($O302,Scoring!$AI$29:$AI$361,0))="","–",INDEX(Scoring!$F$29:$F$361,MATCH($O302,Scoring!$AI$29:$AI$361,0))))</f>
        <v/>
      </c>
      <c r="D302" s="6" t="str">
        <f aca="false">IF($O302="","",INDEX(Scoring!$E$29:$E$361,MATCH($O302,Scoring!$AI$29:$AI$361,0)))</f>
        <v/>
      </c>
      <c r="E302" s="7" t="str">
        <f aca="false">IF($O302="","",INDEX(Scoring!$G$29:$G$361,MATCH($O302,Scoring!$AI$29:$AI$361,0)))</f>
        <v/>
      </c>
      <c r="F302" s="6" t="str">
        <f aca="false">IF($O302="","",INDEX(Scoring!$B$29:$B$361,MATCH($O302,Scoring!$AI$29:$AI$361,0)))</f>
        <v/>
      </c>
      <c r="G302" s="7" t="str">
        <f aca="false">IF($O302="","",INDEX(Scoring!$C$29:$C$361,MATCH($O302,Scoring!$AI$29:$AI$361,0)))</f>
        <v/>
      </c>
      <c r="H302" s="7" t="str">
        <f aca="false">IF($O302="","",INDEX(Scoring!$D$29:$D$361,MATCH($O302,Scoring!$AI$29:$AI$361,0)))</f>
        <v/>
      </c>
      <c r="I302" s="6" t="str">
        <f aca="false">IF($O302="","",INDEX(Scoring!$R$29:$R$361,MATCH($O302,Scoring!$AI$29:$AI$361,0)))</f>
        <v/>
      </c>
      <c r="J302" s="7" t="str">
        <f aca="false">IF($O302="","",INDEX(Scoring!$S$29:$S$361,MATCH($O302,Scoring!$AI$29:$AI$361,0)))</f>
        <v/>
      </c>
      <c r="K302" s="8" t="str">
        <f aca="false">IF($O302="","",IF(INDEX(Scoring!$I$29:$I$361,MATCH($O302,Scoring!$AI$29:$AI$361,0))="",INDEX(Scoring!$AC$29:$AC$361,MATCH($O302,Scoring!$AI$29:$AI$361,0)),INDEX(Scoring!$I$29:$I$361,MATCH($O302,Scoring!$AI$29:$AI$361,0))))</f>
        <v/>
      </c>
      <c r="L302" s="9" t="str">
        <f aca="false">IF($O302="","",INDEX(Scoring!$M$29:$M$361,MATCH($O302,Scoring!$AI$29:$AI$361,0)))</f>
        <v/>
      </c>
      <c r="M302" s="9" t="str">
        <f aca="false">IF($O302="","",INDEX(Scoring!$O$29:$O$361,MATCH($O302,Scoring!$AI$29:$AI$361,0)))</f>
        <v/>
      </c>
      <c r="N302" s="7" t="str">
        <f aca="false">IF($O302="","",INDEX(Scoring!$Y$29:$Y$361,MATCH($O302,Scoring!$AI$29:$AI$361,0)))</f>
        <v/>
      </c>
      <c r="O302" s="10" t="str">
        <f aca="false">IFERROR(SMALL(Scoring!$AI$29:$AI$361,298),"")</f>
        <v/>
      </c>
    </row>
    <row r="303" customFormat="false" ht="15" hidden="false" customHeight="false" outlineLevel="0" collapsed="false">
      <c r="A303" s="5" t="str">
        <f aca="false">IF($O303="","",INT($O303/1000))</f>
        <v/>
      </c>
      <c r="B303" s="6" t="str">
        <f aca="false">IF($O303="","",INDEX(Scoring!$A$29:$A$361,MATCH($O303,Scoring!$AI$29:$AI$361,0)))</f>
        <v/>
      </c>
      <c r="C303" s="5" t="str">
        <f aca="false">IF($O303="","",IF(INDEX(Scoring!$F$29:$F$361,MATCH($O303,Scoring!$AI$29:$AI$361,0))="","–",INDEX(Scoring!$F$29:$F$361,MATCH($O303,Scoring!$AI$29:$AI$361,0))))</f>
        <v/>
      </c>
      <c r="D303" s="6" t="str">
        <f aca="false">IF($O303="","",INDEX(Scoring!$E$29:$E$361,MATCH($O303,Scoring!$AI$29:$AI$361,0)))</f>
        <v/>
      </c>
      <c r="E303" s="7" t="str">
        <f aca="false">IF($O303="","",INDEX(Scoring!$G$29:$G$361,MATCH($O303,Scoring!$AI$29:$AI$361,0)))</f>
        <v/>
      </c>
      <c r="F303" s="6" t="str">
        <f aca="false">IF($O303="","",INDEX(Scoring!$B$29:$B$361,MATCH($O303,Scoring!$AI$29:$AI$361,0)))</f>
        <v/>
      </c>
      <c r="G303" s="7" t="str">
        <f aca="false">IF($O303="","",INDEX(Scoring!$C$29:$C$361,MATCH($O303,Scoring!$AI$29:$AI$361,0)))</f>
        <v/>
      </c>
      <c r="H303" s="7" t="str">
        <f aca="false">IF($O303="","",INDEX(Scoring!$D$29:$D$361,MATCH($O303,Scoring!$AI$29:$AI$361,0)))</f>
        <v/>
      </c>
      <c r="I303" s="6" t="str">
        <f aca="false">IF($O303="","",INDEX(Scoring!$R$29:$R$361,MATCH($O303,Scoring!$AI$29:$AI$361,0)))</f>
        <v/>
      </c>
      <c r="J303" s="7" t="str">
        <f aca="false">IF($O303="","",INDEX(Scoring!$S$29:$S$361,MATCH($O303,Scoring!$AI$29:$AI$361,0)))</f>
        <v/>
      </c>
      <c r="K303" s="8" t="str">
        <f aca="false">IF($O303="","",IF(INDEX(Scoring!$I$29:$I$361,MATCH($O303,Scoring!$AI$29:$AI$361,0))="",INDEX(Scoring!$AC$29:$AC$361,MATCH($O303,Scoring!$AI$29:$AI$361,0)),INDEX(Scoring!$I$29:$I$361,MATCH($O303,Scoring!$AI$29:$AI$361,0))))</f>
        <v/>
      </c>
      <c r="L303" s="9" t="str">
        <f aca="false">IF($O303="","",INDEX(Scoring!$M$29:$M$361,MATCH($O303,Scoring!$AI$29:$AI$361,0)))</f>
        <v/>
      </c>
      <c r="M303" s="9" t="str">
        <f aca="false">IF($O303="","",INDEX(Scoring!$O$29:$O$361,MATCH($O303,Scoring!$AI$29:$AI$361,0)))</f>
        <v/>
      </c>
      <c r="N303" s="7" t="str">
        <f aca="false">IF($O303="","",INDEX(Scoring!$Y$29:$Y$361,MATCH($O303,Scoring!$AI$29:$AI$361,0)))</f>
        <v/>
      </c>
      <c r="O303" s="10" t="str">
        <f aca="false">IFERROR(SMALL(Scoring!$AI$29:$AI$361,299),"")</f>
        <v/>
      </c>
    </row>
    <row r="304" customFormat="false" ht="15" hidden="false" customHeight="false" outlineLevel="0" collapsed="false">
      <c r="A304" s="5" t="str">
        <f aca="false">IF($O304="","",INT($O304/1000))</f>
        <v/>
      </c>
      <c r="B304" s="6" t="str">
        <f aca="false">IF($O304="","",INDEX(Scoring!$A$29:$A$361,MATCH($O304,Scoring!$AI$29:$AI$361,0)))</f>
        <v/>
      </c>
      <c r="C304" s="5" t="str">
        <f aca="false">IF($O304="","",IF(INDEX(Scoring!$F$29:$F$361,MATCH($O304,Scoring!$AI$29:$AI$361,0))="","–",INDEX(Scoring!$F$29:$F$361,MATCH($O304,Scoring!$AI$29:$AI$361,0))))</f>
        <v/>
      </c>
      <c r="D304" s="6" t="str">
        <f aca="false">IF($O304="","",INDEX(Scoring!$E$29:$E$361,MATCH($O304,Scoring!$AI$29:$AI$361,0)))</f>
        <v/>
      </c>
      <c r="E304" s="7" t="str">
        <f aca="false">IF($O304="","",INDEX(Scoring!$G$29:$G$361,MATCH($O304,Scoring!$AI$29:$AI$361,0)))</f>
        <v/>
      </c>
      <c r="F304" s="6" t="str">
        <f aca="false">IF($O304="","",INDEX(Scoring!$B$29:$B$361,MATCH($O304,Scoring!$AI$29:$AI$361,0)))</f>
        <v/>
      </c>
      <c r="G304" s="7" t="str">
        <f aca="false">IF($O304="","",INDEX(Scoring!$C$29:$C$361,MATCH($O304,Scoring!$AI$29:$AI$361,0)))</f>
        <v/>
      </c>
      <c r="H304" s="7" t="str">
        <f aca="false">IF($O304="","",INDEX(Scoring!$D$29:$D$361,MATCH($O304,Scoring!$AI$29:$AI$361,0)))</f>
        <v/>
      </c>
      <c r="I304" s="6" t="str">
        <f aca="false">IF($O304="","",INDEX(Scoring!$R$29:$R$361,MATCH($O304,Scoring!$AI$29:$AI$361,0)))</f>
        <v/>
      </c>
      <c r="J304" s="7" t="str">
        <f aca="false">IF($O304="","",INDEX(Scoring!$S$29:$S$361,MATCH($O304,Scoring!$AI$29:$AI$361,0)))</f>
        <v/>
      </c>
      <c r="K304" s="8" t="str">
        <f aca="false">IF($O304="","",IF(INDEX(Scoring!$I$29:$I$361,MATCH($O304,Scoring!$AI$29:$AI$361,0))="",INDEX(Scoring!$AC$29:$AC$361,MATCH($O304,Scoring!$AI$29:$AI$361,0)),INDEX(Scoring!$I$29:$I$361,MATCH($O304,Scoring!$AI$29:$AI$361,0))))</f>
        <v/>
      </c>
      <c r="L304" s="9" t="str">
        <f aca="false">IF($O304="","",INDEX(Scoring!$M$29:$M$361,MATCH($O304,Scoring!$AI$29:$AI$361,0)))</f>
        <v/>
      </c>
      <c r="M304" s="9" t="str">
        <f aca="false">IF($O304="","",INDEX(Scoring!$O$29:$O$361,MATCH($O304,Scoring!$AI$29:$AI$361,0)))</f>
        <v/>
      </c>
      <c r="N304" s="7" t="str">
        <f aca="false">IF($O304="","",INDEX(Scoring!$Y$29:$Y$361,MATCH($O304,Scoring!$AI$29:$AI$361,0)))</f>
        <v/>
      </c>
      <c r="O304" s="10" t="str">
        <f aca="false">IFERROR(SMALL(Scoring!$AI$29:$AI$361,300),"")</f>
        <v/>
      </c>
    </row>
    <row r="305" customFormat="false" ht="15" hidden="false" customHeight="false" outlineLevel="0" collapsed="false">
      <c r="A305" s="5" t="str">
        <f aca="false">IF($O305="","",INT($O305/1000))</f>
        <v/>
      </c>
      <c r="B305" s="6" t="str">
        <f aca="false">IF($O305="","",INDEX(Scoring!$A$29:$A$361,MATCH($O305,Scoring!$AI$29:$AI$361,0)))</f>
        <v/>
      </c>
      <c r="C305" s="5" t="str">
        <f aca="false">IF($O305="","",IF(INDEX(Scoring!$F$29:$F$361,MATCH($O305,Scoring!$AI$29:$AI$361,0))="","–",INDEX(Scoring!$F$29:$F$361,MATCH($O305,Scoring!$AI$29:$AI$361,0))))</f>
        <v/>
      </c>
      <c r="D305" s="6" t="str">
        <f aca="false">IF($O305="","",INDEX(Scoring!$E$29:$E$361,MATCH($O305,Scoring!$AI$29:$AI$361,0)))</f>
        <v/>
      </c>
      <c r="E305" s="7" t="str">
        <f aca="false">IF($O305="","",INDEX(Scoring!$G$29:$G$361,MATCH($O305,Scoring!$AI$29:$AI$361,0)))</f>
        <v/>
      </c>
      <c r="F305" s="6" t="str">
        <f aca="false">IF($O305="","",INDEX(Scoring!$B$29:$B$361,MATCH($O305,Scoring!$AI$29:$AI$361,0)))</f>
        <v/>
      </c>
      <c r="G305" s="7" t="str">
        <f aca="false">IF($O305="","",INDEX(Scoring!$C$29:$C$361,MATCH($O305,Scoring!$AI$29:$AI$361,0)))</f>
        <v/>
      </c>
      <c r="H305" s="7" t="str">
        <f aca="false">IF($O305="","",INDEX(Scoring!$D$29:$D$361,MATCH($O305,Scoring!$AI$29:$AI$361,0)))</f>
        <v/>
      </c>
      <c r="I305" s="6" t="str">
        <f aca="false">IF($O305="","",INDEX(Scoring!$R$29:$R$361,MATCH($O305,Scoring!$AI$29:$AI$361,0)))</f>
        <v/>
      </c>
      <c r="J305" s="7" t="str">
        <f aca="false">IF($O305="","",INDEX(Scoring!$S$29:$S$361,MATCH($O305,Scoring!$AI$29:$AI$361,0)))</f>
        <v/>
      </c>
      <c r="K305" s="8" t="str">
        <f aca="false">IF($O305="","",IF(INDEX(Scoring!$I$29:$I$361,MATCH($O305,Scoring!$AI$29:$AI$361,0))="",INDEX(Scoring!$AC$29:$AC$361,MATCH($O305,Scoring!$AI$29:$AI$361,0)),INDEX(Scoring!$I$29:$I$361,MATCH($O305,Scoring!$AI$29:$AI$361,0))))</f>
        <v/>
      </c>
      <c r="L305" s="9" t="str">
        <f aca="false">IF($O305="","",INDEX(Scoring!$M$29:$M$361,MATCH($O305,Scoring!$AI$29:$AI$361,0)))</f>
        <v/>
      </c>
      <c r="M305" s="9" t="str">
        <f aca="false">IF($O305="","",INDEX(Scoring!$O$29:$O$361,MATCH($O305,Scoring!$AI$29:$AI$361,0)))</f>
        <v/>
      </c>
      <c r="N305" s="7" t="str">
        <f aca="false">IF($O305="","",INDEX(Scoring!$Y$29:$Y$361,MATCH($O305,Scoring!$AI$29:$AI$361,0)))</f>
        <v/>
      </c>
      <c r="O305" s="10" t="str">
        <f aca="false">IFERROR(SMALL(Scoring!$AI$29:$AI$361,301),"")</f>
        <v/>
      </c>
    </row>
    <row r="306" customFormat="false" ht="15" hidden="false" customHeight="false" outlineLevel="0" collapsed="false">
      <c r="A306" s="5" t="str">
        <f aca="false">IF($O306="","",INT($O306/1000))</f>
        <v/>
      </c>
      <c r="B306" s="6" t="str">
        <f aca="false">IF($O306="","",INDEX(Scoring!$A$29:$A$361,MATCH($O306,Scoring!$AI$29:$AI$361,0)))</f>
        <v/>
      </c>
      <c r="C306" s="5" t="str">
        <f aca="false">IF($O306="","",IF(INDEX(Scoring!$F$29:$F$361,MATCH($O306,Scoring!$AI$29:$AI$361,0))="","–",INDEX(Scoring!$F$29:$F$361,MATCH($O306,Scoring!$AI$29:$AI$361,0))))</f>
        <v/>
      </c>
      <c r="D306" s="6" t="str">
        <f aca="false">IF($O306="","",INDEX(Scoring!$E$29:$E$361,MATCH($O306,Scoring!$AI$29:$AI$361,0)))</f>
        <v/>
      </c>
      <c r="E306" s="7" t="str">
        <f aca="false">IF($O306="","",INDEX(Scoring!$G$29:$G$361,MATCH($O306,Scoring!$AI$29:$AI$361,0)))</f>
        <v/>
      </c>
      <c r="F306" s="6" t="str">
        <f aca="false">IF($O306="","",INDEX(Scoring!$B$29:$B$361,MATCH($O306,Scoring!$AI$29:$AI$361,0)))</f>
        <v/>
      </c>
      <c r="G306" s="7" t="str">
        <f aca="false">IF($O306="","",INDEX(Scoring!$C$29:$C$361,MATCH($O306,Scoring!$AI$29:$AI$361,0)))</f>
        <v/>
      </c>
      <c r="H306" s="7" t="str">
        <f aca="false">IF($O306="","",INDEX(Scoring!$D$29:$D$361,MATCH($O306,Scoring!$AI$29:$AI$361,0)))</f>
        <v/>
      </c>
      <c r="I306" s="6" t="str">
        <f aca="false">IF($O306="","",INDEX(Scoring!$R$29:$R$361,MATCH($O306,Scoring!$AI$29:$AI$361,0)))</f>
        <v/>
      </c>
      <c r="J306" s="7" t="str">
        <f aca="false">IF($O306="","",INDEX(Scoring!$S$29:$S$361,MATCH($O306,Scoring!$AI$29:$AI$361,0)))</f>
        <v/>
      </c>
      <c r="K306" s="8" t="str">
        <f aca="false">IF($O306="","",IF(INDEX(Scoring!$I$29:$I$361,MATCH($O306,Scoring!$AI$29:$AI$361,0))="",INDEX(Scoring!$AC$29:$AC$361,MATCH($O306,Scoring!$AI$29:$AI$361,0)),INDEX(Scoring!$I$29:$I$361,MATCH($O306,Scoring!$AI$29:$AI$361,0))))</f>
        <v/>
      </c>
      <c r="L306" s="9" t="str">
        <f aca="false">IF($O306="","",INDEX(Scoring!$M$29:$M$361,MATCH($O306,Scoring!$AI$29:$AI$361,0)))</f>
        <v/>
      </c>
      <c r="M306" s="9" t="str">
        <f aca="false">IF($O306="","",INDEX(Scoring!$O$29:$O$361,MATCH($O306,Scoring!$AI$29:$AI$361,0)))</f>
        <v/>
      </c>
      <c r="N306" s="7" t="str">
        <f aca="false">IF($O306="","",INDEX(Scoring!$Y$29:$Y$361,MATCH($O306,Scoring!$AI$29:$AI$361,0)))</f>
        <v/>
      </c>
      <c r="O306" s="10" t="str">
        <f aca="false">IFERROR(SMALL(Scoring!$AI$29:$AI$361,302),"")</f>
        <v/>
      </c>
    </row>
    <row r="307" customFormat="false" ht="15" hidden="false" customHeight="false" outlineLevel="0" collapsed="false">
      <c r="A307" s="5" t="str">
        <f aca="false">IF($O307="","",INT($O307/1000))</f>
        <v/>
      </c>
      <c r="B307" s="6" t="str">
        <f aca="false">IF($O307="","",INDEX(Scoring!$A$29:$A$361,MATCH($O307,Scoring!$AI$29:$AI$361,0)))</f>
        <v/>
      </c>
      <c r="C307" s="5" t="str">
        <f aca="false">IF($O307="","",IF(INDEX(Scoring!$F$29:$F$361,MATCH($O307,Scoring!$AI$29:$AI$361,0))="","–",INDEX(Scoring!$F$29:$F$361,MATCH($O307,Scoring!$AI$29:$AI$361,0))))</f>
        <v/>
      </c>
      <c r="D307" s="6" t="str">
        <f aca="false">IF($O307="","",INDEX(Scoring!$E$29:$E$361,MATCH($O307,Scoring!$AI$29:$AI$361,0)))</f>
        <v/>
      </c>
      <c r="E307" s="7" t="str">
        <f aca="false">IF($O307="","",INDEX(Scoring!$G$29:$G$361,MATCH($O307,Scoring!$AI$29:$AI$361,0)))</f>
        <v/>
      </c>
      <c r="F307" s="6" t="str">
        <f aca="false">IF($O307="","",INDEX(Scoring!$B$29:$B$361,MATCH($O307,Scoring!$AI$29:$AI$361,0)))</f>
        <v/>
      </c>
      <c r="G307" s="7" t="str">
        <f aca="false">IF($O307="","",INDEX(Scoring!$C$29:$C$361,MATCH($O307,Scoring!$AI$29:$AI$361,0)))</f>
        <v/>
      </c>
      <c r="H307" s="7" t="str">
        <f aca="false">IF($O307="","",INDEX(Scoring!$D$29:$D$361,MATCH($O307,Scoring!$AI$29:$AI$361,0)))</f>
        <v/>
      </c>
      <c r="I307" s="6" t="str">
        <f aca="false">IF($O307="","",INDEX(Scoring!$R$29:$R$361,MATCH($O307,Scoring!$AI$29:$AI$361,0)))</f>
        <v/>
      </c>
      <c r="J307" s="7" t="str">
        <f aca="false">IF($O307="","",INDEX(Scoring!$S$29:$S$361,MATCH($O307,Scoring!$AI$29:$AI$361,0)))</f>
        <v/>
      </c>
      <c r="K307" s="8" t="str">
        <f aca="false">IF($O307="","",IF(INDEX(Scoring!$I$29:$I$361,MATCH($O307,Scoring!$AI$29:$AI$361,0))="",INDEX(Scoring!$AC$29:$AC$361,MATCH($O307,Scoring!$AI$29:$AI$361,0)),INDEX(Scoring!$I$29:$I$361,MATCH($O307,Scoring!$AI$29:$AI$361,0))))</f>
        <v/>
      </c>
      <c r="L307" s="9" t="str">
        <f aca="false">IF($O307="","",INDEX(Scoring!$M$29:$M$361,MATCH($O307,Scoring!$AI$29:$AI$361,0)))</f>
        <v/>
      </c>
      <c r="M307" s="9" t="str">
        <f aca="false">IF($O307="","",INDEX(Scoring!$O$29:$O$361,MATCH($O307,Scoring!$AI$29:$AI$361,0)))</f>
        <v/>
      </c>
      <c r="N307" s="7" t="str">
        <f aca="false">IF($O307="","",INDEX(Scoring!$Y$29:$Y$361,MATCH($O307,Scoring!$AI$29:$AI$361,0)))</f>
        <v/>
      </c>
      <c r="O307" s="10" t="str">
        <f aca="false">IFERROR(SMALL(Scoring!$AI$29:$AI$361,303),"")</f>
        <v/>
      </c>
    </row>
    <row r="308" customFormat="false" ht="15" hidden="false" customHeight="false" outlineLevel="0" collapsed="false">
      <c r="A308" s="5" t="str">
        <f aca="false">IF($O308="","",INT($O308/1000))</f>
        <v/>
      </c>
      <c r="B308" s="6" t="str">
        <f aca="false">IF($O308="","",INDEX(Scoring!$A$29:$A$361,MATCH($O308,Scoring!$AI$29:$AI$361,0)))</f>
        <v/>
      </c>
      <c r="C308" s="5" t="str">
        <f aca="false">IF($O308="","",IF(INDEX(Scoring!$F$29:$F$361,MATCH($O308,Scoring!$AI$29:$AI$361,0))="","–",INDEX(Scoring!$F$29:$F$361,MATCH($O308,Scoring!$AI$29:$AI$361,0))))</f>
        <v/>
      </c>
      <c r="D308" s="6" t="str">
        <f aca="false">IF($O308="","",INDEX(Scoring!$E$29:$E$361,MATCH($O308,Scoring!$AI$29:$AI$361,0)))</f>
        <v/>
      </c>
      <c r="E308" s="7" t="str">
        <f aca="false">IF($O308="","",INDEX(Scoring!$G$29:$G$361,MATCH($O308,Scoring!$AI$29:$AI$361,0)))</f>
        <v/>
      </c>
      <c r="F308" s="6" t="str">
        <f aca="false">IF($O308="","",INDEX(Scoring!$B$29:$B$361,MATCH($O308,Scoring!$AI$29:$AI$361,0)))</f>
        <v/>
      </c>
      <c r="G308" s="7" t="str">
        <f aca="false">IF($O308="","",INDEX(Scoring!$C$29:$C$361,MATCH($O308,Scoring!$AI$29:$AI$361,0)))</f>
        <v/>
      </c>
      <c r="H308" s="7" t="str">
        <f aca="false">IF($O308="","",INDEX(Scoring!$D$29:$D$361,MATCH($O308,Scoring!$AI$29:$AI$361,0)))</f>
        <v/>
      </c>
      <c r="I308" s="6" t="str">
        <f aca="false">IF($O308="","",INDEX(Scoring!$R$29:$R$361,MATCH($O308,Scoring!$AI$29:$AI$361,0)))</f>
        <v/>
      </c>
      <c r="J308" s="7" t="str">
        <f aca="false">IF($O308="","",INDEX(Scoring!$S$29:$S$361,MATCH($O308,Scoring!$AI$29:$AI$361,0)))</f>
        <v/>
      </c>
      <c r="K308" s="8" t="str">
        <f aca="false">IF($O308="","",IF(INDEX(Scoring!$I$29:$I$361,MATCH($O308,Scoring!$AI$29:$AI$361,0))="",INDEX(Scoring!$AC$29:$AC$361,MATCH($O308,Scoring!$AI$29:$AI$361,0)),INDEX(Scoring!$I$29:$I$361,MATCH($O308,Scoring!$AI$29:$AI$361,0))))</f>
        <v/>
      </c>
      <c r="L308" s="9" t="str">
        <f aca="false">IF($O308="","",INDEX(Scoring!$M$29:$M$361,MATCH($O308,Scoring!$AI$29:$AI$361,0)))</f>
        <v/>
      </c>
      <c r="M308" s="9" t="str">
        <f aca="false">IF($O308="","",INDEX(Scoring!$O$29:$O$361,MATCH($O308,Scoring!$AI$29:$AI$361,0)))</f>
        <v/>
      </c>
      <c r="N308" s="7" t="str">
        <f aca="false">IF($O308="","",INDEX(Scoring!$Y$29:$Y$361,MATCH($O308,Scoring!$AI$29:$AI$361,0)))</f>
        <v/>
      </c>
      <c r="O308" s="10" t="str">
        <f aca="false">IFERROR(SMALL(Scoring!$AI$29:$AI$361,304),"")</f>
        <v/>
      </c>
    </row>
    <row r="309" customFormat="false" ht="15" hidden="false" customHeight="false" outlineLevel="0" collapsed="false">
      <c r="A309" s="5" t="str">
        <f aca="false">IF($O309="","",INT($O309/1000))</f>
        <v/>
      </c>
      <c r="B309" s="6" t="str">
        <f aca="false">IF($O309="","",INDEX(Scoring!$A$29:$A$361,MATCH($O309,Scoring!$AI$29:$AI$361,0)))</f>
        <v/>
      </c>
      <c r="C309" s="5" t="str">
        <f aca="false">IF($O309="","",IF(INDEX(Scoring!$F$29:$F$361,MATCH($O309,Scoring!$AI$29:$AI$361,0))="","–",INDEX(Scoring!$F$29:$F$361,MATCH($O309,Scoring!$AI$29:$AI$361,0))))</f>
        <v/>
      </c>
      <c r="D309" s="6" t="str">
        <f aca="false">IF($O309="","",INDEX(Scoring!$E$29:$E$361,MATCH($O309,Scoring!$AI$29:$AI$361,0)))</f>
        <v/>
      </c>
      <c r="E309" s="7" t="str">
        <f aca="false">IF($O309="","",INDEX(Scoring!$G$29:$G$361,MATCH($O309,Scoring!$AI$29:$AI$361,0)))</f>
        <v/>
      </c>
      <c r="F309" s="6" t="str">
        <f aca="false">IF($O309="","",INDEX(Scoring!$B$29:$B$361,MATCH($O309,Scoring!$AI$29:$AI$361,0)))</f>
        <v/>
      </c>
      <c r="G309" s="7" t="str">
        <f aca="false">IF($O309="","",INDEX(Scoring!$C$29:$C$361,MATCH($O309,Scoring!$AI$29:$AI$361,0)))</f>
        <v/>
      </c>
      <c r="H309" s="7" t="str">
        <f aca="false">IF($O309="","",INDEX(Scoring!$D$29:$D$361,MATCH($O309,Scoring!$AI$29:$AI$361,0)))</f>
        <v/>
      </c>
      <c r="I309" s="6" t="str">
        <f aca="false">IF($O309="","",INDEX(Scoring!$R$29:$R$361,MATCH($O309,Scoring!$AI$29:$AI$361,0)))</f>
        <v/>
      </c>
      <c r="J309" s="7" t="str">
        <f aca="false">IF($O309="","",INDEX(Scoring!$S$29:$S$361,MATCH($O309,Scoring!$AI$29:$AI$361,0)))</f>
        <v/>
      </c>
      <c r="K309" s="8" t="str">
        <f aca="false">IF($O309="","",IF(INDEX(Scoring!$I$29:$I$361,MATCH($O309,Scoring!$AI$29:$AI$361,0))="",INDEX(Scoring!$AC$29:$AC$361,MATCH($O309,Scoring!$AI$29:$AI$361,0)),INDEX(Scoring!$I$29:$I$361,MATCH($O309,Scoring!$AI$29:$AI$361,0))))</f>
        <v/>
      </c>
      <c r="L309" s="9" t="str">
        <f aca="false">IF($O309="","",INDEX(Scoring!$M$29:$M$361,MATCH($O309,Scoring!$AI$29:$AI$361,0)))</f>
        <v/>
      </c>
      <c r="M309" s="9" t="str">
        <f aca="false">IF($O309="","",INDEX(Scoring!$O$29:$O$361,MATCH($O309,Scoring!$AI$29:$AI$361,0)))</f>
        <v/>
      </c>
      <c r="N309" s="7" t="str">
        <f aca="false">IF($O309="","",INDEX(Scoring!$Y$29:$Y$361,MATCH($O309,Scoring!$AI$29:$AI$361,0)))</f>
        <v/>
      </c>
      <c r="O309" s="10" t="str">
        <f aca="false">IFERROR(SMALL(Scoring!$AI$29:$AI$361,305),"")</f>
        <v/>
      </c>
    </row>
    <row r="310" customFormat="false" ht="15" hidden="false" customHeight="false" outlineLevel="0" collapsed="false">
      <c r="A310" s="5" t="str">
        <f aca="false">IF($O310="","",INT($O310/1000))</f>
        <v/>
      </c>
      <c r="B310" s="6" t="str">
        <f aca="false">IF($O310="","",INDEX(Scoring!$A$29:$A$361,MATCH($O310,Scoring!$AI$29:$AI$361,0)))</f>
        <v/>
      </c>
      <c r="C310" s="5" t="str">
        <f aca="false">IF($O310="","",IF(INDEX(Scoring!$F$29:$F$361,MATCH($O310,Scoring!$AI$29:$AI$361,0))="","–",INDEX(Scoring!$F$29:$F$361,MATCH($O310,Scoring!$AI$29:$AI$361,0))))</f>
        <v/>
      </c>
      <c r="D310" s="6" t="str">
        <f aca="false">IF($O310="","",INDEX(Scoring!$E$29:$E$361,MATCH($O310,Scoring!$AI$29:$AI$361,0)))</f>
        <v/>
      </c>
      <c r="E310" s="7" t="str">
        <f aca="false">IF($O310="","",INDEX(Scoring!$G$29:$G$361,MATCH($O310,Scoring!$AI$29:$AI$361,0)))</f>
        <v/>
      </c>
      <c r="F310" s="6" t="str">
        <f aca="false">IF($O310="","",INDEX(Scoring!$B$29:$B$361,MATCH($O310,Scoring!$AI$29:$AI$361,0)))</f>
        <v/>
      </c>
      <c r="G310" s="7" t="str">
        <f aca="false">IF($O310="","",INDEX(Scoring!$C$29:$C$361,MATCH($O310,Scoring!$AI$29:$AI$361,0)))</f>
        <v/>
      </c>
      <c r="H310" s="7" t="str">
        <f aca="false">IF($O310="","",INDEX(Scoring!$D$29:$D$361,MATCH($O310,Scoring!$AI$29:$AI$361,0)))</f>
        <v/>
      </c>
      <c r="I310" s="6" t="str">
        <f aca="false">IF($O310="","",INDEX(Scoring!$R$29:$R$361,MATCH($O310,Scoring!$AI$29:$AI$361,0)))</f>
        <v/>
      </c>
      <c r="J310" s="7" t="str">
        <f aca="false">IF($O310="","",INDEX(Scoring!$S$29:$S$361,MATCH($O310,Scoring!$AI$29:$AI$361,0)))</f>
        <v/>
      </c>
      <c r="K310" s="8" t="str">
        <f aca="false">IF($O310="","",IF(INDEX(Scoring!$I$29:$I$361,MATCH($O310,Scoring!$AI$29:$AI$361,0))="",INDEX(Scoring!$AC$29:$AC$361,MATCH($O310,Scoring!$AI$29:$AI$361,0)),INDEX(Scoring!$I$29:$I$361,MATCH($O310,Scoring!$AI$29:$AI$361,0))))</f>
        <v/>
      </c>
      <c r="L310" s="9" t="str">
        <f aca="false">IF($O310="","",INDEX(Scoring!$M$29:$M$361,MATCH($O310,Scoring!$AI$29:$AI$361,0)))</f>
        <v/>
      </c>
      <c r="M310" s="9" t="str">
        <f aca="false">IF($O310="","",INDEX(Scoring!$O$29:$O$361,MATCH($O310,Scoring!$AI$29:$AI$361,0)))</f>
        <v/>
      </c>
      <c r="N310" s="7" t="str">
        <f aca="false">IF($O310="","",INDEX(Scoring!$Y$29:$Y$361,MATCH($O310,Scoring!$AI$29:$AI$361,0)))</f>
        <v/>
      </c>
      <c r="O310" s="10" t="str">
        <f aca="false">IFERROR(SMALL(Scoring!$AI$29:$AI$361,306),"")</f>
        <v/>
      </c>
    </row>
    <row r="311" customFormat="false" ht="15" hidden="false" customHeight="false" outlineLevel="0" collapsed="false">
      <c r="A311" s="5" t="str">
        <f aca="false">IF($O311="","",INT($O311/1000))</f>
        <v/>
      </c>
      <c r="B311" s="6" t="str">
        <f aca="false">IF($O311="","",INDEX(Scoring!$A$29:$A$361,MATCH($O311,Scoring!$AI$29:$AI$361,0)))</f>
        <v/>
      </c>
      <c r="C311" s="5" t="str">
        <f aca="false">IF($O311="","",IF(INDEX(Scoring!$F$29:$F$361,MATCH($O311,Scoring!$AI$29:$AI$361,0))="","–",INDEX(Scoring!$F$29:$F$361,MATCH($O311,Scoring!$AI$29:$AI$361,0))))</f>
        <v/>
      </c>
      <c r="D311" s="6" t="str">
        <f aca="false">IF($O311="","",INDEX(Scoring!$E$29:$E$361,MATCH($O311,Scoring!$AI$29:$AI$361,0)))</f>
        <v/>
      </c>
      <c r="E311" s="7" t="str">
        <f aca="false">IF($O311="","",INDEX(Scoring!$G$29:$G$361,MATCH($O311,Scoring!$AI$29:$AI$361,0)))</f>
        <v/>
      </c>
      <c r="F311" s="6" t="str">
        <f aca="false">IF($O311="","",INDEX(Scoring!$B$29:$B$361,MATCH($O311,Scoring!$AI$29:$AI$361,0)))</f>
        <v/>
      </c>
      <c r="G311" s="7" t="str">
        <f aca="false">IF($O311="","",INDEX(Scoring!$C$29:$C$361,MATCH($O311,Scoring!$AI$29:$AI$361,0)))</f>
        <v/>
      </c>
      <c r="H311" s="7" t="str">
        <f aca="false">IF($O311="","",INDEX(Scoring!$D$29:$D$361,MATCH($O311,Scoring!$AI$29:$AI$361,0)))</f>
        <v/>
      </c>
      <c r="I311" s="6" t="str">
        <f aca="false">IF($O311="","",INDEX(Scoring!$R$29:$R$361,MATCH($O311,Scoring!$AI$29:$AI$361,0)))</f>
        <v/>
      </c>
      <c r="J311" s="7" t="str">
        <f aca="false">IF($O311="","",INDEX(Scoring!$S$29:$S$361,MATCH($O311,Scoring!$AI$29:$AI$361,0)))</f>
        <v/>
      </c>
      <c r="K311" s="8" t="str">
        <f aca="false">IF($O311="","",IF(INDEX(Scoring!$I$29:$I$361,MATCH($O311,Scoring!$AI$29:$AI$361,0))="",INDEX(Scoring!$AC$29:$AC$361,MATCH($O311,Scoring!$AI$29:$AI$361,0)),INDEX(Scoring!$I$29:$I$361,MATCH($O311,Scoring!$AI$29:$AI$361,0))))</f>
        <v/>
      </c>
      <c r="L311" s="9" t="str">
        <f aca="false">IF($O311="","",INDEX(Scoring!$M$29:$M$361,MATCH($O311,Scoring!$AI$29:$AI$361,0)))</f>
        <v/>
      </c>
      <c r="M311" s="9" t="str">
        <f aca="false">IF($O311="","",INDEX(Scoring!$O$29:$O$361,MATCH($O311,Scoring!$AI$29:$AI$361,0)))</f>
        <v/>
      </c>
      <c r="N311" s="7" t="str">
        <f aca="false">IF($O311="","",INDEX(Scoring!$Y$29:$Y$361,MATCH($O311,Scoring!$AI$29:$AI$361,0)))</f>
        <v/>
      </c>
      <c r="O311" s="10" t="str">
        <f aca="false">IFERROR(SMALL(Scoring!$AI$29:$AI$361,307),"")</f>
        <v/>
      </c>
    </row>
    <row r="312" customFormat="false" ht="15" hidden="false" customHeight="false" outlineLevel="0" collapsed="false">
      <c r="A312" s="5" t="str">
        <f aca="false">IF($O312="","",INT($O312/1000))</f>
        <v/>
      </c>
      <c r="B312" s="6" t="str">
        <f aca="false">IF($O312="","",INDEX(Scoring!$A$29:$A$361,MATCH($O312,Scoring!$AI$29:$AI$361,0)))</f>
        <v/>
      </c>
      <c r="C312" s="5" t="str">
        <f aca="false">IF($O312="","",IF(INDEX(Scoring!$F$29:$F$361,MATCH($O312,Scoring!$AI$29:$AI$361,0))="","–",INDEX(Scoring!$F$29:$F$361,MATCH($O312,Scoring!$AI$29:$AI$361,0))))</f>
        <v/>
      </c>
      <c r="D312" s="6" t="str">
        <f aca="false">IF($O312="","",INDEX(Scoring!$E$29:$E$361,MATCH($O312,Scoring!$AI$29:$AI$361,0)))</f>
        <v/>
      </c>
      <c r="E312" s="7" t="str">
        <f aca="false">IF($O312="","",INDEX(Scoring!$G$29:$G$361,MATCH($O312,Scoring!$AI$29:$AI$361,0)))</f>
        <v/>
      </c>
      <c r="F312" s="6" t="str">
        <f aca="false">IF($O312="","",INDEX(Scoring!$B$29:$B$361,MATCH($O312,Scoring!$AI$29:$AI$361,0)))</f>
        <v/>
      </c>
      <c r="G312" s="7" t="str">
        <f aca="false">IF($O312="","",INDEX(Scoring!$C$29:$C$361,MATCH($O312,Scoring!$AI$29:$AI$361,0)))</f>
        <v/>
      </c>
      <c r="H312" s="7" t="str">
        <f aca="false">IF($O312="","",INDEX(Scoring!$D$29:$D$361,MATCH($O312,Scoring!$AI$29:$AI$361,0)))</f>
        <v/>
      </c>
      <c r="I312" s="6" t="str">
        <f aca="false">IF($O312="","",INDEX(Scoring!$R$29:$R$361,MATCH($O312,Scoring!$AI$29:$AI$361,0)))</f>
        <v/>
      </c>
      <c r="J312" s="7" t="str">
        <f aca="false">IF($O312="","",INDEX(Scoring!$S$29:$S$361,MATCH($O312,Scoring!$AI$29:$AI$361,0)))</f>
        <v/>
      </c>
      <c r="K312" s="8" t="str">
        <f aca="false">IF($O312="","",IF(INDEX(Scoring!$I$29:$I$361,MATCH($O312,Scoring!$AI$29:$AI$361,0))="",INDEX(Scoring!$AC$29:$AC$361,MATCH($O312,Scoring!$AI$29:$AI$361,0)),INDEX(Scoring!$I$29:$I$361,MATCH($O312,Scoring!$AI$29:$AI$361,0))))</f>
        <v/>
      </c>
      <c r="L312" s="9" t="str">
        <f aca="false">IF($O312="","",INDEX(Scoring!$M$29:$M$361,MATCH($O312,Scoring!$AI$29:$AI$361,0)))</f>
        <v/>
      </c>
      <c r="M312" s="9" t="str">
        <f aca="false">IF($O312="","",INDEX(Scoring!$O$29:$O$361,MATCH($O312,Scoring!$AI$29:$AI$361,0)))</f>
        <v/>
      </c>
      <c r="N312" s="7" t="str">
        <f aca="false">IF($O312="","",INDEX(Scoring!$Y$29:$Y$361,MATCH($O312,Scoring!$AI$29:$AI$361,0)))</f>
        <v/>
      </c>
      <c r="O312" s="10" t="str">
        <f aca="false">IFERROR(SMALL(Scoring!$AI$29:$AI$361,308),"")</f>
        <v/>
      </c>
    </row>
    <row r="313" customFormat="false" ht="15" hidden="false" customHeight="false" outlineLevel="0" collapsed="false">
      <c r="A313" s="5" t="str">
        <f aca="false">IF($O313="","",INT($O313/1000))</f>
        <v/>
      </c>
      <c r="B313" s="6" t="str">
        <f aca="false">IF($O313="","",INDEX(Scoring!$A$29:$A$361,MATCH($O313,Scoring!$AI$29:$AI$361,0)))</f>
        <v/>
      </c>
      <c r="C313" s="5" t="str">
        <f aca="false">IF($O313="","",IF(INDEX(Scoring!$F$29:$F$361,MATCH($O313,Scoring!$AI$29:$AI$361,0))="","–",INDEX(Scoring!$F$29:$F$361,MATCH($O313,Scoring!$AI$29:$AI$361,0))))</f>
        <v/>
      </c>
      <c r="D313" s="6" t="str">
        <f aca="false">IF($O313="","",INDEX(Scoring!$E$29:$E$361,MATCH($O313,Scoring!$AI$29:$AI$361,0)))</f>
        <v/>
      </c>
      <c r="E313" s="7" t="str">
        <f aca="false">IF($O313="","",INDEX(Scoring!$G$29:$G$361,MATCH($O313,Scoring!$AI$29:$AI$361,0)))</f>
        <v/>
      </c>
      <c r="F313" s="6" t="str">
        <f aca="false">IF($O313="","",INDEX(Scoring!$B$29:$B$361,MATCH($O313,Scoring!$AI$29:$AI$361,0)))</f>
        <v/>
      </c>
      <c r="G313" s="7" t="str">
        <f aca="false">IF($O313="","",INDEX(Scoring!$C$29:$C$361,MATCH($O313,Scoring!$AI$29:$AI$361,0)))</f>
        <v/>
      </c>
      <c r="H313" s="7" t="str">
        <f aca="false">IF($O313="","",INDEX(Scoring!$D$29:$D$361,MATCH($O313,Scoring!$AI$29:$AI$361,0)))</f>
        <v/>
      </c>
      <c r="I313" s="6" t="str">
        <f aca="false">IF($O313="","",INDEX(Scoring!$R$29:$R$361,MATCH($O313,Scoring!$AI$29:$AI$361,0)))</f>
        <v/>
      </c>
      <c r="J313" s="7" t="str">
        <f aca="false">IF($O313="","",INDEX(Scoring!$S$29:$S$361,MATCH($O313,Scoring!$AI$29:$AI$361,0)))</f>
        <v/>
      </c>
      <c r="K313" s="8" t="str">
        <f aca="false">IF($O313="","",IF(INDEX(Scoring!$I$29:$I$361,MATCH($O313,Scoring!$AI$29:$AI$361,0))="",INDEX(Scoring!$AC$29:$AC$361,MATCH($O313,Scoring!$AI$29:$AI$361,0)),INDEX(Scoring!$I$29:$I$361,MATCH($O313,Scoring!$AI$29:$AI$361,0))))</f>
        <v/>
      </c>
      <c r="L313" s="9" t="str">
        <f aca="false">IF($O313="","",INDEX(Scoring!$M$29:$M$361,MATCH($O313,Scoring!$AI$29:$AI$361,0)))</f>
        <v/>
      </c>
      <c r="M313" s="9" t="str">
        <f aca="false">IF($O313="","",INDEX(Scoring!$O$29:$O$361,MATCH($O313,Scoring!$AI$29:$AI$361,0)))</f>
        <v/>
      </c>
      <c r="N313" s="7" t="str">
        <f aca="false">IF($O313="","",INDEX(Scoring!$Y$29:$Y$361,MATCH($O313,Scoring!$AI$29:$AI$361,0)))</f>
        <v/>
      </c>
      <c r="O313" s="10" t="str">
        <f aca="false">IFERROR(SMALL(Scoring!$AI$29:$AI$361,309),"")</f>
        <v/>
      </c>
    </row>
    <row r="314" customFormat="false" ht="15" hidden="false" customHeight="false" outlineLevel="0" collapsed="false">
      <c r="A314" s="5" t="str">
        <f aca="false">IF($O314="","",INT($O314/1000))</f>
        <v/>
      </c>
      <c r="B314" s="6" t="str">
        <f aca="false">IF($O314="","",INDEX(Scoring!$A$29:$A$361,MATCH($O314,Scoring!$AI$29:$AI$361,0)))</f>
        <v/>
      </c>
      <c r="C314" s="5" t="str">
        <f aca="false">IF($O314="","",IF(INDEX(Scoring!$F$29:$F$361,MATCH($O314,Scoring!$AI$29:$AI$361,0))="","–",INDEX(Scoring!$F$29:$F$361,MATCH($O314,Scoring!$AI$29:$AI$361,0))))</f>
        <v/>
      </c>
      <c r="D314" s="6" t="str">
        <f aca="false">IF($O314="","",INDEX(Scoring!$E$29:$E$361,MATCH($O314,Scoring!$AI$29:$AI$361,0)))</f>
        <v/>
      </c>
      <c r="E314" s="7" t="str">
        <f aca="false">IF($O314="","",INDEX(Scoring!$G$29:$G$361,MATCH($O314,Scoring!$AI$29:$AI$361,0)))</f>
        <v/>
      </c>
      <c r="F314" s="6" t="str">
        <f aca="false">IF($O314="","",INDEX(Scoring!$B$29:$B$361,MATCH($O314,Scoring!$AI$29:$AI$361,0)))</f>
        <v/>
      </c>
      <c r="G314" s="7" t="str">
        <f aca="false">IF($O314="","",INDEX(Scoring!$C$29:$C$361,MATCH($O314,Scoring!$AI$29:$AI$361,0)))</f>
        <v/>
      </c>
      <c r="H314" s="7" t="str">
        <f aca="false">IF($O314="","",INDEX(Scoring!$D$29:$D$361,MATCH($O314,Scoring!$AI$29:$AI$361,0)))</f>
        <v/>
      </c>
      <c r="I314" s="6" t="str">
        <f aca="false">IF($O314="","",INDEX(Scoring!$R$29:$R$361,MATCH($O314,Scoring!$AI$29:$AI$361,0)))</f>
        <v/>
      </c>
      <c r="J314" s="7" t="str">
        <f aca="false">IF($O314="","",INDEX(Scoring!$S$29:$S$361,MATCH($O314,Scoring!$AI$29:$AI$361,0)))</f>
        <v/>
      </c>
      <c r="K314" s="8" t="str">
        <f aca="false">IF($O314="","",IF(INDEX(Scoring!$I$29:$I$361,MATCH($O314,Scoring!$AI$29:$AI$361,0))="",INDEX(Scoring!$AC$29:$AC$361,MATCH($O314,Scoring!$AI$29:$AI$361,0)),INDEX(Scoring!$I$29:$I$361,MATCH($O314,Scoring!$AI$29:$AI$361,0))))</f>
        <v/>
      </c>
      <c r="L314" s="9" t="str">
        <f aca="false">IF($O314="","",INDEX(Scoring!$M$29:$M$361,MATCH($O314,Scoring!$AI$29:$AI$361,0)))</f>
        <v/>
      </c>
      <c r="M314" s="9" t="str">
        <f aca="false">IF($O314="","",INDEX(Scoring!$O$29:$O$361,MATCH($O314,Scoring!$AI$29:$AI$361,0)))</f>
        <v/>
      </c>
      <c r="N314" s="7" t="str">
        <f aca="false">IF($O314="","",INDEX(Scoring!$Y$29:$Y$361,MATCH($O314,Scoring!$AI$29:$AI$361,0)))</f>
        <v/>
      </c>
      <c r="O314" s="10" t="str">
        <f aca="false">IFERROR(SMALL(Scoring!$AI$29:$AI$361,310),"")</f>
        <v/>
      </c>
    </row>
    <row r="315" customFormat="false" ht="15" hidden="false" customHeight="false" outlineLevel="0" collapsed="false">
      <c r="A315" s="5" t="str">
        <f aca="false">IF($O315="","",INT($O315/1000))</f>
        <v/>
      </c>
      <c r="B315" s="6" t="str">
        <f aca="false">IF($O315="","",INDEX(Scoring!$A$29:$A$361,MATCH($O315,Scoring!$AI$29:$AI$361,0)))</f>
        <v/>
      </c>
      <c r="C315" s="5" t="str">
        <f aca="false">IF($O315="","",IF(INDEX(Scoring!$F$29:$F$361,MATCH($O315,Scoring!$AI$29:$AI$361,0))="","–",INDEX(Scoring!$F$29:$F$361,MATCH($O315,Scoring!$AI$29:$AI$361,0))))</f>
        <v/>
      </c>
      <c r="D315" s="6" t="str">
        <f aca="false">IF($O315="","",INDEX(Scoring!$E$29:$E$361,MATCH($O315,Scoring!$AI$29:$AI$361,0)))</f>
        <v/>
      </c>
      <c r="E315" s="7" t="str">
        <f aca="false">IF($O315="","",INDEX(Scoring!$G$29:$G$361,MATCH($O315,Scoring!$AI$29:$AI$361,0)))</f>
        <v/>
      </c>
      <c r="F315" s="6" t="str">
        <f aca="false">IF($O315="","",INDEX(Scoring!$B$29:$B$361,MATCH($O315,Scoring!$AI$29:$AI$361,0)))</f>
        <v/>
      </c>
      <c r="G315" s="7" t="str">
        <f aca="false">IF($O315="","",INDEX(Scoring!$C$29:$C$361,MATCH($O315,Scoring!$AI$29:$AI$361,0)))</f>
        <v/>
      </c>
      <c r="H315" s="7" t="str">
        <f aca="false">IF($O315="","",INDEX(Scoring!$D$29:$D$361,MATCH($O315,Scoring!$AI$29:$AI$361,0)))</f>
        <v/>
      </c>
      <c r="I315" s="6" t="str">
        <f aca="false">IF($O315="","",INDEX(Scoring!$R$29:$R$361,MATCH($O315,Scoring!$AI$29:$AI$361,0)))</f>
        <v/>
      </c>
      <c r="J315" s="7" t="str">
        <f aca="false">IF($O315="","",INDEX(Scoring!$S$29:$S$361,MATCH($O315,Scoring!$AI$29:$AI$361,0)))</f>
        <v/>
      </c>
      <c r="K315" s="8" t="str">
        <f aca="false">IF($O315="","",IF(INDEX(Scoring!$I$29:$I$361,MATCH($O315,Scoring!$AI$29:$AI$361,0))="",INDEX(Scoring!$AC$29:$AC$361,MATCH($O315,Scoring!$AI$29:$AI$361,0)),INDEX(Scoring!$I$29:$I$361,MATCH($O315,Scoring!$AI$29:$AI$361,0))))</f>
        <v/>
      </c>
      <c r="L315" s="9" t="str">
        <f aca="false">IF($O315="","",INDEX(Scoring!$M$29:$M$361,MATCH($O315,Scoring!$AI$29:$AI$361,0)))</f>
        <v/>
      </c>
      <c r="M315" s="9" t="str">
        <f aca="false">IF($O315="","",INDEX(Scoring!$O$29:$O$361,MATCH($O315,Scoring!$AI$29:$AI$361,0)))</f>
        <v/>
      </c>
      <c r="N315" s="7" t="str">
        <f aca="false">IF($O315="","",INDEX(Scoring!$Y$29:$Y$361,MATCH($O315,Scoring!$AI$29:$AI$361,0)))</f>
        <v/>
      </c>
      <c r="O315" s="10" t="str">
        <f aca="false">IFERROR(SMALL(Scoring!$AI$29:$AI$361,311),"")</f>
        <v/>
      </c>
    </row>
    <row r="316" customFormat="false" ht="15" hidden="false" customHeight="false" outlineLevel="0" collapsed="false">
      <c r="A316" s="5" t="str">
        <f aca="false">IF($O316="","",INT($O316/1000))</f>
        <v/>
      </c>
      <c r="B316" s="6" t="str">
        <f aca="false">IF($O316="","",INDEX(Scoring!$A$29:$A$361,MATCH($O316,Scoring!$AI$29:$AI$361,0)))</f>
        <v/>
      </c>
      <c r="C316" s="5" t="str">
        <f aca="false">IF($O316="","",IF(INDEX(Scoring!$F$29:$F$361,MATCH($O316,Scoring!$AI$29:$AI$361,0))="","–",INDEX(Scoring!$F$29:$F$361,MATCH($O316,Scoring!$AI$29:$AI$361,0))))</f>
        <v/>
      </c>
      <c r="D316" s="6" t="str">
        <f aca="false">IF($O316="","",INDEX(Scoring!$E$29:$E$361,MATCH($O316,Scoring!$AI$29:$AI$361,0)))</f>
        <v/>
      </c>
      <c r="E316" s="7" t="str">
        <f aca="false">IF($O316="","",INDEX(Scoring!$G$29:$G$361,MATCH($O316,Scoring!$AI$29:$AI$361,0)))</f>
        <v/>
      </c>
      <c r="F316" s="6" t="str">
        <f aca="false">IF($O316="","",INDEX(Scoring!$B$29:$B$361,MATCH($O316,Scoring!$AI$29:$AI$361,0)))</f>
        <v/>
      </c>
      <c r="G316" s="7" t="str">
        <f aca="false">IF($O316="","",INDEX(Scoring!$C$29:$C$361,MATCH($O316,Scoring!$AI$29:$AI$361,0)))</f>
        <v/>
      </c>
      <c r="H316" s="7" t="str">
        <f aca="false">IF($O316="","",INDEX(Scoring!$D$29:$D$361,MATCH($O316,Scoring!$AI$29:$AI$361,0)))</f>
        <v/>
      </c>
      <c r="I316" s="6" t="str">
        <f aca="false">IF($O316="","",INDEX(Scoring!$R$29:$R$361,MATCH($O316,Scoring!$AI$29:$AI$361,0)))</f>
        <v/>
      </c>
      <c r="J316" s="7" t="str">
        <f aca="false">IF($O316="","",INDEX(Scoring!$S$29:$S$361,MATCH($O316,Scoring!$AI$29:$AI$361,0)))</f>
        <v/>
      </c>
      <c r="K316" s="8" t="str">
        <f aca="false">IF($O316="","",IF(INDEX(Scoring!$I$29:$I$361,MATCH($O316,Scoring!$AI$29:$AI$361,0))="",INDEX(Scoring!$AC$29:$AC$361,MATCH($O316,Scoring!$AI$29:$AI$361,0)),INDEX(Scoring!$I$29:$I$361,MATCH($O316,Scoring!$AI$29:$AI$361,0))))</f>
        <v/>
      </c>
      <c r="L316" s="9" t="str">
        <f aca="false">IF($O316="","",INDEX(Scoring!$M$29:$M$361,MATCH($O316,Scoring!$AI$29:$AI$361,0)))</f>
        <v/>
      </c>
      <c r="M316" s="9" t="str">
        <f aca="false">IF($O316="","",INDEX(Scoring!$O$29:$O$361,MATCH($O316,Scoring!$AI$29:$AI$361,0)))</f>
        <v/>
      </c>
      <c r="N316" s="7" t="str">
        <f aca="false">IF($O316="","",INDEX(Scoring!$Y$29:$Y$361,MATCH($O316,Scoring!$AI$29:$AI$361,0)))</f>
        <v/>
      </c>
      <c r="O316" s="10" t="str">
        <f aca="false">IFERROR(SMALL(Scoring!$AI$29:$AI$361,312),"")</f>
        <v/>
      </c>
    </row>
    <row r="317" customFormat="false" ht="15" hidden="false" customHeight="false" outlineLevel="0" collapsed="false">
      <c r="A317" s="5" t="str">
        <f aca="false">IF($O317="","",INT($O317/1000))</f>
        <v/>
      </c>
      <c r="B317" s="6" t="str">
        <f aca="false">IF($O317="","",INDEX(Scoring!$A$29:$A$361,MATCH($O317,Scoring!$AI$29:$AI$361,0)))</f>
        <v/>
      </c>
      <c r="C317" s="5" t="str">
        <f aca="false">IF($O317="","",IF(INDEX(Scoring!$F$29:$F$361,MATCH($O317,Scoring!$AI$29:$AI$361,0))="","–",INDEX(Scoring!$F$29:$F$361,MATCH($O317,Scoring!$AI$29:$AI$361,0))))</f>
        <v/>
      </c>
      <c r="D317" s="6" t="str">
        <f aca="false">IF($O317="","",INDEX(Scoring!$E$29:$E$361,MATCH($O317,Scoring!$AI$29:$AI$361,0)))</f>
        <v/>
      </c>
      <c r="E317" s="7" t="str">
        <f aca="false">IF($O317="","",INDEX(Scoring!$G$29:$G$361,MATCH($O317,Scoring!$AI$29:$AI$361,0)))</f>
        <v/>
      </c>
      <c r="F317" s="6" t="str">
        <f aca="false">IF($O317="","",INDEX(Scoring!$B$29:$B$361,MATCH($O317,Scoring!$AI$29:$AI$361,0)))</f>
        <v/>
      </c>
      <c r="G317" s="7" t="str">
        <f aca="false">IF($O317="","",INDEX(Scoring!$C$29:$C$361,MATCH($O317,Scoring!$AI$29:$AI$361,0)))</f>
        <v/>
      </c>
      <c r="H317" s="7" t="str">
        <f aca="false">IF($O317="","",INDEX(Scoring!$D$29:$D$361,MATCH($O317,Scoring!$AI$29:$AI$361,0)))</f>
        <v/>
      </c>
      <c r="I317" s="6" t="str">
        <f aca="false">IF($O317="","",INDEX(Scoring!$R$29:$R$361,MATCH($O317,Scoring!$AI$29:$AI$361,0)))</f>
        <v/>
      </c>
      <c r="J317" s="7" t="str">
        <f aca="false">IF($O317="","",INDEX(Scoring!$S$29:$S$361,MATCH($O317,Scoring!$AI$29:$AI$361,0)))</f>
        <v/>
      </c>
      <c r="K317" s="8" t="str">
        <f aca="false">IF($O317="","",IF(INDEX(Scoring!$I$29:$I$361,MATCH($O317,Scoring!$AI$29:$AI$361,0))="",INDEX(Scoring!$AC$29:$AC$361,MATCH($O317,Scoring!$AI$29:$AI$361,0)),INDEX(Scoring!$I$29:$I$361,MATCH($O317,Scoring!$AI$29:$AI$361,0))))</f>
        <v/>
      </c>
      <c r="L317" s="9" t="str">
        <f aca="false">IF($O317="","",INDEX(Scoring!$M$29:$M$361,MATCH($O317,Scoring!$AI$29:$AI$361,0)))</f>
        <v/>
      </c>
      <c r="M317" s="9" t="str">
        <f aca="false">IF($O317="","",INDEX(Scoring!$O$29:$O$361,MATCH($O317,Scoring!$AI$29:$AI$361,0)))</f>
        <v/>
      </c>
      <c r="N317" s="7" t="str">
        <f aca="false">IF($O317="","",INDEX(Scoring!$Y$29:$Y$361,MATCH($O317,Scoring!$AI$29:$AI$361,0)))</f>
        <v/>
      </c>
      <c r="O317" s="10" t="str">
        <f aca="false">IFERROR(SMALL(Scoring!$AI$29:$AI$361,313),"")</f>
        <v/>
      </c>
    </row>
    <row r="318" customFormat="false" ht="15" hidden="false" customHeight="false" outlineLevel="0" collapsed="false">
      <c r="A318" s="5" t="str">
        <f aca="false">IF($O318="","",INT($O318/1000))</f>
        <v/>
      </c>
      <c r="B318" s="6" t="str">
        <f aca="false">IF($O318="","",INDEX(Scoring!$A$29:$A$361,MATCH($O318,Scoring!$AI$29:$AI$361,0)))</f>
        <v/>
      </c>
      <c r="C318" s="5" t="str">
        <f aca="false">IF($O318="","",IF(INDEX(Scoring!$F$29:$F$361,MATCH($O318,Scoring!$AI$29:$AI$361,0))="","–",INDEX(Scoring!$F$29:$F$361,MATCH($O318,Scoring!$AI$29:$AI$361,0))))</f>
        <v/>
      </c>
      <c r="D318" s="6" t="str">
        <f aca="false">IF($O318="","",INDEX(Scoring!$E$29:$E$361,MATCH($O318,Scoring!$AI$29:$AI$361,0)))</f>
        <v/>
      </c>
      <c r="E318" s="7" t="str">
        <f aca="false">IF($O318="","",INDEX(Scoring!$G$29:$G$361,MATCH($O318,Scoring!$AI$29:$AI$361,0)))</f>
        <v/>
      </c>
      <c r="F318" s="6" t="str">
        <f aca="false">IF($O318="","",INDEX(Scoring!$B$29:$B$361,MATCH($O318,Scoring!$AI$29:$AI$361,0)))</f>
        <v/>
      </c>
      <c r="G318" s="7" t="str">
        <f aca="false">IF($O318="","",INDEX(Scoring!$C$29:$C$361,MATCH($O318,Scoring!$AI$29:$AI$361,0)))</f>
        <v/>
      </c>
      <c r="H318" s="7" t="str">
        <f aca="false">IF($O318="","",INDEX(Scoring!$D$29:$D$361,MATCH($O318,Scoring!$AI$29:$AI$361,0)))</f>
        <v/>
      </c>
      <c r="I318" s="6" t="str">
        <f aca="false">IF($O318="","",INDEX(Scoring!$R$29:$R$361,MATCH($O318,Scoring!$AI$29:$AI$361,0)))</f>
        <v/>
      </c>
      <c r="J318" s="7" t="str">
        <f aca="false">IF($O318="","",INDEX(Scoring!$S$29:$S$361,MATCH($O318,Scoring!$AI$29:$AI$361,0)))</f>
        <v/>
      </c>
      <c r="K318" s="8" t="str">
        <f aca="false">IF($O318="","",IF(INDEX(Scoring!$I$29:$I$361,MATCH($O318,Scoring!$AI$29:$AI$361,0))="",INDEX(Scoring!$AC$29:$AC$361,MATCH($O318,Scoring!$AI$29:$AI$361,0)),INDEX(Scoring!$I$29:$I$361,MATCH($O318,Scoring!$AI$29:$AI$361,0))))</f>
        <v/>
      </c>
      <c r="L318" s="9" t="str">
        <f aca="false">IF($O318="","",INDEX(Scoring!$M$29:$M$361,MATCH($O318,Scoring!$AI$29:$AI$361,0)))</f>
        <v/>
      </c>
      <c r="M318" s="9" t="str">
        <f aca="false">IF($O318="","",INDEX(Scoring!$O$29:$O$361,MATCH($O318,Scoring!$AI$29:$AI$361,0)))</f>
        <v/>
      </c>
      <c r="N318" s="7" t="str">
        <f aca="false">IF($O318="","",INDEX(Scoring!$Y$29:$Y$361,MATCH($O318,Scoring!$AI$29:$AI$361,0)))</f>
        <v/>
      </c>
      <c r="O318" s="10" t="str">
        <f aca="false">IFERROR(SMALL(Scoring!$AI$29:$AI$361,314),"")</f>
        <v/>
      </c>
    </row>
    <row r="319" customFormat="false" ht="15" hidden="false" customHeight="false" outlineLevel="0" collapsed="false">
      <c r="A319" s="5" t="str">
        <f aca="false">IF($O319="","",INT($O319/1000))</f>
        <v/>
      </c>
      <c r="B319" s="6" t="str">
        <f aca="false">IF($O319="","",INDEX(Scoring!$A$29:$A$361,MATCH($O319,Scoring!$AI$29:$AI$361,0)))</f>
        <v/>
      </c>
      <c r="C319" s="5" t="str">
        <f aca="false">IF($O319="","",IF(INDEX(Scoring!$F$29:$F$361,MATCH($O319,Scoring!$AI$29:$AI$361,0))="","–",INDEX(Scoring!$F$29:$F$361,MATCH($O319,Scoring!$AI$29:$AI$361,0))))</f>
        <v/>
      </c>
      <c r="D319" s="6" t="str">
        <f aca="false">IF($O319="","",INDEX(Scoring!$E$29:$E$361,MATCH($O319,Scoring!$AI$29:$AI$361,0)))</f>
        <v/>
      </c>
      <c r="E319" s="7" t="str">
        <f aca="false">IF($O319="","",INDEX(Scoring!$G$29:$G$361,MATCH($O319,Scoring!$AI$29:$AI$361,0)))</f>
        <v/>
      </c>
      <c r="F319" s="6" t="str">
        <f aca="false">IF($O319="","",INDEX(Scoring!$B$29:$B$361,MATCH($O319,Scoring!$AI$29:$AI$361,0)))</f>
        <v/>
      </c>
      <c r="G319" s="7" t="str">
        <f aca="false">IF($O319="","",INDEX(Scoring!$C$29:$C$361,MATCH($O319,Scoring!$AI$29:$AI$361,0)))</f>
        <v/>
      </c>
      <c r="H319" s="7" t="str">
        <f aca="false">IF($O319="","",INDEX(Scoring!$D$29:$D$361,MATCH($O319,Scoring!$AI$29:$AI$361,0)))</f>
        <v/>
      </c>
      <c r="I319" s="6" t="str">
        <f aca="false">IF($O319="","",INDEX(Scoring!$R$29:$R$361,MATCH($O319,Scoring!$AI$29:$AI$361,0)))</f>
        <v/>
      </c>
      <c r="J319" s="7" t="str">
        <f aca="false">IF($O319="","",INDEX(Scoring!$S$29:$S$361,MATCH($O319,Scoring!$AI$29:$AI$361,0)))</f>
        <v/>
      </c>
      <c r="K319" s="8" t="str">
        <f aca="false">IF($O319="","",IF(INDEX(Scoring!$I$29:$I$361,MATCH($O319,Scoring!$AI$29:$AI$361,0))="",INDEX(Scoring!$AC$29:$AC$361,MATCH($O319,Scoring!$AI$29:$AI$361,0)),INDEX(Scoring!$I$29:$I$361,MATCH($O319,Scoring!$AI$29:$AI$361,0))))</f>
        <v/>
      </c>
      <c r="L319" s="9" t="str">
        <f aca="false">IF($O319="","",INDEX(Scoring!$M$29:$M$361,MATCH($O319,Scoring!$AI$29:$AI$361,0)))</f>
        <v/>
      </c>
      <c r="M319" s="9" t="str">
        <f aca="false">IF($O319="","",INDEX(Scoring!$O$29:$O$361,MATCH($O319,Scoring!$AI$29:$AI$361,0)))</f>
        <v/>
      </c>
      <c r="N319" s="7" t="str">
        <f aca="false">IF($O319="","",INDEX(Scoring!$Y$29:$Y$361,MATCH($O319,Scoring!$AI$29:$AI$361,0)))</f>
        <v/>
      </c>
      <c r="O319" s="10" t="str">
        <f aca="false">IFERROR(SMALL(Scoring!$AI$29:$AI$361,315),"")</f>
        <v/>
      </c>
    </row>
    <row r="320" customFormat="false" ht="15" hidden="false" customHeight="false" outlineLevel="0" collapsed="false">
      <c r="A320" s="5" t="str">
        <f aca="false">IF($O320="","",INT($O320/1000))</f>
        <v/>
      </c>
      <c r="B320" s="6" t="str">
        <f aca="false">IF($O320="","",INDEX(Scoring!$A$29:$A$361,MATCH($O320,Scoring!$AI$29:$AI$361,0)))</f>
        <v/>
      </c>
      <c r="C320" s="5" t="str">
        <f aca="false">IF($O320="","",IF(INDEX(Scoring!$F$29:$F$361,MATCH($O320,Scoring!$AI$29:$AI$361,0))="","–",INDEX(Scoring!$F$29:$F$361,MATCH($O320,Scoring!$AI$29:$AI$361,0))))</f>
        <v/>
      </c>
      <c r="D320" s="6" t="str">
        <f aca="false">IF($O320="","",INDEX(Scoring!$E$29:$E$361,MATCH($O320,Scoring!$AI$29:$AI$361,0)))</f>
        <v/>
      </c>
      <c r="E320" s="7" t="str">
        <f aca="false">IF($O320="","",INDEX(Scoring!$G$29:$G$361,MATCH($O320,Scoring!$AI$29:$AI$361,0)))</f>
        <v/>
      </c>
      <c r="F320" s="6" t="str">
        <f aca="false">IF($O320="","",INDEX(Scoring!$B$29:$B$361,MATCH($O320,Scoring!$AI$29:$AI$361,0)))</f>
        <v/>
      </c>
      <c r="G320" s="7" t="str">
        <f aca="false">IF($O320="","",INDEX(Scoring!$C$29:$C$361,MATCH($O320,Scoring!$AI$29:$AI$361,0)))</f>
        <v/>
      </c>
      <c r="H320" s="7" t="str">
        <f aca="false">IF($O320="","",INDEX(Scoring!$D$29:$D$361,MATCH($O320,Scoring!$AI$29:$AI$361,0)))</f>
        <v/>
      </c>
      <c r="I320" s="6" t="str">
        <f aca="false">IF($O320="","",INDEX(Scoring!$R$29:$R$361,MATCH($O320,Scoring!$AI$29:$AI$361,0)))</f>
        <v/>
      </c>
      <c r="J320" s="7" t="str">
        <f aca="false">IF($O320="","",INDEX(Scoring!$S$29:$S$361,MATCH($O320,Scoring!$AI$29:$AI$361,0)))</f>
        <v/>
      </c>
      <c r="K320" s="8" t="str">
        <f aca="false">IF($O320="","",IF(INDEX(Scoring!$I$29:$I$361,MATCH($O320,Scoring!$AI$29:$AI$361,0))="",INDEX(Scoring!$AC$29:$AC$361,MATCH($O320,Scoring!$AI$29:$AI$361,0)),INDEX(Scoring!$I$29:$I$361,MATCH($O320,Scoring!$AI$29:$AI$361,0))))</f>
        <v/>
      </c>
      <c r="L320" s="9" t="str">
        <f aca="false">IF($O320="","",INDEX(Scoring!$M$29:$M$361,MATCH($O320,Scoring!$AI$29:$AI$361,0)))</f>
        <v/>
      </c>
      <c r="M320" s="9" t="str">
        <f aca="false">IF($O320="","",INDEX(Scoring!$O$29:$O$361,MATCH($O320,Scoring!$AI$29:$AI$361,0)))</f>
        <v/>
      </c>
      <c r="N320" s="7" t="str">
        <f aca="false">IF($O320="","",INDEX(Scoring!$Y$29:$Y$361,MATCH($O320,Scoring!$AI$29:$AI$361,0)))</f>
        <v/>
      </c>
      <c r="O320" s="10" t="str">
        <f aca="false">IFERROR(SMALL(Scoring!$AI$29:$AI$361,316),"")</f>
        <v/>
      </c>
    </row>
    <row r="321" customFormat="false" ht="15" hidden="false" customHeight="false" outlineLevel="0" collapsed="false">
      <c r="A321" s="5" t="str">
        <f aca="false">IF($O321="","",INT($O321/1000))</f>
        <v/>
      </c>
      <c r="B321" s="6" t="str">
        <f aca="false">IF($O321="","",INDEX(Scoring!$A$29:$A$361,MATCH($O321,Scoring!$AI$29:$AI$361,0)))</f>
        <v/>
      </c>
      <c r="C321" s="5" t="str">
        <f aca="false">IF($O321="","",IF(INDEX(Scoring!$F$29:$F$361,MATCH($O321,Scoring!$AI$29:$AI$361,0))="","–",INDEX(Scoring!$F$29:$F$361,MATCH($O321,Scoring!$AI$29:$AI$361,0))))</f>
        <v/>
      </c>
      <c r="D321" s="6" t="str">
        <f aca="false">IF($O321="","",INDEX(Scoring!$E$29:$E$361,MATCH($O321,Scoring!$AI$29:$AI$361,0)))</f>
        <v/>
      </c>
      <c r="E321" s="7" t="str">
        <f aca="false">IF($O321="","",INDEX(Scoring!$G$29:$G$361,MATCH($O321,Scoring!$AI$29:$AI$361,0)))</f>
        <v/>
      </c>
      <c r="F321" s="6" t="str">
        <f aca="false">IF($O321="","",INDEX(Scoring!$B$29:$B$361,MATCH($O321,Scoring!$AI$29:$AI$361,0)))</f>
        <v/>
      </c>
      <c r="G321" s="7" t="str">
        <f aca="false">IF($O321="","",INDEX(Scoring!$C$29:$C$361,MATCH($O321,Scoring!$AI$29:$AI$361,0)))</f>
        <v/>
      </c>
      <c r="H321" s="7" t="str">
        <f aca="false">IF($O321="","",INDEX(Scoring!$D$29:$D$361,MATCH($O321,Scoring!$AI$29:$AI$361,0)))</f>
        <v/>
      </c>
      <c r="I321" s="6" t="str">
        <f aca="false">IF($O321="","",INDEX(Scoring!$R$29:$R$361,MATCH($O321,Scoring!$AI$29:$AI$361,0)))</f>
        <v/>
      </c>
      <c r="J321" s="7" t="str">
        <f aca="false">IF($O321="","",INDEX(Scoring!$S$29:$S$361,MATCH($O321,Scoring!$AI$29:$AI$361,0)))</f>
        <v/>
      </c>
      <c r="K321" s="8" t="str">
        <f aca="false">IF($O321="","",IF(INDEX(Scoring!$I$29:$I$361,MATCH($O321,Scoring!$AI$29:$AI$361,0))="",INDEX(Scoring!$AC$29:$AC$361,MATCH($O321,Scoring!$AI$29:$AI$361,0)),INDEX(Scoring!$I$29:$I$361,MATCH($O321,Scoring!$AI$29:$AI$361,0))))</f>
        <v/>
      </c>
      <c r="L321" s="9" t="str">
        <f aca="false">IF($O321="","",INDEX(Scoring!$M$29:$M$361,MATCH($O321,Scoring!$AI$29:$AI$361,0)))</f>
        <v/>
      </c>
      <c r="M321" s="9" t="str">
        <f aca="false">IF($O321="","",INDEX(Scoring!$O$29:$O$361,MATCH($O321,Scoring!$AI$29:$AI$361,0)))</f>
        <v/>
      </c>
      <c r="N321" s="7" t="str">
        <f aca="false">IF($O321="","",INDEX(Scoring!$Y$29:$Y$361,MATCH($O321,Scoring!$AI$29:$AI$361,0)))</f>
        <v/>
      </c>
      <c r="O321" s="10" t="str">
        <f aca="false">IFERROR(SMALL(Scoring!$AI$29:$AI$361,317),"")</f>
        <v/>
      </c>
    </row>
    <row r="322" customFormat="false" ht="15" hidden="false" customHeight="false" outlineLevel="0" collapsed="false">
      <c r="A322" s="5" t="str">
        <f aca="false">IF($O322="","",INT($O322/1000))</f>
        <v/>
      </c>
      <c r="B322" s="6" t="str">
        <f aca="false">IF($O322="","",INDEX(Scoring!$A$29:$A$361,MATCH($O322,Scoring!$AI$29:$AI$361,0)))</f>
        <v/>
      </c>
      <c r="C322" s="5" t="str">
        <f aca="false">IF($O322="","",IF(INDEX(Scoring!$F$29:$F$361,MATCH($O322,Scoring!$AI$29:$AI$361,0))="","–",INDEX(Scoring!$F$29:$F$361,MATCH($O322,Scoring!$AI$29:$AI$361,0))))</f>
        <v/>
      </c>
      <c r="D322" s="6" t="str">
        <f aca="false">IF($O322="","",INDEX(Scoring!$E$29:$E$361,MATCH($O322,Scoring!$AI$29:$AI$361,0)))</f>
        <v/>
      </c>
      <c r="E322" s="7" t="str">
        <f aca="false">IF($O322="","",INDEX(Scoring!$G$29:$G$361,MATCH($O322,Scoring!$AI$29:$AI$361,0)))</f>
        <v/>
      </c>
      <c r="F322" s="6" t="str">
        <f aca="false">IF($O322="","",INDEX(Scoring!$B$29:$B$361,MATCH($O322,Scoring!$AI$29:$AI$361,0)))</f>
        <v/>
      </c>
      <c r="G322" s="7" t="str">
        <f aca="false">IF($O322="","",INDEX(Scoring!$C$29:$C$361,MATCH($O322,Scoring!$AI$29:$AI$361,0)))</f>
        <v/>
      </c>
      <c r="H322" s="7" t="str">
        <f aca="false">IF($O322="","",INDEX(Scoring!$D$29:$D$361,MATCH($O322,Scoring!$AI$29:$AI$361,0)))</f>
        <v/>
      </c>
      <c r="I322" s="6" t="str">
        <f aca="false">IF($O322="","",INDEX(Scoring!$R$29:$R$361,MATCH($O322,Scoring!$AI$29:$AI$361,0)))</f>
        <v/>
      </c>
      <c r="J322" s="7" t="str">
        <f aca="false">IF($O322="","",INDEX(Scoring!$S$29:$S$361,MATCH($O322,Scoring!$AI$29:$AI$361,0)))</f>
        <v/>
      </c>
      <c r="K322" s="8" t="str">
        <f aca="false">IF($O322="","",IF(INDEX(Scoring!$I$29:$I$361,MATCH($O322,Scoring!$AI$29:$AI$361,0))="",INDEX(Scoring!$AC$29:$AC$361,MATCH($O322,Scoring!$AI$29:$AI$361,0)),INDEX(Scoring!$I$29:$I$361,MATCH($O322,Scoring!$AI$29:$AI$361,0))))</f>
        <v/>
      </c>
      <c r="L322" s="9" t="str">
        <f aca="false">IF($O322="","",INDEX(Scoring!$M$29:$M$361,MATCH($O322,Scoring!$AI$29:$AI$361,0)))</f>
        <v/>
      </c>
      <c r="M322" s="9" t="str">
        <f aca="false">IF($O322="","",INDEX(Scoring!$O$29:$O$361,MATCH($O322,Scoring!$AI$29:$AI$361,0)))</f>
        <v/>
      </c>
      <c r="N322" s="7" t="str">
        <f aca="false">IF($O322="","",INDEX(Scoring!$Y$29:$Y$361,MATCH($O322,Scoring!$AI$29:$AI$361,0)))</f>
        <v/>
      </c>
      <c r="O322" s="10" t="str">
        <f aca="false">IFERROR(SMALL(Scoring!$AI$29:$AI$361,318),"")</f>
        <v/>
      </c>
    </row>
    <row r="323" customFormat="false" ht="15" hidden="false" customHeight="false" outlineLevel="0" collapsed="false">
      <c r="A323" s="5" t="str">
        <f aca="false">IF($O323="","",INT($O323/1000))</f>
        <v/>
      </c>
      <c r="B323" s="6" t="str">
        <f aca="false">IF($O323="","",INDEX(Scoring!$A$29:$A$361,MATCH($O323,Scoring!$AI$29:$AI$361,0)))</f>
        <v/>
      </c>
      <c r="C323" s="5" t="str">
        <f aca="false">IF($O323="","",IF(INDEX(Scoring!$F$29:$F$361,MATCH($O323,Scoring!$AI$29:$AI$361,0))="","–",INDEX(Scoring!$F$29:$F$361,MATCH($O323,Scoring!$AI$29:$AI$361,0))))</f>
        <v/>
      </c>
      <c r="D323" s="6" t="str">
        <f aca="false">IF($O323="","",INDEX(Scoring!$E$29:$E$361,MATCH($O323,Scoring!$AI$29:$AI$361,0)))</f>
        <v/>
      </c>
      <c r="E323" s="7" t="str">
        <f aca="false">IF($O323="","",INDEX(Scoring!$G$29:$G$361,MATCH($O323,Scoring!$AI$29:$AI$361,0)))</f>
        <v/>
      </c>
      <c r="F323" s="6" t="str">
        <f aca="false">IF($O323="","",INDEX(Scoring!$B$29:$B$361,MATCH($O323,Scoring!$AI$29:$AI$361,0)))</f>
        <v/>
      </c>
      <c r="G323" s="7" t="str">
        <f aca="false">IF($O323="","",INDEX(Scoring!$C$29:$C$361,MATCH($O323,Scoring!$AI$29:$AI$361,0)))</f>
        <v/>
      </c>
      <c r="H323" s="7" t="str">
        <f aca="false">IF($O323="","",INDEX(Scoring!$D$29:$D$361,MATCH($O323,Scoring!$AI$29:$AI$361,0)))</f>
        <v/>
      </c>
      <c r="I323" s="6" t="str">
        <f aca="false">IF($O323="","",INDEX(Scoring!$R$29:$R$361,MATCH($O323,Scoring!$AI$29:$AI$361,0)))</f>
        <v/>
      </c>
      <c r="J323" s="7" t="str">
        <f aca="false">IF($O323="","",INDEX(Scoring!$S$29:$S$361,MATCH($O323,Scoring!$AI$29:$AI$361,0)))</f>
        <v/>
      </c>
      <c r="K323" s="8" t="str">
        <f aca="false">IF($O323="","",IF(INDEX(Scoring!$I$29:$I$361,MATCH($O323,Scoring!$AI$29:$AI$361,0))="",INDEX(Scoring!$AC$29:$AC$361,MATCH($O323,Scoring!$AI$29:$AI$361,0)),INDEX(Scoring!$I$29:$I$361,MATCH($O323,Scoring!$AI$29:$AI$361,0))))</f>
        <v/>
      </c>
      <c r="L323" s="9" t="str">
        <f aca="false">IF($O323="","",INDEX(Scoring!$M$29:$M$361,MATCH($O323,Scoring!$AI$29:$AI$361,0)))</f>
        <v/>
      </c>
      <c r="M323" s="9" t="str">
        <f aca="false">IF($O323="","",INDEX(Scoring!$O$29:$O$361,MATCH($O323,Scoring!$AI$29:$AI$361,0)))</f>
        <v/>
      </c>
      <c r="N323" s="7" t="str">
        <f aca="false">IF($O323="","",INDEX(Scoring!$Y$29:$Y$361,MATCH($O323,Scoring!$AI$29:$AI$361,0)))</f>
        <v/>
      </c>
      <c r="O323" s="10" t="str">
        <f aca="false">IFERROR(SMALL(Scoring!$AI$29:$AI$361,319),"")</f>
        <v/>
      </c>
    </row>
    <row r="324" customFormat="false" ht="15" hidden="false" customHeight="false" outlineLevel="0" collapsed="false">
      <c r="A324" s="5" t="str">
        <f aca="false">IF($O324="","",INT($O324/1000))</f>
        <v/>
      </c>
      <c r="B324" s="6" t="str">
        <f aca="false">IF($O324="","",INDEX(Scoring!$A$29:$A$361,MATCH($O324,Scoring!$AI$29:$AI$361,0)))</f>
        <v/>
      </c>
      <c r="C324" s="5" t="str">
        <f aca="false">IF($O324="","",IF(INDEX(Scoring!$F$29:$F$361,MATCH($O324,Scoring!$AI$29:$AI$361,0))="","–",INDEX(Scoring!$F$29:$F$361,MATCH($O324,Scoring!$AI$29:$AI$361,0))))</f>
        <v/>
      </c>
      <c r="D324" s="6" t="str">
        <f aca="false">IF($O324="","",INDEX(Scoring!$E$29:$E$361,MATCH($O324,Scoring!$AI$29:$AI$361,0)))</f>
        <v/>
      </c>
      <c r="E324" s="7" t="str">
        <f aca="false">IF($O324="","",INDEX(Scoring!$G$29:$G$361,MATCH($O324,Scoring!$AI$29:$AI$361,0)))</f>
        <v/>
      </c>
      <c r="F324" s="6" t="str">
        <f aca="false">IF($O324="","",INDEX(Scoring!$B$29:$B$361,MATCH($O324,Scoring!$AI$29:$AI$361,0)))</f>
        <v/>
      </c>
      <c r="G324" s="7" t="str">
        <f aca="false">IF($O324="","",INDEX(Scoring!$C$29:$C$361,MATCH($O324,Scoring!$AI$29:$AI$361,0)))</f>
        <v/>
      </c>
      <c r="H324" s="7" t="str">
        <f aca="false">IF($O324="","",INDEX(Scoring!$D$29:$D$361,MATCH($O324,Scoring!$AI$29:$AI$361,0)))</f>
        <v/>
      </c>
      <c r="I324" s="6" t="str">
        <f aca="false">IF($O324="","",INDEX(Scoring!$R$29:$R$361,MATCH($O324,Scoring!$AI$29:$AI$361,0)))</f>
        <v/>
      </c>
      <c r="J324" s="7" t="str">
        <f aca="false">IF($O324="","",INDEX(Scoring!$S$29:$S$361,MATCH($O324,Scoring!$AI$29:$AI$361,0)))</f>
        <v/>
      </c>
      <c r="K324" s="8" t="str">
        <f aca="false">IF($O324="","",IF(INDEX(Scoring!$I$29:$I$361,MATCH($O324,Scoring!$AI$29:$AI$361,0))="",INDEX(Scoring!$AC$29:$AC$361,MATCH($O324,Scoring!$AI$29:$AI$361,0)),INDEX(Scoring!$I$29:$I$361,MATCH($O324,Scoring!$AI$29:$AI$361,0))))</f>
        <v/>
      </c>
      <c r="L324" s="9" t="str">
        <f aca="false">IF($O324="","",INDEX(Scoring!$M$29:$M$361,MATCH($O324,Scoring!$AI$29:$AI$361,0)))</f>
        <v/>
      </c>
      <c r="M324" s="9" t="str">
        <f aca="false">IF($O324="","",INDEX(Scoring!$O$29:$O$361,MATCH($O324,Scoring!$AI$29:$AI$361,0)))</f>
        <v/>
      </c>
      <c r="N324" s="7" t="str">
        <f aca="false">IF($O324="","",INDEX(Scoring!$Y$29:$Y$361,MATCH($O324,Scoring!$AI$29:$AI$361,0)))</f>
        <v/>
      </c>
      <c r="O324" s="10" t="str">
        <f aca="false">IFERROR(SMALL(Scoring!$AI$29:$AI$361,320),"")</f>
        <v/>
      </c>
    </row>
    <row r="325" customFormat="false" ht="15" hidden="false" customHeight="false" outlineLevel="0" collapsed="false">
      <c r="A325" s="5" t="str">
        <f aca="false">IF($O325="","",INT($O325/1000))</f>
        <v/>
      </c>
      <c r="B325" s="6" t="str">
        <f aca="false">IF($O325="","",INDEX(Scoring!$A$29:$A$361,MATCH($O325,Scoring!$AI$29:$AI$361,0)))</f>
        <v/>
      </c>
      <c r="C325" s="5" t="str">
        <f aca="false">IF($O325="","",IF(INDEX(Scoring!$F$29:$F$361,MATCH($O325,Scoring!$AI$29:$AI$361,0))="","–",INDEX(Scoring!$F$29:$F$361,MATCH($O325,Scoring!$AI$29:$AI$361,0))))</f>
        <v/>
      </c>
      <c r="D325" s="6" t="str">
        <f aca="false">IF($O325="","",INDEX(Scoring!$E$29:$E$361,MATCH($O325,Scoring!$AI$29:$AI$361,0)))</f>
        <v/>
      </c>
      <c r="E325" s="7" t="str">
        <f aca="false">IF($O325="","",INDEX(Scoring!$G$29:$G$361,MATCH($O325,Scoring!$AI$29:$AI$361,0)))</f>
        <v/>
      </c>
      <c r="F325" s="6" t="str">
        <f aca="false">IF($O325="","",INDEX(Scoring!$B$29:$B$361,MATCH($O325,Scoring!$AI$29:$AI$361,0)))</f>
        <v/>
      </c>
      <c r="G325" s="7" t="str">
        <f aca="false">IF($O325="","",INDEX(Scoring!$C$29:$C$361,MATCH($O325,Scoring!$AI$29:$AI$361,0)))</f>
        <v/>
      </c>
      <c r="H325" s="7" t="str">
        <f aca="false">IF($O325="","",INDEX(Scoring!$D$29:$D$361,MATCH($O325,Scoring!$AI$29:$AI$361,0)))</f>
        <v/>
      </c>
      <c r="I325" s="6" t="str">
        <f aca="false">IF($O325="","",INDEX(Scoring!$R$29:$R$361,MATCH($O325,Scoring!$AI$29:$AI$361,0)))</f>
        <v/>
      </c>
      <c r="J325" s="7" t="str">
        <f aca="false">IF($O325="","",INDEX(Scoring!$S$29:$S$361,MATCH($O325,Scoring!$AI$29:$AI$361,0)))</f>
        <v/>
      </c>
      <c r="K325" s="8" t="str">
        <f aca="false">IF($O325="","",IF(INDEX(Scoring!$I$29:$I$361,MATCH($O325,Scoring!$AI$29:$AI$361,0))="",INDEX(Scoring!$AC$29:$AC$361,MATCH($O325,Scoring!$AI$29:$AI$361,0)),INDEX(Scoring!$I$29:$I$361,MATCH($O325,Scoring!$AI$29:$AI$361,0))))</f>
        <v/>
      </c>
      <c r="L325" s="9" t="str">
        <f aca="false">IF($O325="","",INDEX(Scoring!$M$29:$M$361,MATCH($O325,Scoring!$AI$29:$AI$361,0)))</f>
        <v/>
      </c>
      <c r="M325" s="9" t="str">
        <f aca="false">IF($O325="","",INDEX(Scoring!$O$29:$O$361,MATCH($O325,Scoring!$AI$29:$AI$361,0)))</f>
        <v/>
      </c>
      <c r="N325" s="7" t="str">
        <f aca="false">IF($O325="","",INDEX(Scoring!$Y$29:$Y$361,MATCH($O325,Scoring!$AI$29:$AI$361,0)))</f>
        <v/>
      </c>
      <c r="O325" s="10" t="str">
        <f aca="false">IFERROR(SMALL(Scoring!$AI$29:$AI$361,321),"")</f>
        <v/>
      </c>
    </row>
    <row r="326" customFormat="false" ht="15" hidden="false" customHeight="false" outlineLevel="0" collapsed="false">
      <c r="A326" s="5" t="str">
        <f aca="false">IF($O326="","",INT($O326/1000))</f>
        <v/>
      </c>
      <c r="B326" s="6" t="str">
        <f aca="false">IF($O326="","",INDEX(Scoring!$A$29:$A$361,MATCH($O326,Scoring!$AI$29:$AI$361,0)))</f>
        <v/>
      </c>
      <c r="C326" s="5" t="str">
        <f aca="false">IF($O326="","",IF(INDEX(Scoring!$F$29:$F$361,MATCH($O326,Scoring!$AI$29:$AI$361,0))="","–",INDEX(Scoring!$F$29:$F$361,MATCH($O326,Scoring!$AI$29:$AI$361,0))))</f>
        <v/>
      </c>
      <c r="D326" s="6" t="str">
        <f aca="false">IF($O326="","",INDEX(Scoring!$E$29:$E$361,MATCH($O326,Scoring!$AI$29:$AI$361,0)))</f>
        <v/>
      </c>
      <c r="E326" s="7" t="str">
        <f aca="false">IF($O326="","",INDEX(Scoring!$G$29:$G$361,MATCH($O326,Scoring!$AI$29:$AI$361,0)))</f>
        <v/>
      </c>
      <c r="F326" s="6" t="str">
        <f aca="false">IF($O326="","",INDEX(Scoring!$B$29:$B$361,MATCH($O326,Scoring!$AI$29:$AI$361,0)))</f>
        <v/>
      </c>
      <c r="G326" s="7" t="str">
        <f aca="false">IF($O326="","",INDEX(Scoring!$C$29:$C$361,MATCH($O326,Scoring!$AI$29:$AI$361,0)))</f>
        <v/>
      </c>
      <c r="H326" s="7" t="str">
        <f aca="false">IF($O326="","",INDEX(Scoring!$D$29:$D$361,MATCH($O326,Scoring!$AI$29:$AI$361,0)))</f>
        <v/>
      </c>
      <c r="I326" s="6" t="str">
        <f aca="false">IF($O326="","",INDEX(Scoring!$R$29:$R$361,MATCH($O326,Scoring!$AI$29:$AI$361,0)))</f>
        <v/>
      </c>
      <c r="J326" s="7" t="str">
        <f aca="false">IF($O326="","",INDEX(Scoring!$S$29:$S$361,MATCH($O326,Scoring!$AI$29:$AI$361,0)))</f>
        <v/>
      </c>
      <c r="K326" s="8" t="str">
        <f aca="false">IF($O326="","",IF(INDEX(Scoring!$I$29:$I$361,MATCH($O326,Scoring!$AI$29:$AI$361,0))="",INDEX(Scoring!$AC$29:$AC$361,MATCH($O326,Scoring!$AI$29:$AI$361,0)),INDEX(Scoring!$I$29:$I$361,MATCH($O326,Scoring!$AI$29:$AI$361,0))))</f>
        <v/>
      </c>
      <c r="L326" s="9" t="str">
        <f aca="false">IF($O326="","",INDEX(Scoring!$M$29:$M$361,MATCH($O326,Scoring!$AI$29:$AI$361,0)))</f>
        <v/>
      </c>
      <c r="M326" s="9" t="str">
        <f aca="false">IF($O326="","",INDEX(Scoring!$O$29:$O$361,MATCH($O326,Scoring!$AI$29:$AI$361,0)))</f>
        <v/>
      </c>
      <c r="N326" s="7" t="str">
        <f aca="false">IF($O326="","",INDEX(Scoring!$Y$29:$Y$361,MATCH($O326,Scoring!$AI$29:$AI$361,0)))</f>
        <v/>
      </c>
      <c r="O326" s="10" t="str">
        <f aca="false">IFERROR(SMALL(Scoring!$AI$29:$AI$361,322),"")</f>
        <v/>
      </c>
    </row>
    <row r="327" customFormat="false" ht="15" hidden="false" customHeight="false" outlineLevel="0" collapsed="false">
      <c r="A327" s="5" t="str">
        <f aca="false">IF($O327="","",INT($O327/1000))</f>
        <v/>
      </c>
      <c r="B327" s="6" t="str">
        <f aca="false">IF($O327="","",INDEX(Scoring!$A$29:$A$361,MATCH($O327,Scoring!$AI$29:$AI$361,0)))</f>
        <v/>
      </c>
      <c r="C327" s="5" t="str">
        <f aca="false">IF($O327="","",IF(INDEX(Scoring!$F$29:$F$361,MATCH($O327,Scoring!$AI$29:$AI$361,0))="","–",INDEX(Scoring!$F$29:$F$361,MATCH($O327,Scoring!$AI$29:$AI$361,0))))</f>
        <v/>
      </c>
      <c r="D327" s="6" t="str">
        <f aca="false">IF($O327="","",INDEX(Scoring!$E$29:$E$361,MATCH($O327,Scoring!$AI$29:$AI$361,0)))</f>
        <v/>
      </c>
      <c r="E327" s="7" t="str">
        <f aca="false">IF($O327="","",INDEX(Scoring!$G$29:$G$361,MATCH($O327,Scoring!$AI$29:$AI$361,0)))</f>
        <v/>
      </c>
      <c r="F327" s="6" t="str">
        <f aca="false">IF($O327="","",INDEX(Scoring!$B$29:$B$361,MATCH($O327,Scoring!$AI$29:$AI$361,0)))</f>
        <v/>
      </c>
      <c r="G327" s="7" t="str">
        <f aca="false">IF($O327="","",INDEX(Scoring!$C$29:$C$361,MATCH($O327,Scoring!$AI$29:$AI$361,0)))</f>
        <v/>
      </c>
      <c r="H327" s="7" t="str">
        <f aca="false">IF($O327="","",INDEX(Scoring!$D$29:$D$361,MATCH($O327,Scoring!$AI$29:$AI$361,0)))</f>
        <v/>
      </c>
      <c r="I327" s="6" t="str">
        <f aca="false">IF($O327="","",INDEX(Scoring!$R$29:$R$361,MATCH($O327,Scoring!$AI$29:$AI$361,0)))</f>
        <v/>
      </c>
      <c r="J327" s="7" t="str">
        <f aca="false">IF($O327="","",INDEX(Scoring!$S$29:$S$361,MATCH($O327,Scoring!$AI$29:$AI$361,0)))</f>
        <v/>
      </c>
      <c r="K327" s="8" t="str">
        <f aca="false">IF($O327="","",IF(INDEX(Scoring!$I$29:$I$361,MATCH($O327,Scoring!$AI$29:$AI$361,0))="",INDEX(Scoring!$AC$29:$AC$361,MATCH($O327,Scoring!$AI$29:$AI$361,0)),INDEX(Scoring!$I$29:$I$361,MATCH($O327,Scoring!$AI$29:$AI$361,0))))</f>
        <v/>
      </c>
      <c r="L327" s="9" t="str">
        <f aca="false">IF($O327="","",INDEX(Scoring!$M$29:$M$361,MATCH($O327,Scoring!$AI$29:$AI$361,0)))</f>
        <v/>
      </c>
      <c r="M327" s="9" t="str">
        <f aca="false">IF($O327="","",INDEX(Scoring!$O$29:$O$361,MATCH($O327,Scoring!$AI$29:$AI$361,0)))</f>
        <v/>
      </c>
      <c r="N327" s="7" t="str">
        <f aca="false">IF($O327="","",INDEX(Scoring!$Y$29:$Y$361,MATCH($O327,Scoring!$AI$29:$AI$361,0)))</f>
        <v/>
      </c>
      <c r="O327" s="10" t="str">
        <f aca="false">IFERROR(SMALL(Scoring!$AI$29:$AI$361,323),"")</f>
        <v/>
      </c>
    </row>
    <row r="328" customFormat="false" ht="15" hidden="false" customHeight="false" outlineLevel="0" collapsed="false">
      <c r="A328" s="5" t="str">
        <f aca="false">IF($O328="","",INT($O328/1000))</f>
        <v/>
      </c>
      <c r="B328" s="6" t="str">
        <f aca="false">IF($O328="","",INDEX(Scoring!$A$29:$A$361,MATCH($O328,Scoring!$AI$29:$AI$361,0)))</f>
        <v/>
      </c>
      <c r="C328" s="5" t="str">
        <f aca="false">IF($O328="","",IF(INDEX(Scoring!$F$29:$F$361,MATCH($O328,Scoring!$AI$29:$AI$361,0))="","–",INDEX(Scoring!$F$29:$F$361,MATCH($O328,Scoring!$AI$29:$AI$361,0))))</f>
        <v/>
      </c>
      <c r="D328" s="6" t="str">
        <f aca="false">IF($O328="","",INDEX(Scoring!$E$29:$E$361,MATCH($O328,Scoring!$AI$29:$AI$361,0)))</f>
        <v/>
      </c>
      <c r="E328" s="7" t="str">
        <f aca="false">IF($O328="","",INDEX(Scoring!$G$29:$G$361,MATCH($O328,Scoring!$AI$29:$AI$361,0)))</f>
        <v/>
      </c>
      <c r="F328" s="6" t="str">
        <f aca="false">IF($O328="","",INDEX(Scoring!$B$29:$B$361,MATCH($O328,Scoring!$AI$29:$AI$361,0)))</f>
        <v/>
      </c>
      <c r="G328" s="7" t="str">
        <f aca="false">IF($O328="","",INDEX(Scoring!$C$29:$C$361,MATCH($O328,Scoring!$AI$29:$AI$361,0)))</f>
        <v/>
      </c>
      <c r="H328" s="7" t="str">
        <f aca="false">IF($O328="","",INDEX(Scoring!$D$29:$D$361,MATCH($O328,Scoring!$AI$29:$AI$361,0)))</f>
        <v/>
      </c>
      <c r="I328" s="6" t="str">
        <f aca="false">IF($O328="","",INDEX(Scoring!$R$29:$R$361,MATCH($O328,Scoring!$AI$29:$AI$361,0)))</f>
        <v/>
      </c>
      <c r="J328" s="7" t="str">
        <f aca="false">IF($O328="","",INDEX(Scoring!$S$29:$S$361,MATCH($O328,Scoring!$AI$29:$AI$361,0)))</f>
        <v/>
      </c>
      <c r="K328" s="8" t="str">
        <f aca="false">IF($O328="","",IF(INDEX(Scoring!$I$29:$I$361,MATCH($O328,Scoring!$AI$29:$AI$361,0))="",INDEX(Scoring!$AC$29:$AC$361,MATCH($O328,Scoring!$AI$29:$AI$361,0)),INDEX(Scoring!$I$29:$I$361,MATCH($O328,Scoring!$AI$29:$AI$361,0))))</f>
        <v/>
      </c>
      <c r="L328" s="9" t="str">
        <f aca="false">IF($O328="","",INDEX(Scoring!$M$29:$M$361,MATCH($O328,Scoring!$AI$29:$AI$361,0)))</f>
        <v/>
      </c>
      <c r="M328" s="9" t="str">
        <f aca="false">IF($O328="","",INDEX(Scoring!$O$29:$O$361,MATCH($O328,Scoring!$AI$29:$AI$361,0)))</f>
        <v/>
      </c>
      <c r="N328" s="7" t="str">
        <f aca="false">IF($O328="","",INDEX(Scoring!$Y$29:$Y$361,MATCH($O328,Scoring!$AI$29:$AI$361,0)))</f>
        <v/>
      </c>
      <c r="O328" s="10" t="str">
        <f aca="false">IFERROR(SMALL(Scoring!$AI$29:$AI$361,324),"")</f>
        <v/>
      </c>
    </row>
    <row r="329" customFormat="false" ht="15" hidden="false" customHeight="false" outlineLevel="0" collapsed="false">
      <c r="A329" s="5" t="str">
        <f aca="false">IF($O329="","",INT($O329/1000))</f>
        <v/>
      </c>
      <c r="B329" s="6" t="str">
        <f aca="false">IF($O329="","",INDEX(Scoring!$A$29:$A$361,MATCH($O329,Scoring!$AI$29:$AI$361,0)))</f>
        <v/>
      </c>
      <c r="C329" s="5" t="str">
        <f aca="false">IF($O329="","",IF(INDEX(Scoring!$F$29:$F$361,MATCH($O329,Scoring!$AI$29:$AI$361,0))="","–",INDEX(Scoring!$F$29:$F$361,MATCH($O329,Scoring!$AI$29:$AI$361,0))))</f>
        <v/>
      </c>
      <c r="D329" s="6" t="str">
        <f aca="false">IF($O329="","",INDEX(Scoring!$E$29:$E$361,MATCH($O329,Scoring!$AI$29:$AI$361,0)))</f>
        <v/>
      </c>
      <c r="E329" s="7" t="str">
        <f aca="false">IF($O329="","",INDEX(Scoring!$G$29:$G$361,MATCH($O329,Scoring!$AI$29:$AI$361,0)))</f>
        <v/>
      </c>
      <c r="F329" s="6" t="str">
        <f aca="false">IF($O329="","",INDEX(Scoring!$B$29:$B$361,MATCH($O329,Scoring!$AI$29:$AI$361,0)))</f>
        <v/>
      </c>
      <c r="G329" s="7" t="str">
        <f aca="false">IF($O329="","",INDEX(Scoring!$C$29:$C$361,MATCH($O329,Scoring!$AI$29:$AI$361,0)))</f>
        <v/>
      </c>
      <c r="H329" s="7" t="str">
        <f aca="false">IF($O329="","",INDEX(Scoring!$D$29:$D$361,MATCH($O329,Scoring!$AI$29:$AI$361,0)))</f>
        <v/>
      </c>
      <c r="I329" s="6" t="str">
        <f aca="false">IF($O329="","",INDEX(Scoring!$R$29:$R$361,MATCH($O329,Scoring!$AI$29:$AI$361,0)))</f>
        <v/>
      </c>
      <c r="J329" s="7" t="str">
        <f aca="false">IF($O329="","",INDEX(Scoring!$S$29:$S$361,MATCH($O329,Scoring!$AI$29:$AI$361,0)))</f>
        <v/>
      </c>
      <c r="K329" s="8" t="str">
        <f aca="false">IF($O329="","",IF(INDEX(Scoring!$I$29:$I$361,MATCH($O329,Scoring!$AI$29:$AI$361,0))="",INDEX(Scoring!$AC$29:$AC$361,MATCH($O329,Scoring!$AI$29:$AI$361,0)),INDEX(Scoring!$I$29:$I$361,MATCH($O329,Scoring!$AI$29:$AI$361,0))))</f>
        <v/>
      </c>
      <c r="L329" s="9" t="str">
        <f aca="false">IF($O329="","",INDEX(Scoring!$M$29:$M$361,MATCH($O329,Scoring!$AI$29:$AI$361,0)))</f>
        <v/>
      </c>
      <c r="M329" s="9" t="str">
        <f aca="false">IF($O329="","",INDEX(Scoring!$O$29:$O$361,MATCH($O329,Scoring!$AI$29:$AI$361,0)))</f>
        <v/>
      </c>
      <c r="N329" s="7" t="str">
        <f aca="false">IF($O329="","",INDEX(Scoring!$Y$29:$Y$361,MATCH($O329,Scoring!$AI$29:$AI$361,0)))</f>
        <v/>
      </c>
      <c r="O329" s="10" t="str">
        <f aca="false">IFERROR(SMALL(Scoring!$AI$29:$AI$361,325),"")</f>
        <v/>
      </c>
    </row>
    <row r="330" customFormat="false" ht="15" hidden="false" customHeight="false" outlineLevel="0" collapsed="false">
      <c r="A330" s="5" t="str">
        <f aca="false">IF($O330="","",INT($O330/1000))</f>
        <v/>
      </c>
      <c r="B330" s="6" t="str">
        <f aca="false">IF($O330="","",INDEX(Scoring!$A$29:$A$361,MATCH($O330,Scoring!$AI$29:$AI$361,0)))</f>
        <v/>
      </c>
      <c r="C330" s="5" t="str">
        <f aca="false">IF($O330="","",IF(INDEX(Scoring!$F$29:$F$361,MATCH($O330,Scoring!$AI$29:$AI$361,0))="","–",INDEX(Scoring!$F$29:$F$361,MATCH($O330,Scoring!$AI$29:$AI$361,0))))</f>
        <v/>
      </c>
      <c r="D330" s="6" t="str">
        <f aca="false">IF($O330="","",INDEX(Scoring!$E$29:$E$361,MATCH($O330,Scoring!$AI$29:$AI$361,0)))</f>
        <v/>
      </c>
      <c r="E330" s="7" t="str">
        <f aca="false">IF($O330="","",INDEX(Scoring!$G$29:$G$361,MATCH($O330,Scoring!$AI$29:$AI$361,0)))</f>
        <v/>
      </c>
      <c r="F330" s="6" t="str">
        <f aca="false">IF($O330="","",INDEX(Scoring!$B$29:$B$361,MATCH($O330,Scoring!$AI$29:$AI$361,0)))</f>
        <v/>
      </c>
      <c r="G330" s="7" t="str">
        <f aca="false">IF($O330="","",INDEX(Scoring!$C$29:$C$361,MATCH($O330,Scoring!$AI$29:$AI$361,0)))</f>
        <v/>
      </c>
      <c r="H330" s="7" t="str">
        <f aca="false">IF($O330="","",INDEX(Scoring!$D$29:$D$361,MATCH($O330,Scoring!$AI$29:$AI$361,0)))</f>
        <v/>
      </c>
      <c r="I330" s="6" t="str">
        <f aca="false">IF($O330="","",INDEX(Scoring!$R$29:$R$361,MATCH($O330,Scoring!$AI$29:$AI$361,0)))</f>
        <v/>
      </c>
      <c r="J330" s="7" t="str">
        <f aca="false">IF($O330="","",INDEX(Scoring!$S$29:$S$361,MATCH($O330,Scoring!$AI$29:$AI$361,0)))</f>
        <v/>
      </c>
      <c r="K330" s="8" t="str">
        <f aca="false">IF($O330="","",IF(INDEX(Scoring!$I$29:$I$361,MATCH($O330,Scoring!$AI$29:$AI$361,0))="",INDEX(Scoring!$AC$29:$AC$361,MATCH($O330,Scoring!$AI$29:$AI$361,0)),INDEX(Scoring!$I$29:$I$361,MATCH($O330,Scoring!$AI$29:$AI$361,0))))</f>
        <v/>
      </c>
      <c r="L330" s="9" t="str">
        <f aca="false">IF($O330="","",INDEX(Scoring!$M$29:$M$361,MATCH($O330,Scoring!$AI$29:$AI$361,0)))</f>
        <v/>
      </c>
      <c r="M330" s="9" t="str">
        <f aca="false">IF($O330="","",INDEX(Scoring!$O$29:$O$361,MATCH($O330,Scoring!$AI$29:$AI$361,0)))</f>
        <v/>
      </c>
      <c r="N330" s="7" t="str">
        <f aca="false">IF($O330="","",INDEX(Scoring!$Y$29:$Y$361,MATCH($O330,Scoring!$AI$29:$AI$361,0)))</f>
        <v/>
      </c>
      <c r="O330" s="10" t="str">
        <f aca="false">IFERROR(SMALL(Scoring!$AI$29:$AI$361,326),"")</f>
        <v/>
      </c>
    </row>
    <row r="331" customFormat="false" ht="15" hidden="false" customHeight="false" outlineLevel="0" collapsed="false">
      <c r="A331" s="5" t="str">
        <f aca="false">IF($O331="","",INT($O331/1000))</f>
        <v/>
      </c>
      <c r="B331" s="6" t="str">
        <f aca="false">IF($O331="","",INDEX(Scoring!$A$29:$A$361,MATCH($O331,Scoring!$AI$29:$AI$361,0)))</f>
        <v/>
      </c>
      <c r="C331" s="5" t="str">
        <f aca="false">IF($O331="","",IF(INDEX(Scoring!$F$29:$F$361,MATCH($O331,Scoring!$AI$29:$AI$361,0))="","–",INDEX(Scoring!$F$29:$F$361,MATCH($O331,Scoring!$AI$29:$AI$361,0))))</f>
        <v/>
      </c>
      <c r="D331" s="6" t="str">
        <f aca="false">IF($O331="","",INDEX(Scoring!$E$29:$E$361,MATCH($O331,Scoring!$AI$29:$AI$361,0)))</f>
        <v/>
      </c>
      <c r="E331" s="7" t="str">
        <f aca="false">IF($O331="","",INDEX(Scoring!$G$29:$G$361,MATCH($O331,Scoring!$AI$29:$AI$361,0)))</f>
        <v/>
      </c>
      <c r="F331" s="6" t="str">
        <f aca="false">IF($O331="","",INDEX(Scoring!$B$29:$B$361,MATCH($O331,Scoring!$AI$29:$AI$361,0)))</f>
        <v/>
      </c>
      <c r="G331" s="7" t="str">
        <f aca="false">IF($O331="","",INDEX(Scoring!$C$29:$C$361,MATCH($O331,Scoring!$AI$29:$AI$361,0)))</f>
        <v/>
      </c>
      <c r="H331" s="7" t="str">
        <f aca="false">IF($O331="","",INDEX(Scoring!$D$29:$D$361,MATCH($O331,Scoring!$AI$29:$AI$361,0)))</f>
        <v/>
      </c>
      <c r="I331" s="6" t="str">
        <f aca="false">IF($O331="","",INDEX(Scoring!$R$29:$R$361,MATCH($O331,Scoring!$AI$29:$AI$361,0)))</f>
        <v/>
      </c>
      <c r="J331" s="7" t="str">
        <f aca="false">IF($O331="","",INDEX(Scoring!$S$29:$S$361,MATCH($O331,Scoring!$AI$29:$AI$361,0)))</f>
        <v/>
      </c>
      <c r="K331" s="8" t="str">
        <f aca="false">IF($O331="","",IF(INDEX(Scoring!$I$29:$I$361,MATCH($O331,Scoring!$AI$29:$AI$361,0))="",INDEX(Scoring!$AC$29:$AC$361,MATCH($O331,Scoring!$AI$29:$AI$361,0)),INDEX(Scoring!$I$29:$I$361,MATCH($O331,Scoring!$AI$29:$AI$361,0))))</f>
        <v/>
      </c>
      <c r="L331" s="9" t="str">
        <f aca="false">IF($O331="","",INDEX(Scoring!$M$29:$M$361,MATCH($O331,Scoring!$AI$29:$AI$361,0)))</f>
        <v/>
      </c>
      <c r="M331" s="9" t="str">
        <f aca="false">IF($O331="","",INDEX(Scoring!$O$29:$O$361,MATCH($O331,Scoring!$AI$29:$AI$361,0)))</f>
        <v/>
      </c>
      <c r="N331" s="7" t="str">
        <f aca="false">IF($O331="","",INDEX(Scoring!$Y$29:$Y$361,MATCH($O331,Scoring!$AI$29:$AI$361,0)))</f>
        <v/>
      </c>
      <c r="O331" s="10" t="str">
        <f aca="false">IFERROR(SMALL(Scoring!$AI$29:$AI$361,327),"")</f>
        <v/>
      </c>
    </row>
    <row r="332" customFormat="false" ht="15" hidden="false" customHeight="false" outlineLevel="0" collapsed="false">
      <c r="A332" s="5" t="str">
        <f aca="false">IF($O332="","",INT($O332/1000))</f>
        <v/>
      </c>
      <c r="B332" s="6" t="str">
        <f aca="false">IF($O332="","",INDEX(Scoring!$A$29:$A$361,MATCH($O332,Scoring!$AI$29:$AI$361,0)))</f>
        <v/>
      </c>
      <c r="C332" s="5" t="str">
        <f aca="false">IF($O332="","",IF(INDEX(Scoring!$F$29:$F$361,MATCH($O332,Scoring!$AI$29:$AI$361,0))="","–",INDEX(Scoring!$F$29:$F$361,MATCH($O332,Scoring!$AI$29:$AI$361,0))))</f>
        <v/>
      </c>
      <c r="D332" s="6" t="str">
        <f aca="false">IF($O332="","",INDEX(Scoring!$E$29:$E$361,MATCH($O332,Scoring!$AI$29:$AI$361,0)))</f>
        <v/>
      </c>
      <c r="E332" s="7" t="str">
        <f aca="false">IF($O332="","",INDEX(Scoring!$G$29:$G$361,MATCH($O332,Scoring!$AI$29:$AI$361,0)))</f>
        <v/>
      </c>
      <c r="F332" s="6" t="str">
        <f aca="false">IF($O332="","",INDEX(Scoring!$B$29:$B$361,MATCH($O332,Scoring!$AI$29:$AI$361,0)))</f>
        <v/>
      </c>
      <c r="G332" s="7" t="str">
        <f aca="false">IF($O332="","",INDEX(Scoring!$C$29:$C$361,MATCH($O332,Scoring!$AI$29:$AI$361,0)))</f>
        <v/>
      </c>
      <c r="H332" s="7" t="str">
        <f aca="false">IF($O332="","",INDEX(Scoring!$D$29:$D$361,MATCH($O332,Scoring!$AI$29:$AI$361,0)))</f>
        <v/>
      </c>
      <c r="I332" s="6" t="str">
        <f aca="false">IF($O332="","",INDEX(Scoring!$R$29:$R$361,MATCH($O332,Scoring!$AI$29:$AI$361,0)))</f>
        <v/>
      </c>
      <c r="J332" s="7" t="str">
        <f aca="false">IF($O332="","",INDEX(Scoring!$S$29:$S$361,MATCH($O332,Scoring!$AI$29:$AI$361,0)))</f>
        <v/>
      </c>
      <c r="K332" s="8" t="str">
        <f aca="false">IF($O332="","",IF(INDEX(Scoring!$I$29:$I$361,MATCH($O332,Scoring!$AI$29:$AI$361,0))="",INDEX(Scoring!$AC$29:$AC$361,MATCH($O332,Scoring!$AI$29:$AI$361,0)),INDEX(Scoring!$I$29:$I$361,MATCH($O332,Scoring!$AI$29:$AI$361,0))))</f>
        <v/>
      </c>
      <c r="L332" s="9" t="str">
        <f aca="false">IF($O332="","",INDEX(Scoring!$M$29:$M$361,MATCH($O332,Scoring!$AI$29:$AI$361,0)))</f>
        <v/>
      </c>
      <c r="M332" s="9" t="str">
        <f aca="false">IF($O332="","",INDEX(Scoring!$O$29:$O$361,MATCH($O332,Scoring!$AI$29:$AI$361,0)))</f>
        <v/>
      </c>
      <c r="N332" s="7" t="str">
        <f aca="false">IF($O332="","",INDEX(Scoring!$Y$29:$Y$361,MATCH($O332,Scoring!$AI$29:$AI$361,0)))</f>
        <v/>
      </c>
      <c r="O332" s="10" t="str">
        <f aca="false">IFERROR(SMALL(Scoring!$AI$29:$AI$361,328),"")</f>
        <v/>
      </c>
    </row>
    <row r="333" customFormat="false" ht="15" hidden="false" customHeight="false" outlineLevel="0" collapsed="false">
      <c r="A333" s="5" t="str">
        <f aca="false">IF($O333="","",INT($O333/1000))</f>
        <v/>
      </c>
      <c r="B333" s="6" t="str">
        <f aca="false">IF($O333="","",INDEX(Scoring!$A$29:$A$361,MATCH($O333,Scoring!$AI$29:$AI$361,0)))</f>
        <v/>
      </c>
      <c r="C333" s="5" t="str">
        <f aca="false">IF($O333="","",IF(INDEX(Scoring!$F$29:$F$361,MATCH($O333,Scoring!$AI$29:$AI$361,0))="","–",INDEX(Scoring!$F$29:$F$361,MATCH($O333,Scoring!$AI$29:$AI$361,0))))</f>
        <v/>
      </c>
      <c r="D333" s="6" t="str">
        <f aca="false">IF($O333="","",INDEX(Scoring!$E$29:$E$361,MATCH($O333,Scoring!$AI$29:$AI$361,0)))</f>
        <v/>
      </c>
      <c r="E333" s="7" t="str">
        <f aca="false">IF($O333="","",INDEX(Scoring!$G$29:$G$361,MATCH($O333,Scoring!$AI$29:$AI$361,0)))</f>
        <v/>
      </c>
      <c r="F333" s="6" t="str">
        <f aca="false">IF($O333="","",INDEX(Scoring!$B$29:$B$361,MATCH($O333,Scoring!$AI$29:$AI$361,0)))</f>
        <v/>
      </c>
      <c r="G333" s="7" t="str">
        <f aca="false">IF($O333="","",INDEX(Scoring!$C$29:$C$361,MATCH($O333,Scoring!$AI$29:$AI$361,0)))</f>
        <v/>
      </c>
      <c r="H333" s="7" t="str">
        <f aca="false">IF($O333="","",INDEX(Scoring!$D$29:$D$361,MATCH($O333,Scoring!$AI$29:$AI$361,0)))</f>
        <v/>
      </c>
      <c r="I333" s="6" t="str">
        <f aca="false">IF($O333="","",INDEX(Scoring!$R$29:$R$361,MATCH($O333,Scoring!$AI$29:$AI$361,0)))</f>
        <v/>
      </c>
      <c r="J333" s="7" t="str">
        <f aca="false">IF($O333="","",INDEX(Scoring!$S$29:$S$361,MATCH($O333,Scoring!$AI$29:$AI$361,0)))</f>
        <v/>
      </c>
      <c r="K333" s="8" t="str">
        <f aca="false">IF($O333="","",IF(INDEX(Scoring!$I$29:$I$361,MATCH($O333,Scoring!$AI$29:$AI$361,0))="",INDEX(Scoring!$AC$29:$AC$361,MATCH($O333,Scoring!$AI$29:$AI$361,0)),INDEX(Scoring!$I$29:$I$361,MATCH($O333,Scoring!$AI$29:$AI$361,0))))</f>
        <v/>
      </c>
      <c r="L333" s="9" t="str">
        <f aca="false">IF($O333="","",INDEX(Scoring!$M$29:$M$361,MATCH($O333,Scoring!$AI$29:$AI$361,0)))</f>
        <v/>
      </c>
      <c r="M333" s="9" t="str">
        <f aca="false">IF($O333="","",INDEX(Scoring!$O$29:$O$361,MATCH($O333,Scoring!$AI$29:$AI$361,0)))</f>
        <v/>
      </c>
      <c r="N333" s="7" t="str">
        <f aca="false">IF($O333="","",INDEX(Scoring!$Y$29:$Y$361,MATCH($O333,Scoring!$AI$29:$AI$361,0)))</f>
        <v/>
      </c>
      <c r="O333" s="10" t="str">
        <f aca="false">IFERROR(SMALL(Scoring!$AI$29:$AI$361,329),"")</f>
        <v/>
      </c>
    </row>
    <row r="334" customFormat="false" ht="15" hidden="false" customHeight="false" outlineLevel="0" collapsed="false">
      <c r="A334" s="5" t="str">
        <f aca="false">IF($O334="","",INT($O334/1000))</f>
        <v/>
      </c>
      <c r="B334" s="6" t="str">
        <f aca="false">IF($O334="","",INDEX(Scoring!$A$29:$A$361,MATCH($O334,Scoring!$AI$29:$AI$361,0)))</f>
        <v/>
      </c>
      <c r="C334" s="5" t="str">
        <f aca="false">IF($O334="","",IF(INDEX(Scoring!$F$29:$F$361,MATCH($O334,Scoring!$AI$29:$AI$361,0))="","–",INDEX(Scoring!$F$29:$F$361,MATCH($O334,Scoring!$AI$29:$AI$361,0))))</f>
        <v/>
      </c>
      <c r="D334" s="6" t="str">
        <f aca="false">IF($O334="","",INDEX(Scoring!$E$29:$E$361,MATCH($O334,Scoring!$AI$29:$AI$361,0)))</f>
        <v/>
      </c>
      <c r="E334" s="7" t="str">
        <f aca="false">IF($O334="","",INDEX(Scoring!$G$29:$G$361,MATCH($O334,Scoring!$AI$29:$AI$361,0)))</f>
        <v/>
      </c>
      <c r="F334" s="6" t="str">
        <f aca="false">IF($O334="","",INDEX(Scoring!$B$29:$B$361,MATCH($O334,Scoring!$AI$29:$AI$361,0)))</f>
        <v/>
      </c>
      <c r="G334" s="7" t="str">
        <f aca="false">IF($O334="","",INDEX(Scoring!$C$29:$C$361,MATCH($O334,Scoring!$AI$29:$AI$361,0)))</f>
        <v/>
      </c>
      <c r="H334" s="7" t="str">
        <f aca="false">IF($O334="","",INDEX(Scoring!$D$29:$D$361,MATCH($O334,Scoring!$AI$29:$AI$361,0)))</f>
        <v/>
      </c>
      <c r="I334" s="6" t="str">
        <f aca="false">IF($O334="","",INDEX(Scoring!$R$29:$R$361,MATCH($O334,Scoring!$AI$29:$AI$361,0)))</f>
        <v/>
      </c>
      <c r="J334" s="7" t="str">
        <f aca="false">IF($O334="","",INDEX(Scoring!$S$29:$S$361,MATCH($O334,Scoring!$AI$29:$AI$361,0)))</f>
        <v/>
      </c>
      <c r="K334" s="8" t="str">
        <f aca="false">IF($O334="","",IF(INDEX(Scoring!$I$29:$I$361,MATCH($O334,Scoring!$AI$29:$AI$361,0))="",INDEX(Scoring!$AC$29:$AC$361,MATCH($O334,Scoring!$AI$29:$AI$361,0)),INDEX(Scoring!$I$29:$I$361,MATCH($O334,Scoring!$AI$29:$AI$361,0))))</f>
        <v/>
      </c>
      <c r="L334" s="9" t="str">
        <f aca="false">IF($O334="","",INDEX(Scoring!$M$29:$M$361,MATCH($O334,Scoring!$AI$29:$AI$361,0)))</f>
        <v/>
      </c>
      <c r="M334" s="9" t="str">
        <f aca="false">IF($O334="","",INDEX(Scoring!$O$29:$O$361,MATCH($O334,Scoring!$AI$29:$AI$361,0)))</f>
        <v/>
      </c>
      <c r="N334" s="7" t="str">
        <f aca="false">IF($O334="","",INDEX(Scoring!$Y$29:$Y$361,MATCH($O334,Scoring!$AI$29:$AI$361,0)))</f>
        <v/>
      </c>
      <c r="O334" s="10" t="str">
        <f aca="false">IFERROR(SMALL(Scoring!$AI$29:$AI$361,330),"")</f>
        <v/>
      </c>
    </row>
    <row r="335" customFormat="false" ht="15" hidden="false" customHeight="false" outlineLevel="0" collapsed="false">
      <c r="A335" s="5" t="str">
        <f aca="false">IF($O335="","",INT($O335/1000))</f>
        <v/>
      </c>
      <c r="B335" s="6" t="str">
        <f aca="false">IF($O335="","",INDEX(Scoring!$A$29:$A$361,MATCH($O335,Scoring!$AI$29:$AI$361,0)))</f>
        <v/>
      </c>
      <c r="C335" s="5" t="str">
        <f aca="false">IF($O335="","",IF(INDEX(Scoring!$F$29:$F$361,MATCH($O335,Scoring!$AI$29:$AI$361,0))="","–",INDEX(Scoring!$F$29:$F$361,MATCH($O335,Scoring!$AI$29:$AI$361,0))))</f>
        <v/>
      </c>
      <c r="D335" s="6" t="str">
        <f aca="false">IF($O335="","",INDEX(Scoring!$E$29:$E$361,MATCH($O335,Scoring!$AI$29:$AI$361,0)))</f>
        <v/>
      </c>
      <c r="E335" s="7" t="str">
        <f aca="false">IF($O335="","",INDEX(Scoring!$G$29:$G$361,MATCH($O335,Scoring!$AI$29:$AI$361,0)))</f>
        <v/>
      </c>
      <c r="F335" s="6" t="str">
        <f aca="false">IF($O335="","",INDEX(Scoring!$B$29:$B$361,MATCH($O335,Scoring!$AI$29:$AI$361,0)))</f>
        <v/>
      </c>
      <c r="G335" s="7" t="str">
        <f aca="false">IF($O335="","",INDEX(Scoring!$C$29:$C$361,MATCH($O335,Scoring!$AI$29:$AI$361,0)))</f>
        <v/>
      </c>
      <c r="H335" s="7" t="str">
        <f aca="false">IF($O335="","",INDEX(Scoring!$D$29:$D$361,MATCH($O335,Scoring!$AI$29:$AI$361,0)))</f>
        <v/>
      </c>
      <c r="I335" s="6" t="str">
        <f aca="false">IF($O335="","",INDEX(Scoring!$R$29:$R$361,MATCH($O335,Scoring!$AI$29:$AI$361,0)))</f>
        <v/>
      </c>
      <c r="J335" s="7" t="str">
        <f aca="false">IF($O335="","",INDEX(Scoring!$S$29:$S$361,MATCH($O335,Scoring!$AI$29:$AI$361,0)))</f>
        <v/>
      </c>
      <c r="K335" s="8" t="str">
        <f aca="false">IF($O335="","",IF(INDEX(Scoring!$I$29:$I$361,MATCH($O335,Scoring!$AI$29:$AI$361,0))="",INDEX(Scoring!$AC$29:$AC$361,MATCH($O335,Scoring!$AI$29:$AI$361,0)),INDEX(Scoring!$I$29:$I$361,MATCH($O335,Scoring!$AI$29:$AI$361,0))))</f>
        <v/>
      </c>
      <c r="L335" s="9" t="str">
        <f aca="false">IF($O335="","",INDEX(Scoring!$M$29:$M$361,MATCH($O335,Scoring!$AI$29:$AI$361,0)))</f>
        <v/>
      </c>
      <c r="M335" s="9" t="str">
        <f aca="false">IF($O335="","",INDEX(Scoring!$O$29:$O$361,MATCH($O335,Scoring!$AI$29:$AI$361,0)))</f>
        <v/>
      </c>
      <c r="N335" s="7" t="str">
        <f aca="false">IF($O335="","",INDEX(Scoring!$Y$29:$Y$361,MATCH($O335,Scoring!$AI$29:$AI$361,0)))</f>
        <v/>
      </c>
      <c r="O335" s="10" t="str">
        <f aca="false">IFERROR(SMALL(Scoring!$AI$29:$AI$361,331),"")</f>
        <v/>
      </c>
    </row>
    <row r="336" customFormat="false" ht="15" hidden="false" customHeight="false" outlineLevel="0" collapsed="false">
      <c r="A336" s="5" t="str">
        <f aca="false">IF($O336="","",INT($O336/1000))</f>
        <v/>
      </c>
      <c r="B336" s="6" t="str">
        <f aca="false">IF($O336="","",INDEX(Scoring!$A$29:$A$361,MATCH($O336,Scoring!$AI$29:$AI$361,0)))</f>
        <v/>
      </c>
      <c r="C336" s="5" t="str">
        <f aca="false">IF($O336="","",IF(INDEX(Scoring!$F$29:$F$361,MATCH($O336,Scoring!$AI$29:$AI$361,0))="","–",INDEX(Scoring!$F$29:$F$361,MATCH($O336,Scoring!$AI$29:$AI$361,0))))</f>
        <v/>
      </c>
      <c r="D336" s="6" t="str">
        <f aca="false">IF($O336="","",INDEX(Scoring!$E$29:$E$361,MATCH($O336,Scoring!$AI$29:$AI$361,0)))</f>
        <v/>
      </c>
      <c r="E336" s="7" t="str">
        <f aca="false">IF($O336="","",INDEX(Scoring!$G$29:$G$361,MATCH($O336,Scoring!$AI$29:$AI$361,0)))</f>
        <v/>
      </c>
      <c r="F336" s="6" t="str">
        <f aca="false">IF($O336="","",INDEX(Scoring!$B$29:$B$361,MATCH($O336,Scoring!$AI$29:$AI$361,0)))</f>
        <v/>
      </c>
      <c r="G336" s="7" t="str">
        <f aca="false">IF($O336="","",INDEX(Scoring!$C$29:$C$361,MATCH($O336,Scoring!$AI$29:$AI$361,0)))</f>
        <v/>
      </c>
      <c r="H336" s="7" t="str">
        <f aca="false">IF($O336="","",INDEX(Scoring!$D$29:$D$361,MATCH($O336,Scoring!$AI$29:$AI$361,0)))</f>
        <v/>
      </c>
      <c r="I336" s="6" t="str">
        <f aca="false">IF($O336="","",INDEX(Scoring!$R$29:$R$361,MATCH($O336,Scoring!$AI$29:$AI$361,0)))</f>
        <v/>
      </c>
      <c r="J336" s="7" t="str">
        <f aca="false">IF($O336="","",INDEX(Scoring!$S$29:$S$361,MATCH($O336,Scoring!$AI$29:$AI$361,0)))</f>
        <v/>
      </c>
      <c r="K336" s="8" t="str">
        <f aca="false">IF($O336="","",IF(INDEX(Scoring!$I$29:$I$361,MATCH($O336,Scoring!$AI$29:$AI$361,0))="",INDEX(Scoring!$AC$29:$AC$361,MATCH($O336,Scoring!$AI$29:$AI$361,0)),INDEX(Scoring!$I$29:$I$361,MATCH($O336,Scoring!$AI$29:$AI$361,0))))</f>
        <v/>
      </c>
      <c r="L336" s="9" t="str">
        <f aca="false">IF($O336="","",INDEX(Scoring!$M$29:$M$361,MATCH($O336,Scoring!$AI$29:$AI$361,0)))</f>
        <v/>
      </c>
      <c r="M336" s="9" t="str">
        <f aca="false">IF($O336="","",INDEX(Scoring!$O$29:$O$361,MATCH($O336,Scoring!$AI$29:$AI$361,0)))</f>
        <v/>
      </c>
      <c r="N336" s="7" t="str">
        <f aca="false">IF($O336="","",INDEX(Scoring!$Y$29:$Y$361,MATCH($O336,Scoring!$AI$29:$AI$361,0)))</f>
        <v/>
      </c>
      <c r="O336" s="10" t="str">
        <f aca="false">IFERROR(SMALL(Scoring!$AI$29:$AI$361,332),"")</f>
        <v/>
      </c>
    </row>
    <row r="337" customFormat="false" ht="15" hidden="false" customHeight="false" outlineLevel="0" collapsed="false">
      <c r="A337" s="5" t="str">
        <f aca="false">IF($O337="","",INT($O337/1000))</f>
        <v/>
      </c>
      <c r="B337" s="6" t="str">
        <f aca="false">IF($O337="","",INDEX(Scoring!$A$29:$A$361,MATCH($O337,Scoring!$AI$29:$AI$361,0)))</f>
        <v/>
      </c>
      <c r="C337" s="5" t="str">
        <f aca="false">IF($O337="","",IF(INDEX(Scoring!$F$29:$F$361,MATCH($O337,Scoring!$AI$29:$AI$361,0))="","–",INDEX(Scoring!$F$29:$F$361,MATCH($O337,Scoring!$AI$29:$AI$361,0))))</f>
        <v/>
      </c>
      <c r="D337" s="6" t="str">
        <f aca="false">IF($O337="","",INDEX(Scoring!$E$29:$E$361,MATCH($O337,Scoring!$AI$29:$AI$361,0)))</f>
        <v/>
      </c>
      <c r="E337" s="7" t="str">
        <f aca="false">IF($O337="","",INDEX(Scoring!$G$29:$G$361,MATCH($O337,Scoring!$AI$29:$AI$361,0)))</f>
        <v/>
      </c>
      <c r="F337" s="6" t="str">
        <f aca="false">IF($O337="","",INDEX(Scoring!$B$29:$B$361,MATCH($O337,Scoring!$AI$29:$AI$361,0)))</f>
        <v/>
      </c>
      <c r="G337" s="7" t="str">
        <f aca="false">IF($O337="","",INDEX(Scoring!$C$29:$C$361,MATCH($O337,Scoring!$AI$29:$AI$361,0)))</f>
        <v/>
      </c>
      <c r="H337" s="7" t="str">
        <f aca="false">IF($O337="","",INDEX(Scoring!$D$29:$D$361,MATCH($O337,Scoring!$AI$29:$AI$361,0)))</f>
        <v/>
      </c>
      <c r="I337" s="6" t="str">
        <f aca="false">IF($O337="","",INDEX(Scoring!$R$29:$R$361,MATCH($O337,Scoring!$AI$29:$AI$361,0)))</f>
        <v/>
      </c>
      <c r="J337" s="7" t="str">
        <f aca="false">IF($O337="","",INDEX(Scoring!$S$29:$S$361,MATCH($O337,Scoring!$AI$29:$AI$361,0)))</f>
        <v/>
      </c>
      <c r="K337" s="8" t="str">
        <f aca="false">IF($O337="","",IF(INDEX(Scoring!$I$29:$I$361,MATCH($O337,Scoring!$AI$29:$AI$361,0))="",INDEX(Scoring!$AC$29:$AC$361,MATCH($O337,Scoring!$AI$29:$AI$361,0)),INDEX(Scoring!$I$29:$I$361,MATCH($O337,Scoring!$AI$29:$AI$361,0))))</f>
        <v/>
      </c>
      <c r="L337" s="9" t="str">
        <f aca="false">IF($O337="","",INDEX(Scoring!$M$29:$M$361,MATCH($O337,Scoring!$AI$29:$AI$361,0)))</f>
        <v/>
      </c>
      <c r="M337" s="9" t="str">
        <f aca="false">IF($O337="","",INDEX(Scoring!$O$29:$O$361,MATCH($O337,Scoring!$AI$29:$AI$361,0)))</f>
        <v/>
      </c>
      <c r="N337" s="7" t="str">
        <f aca="false">IF($O337="","",INDEX(Scoring!$Y$29:$Y$361,MATCH($O337,Scoring!$AI$29:$AI$361,0)))</f>
        <v/>
      </c>
      <c r="O337" s="10" t="str">
        <f aca="false">IFERROR(SMALL(Scoring!$AI$29:$AI$361,333),"")</f>
        <v/>
      </c>
    </row>
  </sheetData>
  <autoFilter ref="A4:N337"/>
  <mergeCells count="2">
    <mergeCell ref="A2:N2"/>
    <mergeCell ref="A3:N3"/>
  </mergeCells>
  <conditionalFormatting sqref="A5:O337">
    <cfRule type="expression" priority="2" aboveAverage="0" equalAverage="0" bottom="0" percent="0" rank="0" text="" dxfId="2">
      <formula>AND($B5&lt;&gt;$B4,$B5&lt;&gt;"")</formula>
    </cfRule>
    <cfRule type="expression" priority="3" aboveAverage="0" equalAverage="0" bottom="0" percent="0" rank="0" text="" dxfId="3">
      <formula>$O5&lt;&gt;""</formula>
    </cfRule>
  </conditionalFormatting>
  <conditionalFormatting sqref="A5:B337">
    <cfRule type="expression" priority="4" aboveAverage="0" equalAverage="0" bottom="0" percent="0" rank="0" text="" dxfId="4">
      <formula>AND($B5=$B4,$B5&lt;&gt;"")</formula>
    </cfRule>
  </conditionalFormatting>
  <conditionalFormatting sqref="C5:N337">
    <cfRule type="expression" priority="5" aboveAverage="0" equalAverage="0" bottom="0" percent="0" rank="0" text="" dxfId="5">
      <formula>$D5="Priority 1"</formula>
    </cfRule>
    <cfRule type="expression" priority="6" aboveAverage="0" equalAverage="0" bottom="0" percent="0" rank="0" text="" dxfId="6">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R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24"/>
    <col collapsed="false" customWidth="true" hidden="false" outlineLevel="0" max="3" min="3" style="0" width="13"/>
    <col collapsed="false" customWidth="true" hidden="false" outlineLevel="0" max="4" min="4" style="0" width="24"/>
    <col collapsed="false" customWidth="true" hidden="false" outlineLevel="0" max="5" min="5" style="0" width="12"/>
    <col collapsed="false" customWidth="true" hidden="false" outlineLevel="0" max="6" min="6" style="0" width="13"/>
    <col collapsed="false" customWidth="true" hidden="false" outlineLevel="0" max="7" min="7" style="0" width="14"/>
    <col collapsed="false" customWidth="true" hidden="false" outlineLevel="0" max="8" min="8" style="0" width="22"/>
    <col collapsed="false" customWidth="true" hidden="true" outlineLevel="1" max="18" min="9" style="0" width="9"/>
  </cols>
  <sheetData>
    <row r="1" customFormat="false" ht="17.35" hidden="false" customHeight="false" outlineLevel="0" collapsed="false">
      <c r="A1" s="1" t="s">
        <v>18</v>
      </c>
    </row>
    <row r="2" customFormat="false" ht="61.5" hidden="false" customHeight="true" outlineLevel="0" collapsed="false">
      <c r="A2" s="2" t="s">
        <v>19</v>
      </c>
      <c r="B2" s="2"/>
      <c r="C2" s="2"/>
      <c r="D2" s="2"/>
      <c r="E2" s="2"/>
      <c r="F2" s="2"/>
      <c r="G2" s="2"/>
      <c r="H2" s="2"/>
    </row>
    <row r="3" customFormat="false" ht="15" hidden="false" customHeight="false" outlineLevel="0" collapsed="false">
      <c r="A3" s="11" t="s">
        <v>20</v>
      </c>
      <c r="B3" s="12" t="s">
        <v>21</v>
      </c>
      <c r="C3" s="13" t="s">
        <v>3</v>
      </c>
      <c r="D3" s="14" t="n">
        <f aca="false">INDEX(Scoring!$G$7:$G$25,MATCH($B$3,Scoring!$A$7:$A$25,0))</f>
        <v>1</v>
      </c>
      <c r="E3" s="13" t="s">
        <v>22</v>
      </c>
      <c r="F3" s="14" t="n">
        <f aca="false">INDEX(Scoring!$E$7:$E$25,MATCH($B$3,Scoring!$A$7:$A$25,0))</f>
        <v>24</v>
      </c>
    </row>
    <row r="5" customFormat="false" ht="45" hidden="false" customHeight="true" outlineLevel="0" collapsed="false">
      <c r="A5" s="3" t="s">
        <v>23</v>
      </c>
      <c r="B5" s="3" t="s">
        <v>8</v>
      </c>
      <c r="C5" s="3" t="s">
        <v>6</v>
      </c>
      <c r="D5" s="3" t="s">
        <v>7</v>
      </c>
      <c r="E5" s="3" t="s">
        <v>13</v>
      </c>
      <c r="F5" s="3" t="s">
        <v>14</v>
      </c>
      <c r="G5" s="3" t="s">
        <v>15</v>
      </c>
      <c r="H5" s="3" t="s">
        <v>24</v>
      </c>
      <c r="I5" s="4" t="s">
        <v>25</v>
      </c>
      <c r="J5" s="4" t="s">
        <v>26</v>
      </c>
      <c r="K5" s="4" t="s">
        <v>27</v>
      </c>
      <c r="L5" s="4" t="s">
        <v>28</v>
      </c>
      <c r="M5" s="4" t="s">
        <v>29</v>
      </c>
      <c r="N5" s="4" t="s">
        <v>30</v>
      </c>
      <c r="O5" s="4" t="s">
        <v>31</v>
      </c>
      <c r="P5" s="4" t="s">
        <v>32</v>
      </c>
      <c r="Q5" s="4" t="s">
        <v>33</v>
      </c>
      <c r="R5" s="4" t="s">
        <v>34</v>
      </c>
    </row>
    <row r="6" customFormat="false" ht="15" hidden="false" customHeight="false" outlineLevel="0" collapsed="false">
      <c r="A6" s="15" t="n">
        <v>1</v>
      </c>
      <c r="B6" s="16" t="str">
        <f aca="false">IF($R6="","",INDEX(Scoring!$B$29:$B$361,$R6))</f>
        <v>Azacitidine</v>
      </c>
      <c r="C6" s="16" t="str">
        <f aca="false">IF($R6="","",INDEX(Scoring!$E$29:$E$361,$R6))</f>
        <v>Priority 1</v>
      </c>
      <c r="D6" s="17" t="str">
        <f aca="false">IF($R6="","",INDEX(Scoring!$G$29:$G$361,$R6))</f>
        <v>High price, high volume</v>
      </c>
      <c r="E6" s="18" t="n">
        <f aca="false">IF($R6="","",IF(INDEX(Scoring!$I$29:$I$361,$R6)="",INDEX(Scoring!$AC$29:$AC$361,$R6),INDEX(Scoring!$I$29:$I$361,$R6)))</f>
        <v>256.12</v>
      </c>
      <c r="F6" s="19" t="n">
        <f aca="false">IF($R6="","",INDEX(Scoring!$M$29:$M$361,$R6))</f>
        <v>632</v>
      </c>
      <c r="G6" s="19" t="n">
        <f aca="false">IF($R6="","",INDEX(Scoring!$O$29:$O$361,$R6))</f>
        <v>42181.7</v>
      </c>
      <c r="H6" s="16" t="str">
        <f aca="false">IF($R6="","",IF(OR(LEFT($C6,8)="Excluded",INDEX(Scoring!$I$29:$I$361,$R6)=""),"",$B6))</f>
        <v>Azacitidine</v>
      </c>
      <c r="I6" s="20" t="n">
        <f aca="false">IF(OR($H6="",N($F6)&lt;=0,$C6&lt;&gt;"Priority 1"),NA(),$E6)</f>
        <v>256.12</v>
      </c>
      <c r="J6" s="21" t="n">
        <f aca="false">IF(OR($H6="",N($F6)&lt;=0,$C6&lt;&gt;"Priority 1"),NA(),$F6)</f>
        <v>632</v>
      </c>
      <c r="K6" s="21" t="n">
        <f aca="false">IF(OR($H6="",N($F6)&lt;=0,$C6&lt;&gt;"Priority 1"),NA(),MAX($G6,1))</f>
        <v>42181.7</v>
      </c>
      <c r="L6" s="20" t="e">
        <f aca="false">IF(OR($H6="",N($F6)&lt;=0,$C6&lt;&gt;"Priority 2"),NA(),$E6)</f>
        <v>#N/A</v>
      </c>
      <c r="M6" s="21" t="e">
        <f aca="false">IF(OR($H6="",N($F6)&lt;=0,$C6&lt;&gt;"Priority 2"),NA(),$F6)</f>
        <v>#N/A</v>
      </c>
      <c r="N6" s="21" t="e">
        <f aca="false">IF(OR($H6="",N($F6)&lt;=0,$C6&lt;&gt;"Priority 2"),NA(),MAX($G6,1))</f>
        <v>#N/A</v>
      </c>
      <c r="O6" s="20" t="e">
        <f aca="false">IF(OR($H6="",N($F6)&lt;=0,$C6&lt;&gt;"Priority 3"),NA(),$E6)</f>
        <v>#N/A</v>
      </c>
      <c r="P6" s="21" t="e">
        <f aca="false">IF(OR($H6="",N($F6)&lt;=0,$C6&lt;&gt;"Priority 3"),NA(),$F6)</f>
        <v>#N/A</v>
      </c>
      <c r="Q6" s="21" t="e">
        <f aca="false">IF(OR($H6="",N($F6)&lt;=0,$C6&lt;&gt;"Priority 3"),NA(),MAX($G6,1))</f>
        <v>#N/A</v>
      </c>
      <c r="R6" s="22" t="n">
        <f aca="false">IFERROR(MATCH($D$3*1000+IF($A6&lt;=$F$3,$A6,900+$A6-$F$3),Scoring!$AI$29:$AI$361,0),"")</f>
        <v>160</v>
      </c>
    </row>
    <row r="7" customFormat="false" ht="15" hidden="false" customHeight="false" outlineLevel="0" collapsed="false">
      <c r="A7" s="15" t="n">
        <v>2</v>
      </c>
      <c r="B7" s="16" t="str">
        <f aca="false">IF($R7="","",INDEX(Scoring!$B$29:$B$361,$R7))</f>
        <v>Bortezomib</v>
      </c>
      <c r="C7" s="16" t="str">
        <f aca="false">IF($R7="","",INDEX(Scoring!$E$29:$E$361,$R7))</f>
        <v>Priority 1</v>
      </c>
      <c r="D7" s="17" t="str">
        <f aca="false">IF($R7="","",INDEX(Scoring!$G$29:$G$361,$R7))</f>
        <v>High price, high volume</v>
      </c>
      <c r="E7" s="18" t="n">
        <f aca="false">IF($R7="","",IF(INDEX(Scoring!$I$29:$I$361,$R7)="",INDEX(Scoring!$AC$29:$AC$361,$R7),INDEX(Scoring!$I$29:$I$361,$R7)))</f>
        <v>569.27</v>
      </c>
      <c r="F7" s="19" t="n">
        <f aca="false">IF($R7="","",INDEX(Scoring!$M$29:$M$361,$R7))</f>
        <v>905</v>
      </c>
      <c r="G7" s="19" t="n">
        <f aca="false">IF($R7="","",INDEX(Scoring!$O$29:$O$361,$R7))</f>
        <v>28093.4</v>
      </c>
      <c r="H7" s="16" t="str">
        <f aca="false">IF($R7="","",IF(OR(LEFT($C7,8)="Excluded",INDEX(Scoring!$I$29:$I$361,$R7)=""),"",$B7))</f>
        <v>Bortezomib</v>
      </c>
      <c r="I7" s="20" t="n">
        <f aca="false">IF(OR($H7="",N($F7)&lt;=0,$C7&lt;&gt;"Priority 1"),NA(),$E7)</f>
        <v>569.27</v>
      </c>
      <c r="J7" s="21" t="n">
        <f aca="false">IF(OR($H7="",N($F7)&lt;=0,$C7&lt;&gt;"Priority 1"),NA(),$F7)</f>
        <v>905</v>
      </c>
      <c r="K7" s="21" t="n">
        <f aca="false">IF(OR($H7="",N($F7)&lt;=0,$C7&lt;&gt;"Priority 1"),NA(),MAX($G7,1))</f>
        <v>28093.4</v>
      </c>
      <c r="L7" s="20" t="e">
        <f aca="false">IF(OR($H7="",N($F7)&lt;=0,$C7&lt;&gt;"Priority 2"),NA(),$E7)</f>
        <v>#N/A</v>
      </c>
      <c r="M7" s="21" t="e">
        <f aca="false">IF(OR($H7="",N($F7)&lt;=0,$C7&lt;&gt;"Priority 2"),NA(),$F7)</f>
        <v>#N/A</v>
      </c>
      <c r="N7" s="21" t="e">
        <f aca="false">IF(OR($H7="",N($F7)&lt;=0,$C7&lt;&gt;"Priority 2"),NA(),MAX($G7,1))</f>
        <v>#N/A</v>
      </c>
      <c r="O7" s="20" t="e">
        <f aca="false">IF(OR($H7="",N($F7)&lt;=0,$C7&lt;&gt;"Priority 3"),NA(),$E7)</f>
        <v>#N/A</v>
      </c>
      <c r="P7" s="21" t="e">
        <f aca="false">IF(OR($H7="",N($F7)&lt;=0,$C7&lt;&gt;"Priority 3"),NA(),$F7)</f>
        <v>#N/A</v>
      </c>
      <c r="Q7" s="21" t="e">
        <f aca="false">IF(OR($H7="",N($F7)&lt;=0,$C7&lt;&gt;"Priority 3"),NA(),MAX($G7,1))</f>
        <v>#N/A</v>
      </c>
      <c r="R7" s="22" t="n">
        <f aca="false">IFERROR(MATCH($D$3*1000+IF($A7&lt;=$F$3,$A7,900+$A7-$F$3),Scoring!$AI$29:$AI$361,0),"")</f>
        <v>163</v>
      </c>
    </row>
    <row r="8" customFormat="false" ht="15" hidden="false" customHeight="false" outlineLevel="0" collapsed="false">
      <c r="A8" s="15" t="n">
        <v>3</v>
      </c>
      <c r="B8" s="16" t="str">
        <f aca="false">IF($R8="","",INDEX(Scoring!$B$29:$B$361,$R8))</f>
        <v>Pegfilgrastim</v>
      </c>
      <c r="C8" s="16" t="str">
        <f aca="false">IF($R8="","",INDEX(Scoring!$E$29:$E$361,$R8))</f>
        <v>Priority 1</v>
      </c>
      <c r="D8" s="17" t="str">
        <f aca="false">IF($R8="","",INDEX(Scoring!$G$29:$G$361,$R8))</f>
        <v>High price, high volume</v>
      </c>
      <c r="E8" s="18" t="n">
        <f aca="false">IF($R8="","",IF(INDEX(Scoring!$I$29:$I$361,$R8)="",INDEX(Scoring!$AC$29:$AC$361,$R8),INDEX(Scoring!$I$29:$I$361,$R8)))</f>
        <v>907.38</v>
      </c>
      <c r="F8" s="19" t="n">
        <f aca="false">IF($R8="","",INDEX(Scoring!$M$29:$M$361,$R8))</f>
        <v>155</v>
      </c>
      <c r="G8" s="19" t="n">
        <f aca="false">IF($R8="","",INDEX(Scoring!$O$29:$O$361,$R8))</f>
        <v>22036.1</v>
      </c>
      <c r="H8" s="16" t="str">
        <f aca="false">IF($R8="","",IF(OR(LEFT($C8,8)="Excluded",INDEX(Scoring!$I$29:$I$361,$R8)=""),"",$B8))</f>
        <v>Pegfilgrastim</v>
      </c>
      <c r="I8" s="20" t="n">
        <f aca="false">IF(OR($H8="",N($F8)&lt;=0,$C8&lt;&gt;"Priority 1"),NA(),$E8)</f>
        <v>907.38</v>
      </c>
      <c r="J8" s="21" t="n">
        <f aca="false">IF(OR($H8="",N($F8)&lt;=0,$C8&lt;&gt;"Priority 1"),NA(),$F8)</f>
        <v>155</v>
      </c>
      <c r="K8" s="21" t="n">
        <f aca="false">IF(OR($H8="",N($F8)&lt;=0,$C8&lt;&gt;"Priority 1"),NA(),MAX($G8,1))</f>
        <v>22036.1</v>
      </c>
      <c r="L8" s="20" t="e">
        <f aca="false">IF(OR($H8="",N($F8)&lt;=0,$C8&lt;&gt;"Priority 2"),NA(),$E8)</f>
        <v>#N/A</v>
      </c>
      <c r="M8" s="21" t="e">
        <f aca="false">IF(OR($H8="",N($F8)&lt;=0,$C8&lt;&gt;"Priority 2"),NA(),$F8)</f>
        <v>#N/A</v>
      </c>
      <c r="N8" s="21" t="e">
        <f aca="false">IF(OR($H8="",N($F8)&lt;=0,$C8&lt;&gt;"Priority 2"),NA(),MAX($G8,1))</f>
        <v>#N/A</v>
      </c>
      <c r="O8" s="20" t="e">
        <f aca="false">IF(OR($H8="",N($F8)&lt;=0,$C8&lt;&gt;"Priority 3"),NA(),$E8)</f>
        <v>#N/A</v>
      </c>
      <c r="P8" s="21" t="e">
        <f aca="false">IF(OR($H8="",N($F8)&lt;=0,$C8&lt;&gt;"Priority 3"),NA(),$F8)</f>
        <v>#N/A</v>
      </c>
      <c r="Q8" s="21" t="e">
        <f aca="false">IF(OR($H8="",N($F8)&lt;=0,$C8&lt;&gt;"Priority 3"),NA(),MAX($G8,1))</f>
        <v>#N/A</v>
      </c>
      <c r="R8" s="22" t="n">
        <f aca="false">IFERROR(MATCH($D$3*1000+IF($A8&lt;=$F$3,$A8,900+$A8-$F$3),Scoring!$AI$29:$AI$361,0),"")</f>
        <v>200</v>
      </c>
    </row>
    <row r="9" customFormat="false" ht="15" hidden="false" customHeight="false" outlineLevel="0" collapsed="false">
      <c r="A9" s="15" t="n">
        <v>4</v>
      </c>
      <c r="B9" s="16" t="str">
        <f aca="false">IF($R9="","",INDEX(Scoring!$B$29:$B$361,$R9))</f>
        <v>Methotrexate</v>
      </c>
      <c r="C9" s="16" t="str">
        <f aca="false">IF($R9="","",INDEX(Scoring!$E$29:$E$361,$R9))</f>
        <v>Priority 1</v>
      </c>
      <c r="D9" s="17" t="str">
        <f aca="false">IF($R9="","",INDEX(Scoring!$G$29:$G$361,$R9))</f>
        <v>High price, high volume</v>
      </c>
      <c r="E9" s="18" t="n">
        <f aca="false">IF($R9="","",IF(INDEX(Scoring!$I$29:$I$361,$R9)="",INDEX(Scoring!$AC$29:$AC$361,$R9),INDEX(Scoring!$I$29:$I$361,$R9)))</f>
        <v>50.77</v>
      </c>
      <c r="F9" s="19" t="n">
        <f aca="false">IF($R9="","",INDEX(Scoring!$M$29:$M$361,$R9))</f>
        <v>996</v>
      </c>
      <c r="G9" s="19" t="n">
        <f aca="false">IF($R9="","",INDEX(Scoring!$O$29:$O$361,$R9))</f>
        <v>13045.6</v>
      </c>
      <c r="H9" s="16" t="str">
        <f aca="false">IF($R9="","",IF(OR(LEFT($C9,8)="Excluded",INDEX(Scoring!$I$29:$I$361,$R9)=""),"",$B9))</f>
        <v>Methotrexate</v>
      </c>
      <c r="I9" s="20" t="n">
        <f aca="false">IF(OR($H9="",N($F9)&lt;=0,$C9&lt;&gt;"Priority 1"),NA(),$E9)</f>
        <v>50.77</v>
      </c>
      <c r="J9" s="21" t="n">
        <f aca="false">IF(OR($H9="",N($F9)&lt;=0,$C9&lt;&gt;"Priority 1"),NA(),$F9)</f>
        <v>996</v>
      </c>
      <c r="K9" s="21" t="n">
        <f aca="false">IF(OR($H9="",N($F9)&lt;=0,$C9&lt;&gt;"Priority 1"),NA(),MAX($G9,1))</f>
        <v>13045.6</v>
      </c>
      <c r="L9" s="20" t="e">
        <f aca="false">IF(OR($H9="",N($F9)&lt;=0,$C9&lt;&gt;"Priority 2"),NA(),$E9)</f>
        <v>#N/A</v>
      </c>
      <c r="M9" s="21" t="e">
        <f aca="false">IF(OR($H9="",N($F9)&lt;=0,$C9&lt;&gt;"Priority 2"),NA(),$F9)</f>
        <v>#N/A</v>
      </c>
      <c r="N9" s="21" t="e">
        <f aca="false">IF(OR($H9="",N($F9)&lt;=0,$C9&lt;&gt;"Priority 2"),NA(),MAX($G9,1))</f>
        <v>#N/A</v>
      </c>
      <c r="O9" s="20" t="e">
        <f aca="false">IF(OR($H9="",N($F9)&lt;=0,$C9&lt;&gt;"Priority 3"),NA(),$E9)</f>
        <v>#N/A</v>
      </c>
      <c r="P9" s="21" t="e">
        <f aca="false">IF(OR($H9="",N($F9)&lt;=0,$C9&lt;&gt;"Priority 3"),NA(),$F9)</f>
        <v>#N/A</v>
      </c>
      <c r="Q9" s="21" t="e">
        <f aca="false">IF(OR($H9="",N($F9)&lt;=0,$C9&lt;&gt;"Priority 3"),NA(),MAX($G9,1))</f>
        <v>#N/A</v>
      </c>
      <c r="R9" s="22" t="n">
        <f aca="false">IFERROR(MATCH($D$3*1000+IF($A9&lt;=$F$3,$A9,900+$A9-$F$3),Scoring!$AI$29:$AI$361,0),"")</f>
        <v>190</v>
      </c>
    </row>
    <row r="10" customFormat="false" ht="15" hidden="false" customHeight="false" outlineLevel="0" collapsed="false">
      <c r="A10" s="15" t="n">
        <v>5</v>
      </c>
      <c r="B10" s="16" t="str">
        <f aca="false">IF($R10="","",INDEX(Scoring!$B$29:$B$361,$R10))</f>
        <v>Fulvestrant</v>
      </c>
      <c r="C10" s="16" t="str">
        <f aca="false">IF($R10="","",INDEX(Scoring!$E$29:$E$361,$R10))</f>
        <v>Priority 1</v>
      </c>
      <c r="D10" s="17" t="str">
        <f aca="false">IF($R10="","",INDEX(Scoring!$G$29:$G$361,$R10))</f>
        <v>High price, high volume</v>
      </c>
      <c r="E10" s="18" t="n">
        <f aca="false">IF($R10="","",IF(INDEX(Scoring!$I$29:$I$361,$R10)="",INDEX(Scoring!$AC$29:$AC$361,$R10),INDEX(Scoring!$I$29:$I$361,$R10)))</f>
        <v>246.46</v>
      </c>
      <c r="F10" s="19" t="n">
        <f aca="false">IF($R10="","",INDEX(Scoring!$M$29:$M$361,$R10))</f>
        <v>146</v>
      </c>
      <c r="G10" s="19" t="n">
        <f aca="false">IF($R10="","",INDEX(Scoring!$O$29:$O$361,$R10))</f>
        <v>11366.1</v>
      </c>
      <c r="H10" s="16" t="str">
        <f aca="false">IF($R10="","",IF(OR(LEFT($C10,8)="Excluded",INDEX(Scoring!$I$29:$I$361,$R10)=""),"",$B10))</f>
        <v>Fulvestrant</v>
      </c>
      <c r="I10" s="20" t="n">
        <f aca="false">IF(OR($H10="",N($F10)&lt;=0,$C10&lt;&gt;"Priority 1"),NA(),$E10)</f>
        <v>246.46</v>
      </c>
      <c r="J10" s="21" t="n">
        <f aca="false">IF(OR($H10="",N($F10)&lt;=0,$C10&lt;&gt;"Priority 1"),NA(),$F10)</f>
        <v>146</v>
      </c>
      <c r="K10" s="21" t="n">
        <f aca="false">IF(OR($H10="",N($F10)&lt;=0,$C10&lt;&gt;"Priority 1"),NA(),MAX($G10,1))</f>
        <v>11366.1</v>
      </c>
      <c r="L10" s="20" t="e">
        <f aca="false">IF(OR($H10="",N($F10)&lt;=0,$C10&lt;&gt;"Priority 2"),NA(),$E10)</f>
        <v>#N/A</v>
      </c>
      <c r="M10" s="21" t="e">
        <f aca="false">IF(OR($H10="",N($F10)&lt;=0,$C10&lt;&gt;"Priority 2"),NA(),$F10)</f>
        <v>#N/A</v>
      </c>
      <c r="N10" s="21" t="e">
        <f aca="false">IF(OR($H10="",N($F10)&lt;=0,$C10&lt;&gt;"Priority 2"),NA(),MAX($G10,1))</f>
        <v>#N/A</v>
      </c>
      <c r="O10" s="20" t="e">
        <f aca="false">IF(OR($H10="",N($F10)&lt;=0,$C10&lt;&gt;"Priority 3"),NA(),$E10)</f>
        <v>#N/A</v>
      </c>
      <c r="P10" s="21" t="e">
        <f aca="false">IF(OR($H10="",N($F10)&lt;=0,$C10&lt;&gt;"Priority 3"),NA(),$F10)</f>
        <v>#N/A</v>
      </c>
      <c r="Q10" s="21" t="e">
        <f aca="false">IF(OR($H10="",N($F10)&lt;=0,$C10&lt;&gt;"Priority 3"),NA(),MAX($G10,1))</f>
        <v>#N/A</v>
      </c>
      <c r="R10" s="22" t="n">
        <f aca="false">IFERROR(MATCH($D$3*1000+IF($A10&lt;=$F$3,$A10,900+$A10-$F$3),Scoring!$AI$29:$AI$361,0),"")</f>
        <v>182</v>
      </c>
    </row>
    <row r="11" customFormat="false" ht="15" hidden="false" customHeight="false" outlineLevel="0" collapsed="false">
      <c r="A11" s="15" t="n">
        <v>6</v>
      </c>
      <c r="B11" s="16" t="str">
        <f aca="false">IF($R11="","",INDEX(Scoring!$B$29:$B$361,$R11))</f>
        <v>Phenylephrine</v>
      </c>
      <c r="C11" s="16" t="str">
        <f aca="false">IF($R11="","",INDEX(Scoring!$E$29:$E$361,$R11))</f>
        <v>Priority 1</v>
      </c>
      <c r="D11" s="17" t="str">
        <f aca="false">IF($R11="","",INDEX(Scoring!$G$29:$G$361,$R11))</f>
        <v>High price, high volume</v>
      </c>
      <c r="E11" s="18" t="n">
        <f aca="false">IF($R11="","",IF(INDEX(Scoring!$I$29:$I$361,$R11)="",INDEX(Scoring!$AC$29:$AC$361,$R11),INDEX(Scoring!$I$29:$I$361,$R11)))</f>
        <v>32.6</v>
      </c>
      <c r="F11" s="19" t="n">
        <f aca="false">IF($R11="","",INDEX(Scoring!$M$29:$M$361,$R11))</f>
        <v>226</v>
      </c>
      <c r="G11" s="19" t="n">
        <f aca="false">IF($R11="","",INDEX(Scoring!$O$29:$O$361,$R11))</f>
        <v>5695.2</v>
      </c>
      <c r="H11" s="16" t="str">
        <f aca="false">IF($R11="","",IF(OR(LEFT($C11,8)="Excluded",INDEX(Scoring!$I$29:$I$361,$R11)=""),"",$B11))</f>
        <v>Phenylephrine</v>
      </c>
      <c r="I11" s="20" t="n">
        <f aca="false">IF(OR($H11="",N($F11)&lt;=0,$C11&lt;&gt;"Priority 1"),NA(),$E11)</f>
        <v>32.6</v>
      </c>
      <c r="J11" s="21" t="n">
        <f aca="false">IF(OR($H11="",N($F11)&lt;=0,$C11&lt;&gt;"Priority 1"),NA(),$F11)</f>
        <v>226</v>
      </c>
      <c r="K11" s="21" t="n">
        <f aca="false">IF(OR($H11="",N($F11)&lt;=0,$C11&lt;&gt;"Priority 1"),NA(),MAX($G11,1))</f>
        <v>5695.2</v>
      </c>
      <c r="L11" s="20" t="e">
        <f aca="false">IF(OR($H11="",N($F11)&lt;=0,$C11&lt;&gt;"Priority 2"),NA(),$E11)</f>
        <v>#N/A</v>
      </c>
      <c r="M11" s="21" t="e">
        <f aca="false">IF(OR($H11="",N($F11)&lt;=0,$C11&lt;&gt;"Priority 2"),NA(),$F11)</f>
        <v>#N/A</v>
      </c>
      <c r="N11" s="21" t="e">
        <f aca="false">IF(OR($H11="",N($F11)&lt;=0,$C11&lt;&gt;"Priority 2"),NA(),MAX($G11,1))</f>
        <v>#N/A</v>
      </c>
      <c r="O11" s="20" t="e">
        <f aca="false">IF(OR($H11="",N($F11)&lt;=0,$C11&lt;&gt;"Priority 3"),NA(),$E11)</f>
        <v>#N/A</v>
      </c>
      <c r="P11" s="21" t="e">
        <f aca="false">IF(OR($H11="",N($F11)&lt;=0,$C11&lt;&gt;"Priority 3"),NA(),$F11)</f>
        <v>#N/A</v>
      </c>
      <c r="Q11" s="21" t="e">
        <f aca="false">IF(OR($H11="",N($F11)&lt;=0,$C11&lt;&gt;"Priority 3"),NA(),MAX($G11,1))</f>
        <v>#N/A</v>
      </c>
      <c r="R11" s="22" t="n">
        <f aca="false">IFERROR(MATCH($D$3*1000+IF($A11&lt;=$F$3,$A11,900+$A11-$F$3),Scoring!$AI$29:$AI$361,0),"")</f>
        <v>201</v>
      </c>
    </row>
    <row r="12" customFormat="false" ht="15" hidden="false" customHeight="false" outlineLevel="0" collapsed="false">
      <c r="A12" s="15" t="n">
        <v>7</v>
      </c>
      <c r="B12" s="16" t="str">
        <f aca="false">IF($R12="","",INDEX(Scoring!$B$29:$B$361,$R12))</f>
        <v>Bleomycin</v>
      </c>
      <c r="C12" s="16" t="str">
        <f aca="false">IF($R12="","",INDEX(Scoring!$E$29:$E$361,$R12))</f>
        <v>Priority 1</v>
      </c>
      <c r="D12" s="17" t="str">
        <f aca="false">IF($R12="","",INDEX(Scoring!$G$29:$G$361,$R12))</f>
        <v>High price, high volume</v>
      </c>
      <c r="E12" s="18" t="n">
        <f aca="false">IF($R12="","",IF(INDEX(Scoring!$I$29:$I$361,$R12)="",INDEX(Scoring!$AC$29:$AC$361,$R12),INDEX(Scoring!$I$29:$I$361,$R12)))</f>
        <v>50.27</v>
      </c>
      <c r="F12" s="19" t="n">
        <f aca="false">IF($R12="","",INDEX(Scoring!$M$29:$M$361,$R12))</f>
        <v>441</v>
      </c>
      <c r="G12" s="19" t="n">
        <f aca="false">IF($R12="","",INDEX(Scoring!$O$29:$O$361,$R12))</f>
        <v>3973.7</v>
      </c>
      <c r="H12" s="16" t="str">
        <f aca="false">IF($R12="","",IF(OR(LEFT($C12,8)="Excluded",INDEX(Scoring!$I$29:$I$361,$R12)=""),"",$B12))</f>
        <v>Bleomycin</v>
      </c>
      <c r="I12" s="20" t="n">
        <f aca="false">IF(OR($H12="",N($F12)&lt;=0,$C12&lt;&gt;"Priority 1"),NA(),$E12)</f>
        <v>50.27</v>
      </c>
      <c r="J12" s="21" t="n">
        <f aca="false">IF(OR($H12="",N($F12)&lt;=0,$C12&lt;&gt;"Priority 1"),NA(),$F12)</f>
        <v>441</v>
      </c>
      <c r="K12" s="21" t="n">
        <f aca="false">IF(OR($H12="",N($F12)&lt;=0,$C12&lt;&gt;"Priority 1"),NA(),MAX($G12,1))</f>
        <v>3973.7</v>
      </c>
      <c r="L12" s="20" t="e">
        <f aca="false">IF(OR($H12="",N($F12)&lt;=0,$C12&lt;&gt;"Priority 2"),NA(),$E12)</f>
        <v>#N/A</v>
      </c>
      <c r="M12" s="21" t="e">
        <f aca="false">IF(OR($H12="",N($F12)&lt;=0,$C12&lt;&gt;"Priority 2"),NA(),$F12)</f>
        <v>#N/A</v>
      </c>
      <c r="N12" s="21" t="e">
        <f aca="false">IF(OR($H12="",N($F12)&lt;=0,$C12&lt;&gt;"Priority 2"),NA(),MAX($G12,1))</f>
        <v>#N/A</v>
      </c>
      <c r="O12" s="20" t="e">
        <f aca="false">IF(OR($H12="",N($F12)&lt;=0,$C12&lt;&gt;"Priority 3"),NA(),$E12)</f>
        <v>#N/A</v>
      </c>
      <c r="P12" s="21" t="e">
        <f aca="false">IF(OR($H12="",N($F12)&lt;=0,$C12&lt;&gt;"Priority 3"),NA(),$F12)</f>
        <v>#N/A</v>
      </c>
      <c r="Q12" s="21" t="e">
        <f aca="false">IF(OR($H12="",N($F12)&lt;=0,$C12&lt;&gt;"Priority 3"),NA(),MAX($G12,1))</f>
        <v>#N/A</v>
      </c>
      <c r="R12" s="22" t="n">
        <f aca="false">IFERROR(MATCH($D$3*1000+IF($A12&lt;=$F$3,$A12,900+$A12-$F$3),Scoring!$AI$29:$AI$361,0),"")</f>
        <v>162</v>
      </c>
    </row>
    <row r="13" customFormat="false" ht="15" hidden="false" customHeight="false" outlineLevel="0" collapsed="false">
      <c r="A13" s="15" t="n">
        <v>8</v>
      </c>
      <c r="B13" s="16" t="str">
        <f aca="false">IF($R13="","",INDEX(Scoring!$B$29:$B$361,$R13))</f>
        <v>Denosumab</v>
      </c>
      <c r="C13" s="16" t="str">
        <f aca="false">IF($R13="","",INDEX(Scoring!$E$29:$E$361,$R13))</f>
        <v>Priority 1</v>
      </c>
      <c r="D13" s="17" t="str">
        <f aca="false">IF($R13="","",INDEX(Scoring!$G$29:$G$361,$R13))</f>
        <v>High price, high volume</v>
      </c>
      <c r="E13" s="18" t="n">
        <f aca="false">IF($R13="","",IF(INDEX(Scoring!$I$29:$I$361,$R13)="",INDEX(Scoring!$AC$29:$AC$361,$R13),INDEX(Scoring!$I$29:$I$361,$R13)))</f>
        <v>162.77</v>
      </c>
      <c r="F13" s="19" t="n">
        <f aca="false">IF($R13="","",INDEX(Scoring!$M$29:$M$361,$R13))</f>
        <v>314</v>
      </c>
      <c r="G13" s="19" t="n">
        <f aca="false">IF($R13="","",INDEX(Scoring!$O$29:$O$361,$R13))</f>
        <v>3429.5</v>
      </c>
      <c r="H13" s="16" t="str">
        <f aca="false">IF($R13="","",IF(OR(LEFT($C13,8)="Excluded",INDEX(Scoring!$I$29:$I$361,$R13)=""),"",$B13))</f>
        <v>Denosumab</v>
      </c>
      <c r="I13" s="20" t="n">
        <f aca="false">IF(OR($H13="",N($F13)&lt;=0,$C13&lt;&gt;"Priority 1"),NA(),$E13)</f>
        <v>162.77</v>
      </c>
      <c r="J13" s="21" t="n">
        <f aca="false">IF(OR($H13="",N($F13)&lt;=0,$C13&lt;&gt;"Priority 1"),NA(),$F13)</f>
        <v>314</v>
      </c>
      <c r="K13" s="21" t="n">
        <f aca="false">IF(OR($H13="",N($F13)&lt;=0,$C13&lt;&gt;"Priority 1"),NA(),MAX($G13,1))</f>
        <v>3429.5</v>
      </c>
      <c r="L13" s="20" t="e">
        <f aca="false">IF(OR($H13="",N($F13)&lt;=0,$C13&lt;&gt;"Priority 2"),NA(),$E13)</f>
        <v>#N/A</v>
      </c>
      <c r="M13" s="21" t="e">
        <f aca="false">IF(OR($H13="",N($F13)&lt;=0,$C13&lt;&gt;"Priority 2"),NA(),$F13)</f>
        <v>#N/A</v>
      </c>
      <c r="N13" s="21" t="e">
        <f aca="false">IF(OR($H13="",N($F13)&lt;=0,$C13&lt;&gt;"Priority 2"),NA(),MAX($G13,1))</f>
        <v>#N/A</v>
      </c>
      <c r="O13" s="20" t="e">
        <f aca="false">IF(OR($H13="",N($F13)&lt;=0,$C13&lt;&gt;"Priority 3"),NA(),$E13)</f>
        <v>#N/A</v>
      </c>
      <c r="P13" s="21" t="e">
        <f aca="false">IF(OR($H13="",N($F13)&lt;=0,$C13&lt;&gt;"Priority 3"),NA(),$F13)</f>
        <v>#N/A</v>
      </c>
      <c r="Q13" s="21" t="e">
        <f aca="false">IF(OR($H13="",N($F13)&lt;=0,$C13&lt;&gt;"Priority 3"),NA(),MAX($G13,1))</f>
        <v>#N/A</v>
      </c>
      <c r="R13" s="22" t="n">
        <f aca="false">IFERROR(MATCH($D$3*1000+IF($A13&lt;=$F$3,$A13,900+$A13-$F$3),Scoring!$AI$29:$AI$361,0),"")</f>
        <v>172</v>
      </c>
    </row>
    <row r="14" customFormat="false" ht="15" hidden="false" customHeight="false" outlineLevel="0" collapsed="false">
      <c r="A14" s="15" t="n">
        <v>9</v>
      </c>
      <c r="B14" s="16" t="str">
        <f aca="false">IF($R14="","",INDEX(Scoring!$B$29:$B$361,$R14))</f>
        <v>Ceftriaxone</v>
      </c>
      <c r="C14" s="16" t="str">
        <f aca="false">IF($R14="","",INDEX(Scoring!$E$29:$E$361,$R14))</f>
        <v>Priority 2</v>
      </c>
      <c r="D14" s="17" t="str">
        <f aca="false">IF($R14="","",INDEX(Scoring!$G$29:$G$361,$R14))</f>
        <v>Lower price, high volume</v>
      </c>
      <c r="E14" s="18" t="n">
        <f aca="false">IF($R14="","",IF(INDEX(Scoring!$I$29:$I$361,$R14)="",INDEX(Scoring!$AC$29:$AC$361,$R14),INDEX(Scoring!$I$29:$I$361,$R14)))</f>
        <v>5.6</v>
      </c>
      <c r="F14" s="19" t="n">
        <f aca="false">IF($R14="","",INDEX(Scoring!$M$29:$M$361,$R14))</f>
        <v>3110</v>
      </c>
      <c r="G14" s="19" t="n">
        <f aca="false">IF($R14="","",INDEX(Scoring!$O$29:$O$361,$R14))</f>
        <v>93119.2</v>
      </c>
      <c r="H14" s="16" t="str">
        <f aca="false">IF($R14="","",IF(OR(LEFT($C14,8)="Excluded",INDEX(Scoring!$I$29:$I$361,$R14)=""),"",$B14))</f>
        <v>Ceftriaxone</v>
      </c>
      <c r="I14" s="20" t="e">
        <f aca="false">IF(OR($H14="",N($F14)&lt;=0,$C14&lt;&gt;"Priority 1"),NA(),$E14)</f>
        <v>#N/A</v>
      </c>
      <c r="J14" s="21" t="e">
        <f aca="false">IF(OR($H14="",N($F14)&lt;=0,$C14&lt;&gt;"Priority 1"),NA(),$F14)</f>
        <v>#N/A</v>
      </c>
      <c r="K14" s="21" t="e">
        <f aca="false">IF(OR($H14="",N($F14)&lt;=0,$C14&lt;&gt;"Priority 1"),NA(),MAX($G14,1))</f>
        <v>#N/A</v>
      </c>
      <c r="L14" s="20" t="n">
        <f aca="false">IF(OR($H14="",N($F14)&lt;=0,$C14&lt;&gt;"Priority 2"),NA(),$E14)</f>
        <v>5.6</v>
      </c>
      <c r="M14" s="21" t="n">
        <f aca="false">IF(OR($H14="",N($F14)&lt;=0,$C14&lt;&gt;"Priority 2"),NA(),$F14)</f>
        <v>3110</v>
      </c>
      <c r="N14" s="21" t="n">
        <f aca="false">IF(OR($H14="",N($F14)&lt;=0,$C14&lt;&gt;"Priority 2"),NA(),MAX($G14,1))</f>
        <v>93119.2</v>
      </c>
      <c r="O14" s="20" t="e">
        <f aca="false">IF(OR($H14="",N($F14)&lt;=0,$C14&lt;&gt;"Priority 3"),NA(),$E14)</f>
        <v>#N/A</v>
      </c>
      <c r="P14" s="21" t="e">
        <f aca="false">IF(OR($H14="",N($F14)&lt;=0,$C14&lt;&gt;"Priority 3"),NA(),$F14)</f>
        <v>#N/A</v>
      </c>
      <c r="Q14" s="21" t="e">
        <f aca="false">IF(OR($H14="",N($F14)&lt;=0,$C14&lt;&gt;"Priority 3"),NA(),MAX($G14,1))</f>
        <v>#N/A</v>
      </c>
      <c r="R14" s="22" t="n">
        <f aca="false">IFERROR(MATCH($D$3*1000+IF($A14&lt;=$F$3,$A14,900+$A14-$F$3),Scoring!$AI$29:$AI$361,0),"")</f>
        <v>165</v>
      </c>
    </row>
    <row r="15" customFormat="false" ht="15" hidden="false" customHeight="false" outlineLevel="0" collapsed="false">
      <c r="A15" s="15" t="n">
        <v>10</v>
      </c>
      <c r="B15" s="16" t="str">
        <f aca="false">IF($R15="","",INDEX(Scoring!$B$29:$B$361,$R15))</f>
        <v>Ondansetron</v>
      </c>
      <c r="C15" s="16" t="str">
        <f aca="false">IF($R15="","",INDEX(Scoring!$E$29:$E$361,$R15))</f>
        <v>Priority 2</v>
      </c>
      <c r="D15" s="17" t="str">
        <f aca="false">IF($R15="","",INDEX(Scoring!$G$29:$G$361,$R15))</f>
        <v>Lower price, high volume</v>
      </c>
      <c r="E15" s="18" t="n">
        <f aca="false">IF($R15="","",IF(INDEX(Scoring!$I$29:$I$361,$R15)="",INDEX(Scoring!$AC$29:$AC$361,$R15),INDEX(Scoring!$I$29:$I$361,$R15)))</f>
        <v>24.05</v>
      </c>
      <c r="F15" s="19" t="n">
        <f aca="false">IF($R15="","",INDEX(Scoring!$M$29:$M$361,$R15))</f>
        <v>963</v>
      </c>
      <c r="G15" s="19" t="n">
        <f aca="false">IF($R15="","",INDEX(Scoring!$O$29:$O$361,$R15))</f>
        <v>17590.5</v>
      </c>
      <c r="H15" s="16" t="str">
        <f aca="false">IF($R15="","",IF(OR(LEFT($C15,8)="Excluded",INDEX(Scoring!$I$29:$I$361,$R15)=""),"",$B15))</f>
        <v>Ondansetron</v>
      </c>
      <c r="I15" s="20" t="e">
        <f aca="false">IF(OR($H15="",N($F15)&lt;=0,$C15&lt;&gt;"Priority 1"),NA(),$E15)</f>
        <v>#N/A</v>
      </c>
      <c r="J15" s="21" t="e">
        <f aca="false">IF(OR($H15="",N($F15)&lt;=0,$C15&lt;&gt;"Priority 1"),NA(),$F15)</f>
        <v>#N/A</v>
      </c>
      <c r="K15" s="21" t="e">
        <f aca="false">IF(OR($H15="",N($F15)&lt;=0,$C15&lt;&gt;"Priority 1"),NA(),MAX($G15,1))</f>
        <v>#N/A</v>
      </c>
      <c r="L15" s="20" t="n">
        <f aca="false">IF(OR($H15="",N($F15)&lt;=0,$C15&lt;&gt;"Priority 2"),NA(),$E15)</f>
        <v>24.05</v>
      </c>
      <c r="M15" s="21" t="n">
        <f aca="false">IF(OR($H15="",N($F15)&lt;=0,$C15&lt;&gt;"Priority 2"),NA(),$F15)</f>
        <v>963</v>
      </c>
      <c r="N15" s="21" t="n">
        <f aca="false">IF(OR($H15="",N($F15)&lt;=0,$C15&lt;&gt;"Priority 2"),NA(),MAX($G15,1))</f>
        <v>17590.5</v>
      </c>
      <c r="O15" s="20" t="e">
        <f aca="false">IF(OR($H15="",N($F15)&lt;=0,$C15&lt;&gt;"Priority 3"),NA(),$E15)</f>
        <v>#N/A</v>
      </c>
      <c r="P15" s="21" t="e">
        <f aca="false">IF(OR($H15="",N($F15)&lt;=0,$C15&lt;&gt;"Priority 3"),NA(),$F15)</f>
        <v>#N/A</v>
      </c>
      <c r="Q15" s="21" t="e">
        <f aca="false">IF(OR($H15="",N($F15)&lt;=0,$C15&lt;&gt;"Priority 3"),NA(),MAX($G15,1))</f>
        <v>#N/A</v>
      </c>
      <c r="R15" s="22" t="n">
        <f aca="false">IFERROR(MATCH($D$3*1000+IF($A15&lt;=$F$3,$A15,900+$A15-$F$3),Scoring!$AI$29:$AI$361,0),"")</f>
        <v>195</v>
      </c>
    </row>
    <row r="16" customFormat="false" ht="15" hidden="false" customHeight="false" outlineLevel="0" collapsed="false">
      <c r="A16" s="15" t="n">
        <v>11</v>
      </c>
      <c r="B16" s="16" t="str">
        <f aca="false">IF($R16="","",INDEX(Scoring!$B$29:$B$361,$R16))</f>
        <v>Plerixafor</v>
      </c>
      <c r="C16" s="16" t="str">
        <f aca="false">IF($R16="","",INDEX(Scoring!$E$29:$E$361,$R16))</f>
        <v>Priority 2</v>
      </c>
      <c r="D16" s="17" t="str">
        <f aca="false">IF($R16="","",INDEX(Scoring!$G$29:$G$361,$R16))</f>
        <v>High price, lower volume</v>
      </c>
      <c r="E16" s="18" t="n">
        <f aca="false">IF($R16="","",IF(INDEX(Scoring!$I$29:$I$361,$R16)="",INDEX(Scoring!$AC$29:$AC$361,$R16),INDEX(Scoring!$I$29:$I$361,$R16)))</f>
        <v>4779</v>
      </c>
      <c r="F16" s="19" t="n">
        <f aca="false">IF($R16="","",INDEX(Scoring!$M$29:$M$361,$R16))</f>
        <v>47</v>
      </c>
      <c r="G16" s="19" t="n">
        <f aca="false">IF($R16="","",INDEX(Scoring!$O$29:$O$361,$R16))</f>
        <v>7904.7</v>
      </c>
      <c r="H16" s="16" t="str">
        <f aca="false">IF($R16="","",IF(OR(LEFT($C16,8)="Excluded",INDEX(Scoring!$I$29:$I$361,$R16)=""),"",$B16))</f>
        <v>Plerixafor</v>
      </c>
      <c r="I16" s="20" t="e">
        <f aca="false">IF(OR($H16="",N($F16)&lt;=0,$C16&lt;&gt;"Priority 1"),NA(),$E16)</f>
        <v>#N/A</v>
      </c>
      <c r="J16" s="21" t="e">
        <f aca="false">IF(OR($H16="",N($F16)&lt;=0,$C16&lt;&gt;"Priority 1"),NA(),$F16)</f>
        <v>#N/A</v>
      </c>
      <c r="K16" s="21" t="e">
        <f aca="false">IF(OR($H16="",N($F16)&lt;=0,$C16&lt;&gt;"Priority 1"),NA(),MAX($G16,1))</f>
        <v>#N/A</v>
      </c>
      <c r="L16" s="20" t="n">
        <f aca="false">IF(OR($H16="",N($F16)&lt;=0,$C16&lt;&gt;"Priority 2"),NA(),$E16)</f>
        <v>4779</v>
      </c>
      <c r="M16" s="21" t="n">
        <f aca="false">IF(OR($H16="",N($F16)&lt;=0,$C16&lt;&gt;"Priority 2"),NA(),$F16)</f>
        <v>47</v>
      </c>
      <c r="N16" s="21" t="n">
        <f aca="false">IF(OR($H16="",N($F16)&lt;=0,$C16&lt;&gt;"Priority 2"),NA(),MAX($G16,1))</f>
        <v>7904.7</v>
      </c>
      <c r="O16" s="20" t="e">
        <f aca="false">IF(OR($H16="",N($F16)&lt;=0,$C16&lt;&gt;"Priority 3"),NA(),$E16)</f>
        <v>#N/A</v>
      </c>
      <c r="P16" s="21" t="e">
        <f aca="false">IF(OR($H16="",N($F16)&lt;=0,$C16&lt;&gt;"Priority 3"),NA(),$F16)</f>
        <v>#N/A</v>
      </c>
      <c r="Q16" s="21" t="e">
        <f aca="false">IF(OR($H16="",N($F16)&lt;=0,$C16&lt;&gt;"Priority 3"),NA(),MAX($G16,1))</f>
        <v>#N/A</v>
      </c>
      <c r="R16" s="22" t="n">
        <f aca="false">IFERROR(MATCH($D$3*1000+IF($A16&lt;=$F$3,$A16,900+$A16-$F$3),Scoring!$AI$29:$AI$361,0),"")</f>
        <v>203</v>
      </c>
    </row>
    <row r="17" customFormat="false" ht="15" hidden="false" customHeight="false" outlineLevel="0" collapsed="false">
      <c r="A17" s="15" t="n">
        <v>12</v>
      </c>
      <c r="B17" s="16" t="str">
        <f aca="false">IF($R17="","",INDEX(Scoring!$B$29:$B$361,$R17))</f>
        <v>Cytarabine</v>
      </c>
      <c r="C17" s="16" t="str">
        <f aca="false">IF($R17="","",INDEX(Scoring!$E$29:$E$361,$R17))</f>
        <v>Priority 2</v>
      </c>
      <c r="D17" s="17" t="str">
        <f aca="false">IF($R17="","",INDEX(Scoring!$G$29:$G$361,$R17))</f>
        <v>Lower price, high volume</v>
      </c>
      <c r="E17" s="18" t="n">
        <f aca="false">IF($R17="","",IF(INDEX(Scoring!$I$29:$I$361,$R17)="",INDEX(Scoring!$AC$29:$AC$361,$R17),INDEX(Scoring!$I$29:$I$361,$R17)))</f>
        <v>6.7</v>
      </c>
      <c r="F17" s="19" t="n">
        <f aca="false">IF($R17="","",INDEX(Scoring!$M$29:$M$361,$R17))</f>
        <v>799</v>
      </c>
      <c r="G17" s="19" t="n">
        <f aca="false">IF($R17="","",INDEX(Scoring!$O$29:$O$361,$R17))</f>
        <v>7739</v>
      </c>
      <c r="H17" s="16" t="str">
        <f aca="false">IF($R17="","",IF(OR(LEFT($C17,8)="Excluded",INDEX(Scoring!$I$29:$I$361,$R17)=""),"",$B17))</f>
        <v>Cytarabine</v>
      </c>
      <c r="I17" s="20" t="e">
        <f aca="false">IF(OR($H17="",N($F17)&lt;=0,$C17&lt;&gt;"Priority 1"),NA(),$E17)</f>
        <v>#N/A</v>
      </c>
      <c r="J17" s="21" t="e">
        <f aca="false">IF(OR($H17="",N($F17)&lt;=0,$C17&lt;&gt;"Priority 1"),NA(),$F17)</f>
        <v>#N/A</v>
      </c>
      <c r="K17" s="21" t="e">
        <f aca="false">IF(OR($H17="",N($F17)&lt;=0,$C17&lt;&gt;"Priority 1"),NA(),MAX($G17,1))</f>
        <v>#N/A</v>
      </c>
      <c r="L17" s="20" t="n">
        <f aca="false">IF(OR($H17="",N($F17)&lt;=0,$C17&lt;&gt;"Priority 2"),NA(),$E17)</f>
        <v>6.7</v>
      </c>
      <c r="M17" s="21" t="n">
        <f aca="false">IF(OR($H17="",N($F17)&lt;=0,$C17&lt;&gt;"Priority 2"),NA(),$F17)</f>
        <v>799</v>
      </c>
      <c r="N17" s="21" t="n">
        <f aca="false">IF(OR($H17="",N($F17)&lt;=0,$C17&lt;&gt;"Priority 2"),NA(),MAX($G17,1))</f>
        <v>7739</v>
      </c>
      <c r="O17" s="20" t="e">
        <f aca="false">IF(OR($H17="",N($F17)&lt;=0,$C17&lt;&gt;"Priority 3"),NA(),$E17)</f>
        <v>#N/A</v>
      </c>
      <c r="P17" s="21" t="e">
        <f aca="false">IF(OR($H17="",N($F17)&lt;=0,$C17&lt;&gt;"Priority 3"),NA(),$F17)</f>
        <v>#N/A</v>
      </c>
      <c r="Q17" s="21" t="e">
        <f aca="false">IF(OR($H17="",N($F17)&lt;=0,$C17&lt;&gt;"Priority 3"),NA(),MAX($G17,1))</f>
        <v>#N/A</v>
      </c>
      <c r="R17" s="22" t="n">
        <f aca="false">IFERROR(MATCH($D$3*1000+IF($A17&lt;=$F$3,$A17,900+$A17-$F$3),Scoring!$AI$29:$AI$361,0),"")</f>
        <v>169</v>
      </c>
    </row>
    <row r="18" customFormat="false" ht="15" hidden="false" customHeight="false" outlineLevel="0" collapsed="false">
      <c r="A18" s="15" t="n">
        <v>13</v>
      </c>
      <c r="B18" s="16" t="str">
        <f aca="false">IF($R18="","",INDEX(Scoring!$B$29:$B$361,$R18))</f>
        <v>Atropine</v>
      </c>
      <c r="C18" s="16" t="str">
        <f aca="false">IF($R18="","",INDEX(Scoring!$E$29:$E$361,$R18))</f>
        <v>Priority 2</v>
      </c>
      <c r="D18" s="17" t="str">
        <f aca="false">IF($R18="","",INDEX(Scoring!$G$29:$G$361,$R18))</f>
        <v>Lower price, high volume</v>
      </c>
      <c r="E18" s="18" t="n">
        <f aca="false">IF($R18="","",IF(INDEX(Scoring!$I$29:$I$361,$R18)="",INDEX(Scoring!$AC$29:$AC$361,$R18),INDEX(Scoring!$I$29:$I$361,$R18)))</f>
        <v>16.48</v>
      </c>
      <c r="F18" s="19" t="n">
        <f aca="false">IF($R18="","",INDEX(Scoring!$M$29:$M$361,$R18))</f>
        <v>715</v>
      </c>
      <c r="G18" s="19" t="n">
        <f aca="false">IF($R18="","",INDEX(Scoring!$O$29:$O$361,$R18))</f>
        <v>6805</v>
      </c>
      <c r="H18" s="16" t="str">
        <f aca="false">IF($R18="","",IF(OR(LEFT($C18,8)="Excluded",INDEX(Scoring!$I$29:$I$361,$R18)=""),"",$B18))</f>
        <v>Atropine</v>
      </c>
      <c r="I18" s="20" t="e">
        <f aca="false">IF(OR($H18="",N($F18)&lt;=0,$C18&lt;&gt;"Priority 1"),NA(),$E18)</f>
        <v>#N/A</v>
      </c>
      <c r="J18" s="21" t="e">
        <f aca="false">IF(OR($H18="",N($F18)&lt;=0,$C18&lt;&gt;"Priority 1"),NA(),$F18)</f>
        <v>#N/A</v>
      </c>
      <c r="K18" s="21" t="e">
        <f aca="false">IF(OR($H18="",N($F18)&lt;=0,$C18&lt;&gt;"Priority 1"),NA(),MAX($G18,1))</f>
        <v>#N/A</v>
      </c>
      <c r="L18" s="20" t="n">
        <f aca="false">IF(OR($H18="",N($F18)&lt;=0,$C18&lt;&gt;"Priority 2"),NA(),$E18)</f>
        <v>16.48</v>
      </c>
      <c r="M18" s="21" t="n">
        <f aca="false">IF(OR($H18="",N($F18)&lt;=0,$C18&lt;&gt;"Priority 2"),NA(),$F18)</f>
        <v>715</v>
      </c>
      <c r="N18" s="21" t="n">
        <f aca="false">IF(OR($H18="",N($F18)&lt;=0,$C18&lt;&gt;"Priority 2"),NA(),MAX($G18,1))</f>
        <v>6805</v>
      </c>
      <c r="O18" s="20" t="e">
        <f aca="false">IF(OR($H18="",N($F18)&lt;=0,$C18&lt;&gt;"Priority 3"),NA(),$E18)</f>
        <v>#N/A</v>
      </c>
      <c r="P18" s="21" t="e">
        <f aca="false">IF(OR($H18="",N($F18)&lt;=0,$C18&lt;&gt;"Priority 3"),NA(),$F18)</f>
        <v>#N/A</v>
      </c>
      <c r="Q18" s="21" t="e">
        <f aca="false">IF(OR($H18="",N($F18)&lt;=0,$C18&lt;&gt;"Priority 3"),NA(),MAX($G18,1))</f>
        <v>#N/A</v>
      </c>
      <c r="R18" s="22" t="n">
        <f aca="false">IFERROR(MATCH($D$3*1000+IF($A18&lt;=$F$3,$A18,900+$A18-$F$3),Scoring!$AI$29:$AI$361,0),"")</f>
        <v>159</v>
      </c>
    </row>
    <row r="19" customFormat="false" ht="15" hidden="false" customHeight="false" outlineLevel="0" collapsed="false">
      <c r="A19" s="15" t="n">
        <v>14</v>
      </c>
      <c r="B19" s="16" t="str">
        <f aca="false">IF($R19="","",INDEX(Scoring!$B$29:$B$361,$R19))</f>
        <v>Teicoplanin</v>
      </c>
      <c r="C19" s="16" t="str">
        <f aca="false">IF($R19="","",INDEX(Scoring!$E$29:$E$361,$R19))</f>
        <v>Priority 2</v>
      </c>
      <c r="D19" s="17" t="str">
        <f aca="false">IF($R19="","",INDEX(Scoring!$G$29:$G$361,$R19))</f>
        <v>High price, lower volume</v>
      </c>
      <c r="E19" s="18" t="n">
        <f aca="false">IF($R19="","",IF(INDEX(Scoring!$I$29:$I$361,$R19)="",INDEX(Scoring!$AC$29:$AC$361,$R19),INDEX(Scoring!$I$29:$I$361,$R19)))</f>
        <v>35.27</v>
      </c>
      <c r="F19" s="19" t="n">
        <f aca="false">IF($R19="","",INDEX(Scoring!$M$29:$M$361,$R19))</f>
        <v>99</v>
      </c>
      <c r="G19" s="19" t="n">
        <f aca="false">IF($R19="","",INDEX(Scoring!$O$29:$O$361,$R19))</f>
        <v>6632.6</v>
      </c>
      <c r="H19" s="16" t="str">
        <f aca="false">IF($R19="","",IF(OR(LEFT($C19,8)="Excluded",INDEX(Scoring!$I$29:$I$361,$R19)=""),"",$B19))</f>
        <v>Teicoplanin</v>
      </c>
      <c r="I19" s="20" t="e">
        <f aca="false">IF(OR($H19="",N($F19)&lt;=0,$C19&lt;&gt;"Priority 1"),NA(),$E19)</f>
        <v>#N/A</v>
      </c>
      <c r="J19" s="21" t="e">
        <f aca="false">IF(OR($H19="",N($F19)&lt;=0,$C19&lt;&gt;"Priority 1"),NA(),$F19)</f>
        <v>#N/A</v>
      </c>
      <c r="K19" s="21" t="e">
        <f aca="false">IF(OR($H19="",N($F19)&lt;=0,$C19&lt;&gt;"Priority 1"),NA(),MAX($G19,1))</f>
        <v>#N/A</v>
      </c>
      <c r="L19" s="20" t="n">
        <f aca="false">IF(OR($H19="",N($F19)&lt;=0,$C19&lt;&gt;"Priority 2"),NA(),$E19)</f>
        <v>35.27</v>
      </c>
      <c r="M19" s="21" t="n">
        <f aca="false">IF(OR($H19="",N($F19)&lt;=0,$C19&lt;&gt;"Priority 2"),NA(),$F19)</f>
        <v>99</v>
      </c>
      <c r="N19" s="21" t="n">
        <f aca="false">IF(OR($H19="",N($F19)&lt;=0,$C19&lt;&gt;"Priority 2"),NA(),MAX($G19,1))</f>
        <v>6632.6</v>
      </c>
      <c r="O19" s="20" t="e">
        <f aca="false">IF(OR($H19="",N($F19)&lt;=0,$C19&lt;&gt;"Priority 3"),NA(),$E19)</f>
        <v>#N/A</v>
      </c>
      <c r="P19" s="21" t="e">
        <f aca="false">IF(OR($H19="",N($F19)&lt;=0,$C19&lt;&gt;"Priority 3"),NA(),$F19)</f>
        <v>#N/A</v>
      </c>
      <c r="Q19" s="21" t="e">
        <f aca="false">IF(OR($H19="",N($F19)&lt;=0,$C19&lt;&gt;"Priority 3"),NA(),MAX($G19,1))</f>
        <v>#N/A</v>
      </c>
      <c r="R19" s="22" t="n">
        <f aca="false">IFERROR(MATCH($D$3*1000+IF($A19&lt;=$F$3,$A19,900+$A19-$F$3),Scoring!$AI$29:$AI$361,0),"")</f>
        <v>210</v>
      </c>
    </row>
    <row r="20" customFormat="false" ht="15" hidden="false" customHeight="false" outlineLevel="0" collapsed="false">
      <c r="A20" s="15" t="n">
        <v>15</v>
      </c>
      <c r="B20" s="16" t="str">
        <f aca="false">IF($R20="","",INDEX(Scoring!$B$29:$B$361,$R20))</f>
        <v>Cefepime</v>
      </c>
      <c r="C20" s="16" t="str">
        <f aca="false">IF($R20="","",INDEX(Scoring!$E$29:$E$361,$R20))</f>
        <v>Priority 2</v>
      </c>
      <c r="D20" s="17" t="str">
        <f aca="false">IF($R20="","",INDEX(Scoring!$G$29:$G$361,$R20))</f>
        <v>Lower price, high volume</v>
      </c>
      <c r="E20" s="18" t="n">
        <f aca="false">IF($R20="","",IF(INDEX(Scoring!$I$29:$I$361,$R20)="",INDEX(Scoring!$AC$29:$AC$361,$R20),INDEX(Scoring!$I$29:$I$361,$R20)))</f>
        <v>9.65</v>
      </c>
      <c r="F20" s="19" t="n">
        <f aca="false">IF($R20="","",INDEX(Scoring!$M$29:$M$361,$R20))</f>
        <v>288</v>
      </c>
      <c r="G20" s="19" t="n">
        <f aca="false">IF($R20="","",INDEX(Scoring!$O$29:$O$361,$R20))</f>
        <v>6294.9</v>
      </c>
      <c r="H20" s="16" t="str">
        <f aca="false">IF($R20="","",IF(OR(LEFT($C20,8)="Excluded",INDEX(Scoring!$I$29:$I$361,$R20)=""),"",$B20))</f>
        <v>Cefepime</v>
      </c>
      <c r="I20" s="20" t="e">
        <f aca="false">IF(OR($H20="",N($F20)&lt;=0,$C20&lt;&gt;"Priority 1"),NA(),$E20)</f>
        <v>#N/A</v>
      </c>
      <c r="J20" s="21" t="e">
        <f aca="false">IF(OR($H20="",N($F20)&lt;=0,$C20&lt;&gt;"Priority 1"),NA(),$F20)</f>
        <v>#N/A</v>
      </c>
      <c r="K20" s="21" t="e">
        <f aca="false">IF(OR($H20="",N($F20)&lt;=0,$C20&lt;&gt;"Priority 1"),NA(),MAX($G20,1))</f>
        <v>#N/A</v>
      </c>
      <c r="L20" s="20" t="n">
        <f aca="false">IF(OR($H20="",N($F20)&lt;=0,$C20&lt;&gt;"Priority 2"),NA(),$E20)</f>
        <v>9.65</v>
      </c>
      <c r="M20" s="21" t="n">
        <f aca="false">IF(OR($H20="",N($F20)&lt;=0,$C20&lt;&gt;"Priority 2"),NA(),$F20)</f>
        <v>288</v>
      </c>
      <c r="N20" s="21" t="n">
        <f aca="false">IF(OR($H20="",N($F20)&lt;=0,$C20&lt;&gt;"Priority 2"),NA(),MAX($G20,1))</f>
        <v>6294.9</v>
      </c>
      <c r="O20" s="20" t="e">
        <f aca="false">IF(OR($H20="",N($F20)&lt;=0,$C20&lt;&gt;"Priority 3"),NA(),$E20)</f>
        <v>#N/A</v>
      </c>
      <c r="P20" s="21" t="e">
        <f aca="false">IF(OR($H20="",N($F20)&lt;=0,$C20&lt;&gt;"Priority 3"),NA(),$F20)</f>
        <v>#N/A</v>
      </c>
      <c r="Q20" s="21" t="e">
        <f aca="false">IF(OR($H20="",N($F20)&lt;=0,$C20&lt;&gt;"Priority 3"),NA(),MAX($G20,1))</f>
        <v>#N/A</v>
      </c>
      <c r="R20" s="22" t="n">
        <f aca="false">IFERROR(MATCH($D$3*1000+IF($A20&lt;=$F$3,$A20,900+$A20-$F$3),Scoring!$AI$29:$AI$361,0),"")</f>
        <v>164</v>
      </c>
    </row>
    <row r="21" customFormat="false" ht="15" hidden="false" customHeight="false" outlineLevel="0" collapsed="false">
      <c r="A21" s="15" t="n">
        <v>16</v>
      </c>
      <c r="B21" s="16" t="str">
        <f aca="false">IF($R21="","",INDEX(Scoring!$B$29:$B$361,$R21))</f>
        <v>Midazolam</v>
      </c>
      <c r="C21" s="16" t="str">
        <f aca="false">IF($R21="","",INDEX(Scoring!$E$29:$E$361,$R21))</f>
        <v>Priority 2</v>
      </c>
      <c r="D21" s="17" t="str">
        <f aca="false">IF($R21="","",INDEX(Scoring!$G$29:$G$361,$R21))</f>
        <v>Lower price, high volume</v>
      </c>
      <c r="E21" s="18" t="n">
        <f aca="false">IF($R21="","",IF(INDEX(Scoring!$I$29:$I$361,$R21)="",INDEX(Scoring!$AC$29:$AC$361,$R21),INDEX(Scoring!$I$29:$I$361,$R21)))</f>
        <v>11.33</v>
      </c>
      <c r="F21" s="19" t="n">
        <f aca="false">IF($R21="","",INDEX(Scoring!$M$29:$M$361,$R21))</f>
        <v>177</v>
      </c>
      <c r="G21" s="19" t="n">
        <f aca="false">IF($R21="","",INDEX(Scoring!$O$29:$O$361,$R21))</f>
        <v>4675.1</v>
      </c>
      <c r="H21" s="16" t="str">
        <f aca="false">IF($R21="","",IF(OR(LEFT($C21,8)="Excluded",INDEX(Scoring!$I$29:$I$361,$R21)=""),"",$B21))</f>
        <v>Midazolam</v>
      </c>
      <c r="I21" s="20" t="e">
        <f aca="false">IF(OR($H21="",N($F21)&lt;=0,$C21&lt;&gt;"Priority 1"),NA(),$E21)</f>
        <v>#N/A</v>
      </c>
      <c r="J21" s="21" t="e">
        <f aca="false">IF(OR($H21="",N($F21)&lt;=0,$C21&lt;&gt;"Priority 1"),NA(),$F21)</f>
        <v>#N/A</v>
      </c>
      <c r="K21" s="21" t="e">
        <f aca="false">IF(OR($H21="",N($F21)&lt;=0,$C21&lt;&gt;"Priority 1"),NA(),MAX($G21,1))</f>
        <v>#N/A</v>
      </c>
      <c r="L21" s="20" t="n">
        <f aca="false">IF(OR($H21="",N($F21)&lt;=0,$C21&lt;&gt;"Priority 2"),NA(),$E21)</f>
        <v>11.33</v>
      </c>
      <c r="M21" s="21" t="n">
        <f aca="false">IF(OR($H21="",N($F21)&lt;=0,$C21&lt;&gt;"Priority 2"),NA(),$F21)</f>
        <v>177</v>
      </c>
      <c r="N21" s="21" t="n">
        <f aca="false">IF(OR($H21="",N($F21)&lt;=0,$C21&lt;&gt;"Priority 2"),NA(),MAX($G21,1))</f>
        <v>4675.1</v>
      </c>
      <c r="O21" s="20" t="e">
        <f aca="false">IF(OR($H21="",N($F21)&lt;=0,$C21&lt;&gt;"Priority 3"),NA(),$E21)</f>
        <v>#N/A</v>
      </c>
      <c r="P21" s="21" t="e">
        <f aca="false">IF(OR($H21="",N($F21)&lt;=0,$C21&lt;&gt;"Priority 3"),NA(),$F21)</f>
        <v>#N/A</v>
      </c>
      <c r="Q21" s="21" t="e">
        <f aca="false">IF(OR($H21="",N($F21)&lt;=0,$C21&lt;&gt;"Priority 3"),NA(),MAX($G21,1))</f>
        <v>#N/A</v>
      </c>
      <c r="R21" s="22" t="n">
        <f aca="false">IFERROR(MATCH($D$3*1000+IF($A21&lt;=$F$3,$A21,900+$A21-$F$3),Scoring!$AI$29:$AI$361,0),"")</f>
        <v>191</v>
      </c>
    </row>
    <row r="22" customFormat="false" ht="15" hidden="false" customHeight="false" outlineLevel="0" collapsed="false">
      <c r="A22" s="15" t="n">
        <v>17</v>
      </c>
      <c r="B22" s="16" t="str">
        <f aca="false">IF($R22="","",INDEX(Scoring!$B$29:$B$361,$R22))</f>
        <v>Succinylcholine (Suxamethonium)</v>
      </c>
      <c r="C22" s="16" t="str">
        <f aca="false">IF($R22="","",INDEX(Scoring!$E$29:$E$361,$R22))</f>
        <v>Priority 2</v>
      </c>
      <c r="D22" s="17" t="str">
        <f aca="false">IF($R22="","",INDEX(Scoring!$G$29:$G$361,$R22))</f>
        <v>Lower price, high volume</v>
      </c>
      <c r="E22" s="18" t="n">
        <f aca="false">IF($R22="","",IF(INDEX(Scoring!$I$29:$I$361,$R22)="",INDEX(Scoring!$AC$29:$AC$361,$R22),INDEX(Scoring!$I$29:$I$361,$R22)))</f>
        <v>5.12</v>
      </c>
      <c r="F22" s="19" t="n">
        <f aca="false">IF($R22="","",INDEX(Scoring!$M$29:$M$361,$R22))</f>
        <v>286</v>
      </c>
      <c r="G22" s="19" t="n">
        <f aca="false">IF($R22="","",INDEX(Scoring!$O$29:$O$361,$R22))</f>
        <v>3067.4</v>
      </c>
      <c r="H22" s="16" t="str">
        <f aca="false">IF($R22="","",IF(OR(LEFT($C22,8)="Excluded",INDEX(Scoring!$I$29:$I$361,$R22)=""),"",$B22))</f>
        <v>Succinylcholine (Suxamethonium)</v>
      </c>
      <c r="I22" s="20" t="e">
        <f aca="false">IF(OR($H22="",N($F22)&lt;=0,$C22&lt;&gt;"Priority 1"),NA(),$E22)</f>
        <v>#N/A</v>
      </c>
      <c r="J22" s="21" t="e">
        <f aca="false">IF(OR($H22="",N($F22)&lt;=0,$C22&lt;&gt;"Priority 1"),NA(),$F22)</f>
        <v>#N/A</v>
      </c>
      <c r="K22" s="21" t="e">
        <f aca="false">IF(OR($H22="",N($F22)&lt;=0,$C22&lt;&gt;"Priority 1"),NA(),MAX($G22,1))</f>
        <v>#N/A</v>
      </c>
      <c r="L22" s="20" t="n">
        <f aca="false">IF(OR($H22="",N($F22)&lt;=0,$C22&lt;&gt;"Priority 2"),NA(),$E22)</f>
        <v>5.12</v>
      </c>
      <c r="M22" s="21" t="n">
        <f aca="false">IF(OR($H22="",N($F22)&lt;=0,$C22&lt;&gt;"Priority 2"),NA(),$F22)</f>
        <v>286</v>
      </c>
      <c r="N22" s="21" t="n">
        <f aca="false">IF(OR($H22="",N($F22)&lt;=0,$C22&lt;&gt;"Priority 2"),NA(),MAX($G22,1))</f>
        <v>3067.4</v>
      </c>
      <c r="O22" s="20" t="e">
        <f aca="false">IF(OR($H22="",N($F22)&lt;=0,$C22&lt;&gt;"Priority 3"),NA(),$E22)</f>
        <v>#N/A</v>
      </c>
      <c r="P22" s="21" t="e">
        <f aca="false">IF(OR($H22="",N($F22)&lt;=0,$C22&lt;&gt;"Priority 3"),NA(),$F22)</f>
        <v>#N/A</v>
      </c>
      <c r="Q22" s="21" t="e">
        <f aca="false">IF(OR($H22="",N($F22)&lt;=0,$C22&lt;&gt;"Priority 3"),NA(),MAX($G22,1))</f>
        <v>#N/A</v>
      </c>
      <c r="R22" s="22" t="n">
        <f aca="false">IFERROR(MATCH($D$3*1000+IF($A22&lt;=$F$3,$A22,900+$A22-$F$3),Scoring!$AI$29:$AI$361,0),"")</f>
        <v>208</v>
      </c>
    </row>
    <row r="23" customFormat="false" ht="15" hidden="false" customHeight="false" outlineLevel="0" collapsed="false">
      <c r="A23" s="15" t="n">
        <v>18</v>
      </c>
      <c r="B23" s="16" t="str">
        <f aca="false">IF($R23="","",INDEX(Scoring!$B$29:$B$361,$R23))</f>
        <v>Leuprorelin</v>
      </c>
      <c r="C23" s="16" t="str">
        <f aca="false">IF($R23="","",INDEX(Scoring!$E$29:$E$361,$R23))</f>
        <v>Priority 2</v>
      </c>
      <c r="D23" s="17" t="str">
        <f aca="false">IF($R23="","",INDEX(Scoring!$G$29:$G$361,$R23))</f>
        <v>High price, lower volume</v>
      </c>
      <c r="E23" s="18" t="n">
        <f aca="false">IF($R23="","",IF(INDEX(Scoring!$I$29:$I$361,$R23)="",INDEX(Scoring!$AC$29:$AC$361,$R23),INDEX(Scoring!$I$29:$I$361,$R23)))</f>
        <v>433.94</v>
      </c>
      <c r="F23" s="19" t="n">
        <f aca="false">IF($R23="","",INDEX(Scoring!$M$29:$M$361,$R23))</f>
        <v>111</v>
      </c>
      <c r="G23" s="19" t="n">
        <f aca="false">IF($R23="","",INDEX(Scoring!$O$29:$O$361,$R23))</f>
        <v>2489.4</v>
      </c>
      <c r="H23" s="16" t="str">
        <f aca="false">IF($R23="","",IF(OR(LEFT($C23,8)="Excluded",INDEX(Scoring!$I$29:$I$361,$R23)=""),"",$B23))</f>
        <v>Leuprorelin</v>
      </c>
      <c r="I23" s="20" t="e">
        <f aca="false">IF(OR($H23="",N($F23)&lt;=0,$C23&lt;&gt;"Priority 1"),NA(),$E23)</f>
        <v>#N/A</v>
      </c>
      <c r="J23" s="21" t="e">
        <f aca="false">IF(OR($H23="",N($F23)&lt;=0,$C23&lt;&gt;"Priority 1"),NA(),$F23)</f>
        <v>#N/A</v>
      </c>
      <c r="K23" s="21" t="e">
        <f aca="false">IF(OR($H23="",N($F23)&lt;=0,$C23&lt;&gt;"Priority 1"),NA(),MAX($G23,1))</f>
        <v>#N/A</v>
      </c>
      <c r="L23" s="20" t="n">
        <f aca="false">IF(OR($H23="",N($F23)&lt;=0,$C23&lt;&gt;"Priority 2"),NA(),$E23)</f>
        <v>433.94</v>
      </c>
      <c r="M23" s="21" t="n">
        <f aca="false">IF(OR($H23="",N($F23)&lt;=0,$C23&lt;&gt;"Priority 2"),NA(),$F23)</f>
        <v>111</v>
      </c>
      <c r="N23" s="21" t="n">
        <f aca="false">IF(OR($H23="",N($F23)&lt;=0,$C23&lt;&gt;"Priority 2"),NA(),MAX($G23,1))</f>
        <v>2489.4</v>
      </c>
      <c r="O23" s="20" t="e">
        <f aca="false">IF(OR($H23="",N($F23)&lt;=0,$C23&lt;&gt;"Priority 3"),NA(),$E23)</f>
        <v>#N/A</v>
      </c>
      <c r="P23" s="21" t="e">
        <f aca="false">IF(OR($H23="",N($F23)&lt;=0,$C23&lt;&gt;"Priority 3"),NA(),$F23)</f>
        <v>#N/A</v>
      </c>
      <c r="Q23" s="21" t="e">
        <f aca="false">IF(OR($H23="",N($F23)&lt;=0,$C23&lt;&gt;"Priority 3"),NA(),MAX($G23,1))</f>
        <v>#N/A</v>
      </c>
      <c r="R23" s="22" t="n">
        <f aca="false">IFERROR(MATCH($D$3*1000+IF($A23&lt;=$F$3,$A23,900+$A23-$F$3),Scoring!$AI$29:$AI$361,0),"")</f>
        <v>187</v>
      </c>
    </row>
    <row r="24" customFormat="false" ht="15" hidden="false" customHeight="false" outlineLevel="0" collapsed="false">
      <c r="A24" s="15" t="n">
        <v>19</v>
      </c>
      <c r="B24" s="16" t="str">
        <f aca="false">IF($R24="","",INDEX(Scoring!$B$29:$B$361,$R24))</f>
        <v>Ustekinumab</v>
      </c>
      <c r="C24" s="16" t="str">
        <f aca="false">IF($R24="","",INDEX(Scoring!$E$29:$E$361,$R24))</f>
        <v>Priority 2</v>
      </c>
      <c r="D24" s="17" t="str">
        <f aca="false">IF($R24="","",INDEX(Scoring!$G$29:$G$361,$R24))</f>
        <v>High price, lower volume</v>
      </c>
      <c r="E24" s="18" t="n">
        <f aca="false">IF($R24="","",IF(INDEX(Scoring!$I$29:$I$361,$R24)="",INDEX(Scoring!$AC$29:$AC$361,$R24),INDEX(Scoring!$I$29:$I$361,$R24)))</f>
        <v>2838.33</v>
      </c>
      <c r="F24" s="19" t="n">
        <f aca="false">IF($R24="","",INDEX(Scoring!$M$29:$M$361,$R24))</f>
        <v>125</v>
      </c>
      <c r="G24" s="19" t="n">
        <f aca="false">IF($R24="","",INDEX(Scoring!$O$29:$O$361,$R24))</f>
        <v>2485.9</v>
      </c>
      <c r="H24" s="16" t="str">
        <f aca="false">IF($R24="","",IF(OR(LEFT($C24,8)="Excluded",INDEX(Scoring!$I$29:$I$361,$R24)=""),"",$B24))</f>
        <v>Ustekinumab</v>
      </c>
      <c r="I24" s="20" t="e">
        <f aca="false">IF(OR($H24="",N($F24)&lt;=0,$C24&lt;&gt;"Priority 1"),NA(),$E24)</f>
        <v>#N/A</v>
      </c>
      <c r="J24" s="21" t="e">
        <f aca="false">IF(OR($H24="",N($F24)&lt;=0,$C24&lt;&gt;"Priority 1"),NA(),$F24)</f>
        <v>#N/A</v>
      </c>
      <c r="K24" s="21" t="e">
        <f aca="false">IF(OR($H24="",N($F24)&lt;=0,$C24&lt;&gt;"Priority 1"),NA(),MAX($G24,1))</f>
        <v>#N/A</v>
      </c>
      <c r="L24" s="20" t="n">
        <f aca="false">IF(OR($H24="",N($F24)&lt;=0,$C24&lt;&gt;"Priority 2"),NA(),$E24)</f>
        <v>2838.33</v>
      </c>
      <c r="M24" s="21" t="n">
        <f aca="false">IF(OR($H24="",N($F24)&lt;=0,$C24&lt;&gt;"Priority 2"),NA(),$F24)</f>
        <v>125</v>
      </c>
      <c r="N24" s="21" t="n">
        <f aca="false">IF(OR($H24="",N($F24)&lt;=0,$C24&lt;&gt;"Priority 2"),NA(),MAX($G24,1))</f>
        <v>2485.9</v>
      </c>
      <c r="O24" s="20" t="e">
        <f aca="false">IF(OR($H24="",N($F24)&lt;=0,$C24&lt;&gt;"Priority 3"),NA(),$E24)</f>
        <v>#N/A</v>
      </c>
      <c r="P24" s="21" t="e">
        <f aca="false">IF(OR($H24="",N($F24)&lt;=0,$C24&lt;&gt;"Priority 3"),NA(),$F24)</f>
        <v>#N/A</v>
      </c>
      <c r="Q24" s="21" t="e">
        <f aca="false">IF(OR($H24="",N($F24)&lt;=0,$C24&lt;&gt;"Priority 3"),NA(),MAX($G24,1))</f>
        <v>#N/A</v>
      </c>
      <c r="R24" s="22" t="n">
        <f aca="false">IFERROR(MATCH($D$3*1000+IF($A24&lt;=$F$3,$A24,900+$A24-$F$3),Scoring!$AI$29:$AI$361,0),"")</f>
        <v>212</v>
      </c>
    </row>
    <row r="25" customFormat="false" ht="15" hidden="false" customHeight="false" outlineLevel="0" collapsed="false">
      <c r="A25" s="15" t="n">
        <v>20</v>
      </c>
      <c r="B25" s="16" t="str">
        <f aca="false">IF($R25="","",INDEX(Scoring!$B$29:$B$361,$R25))</f>
        <v>Degarelix</v>
      </c>
      <c r="C25" s="16" t="str">
        <f aca="false">IF($R25="","",INDEX(Scoring!$E$29:$E$361,$R25))</f>
        <v>Priority 2</v>
      </c>
      <c r="D25" s="17" t="str">
        <f aca="false">IF($R25="","",INDEX(Scoring!$G$29:$G$361,$R25))</f>
        <v>High price, lower volume</v>
      </c>
      <c r="E25" s="18" t="n">
        <f aca="false">IF($R25="","",IF(INDEX(Scoring!$I$29:$I$361,$R25)="",INDEX(Scoring!$AC$29:$AC$361,$R25),INDEX(Scoring!$I$29:$I$361,$R25)))</f>
        <v>92.62</v>
      </c>
      <c r="F25" s="19" t="n">
        <f aca="false">IF($R25="","",INDEX(Scoring!$M$29:$M$361,$R25))</f>
        <v>26</v>
      </c>
      <c r="G25" s="19" t="n">
        <f aca="false">IF($R25="","",INDEX(Scoring!$O$29:$O$361,$R25))</f>
        <v>140.9</v>
      </c>
      <c r="H25" s="16" t="str">
        <f aca="false">IF($R25="","",IF(OR(LEFT($C25,8)="Excluded",INDEX(Scoring!$I$29:$I$361,$R25)=""),"",$B25))</f>
        <v>Degarelix</v>
      </c>
      <c r="I25" s="20" t="e">
        <f aca="false">IF(OR($H25="",N($F25)&lt;=0,$C25&lt;&gt;"Priority 1"),NA(),$E25)</f>
        <v>#N/A</v>
      </c>
      <c r="J25" s="21" t="e">
        <f aca="false">IF(OR($H25="",N($F25)&lt;=0,$C25&lt;&gt;"Priority 1"),NA(),$F25)</f>
        <v>#N/A</v>
      </c>
      <c r="K25" s="21" t="e">
        <f aca="false">IF(OR($H25="",N($F25)&lt;=0,$C25&lt;&gt;"Priority 1"),NA(),MAX($G25,1))</f>
        <v>#N/A</v>
      </c>
      <c r="L25" s="20" t="n">
        <f aca="false">IF(OR($H25="",N($F25)&lt;=0,$C25&lt;&gt;"Priority 2"),NA(),$E25)</f>
        <v>92.62</v>
      </c>
      <c r="M25" s="21" t="n">
        <f aca="false">IF(OR($H25="",N($F25)&lt;=0,$C25&lt;&gt;"Priority 2"),NA(),$F25)</f>
        <v>26</v>
      </c>
      <c r="N25" s="21" t="n">
        <f aca="false">IF(OR($H25="",N($F25)&lt;=0,$C25&lt;&gt;"Priority 2"),NA(),MAX($G25,1))</f>
        <v>140.9</v>
      </c>
      <c r="O25" s="20" t="e">
        <f aca="false">IF(OR($H25="",N($F25)&lt;=0,$C25&lt;&gt;"Priority 3"),NA(),$E25)</f>
        <v>#N/A</v>
      </c>
      <c r="P25" s="21" t="e">
        <f aca="false">IF(OR($H25="",N($F25)&lt;=0,$C25&lt;&gt;"Priority 3"),NA(),$F25)</f>
        <v>#N/A</v>
      </c>
      <c r="Q25" s="21" t="e">
        <f aca="false">IF(OR($H25="",N($F25)&lt;=0,$C25&lt;&gt;"Priority 3"),NA(),MAX($G25,1))</f>
        <v>#N/A</v>
      </c>
      <c r="R25" s="22" t="n">
        <f aca="false">IFERROR(MATCH($D$3*1000+IF($A25&lt;=$F$3,$A25,900+$A25-$F$3),Scoring!$AI$29:$AI$361,0),"")</f>
        <v>171</v>
      </c>
    </row>
    <row r="26" customFormat="false" ht="15" hidden="false" customHeight="false" outlineLevel="0" collapsed="false">
      <c r="A26" s="15" t="n">
        <v>21</v>
      </c>
      <c r="B26" s="16" t="str">
        <f aca="false">IF($R26="","",INDEX(Scoring!$B$29:$B$361,$R26))</f>
        <v>Flucloxacillin</v>
      </c>
      <c r="C26" s="16" t="str">
        <f aca="false">IF($R26="","",INDEX(Scoring!$E$29:$E$361,$R26))</f>
        <v>Priority 3</v>
      </c>
      <c r="D26" s="17" t="str">
        <f aca="false">IF($R26="","",INDEX(Scoring!$G$29:$G$361,$R26))</f>
        <v>Lower price, lower volume</v>
      </c>
      <c r="E26" s="18" t="n">
        <f aca="false">IF($R26="","",IF(INDEX(Scoring!$I$29:$I$361,$R26)="",INDEX(Scoring!$AC$29:$AC$361,$R26),INDEX(Scoring!$I$29:$I$361,$R26)))</f>
        <v>6.07</v>
      </c>
      <c r="F26" s="19" t="n">
        <f aca="false">IF($R26="","",INDEX(Scoring!$M$29:$M$361,$R26))</f>
        <v>116</v>
      </c>
      <c r="G26" s="19" t="n">
        <f aca="false">IF($R26="","",INDEX(Scoring!$O$29:$O$361,$R26))</f>
        <v>6287.6</v>
      </c>
      <c r="H26" s="16" t="str">
        <f aca="false">IF($R26="","",IF(OR(LEFT($C26,8)="Excluded",INDEX(Scoring!$I$29:$I$361,$R26)=""),"",$B26))</f>
        <v>Flucloxacillin</v>
      </c>
      <c r="I26" s="20" t="e">
        <f aca="false">IF(OR($H26="",N($F26)&lt;=0,$C26&lt;&gt;"Priority 1"),NA(),$E26)</f>
        <v>#N/A</v>
      </c>
      <c r="J26" s="21" t="e">
        <f aca="false">IF(OR($H26="",N($F26)&lt;=0,$C26&lt;&gt;"Priority 1"),NA(),$F26)</f>
        <v>#N/A</v>
      </c>
      <c r="K26" s="21" t="e">
        <f aca="false">IF(OR($H26="",N($F26)&lt;=0,$C26&lt;&gt;"Priority 1"),NA(),MAX($G26,1))</f>
        <v>#N/A</v>
      </c>
      <c r="L26" s="20" t="e">
        <f aca="false">IF(OR($H26="",N($F26)&lt;=0,$C26&lt;&gt;"Priority 2"),NA(),$E26)</f>
        <v>#N/A</v>
      </c>
      <c r="M26" s="21" t="e">
        <f aca="false">IF(OR($H26="",N($F26)&lt;=0,$C26&lt;&gt;"Priority 2"),NA(),$F26)</f>
        <v>#N/A</v>
      </c>
      <c r="N26" s="21" t="e">
        <f aca="false">IF(OR($H26="",N($F26)&lt;=0,$C26&lt;&gt;"Priority 2"),NA(),MAX($G26,1))</f>
        <v>#N/A</v>
      </c>
      <c r="O26" s="20" t="n">
        <f aca="false">IF(OR($H26="",N($F26)&lt;=0,$C26&lt;&gt;"Priority 3"),NA(),$E26)</f>
        <v>6.07</v>
      </c>
      <c r="P26" s="21" t="n">
        <f aca="false">IF(OR($H26="",N($F26)&lt;=0,$C26&lt;&gt;"Priority 3"),NA(),$F26)</f>
        <v>116</v>
      </c>
      <c r="Q26" s="21" t="n">
        <f aca="false">IF(OR($H26="",N($F26)&lt;=0,$C26&lt;&gt;"Priority 3"),NA(),MAX($G26,1))</f>
        <v>6287.6</v>
      </c>
      <c r="R26" s="22" t="n">
        <f aca="false">IFERROR(MATCH($D$3*1000+IF($A26&lt;=$F$3,$A26,900+$A26-$F$3),Scoring!$AI$29:$AI$361,0),"")</f>
        <v>179</v>
      </c>
    </row>
    <row r="27" customFormat="false" ht="15" hidden="false" customHeight="false" outlineLevel="0" collapsed="false">
      <c r="A27" s="15" t="n">
        <v>22</v>
      </c>
      <c r="B27" s="16" t="str">
        <f aca="false">IF($R27="","",INDEX(Scoring!$B$29:$B$361,$R27))</f>
        <v>Progesterone</v>
      </c>
      <c r="C27" s="16" t="str">
        <f aca="false">IF($R27="","",INDEX(Scoring!$E$29:$E$361,$R27))</f>
        <v>Priority 3</v>
      </c>
      <c r="D27" s="17" t="str">
        <f aca="false">IF($R27="","",INDEX(Scoring!$G$29:$G$361,$R27))</f>
        <v>Lower price, lower volume</v>
      </c>
      <c r="E27" s="18" t="n">
        <f aca="false">IF($R27="","",IF(INDEX(Scoring!$I$29:$I$361,$R27)="",INDEX(Scoring!$AC$29:$AC$361,$R27),INDEX(Scoring!$I$29:$I$361,$R27)))</f>
        <v>6.23</v>
      </c>
      <c r="F27" s="19" t="n">
        <f aca="false">IF($R27="","",INDEX(Scoring!$M$29:$M$361,$R27))</f>
        <v>88</v>
      </c>
      <c r="G27" s="19" t="n">
        <f aca="false">IF($R27="","",INDEX(Scoring!$O$29:$O$361,$R27))</f>
        <v>2646.6</v>
      </c>
      <c r="H27" s="16" t="str">
        <f aca="false">IF($R27="","",IF(OR(LEFT($C27,8)="Excluded",INDEX(Scoring!$I$29:$I$361,$R27)=""),"",$B27))</f>
        <v>Progesterone</v>
      </c>
      <c r="I27" s="20" t="e">
        <f aca="false">IF(OR($H27="",N($F27)&lt;=0,$C27&lt;&gt;"Priority 1"),NA(),$E27)</f>
        <v>#N/A</v>
      </c>
      <c r="J27" s="21" t="e">
        <f aca="false">IF(OR($H27="",N($F27)&lt;=0,$C27&lt;&gt;"Priority 1"),NA(),$F27)</f>
        <v>#N/A</v>
      </c>
      <c r="K27" s="21" t="e">
        <f aca="false">IF(OR($H27="",N($F27)&lt;=0,$C27&lt;&gt;"Priority 1"),NA(),MAX($G27,1))</f>
        <v>#N/A</v>
      </c>
      <c r="L27" s="20" t="e">
        <f aca="false">IF(OR($H27="",N($F27)&lt;=0,$C27&lt;&gt;"Priority 2"),NA(),$E27)</f>
        <v>#N/A</v>
      </c>
      <c r="M27" s="21" t="e">
        <f aca="false">IF(OR($H27="",N($F27)&lt;=0,$C27&lt;&gt;"Priority 2"),NA(),$F27)</f>
        <v>#N/A</v>
      </c>
      <c r="N27" s="21" t="e">
        <f aca="false">IF(OR($H27="",N($F27)&lt;=0,$C27&lt;&gt;"Priority 2"),NA(),MAX($G27,1))</f>
        <v>#N/A</v>
      </c>
      <c r="O27" s="20" t="n">
        <f aca="false">IF(OR($H27="",N($F27)&lt;=0,$C27&lt;&gt;"Priority 3"),NA(),$E27)</f>
        <v>6.23</v>
      </c>
      <c r="P27" s="21" t="n">
        <f aca="false">IF(OR($H27="",N($F27)&lt;=0,$C27&lt;&gt;"Priority 3"),NA(),$F27)</f>
        <v>88</v>
      </c>
      <c r="Q27" s="21" t="n">
        <f aca="false">IF(OR($H27="",N($F27)&lt;=0,$C27&lt;&gt;"Priority 3"),NA(),MAX($G27,1))</f>
        <v>2646.6</v>
      </c>
      <c r="R27" s="22" t="n">
        <f aca="false">IFERROR(MATCH($D$3*1000+IF($A27&lt;=$F$3,$A27,900+$A27-$F$3),Scoring!$AI$29:$AI$361,0),"")</f>
        <v>204</v>
      </c>
    </row>
    <row r="28" customFormat="false" ht="15" hidden="false" customHeight="false" outlineLevel="0" collapsed="false">
      <c r="A28" s="15" t="n">
        <v>23</v>
      </c>
      <c r="B28" s="16" t="str">
        <f aca="false">IF($R28="","",INDEX(Scoring!$B$29:$B$361,$R28))</f>
        <v>Naloxone</v>
      </c>
      <c r="C28" s="16" t="str">
        <f aca="false">IF($R28="","",INDEX(Scoring!$E$29:$E$361,$R28))</f>
        <v>Priority 3</v>
      </c>
      <c r="D28" s="17" t="str">
        <f aca="false">IF($R28="","",INDEX(Scoring!$G$29:$G$361,$R28))</f>
        <v>Lower price, lower volume</v>
      </c>
      <c r="E28" s="18" t="n">
        <f aca="false">IF($R28="","",IF(INDEX(Scoring!$I$29:$I$361,$R28)="",INDEX(Scoring!$AC$29:$AC$361,$R28),INDEX(Scoring!$I$29:$I$361,$R28)))</f>
        <v>5.42</v>
      </c>
      <c r="F28" s="19" t="n">
        <f aca="false">IF($R28="","",INDEX(Scoring!$M$29:$M$361,$R28))</f>
        <v>88</v>
      </c>
      <c r="G28" s="19" t="n">
        <f aca="false">IF($R28="","",INDEX(Scoring!$O$29:$O$361,$R28))</f>
        <v>1437.9</v>
      </c>
      <c r="H28" s="16" t="str">
        <f aca="false">IF($R28="","",IF(OR(LEFT($C28,8)="Excluded",INDEX(Scoring!$I$29:$I$361,$R28)=""),"",$B28))</f>
        <v>Naloxone</v>
      </c>
      <c r="I28" s="20" t="e">
        <f aca="false">IF(OR($H28="",N($F28)&lt;=0,$C28&lt;&gt;"Priority 1"),NA(),$E28)</f>
        <v>#N/A</v>
      </c>
      <c r="J28" s="21" t="e">
        <f aca="false">IF(OR($H28="",N($F28)&lt;=0,$C28&lt;&gt;"Priority 1"),NA(),$F28)</f>
        <v>#N/A</v>
      </c>
      <c r="K28" s="21" t="e">
        <f aca="false">IF(OR($H28="",N($F28)&lt;=0,$C28&lt;&gt;"Priority 1"),NA(),MAX($G28,1))</f>
        <v>#N/A</v>
      </c>
      <c r="L28" s="20" t="e">
        <f aca="false">IF(OR($H28="",N($F28)&lt;=0,$C28&lt;&gt;"Priority 2"),NA(),$E28)</f>
        <v>#N/A</v>
      </c>
      <c r="M28" s="21" t="e">
        <f aca="false">IF(OR($H28="",N($F28)&lt;=0,$C28&lt;&gt;"Priority 2"),NA(),$F28)</f>
        <v>#N/A</v>
      </c>
      <c r="N28" s="21" t="e">
        <f aca="false">IF(OR($H28="",N($F28)&lt;=0,$C28&lt;&gt;"Priority 2"),NA(),MAX($G28,1))</f>
        <v>#N/A</v>
      </c>
      <c r="O28" s="20" t="n">
        <f aca="false">IF(OR($H28="",N($F28)&lt;=0,$C28&lt;&gt;"Priority 3"),NA(),$E28)</f>
        <v>5.42</v>
      </c>
      <c r="P28" s="21" t="n">
        <f aca="false">IF(OR($H28="",N($F28)&lt;=0,$C28&lt;&gt;"Priority 3"),NA(),$F28)</f>
        <v>88</v>
      </c>
      <c r="Q28" s="21" t="n">
        <f aca="false">IF(OR($H28="",N($F28)&lt;=0,$C28&lt;&gt;"Priority 3"),NA(),MAX($G28,1))</f>
        <v>1437.9</v>
      </c>
      <c r="R28" s="22" t="n">
        <f aca="false">IFERROR(MATCH($D$3*1000+IF($A28&lt;=$F$3,$A28,900+$A28-$F$3),Scoring!$AI$29:$AI$361,0),"")</f>
        <v>194</v>
      </c>
    </row>
    <row r="29" customFormat="false" ht="15" hidden="false" customHeight="false" outlineLevel="0" collapsed="false">
      <c r="A29" s="15" t="n">
        <v>24</v>
      </c>
      <c r="B29" s="16" t="str">
        <f aca="false">IF($R29="","",INDEX(Scoring!$B$29:$B$361,$R29))</f>
        <v>Hydroxocobalamin</v>
      </c>
      <c r="C29" s="16" t="str">
        <f aca="false">IF($R29="","",INDEX(Scoring!$E$29:$E$361,$R29))</f>
        <v>Priority 3</v>
      </c>
      <c r="D29" s="17" t="str">
        <f aca="false">IF($R29="","",INDEX(Scoring!$G$29:$G$361,$R29))</f>
        <v>Lower price, lower volume</v>
      </c>
      <c r="E29" s="18" t="n">
        <f aca="false">IF($R29="","",IF(INDEX(Scoring!$I$29:$I$361,$R29)="",INDEX(Scoring!$AC$29:$AC$361,$R29),INDEX(Scoring!$I$29:$I$361,$R29)))</f>
        <v>9.83</v>
      </c>
      <c r="F29" s="19" t="n">
        <f aca="false">IF($R29="","",INDEX(Scoring!$M$29:$M$361,$R29))</f>
        <v>22</v>
      </c>
      <c r="G29" s="19" t="n">
        <f aca="false">IF($R29="","",INDEX(Scoring!$O$29:$O$361,$R29))</f>
        <v>315.7</v>
      </c>
      <c r="H29" s="16" t="str">
        <f aca="false">IF($R29="","",IF(OR(LEFT($C29,8)="Excluded",INDEX(Scoring!$I$29:$I$361,$R29)=""),"",$B29))</f>
        <v>Hydroxocobalamin</v>
      </c>
      <c r="I29" s="20" t="e">
        <f aca="false">IF(OR($H29="",N($F29)&lt;=0,$C29&lt;&gt;"Priority 1"),NA(),$E29)</f>
        <v>#N/A</v>
      </c>
      <c r="J29" s="21" t="e">
        <f aca="false">IF(OR($H29="",N($F29)&lt;=0,$C29&lt;&gt;"Priority 1"),NA(),$F29)</f>
        <v>#N/A</v>
      </c>
      <c r="K29" s="21" t="e">
        <f aca="false">IF(OR($H29="",N($F29)&lt;=0,$C29&lt;&gt;"Priority 1"),NA(),MAX($G29,1))</f>
        <v>#N/A</v>
      </c>
      <c r="L29" s="20" t="e">
        <f aca="false">IF(OR($H29="",N($F29)&lt;=0,$C29&lt;&gt;"Priority 2"),NA(),$E29)</f>
        <v>#N/A</v>
      </c>
      <c r="M29" s="21" t="e">
        <f aca="false">IF(OR($H29="",N($F29)&lt;=0,$C29&lt;&gt;"Priority 2"),NA(),$F29)</f>
        <v>#N/A</v>
      </c>
      <c r="N29" s="21" t="e">
        <f aca="false">IF(OR($H29="",N($F29)&lt;=0,$C29&lt;&gt;"Priority 2"),NA(),MAX($G29,1))</f>
        <v>#N/A</v>
      </c>
      <c r="O29" s="20" t="n">
        <f aca="false">IF(OR($H29="",N($F29)&lt;=0,$C29&lt;&gt;"Priority 3"),NA(),$E29)</f>
        <v>9.83</v>
      </c>
      <c r="P29" s="21" t="n">
        <f aca="false">IF(OR($H29="",N($F29)&lt;=0,$C29&lt;&gt;"Priority 3"),NA(),$F29)</f>
        <v>22</v>
      </c>
      <c r="Q29" s="21" t="n">
        <f aca="false">IF(OR($H29="",N($F29)&lt;=0,$C29&lt;&gt;"Priority 3"),NA(),MAX($G29,1))</f>
        <v>315.7</v>
      </c>
      <c r="R29" s="22" t="n">
        <f aca="false">IFERROR(MATCH($D$3*1000+IF($A29&lt;=$F$3,$A29,900+$A29-$F$3),Scoring!$AI$29:$AI$361,0),"")</f>
        <v>184</v>
      </c>
    </row>
    <row r="30" customFormat="false" ht="15" hidden="false" customHeight="false" outlineLevel="0" collapsed="false">
      <c r="A30" s="15" t="n">
        <v>25</v>
      </c>
      <c r="B30" s="16" t="str">
        <f aca="false">IF($R30="","",INDEX(Scoring!$B$29:$B$361,$R30))</f>
        <v>Amoxicillin</v>
      </c>
      <c r="C30" s="16" t="str">
        <f aca="false">IF($R30="","",INDEX(Scoring!$E$29:$E$361,$R30))</f>
        <v>Excluded – price ≤ USD 5</v>
      </c>
      <c r="D30" s="17" t="str">
        <f aca="false">IF($R30="","",INDEX(Scoring!$G$29:$G$361,$R30))</f>
        <v/>
      </c>
      <c r="E30" s="18" t="n">
        <f aca="false">IF($R30="","",IF(INDEX(Scoring!$I$29:$I$361,$R30)="",INDEX(Scoring!$AC$29:$AC$361,$R30),INDEX(Scoring!$I$29:$I$361,$R30)))</f>
        <v>1.59</v>
      </c>
      <c r="F30" s="19" t="n">
        <f aca="false">IF($R30="","",INDEX(Scoring!$M$29:$M$361,$R30))</f>
        <v>715</v>
      </c>
      <c r="G30" s="19" t="n">
        <f aca="false">IF($R30="","",INDEX(Scoring!$O$29:$O$361,$R30))</f>
        <v>33794.9</v>
      </c>
      <c r="H30" s="16" t="str">
        <f aca="false">IF($R30="","",IF(OR(LEFT($C30,8)="Excluded",INDEX(Scoring!$I$29:$I$361,$R30)=""),"",$B30))</f>
        <v/>
      </c>
      <c r="I30" s="20" t="e">
        <f aca="false">IF(OR($H30="",N($F30)&lt;=0,$C30&lt;&gt;"Priority 1"),NA(),$E30)</f>
        <v>#N/A</v>
      </c>
      <c r="J30" s="21" t="e">
        <f aca="false">IF(OR($H30="",N($F30)&lt;=0,$C30&lt;&gt;"Priority 1"),NA(),$F30)</f>
        <v>#N/A</v>
      </c>
      <c r="K30" s="21" t="e">
        <f aca="false">IF(OR($H30="",N($F30)&lt;=0,$C30&lt;&gt;"Priority 1"),NA(),MAX($G30,1))</f>
        <v>#N/A</v>
      </c>
      <c r="L30" s="20" t="e">
        <f aca="false">IF(OR($H30="",N($F30)&lt;=0,$C30&lt;&gt;"Priority 2"),NA(),$E30)</f>
        <v>#N/A</v>
      </c>
      <c r="M30" s="21" t="e">
        <f aca="false">IF(OR($H30="",N($F30)&lt;=0,$C30&lt;&gt;"Priority 2"),NA(),$F30)</f>
        <v>#N/A</v>
      </c>
      <c r="N30" s="21" t="e">
        <f aca="false">IF(OR($H30="",N($F30)&lt;=0,$C30&lt;&gt;"Priority 2"),NA(),MAX($G30,1))</f>
        <v>#N/A</v>
      </c>
      <c r="O30" s="20" t="e">
        <f aca="false">IF(OR($H30="",N($F30)&lt;=0,$C30&lt;&gt;"Priority 3"),NA(),$E30)</f>
        <v>#N/A</v>
      </c>
      <c r="P30" s="21" t="e">
        <f aca="false">IF(OR($H30="",N($F30)&lt;=0,$C30&lt;&gt;"Priority 3"),NA(),$F30)</f>
        <v>#N/A</v>
      </c>
      <c r="Q30" s="21" t="e">
        <f aca="false">IF(OR($H30="",N($F30)&lt;=0,$C30&lt;&gt;"Priority 3"),NA(),MAX($G30,1))</f>
        <v>#N/A</v>
      </c>
      <c r="R30" s="22" t="n">
        <f aca="false">IFERROR(MATCH($D$3*1000+IF($A30&lt;=$F$3,$A30,900+$A30-$F$3),Scoring!$AI$29:$AI$361,0),"")</f>
        <v>156</v>
      </c>
    </row>
    <row r="31" customFormat="false" ht="15" hidden="false" customHeight="false" outlineLevel="0" collapsed="false">
      <c r="A31" s="15" t="n">
        <v>26</v>
      </c>
      <c r="B31" s="16" t="str">
        <f aca="false">IF($R31="","",INDEX(Scoring!$B$29:$B$361,$R31))</f>
        <v>Glycopyrrolate</v>
      </c>
      <c r="C31" s="16" t="str">
        <f aca="false">IF($R31="","",INDEX(Scoring!$E$29:$E$361,$R31))</f>
        <v>Excluded – price ≤ USD 5</v>
      </c>
      <c r="D31" s="17" t="str">
        <f aca="false">IF($R31="","",INDEX(Scoring!$G$29:$G$361,$R31))</f>
        <v/>
      </c>
      <c r="E31" s="18" t="n">
        <f aca="false">IF($R31="","",IF(INDEX(Scoring!$I$29:$I$361,$R31)="",INDEX(Scoring!$AC$29:$AC$361,$R31),INDEX(Scoring!$I$29:$I$361,$R31)))</f>
        <v>3</v>
      </c>
      <c r="F31" s="19" t="n">
        <f aca="false">IF($R31="","",INDEX(Scoring!$M$29:$M$361,$R31))</f>
        <v>119</v>
      </c>
      <c r="G31" s="19" t="n">
        <f aca="false">IF($R31="","",INDEX(Scoring!$O$29:$O$361,$R31))</f>
        <v>1332.4</v>
      </c>
      <c r="H31" s="16" t="str">
        <f aca="false">IF($R31="","",IF(OR(LEFT($C31,8)="Excluded",INDEX(Scoring!$I$29:$I$361,$R31)=""),"",$B31))</f>
        <v/>
      </c>
      <c r="I31" s="20" t="e">
        <f aca="false">IF(OR($H31="",N($F31)&lt;=0,$C31&lt;&gt;"Priority 1"),NA(),$E31)</f>
        <v>#N/A</v>
      </c>
      <c r="J31" s="21" t="e">
        <f aca="false">IF(OR($H31="",N($F31)&lt;=0,$C31&lt;&gt;"Priority 1"),NA(),$F31)</f>
        <v>#N/A</v>
      </c>
      <c r="K31" s="21" t="e">
        <f aca="false">IF(OR($H31="",N($F31)&lt;=0,$C31&lt;&gt;"Priority 1"),NA(),MAX($G31,1))</f>
        <v>#N/A</v>
      </c>
      <c r="L31" s="20" t="e">
        <f aca="false">IF(OR($H31="",N($F31)&lt;=0,$C31&lt;&gt;"Priority 2"),NA(),$E31)</f>
        <v>#N/A</v>
      </c>
      <c r="M31" s="21" t="e">
        <f aca="false">IF(OR($H31="",N($F31)&lt;=0,$C31&lt;&gt;"Priority 2"),NA(),$F31)</f>
        <v>#N/A</v>
      </c>
      <c r="N31" s="21" t="e">
        <f aca="false">IF(OR($H31="",N($F31)&lt;=0,$C31&lt;&gt;"Priority 2"),NA(),MAX($G31,1))</f>
        <v>#N/A</v>
      </c>
      <c r="O31" s="20" t="e">
        <f aca="false">IF(OR($H31="",N($F31)&lt;=0,$C31&lt;&gt;"Priority 3"),NA(),$E31)</f>
        <v>#N/A</v>
      </c>
      <c r="P31" s="21" t="e">
        <f aca="false">IF(OR($H31="",N($F31)&lt;=0,$C31&lt;&gt;"Priority 3"),NA(),$F31)</f>
        <v>#N/A</v>
      </c>
      <c r="Q31" s="21" t="e">
        <f aca="false">IF(OR($H31="",N($F31)&lt;=0,$C31&lt;&gt;"Priority 3"),NA(),MAX($G31,1))</f>
        <v>#N/A</v>
      </c>
      <c r="R31" s="22" t="n">
        <f aca="false">IFERROR(MATCH($D$3*1000+IF($A31&lt;=$F$3,$A31,900+$A31-$F$3),Scoring!$AI$29:$AI$361,0),"")</f>
        <v>183</v>
      </c>
    </row>
    <row r="32" customFormat="false" ht="15" hidden="false" customHeight="false" outlineLevel="0" collapsed="false">
      <c r="A32" s="15" t="n">
        <v>27</v>
      </c>
      <c r="B32" s="16" t="str">
        <f aca="false">IF($R32="","",INDEX(Scoring!$B$29:$B$361,$R32))</f>
        <v>Lidocaine</v>
      </c>
      <c r="C32" s="16" t="str">
        <f aca="false">IF($R32="","",INDEX(Scoring!$E$29:$E$361,$R32))</f>
        <v>Excluded – price ≤ USD 5</v>
      </c>
      <c r="D32" s="17" t="str">
        <f aca="false">IF($R32="","",INDEX(Scoring!$G$29:$G$361,$R32))</f>
        <v/>
      </c>
      <c r="E32" s="18" t="n">
        <f aca="false">IF($R32="","",IF(INDEX(Scoring!$I$29:$I$361,$R32)="",INDEX(Scoring!$AC$29:$AC$361,$R32),INDEX(Scoring!$I$29:$I$361,$R32)))</f>
        <v>1.42</v>
      </c>
      <c r="F32" s="19" t="n">
        <f aca="false">IF($R32="","",INDEX(Scoring!$M$29:$M$361,$R32))</f>
        <v>670</v>
      </c>
      <c r="G32" s="19" t="n">
        <f aca="false">IF($R32="","",INDEX(Scoring!$O$29:$O$361,$R32))</f>
        <v>18611.6</v>
      </c>
      <c r="H32" s="16" t="str">
        <f aca="false">IF($R32="","",IF(OR(LEFT($C32,8)="Excluded",INDEX(Scoring!$I$29:$I$361,$R32)=""),"",$B32))</f>
        <v/>
      </c>
      <c r="I32" s="20" t="e">
        <f aca="false">IF(OR($H32="",N($F32)&lt;=0,$C32&lt;&gt;"Priority 1"),NA(),$E32)</f>
        <v>#N/A</v>
      </c>
      <c r="J32" s="21" t="e">
        <f aca="false">IF(OR($H32="",N($F32)&lt;=0,$C32&lt;&gt;"Priority 1"),NA(),$F32)</f>
        <v>#N/A</v>
      </c>
      <c r="K32" s="21" t="e">
        <f aca="false">IF(OR($H32="",N($F32)&lt;=0,$C32&lt;&gt;"Priority 1"),NA(),MAX($G32,1))</f>
        <v>#N/A</v>
      </c>
      <c r="L32" s="20" t="e">
        <f aca="false">IF(OR($H32="",N($F32)&lt;=0,$C32&lt;&gt;"Priority 2"),NA(),$E32)</f>
        <v>#N/A</v>
      </c>
      <c r="M32" s="21" t="e">
        <f aca="false">IF(OR($H32="",N($F32)&lt;=0,$C32&lt;&gt;"Priority 2"),NA(),$F32)</f>
        <v>#N/A</v>
      </c>
      <c r="N32" s="21" t="e">
        <f aca="false">IF(OR($H32="",N($F32)&lt;=0,$C32&lt;&gt;"Priority 2"),NA(),MAX($G32,1))</f>
        <v>#N/A</v>
      </c>
      <c r="O32" s="20" t="e">
        <f aca="false">IF(OR($H32="",N($F32)&lt;=0,$C32&lt;&gt;"Priority 3"),NA(),$E32)</f>
        <v>#N/A</v>
      </c>
      <c r="P32" s="21" t="e">
        <f aca="false">IF(OR($H32="",N($F32)&lt;=0,$C32&lt;&gt;"Priority 3"),NA(),$F32)</f>
        <v>#N/A</v>
      </c>
      <c r="Q32" s="21" t="e">
        <f aca="false">IF(OR($H32="",N($F32)&lt;=0,$C32&lt;&gt;"Priority 3"),NA(),MAX($G32,1))</f>
        <v>#N/A</v>
      </c>
      <c r="R32" s="22" t="n">
        <f aca="false">IFERROR(MATCH($D$3*1000+IF($A32&lt;=$F$3,$A32,900+$A32-$F$3),Scoring!$AI$29:$AI$361,0),"")</f>
        <v>188</v>
      </c>
    </row>
    <row r="33" customFormat="false" ht="15" hidden="false" customHeight="false" outlineLevel="0" collapsed="false">
      <c r="A33" s="15" t="n">
        <v>28</v>
      </c>
      <c r="B33" s="16" t="str">
        <f aca="false">IF($R33="","",INDEX(Scoring!$B$29:$B$361,$R33))</f>
        <v>Phenytoin</v>
      </c>
      <c r="C33" s="16" t="str">
        <f aca="false">IF($R33="","",INDEX(Scoring!$E$29:$E$361,$R33))</f>
        <v>Excluded – price ≤ USD 5</v>
      </c>
      <c r="D33" s="17" t="str">
        <f aca="false">IF($R33="","",INDEX(Scoring!$G$29:$G$361,$R33))</f>
        <v/>
      </c>
      <c r="E33" s="18" t="n">
        <f aca="false">IF($R33="","",IF(INDEX(Scoring!$I$29:$I$361,$R33)="",INDEX(Scoring!$AC$29:$AC$361,$R33),INDEX(Scoring!$I$29:$I$361,$R33)))</f>
        <v>4.49</v>
      </c>
      <c r="F33" s="19" t="n">
        <f aca="false">IF($R33="","",INDEX(Scoring!$M$29:$M$361,$R33))</f>
        <v>208</v>
      </c>
      <c r="G33" s="19" t="n">
        <f aca="false">IF($R33="","",INDEX(Scoring!$O$29:$O$361,$R33))</f>
        <v>2009.5</v>
      </c>
      <c r="H33" s="16" t="str">
        <f aca="false">IF($R33="","",IF(OR(LEFT($C33,8)="Excluded",INDEX(Scoring!$I$29:$I$361,$R33)=""),"",$B33))</f>
        <v/>
      </c>
      <c r="I33" s="20" t="e">
        <f aca="false">IF(OR($H33="",N($F33)&lt;=0,$C33&lt;&gt;"Priority 1"),NA(),$E33)</f>
        <v>#N/A</v>
      </c>
      <c r="J33" s="21" t="e">
        <f aca="false">IF(OR($H33="",N($F33)&lt;=0,$C33&lt;&gt;"Priority 1"),NA(),$F33)</f>
        <v>#N/A</v>
      </c>
      <c r="K33" s="21" t="e">
        <f aca="false">IF(OR($H33="",N($F33)&lt;=0,$C33&lt;&gt;"Priority 1"),NA(),MAX($G33,1))</f>
        <v>#N/A</v>
      </c>
      <c r="L33" s="20" t="e">
        <f aca="false">IF(OR($H33="",N($F33)&lt;=0,$C33&lt;&gt;"Priority 2"),NA(),$E33)</f>
        <v>#N/A</v>
      </c>
      <c r="M33" s="21" t="e">
        <f aca="false">IF(OR($H33="",N($F33)&lt;=0,$C33&lt;&gt;"Priority 2"),NA(),$F33)</f>
        <v>#N/A</v>
      </c>
      <c r="N33" s="21" t="e">
        <f aca="false">IF(OR($H33="",N($F33)&lt;=0,$C33&lt;&gt;"Priority 2"),NA(),MAX($G33,1))</f>
        <v>#N/A</v>
      </c>
      <c r="O33" s="20" t="e">
        <f aca="false">IF(OR($H33="",N($F33)&lt;=0,$C33&lt;&gt;"Priority 3"),NA(),$E33)</f>
        <v>#N/A</v>
      </c>
      <c r="P33" s="21" t="e">
        <f aca="false">IF(OR($H33="",N($F33)&lt;=0,$C33&lt;&gt;"Priority 3"),NA(),$F33)</f>
        <v>#N/A</v>
      </c>
      <c r="Q33" s="21" t="e">
        <f aca="false">IF(OR($H33="",N($F33)&lt;=0,$C33&lt;&gt;"Priority 3"),NA(),MAX($G33,1))</f>
        <v>#N/A</v>
      </c>
      <c r="R33" s="22" t="n">
        <f aca="false">IFERROR(MATCH($D$3*1000+IF($A33&lt;=$F$3,$A33,900+$A33-$F$3),Scoring!$AI$29:$AI$361,0),"")</f>
        <v>202</v>
      </c>
    </row>
    <row r="34" customFormat="false" ht="15" hidden="false" customHeight="false" outlineLevel="0" collapsed="false">
      <c r="A34" s="15" t="n">
        <v>29</v>
      </c>
      <c r="B34" s="16" t="str">
        <f aca="false">IF($R34="","",INDEX(Scoring!$B$29:$B$361,$R34))</f>
        <v/>
      </c>
      <c r="C34" s="16" t="str">
        <f aca="false">IF($R34="","",INDEX(Scoring!$E$29:$E$361,$R34))</f>
        <v/>
      </c>
      <c r="D34" s="17" t="str">
        <f aca="false">IF($R34="","",INDEX(Scoring!$G$29:$G$361,$R34))</f>
        <v/>
      </c>
      <c r="E34" s="18" t="str">
        <f aca="false">IF($R34="","",IF(INDEX(Scoring!$I$29:$I$361,$R34)="",INDEX(Scoring!$AC$29:$AC$361,$R34),INDEX(Scoring!$I$29:$I$361,$R34)))</f>
        <v/>
      </c>
      <c r="F34" s="19" t="str">
        <f aca="false">IF($R34="","",INDEX(Scoring!$M$29:$M$361,$R34))</f>
        <v/>
      </c>
      <c r="G34" s="19" t="str">
        <f aca="false">IF($R34="","",INDEX(Scoring!$O$29:$O$361,$R34))</f>
        <v/>
      </c>
      <c r="H34" s="16" t="str">
        <f aca="false">IF($R34="","",IF(OR(LEFT($C34,8)="Excluded",INDEX(Scoring!$I$29:$I$361,$R34)=""),"",$B34))</f>
        <v/>
      </c>
      <c r="I34" s="20" t="e">
        <f aca="false">IF(OR($H34="",N($F34)&lt;=0,$C34&lt;&gt;"Priority 1"),NA(),$E34)</f>
        <v>#N/A</v>
      </c>
      <c r="J34" s="21" t="e">
        <f aca="false">IF(OR($H34="",N($F34)&lt;=0,$C34&lt;&gt;"Priority 1"),NA(),$F34)</f>
        <v>#N/A</v>
      </c>
      <c r="K34" s="21" t="e">
        <f aca="false">IF(OR($H34="",N($F34)&lt;=0,$C34&lt;&gt;"Priority 1"),NA(),MAX($G34,1))</f>
        <v>#N/A</v>
      </c>
      <c r="L34" s="20" t="e">
        <f aca="false">IF(OR($H34="",N($F34)&lt;=0,$C34&lt;&gt;"Priority 2"),NA(),$E34)</f>
        <v>#N/A</v>
      </c>
      <c r="M34" s="21" t="e">
        <f aca="false">IF(OR($H34="",N($F34)&lt;=0,$C34&lt;&gt;"Priority 2"),NA(),$F34)</f>
        <v>#N/A</v>
      </c>
      <c r="N34" s="21" t="e">
        <f aca="false">IF(OR($H34="",N($F34)&lt;=0,$C34&lt;&gt;"Priority 2"),NA(),MAX($G34,1))</f>
        <v>#N/A</v>
      </c>
      <c r="O34" s="20" t="e">
        <f aca="false">IF(OR($H34="",N($F34)&lt;=0,$C34&lt;&gt;"Priority 3"),NA(),$E34)</f>
        <v>#N/A</v>
      </c>
      <c r="P34" s="21" t="e">
        <f aca="false">IF(OR($H34="",N($F34)&lt;=0,$C34&lt;&gt;"Priority 3"),NA(),$F34)</f>
        <v>#N/A</v>
      </c>
      <c r="Q34" s="21" t="e">
        <f aca="false">IF(OR($H34="",N($F34)&lt;=0,$C34&lt;&gt;"Priority 3"),NA(),MAX($G34,1))</f>
        <v>#N/A</v>
      </c>
      <c r="R34" s="22" t="str">
        <f aca="false">IFERROR(MATCH($D$3*1000+IF($A34&lt;=$F$3,$A34,900+$A34-$F$3),Scoring!$AI$29:$AI$361,0),"")</f>
        <v/>
      </c>
    </row>
    <row r="35" customFormat="false" ht="15" hidden="false" customHeight="false" outlineLevel="0" collapsed="false">
      <c r="A35" s="15" t="n">
        <v>30</v>
      </c>
      <c r="B35" s="16" t="str">
        <f aca="false">IF($R35="","",INDEX(Scoring!$B$29:$B$361,$R35))</f>
        <v/>
      </c>
      <c r="C35" s="16" t="str">
        <f aca="false">IF($R35="","",INDEX(Scoring!$E$29:$E$361,$R35))</f>
        <v/>
      </c>
      <c r="D35" s="17" t="str">
        <f aca="false">IF($R35="","",INDEX(Scoring!$G$29:$G$361,$R35))</f>
        <v/>
      </c>
      <c r="E35" s="18" t="str">
        <f aca="false">IF($R35="","",IF(INDEX(Scoring!$I$29:$I$361,$R35)="",INDEX(Scoring!$AC$29:$AC$361,$R35),INDEX(Scoring!$I$29:$I$361,$R35)))</f>
        <v/>
      </c>
      <c r="F35" s="19" t="str">
        <f aca="false">IF($R35="","",INDEX(Scoring!$M$29:$M$361,$R35))</f>
        <v/>
      </c>
      <c r="G35" s="19" t="str">
        <f aca="false">IF($R35="","",INDEX(Scoring!$O$29:$O$361,$R35))</f>
        <v/>
      </c>
      <c r="H35" s="16" t="str">
        <f aca="false">IF($R35="","",IF(OR(LEFT($C35,8)="Excluded",INDEX(Scoring!$I$29:$I$361,$R35)=""),"",$B35))</f>
        <v/>
      </c>
      <c r="I35" s="20" t="e">
        <f aca="false">IF(OR($H35="",N($F35)&lt;=0,$C35&lt;&gt;"Priority 1"),NA(),$E35)</f>
        <v>#N/A</v>
      </c>
      <c r="J35" s="21" t="e">
        <f aca="false">IF(OR($H35="",N($F35)&lt;=0,$C35&lt;&gt;"Priority 1"),NA(),$F35)</f>
        <v>#N/A</v>
      </c>
      <c r="K35" s="21" t="e">
        <f aca="false">IF(OR($H35="",N($F35)&lt;=0,$C35&lt;&gt;"Priority 1"),NA(),MAX($G35,1))</f>
        <v>#N/A</v>
      </c>
      <c r="L35" s="20" t="e">
        <f aca="false">IF(OR($H35="",N($F35)&lt;=0,$C35&lt;&gt;"Priority 2"),NA(),$E35)</f>
        <v>#N/A</v>
      </c>
      <c r="M35" s="21" t="e">
        <f aca="false">IF(OR($H35="",N($F35)&lt;=0,$C35&lt;&gt;"Priority 2"),NA(),$F35)</f>
        <v>#N/A</v>
      </c>
      <c r="N35" s="21" t="e">
        <f aca="false">IF(OR($H35="",N($F35)&lt;=0,$C35&lt;&gt;"Priority 2"),NA(),MAX($G35,1))</f>
        <v>#N/A</v>
      </c>
      <c r="O35" s="20" t="e">
        <f aca="false">IF(OR($H35="",N($F35)&lt;=0,$C35&lt;&gt;"Priority 3"),NA(),$E35)</f>
        <v>#N/A</v>
      </c>
      <c r="P35" s="21" t="e">
        <f aca="false">IF(OR($H35="",N($F35)&lt;=0,$C35&lt;&gt;"Priority 3"),NA(),$F35)</f>
        <v>#N/A</v>
      </c>
      <c r="Q35" s="21" t="e">
        <f aca="false">IF(OR($H35="",N($F35)&lt;=0,$C35&lt;&gt;"Priority 3"),NA(),MAX($G35,1))</f>
        <v>#N/A</v>
      </c>
      <c r="R35" s="22" t="str">
        <f aca="false">IFERROR(MATCH($D$3*1000+IF($A35&lt;=$F$3,$A35,900+$A35-$F$3),Scoring!$AI$29:$AI$361,0),"")</f>
        <v/>
      </c>
    </row>
    <row r="37" customFormat="false" ht="15" hidden="false" customHeight="false" outlineLevel="0" collapsed="false">
      <c r="A37" s="23" t="s">
        <v>35</v>
      </c>
    </row>
  </sheetData>
  <mergeCells count="1">
    <mergeCell ref="A2:H2"/>
  </mergeCells>
  <conditionalFormatting sqref="B6:H35">
    <cfRule type="expression" priority="2" aboveAverage="0" equalAverage="0" bottom="0" percent="0" rank="0" text="" dxfId="5">
      <formula>$C6="Priority 1"</formula>
    </cfRule>
    <cfRule type="expression" priority="3" aboveAverage="0" equalAverage="0" bottom="0" percent="0" rank="0" text="" dxfId="6">
      <formula>LEFT($C6,8)="Excluded"</formula>
    </cfRule>
  </conditionalFormatting>
  <dataValidations count="1">
    <dataValidation allowBlank="false" errorStyle="stop" operator="between" showDropDown="false" showErrorMessage="false" showInputMessage="false" sqref="B3" type="list">
      <formula1>"Alembic,Aurobindo,Cipla,Dr. Reddy's,Emcure,Glenmark,Hetero,Intas,Lupin,MSN,Micro Labs,OneSource,Piramal,Strides,Sun Pharma,Torrent,Venus Remedies,Wockhardt,Zydus"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5"/>
    <col collapsed="false" customWidth="true" hidden="false" outlineLevel="0" max="4" min="4" style="0" width="4"/>
    <col collapsed="false" customWidth="true" hidden="false" outlineLevel="0" max="6" min="5" style="0" width="15"/>
    <col collapsed="false" customWidth="true" hidden="false" outlineLevel="0" max="7" min="7" style="0" width="4"/>
    <col collapsed="false" customWidth="true" hidden="false" outlineLevel="0" max="9" min="8" style="0" width="15"/>
    <col collapsed="false" customWidth="true" hidden="false" outlineLevel="0" max="10" min="10" style="0" width="4"/>
    <col collapsed="false" customWidth="true" hidden="false" outlineLevel="0" max="12" min="11" style="0" width="15"/>
    <col collapsed="false" customWidth="true" hidden="false" outlineLevel="0" max="13" min="13" style="0" width="4"/>
    <col collapsed="false" customWidth="true" hidden="false" outlineLevel="0" max="15" min="14" style="0" width="15"/>
    <col collapsed="false" customWidth="true" hidden="false" outlineLevel="0" max="16" min="16" style="0" width="2"/>
  </cols>
  <sheetData>
    <row r="1" customFormat="false" ht="30" hidden="false" customHeight="true" outlineLevel="0" collapsed="false">
      <c r="B1" s="24" t="s">
        <v>36</v>
      </c>
      <c r="C1" s="24"/>
      <c r="D1" s="24"/>
      <c r="E1" s="24"/>
      <c r="F1" s="24"/>
      <c r="G1" s="24"/>
      <c r="H1" s="24"/>
      <c r="I1" s="24"/>
      <c r="J1" s="24"/>
      <c r="K1" s="24"/>
      <c r="L1" s="24"/>
      <c r="M1" s="24"/>
      <c r="N1" s="24"/>
      <c r="O1" s="24"/>
    </row>
    <row r="2" customFormat="false" ht="21.75" hidden="false" customHeight="true" outlineLevel="0" collapsed="false">
      <c r="B2" s="25" t="str">
        <f aca="false">"We started with "&amp;COUNTA(Scoring!$A$29:$A$361)&amp;" drug–company pairs, kept the "&amp;COUNTIF(Scoring!$H$29:$H$361,"")&amp;" that SurTrac can serve, and placed each on a price vs volume 2x2. "&amp;COUNTIF(Scoring!$E$29:$E$361,"Priority 1")&amp;" pairs, at "&amp;COUNTIF(Scoring!$B$7:$B$25,"&gt;0")&amp;" companies, land in the top-right box (Priority 1)."</f>
        <v>We started with 333 drug–company pairs, kept the 157 that SurTrac can serve, and placed each on a price vs volume 2x2. 38 pairs, at 13 companies, land in the top-right box (Priority 1).</v>
      </c>
      <c r="C2" s="25"/>
      <c r="D2" s="25"/>
      <c r="E2" s="25"/>
      <c r="F2" s="25"/>
      <c r="G2" s="25"/>
      <c r="H2" s="25"/>
      <c r="I2" s="25"/>
      <c r="J2" s="25"/>
      <c r="K2" s="25"/>
      <c r="L2" s="25"/>
      <c r="M2" s="25"/>
      <c r="N2" s="25"/>
      <c r="O2" s="25"/>
    </row>
    <row r="4" customFormat="false" ht="15" hidden="false" customHeight="true" outlineLevel="0" collapsed="false">
      <c r="B4" s="26" t="s">
        <v>37</v>
      </c>
      <c r="C4" s="26"/>
      <c r="D4" s="26"/>
      <c r="E4" s="26"/>
      <c r="F4" s="26"/>
      <c r="G4" s="26"/>
      <c r="H4" s="26"/>
      <c r="I4" s="26"/>
      <c r="J4" s="26"/>
      <c r="K4" s="26"/>
      <c r="L4" s="26"/>
      <c r="M4" s="26"/>
      <c r="N4" s="26"/>
      <c r="O4" s="26"/>
    </row>
    <row r="5" customFormat="false" ht="19.5" hidden="false" customHeight="true" outlineLevel="0" collapsed="false">
      <c r="B5" s="27" t="s">
        <v>38</v>
      </c>
      <c r="C5" s="27"/>
      <c r="E5" s="27" t="s">
        <v>39</v>
      </c>
      <c r="F5" s="27"/>
      <c r="H5" s="27" t="s">
        <v>40</v>
      </c>
      <c r="I5" s="27"/>
      <c r="K5" s="27" t="s">
        <v>41</v>
      </c>
      <c r="L5" s="27"/>
      <c r="N5" s="28" t="s">
        <v>42</v>
      </c>
      <c r="O5" s="28"/>
    </row>
    <row r="6" customFormat="false" ht="36" hidden="false" customHeight="true" outlineLevel="0" collapsed="false">
      <c r="B6" s="29" t="n">
        <f aca="false">COUNTA(Scoring!$A$29:$A$361)</f>
        <v>333</v>
      </c>
      <c r="C6" s="29"/>
      <c r="D6" s="30" t="s">
        <v>43</v>
      </c>
      <c r="E6" s="29" t="n">
        <f aca="false">COUNTA(Scoring!$A$29:$A$361)-COUNTIF(Scoring!$H$29:$H$361,"IV only*")</f>
        <v>172</v>
      </c>
      <c r="F6" s="29"/>
      <c r="G6" s="30" t="s">
        <v>43</v>
      </c>
      <c r="H6" s="29" t="n">
        <f aca="false">COUNTIF(Scoring!$H$29:$H$361,"")</f>
        <v>157</v>
      </c>
      <c r="I6" s="29"/>
      <c r="J6" s="30" t="s">
        <v>43</v>
      </c>
      <c r="K6" s="29" t="n">
        <f aca="false">COUNTIF(Scoring!$H$29:$H$361,"")</f>
        <v>157</v>
      </c>
      <c r="L6" s="29"/>
      <c r="M6" s="30" t="s">
        <v>43</v>
      </c>
      <c r="N6" s="29" t="n">
        <f aca="false">COUNTIF(Scoring!$E$29:$E$361,"Priority 1")</f>
        <v>38</v>
      </c>
      <c r="O6" s="29"/>
    </row>
    <row r="7" customFormat="false" ht="43.5" hidden="false" customHeight="true" outlineLevel="0" collapsed="false">
      <c r="B7" s="31" t="s">
        <v>44</v>
      </c>
      <c r="C7" s="31"/>
      <c r="E7" s="31" t="str">
        <f aca="false">"A label in one of the 7 geographies allows an ID, IM or SC injection, and so does the company's own product – "&amp;COUNTIF(Scoring!$H$29:$H$361,"IV only*")&amp;" IV-only pairs removed"</f>
        <v>A label in one of the 7 geographies allows an ID, IM or SC injection, and so does the company's own product – 161 IV-only pairs removed</v>
      </c>
      <c r="F7" s="31"/>
      <c r="H7" s="31" t="str">
        <f aca="false">"At least one pack priced above USD 5 – "&amp;COUNTIF(Scoring!$H$29:$H$361,"Price*")&amp;" low-price pairs removed"</f>
        <v>At least one pack priced above USD 5 – 15 low-price pairs removed</v>
      </c>
      <c r="I7" s="31"/>
      <c r="K7" s="31" t="s">
        <v>45</v>
      </c>
      <c r="L7" s="31"/>
      <c r="N7" s="31" t="str">
        <f aca="false">"high price and high volume (top-right box), at "&amp;COUNTIF(Scoring!$B$7:$B$25,"&gt;0")&amp;" of the 19 companies"</f>
        <v>high price and high volume (top-right box), at 13 of the 19 companies</v>
      </c>
      <c r="O7" s="31"/>
    </row>
    <row r="9" customFormat="false" ht="15" hidden="false" customHeight="true" outlineLevel="0" collapsed="false">
      <c r="B9" s="26" t="s">
        <v>46</v>
      </c>
      <c r="C9" s="26"/>
      <c r="D9" s="26"/>
      <c r="E9" s="26"/>
      <c r="F9" s="26"/>
      <c r="H9" s="26" t="s">
        <v>47</v>
      </c>
      <c r="I9" s="26"/>
      <c r="J9" s="26"/>
      <c r="K9" s="26"/>
      <c r="L9" s="26"/>
      <c r="M9" s="26"/>
      <c r="N9" s="26"/>
      <c r="O9" s="26"/>
    </row>
    <row r="10" customFormat="false" ht="19.5" hidden="false" customHeight="true" outlineLevel="0" collapsed="false">
      <c r="B10" s="32" t="str">
        <f aca="false">"▲"&amp;CHAR(10)&amp;"Injectable shipments"&amp;CHAR(10)&amp;"(line at "&amp;TEXT(Scoring!$E$3,"#,##0")&amp;")"&amp;CHAR(10)&amp;"▼"</f>
        <v>▲
Injectable shipments
(line at 146)
▼</v>
      </c>
      <c r="C10" s="33" t="s">
        <v>48</v>
      </c>
      <c r="D10" s="33"/>
      <c r="E10" s="34" t="s">
        <v>42</v>
      </c>
      <c r="F10" s="34"/>
      <c r="H10" s="35" t="s">
        <v>49</v>
      </c>
      <c r="I10" s="35"/>
      <c r="J10" s="36"/>
      <c r="K10" s="35" t="s">
        <v>50</v>
      </c>
      <c r="L10" s="35"/>
      <c r="M10" s="36"/>
      <c r="N10" s="35" t="s">
        <v>51</v>
      </c>
      <c r="O10" s="35"/>
    </row>
    <row r="11" customFormat="false" ht="73.5" hidden="false" customHeight="true" outlineLevel="0" collapsed="false">
      <c r="B11" s="32"/>
      <c r="C11" s="37" t="str">
        <f aca="false">"Lower price, high volume"&amp;CHAR(10)&amp;COUNTIF(Scoring!$G$29:$G$361,"Lower price, high volume")&amp;" pairs"</f>
        <v>Lower price, high volume
43 pairs</v>
      </c>
      <c r="D11" s="37"/>
      <c r="E11" s="38" t="str">
        <f aca="false">"High price, high volume"&amp;CHAR(10)&amp;COUNTIF(Scoring!$G$29:$G$361,"High price, high volume")&amp;" pairs"</f>
        <v>High price, high volume
38 pairs</v>
      </c>
      <c r="F11" s="38"/>
      <c r="H11" s="39" t="s">
        <v>52</v>
      </c>
      <c r="I11" s="39"/>
      <c r="J11" s="40"/>
      <c r="K11" s="41" t="s">
        <v>53</v>
      </c>
      <c r="L11" s="41"/>
      <c r="M11" s="40"/>
      <c r="N11" s="41" t="s">
        <v>54</v>
      </c>
      <c r="O11" s="41"/>
    </row>
    <row r="12" customFormat="false" ht="73.5" hidden="false" customHeight="true" outlineLevel="0" collapsed="false">
      <c r="B12" s="32"/>
      <c r="C12" s="42" t="s">
        <v>55</v>
      </c>
      <c r="D12" s="42"/>
      <c r="E12" s="33" t="s">
        <v>48</v>
      </c>
      <c r="F12" s="33"/>
      <c r="H12" s="43" t="s">
        <v>56</v>
      </c>
      <c r="I12" s="43"/>
      <c r="J12" s="44"/>
      <c r="K12" s="45" t="s">
        <v>57</v>
      </c>
      <c r="L12" s="45"/>
      <c r="M12" s="44"/>
      <c r="N12" s="45" t="s">
        <v>58</v>
      </c>
      <c r="O12" s="45"/>
    </row>
    <row r="13" customFormat="false" ht="73.5" hidden="false" customHeight="true" outlineLevel="0" collapsed="false">
      <c r="B13" s="32"/>
      <c r="C13" s="46" t="str">
        <f aca="false">"Lower price, lower volume"&amp;CHAR(10)&amp;COUNTIF(Scoring!$G$29:$G$361,"Lower price, lower volume")&amp;" pairs"</f>
        <v>Lower price, lower volume
35 pairs</v>
      </c>
      <c r="D13" s="46"/>
      <c r="E13" s="37" t="str">
        <f aca="false">"High price, lower volume"&amp;CHAR(10)&amp;COUNTIF(Scoring!$G$29:$G$361,"High price, lower volume")&amp;" pairs"</f>
        <v>High price, lower volume
41 pairs</v>
      </c>
      <c r="F13" s="37"/>
      <c r="H13" s="39" t="s">
        <v>59</v>
      </c>
      <c r="I13" s="39"/>
      <c r="J13" s="40"/>
      <c r="K13" s="41" t="s">
        <v>60</v>
      </c>
      <c r="L13" s="41"/>
      <c r="M13" s="40"/>
      <c r="N13" s="41" t="s">
        <v>61</v>
      </c>
      <c r="O13" s="41"/>
    </row>
    <row r="14" customFormat="false" ht="73.5" hidden="false" customHeight="true" outlineLevel="0" collapsed="false">
      <c r="C14" s="47" t="str">
        <f aca="false">"◄ Price per unit ►   (line at USD "&amp;TEXT(Scoring!$C$3,"#,##0.00")&amp;")"</f>
        <v>◄ Price per unit ►   (line at USD 25.36)</v>
      </c>
      <c r="D14" s="47"/>
      <c r="E14" s="47"/>
      <c r="F14" s="47"/>
      <c r="H14" s="43" t="s">
        <v>62</v>
      </c>
      <c r="I14" s="43"/>
      <c r="J14" s="44"/>
      <c r="K14" s="45" t="s">
        <v>63</v>
      </c>
      <c r="L14" s="45"/>
      <c r="M14" s="44"/>
      <c r="N14" s="45" t="s">
        <v>64</v>
      </c>
      <c r="O14" s="45"/>
    </row>
    <row r="15" customFormat="false" ht="73.5" hidden="false" customHeight="true" outlineLevel="0" collapsed="false">
      <c r="B15" s="48" t="str">
        <f aca="false">"The lines are the medians of the in-scope pairs, so half the pairs sit on each side. A pair exactly on a line counts as high. Bubble size = injectable export value. Pairs with no price (now "&amp;COUNTIF(Scoring!$G$29:$G$361,"No price*")&amp;") are Priority 2 if their volume is high, otherwise Priority 3."</f>
        <v>The lines are the medians of the in-scope pairs, so half the pairs sit on each side. A pair exactly on a line counts as high. Bubble size = injectable export value. Pairs with no price (now 0) are Priority 2 if their volume is high, otherwise Priority 3.</v>
      </c>
      <c r="C15" s="48"/>
      <c r="D15" s="48"/>
      <c r="E15" s="48"/>
      <c r="F15" s="48"/>
      <c r="H15" s="39" t="s">
        <v>65</v>
      </c>
      <c r="I15" s="39"/>
      <c r="J15" s="40"/>
      <c r="K15" s="41" t="s">
        <v>66</v>
      </c>
      <c r="L15" s="41"/>
      <c r="M15" s="40"/>
      <c r="N15" s="41" t="s">
        <v>67</v>
      </c>
      <c r="O15" s="41"/>
    </row>
    <row r="16" customFormat="false" ht="15" hidden="false" customHeight="true" outlineLevel="0" collapsed="false">
      <c r="B16" s="48"/>
      <c r="C16" s="48"/>
      <c r="D16" s="48"/>
      <c r="E16" s="48"/>
      <c r="F16" s="48"/>
    </row>
    <row r="18" customFormat="false" ht="15" hidden="false" customHeight="true" outlineLevel="0" collapsed="false">
      <c r="B18" s="26" t="s">
        <v>68</v>
      </c>
      <c r="C18" s="26"/>
      <c r="D18" s="26"/>
      <c r="E18" s="26"/>
      <c r="F18" s="26"/>
      <c r="H18" s="26" t="s">
        <v>69</v>
      </c>
      <c r="I18" s="26"/>
      <c r="J18" s="26"/>
      <c r="K18" s="26"/>
      <c r="L18" s="26"/>
      <c r="M18" s="26"/>
      <c r="N18" s="26"/>
      <c r="O18" s="26"/>
    </row>
    <row r="19" customFormat="false" ht="27.75" hidden="false" customHeight="true" outlineLevel="0" collapsed="false">
      <c r="B19" s="49" t="s">
        <v>8</v>
      </c>
      <c r="C19" s="50" t="s">
        <v>70</v>
      </c>
      <c r="D19" s="50"/>
      <c r="E19" s="49" t="s">
        <v>59</v>
      </c>
      <c r="F19" s="49" t="s">
        <v>71</v>
      </c>
      <c r="H19" s="51" t="s">
        <v>72</v>
      </c>
      <c r="I19" s="52" t="str">
        <f aca="false">"Volume is an India-wide figure for each drug (the same for every company) and counts consignments, not units. It sizes the market, not the company's sales."</f>
        <v>Volume is an India-wide figure for each drug (the same for every company) and counts consignments, not units. It sizes the market, not the company's sales.</v>
      </c>
      <c r="J19" s="52"/>
      <c r="K19" s="52"/>
      <c r="L19" s="52"/>
      <c r="M19" s="52"/>
      <c r="N19" s="52"/>
      <c r="O19" s="52"/>
    </row>
    <row r="20" customFormat="false" ht="27.75" hidden="false" customHeight="true" outlineLevel="0" collapsed="false">
      <c r="B20" s="53" t="s">
        <v>73</v>
      </c>
      <c r="C20" s="54" t="n">
        <f aca="false">IFERROR(INDEX(Scoring!$K$29:$K$361,MATCH("Aripiprazole",Scoring!$B$29:$B$361,0)),"")</f>
        <v>1331</v>
      </c>
      <c r="D20" s="54"/>
      <c r="E20" s="55" t="n">
        <f aca="false">IFERROR(INDEX(Scoring!$M$29:$M$361,MATCH("Aripiprazole",Scoring!$B$29:$B$361,0))/INDEX(Scoring!$K$29:$K$361,MATCH("Aripiprazole",Scoring!$B$29:$B$361,0)),"")</f>
        <v>0.0848985725018783</v>
      </c>
      <c r="F20" s="56" t="n">
        <f aca="false">IFERROR(INDEX(Scoring!$M$29:$M$361,MATCH("Aripiprazole",Scoring!$B$29:$B$361,0)),"")</f>
        <v>113</v>
      </c>
      <c r="H20" s="51" t="s">
        <v>72</v>
      </c>
      <c r="I20" s="52" t="str">
        <f aca="false">"The label allows an ID, IM or SC injection, but some drugs are mostly given IV in practice (e.g. cefazolin, ondansetron). Check this in expert interviews."</f>
        <v>The label allows an ID, IM or SC injection, but some drugs are mostly given IV in practice (e.g. cefazolin, ondansetron). Check this in expert interviews.</v>
      </c>
      <c r="J20" s="52"/>
      <c r="K20" s="52"/>
      <c r="L20" s="52"/>
      <c r="M20" s="52"/>
      <c r="N20" s="52"/>
      <c r="O20" s="52"/>
    </row>
    <row r="21" customFormat="false" ht="27.75" hidden="false" customHeight="true" outlineLevel="0" collapsed="false">
      <c r="B21" s="57" t="s">
        <v>74</v>
      </c>
      <c r="C21" s="58" t="n">
        <f aca="false">IFERROR(INDEX(Scoring!$K$29:$K$361,MATCH("Phenylephrine",Scoring!$B$29:$B$361,0)),"")</f>
        <v>1963</v>
      </c>
      <c r="D21" s="58"/>
      <c r="E21" s="59" t="n">
        <f aca="false">IFERROR(INDEX(Scoring!$M$29:$M$361,MATCH("Phenylephrine",Scoring!$B$29:$B$361,0))/INDEX(Scoring!$K$29:$K$361,MATCH("Phenylephrine",Scoring!$B$29:$B$361,0)),"")</f>
        <v>0.115129903209373</v>
      </c>
      <c r="F21" s="60" t="n">
        <f aca="false">IFERROR(INDEX(Scoring!$M$29:$M$361,MATCH("Phenylephrine",Scoring!$B$29:$B$361,0)),"")</f>
        <v>226</v>
      </c>
      <c r="H21" s="51" t="s">
        <v>72</v>
      </c>
      <c r="I21" s="52" t="str">
        <f aca="false">"Prefilled-only products are already a syringe (Priority 1: fulvestrant, pegfilgrastim, epinephrine) – "&amp;COUNTIFS(Scoring!$U$29:$U$361,"*Prefilled only*",Scoring!$H$29:$H$361,"")&amp;" pairs are marked in the Notes column. Confirm with the company whether a syringe can go in the pack."</f>
        <v>Prefilled-only products are already a syringe (Priority 1: fulvestrant, pegfilgrastim, epinephrine) – 19 pairs are marked in the Notes column. Confirm with the company whether a syringe can go in the pack.</v>
      </c>
      <c r="J21" s="52"/>
      <c r="K21" s="52"/>
      <c r="L21" s="52"/>
      <c r="M21" s="52"/>
      <c r="N21" s="52"/>
      <c r="O21" s="52"/>
    </row>
    <row r="22" customFormat="false" ht="27.75" hidden="false" customHeight="true" outlineLevel="0" collapsed="false">
      <c r="B22" s="53" t="s">
        <v>75</v>
      </c>
      <c r="C22" s="54" t="n">
        <f aca="false">IFERROR(INDEX(Scoring!$K$29:$K$361,MATCH("Naloxone",Scoring!$B$29:$B$361,0)),"")</f>
        <v>365</v>
      </c>
      <c r="D22" s="54"/>
      <c r="E22" s="55" t="n">
        <f aca="false">IFERROR(INDEX(Scoring!$M$29:$M$361,MATCH("Naloxone",Scoring!$B$29:$B$361,0))/INDEX(Scoring!$K$29:$K$361,MATCH("Naloxone",Scoring!$B$29:$B$361,0)),"")</f>
        <v>0.241095890410959</v>
      </c>
      <c r="F22" s="56" t="n">
        <f aca="false">IFERROR(INDEX(Scoring!$M$29:$M$361,MATCH("Naloxone",Scoring!$B$29:$B$361,0)),"")</f>
        <v>88</v>
      </c>
      <c r="H22" s="51" t="s">
        <v>72</v>
      </c>
      <c r="I22" s="52" t="str">
        <f aca="false">"Prices: "&amp;COUNTIFS(Scoring!$J$29:$J$361,"Cross-market proxy",Scoring!$H$29:$H$361,"")&amp;" pairs in scope are priced from another market. Confirm the price in the company meeting."</f>
        <v>Prices: 13 pairs in scope are priced from another market. Confirm the price in the company meeting.</v>
      </c>
      <c r="J22" s="52"/>
      <c r="K22" s="52"/>
      <c r="L22" s="52"/>
      <c r="M22" s="52"/>
      <c r="N22" s="52"/>
      <c r="O22" s="52"/>
    </row>
    <row r="23" customFormat="false" ht="27.75" hidden="false" customHeight="true" outlineLevel="0" collapsed="false">
      <c r="B23" s="57" t="s">
        <v>76</v>
      </c>
      <c r="C23" s="58" t="n">
        <f aca="false">IFERROR(INDEX(Scoring!$K$29:$K$361,MATCH("Ceftriaxone",Scoring!$B$29:$B$361,0)),"")</f>
        <v>3110</v>
      </c>
      <c r="D23" s="58"/>
      <c r="E23" s="59" t="n">
        <f aca="false">IFERROR(INDEX(Scoring!$M$29:$M$361,MATCH("Ceftriaxone",Scoring!$B$29:$B$361,0))/INDEX(Scoring!$K$29:$K$361,MATCH("Ceftriaxone",Scoring!$B$29:$B$361,0)),"")</f>
        <v>1</v>
      </c>
      <c r="F23" s="60" t="n">
        <f aca="false">IFERROR(INDEX(Scoring!$M$29:$M$361,MATCH("Ceftriaxone",Scoring!$B$29:$B$361,0)),"")</f>
        <v>3110</v>
      </c>
      <c r="H23" s="51" t="s">
        <v>72</v>
      </c>
      <c r="I23" s="52" t="str">
        <f aca="false">"Pairs sitting on a line are borderline: fulvestrant has 146 injectable shipments, exactly the median, so it is Priority 1 at 9 companies by a tie."</f>
        <v>Pairs sitting on a line are borderline: fulvestrant has 146 injectable shipments, exactly the median, so it is Priority 1 at 9 companies by a tie.</v>
      </c>
      <c r="J23" s="52"/>
      <c r="K23" s="52"/>
      <c r="L23" s="52"/>
      <c r="M23" s="52"/>
      <c r="N23" s="52"/>
      <c r="O23" s="52"/>
    </row>
    <row r="24" customFormat="false" ht="15" hidden="false" customHeight="true" outlineLevel="0" collapsed="false">
      <c r="B24" s="48" t="s">
        <v>77</v>
      </c>
      <c r="C24" s="48"/>
      <c r="D24" s="48"/>
      <c r="E24" s="48"/>
      <c r="F24" s="48"/>
    </row>
    <row r="25" customFormat="false" ht="25.5" hidden="false" customHeight="true" outlineLevel="0" collapsed="false">
      <c r="B25" s="48"/>
      <c r="C25" s="48"/>
      <c r="D25" s="48"/>
      <c r="E25" s="48"/>
      <c r="F25" s="48"/>
    </row>
    <row r="27" customFormat="false" ht="15" hidden="false" customHeight="false" outlineLevel="0" collapsed="false">
      <c r="B27" s="61" t="s">
        <v>78</v>
      </c>
      <c r="C27" s="62" t="s">
        <v>79</v>
      </c>
      <c r="E27" s="62" t="s">
        <v>80</v>
      </c>
      <c r="H27" s="62" t="s">
        <v>81</v>
      </c>
      <c r="K27" s="62" t="s">
        <v>82</v>
      </c>
      <c r="N27" s="62" t="s">
        <v>83</v>
      </c>
    </row>
    <row r="28" customFormat="false" ht="25.5" hidden="false" customHeight="true" outlineLevel="0" collapsed="false">
      <c r="B28" s="48" t="s">
        <v>84</v>
      </c>
      <c r="C28" s="48"/>
      <c r="D28" s="48"/>
      <c r="E28" s="48"/>
      <c r="F28" s="48"/>
      <c r="G28" s="48"/>
      <c r="H28" s="48"/>
      <c r="I28" s="48"/>
      <c r="J28" s="48"/>
      <c r="K28" s="48"/>
      <c r="L28" s="48"/>
      <c r="M28" s="48"/>
      <c r="N28" s="48"/>
      <c r="O28" s="48"/>
    </row>
  </sheetData>
  <mergeCells count="63">
    <mergeCell ref="B1:O1"/>
    <mergeCell ref="B2:O2"/>
    <mergeCell ref="B4:O4"/>
    <mergeCell ref="B5:C5"/>
    <mergeCell ref="E5:F5"/>
    <mergeCell ref="H5:I5"/>
    <mergeCell ref="K5:L5"/>
    <mergeCell ref="N5:O5"/>
    <mergeCell ref="B6:C6"/>
    <mergeCell ref="E6:F6"/>
    <mergeCell ref="H6:I6"/>
    <mergeCell ref="K6:L6"/>
    <mergeCell ref="N6:O6"/>
    <mergeCell ref="B7:C7"/>
    <mergeCell ref="E7:F7"/>
    <mergeCell ref="H7:I7"/>
    <mergeCell ref="K7:L7"/>
    <mergeCell ref="N7:O7"/>
    <mergeCell ref="B9:F9"/>
    <mergeCell ref="H9:O9"/>
    <mergeCell ref="B10:B13"/>
    <mergeCell ref="C10:D10"/>
    <mergeCell ref="E10:F10"/>
    <mergeCell ref="H10:I10"/>
    <mergeCell ref="K10:L10"/>
    <mergeCell ref="N10:O10"/>
    <mergeCell ref="C11:D11"/>
    <mergeCell ref="E11:F11"/>
    <mergeCell ref="H11:I11"/>
    <mergeCell ref="K11:L11"/>
    <mergeCell ref="N11:O11"/>
    <mergeCell ref="C12:D12"/>
    <mergeCell ref="E12:F12"/>
    <mergeCell ref="H12:I12"/>
    <mergeCell ref="K12:L12"/>
    <mergeCell ref="N12:O12"/>
    <mergeCell ref="C13:D13"/>
    <mergeCell ref="E13:F13"/>
    <mergeCell ref="H13:I13"/>
    <mergeCell ref="K13:L13"/>
    <mergeCell ref="N13:O13"/>
    <mergeCell ref="C14:F14"/>
    <mergeCell ref="H14:I14"/>
    <mergeCell ref="K14:L14"/>
    <mergeCell ref="N14:O14"/>
    <mergeCell ref="B15:F16"/>
    <mergeCell ref="H15:I15"/>
    <mergeCell ref="K15:L15"/>
    <mergeCell ref="N15:O15"/>
    <mergeCell ref="B18:F18"/>
    <mergeCell ref="H18:O18"/>
    <mergeCell ref="C19:D19"/>
    <mergeCell ref="I19:O19"/>
    <mergeCell ref="C20:D20"/>
    <mergeCell ref="I20:O20"/>
    <mergeCell ref="C21:D21"/>
    <mergeCell ref="I21:O21"/>
    <mergeCell ref="C22:D22"/>
    <mergeCell ref="I22:O22"/>
    <mergeCell ref="C23:D23"/>
    <mergeCell ref="I23:O23"/>
    <mergeCell ref="B24:F25"/>
    <mergeCell ref="B28:O28"/>
  </mergeCells>
  <hyperlinks>
    <hyperlink ref="C27" r:id="rId1" display="MHRA products register"/>
    <hyperlink ref="E27" r:id="rId2" display="Health Canada DPD"/>
    <hyperlink ref="H27" r:id="rId3" display="EMA Article 57 database"/>
    <hyperlink ref="K27" r:id="rId4" display="FDA NDC Directory"/>
    <hyperlink ref="N27" r:id="rId5" display="DailyMed (US labels)"/>
  </hyperlinks>
  <printOptions headings="false" gridLines="false" gridLinesSet="true" horizontalCentered="false" verticalCentered="false"/>
  <pageMargins left="0.3" right="0.3"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8"/>
    <col collapsed="false" customWidth="true" hidden="false" outlineLevel="0" max="7" min="7" style="0" width="26"/>
  </cols>
  <sheetData>
    <row r="1" customFormat="false" ht="17.35" hidden="false" customHeight="false" outlineLevel="0" collapsed="false">
      <c r="A1" s="1" t="s">
        <v>85</v>
      </c>
    </row>
    <row r="2" customFormat="false" ht="15" hidden="false" customHeight="false" outlineLevel="0" collapsed="false">
      <c r="A2" s="63" t="s">
        <v>86</v>
      </c>
    </row>
    <row r="4" customFormat="false" ht="45" hidden="false" customHeight="true" outlineLevel="0" collapsed="false">
      <c r="A4" s="3" t="s">
        <v>23</v>
      </c>
      <c r="B4" s="3" t="s">
        <v>87</v>
      </c>
      <c r="C4" s="3" t="s">
        <v>88</v>
      </c>
      <c r="D4" s="3" t="s">
        <v>89</v>
      </c>
      <c r="E4" s="3" t="s">
        <v>90</v>
      </c>
      <c r="F4" s="3" t="s">
        <v>91</v>
      </c>
      <c r="G4" s="3" t="s">
        <v>92</v>
      </c>
    </row>
    <row r="5" customFormat="false" ht="28.35" hidden="false" customHeight="false" outlineLevel="0" collapsed="false">
      <c r="A5" s="64" t="s">
        <v>93</v>
      </c>
      <c r="B5" s="65" t="s">
        <v>94</v>
      </c>
      <c r="C5" s="17" t="s">
        <v>38</v>
      </c>
      <c r="D5" s="17" t="s">
        <v>95</v>
      </c>
      <c r="E5" s="17" t="s">
        <v>96</v>
      </c>
      <c r="F5" s="17" t="str">
        <f aca="false">COUNTA(Scoring!$A$29:$A$361)&amp;" pairs"</f>
        <v>333 pairs</v>
      </c>
      <c r="G5" s="17" t="s">
        <v>97</v>
      </c>
    </row>
    <row r="6" customFormat="false" ht="149.25" hidden="false" customHeight="false" outlineLevel="0" collapsed="false">
      <c r="A6" s="64" t="s">
        <v>98</v>
      </c>
      <c r="B6" s="65" t="s">
        <v>94</v>
      </c>
      <c r="C6" s="17" t="s">
        <v>99</v>
      </c>
      <c r="D6" s="17" t="s">
        <v>100</v>
      </c>
      <c r="E6" s="17" t="s">
        <v>101</v>
      </c>
      <c r="F6" s="17" t="str">
        <f aca="false">COUNTIF('Route of Administration'!$D$5:$D$155,"No")&amp;" drugs ("&amp;COUNTIF(Scoring!$H$29:$H$361,"IV only (*")&amp;" pairs) excluded, plus "&amp;COUNTIF(Scoring!$H$29:$H$361,"IV only – *")&amp;" pairs whose product is IV only"</f>
        <v>71 drugs (152 pairs) excluded, plus 9 pairs whose product is IV only</v>
      </c>
      <c r="G6" s="17" t="s">
        <v>102</v>
      </c>
    </row>
    <row r="7" customFormat="false" ht="41.75" hidden="false" customHeight="false" outlineLevel="0" collapsed="false">
      <c r="A7" s="64" t="s">
        <v>103</v>
      </c>
      <c r="B7" s="65" t="s">
        <v>94</v>
      </c>
      <c r="C7" s="17" t="s">
        <v>104</v>
      </c>
      <c r="D7" s="17" t="s">
        <v>105</v>
      </c>
      <c r="E7" s="17" t="s">
        <v>106</v>
      </c>
      <c r="F7" s="17" t="str">
        <f aca="false">COUNTIF(Scoring!$H$29:$H$361,"Price*")&amp;" pairs excluded"</f>
        <v>15 pairs excluded</v>
      </c>
      <c r="G7" s="17" t="s">
        <v>107</v>
      </c>
    </row>
    <row r="8" customFormat="false" ht="41.75" hidden="false" customHeight="false" outlineLevel="0" collapsed="false">
      <c r="A8" s="64" t="s">
        <v>108</v>
      </c>
      <c r="B8" s="65" t="s">
        <v>94</v>
      </c>
      <c r="C8" s="17" t="s">
        <v>109</v>
      </c>
      <c r="D8" s="17" t="s">
        <v>110</v>
      </c>
      <c r="E8" s="17" t="s">
        <v>111</v>
      </c>
      <c r="F8" s="17" t="s">
        <v>112</v>
      </c>
      <c r="G8" s="17" t="s">
        <v>113</v>
      </c>
    </row>
    <row r="9" customFormat="false" ht="41.75" hidden="false" customHeight="false" outlineLevel="0" collapsed="false">
      <c r="A9" s="64" t="s">
        <v>114</v>
      </c>
      <c r="B9" s="65" t="s">
        <v>94</v>
      </c>
      <c r="C9" s="17" t="s">
        <v>115</v>
      </c>
      <c r="D9" s="17" t="s">
        <v>116</v>
      </c>
      <c r="E9" s="17" t="s">
        <v>117</v>
      </c>
      <c r="F9" s="17" t="str">
        <f aca="false">COUNTIFS(Scoring!$AE$29:$AE$361,0,Scoring!$H$29:$H$361,"")&amp;" pairs in scope"</f>
        <v>0 pairs in scope</v>
      </c>
      <c r="G9" s="17" t="s">
        <v>118</v>
      </c>
    </row>
    <row r="10" customFormat="false" ht="82.05" hidden="false" customHeight="false" outlineLevel="0" collapsed="false">
      <c r="A10" s="64" t="s">
        <v>119</v>
      </c>
      <c r="B10" s="66" t="s">
        <v>120</v>
      </c>
      <c r="C10" s="17" t="s">
        <v>121</v>
      </c>
      <c r="D10" s="17" t="s">
        <v>122</v>
      </c>
      <c r="E10" s="17" t="s">
        <v>123</v>
      </c>
      <c r="F10" s="17" t="s">
        <v>112</v>
      </c>
      <c r="G10" s="17" t="s">
        <v>124</v>
      </c>
    </row>
    <row r="11" customFormat="false" ht="55.2" hidden="false" customHeight="false" outlineLevel="0" collapsed="false">
      <c r="A11" s="64" t="s">
        <v>125</v>
      </c>
      <c r="B11" s="66" t="s">
        <v>120</v>
      </c>
      <c r="C11" s="17" t="s">
        <v>126</v>
      </c>
      <c r="D11" s="17" t="s">
        <v>127</v>
      </c>
      <c r="E11" s="17" t="s">
        <v>128</v>
      </c>
      <c r="F11" s="17" t="str">
        <f aca="false">"USD "&amp;TEXT(Scoring!C3,"#,##0.00")&amp;" per unit and "&amp;TEXT(Scoring!E3,"#,##0")&amp;" shipments"</f>
        <v>USD 25.36 per unit and 146 shipments</v>
      </c>
      <c r="G11" s="17" t="s">
        <v>129</v>
      </c>
    </row>
    <row r="12" customFormat="false" ht="41.75" hidden="false" customHeight="false" outlineLevel="0" collapsed="false">
      <c r="A12" s="64" t="s">
        <v>130</v>
      </c>
      <c r="B12" s="66" t="s">
        <v>120</v>
      </c>
      <c r="C12" s="17" t="s">
        <v>131</v>
      </c>
      <c r="D12" s="17" t="s">
        <v>132</v>
      </c>
      <c r="E12" s="17" t="s">
        <v>133</v>
      </c>
      <c r="F12" s="17" t="s">
        <v>112</v>
      </c>
      <c r="G12" s="17" t="s">
        <v>134</v>
      </c>
    </row>
    <row r="13" customFormat="false" ht="41.75" hidden="false" customHeight="false" outlineLevel="0" collapsed="false">
      <c r="A13" s="64" t="s">
        <v>135</v>
      </c>
      <c r="B13" s="66" t="s">
        <v>120</v>
      </c>
      <c r="C13" s="17" t="s">
        <v>136</v>
      </c>
      <c r="D13" s="17" t="s">
        <v>137</v>
      </c>
      <c r="E13" s="17" t="s">
        <v>138</v>
      </c>
      <c r="F13" s="17" t="s">
        <v>112</v>
      </c>
      <c r="G13" s="17" t="s">
        <v>139</v>
      </c>
    </row>
    <row r="14" customFormat="false" ht="55.2" hidden="false" customHeight="false" outlineLevel="0" collapsed="false">
      <c r="A14" s="64" t="s">
        <v>140</v>
      </c>
      <c r="B14" s="66" t="s">
        <v>120</v>
      </c>
      <c r="C14" s="17" t="s">
        <v>141</v>
      </c>
      <c r="D14" s="17" t="s">
        <v>142</v>
      </c>
      <c r="E14" s="17" t="s">
        <v>143</v>
      </c>
      <c r="F14" s="17" t="str">
        <f aca="false">COUNTIFS(Scoring!$J$29:$J$361,"Cross-market proxy",Scoring!$H$29:$H$361,"")&amp;" pairs in scope use another market's price"</f>
        <v>13 pairs in scope use another market's price</v>
      </c>
      <c r="G14" s="17" t="s">
        <v>144</v>
      </c>
    </row>
    <row r="15" customFormat="false" ht="28.35" hidden="false" customHeight="false" outlineLevel="0" collapsed="false">
      <c r="A15" s="64" t="s">
        <v>145</v>
      </c>
      <c r="B15" s="66" t="s">
        <v>120</v>
      </c>
      <c r="C15" s="17" t="s">
        <v>146</v>
      </c>
      <c r="D15" s="17" t="s">
        <v>147</v>
      </c>
      <c r="E15" s="17" t="s">
        <v>148</v>
      </c>
      <c r="F15" s="17" t="s">
        <v>112</v>
      </c>
      <c r="G15" s="17" t="s">
        <v>149</v>
      </c>
    </row>
    <row r="16" customFormat="false" ht="55.2" hidden="false" customHeight="false" outlineLevel="0" collapsed="false">
      <c r="A16" s="64" t="s">
        <v>150</v>
      </c>
      <c r="B16" s="66" t="s">
        <v>120</v>
      </c>
      <c r="C16" s="17" t="s">
        <v>59</v>
      </c>
      <c r="D16" s="17" t="s">
        <v>151</v>
      </c>
      <c r="E16" s="17" t="s">
        <v>152</v>
      </c>
      <c r="F16" s="17" t="s">
        <v>112</v>
      </c>
      <c r="G16" s="17" t="s">
        <v>153</v>
      </c>
    </row>
    <row r="17" customFormat="false" ht="68.65" hidden="false" customHeight="false" outlineLevel="0" collapsed="false">
      <c r="A17" s="64" t="s">
        <v>154</v>
      </c>
      <c r="B17" s="66" t="s">
        <v>120</v>
      </c>
      <c r="C17" s="17" t="s">
        <v>155</v>
      </c>
      <c r="D17" s="17" t="s">
        <v>156</v>
      </c>
      <c r="E17" s="17" t="s">
        <v>157</v>
      </c>
      <c r="F17" s="17" t="s">
        <v>112</v>
      </c>
      <c r="G17" s="17" t="s">
        <v>158</v>
      </c>
    </row>
    <row r="18" customFormat="false" ht="41.75" hidden="false" customHeight="false" outlineLevel="0" collapsed="false">
      <c r="A18" s="64" t="s">
        <v>159</v>
      </c>
      <c r="B18" s="67" t="s">
        <v>160</v>
      </c>
      <c r="C18" s="17" t="s">
        <v>161</v>
      </c>
      <c r="D18" s="17" t="s">
        <v>162</v>
      </c>
      <c r="E18" s="17" t="s">
        <v>163</v>
      </c>
      <c r="F18" s="17" t="str">
        <f aca="false">COUNTIFS(Scoring!$P$29:$P$361,"IV, *",Scoring!$Q$29:$Q$361,"Yes")&amp;" pairs in scope can also be given IV"</f>
        <v>122 pairs in scope can also be given IV</v>
      </c>
      <c r="G18" s="17" t="s">
        <v>164</v>
      </c>
    </row>
    <row r="19" customFormat="false" ht="55.2" hidden="false" customHeight="false" outlineLevel="0" collapsed="false">
      <c r="A19" s="64" t="s">
        <v>165</v>
      </c>
      <c r="B19" s="67" t="s">
        <v>160</v>
      </c>
      <c r="C19" s="17" t="s">
        <v>166</v>
      </c>
      <c r="D19" s="17" t="s">
        <v>167</v>
      </c>
      <c r="E19" s="17" t="s">
        <v>168</v>
      </c>
      <c r="F19" s="17" t="str">
        <f aca="false">COUNTIFS(Scoring!$U$29:$U$361,"*Prefilled only*",Scoring!$H$29:$H$361,"")&amp;" prefilled-only and "&amp;COUNTIFS(Scoring!$U$29:$U$361,"*cytotoxic*",Scoring!$H$29:$H$361,"")&amp;" cancer-drug pairs in scope"</f>
        <v>19 prefilled-only and 25 cancer-drug pairs in scope</v>
      </c>
      <c r="G19" s="17" t="s">
        <v>169</v>
      </c>
    </row>
    <row r="20" customFormat="false" ht="82.05" hidden="false" customHeight="false" outlineLevel="0" collapsed="false">
      <c r="A20" s="64" t="s">
        <v>170</v>
      </c>
      <c r="B20" s="67" t="s">
        <v>160</v>
      </c>
      <c r="C20" s="17" t="s">
        <v>171</v>
      </c>
      <c r="D20" s="17" t="s">
        <v>172</v>
      </c>
      <c r="E20" s="17" t="s">
        <v>173</v>
      </c>
      <c r="F20" s="17" t="s">
        <v>112</v>
      </c>
      <c r="G20" s="17" t="s">
        <v>174</v>
      </c>
    </row>
    <row r="21" customFormat="false" ht="41.75" hidden="false" customHeight="false" outlineLevel="0" collapsed="false">
      <c r="A21" s="64" t="s">
        <v>175</v>
      </c>
      <c r="B21" s="67" t="s">
        <v>160</v>
      </c>
      <c r="C21" s="17" t="s">
        <v>176</v>
      </c>
      <c r="D21" s="17" t="s">
        <v>177</v>
      </c>
      <c r="E21" s="17" t="s">
        <v>178</v>
      </c>
      <c r="F21" s="17" t="s">
        <v>112</v>
      </c>
      <c r="G21" s="17" t="s">
        <v>179</v>
      </c>
    </row>
    <row r="22" customFormat="false" ht="28.35" hidden="false" customHeight="false" outlineLevel="0" collapsed="false">
      <c r="A22" s="64" t="s">
        <v>180</v>
      </c>
      <c r="B22" s="67" t="s">
        <v>160</v>
      </c>
      <c r="C22" s="17" t="s">
        <v>181</v>
      </c>
      <c r="D22" s="17" t="s">
        <v>182</v>
      </c>
      <c r="E22" s="17" t="s">
        <v>183</v>
      </c>
      <c r="F22" s="17" t="s">
        <v>112</v>
      </c>
      <c r="G22" s="17" t="s">
        <v>184</v>
      </c>
    </row>
    <row r="23" customFormat="false" ht="41.75" hidden="false" customHeight="false" outlineLevel="0" collapsed="false">
      <c r="A23" s="64" t="s">
        <v>185</v>
      </c>
      <c r="B23" s="67" t="s">
        <v>160</v>
      </c>
      <c r="C23" s="17" t="s">
        <v>186</v>
      </c>
      <c r="D23" s="17" t="s">
        <v>187</v>
      </c>
      <c r="E23" s="17" t="s">
        <v>188</v>
      </c>
      <c r="F23" s="17" t="s">
        <v>112</v>
      </c>
      <c r="G23" s="17" t="s">
        <v>189</v>
      </c>
    </row>
    <row r="24" customFormat="false" ht="55.2" hidden="false" customHeight="false" outlineLevel="0" collapsed="false">
      <c r="A24" s="64" t="s">
        <v>190</v>
      </c>
      <c r="B24" s="67" t="s">
        <v>160</v>
      </c>
      <c r="C24" s="17" t="s">
        <v>191</v>
      </c>
      <c r="D24" s="17" t="s">
        <v>192</v>
      </c>
      <c r="E24" s="17" t="s">
        <v>193</v>
      </c>
      <c r="F24" s="17" t="s">
        <v>112</v>
      </c>
      <c r="G24" s="17" t="s">
        <v>194</v>
      </c>
    </row>
    <row r="25" customFormat="false" ht="15" hidden="false" customHeight="false" outlineLevel="0" collapsed="false">
      <c r="A25" s="64" t="s">
        <v>195</v>
      </c>
      <c r="B25" s="67" t="s">
        <v>160</v>
      </c>
      <c r="C25" s="17" t="s">
        <v>196</v>
      </c>
      <c r="D25" s="17" t="s">
        <v>197</v>
      </c>
      <c r="E25" s="17" t="s">
        <v>198</v>
      </c>
      <c r="F25" s="17" t="str">
        <f aca="false">COUNTIF(Summary!$J$5:$J$337,"*not stated*")&amp;" Summary rows"</f>
        <v>14 Summary rows</v>
      </c>
      <c r="G25" s="17" t="s">
        <v>199</v>
      </c>
    </row>
    <row r="26" customFormat="false" ht="55.2" hidden="false" customHeight="false" outlineLevel="0" collapsed="false">
      <c r="A26" s="64" t="s">
        <v>200</v>
      </c>
      <c r="B26" s="67" t="s">
        <v>160</v>
      </c>
      <c r="C26" s="17" t="s">
        <v>201</v>
      </c>
      <c r="D26" s="17" t="s">
        <v>202</v>
      </c>
      <c r="E26" s="17" t="s">
        <v>203</v>
      </c>
      <c r="F26" s="17" t="s">
        <v>112</v>
      </c>
      <c r="G26" s="17" t="s">
        <v>204</v>
      </c>
    </row>
    <row r="27" customFormat="false" ht="28.35" hidden="false" customHeight="false" outlineLevel="0" collapsed="false">
      <c r="A27" s="64" t="s">
        <v>205</v>
      </c>
      <c r="B27" s="67" t="s">
        <v>160</v>
      </c>
      <c r="C27" s="17" t="s">
        <v>206</v>
      </c>
      <c r="D27" s="17" t="s">
        <v>207</v>
      </c>
      <c r="E27" s="17" t="s">
        <v>208</v>
      </c>
      <c r="F27" s="17" t="s">
        <v>112</v>
      </c>
      <c r="G27" s="17" t="s">
        <v>209</v>
      </c>
    </row>
    <row r="28" customFormat="false" ht="55.2" hidden="false" customHeight="false" outlineLevel="0" collapsed="false">
      <c r="A28" s="64" t="s">
        <v>210</v>
      </c>
      <c r="B28" s="67" t="s">
        <v>160</v>
      </c>
      <c r="C28" s="17" t="s">
        <v>211</v>
      </c>
      <c r="D28" s="17" t="s">
        <v>212</v>
      </c>
      <c r="E28" s="17" t="s">
        <v>213</v>
      </c>
      <c r="F28" s="17" t="str">
        <f aca="false">COUNTIFS(Scoring!$H$29:$H$361,"",Scoring!$I$29:$I$361,"&gt;="&amp;Scoring!$C$3*0.9,Scoring!$I$29:$I$361,"&lt;="&amp;Scoring!$C$3*1.1)&amp;" pairs within 10% of the price cut-off, "&amp;COUNTIFS(Scoring!$H$29:$H$361,"",Scoring!$M$29:$M$361,"&gt;="&amp;Scoring!$E$3*0.9,Scoring!$M$29:$M$361,"&lt;="&amp;Scoring!$E$3*1.1)&amp;" within 10% of the shipments cut-off"</f>
        <v>8 pairs within 10% of the price cut-off, 18 within 10% of the shipments cut-off</v>
      </c>
      <c r="G28" s="17" t="s">
        <v>129</v>
      </c>
    </row>
    <row r="29" customFormat="false" ht="55.2" hidden="false" customHeight="false" outlineLevel="0" collapsed="false">
      <c r="A29" s="64" t="s">
        <v>214</v>
      </c>
      <c r="B29" s="67" t="s">
        <v>160</v>
      </c>
      <c r="C29" s="17" t="s">
        <v>215</v>
      </c>
      <c r="D29" s="17" t="s">
        <v>216</v>
      </c>
      <c r="E29" s="17" t="s">
        <v>217</v>
      </c>
      <c r="F29" s="17" t="s">
        <v>112</v>
      </c>
      <c r="G29" s="17"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L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1"/>
  <cols>
    <col collapsed="false" customWidth="true" hidden="false" outlineLevel="0" max="1" min="1" style="0" width="15"/>
    <col collapsed="false" customWidth="true" hidden="false" outlineLevel="0" max="2" min="2" style="0" width="22"/>
    <col collapsed="false" customWidth="true" hidden="false" outlineLevel="0" max="3" min="3" style="0" width="28"/>
    <col collapsed="false" customWidth="true" hidden="false" outlineLevel="0" max="4" min="4" style="0" width="30"/>
    <col collapsed="false" customWidth="true" hidden="false" outlineLevel="0" max="5" min="5" style="0" width="12"/>
    <col collapsed="false" customWidth="true" hidden="false" outlineLevel="0" max="6" min="6" style="0" width="9"/>
    <col collapsed="false" customWidth="true" hidden="false" outlineLevel="0" max="7" min="7" style="0" width="22"/>
    <col collapsed="false" customWidth="true" hidden="false" outlineLevel="0" max="8" min="8" style="0" width="18"/>
    <col collapsed="false" customWidth="true" hidden="false" outlineLevel="0" max="9" min="9" style="0" width="11"/>
    <col collapsed="false" customWidth="true" hidden="false" outlineLevel="0" max="10" min="10" style="0" width="16"/>
    <col collapsed="false" customWidth="true" hidden="false" outlineLevel="0" max="11" min="11" style="0" width="12"/>
    <col collapsed="false" customWidth="true" hidden="false" outlineLevel="0" max="12" min="12" style="0" width="10"/>
    <col collapsed="false" customWidth="true" hidden="false" outlineLevel="0" max="13" min="13" style="0" width="12"/>
    <col collapsed="false" customWidth="true" hidden="false" outlineLevel="0" max="15" min="14" style="0" width="13"/>
    <col collapsed="false" customWidth="true" hidden="false" outlineLevel="0" max="16" min="16" style="0" width="12"/>
    <col collapsed="false" customWidth="true" hidden="false" outlineLevel="0" max="17" min="17" style="0" width="11"/>
    <col collapsed="false" customWidth="true" hidden="false" outlineLevel="0" max="18" min="18" style="0" width="16"/>
    <col collapsed="false" customWidth="true" hidden="false" outlineLevel="0" max="19" min="19" style="0" width="40"/>
    <col collapsed="false" customWidth="true" hidden="false" outlineLevel="0" max="20" min="20" style="0" width="13"/>
    <col collapsed="false" customWidth="true" hidden="false" outlineLevel="0" max="21" min="21" style="0" width="30"/>
    <col collapsed="false" customWidth="true" hidden="false" outlineLevel="0" max="22" min="22" style="0" width="18"/>
    <col collapsed="false" customWidth="true" hidden="false" outlineLevel="0" max="23" min="23" style="0" width="9"/>
    <col collapsed="false" customWidth="true" hidden="false" outlineLevel="0" max="24" min="24" style="0" width="45"/>
    <col collapsed="false" customWidth="true" hidden="false" outlineLevel="0" max="25" min="25" style="0" width="30"/>
    <col collapsed="false" customWidth="true" hidden="false" outlineLevel="0" max="26" min="26" style="0" width="28"/>
    <col collapsed="false" customWidth="true" hidden="false" outlineLevel="0" max="27" min="27" style="0" width="24"/>
    <col collapsed="false" customWidth="true" hidden="false" outlineLevel="0" max="28" min="28" style="0" width="30"/>
    <col collapsed="false" customWidth="true" hidden="true" outlineLevel="1" max="38" min="29" style="0" width="11"/>
  </cols>
  <sheetData>
    <row r="1" customFormat="false" ht="17.35" hidden="false" customHeight="false" outlineLevel="0" collapsed="false">
      <c r="A1" s="1" t="s">
        <v>219</v>
      </c>
    </row>
    <row r="2" customFormat="false" ht="15" hidden="false" customHeight="false" outlineLevel="0" collapsed="false">
      <c r="A2" s="63" t="s">
        <v>220</v>
      </c>
    </row>
    <row r="3" customFormat="false" ht="15" hidden="false" customHeight="false" outlineLevel="0" collapsed="false">
      <c r="A3" s="11" t="s">
        <v>221</v>
      </c>
      <c r="B3" s="68" t="s">
        <v>222</v>
      </c>
      <c r="C3" s="69" t="n">
        <f aca="false">MEDIAN($AK$29:$AK$361)</f>
        <v>25.36</v>
      </c>
      <c r="D3" s="68" t="s">
        <v>71</v>
      </c>
      <c r="E3" s="70" t="n">
        <f aca="false">MEDIAN($AL$29:$AL$361)</f>
        <v>146</v>
      </c>
    </row>
    <row r="5" customFormat="false" ht="15" hidden="false" customHeight="false" outlineLevel="0" collapsed="false">
      <c r="A5" s="71" t="s">
        <v>223</v>
      </c>
    </row>
    <row r="6" customFormat="false" ht="45" hidden="false" customHeight="true" outlineLevel="0" collapsed="false">
      <c r="A6" s="3" t="s">
        <v>4</v>
      </c>
      <c r="B6" s="3" t="s">
        <v>224</v>
      </c>
      <c r="C6" s="3" t="s">
        <v>225</v>
      </c>
      <c r="D6" s="3" t="s">
        <v>226</v>
      </c>
      <c r="E6" s="3" t="s">
        <v>22</v>
      </c>
      <c r="F6" s="3" t="s">
        <v>227</v>
      </c>
      <c r="G6" s="3" t="s">
        <v>3</v>
      </c>
    </row>
    <row r="7" customFormat="false" ht="15" hidden="false" customHeight="false" outlineLevel="0" collapsed="false">
      <c r="A7" s="64" t="s">
        <v>228</v>
      </c>
      <c r="B7" s="15" t="n">
        <f aca="false">COUNTIFS($A$29:$A$361,$A7,$E$29:$E$361,"Priority 1")</f>
        <v>1</v>
      </c>
      <c r="C7" s="15" t="n">
        <f aca="false">COUNTIFS($A$29:$A$361,$A7,$E$29:$E$361,"Priority 2")</f>
        <v>2</v>
      </c>
      <c r="D7" s="15" t="n">
        <f aca="false">COUNTIFS($A$29:$A$361,$A7,$E$29:$E$361,"Priority 3")</f>
        <v>1</v>
      </c>
      <c r="E7" s="15" t="n">
        <f aca="false">COUNTIFS($A$29:$A$361,$A7,$H$29:$H$361,"")</f>
        <v>4</v>
      </c>
      <c r="F7" s="19" t="n">
        <f aca="false">SUMIFS($O$29:$O$361,$A$29:$A$361,$A7,$E$29:$E$361,"Priority 1")+SUMIFS($O$29:$O$361,$A$29:$A$361,$A7,$E$29:$E$361,"Priority 2")</f>
        <v>28037</v>
      </c>
      <c r="G7" s="15" t="n">
        <f aca="false">COUNTIF($B$7:$B$25,"&gt;"&amp;B7)+COUNTIFS($B$7:$B$25,B7,$F$7:$F$25,"&gt;"&amp;F7)+COUNTIFS($B$7:B7,B7,$F$7:F7,F7)</f>
        <v>12</v>
      </c>
    </row>
    <row r="8" customFormat="false" ht="15" hidden="false" customHeight="false" outlineLevel="0" collapsed="false">
      <c r="A8" s="64" t="s">
        <v>229</v>
      </c>
      <c r="B8" s="15" t="n">
        <f aca="false">COUNTIFS($A$29:$A$361,$A8,$E$29:$E$361,"Priority 1")</f>
        <v>6</v>
      </c>
      <c r="C8" s="15" t="n">
        <f aca="false">COUNTIFS($A$29:$A$361,$A8,$E$29:$E$361,"Priority 2")</f>
        <v>13</v>
      </c>
      <c r="D8" s="15" t="n">
        <f aca="false">COUNTIFS($A$29:$A$361,$A8,$E$29:$E$361,"Priority 3")</f>
        <v>7</v>
      </c>
      <c r="E8" s="15" t="n">
        <f aca="false">COUNTIFS($A$29:$A$361,$A8,$H$29:$H$361,"")</f>
        <v>26</v>
      </c>
      <c r="F8" s="19" t="n">
        <f aca="false">SUMIFS($O$29:$O$361,$A$29:$A$361,$A8,$E$29:$E$361,"Priority 1")+SUMIFS($O$29:$O$361,$A$29:$A$361,$A8,$E$29:$E$361,"Priority 2")</f>
        <v>353157.9</v>
      </c>
      <c r="G8" s="15" t="n">
        <f aca="false">COUNTIF($B$7:$B$25,"&gt;"&amp;B8)+COUNTIFS($B$7:$B$25,B8,$F$7:$F$25,"&gt;"&amp;F8)+COUNTIFS($B$7:B8,B8,$F$7:F8,F8)</f>
        <v>2</v>
      </c>
    </row>
    <row r="9" customFormat="false" ht="15" hidden="false" customHeight="false" outlineLevel="0" collapsed="false">
      <c r="A9" s="64" t="s">
        <v>230</v>
      </c>
      <c r="B9" s="15" t="n">
        <f aca="false">COUNTIFS($A$29:$A$361,$A9,$E$29:$E$361,"Priority 1")</f>
        <v>3</v>
      </c>
      <c r="C9" s="15" t="n">
        <f aca="false">COUNTIFS($A$29:$A$361,$A9,$E$29:$E$361,"Priority 2")</f>
        <v>9</v>
      </c>
      <c r="D9" s="15" t="n">
        <f aca="false">COUNTIFS($A$29:$A$361,$A9,$E$29:$E$361,"Priority 3")</f>
        <v>2</v>
      </c>
      <c r="E9" s="15" t="n">
        <f aca="false">COUNTIFS($A$29:$A$361,$A9,$H$29:$H$361,"")</f>
        <v>14</v>
      </c>
      <c r="F9" s="19" t="n">
        <f aca="false">SUMIFS($O$29:$O$361,$A$29:$A$361,$A9,$E$29:$E$361,"Priority 1")+SUMIFS($O$29:$O$361,$A$29:$A$361,$A9,$E$29:$E$361,"Priority 2")</f>
        <v>527184.1</v>
      </c>
      <c r="G9" s="15" t="n">
        <f aca="false">COUNTIF($B$7:$B$25,"&gt;"&amp;B9)+COUNTIFS($B$7:$B$25,B9,$F$7:$F$25,"&gt;"&amp;F9)+COUNTIFS($B$7:B9,B9,$F$7:F9,F9)</f>
        <v>4</v>
      </c>
    </row>
    <row r="10" customFormat="false" ht="15" hidden="false" customHeight="false" outlineLevel="0" collapsed="false">
      <c r="A10" s="64" t="s">
        <v>231</v>
      </c>
      <c r="B10" s="15" t="n">
        <f aca="false">COUNTIFS($A$29:$A$361,$A10,$E$29:$E$361,"Priority 1")</f>
        <v>4</v>
      </c>
      <c r="C10" s="15" t="n">
        <f aca="false">COUNTIFS($A$29:$A$361,$A10,$E$29:$E$361,"Priority 2")</f>
        <v>4</v>
      </c>
      <c r="D10" s="15" t="n">
        <f aca="false">COUNTIFS($A$29:$A$361,$A10,$E$29:$E$361,"Priority 3")</f>
        <v>3</v>
      </c>
      <c r="E10" s="15" t="n">
        <f aca="false">COUNTIFS($A$29:$A$361,$A10,$H$29:$H$361,"")</f>
        <v>11</v>
      </c>
      <c r="F10" s="19" t="n">
        <f aca="false">SUMIFS($O$29:$O$361,$A$29:$A$361,$A10,$E$29:$E$361,"Priority 1")+SUMIFS($O$29:$O$361,$A$29:$A$361,$A10,$E$29:$E$361,"Priority 2")</f>
        <v>150321.5</v>
      </c>
      <c r="G10" s="15" t="n">
        <f aca="false">COUNTIF($B$7:$B$25,"&gt;"&amp;B10)+COUNTIFS($B$7:$B$25,B10,$F$7:$F$25,"&gt;"&amp;F10)+COUNTIFS($B$7:B10,B10,$F$7:F10,F10)</f>
        <v>3</v>
      </c>
    </row>
    <row r="11" customFormat="false" ht="15" hidden="false" customHeight="false" outlineLevel="0" collapsed="false">
      <c r="A11" s="64" t="s">
        <v>232</v>
      </c>
      <c r="B11" s="15" t="n">
        <f aca="false">COUNTIFS($A$29:$A$361,$A11,$E$29:$E$361,"Priority 1")</f>
        <v>3</v>
      </c>
      <c r="C11" s="15" t="n">
        <f aca="false">COUNTIFS($A$29:$A$361,$A11,$E$29:$E$361,"Priority 2")</f>
        <v>4</v>
      </c>
      <c r="D11" s="15" t="n">
        <f aca="false">COUNTIFS($A$29:$A$361,$A11,$E$29:$E$361,"Priority 3")</f>
        <v>2</v>
      </c>
      <c r="E11" s="15" t="n">
        <f aca="false">COUNTIFS($A$29:$A$361,$A11,$H$29:$H$361,"")</f>
        <v>9</v>
      </c>
      <c r="F11" s="19" t="n">
        <f aca="false">SUMIFS($O$29:$O$361,$A$29:$A$361,$A11,$E$29:$E$361,"Priority 1")+SUMIFS($O$29:$O$361,$A$29:$A$361,$A11,$E$29:$E$361,"Priority 2")</f>
        <v>140985.7</v>
      </c>
      <c r="G11" s="15" t="n">
        <f aca="false">COUNTIF($B$7:$B$25,"&gt;"&amp;B11)+COUNTIFS($B$7:$B$25,B11,$F$7:$F$25,"&gt;"&amp;F11)+COUNTIFS($B$7:B11,B11,$F$7:F11,F11)</f>
        <v>5</v>
      </c>
    </row>
    <row r="12" customFormat="false" ht="15" hidden="false" customHeight="false" outlineLevel="0" collapsed="false">
      <c r="A12" s="64" t="s">
        <v>233</v>
      </c>
      <c r="B12" s="15" t="n">
        <f aca="false">COUNTIFS($A$29:$A$361,$A12,$E$29:$E$361,"Priority 1")</f>
        <v>3</v>
      </c>
      <c r="C12" s="15" t="n">
        <f aca="false">COUNTIFS($A$29:$A$361,$A12,$E$29:$E$361,"Priority 2")</f>
        <v>1</v>
      </c>
      <c r="D12" s="15" t="n">
        <f aca="false">COUNTIFS($A$29:$A$361,$A12,$E$29:$E$361,"Priority 3")</f>
        <v>0</v>
      </c>
      <c r="E12" s="15" t="n">
        <f aca="false">COUNTIFS($A$29:$A$361,$A12,$H$29:$H$361,"")</f>
        <v>4</v>
      </c>
      <c r="F12" s="19" t="n">
        <f aca="false">SUMIFS($O$29:$O$361,$A$29:$A$361,$A12,$E$29:$E$361,"Priority 1")+SUMIFS($O$29:$O$361,$A$29:$A$361,$A12,$E$29:$E$361,"Priority 2")</f>
        <v>89545.9</v>
      </c>
      <c r="G12" s="15" t="n">
        <f aca="false">COUNTIF($B$7:$B$25,"&gt;"&amp;B12)+COUNTIFS($B$7:$B$25,B12,$F$7:$F$25,"&gt;"&amp;F12)+COUNTIFS($B$7:B12,B12,$F$7:F12,F12)</f>
        <v>6</v>
      </c>
    </row>
    <row r="13" customFormat="false" ht="15" hidden="false" customHeight="false" outlineLevel="0" collapsed="false">
      <c r="A13" s="64" t="s">
        <v>234</v>
      </c>
      <c r="B13" s="15" t="n">
        <f aca="false">COUNTIFS($A$29:$A$361,$A13,$E$29:$E$361,"Priority 1")</f>
        <v>2</v>
      </c>
      <c r="C13" s="15" t="n">
        <f aca="false">COUNTIFS($A$29:$A$361,$A13,$E$29:$E$361,"Priority 2")</f>
        <v>6</v>
      </c>
      <c r="D13" s="15" t="n">
        <f aca="false">COUNTIFS($A$29:$A$361,$A13,$E$29:$E$361,"Priority 3")</f>
        <v>2</v>
      </c>
      <c r="E13" s="15" t="n">
        <f aca="false">COUNTIFS($A$29:$A$361,$A13,$H$29:$H$361,"")</f>
        <v>10</v>
      </c>
      <c r="F13" s="19" t="n">
        <f aca="false">SUMIFS($O$29:$O$361,$A$29:$A$361,$A13,$E$29:$E$361,"Priority 1")+SUMIFS($O$29:$O$361,$A$29:$A$361,$A13,$E$29:$E$361,"Priority 2")</f>
        <v>105189.2</v>
      </c>
      <c r="G13" s="15" t="n">
        <f aca="false">COUNTIF($B$7:$B$25,"&gt;"&amp;B13)+COUNTIFS($B$7:$B$25,B13,$F$7:$F$25,"&gt;"&amp;F13)+COUNTIFS($B$7:B13,B13,$F$7:F13,F13)</f>
        <v>8</v>
      </c>
    </row>
    <row r="14" customFormat="false" ht="15" hidden="false" customHeight="false" outlineLevel="0" collapsed="false">
      <c r="A14" s="64" t="s">
        <v>21</v>
      </c>
      <c r="B14" s="15" t="n">
        <f aca="false">COUNTIFS($A$29:$A$361,$A14,$E$29:$E$361,"Priority 1")</f>
        <v>8</v>
      </c>
      <c r="C14" s="15" t="n">
        <f aca="false">COUNTIFS($A$29:$A$361,$A14,$E$29:$E$361,"Priority 2")</f>
        <v>12</v>
      </c>
      <c r="D14" s="15" t="n">
        <f aca="false">COUNTIFS($A$29:$A$361,$A14,$E$29:$E$361,"Priority 3")</f>
        <v>4</v>
      </c>
      <c r="E14" s="15" t="n">
        <f aca="false">COUNTIFS($A$29:$A$361,$A14,$H$29:$H$361,"")</f>
        <v>24</v>
      </c>
      <c r="F14" s="19" t="n">
        <f aca="false">SUMIFS($O$29:$O$361,$A$29:$A$361,$A14,$E$29:$E$361,"Priority 1")+SUMIFS($O$29:$O$361,$A$29:$A$361,$A14,$E$29:$E$361,"Priority 2")</f>
        <v>288765.9</v>
      </c>
      <c r="G14" s="15" t="n">
        <f aca="false">COUNTIF($B$7:$B$25,"&gt;"&amp;B14)+COUNTIFS($B$7:$B$25,B14,$F$7:$F$25,"&gt;"&amp;F14)+COUNTIFS($B$7:B14,B14,$F$7:F14,F14)</f>
        <v>1</v>
      </c>
    </row>
    <row r="15" customFormat="false" ht="15" hidden="false" customHeight="false" outlineLevel="0" collapsed="false">
      <c r="A15" s="64" t="s">
        <v>235</v>
      </c>
      <c r="B15" s="15" t="n">
        <f aca="false">COUNTIFS($A$29:$A$361,$A15,$E$29:$E$361,"Priority 1")</f>
        <v>0</v>
      </c>
      <c r="C15" s="15" t="n">
        <f aca="false">COUNTIFS($A$29:$A$361,$A15,$E$29:$E$361,"Priority 2")</f>
        <v>4</v>
      </c>
      <c r="D15" s="15" t="n">
        <f aca="false">COUNTIFS($A$29:$A$361,$A15,$E$29:$E$361,"Priority 3")</f>
        <v>4</v>
      </c>
      <c r="E15" s="15" t="n">
        <f aca="false">COUNTIFS($A$29:$A$361,$A15,$H$29:$H$361,"")</f>
        <v>8</v>
      </c>
      <c r="F15" s="19" t="n">
        <f aca="false">SUMIFS($O$29:$O$361,$A$29:$A$361,$A15,$E$29:$E$361,"Priority 1")+SUMIFS($O$29:$O$361,$A$29:$A$361,$A15,$E$29:$E$361,"Priority 2")</f>
        <v>68581.6</v>
      </c>
      <c r="G15" s="15" t="n">
        <f aca="false">COUNTIF($B$7:$B$25,"&gt;"&amp;B15)+COUNTIFS($B$7:$B$25,B15,$F$7:$F$25,"&gt;"&amp;F15)+COUNTIFS($B$7:B15,B15,$F$7:F15,F15)</f>
        <v>15</v>
      </c>
    </row>
    <row r="16" customFormat="false" ht="15" hidden="false" customHeight="false" outlineLevel="0" collapsed="false">
      <c r="A16" s="64" t="s">
        <v>236</v>
      </c>
      <c r="B16" s="15" t="n">
        <f aca="false">COUNTIFS($A$29:$A$361,$A16,$E$29:$E$361,"Priority 1")</f>
        <v>1</v>
      </c>
      <c r="C16" s="15" t="n">
        <f aca="false">COUNTIFS($A$29:$A$361,$A16,$E$29:$E$361,"Priority 2")</f>
        <v>2</v>
      </c>
      <c r="D16" s="15" t="n">
        <f aca="false">COUNTIFS($A$29:$A$361,$A16,$E$29:$E$361,"Priority 3")</f>
        <v>1</v>
      </c>
      <c r="E16" s="15" t="n">
        <f aca="false">COUNTIFS($A$29:$A$361,$A16,$H$29:$H$361,"")</f>
        <v>4</v>
      </c>
      <c r="F16" s="19" t="n">
        <f aca="false">SUMIFS($O$29:$O$361,$A$29:$A$361,$A16,$E$29:$E$361,"Priority 1")+SUMIFS($O$29:$O$361,$A$29:$A$361,$A16,$E$29:$E$361,"Priority 2")</f>
        <v>39405.6</v>
      </c>
      <c r="G16" s="15" t="n">
        <f aca="false">COUNTIF($B$7:$B$25,"&gt;"&amp;B16)+COUNTIFS($B$7:$B$25,B16,$F$7:$F$25,"&gt;"&amp;F16)+COUNTIFS($B$7:B16,B16,$F$7:F16,F16)</f>
        <v>11</v>
      </c>
    </row>
    <row r="17" customFormat="false" ht="15" hidden="false" customHeight="false" outlineLevel="0" collapsed="false">
      <c r="A17" s="64" t="s">
        <v>237</v>
      </c>
      <c r="B17" s="15" t="n">
        <f aca="false">COUNTIFS($A$29:$A$361,$A17,$E$29:$E$361,"Priority 1")</f>
        <v>0</v>
      </c>
      <c r="C17" s="15" t="n">
        <f aca="false">COUNTIFS($A$29:$A$361,$A17,$E$29:$E$361,"Priority 2")</f>
        <v>4</v>
      </c>
      <c r="D17" s="15" t="n">
        <f aca="false">COUNTIFS($A$29:$A$361,$A17,$E$29:$E$361,"Priority 3")</f>
        <v>2</v>
      </c>
      <c r="E17" s="15" t="n">
        <f aca="false">COUNTIFS($A$29:$A$361,$A17,$H$29:$H$361,"")</f>
        <v>6</v>
      </c>
      <c r="F17" s="19" t="n">
        <f aca="false">SUMIFS($O$29:$O$361,$A$29:$A$361,$A17,$E$29:$E$361,"Priority 1")+SUMIFS($O$29:$O$361,$A$29:$A$361,$A17,$E$29:$E$361,"Priority 2")</f>
        <v>10920.9</v>
      </c>
      <c r="G17" s="15" t="n">
        <f aca="false">COUNTIF($B$7:$B$25,"&gt;"&amp;B17)+COUNTIFS($B$7:$B$25,B17,$F$7:$F$25,"&gt;"&amp;F17)+COUNTIFS($B$7:B17,B17,$F$7:F17,F17)</f>
        <v>18</v>
      </c>
    </row>
    <row r="18" customFormat="false" ht="15" hidden="false" customHeight="false" outlineLevel="0" collapsed="false">
      <c r="A18" s="64" t="s">
        <v>238</v>
      </c>
      <c r="B18" s="15" t="n">
        <f aca="false">COUNTIFS($A$29:$A$361,$A18,$E$29:$E$361,"Priority 1")</f>
        <v>0</v>
      </c>
      <c r="C18" s="15" t="n">
        <f aca="false">COUNTIFS($A$29:$A$361,$A18,$E$29:$E$361,"Priority 2")</f>
        <v>3</v>
      </c>
      <c r="D18" s="15" t="n">
        <f aca="false">COUNTIFS($A$29:$A$361,$A18,$E$29:$E$361,"Priority 3")</f>
        <v>1</v>
      </c>
      <c r="E18" s="15" t="n">
        <f aca="false">COUNTIFS($A$29:$A$361,$A18,$H$29:$H$361,"")</f>
        <v>4</v>
      </c>
      <c r="F18" s="19" t="n">
        <f aca="false">SUMIFS($O$29:$O$361,$A$29:$A$361,$A18,$E$29:$E$361,"Priority 1")+SUMIFS($O$29:$O$361,$A$29:$A$361,$A18,$E$29:$E$361,"Priority 2")</f>
        <v>20101.7</v>
      </c>
      <c r="G18" s="15" t="n">
        <f aca="false">COUNTIF($B$7:$B$25,"&gt;"&amp;B18)+COUNTIFS($B$7:$B$25,B18,$F$7:$F$25,"&gt;"&amp;F18)+COUNTIFS($B$7:B18,B18,$F$7:F18,F18)</f>
        <v>16</v>
      </c>
    </row>
    <row r="19" customFormat="false" ht="15" hidden="false" customHeight="false" outlineLevel="0" collapsed="false">
      <c r="A19" s="64" t="s">
        <v>239</v>
      </c>
      <c r="B19" s="15" t="n">
        <f aca="false">COUNTIFS($A$29:$A$361,$A19,$E$29:$E$361,"Priority 1")</f>
        <v>0</v>
      </c>
      <c r="C19" s="15" t="n">
        <f aca="false">COUNTIFS($A$29:$A$361,$A19,$E$29:$E$361,"Priority 2")</f>
        <v>0</v>
      </c>
      <c r="D19" s="15" t="n">
        <f aca="false">COUNTIFS($A$29:$A$361,$A19,$E$29:$E$361,"Priority 3")</f>
        <v>1</v>
      </c>
      <c r="E19" s="15" t="n">
        <f aca="false">COUNTIFS($A$29:$A$361,$A19,$H$29:$H$361,"")</f>
        <v>1</v>
      </c>
      <c r="F19" s="19" t="n">
        <f aca="false">SUMIFS($O$29:$O$361,$A$29:$A$361,$A19,$E$29:$E$361,"Priority 1")+SUMIFS($O$29:$O$361,$A$29:$A$361,$A19,$E$29:$E$361,"Priority 2")</f>
        <v>0</v>
      </c>
      <c r="G19" s="15" t="n">
        <f aca="false">COUNTIF($B$7:$B$25,"&gt;"&amp;B19)+COUNTIFS($B$7:$B$25,B19,$F$7:$F$25,"&gt;"&amp;F19)+COUNTIFS($B$7:B19,B19,$F$7:F19,F19)</f>
        <v>19</v>
      </c>
    </row>
    <row r="20" customFormat="false" ht="15" hidden="false" customHeight="false" outlineLevel="0" collapsed="false">
      <c r="A20" s="64" t="s">
        <v>240</v>
      </c>
      <c r="B20" s="15" t="n">
        <f aca="false">COUNTIFS($A$29:$A$361,$A20,$E$29:$E$361,"Priority 1")</f>
        <v>0</v>
      </c>
      <c r="C20" s="15" t="n">
        <f aca="false">COUNTIFS($A$29:$A$361,$A20,$E$29:$E$361,"Priority 2")</f>
        <v>3</v>
      </c>
      <c r="D20" s="15" t="n">
        <f aca="false">COUNTIFS($A$29:$A$361,$A20,$E$29:$E$361,"Priority 3")</f>
        <v>0</v>
      </c>
      <c r="E20" s="15" t="n">
        <f aca="false">COUNTIFS($A$29:$A$361,$A20,$H$29:$H$361,"")</f>
        <v>3</v>
      </c>
      <c r="F20" s="19" t="n">
        <f aca="false">SUMIFS($O$29:$O$361,$A$29:$A$361,$A20,$E$29:$E$361,"Priority 1")+SUMIFS($O$29:$O$361,$A$29:$A$361,$A20,$E$29:$E$361,"Priority 2")</f>
        <v>16805.1</v>
      </c>
      <c r="G20" s="15" t="n">
        <f aca="false">COUNTIF($B$7:$B$25,"&gt;"&amp;B20)+COUNTIFS($B$7:$B$25,B20,$F$7:$F$25,"&gt;"&amp;F20)+COUNTIFS($B$7:B20,B20,$F$7:F20,F20)</f>
        <v>17</v>
      </c>
    </row>
    <row r="21" customFormat="false" ht="15" hidden="false" customHeight="false" outlineLevel="0" collapsed="false">
      <c r="A21" s="64" t="s">
        <v>241</v>
      </c>
      <c r="B21" s="15" t="n">
        <f aca="false">COUNTIFS($A$29:$A$361,$A21,$E$29:$E$361,"Priority 1")</f>
        <v>2</v>
      </c>
      <c r="C21" s="15" t="n">
        <f aca="false">COUNTIFS($A$29:$A$361,$A21,$E$29:$E$361,"Priority 2")</f>
        <v>5</v>
      </c>
      <c r="D21" s="15" t="n">
        <f aca="false">COUNTIFS($A$29:$A$361,$A21,$E$29:$E$361,"Priority 3")</f>
        <v>0</v>
      </c>
      <c r="E21" s="15" t="n">
        <f aca="false">COUNTIFS($A$29:$A$361,$A21,$H$29:$H$361,"")</f>
        <v>7</v>
      </c>
      <c r="F21" s="19" t="n">
        <f aca="false">SUMIFS($O$29:$O$361,$A$29:$A$361,$A21,$E$29:$E$361,"Priority 1")+SUMIFS($O$29:$O$361,$A$29:$A$361,$A21,$E$29:$E$361,"Priority 2")</f>
        <v>63741.6</v>
      </c>
      <c r="G21" s="15" t="n">
        <f aca="false">COUNTIF($B$7:$B$25,"&gt;"&amp;B21)+COUNTIFS($B$7:$B$25,B21,$F$7:$F$25,"&gt;"&amp;F21)+COUNTIFS($B$7:B21,B21,$F$7:F21,F21)</f>
        <v>10</v>
      </c>
    </row>
    <row r="22" customFormat="false" ht="15" hidden="false" customHeight="false" outlineLevel="0" collapsed="false">
      <c r="A22" s="64" t="s">
        <v>242</v>
      </c>
      <c r="B22" s="15" t="n">
        <f aca="false">COUNTIFS($A$29:$A$361,$A22,$E$29:$E$361,"Priority 1")</f>
        <v>1</v>
      </c>
      <c r="C22" s="15" t="n">
        <f aca="false">COUNTIFS($A$29:$A$361,$A22,$E$29:$E$361,"Priority 2")</f>
        <v>1</v>
      </c>
      <c r="D22" s="15" t="n">
        <f aca="false">COUNTIFS($A$29:$A$361,$A22,$E$29:$E$361,"Priority 3")</f>
        <v>0</v>
      </c>
      <c r="E22" s="15" t="n">
        <f aca="false">COUNTIFS($A$29:$A$361,$A22,$H$29:$H$361,"")</f>
        <v>2</v>
      </c>
      <c r="F22" s="19" t="n">
        <f aca="false">SUMIFS($O$29:$O$361,$A$29:$A$361,$A22,$E$29:$E$361,"Priority 1")+SUMIFS($O$29:$O$361,$A$29:$A$361,$A22,$E$29:$E$361,"Priority 2")</f>
        <v>17549.3</v>
      </c>
      <c r="G22" s="15" t="n">
        <f aca="false">COUNTIF($B$7:$B$25,"&gt;"&amp;B22)+COUNTIFS($B$7:$B$25,B22,$F$7:$F$25,"&gt;"&amp;F22)+COUNTIFS($B$7:B22,B22,$F$7:F22,F22)</f>
        <v>13</v>
      </c>
    </row>
    <row r="23" customFormat="false" ht="15" hidden="false" customHeight="false" outlineLevel="0" collapsed="false">
      <c r="A23" s="64" t="s">
        <v>243</v>
      </c>
      <c r="B23" s="15" t="n">
        <f aca="false">COUNTIFS($A$29:$A$361,$A23,$E$29:$E$361,"Priority 1")</f>
        <v>2</v>
      </c>
      <c r="C23" s="15" t="n">
        <f aca="false">COUNTIFS($A$29:$A$361,$A23,$E$29:$E$361,"Priority 2")</f>
        <v>0</v>
      </c>
      <c r="D23" s="15" t="n">
        <f aca="false">COUNTIFS($A$29:$A$361,$A23,$E$29:$E$361,"Priority 3")</f>
        <v>0</v>
      </c>
      <c r="E23" s="15" t="n">
        <f aca="false">COUNTIFS($A$29:$A$361,$A23,$H$29:$H$361,"")</f>
        <v>2</v>
      </c>
      <c r="F23" s="19" t="n">
        <f aca="false">SUMIFS($O$29:$O$361,$A$29:$A$361,$A23,$E$29:$E$361,"Priority 1")+SUMIFS($O$29:$O$361,$A$29:$A$361,$A23,$E$29:$E$361,"Priority 2")</f>
        <v>97092.9</v>
      </c>
      <c r="G23" s="15" t="n">
        <f aca="false">COUNTIF($B$7:$B$25,"&gt;"&amp;B23)+COUNTIFS($B$7:$B$25,B23,$F$7:$F$25,"&gt;"&amp;F23)+COUNTIFS($B$7:B23,B23,$F$7:F23,F23)</f>
        <v>9</v>
      </c>
    </row>
    <row r="24" customFormat="false" ht="15" hidden="false" customHeight="false" outlineLevel="0" collapsed="false">
      <c r="A24" s="64" t="s">
        <v>244</v>
      </c>
      <c r="B24" s="15" t="n">
        <f aca="false">COUNTIFS($A$29:$A$361,$A24,$E$29:$E$361,"Priority 1")</f>
        <v>0</v>
      </c>
      <c r="C24" s="15" t="n">
        <f aca="false">COUNTIFS($A$29:$A$361,$A24,$E$29:$E$361,"Priority 2")</f>
        <v>6</v>
      </c>
      <c r="D24" s="15" t="n">
        <f aca="false">COUNTIFS($A$29:$A$361,$A24,$E$29:$E$361,"Priority 3")</f>
        <v>3</v>
      </c>
      <c r="E24" s="15" t="n">
        <f aca="false">COUNTIFS($A$29:$A$361,$A24,$H$29:$H$361,"")</f>
        <v>9</v>
      </c>
      <c r="F24" s="19" t="n">
        <f aca="false">SUMIFS($O$29:$O$361,$A$29:$A$361,$A24,$E$29:$E$361,"Priority 1")+SUMIFS($O$29:$O$361,$A$29:$A$361,$A24,$E$29:$E$361,"Priority 2")</f>
        <v>121110.2</v>
      </c>
      <c r="G24" s="15" t="n">
        <f aca="false">COUNTIF($B$7:$B$25,"&gt;"&amp;B24)+COUNTIFS($B$7:$B$25,B24,$F$7:$F$25,"&gt;"&amp;F24)+COUNTIFS($B$7:B24,B24,$F$7:F24,F24)</f>
        <v>14</v>
      </c>
    </row>
    <row r="25" customFormat="false" ht="15" hidden="false" customHeight="false" outlineLevel="0" collapsed="false">
      <c r="A25" s="64" t="s">
        <v>245</v>
      </c>
      <c r="B25" s="15" t="n">
        <f aca="false">COUNTIFS($A$29:$A$361,$A25,$E$29:$E$361,"Priority 1")</f>
        <v>2</v>
      </c>
      <c r="C25" s="15" t="n">
        <f aca="false">COUNTIFS($A$29:$A$361,$A25,$E$29:$E$361,"Priority 2")</f>
        <v>5</v>
      </c>
      <c r="D25" s="15" t="n">
        <f aca="false">COUNTIFS($A$29:$A$361,$A25,$E$29:$E$361,"Priority 3")</f>
        <v>2</v>
      </c>
      <c r="E25" s="15" t="n">
        <f aca="false">COUNTIFS($A$29:$A$361,$A25,$H$29:$H$361,"")</f>
        <v>9</v>
      </c>
      <c r="F25" s="19" t="n">
        <f aca="false">SUMIFS($O$29:$O$361,$A$29:$A$361,$A25,$E$29:$E$361,"Priority 1")+SUMIFS($O$29:$O$361,$A$29:$A$361,$A25,$E$29:$E$361,"Priority 2")</f>
        <v>160446.2</v>
      </c>
      <c r="G25" s="15" t="n">
        <f aca="false">COUNTIF($B$7:$B$25,"&gt;"&amp;B25)+COUNTIFS($B$7:$B$25,B25,$F$7:$F$25,"&gt;"&amp;F25)+COUNTIFS($B$7:B25,B25,$F$7:F25,F25)</f>
        <v>7</v>
      </c>
    </row>
    <row r="26" customFormat="false" ht="15" hidden="false" customHeight="false" outlineLevel="0" collapsed="false">
      <c r="A26" s="71" t="s">
        <v>246</v>
      </c>
    </row>
    <row r="27" customFormat="false" ht="15" hidden="false" customHeight="false" outlineLevel="0" collapsed="false">
      <c r="A27" s="72" t="s">
        <v>247</v>
      </c>
      <c r="B27" s="72"/>
      <c r="C27" s="72"/>
      <c r="D27" s="72"/>
      <c r="E27" s="72"/>
      <c r="F27" s="72"/>
      <c r="G27" s="72"/>
      <c r="H27" s="72"/>
      <c r="I27" s="73" t="s">
        <v>248</v>
      </c>
      <c r="J27" s="73"/>
      <c r="K27" s="73" t="s">
        <v>249</v>
      </c>
      <c r="L27" s="73"/>
      <c r="M27" s="73"/>
      <c r="N27" s="73" t="s">
        <v>250</v>
      </c>
      <c r="O27" s="73"/>
      <c r="P27" s="74" t="s">
        <v>251</v>
      </c>
      <c r="Q27" s="74"/>
      <c r="R27" s="74"/>
      <c r="S27" s="74"/>
      <c r="T27" s="74"/>
      <c r="U27" s="74"/>
      <c r="V27" s="74" t="s">
        <v>252</v>
      </c>
      <c r="W27" s="74"/>
      <c r="X27" s="74"/>
      <c r="Y27" s="74"/>
      <c r="Z27" s="74"/>
      <c r="AA27" s="74"/>
      <c r="AB27" s="74"/>
      <c r="AC27" s="75" t="s">
        <v>253</v>
      </c>
      <c r="AD27" s="75"/>
      <c r="AE27" s="75"/>
      <c r="AF27" s="75"/>
      <c r="AG27" s="75"/>
      <c r="AH27" s="75"/>
      <c r="AI27" s="75"/>
      <c r="AJ27" s="75"/>
      <c r="AK27" s="75"/>
      <c r="AL27" s="75"/>
    </row>
    <row r="28" customFormat="false" ht="45" hidden="false" customHeight="true" outlineLevel="0" collapsed="false">
      <c r="A28" s="3" t="s">
        <v>4</v>
      </c>
      <c r="B28" s="3" t="s">
        <v>8</v>
      </c>
      <c r="C28" s="3" t="s">
        <v>9</v>
      </c>
      <c r="D28" s="3" t="s">
        <v>10</v>
      </c>
      <c r="E28" s="76" t="s">
        <v>6</v>
      </c>
      <c r="F28" s="76" t="s">
        <v>254</v>
      </c>
      <c r="G28" s="76" t="s">
        <v>7</v>
      </c>
      <c r="H28" s="3" t="s">
        <v>255</v>
      </c>
      <c r="I28" s="3" t="s">
        <v>13</v>
      </c>
      <c r="J28" s="3" t="s">
        <v>256</v>
      </c>
      <c r="K28" s="3" t="s">
        <v>257</v>
      </c>
      <c r="L28" s="3" t="s">
        <v>59</v>
      </c>
      <c r="M28" s="3" t="s">
        <v>14</v>
      </c>
      <c r="N28" s="3" t="s">
        <v>258</v>
      </c>
      <c r="O28" s="3" t="s">
        <v>15</v>
      </c>
      <c r="P28" s="3" t="s">
        <v>259</v>
      </c>
      <c r="Q28" s="3" t="s">
        <v>260</v>
      </c>
      <c r="R28" s="3" t="s">
        <v>11</v>
      </c>
      <c r="S28" s="3" t="s">
        <v>12</v>
      </c>
      <c r="T28" s="3" t="s">
        <v>261</v>
      </c>
      <c r="U28" s="3" t="s">
        <v>262</v>
      </c>
      <c r="V28" s="3" t="s">
        <v>263</v>
      </c>
      <c r="W28" s="3" t="s">
        <v>264</v>
      </c>
      <c r="X28" s="3" t="s">
        <v>16</v>
      </c>
      <c r="Y28" s="3" t="s">
        <v>265</v>
      </c>
      <c r="Z28" s="3" t="s">
        <v>266</v>
      </c>
      <c r="AA28" s="3" t="s">
        <v>267</v>
      </c>
      <c r="AB28" s="3" t="s">
        <v>268</v>
      </c>
      <c r="AC28" s="4" t="s">
        <v>269</v>
      </c>
      <c r="AD28" s="4" t="s">
        <v>270</v>
      </c>
      <c r="AE28" s="4" t="s">
        <v>271</v>
      </c>
      <c r="AF28" s="4" t="s">
        <v>272</v>
      </c>
      <c r="AG28" s="4" t="s">
        <v>273</v>
      </c>
      <c r="AH28" s="4" t="s">
        <v>3</v>
      </c>
      <c r="AI28" s="4" t="s">
        <v>274</v>
      </c>
      <c r="AJ28" s="4" t="s">
        <v>275</v>
      </c>
      <c r="AK28" s="4" t="s">
        <v>276</v>
      </c>
      <c r="AL28" s="4" t="s">
        <v>277</v>
      </c>
    </row>
    <row r="29" customFormat="false" ht="41.75" hidden="false" customHeight="false" outlineLevel="0" collapsed="false">
      <c r="A29" s="16" t="s">
        <v>228</v>
      </c>
      <c r="B29" s="16" t="s">
        <v>278</v>
      </c>
      <c r="C29" s="17" t="s">
        <v>279</v>
      </c>
      <c r="D29" s="17" t="s">
        <v>280</v>
      </c>
      <c r="E29" s="15" t="str">
        <f aca="false">IF(H29&lt;&gt;"",IF(LEFT(H29,5)="Price","Excluded – price ≤ USD 5","Excluded – IV only"),IF(ISNUMBER(I29),IF(AND(I29&gt;=$C$3,M29&gt;=$E$3),"Priority 1",IF(OR(I29&gt;=$C$3,M29&gt;=$E$3),"Priority 2","Priority 3")),IF(M29&gt;=$E$3,"Priority 2","Priority 3")))</f>
        <v>Priority 2</v>
      </c>
      <c r="F29" s="15" t="n">
        <f aca="false">IF(H29&lt;&gt;"","",COUNTIFS($A$29:$A$361,A29,$H$29:$H$361,"",$AJ$29:$AJ$361,"&gt;"&amp;AJ29)+COUNTIFS($A$29:A29,A29,$H$29:H29,"",$AJ$29:AJ29,AJ29))</f>
        <v>3</v>
      </c>
      <c r="G29" s="17" t="str">
        <f aca="false">IF(H29&lt;&gt;"","",IF(ISNUMBER(I29),IF(I29&gt;=$C$3,"High price","Lower price"),"No price")&amp;", "&amp;IF(M29&gt;=$E$3,"high volume","lower volume"))</f>
        <v>High price, lower volume</v>
      </c>
      <c r="H29" s="17" t="str">
        <f aca="false">IF(Q29="No","IV only (no ID, IM or SC route)",IF(AND(AE29&gt;0,AF29=0),"Price ≤ USD 5",""))</f>
        <v/>
      </c>
      <c r="I29" s="18" t="n">
        <f aca="false">IF(AF29&gt;0,ROUND(AVERAGEIFS('Shortlisted Drugs X Company (7)'!$N$3:$N$698,'Shortlisted Drugs X Company (7)'!$C$3:$C$698,$B29,'Shortlisted Drugs X Company (7)'!$E$3:$E$698,$AA29,'Shortlisted Drugs X Company (7)'!$N$3:$N$698,"&gt;5"),2),"")</f>
        <v>52.42</v>
      </c>
      <c r="J29" s="17" t="str">
        <f aca="false">IF(COUNTIFS('Shortlisted Drugs X Company (7)'!$C$3:$C$698,$B29,'Shortlisted Drugs X Company (7)'!$E$3:$E$698,$AA29,'Shortlisted Drugs X Company (7)'!$P$3:$P$698,"Exact")&gt;0,"Exact",IF(COUNTIFS('Shortlisted Drugs X Company (7)'!$C$3:$C$698,$B29,'Shortlisted Drugs X Company (7)'!$E$3:$E$698,$AA29,'Shortlisted Drugs X Company (7)'!$P$3:$P$698,"Same-market proxy")&gt;0,"Same-market proxy",IF(COUNTIFS('Shortlisted Drugs X Company (7)'!$C$3:$C$698,$B29,'Shortlisted Drugs X Company (7)'!$E$3:$E$698,$AA29,'Shortlisted Drugs X Company (7)'!$P$3:$P$698,"Cross-market proxy")&gt;0,"Cross-market proxy",IF(COUNTIFS('Shortlisted Drugs X Company (7)'!$C$3:$C$698,$B29,'Shortlisted Drugs X Company (7)'!$E$3:$E$698,$AA29,'Shortlisted Drugs X Company (7)'!$P$3:$P$698,"Source not found")&gt;0,"Source not found","No price found"))))</f>
        <v>Same-market proxy</v>
      </c>
      <c r="K29" s="19" t="n">
        <f aca="false">IFERROR(INDEX('Injectable Value'!$AB$28:$AB$178,MATCH(B29,'Injectable Value'!$A$28:$A$178,0)),"")</f>
        <v>156</v>
      </c>
      <c r="L29" s="77" t="n">
        <f aca="false">IFERROR(INDEX('Injectable Value'!$Z$28:$Z$178,MATCH(B29,'Injectable Value'!$A$28:$A$178,0)),"")</f>
        <v>0.916666666666667</v>
      </c>
      <c r="M29" s="19" t="n">
        <f aca="false">IFERROR(INDEX('Injectable Value'!$AC$28:$AC$178,MATCH(B29,'Injectable Value'!$A$28:$A$178,0)),"")</f>
        <v>143</v>
      </c>
      <c r="N29" s="19" t="n">
        <f aca="false">IFERROR(INDEX('Injectable Value'!$C$28:$C$178,MATCH(B29,'Injectable Value'!$A$28:$A$178,0)),"")</f>
        <v>3954.83</v>
      </c>
      <c r="O29" s="19" t="n">
        <f aca="false">IFERROR(ROUND(INDEX('Injectable Value'!$AA$28:$AA$178,MATCH(B29,'Injectable Value'!$A$28:$A$178,0)),1),"")</f>
        <v>3625.3</v>
      </c>
      <c r="P29" s="16" t="str">
        <f aca="false">IFERROR(INDEX('Route of Administration'!$C$5:$C$155,MATCH(B29,'Route of Administration'!$A$5:$A$155,0)),"")</f>
        <v>IM</v>
      </c>
      <c r="Q29" s="15" t="str">
        <f aca="false">IFERROR(INDEX('Route of Administration'!$D$5:$D$155,MATCH(B29,'Route of Administration'!$A$5:$A$155,0)),"")</f>
        <v>Yes</v>
      </c>
      <c r="R29" s="16" t="s">
        <v>281</v>
      </c>
      <c r="S29" s="17" t="s">
        <v>282</v>
      </c>
      <c r="T29" s="16" t="s">
        <v>283</v>
      </c>
      <c r="U29" s="17" t="str">
        <f aca="false">""&amp;IF(AE29=0,"No price found","")&amp;IF(AND(AE29&gt;0,AF29=0,AG29=0),"Low price comes from another market – confirm with the company","")</f>
        <v/>
      </c>
      <c r="V29" s="17" t="s">
        <v>284</v>
      </c>
      <c r="W29" s="15" t="n">
        <v>3</v>
      </c>
      <c r="X29" s="17" t="s">
        <v>285</v>
      </c>
      <c r="Y29" s="17" t="s">
        <v>285</v>
      </c>
      <c r="Z29" s="17" t="s">
        <v>286</v>
      </c>
      <c r="AA29" s="16" t="s">
        <v>287</v>
      </c>
      <c r="AB29" s="78" t="s">
        <v>288</v>
      </c>
      <c r="AC29" s="20" t="n">
        <f aca="false">IF(AE29&gt;0,ROUND(AVERAGEIFS('Shortlisted Drugs X Company (7)'!$N$3:$N$698,'Shortlisted Drugs X Company (7)'!$C$3:$C$698,$B29,'Shortlisted Drugs X Company (7)'!$E$3:$E$698,$AA29,'Shortlisted Drugs X Company (7)'!$N$3:$N$698,"&gt;=0"),2),"")</f>
        <v>52.42</v>
      </c>
      <c r="AD29" s="79" t="str">
        <f aca="false">B29&amp;"|"&amp;AA29</f>
        <v>Carboprost|Alembic Pharmaceuticals</v>
      </c>
      <c r="AE29" s="22" t="n">
        <f aca="false">COUNTIFS('Shortlisted Drugs X Company (7)'!$C$3:$C$698,$B29,'Shortlisted Drugs X Company (7)'!$E$3:$E$698,$AA29,'Shortlisted Drugs X Company (7)'!$N$3:$N$698,"&gt;=0")</f>
        <v>2</v>
      </c>
      <c r="AF29" s="22" t="n">
        <f aca="false">COUNTIFS('Shortlisted Drugs X Company (7)'!$C$3:$C$698,$B29,'Shortlisted Drugs X Company (7)'!$E$3:$E$698,$AA29,'Shortlisted Drugs X Company (7)'!$N$3:$N$698,"&gt;5")</f>
        <v>2</v>
      </c>
      <c r="AG29" s="22" t="n">
        <f aca="false">COUNTIFS('Shortlisted Drugs X Company (7)'!$C$3:$C$698,$B29,'Shortlisted Drugs X Company (7)'!$E$3:$E$698,$AA29,'Shortlisted Drugs X Company (7)'!$P$3:$P$698,"Exact")+COUNTIFS('Shortlisted Drugs X Company (7)'!$C$3:$C$698,$B29,'Shortlisted Drugs X Company (7)'!$E$3:$E$698,$AA29,'Shortlisted Drugs X Company (7)'!$P$3:$P$698,"Same-market proxy")</f>
        <v>1</v>
      </c>
      <c r="AH29" s="22" t="n">
        <f aca="false">INDEX($G$7:$G$25,MATCH(A29,$A$7:$A$25,0))</f>
        <v>12</v>
      </c>
      <c r="AI29" s="79" t="n">
        <f aca="false">IF(OR(Q29="No",LEFT(H29,7)="IV only"),"",AH29*1000+IF(F29="",900+COUNTIFS($A$29:A29,A29,$H$29:H29,"Price*"),F29))</f>
        <v>12003</v>
      </c>
      <c r="AJ29" s="79" t="n">
        <f aca="false">IF(H29&lt;&gt;"","",(4-VALUE(RIGHT(E29,1)))*10^7+N(O29))</f>
        <v>20003625.3</v>
      </c>
      <c r="AK29" s="20" t="n">
        <f aca="false">IF(AND(H29="",ISNUMBER(I29)),I29,"")</f>
        <v>52.42</v>
      </c>
      <c r="AL29" s="21" t="n">
        <f aca="false">IF(H29="",M29,"")</f>
        <v>143</v>
      </c>
    </row>
    <row r="30" customFormat="false" ht="41.75" hidden="false" customHeight="false" outlineLevel="0" collapsed="false">
      <c r="A30" s="16" t="s">
        <v>228</v>
      </c>
      <c r="B30" s="16" t="s">
        <v>289</v>
      </c>
      <c r="C30" s="17" t="s">
        <v>289</v>
      </c>
      <c r="D30" s="17" t="s">
        <v>290</v>
      </c>
      <c r="E30" s="15" t="str">
        <f aca="false">IF(H30&lt;&gt;"",IF(LEFT(H30,5)="Price","Excluded – price ≤ USD 5","Excluded – IV only"),IF(ISNUMBER(I30),IF(AND(I30&gt;=$C$3,M30&gt;=$E$3),"Priority 1",IF(OR(I30&gt;=$C$3,M30&gt;=$E$3),"Priority 2","Priority 3")),IF(M30&gt;=$E$3,"Priority 2","Priority 3")))</f>
        <v>Priority 3</v>
      </c>
      <c r="F30" s="15" t="n">
        <f aca="false">IF(H30&lt;&gt;"","",COUNTIFS($A$29:$A$361,A30,$H$29:$H$361,"",$AJ$29:$AJ$361,"&gt;"&amp;AJ30)+COUNTIFS($A$29:A30,A30,$H$29:H30,"",$AJ$29:AJ30,AJ30))</f>
        <v>4</v>
      </c>
      <c r="G30" s="17" t="str">
        <f aca="false">IF(H30&lt;&gt;"","",IF(ISNUMBER(I30),IF(I30&gt;=$C$3,"High price","Lower price"),"No price")&amp;", "&amp;IF(M30&gt;=$E$3,"high volume","lower volume"))</f>
        <v>Lower price, lower volume</v>
      </c>
      <c r="H30" s="17" t="str">
        <f aca="false">IF(Q30="No","IV only (no ID, IM or SC route)",IF(AND(AE30&gt;0,AF30=0),"Price ≤ USD 5",""))</f>
        <v/>
      </c>
      <c r="I30" s="18" t="n">
        <f aca="false">IF(AF30&gt;0,ROUND(AVERAGEIFS('Shortlisted Drugs X Company (7)'!$N$3:$N$698,'Shortlisted Drugs X Company (7)'!$C$3:$C$698,$B30,'Shortlisted Drugs X Company (7)'!$E$3:$E$698,$AA30,'Shortlisted Drugs X Company (7)'!$N$3:$N$698,"&gt;5"),2),"")</f>
        <v>10.14</v>
      </c>
      <c r="J30" s="17" t="str">
        <f aca="false">IF(COUNTIFS('Shortlisted Drugs X Company (7)'!$C$3:$C$698,$B30,'Shortlisted Drugs X Company (7)'!$E$3:$E$698,$AA30,'Shortlisted Drugs X Company (7)'!$P$3:$P$698,"Exact")&gt;0,"Exact",IF(COUNTIFS('Shortlisted Drugs X Company (7)'!$C$3:$C$698,$B30,'Shortlisted Drugs X Company (7)'!$E$3:$E$698,$AA30,'Shortlisted Drugs X Company (7)'!$P$3:$P$698,"Same-market proxy")&gt;0,"Same-market proxy",IF(COUNTIFS('Shortlisted Drugs X Company (7)'!$C$3:$C$698,$B30,'Shortlisted Drugs X Company (7)'!$E$3:$E$698,$AA30,'Shortlisted Drugs X Company (7)'!$P$3:$P$698,"Cross-market proxy")&gt;0,"Cross-market proxy",IF(COUNTIFS('Shortlisted Drugs X Company (7)'!$C$3:$C$698,$B30,'Shortlisted Drugs X Company (7)'!$E$3:$E$698,$AA30,'Shortlisted Drugs X Company (7)'!$P$3:$P$698,"Source not found")&gt;0,"Source not found","No price found"))))</f>
        <v>Same-market proxy</v>
      </c>
      <c r="K30" s="19" t="n">
        <f aca="false">IFERROR(INDEX('Injectable Value'!$AB$28:$AB$178,MATCH(B30,'Injectable Value'!$A$28:$A$178,0)),"")</f>
        <v>180</v>
      </c>
      <c r="L30" s="77" t="n">
        <f aca="false">IFERROR(INDEX('Injectable Value'!$Z$28:$Z$178,MATCH(B30,'Injectable Value'!$A$28:$A$178,0)),"")</f>
        <v>0.194998811159637</v>
      </c>
      <c r="M30" s="19" t="n">
        <f aca="false">IFERROR(INDEX('Injectable Value'!$AC$28:$AC$178,MATCH(B30,'Injectable Value'!$A$28:$A$178,0)),"")</f>
        <v>35</v>
      </c>
      <c r="N30" s="19" t="n">
        <f aca="false">IFERROR(INDEX('Injectable Value'!$C$28:$C$178,MATCH(B30,'Injectable Value'!$A$28:$A$178,0)),"")</f>
        <v>5403.25</v>
      </c>
      <c r="O30" s="19" t="n">
        <f aca="false">IFERROR(ROUND(INDEX('Injectable Value'!$AA$28:$AA$178,MATCH(B30,'Injectable Value'!$A$28:$A$178,0)),1),"")</f>
        <v>1053.6</v>
      </c>
      <c r="P30" s="16" t="str">
        <f aca="false">IFERROR(INDEX('Route of Administration'!$C$5:$C$155,MATCH(B30,'Route of Administration'!$A$5:$A$155,0)),"")</f>
        <v>IV, IM</v>
      </c>
      <c r="Q30" s="15" t="str">
        <f aca="false">IFERROR(INDEX('Route of Administration'!$D$5:$D$155,MATCH(B30,'Route of Administration'!$A$5:$A$155,0)),"")</f>
        <v>Yes</v>
      </c>
      <c r="R30" s="16" t="s">
        <v>291</v>
      </c>
      <c r="S30" s="17" t="s">
        <v>292</v>
      </c>
      <c r="T30" s="16" t="s">
        <v>283</v>
      </c>
      <c r="U30" s="17" t="str">
        <f aca="false">"Prefilled only"&amp;IF(AE30=0,"; No price found","")&amp;IF(AND(AE30&gt;0,AF30=0,AG30=0),"; Low price comes from another market – confirm with the company","")</f>
        <v>Prefilled only</v>
      </c>
      <c r="V30" s="17" t="s">
        <v>284</v>
      </c>
      <c r="W30" s="15" t="n">
        <v>1</v>
      </c>
      <c r="X30" s="17" t="s">
        <v>284</v>
      </c>
      <c r="Y30" s="17" t="s">
        <v>284</v>
      </c>
      <c r="Z30" s="17" t="s">
        <v>293</v>
      </c>
      <c r="AA30" s="16" t="s">
        <v>287</v>
      </c>
      <c r="AB30" s="78" t="s">
        <v>294</v>
      </c>
      <c r="AC30" s="20" t="n">
        <f aca="false">IF(AE30&gt;0,ROUND(AVERAGEIFS('Shortlisted Drugs X Company (7)'!$N$3:$N$698,'Shortlisted Drugs X Company (7)'!$C$3:$C$698,$B30,'Shortlisted Drugs X Company (7)'!$E$3:$E$698,$AA30,'Shortlisted Drugs X Company (7)'!$N$3:$N$698,"&gt;=0"),2),"")</f>
        <v>10.14</v>
      </c>
      <c r="AD30" s="79" t="str">
        <f aca="false">B30&amp;"|"&amp;AA30</f>
        <v>Diazepam|Alembic Pharmaceuticals</v>
      </c>
      <c r="AE30" s="22" t="n">
        <f aca="false">COUNTIFS('Shortlisted Drugs X Company (7)'!$C$3:$C$698,$B30,'Shortlisted Drugs X Company (7)'!$E$3:$E$698,$AA30,'Shortlisted Drugs X Company (7)'!$N$3:$N$698,"&gt;=0")</f>
        <v>1</v>
      </c>
      <c r="AF30" s="22" t="n">
        <f aca="false">COUNTIFS('Shortlisted Drugs X Company (7)'!$C$3:$C$698,$B30,'Shortlisted Drugs X Company (7)'!$E$3:$E$698,$AA30,'Shortlisted Drugs X Company (7)'!$N$3:$N$698,"&gt;5")</f>
        <v>1</v>
      </c>
      <c r="AG30" s="22" t="n">
        <f aca="false">COUNTIFS('Shortlisted Drugs X Company (7)'!$C$3:$C$698,$B30,'Shortlisted Drugs X Company (7)'!$E$3:$E$698,$AA30,'Shortlisted Drugs X Company (7)'!$P$3:$P$698,"Exact")+COUNTIFS('Shortlisted Drugs X Company (7)'!$C$3:$C$698,$B30,'Shortlisted Drugs X Company (7)'!$E$3:$E$698,$AA30,'Shortlisted Drugs X Company (7)'!$P$3:$P$698,"Same-market proxy")</f>
        <v>1</v>
      </c>
      <c r="AH30" s="22" t="n">
        <f aca="false">INDEX($G$7:$G$25,MATCH(A30,$A$7:$A$25,0))</f>
        <v>12</v>
      </c>
      <c r="AI30" s="79" t="n">
        <f aca="false">IF(OR(Q30="No",LEFT(H30,7)="IV only"),"",AH30*1000+IF(F30="",900+COUNTIFS($A$29:A30,A30,$H$29:H30,"Price*"),F30))</f>
        <v>12004</v>
      </c>
      <c r="AJ30" s="79" t="n">
        <f aca="false">IF(H30&lt;&gt;"","",(4-VALUE(RIGHT(E30,1)))*10^7+N(O30))</f>
        <v>10001053.6</v>
      </c>
      <c r="AK30" s="20" t="n">
        <f aca="false">IF(AND(H30="",ISNUMBER(I30)),I30,"")</f>
        <v>10.14</v>
      </c>
      <c r="AL30" s="21" t="n">
        <f aca="false">IF(H30="",M30,"")</f>
        <v>35</v>
      </c>
    </row>
    <row r="31" customFormat="false" ht="28.35" hidden="false" customHeight="false" outlineLevel="0" collapsed="false">
      <c r="A31" s="16" t="s">
        <v>228</v>
      </c>
      <c r="B31" s="16" t="s">
        <v>295</v>
      </c>
      <c r="C31" s="17" t="s">
        <v>295</v>
      </c>
      <c r="D31" s="17" t="s">
        <v>296</v>
      </c>
      <c r="E31" s="15" t="str">
        <f aca="false">IF(H31&lt;&gt;"",IF(LEFT(H31,5)="Price","Excluded – price ≤ USD 5","Excluded – IV only"),IF(ISNUMBER(I31),IF(AND(I31&gt;=$C$3,M31&gt;=$E$3),"Priority 1",IF(OR(I31&gt;=$C$3,M31&gt;=$E$3),"Priority 2","Priority 3")),IF(M31&gt;=$E$3,"Priority 2","Priority 3")))</f>
        <v>Priority 1</v>
      </c>
      <c r="F31" s="15" t="n">
        <f aca="false">IF(H31&lt;&gt;"","",COUNTIFS($A$29:$A$361,A31,$H$29:$H$361,"",$AJ$29:$AJ$361,"&gt;"&amp;AJ31)+COUNTIFS($A$29:A31,A31,$H$29:H31,"",$AJ$29:AJ31,AJ31))</f>
        <v>1</v>
      </c>
      <c r="G31" s="17" t="str">
        <f aca="false">IF(H31&lt;&gt;"","",IF(ISNUMBER(I31),IF(I31&gt;=$C$3,"High price","Lower price"),"No price")&amp;", "&amp;IF(M31&gt;=$E$3,"high volume","lower volume"))</f>
        <v>High price, high volume</v>
      </c>
      <c r="H31" s="17" t="str">
        <f aca="false">IF(Q31="No","IV only (no ID, IM or SC route)",IF(AND(AE31&gt;0,AF31=0),"Price ≤ USD 5",""))</f>
        <v/>
      </c>
      <c r="I31" s="18" t="n">
        <f aca="false">IF(AF31&gt;0,ROUND(AVERAGEIFS('Shortlisted Drugs X Company (7)'!$N$3:$N$698,'Shortlisted Drugs X Company (7)'!$C$3:$C$698,$B31,'Shortlisted Drugs X Company (7)'!$E$3:$E$698,$AA31,'Shortlisted Drugs X Company (7)'!$N$3:$N$698,"&gt;5"),2),"")</f>
        <v>29.97</v>
      </c>
      <c r="J31" s="17" t="str">
        <f aca="false">IF(COUNTIFS('Shortlisted Drugs X Company (7)'!$C$3:$C$698,$B31,'Shortlisted Drugs X Company (7)'!$E$3:$E$698,$AA31,'Shortlisted Drugs X Company (7)'!$P$3:$P$698,"Exact")&gt;0,"Exact",IF(COUNTIFS('Shortlisted Drugs X Company (7)'!$C$3:$C$698,$B31,'Shortlisted Drugs X Company (7)'!$E$3:$E$698,$AA31,'Shortlisted Drugs X Company (7)'!$P$3:$P$698,"Same-market proxy")&gt;0,"Same-market proxy",IF(COUNTIFS('Shortlisted Drugs X Company (7)'!$C$3:$C$698,$B31,'Shortlisted Drugs X Company (7)'!$E$3:$E$698,$AA31,'Shortlisted Drugs X Company (7)'!$P$3:$P$698,"Cross-market proxy")&gt;0,"Cross-market proxy",IF(COUNTIFS('Shortlisted Drugs X Company (7)'!$C$3:$C$698,$B31,'Shortlisted Drugs X Company (7)'!$E$3:$E$698,$AA31,'Shortlisted Drugs X Company (7)'!$P$3:$P$698,"Source not found")&gt;0,"Source not found","No price found"))))</f>
        <v>Same-market proxy</v>
      </c>
      <c r="K31" s="19" t="n">
        <f aca="false">IFERROR(INDEX('Injectable Value'!$AB$28:$AB$178,MATCH(B31,'Injectable Value'!$A$28:$A$178,0)),"")</f>
        <v>146</v>
      </c>
      <c r="L31" s="77" t="n">
        <f aca="false">IFERROR(INDEX('Injectable Value'!$Z$28:$Z$178,MATCH(B31,'Injectable Value'!$A$28:$A$178,0)),"")</f>
        <v>1</v>
      </c>
      <c r="M31" s="19" t="n">
        <f aca="false">IFERROR(INDEX('Injectable Value'!$AC$28:$AC$178,MATCH(B31,'Injectable Value'!$A$28:$A$178,0)),"")</f>
        <v>146</v>
      </c>
      <c r="N31" s="19" t="n">
        <f aca="false">IFERROR(INDEX('Injectable Value'!$C$28:$C$178,MATCH(B31,'Injectable Value'!$A$28:$A$178,0)),"")</f>
        <v>11366.06</v>
      </c>
      <c r="O31" s="19" t="n">
        <f aca="false">IFERROR(ROUND(INDEX('Injectable Value'!$AA$28:$AA$178,MATCH(B31,'Injectable Value'!$A$28:$A$178,0)),1),"")</f>
        <v>11366.1</v>
      </c>
      <c r="P31" s="16" t="str">
        <f aca="false">IFERROR(INDEX('Route of Administration'!$C$5:$C$155,MATCH(B31,'Route of Administration'!$A$5:$A$155,0)),"")</f>
        <v>IM</v>
      </c>
      <c r="Q31" s="15" t="str">
        <f aca="false">IFERROR(INDEX('Route of Administration'!$D$5:$D$155,MATCH(B31,'Route of Administration'!$A$5:$A$155,0)),"")</f>
        <v>Yes</v>
      </c>
      <c r="R31" s="16" t="s">
        <v>291</v>
      </c>
      <c r="S31" s="17" t="s">
        <v>297</v>
      </c>
      <c r="T31" s="16" t="s">
        <v>283</v>
      </c>
      <c r="U31" s="17" t="str">
        <f aca="false">"Prefilled only"&amp;IF(AE31=0,"; No price found","")&amp;IF(AND(AE31&gt;0,AF31=0,AG31=0),"; Low price comes from another market – confirm with the company","")</f>
        <v>Prefilled only</v>
      </c>
      <c r="V31" s="17" t="s">
        <v>284</v>
      </c>
      <c r="W31" s="15" t="n">
        <v>1</v>
      </c>
      <c r="X31" s="17" t="s">
        <v>284</v>
      </c>
      <c r="Y31" s="17" t="s">
        <v>284</v>
      </c>
      <c r="Z31" s="17" t="s">
        <v>293</v>
      </c>
      <c r="AA31" s="16" t="s">
        <v>287</v>
      </c>
      <c r="AB31" s="78" t="s">
        <v>298</v>
      </c>
      <c r="AC31" s="20" t="n">
        <f aca="false">IF(AE31&gt;0,ROUND(AVERAGEIFS('Shortlisted Drugs X Company (7)'!$N$3:$N$698,'Shortlisted Drugs X Company (7)'!$C$3:$C$698,$B31,'Shortlisted Drugs X Company (7)'!$E$3:$E$698,$AA31,'Shortlisted Drugs X Company (7)'!$N$3:$N$698,"&gt;=0"),2),"")</f>
        <v>29.97</v>
      </c>
      <c r="AD31" s="79" t="str">
        <f aca="false">B31&amp;"|"&amp;AA31</f>
        <v>Fulvestrant|Alembic Pharmaceuticals</v>
      </c>
      <c r="AE31" s="22" t="n">
        <f aca="false">COUNTIFS('Shortlisted Drugs X Company (7)'!$C$3:$C$698,$B31,'Shortlisted Drugs X Company (7)'!$E$3:$E$698,$AA31,'Shortlisted Drugs X Company (7)'!$N$3:$N$698,"&gt;=0")</f>
        <v>1</v>
      </c>
      <c r="AF31" s="22" t="n">
        <f aca="false">COUNTIFS('Shortlisted Drugs X Company (7)'!$C$3:$C$698,$B31,'Shortlisted Drugs X Company (7)'!$E$3:$E$698,$AA31,'Shortlisted Drugs X Company (7)'!$N$3:$N$698,"&gt;5")</f>
        <v>1</v>
      </c>
      <c r="AG31" s="22" t="n">
        <f aca="false">COUNTIFS('Shortlisted Drugs X Company (7)'!$C$3:$C$698,$B31,'Shortlisted Drugs X Company (7)'!$E$3:$E$698,$AA31,'Shortlisted Drugs X Company (7)'!$P$3:$P$698,"Exact")+COUNTIFS('Shortlisted Drugs X Company (7)'!$C$3:$C$698,$B31,'Shortlisted Drugs X Company (7)'!$E$3:$E$698,$AA31,'Shortlisted Drugs X Company (7)'!$P$3:$P$698,"Same-market proxy")</f>
        <v>1</v>
      </c>
      <c r="AH31" s="22" t="n">
        <f aca="false">INDEX($G$7:$G$25,MATCH(A31,$A$7:$A$25,0))</f>
        <v>12</v>
      </c>
      <c r="AI31" s="79" t="n">
        <f aca="false">IF(OR(Q31="No",LEFT(H31,7)="IV only"),"",AH31*1000+IF(F31="",900+COUNTIFS($A$29:A31,A31,$H$29:H31,"Price*"),F31))</f>
        <v>12001</v>
      </c>
      <c r="AJ31" s="79" t="n">
        <f aca="false">IF(H31&lt;&gt;"","",(4-VALUE(RIGHT(E31,1)))*10^7+N(O31))</f>
        <v>30011366.1</v>
      </c>
      <c r="AK31" s="20" t="n">
        <f aca="false">IF(AND(H31="",ISNUMBER(I31)),I31,"")</f>
        <v>29.97</v>
      </c>
      <c r="AL31" s="21" t="n">
        <f aca="false">IF(H31="",M31,"")</f>
        <v>146</v>
      </c>
    </row>
    <row r="32" customFormat="false" ht="55.2" hidden="false" customHeight="false" outlineLevel="0" collapsed="false">
      <c r="A32" s="16" t="s">
        <v>228</v>
      </c>
      <c r="B32" s="16" t="s">
        <v>299</v>
      </c>
      <c r="C32" s="17" t="s">
        <v>300</v>
      </c>
      <c r="D32" s="17" t="s">
        <v>301</v>
      </c>
      <c r="E32" s="15" t="str">
        <f aca="false">IF(H32&lt;&gt;"",IF(LEFT(H32,5)="Price","Excluded – price ≤ USD 5","Excluded – IV only"),IF(ISNUMBER(I32),IF(AND(I32&gt;=$C$3,M32&gt;=$E$3),"Priority 1",IF(OR(I32&gt;=$C$3,M32&gt;=$E$3),"Priority 2","Priority 3")),IF(M32&gt;=$E$3,"Priority 2","Priority 3")))</f>
        <v>Priority 2</v>
      </c>
      <c r="F32" s="15" t="n">
        <f aca="false">IF(H32&lt;&gt;"","",COUNTIFS($A$29:$A$361,A32,$H$29:$H$361,"",$AJ$29:$AJ$361,"&gt;"&amp;AJ32)+COUNTIFS($A$29:A32,A32,$H$29:H32,"",$AJ$29:AJ32,AJ32))</f>
        <v>2</v>
      </c>
      <c r="G32" s="17" t="str">
        <f aca="false">IF(H32&lt;&gt;"","",IF(ISNUMBER(I32),IF(I32&gt;=$C$3,"High price","Lower price"),"No price")&amp;", "&amp;IF(M32&gt;=$E$3,"high volume","lower volume"))</f>
        <v>Lower price, high volume</v>
      </c>
      <c r="H32" s="17" t="str">
        <f aca="false">IF(Q32="No","IV only (no ID, IM or SC route)",IF(AND(AE32&gt;0,AF32=0),"Price ≤ USD 5",""))</f>
        <v/>
      </c>
      <c r="I32" s="18" t="n">
        <f aca="false">IF(AF32&gt;0,ROUND(AVERAGEIFS('Shortlisted Drugs X Company (7)'!$N$3:$N$698,'Shortlisted Drugs X Company (7)'!$C$3:$C$698,$B32,'Shortlisted Drugs X Company (7)'!$E$3:$E$698,$AA32,'Shortlisted Drugs X Company (7)'!$N$3:$N$698,"&gt;5"),2),"")</f>
        <v>10.36</v>
      </c>
      <c r="J32" s="17" t="str">
        <f aca="false">IF(COUNTIFS('Shortlisted Drugs X Company (7)'!$C$3:$C$698,$B32,'Shortlisted Drugs X Company (7)'!$E$3:$E$698,$AA32,'Shortlisted Drugs X Company (7)'!$P$3:$P$698,"Exact")&gt;0,"Exact",IF(COUNTIFS('Shortlisted Drugs X Company (7)'!$C$3:$C$698,$B32,'Shortlisted Drugs X Company (7)'!$E$3:$E$698,$AA32,'Shortlisted Drugs X Company (7)'!$P$3:$P$698,"Same-market proxy")&gt;0,"Same-market proxy",IF(COUNTIFS('Shortlisted Drugs X Company (7)'!$C$3:$C$698,$B32,'Shortlisted Drugs X Company (7)'!$E$3:$E$698,$AA32,'Shortlisted Drugs X Company (7)'!$P$3:$P$698,"Cross-market proxy")&gt;0,"Cross-market proxy",IF(COUNTIFS('Shortlisted Drugs X Company (7)'!$C$3:$C$698,$B32,'Shortlisted Drugs X Company (7)'!$E$3:$E$698,$AA32,'Shortlisted Drugs X Company (7)'!$P$3:$P$698,"Source not found")&gt;0,"Source not found","No price found"))))</f>
        <v>Same-market proxy</v>
      </c>
      <c r="K32" s="19" t="n">
        <f aca="false">IFERROR(INDEX('Injectable Value'!$AB$28:$AB$178,MATCH(B32,'Injectable Value'!$A$28:$A$178,0)),"")</f>
        <v>1282</v>
      </c>
      <c r="L32" s="77" t="n">
        <f aca="false">IFERROR(INDEX('Injectable Value'!$Z$28:$Z$178,MATCH(B32,'Injectable Value'!$A$28:$A$178,0)),"")</f>
        <v>0.776857437207773</v>
      </c>
      <c r="M32" s="19" t="n">
        <f aca="false">IFERROR(INDEX('Injectable Value'!$AC$28:$AC$178,MATCH(B32,'Injectable Value'!$A$28:$A$178,0)),"")</f>
        <v>996</v>
      </c>
      <c r="N32" s="19" t="n">
        <f aca="false">IFERROR(INDEX('Injectable Value'!$C$28:$C$178,MATCH(B32,'Injectable Value'!$A$28:$A$178,0)),"")</f>
        <v>16792.84</v>
      </c>
      <c r="O32" s="19" t="n">
        <f aca="false">IFERROR(ROUND(INDEX('Injectable Value'!$AA$28:$AA$178,MATCH(B32,'Injectable Value'!$A$28:$A$178,0)),1),"")</f>
        <v>13045.6</v>
      </c>
      <c r="P32" s="16" t="str">
        <f aca="false">IFERROR(INDEX('Route of Administration'!$C$5:$C$155,MATCH(B32,'Route of Administration'!$A$5:$A$155,0)),"")</f>
        <v>IV, IM, SC</v>
      </c>
      <c r="Q32" s="15" t="str">
        <f aca="false">IFERROR(INDEX('Route of Administration'!$D$5:$D$155,MATCH(B32,'Route of Administration'!$A$5:$A$155,0)),"")</f>
        <v>Yes</v>
      </c>
      <c r="R32" s="16" t="s">
        <v>281</v>
      </c>
      <c r="S32" s="17" t="s">
        <v>302</v>
      </c>
      <c r="T32" s="16" t="s">
        <v>283</v>
      </c>
      <c r="U32" s="17" t="str">
        <f aca="false">"Cancer drug (cytotoxic) – less relevant"&amp;IF(AE32=0,"; No price found","")&amp;IF(AND(AE32&gt;0,AF32=0,AG32=0),"; Low price comes from another market – confirm with the company","")</f>
        <v>Cancer drug (cytotoxic) – less relevant</v>
      </c>
      <c r="V32" s="17" t="s">
        <v>284</v>
      </c>
      <c r="W32" s="15" t="n">
        <v>1</v>
      </c>
      <c r="X32" s="17" t="s">
        <v>284</v>
      </c>
      <c r="Y32" s="17" t="s">
        <v>284</v>
      </c>
      <c r="Z32" s="17" t="s">
        <v>286</v>
      </c>
      <c r="AA32" s="16" t="s">
        <v>287</v>
      </c>
      <c r="AB32" s="78" t="s">
        <v>303</v>
      </c>
      <c r="AC32" s="20" t="n">
        <f aca="false">IF(AE32&gt;0,ROUND(AVERAGEIFS('Shortlisted Drugs X Company (7)'!$N$3:$N$698,'Shortlisted Drugs X Company (7)'!$C$3:$C$698,$B32,'Shortlisted Drugs X Company (7)'!$E$3:$E$698,$AA32,'Shortlisted Drugs X Company (7)'!$N$3:$N$698,"&gt;=0"),2),"")</f>
        <v>10.36</v>
      </c>
      <c r="AD32" s="79" t="str">
        <f aca="false">B32&amp;"|"&amp;AA32</f>
        <v>Methotrexate|Alembic Pharmaceuticals</v>
      </c>
      <c r="AE32" s="22" t="n">
        <f aca="false">COUNTIFS('Shortlisted Drugs X Company (7)'!$C$3:$C$698,$B32,'Shortlisted Drugs X Company (7)'!$E$3:$E$698,$AA32,'Shortlisted Drugs X Company (7)'!$N$3:$N$698,"&gt;=0")</f>
        <v>2</v>
      </c>
      <c r="AF32" s="22" t="n">
        <f aca="false">COUNTIFS('Shortlisted Drugs X Company (7)'!$C$3:$C$698,$B32,'Shortlisted Drugs X Company (7)'!$E$3:$E$698,$AA32,'Shortlisted Drugs X Company (7)'!$N$3:$N$698,"&gt;5")</f>
        <v>2</v>
      </c>
      <c r="AG32" s="22" t="n">
        <f aca="false">COUNTIFS('Shortlisted Drugs X Company (7)'!$C$3:$C$698,$B32,'Shortlisted Drugs X Company (7)'!$E$3:$E$698,$AA32,'Shortlisted Drugs X Company (7)'!$P$3:$P$698,"Exact")+COUNTIFS('Shortlisted Drugs X Company (7)'!$C$3:$C$698,$B32,'Shortlisted Drugs X Company (7)'!$E$3:$E$698,$AA32,'Shortlisted Drugs X Company (7)'!$P$3:$P$698,"Same-market proxy")</f>
        <v>2</v>
      </c>
      <c r="AH32" s="22" t="n">
        <f aca="false">INDEX($G$7:$G$25,MATCH(A32,$A$7:$A$25,0))</f>
        <v>12</v>
      </c>
      <c r="AI32" s="79" t="n">
        <f aca="false">IF(OR(Q32="No",LEFT(H32,7)="IV only"),"",AH32*1000+IF(F32="",900+COUNTIFS($A$29:A32,A32,$H$29:H32,"Price*"),F32))</f>
        <v>12002</v>
      </c>
      <c r="AJ32" s="79" t="n">
        <f aca="false">IF(H32&lt;&gt;"","",(4-VALUE(RIGHT(E32,1)))*10^7+N(O32))</f>
        <v>20013045.6</v>
      </c>
      <c r="AK32" s="20" t="n">
        <f aca="false">IF(AND(H32="",ISNUMBER(I32)),I32,"")</f>
        <v>10.36</v>
      </c>
      <c r="AL32" s="21" t="n">
        <f aca="false">IF(H32="",M32,"")</f>
        <v>996</v>
      </c>
    </row>
    <row r="33" customFormat="false" ht="41.75" hidden="false" customHeight="false" outlineLevel="0" collapsed="false">
      <c r="A33" s="16" t="s">
        <v>228</v>
      </c>
      <c r="B33" s="16" t="s">
        <v>304</v>
      </c>
      <c r="C33" s="17" t="s">
        <v>304</v>
      </c>
      <c r="D33" s="17" t="s">
        <v>305</v>
      </c>
      <c r="E33" s="15" t="str">
        <f aca="false">IF(H33&lt;&gt;"",IF(LEFT(H33,5)="Price","Excluded – price ≤ USD 5","Excluded – IV only"),IF(ISNUMBER(I33),IF(AND(I33&gt;=$C$3,M33&gt;=$E$3),"Priority 1",IF(OR(I33&gt;=$C$3,M33&gt;=$E$3),"Priority 2","Priority 3")),IF(M33&gt;=$E$3,"Priority 2","Priority 3")))</f>
        <v>Excluded – price ≤ USD 5</v>
      </c>
      <c r="F33" s="15" t="str">
        <f aca="false">IF(H33&lt;&gt;"","",COUNTIFS($A$29:$A$361,A33,$H$29:$H$361,"",$AJ$29:$AJ$361,"&gt;"&amp;AJ33)+COUNTIFS($A$29:A33,A33,$H$29:H33,"",$AJ$29:AJ33,AJ33))</f>
        <v/>
      </c>
      <c r="G33" s="17" t="str">
        <f aca="false">IF(H33&lt;&gt;"","",IF(ISNUMBER(I33),IF(I33&gt;=$C$3,"High price","Lower price"),"No price")&amp;", "&amp;IF(M33&gt;=$E$3,"high volume","lower volume"))</f>
        <v/>
      </c>
      <c r="H33" s="17" t="str">
        <f aca="false">IF(Q33="No","IV only (no ID, IM or SC route)",IF(AND(AE33&gt;0,AF33=0),"Price ≤ USD 5",""))</f>
        <v>Price ≤ USD 5</v>
      </c>
      <c r="I33" s="18" t="str">
        <f aca="false">IF(AF33&gt;0,ROUND(AVERAGEIFS('Shortlisted Drugs X Company (7)'!$N$3:$N$698,'Shortlisted Drugs X Company (7)'!$C$3:$C$698,$B33,'Shortlisted Drugs X Company (7)'!$E$3:$E$698,$AA33,'Shortlisted Drugs X Company (7)'!$N$3:$N$698,"&gt;5"),2),"")</f>
        <v/>
      </c>
      <c r="J33" s="17" t="str">
        <f aca="false">IF(COUNTIFS('Shortlisted Drugs X Company (7)'!$C$3:$C$698,$B33,'Shortlisted Drugs X Company (7)'!$E$3:$E$698,$AA33,'Shortlisted Drugs X Company (7)'!$P$3:$P$698,"Exact")&gt;0,"Exact",IF(COUNTIFS('Shortlisted Drugs X Company (7)'!$C$3:$C$698,$B33,'Shortlisted Drugs X Company (7)'!$E$3:$E$698,$AA33,'Shortlisted Drugs X Company (7)'!$P$3:$P$698,"Same-market proxy")&gt;0,"Same-market proxy",IF(COUNTIFS('Shortlisted Drugs X Company (7)'!$C$3:$C$698,$B33,'Shortlisted Drugs X Company (7)'!$E$3:$E$698,$AA33,'Shortlisted Drugs X Company (7)'!$P$3:$P$698,"Cross-market proxy")&gt;0,"Cross-market proxy",IF(COUNTIFS('Shortlisted Drugs X Company (7)'!$C$3:$C$698,$B33,'Shortlisted Drugs X Company (7)'!$E$3:$E$698,$AA33,'Shortlisted Drugs X Company (7)'!$P$3:$P$698,"Source not found")&gt;0,"Source not found","No price found"))))</f>
        <v>Same-market proxy</v>
      </c>
      <c r="K33" s="19" t="n">
        <f aca="false">IFERROR(INDEX('Injectable Value'!$AB$28:$AB$178,MATCH(B33,'Injectable Value'!$A$28:$A$178,0)),"")</f>
        <v>51</v>
      </c>
      <c r="L33" s="77" t="n">
        <f aca="false">IFERROR(INDEX('Injectable Value'!$Z$28:$Z$178,MATCH(B33,'Injectable Value'!$A$28:$A$178,0)),"")</f>
        <v>0.468334010008564</v>
      </c>
      <c r="M33" s="19" t="n">
        <f aca="false">IFERROR(INDEX('Injectable Value'!$AC$28:$AC$178,MATCH(B33,'Injectable Value'!$A$28:$A$178,0)),"")</f>
        <v>24</v>
      </c>
      <c r="N33" s="19" t="n">
        <f aca="false">IFERROR(INDEX('Injectable Value'!$C$28:$C$178,MATCH(B33,'Injectable Value'!$A$28:$A$178,0)),"")</f>
        <v>5770.02</v>
      </c>
      <c r="O33" s="19" t="n">
        <f aca="false">IFERROR(ROUND(INDEX('Injectable Value'!$AA$28:$AA$178,MATCH(B33,'Injectable Value'!$A$28:$A$178,0)),1),"")</f>
        <v>2702.3</v>
      </c>
      <c r="P33" s="16" t="str">
        <f aca="false">IFERROR(INDEX('Route of Administration'!$C$5:$C$155,MATCH(B33,'Route of Administration'!$A$5:$A$155,0)),"")</f>
        <v>IV, IM, SC</v>
      </c>
      <c r="Q33" s="15" t="str">
        <f aca="false">IFERROR(INDEX('Route of Administration'!$D$5:$D$155,MATCH(B33,'Route of Administration'!$A$5:$A$155,0)),"")</f>
        <v>Yes</v>
      </c>
      <c r="R33" s="16" t="s">
        <v>291</v>
      </c>
      <c r="S33" s="17" t="s">
        <v>306</v>
      </c>
      <c r="T33" s="16" t="s">
        <v>283</v>
      </c>
      <c r="U33" s="17" t="str">
        <f aca="false">"Prefilled only"&amp;IF(AE33=0,"; No price found","")&amp;IF(AND(AE33&gt;0,AF33=0,AG33=0),"; Low price comes from another market – confirm with the company","")</f>
        <v>Prefilled only</v>
      </c>
      <c r="V33" s="17" t="s">
        <v>284</v>
      </c>
      <c r="W33" s="15" t="n">
        <v>1</v>
      </c>
      <c r="X33" s="17" t="s">
        <v>284</v>
      </c>
      <c r="Y33" s="17" t="s">
        <v>284</v>
      </c>
      <c r="Z33" s="17" t="s">
        <v>293</v>
      </c>
      <c r="AA33" s="16" t="s">
        <v>287</v>
      </c>
      <c r="AB33" s="78" t="s">
        <v>307</v>
      </c>
      <c r="AC33" s="20" t="n">
        <f aca="false">IF(AE33&gt;0,ROUND(AVERAGEIFS('Shortlisted Drugs X Company (7)'!$N$3:$N$698,'Shortlisted Drugs X Company (7)'!$C$3:$C$698,$B33,'Shortlisted Drugs X Company (7)'!$E$3:$E$698,$AA33,'Shortlisted Drugs X Company (7)'!$N$3:$N$698,"&gt;=0"),2),"")</f>
        <v>3.99</v>
      </c>
      <c r="AD33" s="79" t="str">
        <f aca="false">B33&amp;"|"&amp;AA33</f>
        <v>Phytonadione|Alembic Pharmaceuticals</v>
      </c>
      <c r="AE33" s="22" t="n">
        <f aca="false">COUNTIFS('Shortlisted Drugs X Company (7)'!$C$3:$C$698,$B33,'Shortlisted Drugs X Company (7)'!$E$3:$E$698,$AA33,'Shortlisted Drugs X Company (7)'!$N$3:$N$698,"&gt;=0")</f>
        <v>1</v>
      </c>
      <c r="AF33" s="22" t="n">
        <f aca="false">COUNTIFS('Shortlisted Drugs X Company (7)'!$C$3:$C$698,$B33,'Shortlisted Drugs X Company (7)'!$E$3:$E$698,$AA33,'Shortlisted Drugs X Company (7)'!$N$3:$N$698,"&gt;5")</f>
        <v>0</v>
      </c>
      <c r="AG33" s="22" t="n">
        <f aca="false">COUNTIFS('Shortlisted Drugs X Company (7)'!$C$3:$C$698,$B33,'Shortlisted Drugs X Company (7)'!$E$3:$E$698,$AA33,'Shortlisted Drugs X Company (7)'!$P$3:$P$698,"Exact")+COUNTIFS('Shortlisted Drugs X Company (7)'!$C$3:$C$698,$B33,'Shortlisted Drugs X Company (7)'!$E$3:$E$698,$AA33,'Shortlisted Drugs X Company (7)'!$P$3:$P$698,"Same-market proxy")</f>
        <v>1</v>
      </c>
      <c r="AH33" s="22" t="n">
        <f aca="false">INDEX($G$7:$G$25,MATCH(A33,$A$7:$A$25,0))</f>
        <v>12</v>
      </c>
      <c r="AI33" s="79" t="n">
        <f aca="false">IF(OR(Q33="No",LEFT(H33,7)="IV only"),"",AH33*1000+IF(F33="",900+COUNTIFS($A$29:A33,A33,$H$29:H33,"Price*"),F33))</f>
        <v>12901</v>
      </c>
      <c r="AJ33" s="79" t="str">
        <f aca="false">IF(H33&lt;&gt;"","",(4-VALUE(RIGHT(E33,1)))*10^7+N(O33))</f>
        <v/>
      </c>
      <c r="AK33" s="79" t="str">
        <f aca="false">IF(AND(H33="",ISNUMBER(I33)),I33,"")</f>
        <v/>
      </c>
      <c r="AL33" s="79" t="str">
        <f aca="false">IF(H33="",M33,"")</f>
        <v/>
      </c>
    </row>
    <row r="34" customFormat="false" ht="41.75" hidden="false" customHeight="false" outlineLevel="0" collapsed="false">
      <c r="A34" s="16" t="s">
        <v>228</v>
      </c>
      <c r="B34" s="16" t="s">
        <v>308</v>
      </c>
      <c r="C34" s="17" t="s">
        <v>308</v>
      </c>
      <c r="D34" s="17" t="s">
        <v>309</v>
      </c>
      <c r="E34" s="15" t="str">
        <f aca="false">IF(H34&lt;&gt;"",IF(LEFT(H34,5)="Price","Excluded – price ≤ USD 5","Excluded – IV only"),IF(ISNUMBER(I34),IF(AND(I34&gt;=$C$3,M34&gt;=$E$3),"Priority 1",IF(OR(I34&gt;=$C$3,M34&gt;=$E$3),"Priority 2","Priority 3")),IF(M34&gt;=$E$3,"Priority 2","Priority 3")))</f>
        <v>Excluded – price ≤ USD 5</v>
      </c>
      <c r="F34" s="15" t="str">
        <f aca="false">IF(H34&lt;&gt;"","",COUNTIFS($A$29:$A$361,A34,$H$29:$H$361,"",$AJ$29:$AJ$361,"&gt;"&amp;AJ34)+COUNTIFS($A$29:A34,A34,$H$29:H34,"",$AJ$29:AJ34,AJ34))</f>
        <v/>
      </c>
      <c r="G34" s="17" t="str">
        <f aca="false">IF(H34&lt;&gt;"","",IF(ISNUMBER(I34),IF(I34&gt;=$C$3,"High price","Lower price"),"No price")&amp;", "&amp;IF(M34&gt;=$E$3,"high volume","lower volume"))</f>
        <v/>
      </c>
      <c r="H34" s="17" t="str">
        <f aca="false">IF(Q34="No","IV only (no ID, IM or SC route)",IF(AND(AE34&gt;0,AF34=0),"Price ≤ USD 5",""))</f>
        <v>Price ≤ USD 5</v>
      </c>
      <c r="I34" s="18" t="str">
        <f aca="false">IF(AF34&gt;0,ROUND(AVERAGEIFS('Shortlisted Drugs X Company (7)'!$N$3:$N$698,'Shortlisted Drugs X Company (7)'!$C$3:$C$698,$B34,'Shortlisted Drugs X Company (7)'!$E$3:$E$698,$AA34,'Shortlisted Drugs X Company (7)'!$N$3:$N$698,"&gt;5"),2),"")</f>
        <v/>
      </c>
      <c r="J34" s="17" t="str">
        <f aca="false">IF(COUNTIFS('Shortlisted Drugs X Company (7)'!$C$3:$C$698,$B34,'Shortlisted Drugs X Company (7)'!$E$3:$E$698,$AA34,'Shortlisted Drugs X Company (7)'!$P$3:$P$698,"Exact")&gt;0,"Exact",IF(COUNTIFS('Shortlisted Drugs X Company (7)'!$C$3:$C$698,$B34,'Shortlisted Drugs X Company (7)'!$E$3:$E$698,$AA34,'Shortlisted Drugs X Company (7)'!$P$3:$P$698,"Same-market proxy")&gt;0,"Same-market proxy",IF(COUNTIFS('Shortlisted Drugs X Company (7)'!$C$3:$C$698,$B34,'Shortlisted Drugs X Company (7)'!$E$3:$E$698,$AA34,'Shortlisted Drugs X Company (7)'!$P$3:$P$698,"Cross-market proxy")&gt;0,"Cross-market proxy",IF(COUNTIFS('Shortlisted Drugs X Company (7)'!$C$3:$C$698,$B34,'Shortlisted Drugs X Company (7)'!$E$3:$E$698,$AA34,'Shortlisted Drugs X Company (7)'!$P$3:$P$698,"Source not found")&gt;0,"Source not found","No price found"))))</f>
        <v>Same-market proxy</v>
      </c>
      <c r="K34" s="19" t="n">
        <f aca="false">IFERROR(INDEX('Injectable Value'!$AB$28:$AB$178,MATCH(B34,'Injectable Value'!$A$28:$A$178,0)),"")</f>
        <v>735</v>
      </c>
      <c r="L34" s="77" t="n">
        <f aca="false">IFERROR(INDEX('Injectable Value'!$Z$28:$Z$178,MATCH(B34,'Injectable Value'!$A$28:$A$178,0)),"")</f>
        <v>0.262678151411075</v>
      </c>
      <c r="M34" s="19" t="n">
        <f aca="false">IFERROR(INDEX('Injectable Value'!$AC$28:$AC$178,MATCH(B34,'Injectable Value'!$A$28:$A$178,0)),"")</f>
        <v>193</v>
      </c>
      <c r="N34" s="19" t="n">
        <f aca="false">IFERROR(INDEX('Injectable Value'!$C$28:$C$178,MATCH(B34,'Injectable Value'!$A$28:$A$178,0)),"")</f>
        <v>16205.48</v>
      </c>
      <c r="O34" s="19" t="n">
        <f aca="false">IFERROR(ROUND(INDEX('Injectable Value'!$AA$28:$AA$178,MATCH(B34,'Injectable Value'!$A$28:$A$178,0)),1),"")</f>
        <v>4256.8</v>
      </c>
      <c r="P34" s="16" t="str">
        <f aca="false">IFERROR(INDEX('Route of Administration'!$C$5:$C$155,MATCH(B34,'Route of Administration'!$A$5:$A$155,0)),"")</f>
        <v>IM</v>
      </c>
      <c r="Q34" s="15" t="str">
        <f aca="false">IFERROR(INDEX('Route of Administration'!$D$5:$D$155,MATCH(B34,'Route of Administration'!$A$5:$A$155,0)),"")</f>
        <v>Yes</v>
      </c>
      <c r="R34" s="16" t="s">
        <v>310</v>
      </c>
      <c r="S34" s="17" t="s">
        <v>311</v>
      </c>
      <c r="T34" s="16" t="s">
        <v>310</v>
      </c>
      <c r="U34" s="17" t="str">
        <f aca="false">""&amp;IF(AE34=0,"No price found","")&amp;IF(AND(AE34&gt;0,AF34=0,AG34=0),"Low price comes from another market – confirm with the company","")</f>
        <v/>
      </c>
      <c r="V34" s="17" t="s">
        <v>284</v>
      </c>
      <c r="W34" s="15" t="n">
        <v>1</v>
      </c>
      <c r="X34" s="17" t="s">
        <v>284</v>
      </c>
      <c r="Y34" s="17" t="s">
        <v>284</v>
      </c>
      <c r="Z34" s="17" t="s">
        <v>312</v>
      </c>
      <c r="AA34" s="16" t="s">
        <v>287</v>
      </c>
      <c r="AB34" s="78" t="s">
        <v>313</v>
      </c>
      <c r="AC34" s="20" t="n">
        <f aca="false">IF(AE34&gt;0,ROUND(AVERAGEIFS('Shortlisted Drugs X Company (7)'!$N$3:$N$698,'Shortlisted Drugs X Company (7)'!$C$3:$C$698,$B34,'Shortlisted Drugs X Company (7)'!$E$3:$E$698,$AA34,'Shortlisted Drugs X Company (7)'!$N$3:$N$698,"&gt;=0"),2),"")</f>
        <v>3.15</v>
      </c>
      <c r="AD34" s="79" t="str">
        <f aca="false">B34&amp;"|"&amp;AA34</f>
        <v>Triamcinolone Acetonide|Alembic Pharmaceuticals</v>
      </c>
      <c r="AE34" s="22" t="n">
        <f aca="false">COUNTIFS('Shortlisted Drugs X Company (7)'!$C$3:$C$698,$B34,'Shortlisted Drugs X Company (7)'!$E$3:$E$698,$AA34,'Shortlisted Drugs X Company (7)'!$N$3:$N$698,"&gt;=0")</f>
        <v>1</v>
      </c>
      <c r="AF34" s="22" t="n">
        <f aca="false">COUNTIFS('Shortlisted Drugs X Company (7)'!$C$3:$C$698,$B34,'Shortlisted Drugs X Company (7)'!$E$3:$E$698,$AA34,'Shortlisted Drugs X Company (7)'!$N$3:$N$698,"&gt;5")</f>
        <v>0</v>
      </c>
      <c r="AG34" s="22" t="n">
        <f aca="false">COUNTIFS('Shortlisted Drugs X Company (7)'!$C$3:$C$698,$B34,'Shortlisted Drugs X Company (7)'!$E$3:$E$698,$AA34,'Shortlisted Drugs X Company (7)'!$P$3:$P$698,"Exact")+COUNTIFS('Shortlisted Drugs X Company (7)'!$C$3:$C$698,$B34,'Shortlisted Drugs X Company (7)'!$E$3:$E$698,$AA34,'Shortlisted Drugs X Company (7)'!$P$3:$P$698,"Same-market proxy")</f>
        <v>1</v>
      </c>
      <c r="AH34" s="22" t="n">
        <f aca="false">INDEX($G$7:$G$25,MATCH(A34,$A$7:$A$25,0))</f>
        <v>12</v>
      </c>
      <c r="AI34" s="79" t="n">
        <f aca="false">IF(OR(Q34="No",LEFT(H34,7)="IV only"),"",AH34*1000+IF(F34="",900+COUNTIFS($A$29:A34,A34,$H$29:H34,"Price*"),F34))</f>
        <v>12902</v>
      </c>
      <c r="AJ34" s="79" t="str">
        <f aca="false">IF(H34&lt;&gt;"","",(4-VALUE(RIGHT(E34,1)))*10^7+N(O34))</f>
        <v/>
      </c>
      <c r="AK34" s="79" t="str">
        <f aca="false">IF(AND(H34="",ISNUMBER(I34)),I34,"")</f>
        <v/>
      </c>
      <c r="AL34" s="79" t="str">
        <f aca="false">IF(H34="",M34,"")</f>
        <v/>
      </c>
    </row>
    <row r="35" customFormat="false" ht="28.35" hidden="false" customHeight="false" outlineLevel="0" collapsed="false">
      <c r="A35" s="16" t="s">
        <v>229</v>
      </c>
      <c r="B35" s="16" t="s">
        <v>314</v>
      </c>
      <c r="C35" s="17" t="s">
        <v>315</v>
      </c>
      <c r="D35" s="17" t="s">
        <v>316</v>
      </c>
      <c r="E35" s="15" t="str">
        <f aca="false">IF(H35&lt;&gt;"",IF(LEFT(H35,5)="Price","Excluded – price ≤ USD 5","Excluded – IV only"),IF(ISNUMBER(I35),IF(AND(I35&gt;=$C$3,M35&gt;=$E$3),"Priority 1",IF(OR(I35&gt;=$C$3,M35&gt;=$E$3),"Priority 2","Priority 3")),IF(M35&gt;=$E$3,"Priority 2","Priority 3")))</f>
        <v>Priority 2</v>
      </c>
      <c r="F35" s="15" t="n">
        <f aca="false">IF(H35&lt;&gt;"","",COUNTIFS($A$29:$A$361,A35,$H$29:$H$361,"",$AJ$29:$AJ$361,"&gt;"&amp;AJ35)+COUNTIFS($A$29:A35,A35,$H$29:H35,"",$AJ$29:AJ35,AJ35))</f>
        <v>8</v>
      </c>
      <c r="G35" s="17" t="str">
        <f aca="false">IF(H35&lt;&gt;"","",IF(ISNUMBER(I35),IF(I35&gt;=$C$3,"High price","Lower price"),"No price")&amp;", "&amp;IF(M35&gt;=$E$3,"high volume","lower volume"))</f>
        <v>Lower price, high volume</v>
      </c>
      <c r="H35" s="17" t="str">
        <f aca="false">IF(Q35="No","IV only (no ID, IM or SC route)",IF(AND(AE35&gt;0,AF35=0),"Price ≤ USD 5",""))</f>
        <v/>
      </c>
      <c r="I35" s="18" t="n">
        <f aca="false">IF(AF35&gt;0,ROUND(AVERAGEIFS('Shortlisted Drugs X Company (7)'!$N$3:$N$698,'Shortlisted Drugs X Company (7)'!$C$3:$C$698,$B35,'Shortlisted Drugs X Company (7)'!$E$3:$E$698,$AA35,'Shortlisted Drugs X Company (7)'!$N$3:$N$698,"&gt;5"),2),"")</f>
        <v>7.79</v>
      </c>
      <c r="J35" s="17" t="str">
        <f aca="false">IF(COUNTIFS('Shortlisted Drugs X Company (7)'!$C$3:$C$698,$B35,'Shortlisted Drugs X Company (7)'!$E$3:$E$698,$AA35,'Shortlisted Drugs X Company (7)'!$P$3:$P$698,"Exact")&gt;0,"Exact",IF(COUNTIFS('Shortlisted Drugs X Company (7)'!$C$3:$C$698,$B35,'Shortlisted Drugs X Company (7)'!$E$3:$E$698,$AA35,'Shortlisted Drugs X Company (7)'!$P$3:$P$698,"Same-market proxy")&gt;0,"Same-market proxy",IF(COUNTIFS('Shortlisted Drugs X Company (7)'!$C$3:$C$698,$B35,'Shortlisted Drugs X Company (7)'!$E$3:$E$698,$AA35,'Shortlisted Drugs X Company (7)'!$P$3:$P$698,"Cross-market proxy")&gt;0,"Cross-market proxy",IF(COUNTIFS('Shortlisted Drugs X Company (7)'!$C$3:$C$698,$B35,'Shortlisted Drugs X Company (7)'!$E$3:$E$698,$AA35,'Shortlisted Drugs X Company (7)'!$P$3:$P$698,"Source not found")&gt;0,"Source not found","No price found"))))</f>
        <v>Exact</v>
      </c>
      <c r="K35" s="19" t="n">
        <f aca="false">IFERROR(INDEX('Injectable Value'!$AB$28:$AB$178,MATCH(B35,'Injectable Value'!$A$28:$A$178,0)),"")</f>
        <v>1393</v>
      </c>
      <c r="L35" s="77" t="n">
        <f aca="false">IFERROR(INDEX('Injectable Value'!$Z$28:$Z$178,MATCH(B35,'Injectable Value'!$A$28:$A$178,0)),"")</f>
        <v>0.670397578386193</v>
      </c>
      <c r="M35" s="19" t="n">
        <f aca="false">IFERROR(INDEX('Injectable Value'!$AC$28:$AC$178,MATCH(B35,'Injectable Value'!$A$28:$A$178,0)),"")</f>
        <v>934</v>
      </c>
      <c r="N35" s="19" t="n">
        <f aca="false">IFERROR(INDEX('Injectable Value'!$C$28:$C$178,MATCH(B35,'Injectable Value'!$A$28:$A$178,0)),"")</f>
        <v>52401.4</v>
      </c>
      <c r="O35" s="19" t="n">
        <f aca="false">IFERROR(ROUND(INDEX('Injectable Value'!$AA$28:$AA$178,MATCH(B35,'Injectable Value'!$A$28:$A$178,0)),1),"")</f>
        <v>35129.8</v>
      </c>
      <c r="P35" s="16" t="str">
        <f aca="false">IFERROR(INDEX('Route of Administration'!$C$5:$C$155,MATCH(B35,'Route of Administration'!$A$5:$A$155,0)),"")</f>
        <v>IV, IM</v>
      </c>
      <c r="Q35" s="15" t="str">
        <f aca="false">IFERROR(INDEX('Route of Administration'!$D$5:$D$155,MATCH(B35,'Route of Administration'!$A$5:$A$155,0)),"")</f>
        <v>Yes</v>
      </c>
      <c r="R35" s="16" t="s">
        <v>281</v>
      </c>
      <c r="S35" s="17" t="s">
        <v>317</v>
      </c>
      <c r="T35" s="16" t="s">
        <v>318</v>
      </c>
      <c r="U35" s="17" t="str">
        <f aca="false">""&amp;IF(AE35=0,"No price found","")&amp;IF(AND(AE35&gt;0,AF35=0,AG35=0),"Low price comes from another market – confirm with the company","")</f>
        <v/>
      </c>
      <c r="V35" s="17" t="s">
        <v>319</v>
      </c>
      <c r="W35" s="15" t="n">
        <v>2</v>
      </c>
      <c r="X35" s="17" t="s">
        <v>320</v>
      </c>
      <c r="Y35" s="17" t="s">
        <v>320</v>
      </c>
      <c r="Z35" s="17" t="s">
        <v>321</v>
      </c>
      <c r="AA35" s="16" t="s">
        <v>322</v>
      </c>
      <c r="AB35" s="78" t="s">
        <v>323</v>
      </c>
      <c r="AC35" s="20" t="n">
        <f aca="false">IF(AE35&gt;0,ROUND(AVERAGEIFS('Shortlisted Drugs X Company (7)'!$N$3:$N$698,'Shortlisted Drugs X Company (7)'!$C$3:$C$698,$B35,'Shortlisted Drugs X Company (7)'!$E$3:$E$698,$AA35,'Shortlisted Drugs X Company (7)'!$N$3:$N$698,"&gt;=0"),2),"")</f>
        <v>7.79</v>
      </c>
      <c r="AD35" s="79" t="str">
        <f aca="false">B35&amp;"|"&amp;AA35</f>
        <v>Ampicillin|Aurobindo Pharma</v>
      </c>
      <c r="AE35" s="22" t="n">
        <f aca="false">COUNTIFS('Shortlisted Drugs X Company (7)'!$C$3:$C$698,$B35,'Shortlisted Drugs X Company (7)'!$E$3:$E$698,$AA35,'Shortlisted Drugs X Company (7)'!$N$3:$N$698,"&gt;=0")</f>
        <v>2</v>
      </c>
      <c r="AF35" s="22" t="n">
        <f aca="false">COUNTIFS('Shortlisted Drugs X Company (7)'!$C$3:$C$698,$B35,'Shortlisted Drugs X Company (7)'!$E$3:$E$698,$AA35,'Shortlisted Drugs X Company (7)'!$N$3:$N$698,"&gt;5")</f>
        <v>2</v>
      </c>
      <c r="AG35" s="22" t="n">
        <f aca="false">COUNTIFS('Shortlisted Drugs X Company (7)'!$C$3:$C$698,$B35,'Shortlisted Drugs X Company (7)'!$E$3:$E$698,$AA35,'Shortlisted Drugs X Company (7)'!$P$3:$P$698,"Exact")+COUNTIFS('Shortlisted Drugs X Company (7)'!$C$3:$C$698,$B35,'Shortlisted Drugs X Company (7)'!$E$3:$E$698,$AA35,'Shortlisted Drugs X Company (7)'!$P$3:$P$698,"Same-market proxy")</f>
        <v>2</v>
      </c>
      <c r="AH35" s="22" t="n">
        <f aca="false">INDEX($G$7:$G$25,MATCH(A35,$A$7:$A$25,0))</f>
        <v>2</v>
      </c>
      <c r="AI35" s="79" t="n">
        <f aca="false">IF(OR(Q35="No",LEFT(H35,7)="IV only"),"",AH35*1000+IF(F35="",900+COUNTIFS($A$29:A35,A35,$H$29:H35,"Price*"),F35))</f>
        <v>2008</v>
      </c>
      <c r="AJ35" s="79" t="n">
        <f aca="false">IF(H35&lt;&gt;"","",(4-VALUE(RIGHT(E35,1)))*10^7+N(O35))</f>
        <v>20035129.8</v>
      </c>
      <c r="AK35" s="20" t="n">
        <f aca="false">IF(AND(H35="",ISNUMBER(I35)),I35,"")</f>
        <v>7.79</v>
      </c>
      <c r="AL35" s="21" t="n">
        <f aca="false">IF(H35="",M35,"")</f>
        <v>934</v>
      </c>
    </row>
    <row r="36" customFormat="false" ht="41.75" hidden="false" customHeight="false" outlineLevel="0" collapsed="false">
      <c r="A36" s="16" t="s">
        <v>229</v>
      </c>
      <c r="B36" s="16" t="s">
        <v>324</v>
      </c>
      <c r="C36" s="17" t="s">
        <v>325</v>
      </c>
      <c r="D36" s="17" t="s">
        <v>326</v>
      </c>
      <c r="E36" s="15" t="str">
        <f aca="false">IF(H36&lt;&gt;"",IF(LEFT(H36,5)="Price","Excluded – price ≤ USD 5","Excluded – IV only"),IF(ISNUMBER(I36),IF(AND(I36&gt;=$C$3,M36&gt;=$E$3),"Priority 1",IF(OR(I36&gt;=$C$3,M36&gt;=$E$3),"Priority 2","Priority 3")),IF(M36&gt;=$E$3,"Priority 2","Priority 3")))</f>
        <v>Excluded – IV only</v>
      </c>
      <c r="F36" s="15" t="str">
        <f aca="false">IF(H36&lt;&gt;"","",COUNTIFS($A$29:$A$361,A36,$H$29:$H$361,"",$AJ$29:$AJ$361,"&gt;"&amp;AJ36)+COUNTIFS($A$29:A36,A36,$H$29:H36,"",$AJ$29:AJ36,AJ36))</f>
        <v/>
      </c>
      <c r="G36" s="17" t="str">
        <f aca="false">IF(H36&lt;&gt;"","",IF(ISNUMBER(I36),IF(I36&gt;=$C$3,"High price","Lower price"),"No price")&amp;", "&amp;IF(M36&gt;=$E$3,"high volume","lower volume"))</f>
        <v/>
      </c>
      <c r="H36" s="17" t="str">
        <f aca="false">IF(Q36="No","IV only (no ID, IM or SC route)",IF(AND(AE36&gt;0,AF36=0),"Price ≤ USD 5",""))</f>
        <v>IV only (no ID, IM or SC route)</v>
      </c>
      <c r="I36" s="18" t="n">
        <f aca="false">IF(AF36&gt;0,ROUND(AVERAGEIFS('Shortlisted Drugs X Company (7)'!$N$3:$N$698,'Shortlisted Drugs X Company (7)'!$C$3:$C$698,$B36,'Shortlisted Drugs X Company (7)'!$E$3:$E$698,$AA36,'Shortlisted Drugs X Company (7)'!$N$3:$N$698,"&gt;5"),2),"")</f>
        <v>90.4</v>
      </c>
      <c r="J36" s="17" t="str">
        <f aca="false">IF(COUNTIFS('Shortlisted Drugs X Company (7)'!$C$3:$C$698,$B36,'Shortlisted Drugs X Company (7)'!$E$3:$E$698,$AA36,'Shortlisted Drugs X Company (7)'!$P$3:$P$698,"Exact")&gt;0,"Exact",IF(COUNTIFS('Shortlisted Drugs X Company (7)'!$C$3:$C$698,$B36,'Shortlisted Drugs X Company (7)'!$E$3:$E$698,$AA36,'Shortlisted Drugs X Company (7)'!$P$3:$P$698,"Same-market proxy")&gt;0,"Same-market proxy",IF(COUNTIFS('Shortlisted Drugs X Company (7)'!$C$3:$C$698,$B36,'Shortlisted Drugs X Company (7)'!$E$3:$E$698,$AA36,'Shortlisted Drugs X Company (7)'!$P$3:$P$698,"Cross-market proxy")&gt;0,"Cross-market proxy",IF(COUNTIFS('Shortlisted Drugs X Company (7)'!$C$3:$C$698,$B36,'Shortlisted Drugs X Company (7)'!$E$3:$E$698,$AA36,'Shortlisted Drugs X Company (7)'!$P$3:$P$698,"Source not found")&gt;0,"Source not found","No price found"))))</f>
        <v>Same-market proxy</v>
      </c>
      <c r="K36" s="19" t="n">
        <f aca="false">IFERROR(INDEX('Injectable Value'!$AB$28:$AB$178,MATCH(B36,'Injectable Value'!$A$28:$A$178,0)),"")</f>
        <v>22</v>
      </c>
      <c r="L36" s="77" t="n">
        <f aca="false">IFERROR(INDEX('Injectable Value'!$Z$28:$Z$178,MATCH(B36,'Injectable Value'!$A$28:$A$178,0)),"")</f>
        <v>1</v>
      </c>
      <c r="M36" s="19" t="n">
        <f aca="false">IFERROR(INDEX('Injectable Value'!$AC$28:$AC$178,MATCH(B36,'Injectable Value'!$A$28:$A$178,0)),"")</f>
        <v>22</v>
      </c>
      <c r="N36" s="19" t="n">
        <f aca="false">IFERROR(INDEX('Injectable Value'!$C$28:$C$178,MATCH(B36,'Injectable Value'!$A$28:$A$178,0)),"")</f>
        <v>2127.31</v>
      </c>
      <c r="O36" s="19" t="n">
        <f aca="false">IFERROR(ROUND(INDEX('Injectable Value'!$AA$28:$AA$178,MATCH(B36,'Injectable Value'!$A$28:$A$178,0)),1),"")</f>
        <v>2127.3</v>
      </c>
      <c r="P36" s="16" t="str">
        <f aca="false">IFERROR(INDEX('Route of Administration'!$C$5:$C$155,MATCH(B36,'Route of Administration'!$A$5:$A$155,0)),"")</f>
        <v>IV</v>
      </c>
      <c r="Q36" s="15" t="str">
        <f aca="false">IFERROR(INDEX('Route of Administration'!$D$5:$D$155,MATCH(B36,'Route of Administration'!$A$5:$A$155,0)),"")</f>
        <v>No</v>
      </c>
      <c r="R36" s="16" t="s">
        <v>281</v>
      </c>
      <c r="S36" s="17" t="s">
        <v>327</v>
      </c>
      <c r="T36" s="16" t="s">
        <v>318</v>
      </c>
      <c r="U36" s="17" t="str">
        <f aca="false">""&amp;IF(AE36=0,"No price found","")&amp;IF(AND(AE36&gt;0,AF36=0,AG36=0),"Low price comes from another market – confirm with the company","")</f>
        <v/>
      </c>
      <c r="V36" s="17" t="s">
        <v>284</v>
      </c>
      <c r="W36" s="15" t="n">
        <v>1</v>
      </c>
      <c r="X36" s="17" t="s">
        <v>284</v>
      </c>
      <c r="Y36" s="17" t="s">
        <v>284</v>
      </c>
      <c r="Z36" s="17" t="s">
        <v>321</v>
      </c>
      <c r="AA36" s="16" t="s">
        <v>322</v>
      </c>
      <c r="AB36" s="78" t="s">
        <v>328</v>
      </c>
      <c r="AC36" s="20" t="n">
        <f aca="false">IF(AE36&gt;0,ROUND(AVERAGEIFS('Shortlisted Drugs X Company (7)'!$N$3:$N$698,'Shortlisted Drugs X Company (7)'!$C$3:$C$698,$B36,'Shortlisted Drugs X Company (7)'!$E$3:$E$698,$AA36,'Shortlisted Drugs X Company (7)'!$N$3:$N$698,"&gt;=0"),2),"")</f>
        <v>90.4</v>
      </c>
      <c r="AD36" s="79" t="str">
        <f aca="false">B36&amp;"|"&amp;AA36</f>
        <v>Argatroban|Aurobindo Pharma</v>
      </c>
      <c r="AE36" s="22" t="n">
        <f aca="false">COUNTIFS('Shortlisted Drugs X Company (7)'!$C$3:$C$698,$B36,'Shortlisted Drugs X Company (7)'!$E$3:$E$698,$AA36,'Shortlisted Drugs X Company (7)'!$N$3:$N$698,"&gt;=0")</f>
        <v>1</v>
      </c>
      <c r="AF36" s="22" t="n">
        <f aca="false">COUNTIFS('Shortlisted Drugs X Company (7)'!$C$3:$C$698,$B36,'Shortlisted Drugs X Company (7)'!$E$3:$E$698,$AA36,'Shortlisted Drugs X Company (7)'!$N$3:$N$698,"&gt;5")</f>
        <v>1</v>
      </c>
      <c r="AG36" s="22" t="n">
        <f aca="false">COUNTIFS('Shortlisted Drugs X Company (7)'!$C$3:$C$698,$B36,'Shortlisted Drugs X Company (7)'!$E$3:$E$698,$AA36,'Shortlisted Drugs X Company (7)'!$P$3:$P$698,"Exact")+COUNTIFS('Shortlisted Drugs X Company (7)'!$C$3:$C$698,$B36,'Shortlisted Drugs X Company (7)'!$E$3:$E$698,$AA36,'Shortlisted Drugs X Company (7)'!$P$3:$P$698,"Same-market proxy")</f>
        <v>1</v>
      </c>
      <c r="AH36" s="22" t="n">
        <f aca="false">INDEX($G$7:$G$25,MATCH(A36,$A$7:$A$25,0))</f>
        <v>2</v>
      </c>
      <c r="AI36" s="79" t="str">
        <f aca="false">IF(OR(Q36="No",LEFT(H36,7)="IV only"),"",AH36*1000+IF(F36="",900+COUNTIFS($A$29:A36,A36,$H$29:H36,"Price*"),F36))</f>
        <v/>
      </c>
      <c r="AJ36" s="79" t="str">
        <f aca="false">IF(H36&lt;&gt;"","",(4-VALUE(RIGHT(E36,1)))*10^7+N(O36))</f>
        <v/>
      </c>
      <c r="AK36" s="79" t="str">
        <f aca="false">IF(AND(H36="",ISNUMBER(I36)),I36,"")</f>
        <v/>
      </c>
      <c r="AL36" s="79" t="str">
        <f aca="false">IF(H36="",M36,"")</f>
        <v/>
      </c>
    </row>
    <row r="37" customFormat="false" ht="41.75" hidden="false" customHeight="false" outlineLevel="0" collapsed="false">
      <c r="A37" s="16" t="s">
        <v>229</v>
      </c>
      <c r="B37" s="16" t="s">
        <v>329</v>
      </c>
      <c r="C37" s="17" t="s">
        <v>330</v>
      </c>
      <c r="D37" s="17" t="s">
        <v>331</v>
      </c>
      <c r="E37" s="15" t="str">
        <f aca="false">IF(H37&lt;&gt;"",IF(LEFT(H37,5)="Price","Excluded – price ≤ USD 5","Excluded – IV only"),IF(ISNUMBER(I37),IF(AND(I37&gt;=$C$3,M37&gt;=$E$3),"Priority 1",IF(OR(I37&gt;=$C$3,M37&gt;=$E$3),"Priority 2","Priority 3")),IF(M37&gt;=$E$3,"Priority 2","Priority 3")))</f>
        <v>Priority 1</v>
      </c>
      <c r="F37" s="15" t="n">
        <f aca="false">IF(H37&lt;&gt;"","",COUNTIFS($A$29:$A$361,A37,$H$29:$H$361,"",$AJ$29:$AJ$361,"&gt;"&amp;AJ37)+COUNTIFS($A$29:A37,A37,$H$29:H37,"",$AJ$29:AJ37,AJ37))</f>
        <v>2</v>
      </c>
      <c r="G37" s="17" t="str">
        <f aca="false">IF(H37&lt;&gt;"","",IF(ISNUMBER(I37),IF(I37&gt;=$C$3,"High price","Lower price"),"No price")&amp;", "&amp;IF(M37&gt;=$E$3,"high volume","lower volume"))</f>
        <v>High price, high volume</v>
      </c>
      <c r="H37" s="17" t="str">
        <f aca="false">IF(Q37="No","IV only (no ID, IM or SC route)",IF(AND(AE37&gt;0,AF37=0),"Price ≤ USD 5",""))</f>
        <v/>
      </c>
      <c r="I37" s="18" t="n">
        <f aca="false">IF(AF37&gt;0,ROUND(AVERAGEIFS('Shortlisted Drugs X Company (7)'!$N$3:$N$698,'Shortlisted Drugs X Company (7)'!$C$3:$C$698,$B37,'Shortlisted Drugs X Company (7)'!$E$3:$E$698,$AA37,'Shortlisted Drugs X Company (7)'!$N$3:$N$698,"&gt;5"),2),"")</f>
        <v>256.12</v>
      </c>
      <c r="J37" s="17" t="str">
        <f aca="false">IF(COUNTIFS('Shortlisted Drugs X Company (7)'!$C$3:$C$698,$B37,'Shortlisted Drugs X Company (7)'!$E$3:$E$698,$AA37,'Shortlisted Drugs X Company (7)'!$P$3:$P$698,"Exact")&gt;0,"Exact",IF(COUNTIFS('Shortlisted Drugs X Company (7)'!$C$3:$C$698,$B37,'Shortlisted Drugs X Company (7)'!$E$3:$E$698,$AA37,'Shortlisted Drugs X Company (7)'!$P$3:$P$698,"Same-market proxy")&gt;0,"Same-market proxy",IF(COUNTIFS('Shortlisted Drugs X Company (7)'!$C$3:$C$698,$B37,'Shortlisted Drugs X Company (7)'!$E$3:$E$698,$AA37,'Shortlisted Drugs X Company (7)'!$P$3:$P$698,"Cross-market proxy")&gt;0,"Cross-market proxy",IF(COUNTIFS('Shortlisted Drugs X Company (7)'!$C$3:$C$698,$B37,'Shortlisted Drugs X Company (7)'!$E$3:$E$698,$AA37,'Shortlisted Drugs X Company (7)'!$P$3:$P$698,"Source not found")&gt;0,"Source not found","No price found"))))</f>
        <v>Exact</v>
      </c>
      <c r="K37" s="19" t="n">
        <f aca="false">IFERROR(INDEX('Injectable Value'!$AB$28:$AB$178,MATCH(B37,'Injectable Value'!$A$28:$A$178,0)),"")</f>
        <v>762</v>
      </c>
      <c r="L37" s="77" t="n">
        <f aca="false">IFERROR(INDEX('Injectable Value'!$Z$28:$Z$178,MATCH(B37,'Injectable Value'!$A$28:$A$178,0)),"")</f>
        <v>0.829278792417718</v>
      </c>
      <c r="M37" s="19" t="n">
        <f aca="false">IFERROR(INDEX('Injectable Value'!$AC$28:$AC$178,MATCH(B37,'Injectable Value'!$A$28:$A$178,0)),"")</f>
        <v>632</v>
      </c>
      <c r="N37" s="19" t="n">
        <f aca="false">IFERROR(INDEX('Injectable Value'!$C$28:$C$178,MATCH(B37,'Injectable Value'!$A$28:$A$178,0)),"")</f>
        <v>50865.56</v>
      </c>
      <c r="O37" s="19" t="n">
        <f aca="false">IFERROR(ROUND(INDEX('Injectable Value'!$AA$28:$AA$178,MATCH(B37,'Injectable Value'!$A$28:$A$178,0)),1),"")</f>
        <v>42181.7</v>
      </c>
      <c r="P37" s="16" t="str">
        <f aca="false">IFERROR(INDEX('Route of Administration'!$C$5:$C$155,MATCH(B37,'Route of Administration'!$A$5:$A$155,0)),"")</f>
        <v>IV, SC</v>
      </c>
      <c r="Q37" s="15" t="str">
        <f aca="false">IFERROR(INDEX('Route of Administration'!$D$5:$D$155,MATCH(B37,'Route of Administration'!$A$5:$A$155,0)),"")</f>
        <v>Yes</v>
      </c>
      <c r="R37" s="16" t="s">
        <v>281</v>
      </c>
      <c r="S37" s="17" t="s">
        <v>332</v>
      </c>
      <c r="T37" s="16" t="s">
        <v>333</v>
      </c>
      <c r="U37" s="17" t="str">
        <f aca="false">"Cancer drug (cytotoxic) – less relevant; Reconstitution"&amp;IF(AE37=0,"; No price found","")&amp;IF(AND(AE37&gt;0,AF37=0,AG37=0),"; Low price comes from another market – confirm with the company","")</f>
        <v>Cancer drug (cytotoxic) – less relevant; Reconstitution</v>
      </c>
      <c r="V37" s="17" t="s">
        <v>334</v>
      </c>
      <c r="W37" s="15" t="n">
        <v>11</v>
      </c>
      <c r="X37" s="17" t="s">
        <v>335</v>
      </c>
      <c r="Y37" s="17" t="s">
        <v>336</v>
      </c>
      <c r="Z37" s="17" t="s">
        <v>286</v>
      </c>
      <c r="AA37" s="16" t="s">
        <v>322</v>
      </c>
      <c r="AB37" s="78" t="s">
        <v>337</v>
      </c>
      <c r="AC37" s="20" t="n">
        <f aca="false">IF(AE37&gt;0,ROUND(AVERAGEIFS('Shortlisted Drugs X Company (7)'!$N$3:$N$698,'Shortlisted Drugs X Company (7)'!$C$3:$C$698,$B37,'Shortlisted Drugs X Company (7)'!$E$3:$E$698,$AA37,'Shortlisted Drugs X Company (7)'!$N$3:$N$698,"&gt;=0"),2),"")</f>
        <v>256.12</v>
      </c>
      <c r="AD37" s="79" t="str">
        <f aca="false">B37&amp;"|"&amp;AA37</f>
        <v>Azacitidine|Aurobindo Pharma</v>
      </c>
      <c r="AE37" s="22" t="n">
        <f aca="false">COUNTIFS('Shortlisted Drugs X Company (7)'!$C$3:$C$698,$B37,'Shortlisted Drugs X Company (7)'!$E$3:$E$698,$AA37,'Shortlisted Drugs X Company (7)'!$N$3:$N$698,"&gt;=0")</f>
        <v>3</v>
      </c>
      <c r="AF37" s="22" t="n">
        <f aca="false">COUNTIFS('Shortlisted Drugs X Company (7)'!$C$3:$C$698,$B37,'Shortlisted Drugs X Company (7)'!$E$3:$E$698,$AA37,'Shortlisted Drugs X Company (7)'!$N$3:$N$698,"&gt;5")</f>
        <v>3</v>
      </c>
      <c r="AG37" s="22" t="n">
        <f aca="false">COUNTIFS('Shortlisted Drugs X Company (7)'!$C$3:$C$698,$B37,'Shortlisted Drugs X Company (7)'!$E$3:$E$698,$AA37,'Shortlisted Drugs X Company (7)'!$P$3:$P$698,"Exact")+COUNTIFS('Shortlisted Drugs X Company (7)'!$C$3:$C$698,$B37,'Shortlisted Drugs X Company (7)'!$E$3:$E$698,$AA37,'Shortlisted Drugs X Company (7)'!$P$3:$P$698,"Same-market proxy")</f>
        <v>3</v>
      </c>
      <c r="AH37" s="22" t="n">
        <f aca="false">INDEX($G$7:$G$25,MATCH(A37,$A$7:$A$25,0))</f>
        <v>2</v>
      </c>
      <c r="AI37" s="79" t="n">
        <f aca="false">IF(OR(Q37="No",LEFT(H37,7)="IV only"),"",AH37*1000+IF(F37="",900+COUNTIFS($A$29:A37,A37,$H$29:H37,"Price*"),F37))</f>
        <v>2002</v>
      </c>
      <c r="AJ37" s="79" t="n">
        <f aca="false">IF(H37&lt;&gt;"","",(4-VALUE(RIGHT(E37,1)))*10^7+N(O37))</f>
        <v>30042181.7</v>
      </c>
      <c r="AK37" s="20" t="n">
        <f aca="false">IF(AND(H37="",ISNUMBER(I37)),I37,"")</f>
        <v>256.12</v>
      </c>
      <c r="AL37" s="21" t="n">
        <f aca="false">IF(H37="",M37,"")</f>
        <v>632</v>
      </c>
    </row>
    <row r="38" customFormat="false" ht="41.75" hidden="false" customHeight="false" outlineLevel="0" collapsed="false">
      <c r="A38" s="16" t="s">
        <v>229</v>
      </c>
      <c r="B38" s="16" t="s">
        <v>338</v>
      </c>
      <c r="C38" s="17" t="s">
        <v>339</v>
      </c>
      <c r="D38" s="17" t="s">
        <v>340</v>
      </c>
      <c r="E38" s="15" t="str">
        <f aca="false">IF(H38&lt;&gt;"",IF(LEFT(H38,5)="Price","Excluded – price ≤ USD 5","Excluded – IV only"),IF(ISNUMBER(I38),IF(AND(I38&gt;=$C$3,M38&gt;=$E$3),"Priority 1",IF(OR(I38&gt;=$C$3,M38&gt;=$E$3),"Priority 2","Priority 3")),IF(M38&gt;=$E$3,"Priority 2","Priority 3")))</f>
        <v>Priority 1</v>
      </c>
      <c r="F38" s="15" t="n">
        <f aca="false">IF(H38&lt;&gt;"","",COUNTIFS($A$29:$A$361,A38,$H$29:$H$361,"",$AJ$29:$AJ$361,"&gt;"&amp;AJ38)+COUNTIFS($A$29:A38,A38,$H$29:H38,"",$AJ$29:AJ38,AJ38))</f>
        <v>3</v>
      </c>
      <c r="G38" s="17" t="str">
        <f aca="false">IF(H38&lt;&gt;"","",IF(ISNUMBER(I38),IF(I38&gt;=$C$3,"High price","Lower price"),"No price")&amp;", "&amp;IF(M38&gt;=$E$3,"high volume","lower volume"))</f>
        <v>High price, high volume</v>
      </c>
      <c r="H38" s="17" t="str">
        <f aca="false">IF(Q38="No","IV only (no ID, IM or SC route)",IF(AND(AE38&gt;0,AF38=0),"Price ≤ USD 5",""))</f>
        <v/>
      </c>
      <c r="I38" s="18" t="n">
        <f aca="false">IF(AF38&gt;0,ROUND(AVERAGEIFS('Shortlisted Drugs X Company (7)'!$N$3:$N$698,'Shortlisted Drugs X Company (7)'!$C$3:$C$698,$B38,'Shortlisted Drugs X Company (7)'!$E$3:$E$698,$AA38,'Shortlisted Drugs X Company (7)'!$N$3:$N$698,"&gt;5"),2),"")</f>
        <v>584.34</v>
      </c>
      <c r="J38" s="17" t="str">
        <f aca="false">IF(COUNTIFS('Shortlisted Drugs X Company (7)'!$C$3:$C$698,$B38,'Shortlisted Drugs X Company (7)'!$E$3:$E$698,$AA38,'Shortlisted Drugs X Company (7)'!$P$3:$P$698,"Exact")&gt;0,"Exact",IF(COUNTIFS('Shortlisted Drugs X Company (7)'!$C$3:$C$698,$B38,'Shortlisted Drugs X Company (7)'!$E$3:$E$698,$AA38,'Shortlisted Drugs X Company (7)'!$P$3:$P$698,"Same-market proxy")&gt;0,"Same-market proxy",IF(COUNTIFS('Shortlisted Drugs X Company (7)'!$C$3:$C$698,$B38,'Shortlisted Drugs X Company (7)'!$E$3:$E$698,$AA38,'Shortlisted Drugs X Company (7)'!$P$3:$P$698,"Cross-market proxy")&gt;0,"Cross-market proxy",IF(COUNTIFS('Shortlisted Drugs X Company (7)'!$C$3:$C$698,$B38,'Shortlisted Drugs X Company (7)'!$E$3:$E$698,$AA38,'Shortlisted Drugs X Company (7)'!$P$3:$P$698,"Source not found")&gt;0,"Source not found","No price found"))))</f>
        <v>Exact</v>
      </c>
      <c r="K38" s="19" t="n">
        <f aca="false">IFERROR(INDEX('Injectable Value'!$AB$28:$AB$178,MATCH(B38,'Injectable Value'!$A$28:$A$178,0)),"")</f>
        <v>905</v>
      </c>
      <c r="L38" s="77" t="n">
        <f aca="false">IFERROR(INDEX('Injectable Value'!$Z$28:$Z$178,MATCH(B38,'Injectable Value'!$A$28:$A$178,0)),"")</f>
        <v>1</v>
      </c>
      <c r="M38" s="19" t="n">
        <f aca="false">IFERROR(INDEX('Injectable Value'!$AC$28:$AC$178,MATCH(B38,'Injectable Value'!$A$28:$A$178,0)),"")</f>
        <v>905</v>
      </c>
      <c r="N38" s="19" t="n">
        <f aca="false">IFERROR(INDEX('Injectable Value'!$C$28:$C$178,MATCH(B38,'Injectable Value'!$A$28:$A$178,0)),"")</f>
        <v>28093.38</v>
      </c>
      <c r="O38" s="19" t="n">
        <f aca="false">IFERROR(ROUND(INDEX('Injectable Value'!$AA$28:$AA$178,MATCH(B38,'Injectable Value'!$A$28:$A$178,0)),1),"")</f>
        <v>28093.4</v>
      </c>
      <c r="P38" s="16" t="str">
        <f aca="false">IFERROR(INDEX('Route of Administration'!$C$5:$C$155,MATCH(B38,'Route of Administration'!$A$5:$A$155,0)),"")</f>
        <v>IV, SC</v>
      </c>
      <c r="Q38" s="15" t="str">
        <f aca="false">IFERROR(INDEX('Route of Administration'!$D$5:$D$155,MATCH(B38,'Route of Administration'!$A$5:$A$155,0)),"")</f>
        <v>Yes</v>
      </c>
      <c r="R38" s="16" t="s">
        <v>281</v>
      </c>
      <c r="S38" s="17" t="s">
        <v>341</v>
      </c>
      <c r="T38" s="16" t="s">
        <v>333</v>
      </c>
      <c r="U38" s="17" t="str">
        <f aca="false">"Cancer drug (cytotoxic) – less relevant; Reconstitution"&amp;IF(AE38=0,"; No price found","")&amp;IF(AND(AE38&gt;0,AF38=0,AG38=0),"; Low price comes from another market – confirm with the company","")</f>
        <v>Cancer drug (cytotoxic) – less relevant; Reconstitution</v>
      </c>
      <c r="V38" s="17" t="s">
        <v>342</v>
      </c>
      <c r="W38" s="15" t="n">
        <v>12</v>
      </c>
      <c r="X38" s="17" t="s">
        <v>343</v>
      </c>
      <c r="Y38" s="17" t="s">
        <v>344</v>
      </c>
      <c r="Z38" s="17" t="s">
        <v>286</v>
      </c>
      <c r="AA38" s="16" t="s">
        <v>322</v>
      </c>
      <c r="AB38" s="78" t="s">
        <v>345</v>
      </c>
      <c r="AC38" s="20" t="n">
        <f aca="false">IF(AE38&gt;0,ROUND(AVERAGEIFS('Shortlisted Drugs X Company (7)'!$N$3:$N$698,'Shortlisted Drugs X Company (7)'!$C$3:$C$698,$B38,'Shortlisted Drugs X Company (7)'!$E$3:$E$698,$AA38,'Shortlisted Drugs X Company (7)'!$N$3:$N$698,"&gt;=0"),2),"")</f>
        <v>584.34</v>
      </c>
      <c r="AD38" s="79" t="str">
        <f aca="false">B38&amp;"|"&amp;AA38</f>
        <v>Bortezomib|Aurobindo Pharma</v>
      </c>
      <c r="AE38" s="22" t="n">
        <f aca="false">COUNTIFS('Shortlisted Drugs X Company (7)'!$C$3:$C$698,$B38,'Shortlisted Drugs X Company (7)'!$E$3:$E$698,$AA38,'Shortlisted Drugs X Company (7)'!$N$3:$N$698,"&gt;=0")</f>
        <v>4</v>
      </c>
      <c r="AF38" s="22" t="n">
        <f aca="false">COUNTIFS('Shortlisted Drugs X Company (7)'!$C$3:$C$698,$B38,'Shortlisted Drugs X Company (7)'!$E$3:$E$698,$AA38,'Shortlisted Drugs X Company (7)'!$N$3:$N$698,"&gt;5")</f>
        <v>4</v>
      </c>
      <c r="AG38" s="22" t="n">
        <f aca="false">COUNTIFS('Shortlisted Drugs X Company (7)'!$C$3:$C$698,$B38,'Shortlisted Drugs X Company (7)'!$E$3:$E$698,$AA38,'Shortlisted Drugs X Company (7)'!$P$3:$P$698,"Exact")+COUNTIFS('Shortlisted Drugs X Company (7)'!$C$3:$C$698,$B38,'Shortlisted Drugs X Company (7)'!$E$3:$E$698,$AA38,'Shortlisted Drugs X Company (7)'!$P$3:$P$698,"Same-market proxy")</f>
        <v>4</v>
      </c>
      <c r="AH38" s="22" t="n">
        <f aca="false">INDEX($G$7:$G$25,MATCH(A38,$A$7:$A$25,0))</f>
        <v>2</v>
      </c>
      <c r="AI38" s="79" t="n">
        <f aca="false">IF(OR(Q38="No",LEFT(H38,7)="IV only"),"",AH38*1000+IF(F38="",900+COUNTIFS($A$29:A38,A38,$H$29:H38,"Price*"),F38))</f>
        <v>2003</v>
      </c>
      <c r="AJ38" s="79" t="n">
        <f aca="false">IF(H38&lt;&gt;"","",(4-VALUE(RIGHT(E38,1)))*10^7+N(O38))</f>
        <v>30028093.4</v>
      </c>
      <c r="AK38" s="20" t="n">
        <f aca="false">IF(AND(H38="",ISNUMBER(I38)),I38,"")</f>
        <v>584.34</v>
      </c>
      <c r="AL38" s="21" t="n">
        <f aca="false">IF(H38="",M38,"")</f>
        <v>905</v>
      </c>
    </row>
    <row r="39" customFormat="false" ht="41.75" hidden="false" customHeight="false" outlineLevel="0" collapsed="false">
      <c r="A39" s="16" t="s">
        <v>229</v>
      </c>
      <c r="B39" s="16" t="s">
        <v>346</v>
      </c>
      <c r="C39" s="17" t="s">
        <v>347</v>
      </c>
      <c r="D39" s="17" t="s">
        <v>348</v>
      </c>
      <c r="E39" s="15" t="str">
        <f aca="false">IF(H39&lt;&gt;"",IF(LEFT(H39,5)="Price","Excluded – price ≤ USD 5","Excluded – IV only"),IF(ISNUMBER(I39),IF(AND(I39&gt;=$C$3,M39&gt;=$E$3),"Priority 1",IF(OR(I39&gt;=$C$3,M39&gt;=$E$3),"Priority 2","Priority 3")),IF(M39&gt;=$E$3,"Priority 2","Priority 3")))</f>
        <v>Priority 2</v>
      </c>
      <c r="F39" s="15" t="n">
        <f aca="false">IF(H39&lt;&gt;"","",COUNTIFS($A$29:$A$361,A39,$H$29:$H$361,"",$AJ$29:$AJ$361,"&gt;"&amp;AJ39)+COUNTIFS($A$29:A39,A39,$H$29:H39,"",$AJ$29:AJ39,AJ39))</f>
        <v>10</v>
      </c>
      <c r="G39" s="17" t="str">
        <f aca="false">IF(H39&lt;&gt;"","",IF(ISNUMBER(I39),IF(I39&gt;=$C$3,"High price","Lower price"),"No price")&amp;", "&amp;IF(M39&gt;=$E$3,"high volume","lower volume"))</f>
        <v>Lower price, high volume</v>
      </c>
      <c r="H39" s="17" t="str">
        <f aca="false">IF(Q39="No","IV only (no ID, IM or SC route)",IF(AND(AE39&gt;0,AF39=0),"Price ≤ USD 5",""))</f>
        <v/>
      </c>
      <c r="I39" s="18" t="n">
        <f aca="false">IF(AF39&gt;0,ROUND(AVERAGEIFS('Shortlisted Drugs X Company (7)'!$N$3:$N$698,'Shortlisted Drugs X Company (7)'!$C$3:$C$698,$B39,'Shortlisted Drugs X Company (7)'!$E$3:$E$698,$AA39,'Shortlisted Drugs X Company (7)'!$N$3:$N$698,"&gt;5"),2),"")</f>
        <v>5.15</v>
      </c>
      <c r="J39" s="17" t="str">
        <f aca="false">IF(COUNTIFS('Shortlisted Drugs X Company (7)'!$C$3:$C$698,$B39,'Shortlisted Drugs X Company (7)'!$E$3:$E$698,$AA39,'Shortlisted Drugs X Company (7)'!$P$3:$P$698,"Exact")&gt;0,"Exact",IF(COUNTIFS('Shortlisted Drugs X Company (7)'!$C$3:$C$698,$B39,'Shortlisted Drugs X Company (7)'!$E$3:$E$698,$AA39,'Shortlisted Drugs X Company (7)'!$P$3:$P$698,"Same-market proxy")&gt;0,"Same-market proxy",IF(COUNTIFS('Shortlisted Drugs X Company (7)'!$C$3:$C$698,$B39,'Shortlisted Drugs X Company (7)'!$E$3:$E$698,$AA39,'Shortlisted Drugs X Company (7)'!$P$3:$P$698,"Cross-market proxy")&gt;0,"Cross-market proxy",IF(COUNTIFS('Shortlisted Drugs X Company (7)'!$C$3:$C$698,$B39,'Shortlisted Drugs X Company (7)'!$E$3:$E$698,$AA39,'Shortlisted Drugs X Company (7)'!$P$3:$P$698,"Source not found")&gt;0,"Source not found","No price found"))))</f>
        <v>Exact</v>
      </c>
      <c r="K39" s="19" t="n">
        <f aca="false">IFERROR(INDEX('Injectable Value'!$AB$28:$AB$178,MATCH(B39,'Injectable Value'!$A$28:$A$178,0)),"")</f>
        <v>598</v>
      </c>
      <c r="L39" s="77" t="n">
        <f aca="false">IFERROR(INDEX('Injectable Value'!$Z$28:$Z$178,MATCH(B39,'Injectable Value'!$A$28:$A$178,0)),"")</f>
        <v>0.971428571428571</v>
      </c>
      <c r="M39" s="19" t="n">
        <f aca="false">IFERROR(INDEX('Injectable Value'!$AC$28:$AC$178,MATCH(B39,'Injectable Value'!$A$28:$A$178,0)),"")</f>
        <v>581</v>
      </c>
      <c r="N39" s="19" t="n">
        <f aca="false">IFERROR(INDEX('Injectable Value'!$C$28:$C$178,MATCH(B39,'Injectable Value'!$A$28:$A$178,0)),"")</f>
        <v>16840.43</v>
      </c>
      <c r="O39" s="19" t="n">
        <f aca="false">IFERROR(ROUND(INDEX('Injectable Value'!$AA$28:$AA$178,MATCH(B39,'Injectable Value'!$A$28:$A$178,0)),1),"")</f>
        <v>16359.3</v>
      </c>
      <c r="P39" s="16" t="str">
        <f aca="false">IFERROR(INDEX('Route of Administration'!$C$5:$C$155,MATCH(B39,'Route of Administration'!$A$5:$A$155,0)),"")</f>
        <v>Epidural, intra-articular, SC, perineural</v>
      </c>
      <c r="Q39" s="15" t="str">
        <f aca="false">IFERROR(INDEX('Route of Administration'!$D$5:$D$155,MATCH(B39,'Route of Administration'!$A$5:$A$155,0)),"")</f>
        <v>Yes</v>
      </c>
      <c r="R39" s="16" t="s">
        <v>349</v>
      </c>
      <c r="S39" s="17" t="s">
        <v>350</v>
      </c>
      <c r="T39" s="16" t="s">
        <v>283</v>
      </c>
      <c r="U39" s="17" t="str">
        <f aca="false">""&amp;IF(AE39=0,"No price found","")&amp;IF(AND(AE39&gt;0,AF39=0,AG39=0),"Low price comes from another market – confirm with the company","")</f>
        <v/>
      </c>
      <c r="V39" s="17" t="s">
        <v>351</v>
      </c>
      <c r="W39" s="15" t="n">
        <v>6</v>
      </c>
      <c r="X39" s="17" t="s">
        <v>352</v>
      </c>
      <c r="Y39" s="17" t="s">
        <v>352</v>
      </c>
      <c r="Z39" s="17" t="s">
        <v>321</v>
      </c>
      <c r="AA39" s="16" t="s">
        <v>322</v>
      </c>
      <c r="AB39" s="78" t="s">
        <v>353</v>
      </c>
      <c r="AC39" s="20" t="n">
        <f aca="false">IF(AE39&gt;0,ROUND(AVERAGEIFS('Shortlisted Drugs X Company (7)'!$N$3:$N$698,'Shortlisted Drugs X Company (7)'!$C$3:$C$698,$B39,'Shortlisted Drugs X Company (7)'!$E$3:$E$698,$AA39,'Shortlisted Drugs X Company (7)'!$N$3:$N$698,"&gt;=0"),2),"")</f>
        <v>5.15</v>
      </c>
      <c r="AD39" s="79" t="str">
        <f aca="false">B39&amp;"|"&amp;AA39</f>
        <v>Bupivacaine|Aurobindo Pharma</v>
      </c>
      <c r="AE39" s="22" t="n">
        <f aca="false">COUNTIFS('Shortlisted Drugs X Company (7)'!$C$3:$C$698,$B39,'Shortlisted Drugs X Company (7)'!$E$3:$E$698,$AA39,'Shortlisted Drugs X Company (7)'!$N$3:$N$698,"&gt;=0")</f>
        <v>1</v>
      </c>
      <c r="AF39" s="22" t="n">
        <f aca="false">COUNTIFS('Shortlisted Drugs X Company (7)'!$C$3:$C$698,$B39,'Shortlisted Drugs X Company (7)'!$E$3:$E$698,$AA39,'Shortlisted Drugs X Company (7)'!$N$3:$N$698,"&gt;5")</f>
        <v>1</v>
      </c>
      <c r="AG39" s="22" t="n">
        <f aca="false">COUNTIFS('Shortlisted Drugs X Company (7)'!$C$3:$C$698,$B39,'Shortlisted Drugs X Company (7)'!$E$3:$E$698,$AA39,'Shortlisted Drugs X Company (7)'!$P$3:$P$698,"Exact")+COUNTIFS('Shortlisted Drugs X Company (7)'!$C$3:$C$698,$B39,'Shortlisted Drugs X Company (7)'!$E$3:$E$698,$AA39,'Shortlisted Drugs X Company (7)'!$P$3:$P$698,"Same-market proxy")</f>
        <v>1</v>
      </c>
      <c r="AH39" s="22" t="n">
        <f aca="false">INDEX($G$7:$G$25,MATCH(A39,$A$7:$A$25,0))</f>
        <v>2</v>
      </c>
      <c r="AI39" s="79" t="n">
        <f aca="false">IF(OR(Q39="No",LEFT(H39,7)="IV only"),"",AH39*1000+IF(F39="",900+COUNTIFS($A$29:A39,A39,$H$29:H39,"Price*"),F39))</f>
        <v>2010</v>
      </c>
      <c r="AJ39" s="79" t="n">
        <f aca="false">IF(H39&lt;&gt;"","",(4-VALUE(RIGHT(E39,1)))*10^7+N(O39))</f>
        <v>20016359.3</v>
      </c>
      <c r="AK39" s="20" t="n">
        <f aca="false">IF(AND(H39="",ISNUMBER(I39)),I39,"")</f>
        <v>5.15</v>
      </c>
      <c r="AL39" s="21" t="n">
        <f aca="false">IF(H39="",M39,"")</f>
        <v>581</v>
      </c>
    </row>
    <row r="40" customFormat="false" ht="41.75" hidden="false" customHeight="false" outlineLevel="0" collapsed="false">
      <c r="A40" s="16" t="s">
        <v>229</v>
      </c>
      <c r="B40" s="16" t="s">
        <v>278</v>
      </c>
      <c r="C40" s="17" t="s">
        <v>354</v>
      </c>
      <c r="D40" s="17" t="s">
        <v>280</v>
      </c>
      <c r="E40" s="15" t="str">
        <f aca="false">IF(H40&lt;&gt;"",IF(LEFT(H40,5)="Price","Excluded – price ≤ USD 5","Excluded – IV only"),IF(ISNUMBER(I40),IF(AND(I40&gt;=$C$3,M40&gt;=$E$3),"Priority 1",IF(OR(I40&gt;=$C$3,M40&gt;=$E$3),"Priority 2","Priority 3")),IF(M40&gt;=$E$3,"Priority 2","Priority 3")))</f>
        <v>Priority 2</v>
      </c>
      <c r="F40" s="15" t="n">
        <f aca="false">IF(H40&lt;&gt;"","",COUNTIFS($A$29:$A$361,A40,$H$29:$H$361,"",$AJ$29:$AJ$361,"&gt;"&amp;AJ40)+COUNTIFS($A$29:A40,A40,$H$29:H40,"",$AJ$29:AJ40,AJ40))</f>
        <v>16</v>
      </c>
      <c r="G40" s="17" t="str">
        <f aca="false">IF(H40&lt;&gt;"","",IF(ISNUMBER(I40),IF(I40&gt;=$C$3,"High price","Lower price"),"No price")&amp;", "&amp;IF(M40&gt;=$E$3,"high volume","lower volume"))</f>
        <v>High price, lower volume</v>
      </c>
      <c r="H40" s="17" t="str">
        <f aca="false">IF(Q40="No","IV only (no ID, IM or SC route)",IF(AND(AE40&gt;0,AF40=0),"Price ≤ USD 5",""))</f>
        <v/>
      </c>
      <c r="I40" s="18" t="n">
        <f aca="false">IF(AF40&gt;0,ROUND(AVERAGEIFS('Shortlisted Drugs X Company (7)'!$N$3:$N$698,'Shortlisted Drugs X Company (7)'!$C$3:$C$698,$B40,'Shortlisted Drugs X Company (7)'!$E$3:$E$698,$AA40,'Shortlisted Drugs X Company (7)'!$N$3:$N$698,"&gt;5"),2),"")</f>
        <v>30.01</v>
      </c>
      <c r="J40" s="17" t="str">
        <f aca="false">IF(COUNTIFS('Shortlisted Drugs X Company (7)'!$C$3:$C$698,$B40,'Shortlisted Drugs X Company (7)'!$E$3:$E$698,$AA40,'Shortlisted Drugs X Company (7)'!$P$3:$P$698,"Exact")&gt;0,"Exact",IF(COUNTIFS('Shortlisted Drugs X Company (7)'!$C$3:$C$698,$B40,'Shortlisted Drugs X Company (7)'!$E$3:$E$698,$AA40,'Shortlisted Drugs X Company (7)'!$P$3:$P$698,"Same-market proxy")&gt;0,"Same-market proxy",IF(COUNTIFS('Shortlisted Drugs X Company (7)'!$C$3:$C$698,$B40,'Shortlisted Drugs X Company (7)'!$E$3:$E$698,$AA40,'Shortlisted Drugs X Company (7)'!$P$3:$P$698,"Cross-market proxy")&gt;0,"Cross-market proxy",IF(COUNTIFS('Shortlisted Drugs X Company (7)'!$C$3:$C$698,$B40,'Shortlisted Drugs X Company (7)'!$E$3:$E$698,$AA40,'Shortlisted Drugs X Company (7)'!$P$3:$P$698,"Source not found")&gt;0,"Source not found","No price found"))))</f>
        <v>Same-market proxy</v>
      </c>
      <c r="K40" s="19" t="n">
        <f aca="false">IFERROR(INDEX('Injectable Value'!$AB$28:$AB$178,MATCH(B40,'Injectable Value'!$A$28:$A$178,0)),"")</f>
        <v>156</v>
      </c>
      <c r="L40" s="77" t="n">
        <f aca="false">IFERROR(INDEX('Injectable Value'!$Z$28:$Z$178,MATCH(B40,'Injectable Value'!$A$28:$A$178,0)),"")</f>
        <v>0.916666666666667</v>
      </c>
      <c r="M40" s="19" t="n">
        <f aca="false">IFERROR(INDEX('Injectable Value'!$AC$28:$AC$178,MATCH(B40,'Injectable Value'!$A$28:$A$178,0)),"")</f>
        <v>143</v>
      </c>
      <c r="N40" s="19" t="n">
        <f aca="false">IFERROR(INDEX('Injectable Value'!$C$28:$C$178,MATCH(B40,'Injectable Value'!$A$28:$A$178,0)),"")</f>
        <v>3954.83</v>
      </c>
      <c r="O40" s="19" t="n">
        <f aca="false">IFERROR(ROUND(INDEX('Injectable Value'!$AA$28:$AA$178,MATCH(B40,'Injectable Value'!$A$28:$A$178,0)),1),"")</f>
        <v>3625.3</v>
      </c>
      <c r="P40" s="16" t="str">
        <f aca="false">IFERROR(INDEX('Route of Administration'!$C$5:$C$155,MATCH(B40,'Route of Administration'!$A$5:$A$155,0)),"")</f>
        <v>IM</v>
      </c>
      <c r="Q40" s="15" t="str">
        <f aca="false">IFERROR(INDEX('Route of Administration'!$D$5:$D$155,MATCH(B40,'Route of Administration'!$A$5:$A$155,0)),"")</f>
        <v>Yes</v>
      </c>
      <c r="R40" s="16" t="s">
        <v>281</v>
      </c>
      <c r="S40" s="17" t="s">
        <v>282</v>
      </c>
      <c r="T40" s="16" t="s">
        <v>283</v>
      </c>
      <c r="U40" s="17" t="str">
        <f aca="false">""&amp;IF(AE40=0,"No price found","")&amp;IF(AND(AE40&gt;0,AF40=0,AG40=0),"Low price comes from another market – confirm with the company","")</f>
        <v/>
      </c>
      <c r="V40" s="17" t="s">
        <v>284</v>
      </c>
      <c r="W40" s="15" t="n">
        <v>1</v>
      </c>
      <c r="X40" s="17" t="s">
        <v>284</v>
      </c>
      <c r="Y40" s="17" t="s">
        <v>284</v>
      </c>
      <c r="Z40" s="17" t="s">
        <v>286</v>
      </c>
      <c r="AA40" s="16" t="s">
        <v>322</v>
      </c>
      <c r="AB40" s="78" t="s">
        <v>288</v>
      </c>
      <c r="AC40" s="20" t="n">
        <f aca="false">IF(AE40&gt;0,ROUND(AVERAGEIFS('Shortlisted Drugs X Company (7)'!$N$3:$N$698,'Shortlisted Drugs X Company (7)'!$C$3:$C$698,$B40,'Shortlisted Drugs X Company (7)'!$E$3:$E$698,$AA40,'Shortlisted Drugs X Company (7)'!$N$3:$N$698,"&gt;=0"),2),"")</f>
        <v>30.01</v>
      </c>
      <c r="AD40" s="79" t="str">
        <f aca="false">B40&amp;"|"&amp;AA40</f>
        <v>Carboprost|Aurobindo Pharma</v>
      </c>
      <c r="AE40" s="22" t="n">
        <f aca="false">COUNTIFS('Shortlisted Drugs X Company (7)'!$C$3:$C$698,$B40,'Shortlisted Drugs X Company (7)'!$E$3:$E$698,$AA40,'Shortlisted Drugs X Company (7)'!$N$3:$N$698,"&gt;=0")</f>
        <v>1</v>
      </c>
      <c r="AF40" s="22" t="n">
        <f aca="false">COUNTIFS('Shortlisted Drugs X Company (7)'!$C$3:$C$698,$B40,'Shortlisted Drugs X Company (7)'!$E$3:$E$698,$AA40,'Shortlisted Drugs X Company (7)'!$N$3:$N$698,"&gt;5")</f>
        <v>1</v>
      </c>
      <c r="AG40" s="22" t="n">
        <f aca="false">COUNTIFS('Shortlisted Drugs X Company (7)'!$C$3:$C$698,$B40,'Shortlisted Drugs X Company (7)'!$E$3:$E$698,$AA40,'Shortlisted Drugs X Company (7)'!$P$3:$P$698,"Exact")+COUNTIFS('Shortlisted Drugs X Company (7)'!$C$3:$C$698,$B40,'Shortlisted Drugs X Company (7)'!$E$3:$E$698,$AA40,'Shortlisted Drugs X Company (7)'!$P$3:$P$698,"Same-market proxy")</f>
        <v>1</v>
      </c>
      <c r="AH40" s="22" t="n">
        <f aca="false">INDEX($G$7:$G$25,MATCH(A40,$A$7:$A$25,0))</f>
        <v>2</v>
      </c>
      <c r="AI40" s="79" t="n">
        <f aca="false">IF(OR(Q40="No",LEFT(H40,7)="IV only"),"",AH40*1000+IF(F40="",900+COUNTIFS($A$29:A40,A40,$H$29:H40,"Price*"),F40))</f>
        <v>2016</v>
      </c>
      <c r="AJ40" s="79" t="n">
        <f aca="false">IF(H40&lt;&gt;"","",(4-VALUE(RIGHT(E40,1)))*10^7+N(O40))</f>
        <v>20003625.3</v>
      </c>
      <c r="AK40" s="20" t="n">
        <f aca="false">IF(AND(H40="",ISNUMBER(I40)),I40,"")</f>
        <v>30.01</v>
      </c>
      <c r="AL40" s="21" t="n">
        <f aca="false">IF(H40="",M40,"")</f>
        <v>143</v>
      </c>
    </row>
    <row r="41" customFormat="false" ht="41.75" hidden="false" customHeight="false" outlineLevel="0" collapsed="false">
      <c r="A41" s="16" t="s">
        <v>229</v>
      </c>
      <c r="B41" s="16" t="s">
        <v>355</v>
      </c>
      <c r="C41" s="17" t="s">
        <v>356</v>
      </c>
      <c r="D41" s="17" t="s">
        <v>357</v>
      </c>
      <c r="E41" s="15" t="str">
        <f aca="false">IF(H41&lt;&gt;"",IF(LEFT(H41,5)="Price","Excluded – price ≤ USD 5","Excluded – IV only"),IF(ISNUMBER(I41),IF(AND(I41&gt;=$C$3,M41&gt;=$E$3),"Priority 1",IF(OR(I41&gt;=$C$3,M41&gt;=$E$3),"Priority 2","Priority 3")),IF(M41&gt;=$E$3,"Priority 2","Priority 3")))</f>
        <v>Priority 2</v>
      </c>
      <c r="F41" s="15" t="n">
        <f aca="false">IF(H41&lt;&gt;"","",COUNTIFS($A$29:$A$361,A41,$H$29:$H$361,"",$AJ$29:$AJ$361,"&gt;"&amp;AJ41)+COUNTIFS($A$29:A41,A41,$H$29:H41,"",$AJ$29:AJ41,AJ41))</f>
        <v>14</v>
      </c>
      <c r="G41" s="17" t="str">
        <f aca="false">IF(H41&lt;&gt;"","",IF(ISNUMBER(I41),IF(I41&gt;=$C$3,"High price","Lower price"),"No price")&amp;", "&amp;IF(M41&gt;=$E$3,"high volume","lower volume"))</f>
        <v>Lower price, high volume</v>
      </c>
      <c r="H41" s="17" t="str">
        <f aca="false">IF(Q41="No","IV only (no ID, IM or SC route)",IF(AND(AE41&gt;0,AF41=0),"Price ≤ USD 5",""))</f>
        <v/>
      </c>
      <c r="I41" s="18" t="n">
        <f aca="false">IF(AF41&gt;0,ROUND(AVERAGEIFS('Shortlisted Drugs X Company (7)'!$N$3:$N$698,'Shortlisted Drugs X Company (7)'!$C$3:$C$698,$B41,'Shortlisted Drugs X Company (7)'!$E$3:$E$698,$AA41,'Shortlisted Drugs X Company (7)'!$N$3:$N$698,"&gt;5"),2),"")</f>
        <v>9.08</v>
      </c>
      <c r="J41" s="17" t="str">
        <f aca="false">IF(COUNTIFS('Shortlisted Drugs X Company (7)'!$C$3:$C$698,$B41,'Shortlisted Drugs X Company (7)'!$E$3:$E$698,$AA41,'Shortlisted Drugs X Company (7)'!$P$3:$P$698,"Exact")&gt;0,"Exact",IF(COUNTIFS('Shortlisted Drugs X Company (7)'!$C$3:$C$698,$B41,'Shortlisted Drugs X Company (7)'!$E$3:$E$698,$AA41,'Shortlisted Drugs X Company (7)'!$P$3:$P$698,"Same-market proxy")&gt;0,"Same-market proxy",IF(COUNTIFS('Shortlisted Drugs X Company (7)'!$C$3:$C$698,$B41,'Shortlisted Drugs X Company (7)'!$E$3:$E$698,$AA41,'Shortlisted Drugs X Company (7)'!$P$3:$P$698,"Cross-market proxy")&gt;0,"Cross-market proxy",IF(COUNTIFS('Shortlisted Drugs X Company (7)'!$C$3:$C$698,$B41,'Shortlisted Drugs X Company (7)'!$E$3:$E$698,$AA41,'Shortlisted Drugs X Company (7)'!$P$3:$P$698,"Source not found")&gt;0,"Source not found","No price found"))))</f>
        <v>Exact</v>
      </c>
      <c r="K41" s="19" t="n">
        <f aca="false">IFERROR(INDEX('Injectable Value'!$AB$28:$AB$178,MATCH(B41,'Injectable Value'!$A$28:$A$178,0)),"")</f>
        <v>290</v>
      </c>
      <c r="L41" s="77" t="n">
        <f aca="false">IFERROR(INDEX('Injectable Value'!$Z$28:$Z$178,MATCH(B41,'Injectable Value'!$A$28:$A$178,0)),"")</f>
        <v>0.991596638655462</v>
      </c>
      <c r="M41" s="19" t="n">
        <f aca="false">IFERROR(INDEX('Injectable Value'!$AC$28:$AC$178,MATCH(B41,'Injectable Value'!$A$28:$A$178,0)),"")</f>
        <v>288</v>
      </c>
      <c r="N41" s="19" t="n">
        <f aca="false">IFERROR(INDEX('Injectable Value'!$C$28:$C$178,MATCH(B41,'Injectable Value'!$A$28:$A$178,0)),"")</f>
        <v>6348.25</v>
      </c>
      <c r="O41" s="19" t="n">
        <f aca="false">IFERROR(ROUND(INDEX('Injectable Value'!$AA$28:$AA$178,MATCH(B41,'Injectable Value'!$A$28:$A$178,0)),1),"")</f>
        <v>6294.9</v>
      </c>
      <c r="P41" s="16" t="str">
        <f aca="false">IFERROR(INDEX('Route of Administration'!$C$5:$C$155,MATCH(B41,'Route of Administration'!$A$5:$A$155,0)),"")</f>
        <v>IV, IM</v>
      </c>
      <c r="Q41" s="15" t="str">
        <f aca="false">IFERROR(INDEX('Route of Administration'!$D$5:$D$155,MATCH(B41,'Route of Administration'!$A$5:$A$155,0)),"")</f>
        <v>Yes</v>
      </c>
      <c r="R41" s="16" t="s">
        <v>281</v>
      </c>
      <c r="S41" s="17" t="s">
        <v>358</v>
      </c>
      <c r="T41" s="16" t="s">
        <v>359</v>
      </c>
      <c r="U41" s="17" t="str">
        <f aca="false">"Reconstitution"&amp;IF(AE41=0,"; No price found","")&amp;IF(AND(AE41&gt;0,AF41=0,AG41=0),"; Low price comes from another market – confirm with the company","")</f>
        <v>Reconstitution</v>
      </c>
      <c r="V41" s="17" t="s">
        <v>112</v>
      </c>
      <c r="W41" s="15" t="n">
        <v>1</v>
      </c>
      <c r="X41" s="17" t="s">
        <v>360</v>
      </c>
      <c r="Y41" s="17" t="s">
        <v>360</v>
      </c>
      <c r="Z41" s="17" t="s">
        <v>286</v>
      </c>
      <c r="AA41" s="16" t="s">
        <v>322</v>
      </c>
      <c r="AB41" s="78" t="s">
        <v>361</v>
      </c>
      <c r="AC41" s="20" t="n">
        <f aca="false">IF(AE41&gt;0,ROUND(AVERAGEIFS('Shortlisted Drugs X Company (7)'!$N$3:$N$698,'Shortlisted Drugs X Company (7)'!$C$3:$C$698,$B41,'Shortlisted Drugs X Company (7)'!$E$3:$E$698,$AA41,'Shortlisted Drugs X Company (7)'!$N$3:$N$698,"&gt;=0"),2),"")</f>
        <v>9.08</v>
      </c>
      <c r="AD41" s="79" t="str">
        <f aca="false">B41&amp;"|"&amp;AA41</f>
        <v>Cefepime|Aurobindo Pharma</v>
      </c>
      <c r="AE41" s="22" t="n">
        <f aca="false">COUNTIFS('Shortlisted Drugs X Company (7)'!$C$3:$C$698,$B41,'Shortlisted Drugs X Company (7)'!$E$3:$E$698,$AA41,'Shortlisted Drugs X Company (7)'!$N$3:$N$698,"&gt;=0")</f>
        <v>4</v>
      </c>
      <c r="AF41" s="22" t="n">
        <f aca="false">COUNTIFS('Shortlisted Drugs X Company (7)'!$C$3:$C$698,$B41,'Shortlisted Drugs X Company (7)'!$E$3:$E$698,$AA41,'Shortlisted Drugs X Company (7)'!$N$3:$N$698,"&gt;5")</f>
        <v>4</v>
      </c>
      <c r="AG41" s="22" t="n">
        <f aca="false">COUNTIFS('Shortlisted Drugs X Company (7)'!$C$3:$C$698,$B41,'Shortlisted Drugs X Company (7)'!$E$3:$E$698,$AA41,'Shortlisted Drugs X Company (7)'!$P$3:$P$698,"Exact")+COUNTIFS('Shortlisted Drugs X Company (7)'!$C$3:$C$698,$B41,'Shortlisted Drugs X Company (7)'!$E$3:$E$698,$AA41,'Shortlisted Drugs X Company (7)'!$P$3:$P$698,"Same-market proxy")</f>
        <v>4</v>
      </c>
      <c r="AH41" s="22" t="n">
        <f aca="false">INDEX($G$7:$G$25,MATCH(A41,$A$7:$A$25,0))</f>
        <v>2</v>
      </c>
      <c r="AI41" s="79" t="n">
        <f aca="false">IF(OR(Q41="No",LEFT(H41,7)="IV only"),"",AH41*1000+IF(F41="",900+COUNTIFS($A$29:A41,A41,$H$29:H41,"Price*"),F41))</f>
        <v>2014</v>
      </c>
      <c r="AJ41" s="79" t="n">
        <f aca="false">IF(H41&lt;&gt;"","",(4-VALUE(RIGHT(E41,1)))*10^7+N(O41))</f>
        <v>20006294.9</v>
      </c>
      <c r="AK41" s="20" t="n">
        <f aca="false">IF(AND(H41="",ISNUMBER(I41)),I41,"")</f>
        <v>9.08</v>
      </c>
      <c r="AL41" s="21" t="n">
        <f aca="false">IF(H41="",M41,"")</f>
        <v>288</v>
      </c>
    </row>
    <row r="42" customFormat="false" ht="41.75" hidden="false" customHeight="false" outlineLevel="0" collapsed="false">
      <c r="A42" s="16" t="s">
        <v>229</v>
      </c>
      <c r="B42" s="16" t="s">
        <v>362</v>
      </c>
      <c r="C42" s="17" t="s">
        <v>363</v>
      </c>
      <c r="D42" s="17" t="s">
        <v>364</v>
      </c>
      <c r="E42" s="15" t="str">
        <f aca="false">IF(H42&lt;&gt;"",IF(LEFT(H42,5)="Price","Excluded – price ≤ USD 5","Excluded – IV only"),IF(ISNUMBER(I42),IF(AND(I42&gt;=$C$3,M42&gt;=$E$3),"Priority 1",IF(OR(I42&gt;=$C$3,M42&gt;=$E$3),"Priority 2","Priority 3")),IF(M42&gt;=$E$3,"Priority 2","Priority 3")))</f>
        <v>Priority 2</v>
      </c>
      <c r="F42" s="15" t="n">
        <f aca="false">IF(H42&lt;&gt;"","",COUNTIFS($A$29:$A$361,A42,$H$29:$H$361,"",$AJ$29:$AJ$361,"&gt;"&amp;AJ42)+COUNTIFS($A$29:A42,A42,$H$29:H42,"",$AJ$29:AJ42,AJ42))</f>
        <v>15</v>
      </c>
      <c r="G42" s="17" t="str">
        <f aca="false">IF(H42&lt;&gt;"","",IF(ISNUMBER(I42),IF(I42&gt;=$C$3,"High price","Lower price"),"No price")&amp;", "&amp;IF(M42&gt;=$E$3,"high volume","lower volume"))</f>
        <v>Lower price, high volume</v>
      </c>
      <c r="H42" s="17" t="str">
        <f aca="false">IF(Q42="No","IV only (no ID, IM or SC route)",IF(AND(AE42&gt;0,AF42=0),"Price ≤ USD 5",""))</f>
        <v/>
      </c>
      <c r="I42" s="18" t="n">
        <f aca="false">IF(AF42&gt;0,ROUND(AVERAGEIFS('Shortlisted Drugs X Company (7)'!$N$3:$N$698,'Shortlisted Drugs X Company (7)'!$C$3:$C$698,$B42,'Shortlisted Drugs X Company (7)'!$E$3:$E$698,$AA42,'Shortlisted Drugs X Company (7)'!$N$3:$N$698,"&gt;5"),2),"")</f>
        <v>8.5</v>
      </c>
      <c r="J42" s="17" t="str">
        <f aca="false">IF(COUNTIFS('Shortlisted Drugs X Company (7)'!$C$3:$C$698,$B42,'Shortlisted Drugs X Company (7)'!$E$3:$E$698,$AA42,'Shortlisted Drugs X Company (7)'!$P$3:$P$698,"Exact")&gt;0,"Exact",IF(COUNTIFS('Shortlisted Drugs X Company (7)'!$C$3:$C$698,$B42,'Shortlisted Drugs X Company (7)'!$E$3:$E$698,$AA42,'Shortlisted Drugs X Company (7)'!$P$3:$P$698,"Same-market proxy")&gt;0,"Same-market proxy",IF(COUNTIFS('Shortlisted Drugs X Company (7)'!$C$3:$C$698,$B42,'Shortlisted Drugs X Company (7)'!$E$3:$E$698,$AA42,'Shortlisted Drugs X Company (7)'!$P$3:$P$698,"Cross-market proxy")&gt;0,"Cross-market proxy",IF(COUNTIFS('Shortlisted Drugs X Company (7)'!$C$3:$C$698,$B42,'Shortlisted Drugs X Company (7)'!$E$3:$E$698,$AA42,'Shortlisted Drugs X Company (7)'!$P$3:$P$698,"Source not found")&gt;0,"Source not found","No price found"))))</f>
        <v>Exact</v>
      </c>
      <c r="K42" s="19" t="n">
        <f aca="false">IFERROR(INDEX('Injectable Value'!$AB$28:$AB$178,MATCH(B42,'Injectable Value'!$A$28:$A$178,0)),"")</f>
        <v>335</v>
      </c>
      <c r="L42" s="77" t="n">
        <f aca="false">IFERROR(INDEX('Injectable Value'!$Z$28:$Z$178,MATCH(B42,'Injectable Value'!$A$28:$A$178,0)),"")</f>
        <v>1</v>
      </c>
      <c r="M42" s="19" t="n">
        <f aca="false">IFERROR(INDEX('Injectable Value'!$AC$28:$AC$178,MATCH(B42,'Injectable Value'!$A$28:$A$178,0)),"")</f>
        <v>335</v>
      </c>
      <c r="N42" s="19" t="n">
        <f aca="false">IFERROR(INDEX('Injectable Value'!$C$28:$C$178,MATCH(B42,'Injectable Value'!$A$28:$A$178,0)),"")</f>
        <v>5713.56</v>
      </c>
      <c r="O42" s="19" t="n">
        <f aca="false">IFERROR(ROUND(INDEX('Injectable Value'!$AA$28:$AA$178,MATCH(B42,'Injectable Value'!$A$28:$A$178,0)),1),"")</f>
        <v>5713.6</v>
      </c>
      <c r="P42" s="16" t="str">
        <f aca="false">IFERROR(INDEX('Route of Administration'!$C$5:$C$155,MATCH(B42,'Route of Administration'!$A$5:$A$155,0)),"")</f>
        <v>IV, IM</v>
      </c>
      <c r="Q42" s="15" t="str">
        <f aca="false">IFERROR(INDEX('Route of Administration'!$D$5:$D$155,MATCH(B42,'Route of Administration'!$A$5:$A$155,0)),"")</f>
        <v>Yes</v>
      </c>
      <c r="R42" s="16" t="s">
        <v>281</v>
      </c>
      <c r="S42" s="17" t="s">
        <v>365</v>
      </c>
      <c r="T42" s="16" t="s">
        <v>333</v>
      </c>
      <c r="U42" s="17" t="str">
        <f aca="false">"Reconstitution"&amp;IF(AE42=0,"; No price found","")&amp;IF(AND(AE42&gt;0,AF42=0,AG42=0),"; Low price comes from another market – confirm with the company","")</f>
        <v>Reconstitution</v>
      </c>
      <c r="V42" s="17" t="s">
        <v>366</v>
      </c>
      <c r="W42" s="15" t="n">
        <v>1</v>
      </c>
      <c r="X42" s="17" t="s">
        <v>367</v>
      </c>
      <c r="Y42" s="17" t="s">
        <v>367</v>
      </c>
      <c r="Z42" s="17" t="s">
        <v>286</v>
      </c>
      <c r="AA42" s="16" t="s">
        <v>322</v>
      </c>
      <c r="AB42" s="78" t="s">
        <v>368</v>
      </c>
      <c r="AC42" s="20" t="n">
        <f aca="false">IF(AE42&gt;0,ROUND(AVERAGEIFS('Shortlisted Drugs X Company (7)'!$N$3:$N$698,'Shortlisted Drugs X Company (7)'!$C$3:$C$698,$B42,'Shortlisted Drugs X Company (7)'!$E$3:$E$698,$AA42,'Shortlisted Drugs X Company (7)'!$N$3:$N$698,"&gt;=0"),2),"")</f>
        <v>8.5</v>
      </c>
      <c r="AD42" s="79" t="str">
        <f aca="false">B42&amp;"|"&amp;AA42</f>
        <v>Ceftazidime|Aurobindo Pharma</v>
      </c>
      <c r="AE42" s="22" t="n">
        <f aca="false">COUNTIFS('Shortlisted Drugs X Company (7)'!$C$3:$C$698,$B42,'Shortlisted Drugs X Company (7)'!$E$3:$E$698,$AA42,'Shortlisted Drugs X Company (7)'!$N$3:$N$698,"&gt;=0")</f>
        <v>1</v>
      </c>
      <c r="AF42" s="22" t="n">
        <f aca="false">COUNTIFS('Shortlisted Drugs X Company (7)'!$C$3:$C$698,$B42,'Shortlisted Drugs X Company (7)'!$E$3:$E$698,$AA42,'Shortlisted Drugs X Company (7)'!$N$3:$N$698,"&gt;5")</f>
        <v>1</v>
      </c>
      <c r="AG42" s="22" t="n">
        <f aca="false">COUNTIFS('Shortlisted Drugs X Company (7)'!$C$3:$C$698,$B42,'Shortlisted Drugs X Company (7)'!$E$3:$E$698,$AA42,'Shortlisted Drugs X Company (7)'!$P$3:$P$698,"Exact")+COUNTIFS('Shortlisted Drugs X Company (7)'!$C$3:$C$698,$B42,'Shortlisted Drugs X Company (7)'!$E$3:$E$698,$AA42,'Shortlisted Drugs X Company (7)'!$P$3:$P$698,"Same-market proxy")</f>
        <v>1</v>
      </c>
      <c r="AH42" s="22" t="n">
        <f aca="false">INDEX($G$7:$G$25,MATCH(A42,$A$7:$A$25,0))</f>
        <v>2</v>
      </c>
      <c r="AI42" s="79" t="n">
        <f aca="false">IF(OR(Q42="No",LEFT(H42,7)="IV only"),"",AH42*1000+IF(F42="",900+COUNTIFS($A$29:A42,A42,$H$29:H42,"Price*"),F42))</f>
        <v>2015</v>
      </c>
      <c r="AJ42" s="79" t="n">
        <f aca="false">IF(H42&lt;&gt;"","",(4-VALUE(RIGHT(E42,1)))*10^7+N(O42))</f>
        <v>20005713.6</v>
      </c>
      <c r="AK42" s="20" t="n">
        <f aca="false">IF(AND(H42="",ISNUMBER(I42)),I42,"")</f>
        <v>8.5</v>
      </c>
      <c r="AL42" s="21" t="n">
        <f aca="false">IF(H42="",M42,"")</f>
        <v>335</v>
      </c>
    </row>
    <row r="43" customFormat="false" ht="41.75" hidden="false" customHeight="false" outlineLevel="0" collapsed="false">
      <c r="A43" s="16" t="s">
        <v>229</v>
      </c>
      <c r="B43" s="16" t="s">
        <v>76</v>
      </c>
      <c r="C43" s="17" t="s">
        <v>369</v>
      </c>
      <c r="D43" s="17" t="s">
        <v>370</v>
      </c>
      <c r="E43" s="15" t="str">
        <f aca="false">IF(H43&lt;&gt;"",IF(LEFT(H43,5)="Price","Excluded – price ≤ USD 5","Excluded – IV only"),IF(ISNUMBER(I43),IF(AND(I43&gt;=$C$3,M43&gt;=$E$3),"Priority 1",IF(OR(I43&gt;=$C$3,M43&gt;=$E$3),"Priority 2","Priority 3")),IF(M43&gt;=$E$3,"Priority 2","Priority 3")))</f>
        <v>Priority 2</v>
      </c>
      <c r="F43" s="15" t="n">
        <f aca="false">IF(H43&lt;&gt;"","",COUNTIFS($A$29:$A$361,A43,$H$29:$H$361,"",$AJ$29:$AJ$361,"&gt;"&amp;AJ43)+COUNTIFS($A$29:A43,A43,$H$29:H43,"",$AJ$29:AJ43,AJ43))</f>
        <v>7</v>
      </c>
      <c r="G43" s="17" t="str">
        <f aca="false">IF(H43&lt;&gt;"","",IF(ISNUMBER(I43),IF(I43&gt;=$C$3,"High price","Lower price"),"No price")&amp;", "&amp;IF(M43&gt;=$E$3,"high volume","lower volume"))</f>
        <v>Lower price, high volume</v>
      </c>
      <c r="H43" s="17" t="str">
        <f aca="false">IF(Q43="No","IV only (no ID, IM or SC route)",IF(AND(AE43&gt;0,AF43=0),"Price ≤ USD 5",""))</f>
        <v/>
      </c>
      <c r="I43" s="18" t="n">
        <f aca="false">IF(AF43&gt;0,ROUND(AVERAGEIFS('Shortlisted Drugs X Company (7)'!$N$3:$N$698,'Shortlisted Drugs X Company (7)'!$C$3:$C$698,$B43,'Shortlisted Drugs X Company (7)'!$E$3:$E$698,$AA43,'Shortlisted Drugs X Company (7)'!$N$3:$N$698,"&gt;5"),2),"")</f>
        <v>5.6</v>
      </c>
      <c r="J43" s="17" t="str">
        <f aca="false">IF(COUNTIFS('Shortlisted Drugs X Company (7)'!$C$3:$C$698,$B43,'Shortlisted Drugs X Company (7)'!$E$3:$E$698,$AA43,'Shortlisted Drugs X Company (7)'!$P$3:$P$698,"Exact")&gt;0,"Exact",IF(COUNTIFS('Shortlisted Drugs X Company (7)'!$C$3:$C$698,$B43,'Shortlisted Drugs X Company (7)'!$E$3:$E$698,$AA43,'Shortlisted Drugs X Company (7)'!$P$3:$P$698,"Same-market proxy")&gt;0,"Same-market proxy",IF(COUNTIFS('Shortlisted Drugs X Company (7)'!$C$3:$C$698,$B43,'Shortlisted Drugs X Company (7)'!$E$3:$E$698,$AA43,'Shortlisted Drugs X Company (7)'!$P$3:$P$698,"Cross-market proxy")&gt;0,"Cross-market proxy",IF(COUNTIFS('Shortlisted Drugs X Company (7)'!$C$3:$C$698,$B43,'Shortlisted Drugs X Company (7)'!$E$3:$E$698,$AA43,'Shortlisted Drugs X Company (7)'!$P$3:$P$698,"Source not found")&gt;0,"Source not found","No price found"))))</f>
        <v>Exact</v>
      </c>
      <c r="K43" s="19" t="n">
        <f aca="false">IFERROR(INDEX('Injectable Value'!$AB$28:$AB$178,MATCH(B43,'Injectable Value'!$A$28:$A$178,0)),"")</f>
        <v>3110</v>
      </c>
      <c r="L43" s="77" t="n">
        <f aca="false">IFERROR(INDEX('Injectable Value'!$Z$28:$Z$178,MATCH(B43,'Injectable Value'!$A$28:$A$178,0)),"")</f>
        <v>1</v>
      </c>
      <c r="M43" s="19" t="n">
        <f aca="false">IFERROR(INDEX('Injectable Value'!$AC$28:$AC$178,MATCH(B43,'Injectable Value'!$A$28:$A$178,0)),"")</f>
        <v>3110</v>
      </c>
      <c r="N43" s="19" t="n">
        <f aca="false">IFERROR(INDEX('Injectable Value'!$C$28:$C$178,MATCH(B43,'Injectable Value'!$A$28:$A$178,0)),"")</f>
        <v>93119.22</v>
      </c>
      <c r="O43" s="19" t="n">
        <f aca="false">IFERROR(ROUND(INDEX('Injectable Value'!$AA$28:$AA$178,MATCH(B43,'Injectable Value'!$A$28:$A$178,0)),1),"")</f>
        <v>93119.2</v>
      </c>
      <c r="P43" s="16" t="str">
        <f aca="false">IFERROR(INDEX('Route of Administration'!$C$5:$C$155,MATCH(B43,'Route of Administration'!$A$5:$A$155,0)),"")</f>
        <v>IV, IM</v>
      </c>
      <c r="Q43" s="15" t="str">
        <f aca="false">IFERROR(INDEX('Route of Administration'!$D$5:$D$155,MATCH(B43,'Route of Administration'!$A$5:$A$155,0)),"")</f>
        <v>Yes</v>
      </c>
      <c r="R43" s="16" t="s">
        <v>371</v>
      </c>
      <c r="S43" s="17" t="s">
        <v>365</v>
      </c>
      <c r="T43" s="16" t="s">
        <v>283</v>
      </c>
      <c r="U43" s="17" t="str">
        <f aca="false">"Reconstitution"&amp;IF(AE43=0,"; No price found","")&amp;IF(AND(AE43&gt;0,AF43=0,AG43=0),"; Low price comes from another market – confirm with the company","")</f>
        <v>Reconstitution</v>
      </c>
      <c r="V43" s="17" t="s">
        <v>372</v>
      </c>
      <c r="W43" s="15" t="n">
        <v>4</v>
      </c>
      <c r="X43" s="17" t="s">
        <v>373</v>
      </c>
      <c r="Y43" s="17" t="s">
        <v>373</v>
      </c>
      <c r="Z43" s="17" t="s">
        <v>286</v>
      </c>
      <c r="AA43" s="16" t="s">
        <v>322</v>
      </c>
      <c r="AB43" s="78" t="s">
        <v>374</v>
      </c>
      <c r="AC43" s="20" t="n">
        <f aca="false">IF(AE43&gt;0,ROUND(AVERAGEIFS('Shortlisted Drugs X Company (7)'!$N$3:$N$698,'Shortlisted Drugs X Company (7)'!$C$3:$C$698,$B43,'Shortlisted Drugs X Company (7)'!$E$3:$E$698,$AA43,'Shortlisted Drugs X Company (7)'!$N$3:$N$698,"&gt;=0"),2),"")</f>
        <v>5.6</v>
      </c>
      <c r="AD43" s="79" t="str">
        <f aca="false">B43&amp;"|"&amp;AA43</f>
        <v>Ceftriaxone|Aurobindo Pharma</v>
      </c>
      <c r="AE43" s="22" t="n">
        <f aca="false">COUNTIFS('Shortlisted Drugs X Company (7)'!$C$3:$C$698,$B43,'Shortlisted Drugs X Company (7)'!$E$3:$E$698,$AA43,'Shortlisted Drugs X Company (7)'!$N$3:$N$698,"&gt;=0")</f>
        <v>2</v>
      </c>
      <c r="AF43" s="22" t="n">
        <f aca="false">COUNTIFS('Shortlisted Drugs X Company (7)'!$C$3:$C$698,$B43,'Shortlisted Drugs X Company (7)'!$E$3:$E$698,$AA43,'Shortlisted Drugs X Company (7)'!$N$3:$N$698,"&gt;5")</f>
        <v>2</v>
      </c>
      <c r="AG43" s="22" t="n">
        <f aca="false">COUNTIFS('Shortlisted Drugs X Company (7)'!$C$3:$C$698,$B43,'Shortlisted Drugs X Company (7)'!$E$3:$E$698,$AA43,'Shortlisted Drugs X Company (7)'!$P$3:$P$698,"Exact")+COUNTIFS('Shortlisted Drugs X Company (7)'!$C$3:$C$698,$B43,'Shortlisted Drugs X Company (7)'!$E$3:$E$698,$AA43,'Shortlisted Drugs X Company (7)'!$P$3:$P$698,"Same-market proxy")</f>
        <v>2</v>
      </c>
      <c r="AH43" s="22" t="n">
        <f aca="false">INDEX($G$7:$G$25,MATCH(A43,$A$7:$A$25,0))</f>
        <v>2</v>
      </c>
      <c r="AI43" s="79" t="n">
        <f aca="false">IF(OR(Q43="No",LEFT(H43,7)="IV only"),"",AH43*1000+IF(F43="",900+COUNTIFS($A$29:A43,A43,$H$29:H43,"Price*"),F43))</f>
        <v>2007</v>
      </c>
      <c r="AJ43" s="79" t="n">
        <f aca="false">IF(H43&lt;&gt;"","",(4-VALUE(RIGHT(E43,1)))*10^7+N(O43))</f>
        <v>20093119.2</v>
      </c>
      <c r="AK43" s="20" t="n">
        <f aca="false">IF(AND(H43="",ISNUMBER(I43)),I43,"")</f>
        <v>5.6</v>
      </c>
      <c r="AL43" s="21" t="n">
        <f aca="false">IF(H43="",M43,"")</f>
        <v>3110</v>
      </c>
    </row>
    <row r="44" customFormat="false" ht="41.75" hidden="false" customHeight="false" outlineLevel="0" collapsed="false">
      <c r="A44" s="16" t="s">
        <v>229</v>
      </c>
      <c r="B44" s="16" t="s">
        <v>375</v>
      </c>
      <c r="C44" s="17" t="s">
        <v>376</v>
      </c>
      <c r="D44" s="17" t="s">
        <v>377</v>
      </c>
      <c r="E44" s="15" t="str">
        <f aca="false">IF(H44&lt;&gt;"",IF(LEFT(H44,5)="Price","Excluded – price ≤ USD 5","Excluded – IV only"),IF(ISNUMBER(I44),IF(AND(I44&gt;=$C$3,M44&gt;=$E$3),"Priority 1",IF(OR(I44&gt;=$C$3,M44&gt;=$E$3),"Priority 2","Priority 3")),IF(M44&gt;=$E$3,"Priority 2","Priority 3")))</f>
        <v>Priority 3</v>
      </c>
      <c r="F44" s="15" t="n">
        <f aca="false">IF(H44&lt;&gt;"","",COUNTIFS($A$29:$A$361,A44,$H$29:$H$361,"",$AJ$29:$AJ$361,"&gt;"&amp;AJ44)+COUNTIFS($A$29:A44,A44,$H$29:H44,"",$AJ$29:AJ44,AJ44))</f>
        <v>24</v>
      </c>
      <c r="G44" s="17" t="str">
        <f aca="false">IF(H44&lt;&gt;"","",IF(ISNUMBER(I44),IF(I44&gt;=$C$3,"High price","Lower price"),"No price")&amp;", "&amp;IF(M44&gt;=$E$3,"high volume","lower volume"))</f>
        <v>Lower price, lower volume</v>
      </c>
      <c r="H44" s="17" t="str">
        <f aca="false">IF(Q44="No","IV only (no ID, IM or SC route)",IF(AND(AE44&gt;0,AF44=0),"Price ≤ USD 5",""))</f>
        <v/>
      </c>
      <c r="I44" s="18" t="n">
        <f aca="false">IF(AF44&gt;0,ROUND(AVERAGEIFS('Shortlisted Drugs X Company (7)'!$N$3:$N$698,'Shortlisted Drugs X Company (7)'!$C$3:$C$698,$B44,'Shortlisted Drugs X Company (7)'!$E$3:$E$698,$AA44,'Shortlisted Drugs X Company (7)'!$N$3:$N$698,"&gt;5"),2),"")</f>
        <v>14.96</v>
      </c>
      <c r="J44" s="17" t="str">
        <f aca="false">IF(COUNTIFS('Shortlisted Drugs X Company (7)'!$C$3:$C$698,$B44,'Shortlisted Drugs X Company (7)'!$E$3:$E$698,$AA44,'Shortlisted Drugs X Company (7)'!$P$3:$P$698,"Exact")&gt;0,"Exact",IF(COUNTIFS('Shortlisted Drugs X Company (7)'!$C$3:$C$698,$B44,'Shortlisted Drugs X Company (7)'!$E$3:$E$698,$AA44,'Shortlisted Drugs X Company (7)'!$P$3:$P$698,"Same-market proxy")&gt;0,"Same-market proxy",IF(COUNTIFS('Shortlisted Drugs X Company (7)'!$C$3:$C$698,$B44,'Shortlisted Drugs X Company (7)'!$E$3:$E$698,$AA44,'Shortlisted Drugs X Company (7)'!$P$3:$P$698,"Cross-market proxy")&gt;0,"Cross-market proxy",IF(COUNTIFS('Shortlisted Drugs X Company (7)'!$C$3:$C$698,$B44,'Shortlisted Drugs X Company (7)'!$E$3:$E$698,$AA44,'Shortlisted Drugs X Company (7)'!$P$3:$P$698,"Source not found")&gt;0,"Source not found","No price found"))))</f>
        <v>Same-market proxy</v>
      </c>
      <c r="K44" s="19" t="n">
        <f aca="false">IFERROR(INDEX('Injectable Value'!$AB$28:$AB$178,MATCH(B44,'Injectable Value'!$A$28:$A$178,0)),"")</f>
        <v>472</v>
      </c>
      <c r="L44" s="77" t="n">
        <f aca="false">IFERROR(INDEX('Injectable Value'!$Z$28:$Z$178,MATCH(B44,'Injectable Value'!$A$28:$A$178,0)),"")</f>
        <v>0.1734375</v>
      </c>
      <c r="M44" s="19" t="n">
        <f aca="false">IFERROR(INDEX('Injectable Value'!$AC$28:$AC$178,MATCH(B44,'Injectable Value'!$A$28:$A$178,0)),"")</f>
        <v>82</v>
      </c>
      <c r="N44" s="19" t="n">
        <f aca="false">IFERROR(INDEX('Injectable Value'!$C$28:$C$178,MATCH(B44,'Injectable Value'!$A$28:$A$178,0)),"")</f>
        <v>7831.08</v>
      </c>
      <c r="O44" s="19" t="n">
        <f aca="false">IFERROR(ROUND(INDEX('Injectable Value'!$AA$28:$AA$178,MATCH(B44,'Injectable Value'!$A$28:$A$178,0)),1),"")</f>
        <v>1358.2</v>
      </c>
      <c r="P44" s="16" t="str">
        <f aca="false">IFERROR(INDEX('Route of Administration'!$C$5:$C$155,MATCH(B44,'Route of Administration'!$A$5:$A$155,0)),"")</f>
        <v>IM</v>
      </c>
      <c r="Q44" s="15" t="str">
        <f aca="false">IFERROR(INDEX('Route of Administration'!$D$5:$D$155,MATCH(B44,'Route of Administration'!$A$5:$A$155,0)),"")</f>
        <v>Yes</v>
      </c>
      <c r="R44" s="16" t="s">
        <v>349</v>
      </c>
      <c r="S44" s="17" t="s">
        <v>378</v>
      </c>
      <c r="T44" s="16" t="s">
        <v>283</v>
      </c>
      <c r="U44" s="17" t="str">
        <f aca="false">""&amp;IF(AE44=0,"No price found","")&amp;IF(AND(AE44&gt;0,AF44=0,AG44=0),"Low price comes from another market – confirm with the company","")</f>
        <v/>
      </c>
      <c r="V44" s="17" t="s">
        <v>284</v>
      </c>
      <c r="W44" s="15" t="n">
        <v>1</v>
      </c>
      <c r="X44" s="17" t="s">
        <v>284</v>
      </c>
      <c r="Y44" s="17" t="s">
        <v>284</v>
      </c>
      <c r="Z44" s="17" t="s">
        <v>312</v>
      </c>
      <c r="AA44" s="16" t="s">
        <v>322</v>
      </c>
      <c r="AB44" s="78" t="s">
        <v>379</v>
      </c>
      <c r="AC44" s="20" t="n">
        <f aca="false">IF(AE44&gt;0,ROUND(AVERAGEIFS('Shortlisted Drugs X Company (7)'!$N$3:$N$698,'Shortlisted Drugs X Company (7)'!$C$3:$C$698,$B44,'Shortlisted Drugs X Company (7)'!$E$3:$E$698,$AA44,'Shortlisted Drugs X Company (7)'!$N$3:$N$698,"&gt;=0"),2),"")</f>
        <v>14.96</v>
      </c>
      <c r="AD44" s="79" t="str">
        <f aca="false">B44&amp;"|"&amp;AA44</f>
        <v>Chlorpromazine|Aurobindo Pharma</v>
      </c>
      <c r="AE44" s="22" t="n">
        <f aca="false">COUNTIFS('Shortlisted Drugs X Company (7)'!$C$3:$C$698,$B44,'Shortlisted Drugs X Company (7)'!$E$3:$E$698,$AA44,'Shortlisted Drugs X Company (7)'!$N$3:$N$698,"&gt;=0")</f>
        <v>1</v>
      </c>
      <c r="AF44" s="22" t="n">
        <f aca="false">COUNTIFS('Shortlisted Drugs X Company (7)'!$C$3:$C$698,$B44,'Shortlisted Drugs X Company (7)'!$E$3:$E$698,$AA44,'Shortlisted Drugs X Company (7)'!$N$3:$N$698,"&gt;5")</f>
        <v>1</v>
      </c>
      <c r="AG44" s="22" t="n">
        <f aca="false">COUNTIFS('Shortlisted Drugs X Company (7)'!$C$3:$C$698,$B44,'Shortlisted Drugs X Company (7)'!$E$3:$E$698,$AA44,'Shortlisted Drugs X Company (7)'!$P$3:$P$698,"Exact")+COUNTIFS('Shortlisted Drugs X Company (7)'!$C$3:$C$698,$B44,'Shortlisted Drugs X Company (7)'!$E$3:$E$698,$AA44,'Shortlisted Drugs X Company (7)'!$P$3:$P$698,"Same-market proxy")</f>
        <v>1</v>
      </c>
      <c r="AH44" s="22" t="n">
        <f aca="false">INDEX($G$7:$G$25,MATCH(A44,$A$7:$A$25,0))</f>
        <v>2</v>
      </c>
      <c r="AI44" s="79" t="n">
        <f aca="false">IF(OR(Q44="No",LEFT(H44,7)="IV only"),"",AH44*1000+IF(F44="",900+COUNTIFS($A$29:A44,A44,$H$29:H44,"Price*"),F44))</f>
        <v>2024</v>
      </c>
      <c r="AJ44" s="79" t="n">
        <f aca="false">IF(H44&lt;&gt;"","",(4-VALUE(RIGHT(E44,1)))*10^7+N(O44))</f>
        <v>10001358.2</v>
      </c>
      <c r="AK44" s="20" t="n">
        <f aca="false">IF(AND(H44="",ISNUMBER(I44)),I44,"")</f>
        <v>14.96</v>
      </c>
      <c r="AL44" s="21" t="n">
        <f aca="false">IF(H44="",M44,"")</f>
        <v>82</v>
      </c>
    </row>
    <row r="45" customFormat="false" ht="41.75" hidden="false" customHeight="false" outlineLevel="0" collapsed="false">
      <c r="A45" s="16" t="s">
        <v>229</v>
      </c>
      <c r="B45" s="16" t="s">
        <v>380</v>
      </c>
      <c r="C45" s="17" t="s">
        <v>380</v>
      </c>
      <c r="D45" s="17" t="s">
        <v>381</v>
      </c>
      <c r="E45" s="15" t="str">
        <f aca="false">IF(H45&lt;&gt;"",IF(LEFT(H45,5)="Price","Excluded – price ≤ USD 5","Excluded – IV only"),IF(ISNUMBER(I45),IF(AND(I45&gt;=$C$3,M45&gt;=$E$3),"Priority 1",IF(OR(I45&gt;=$C$3,M45&gt;=$E$3),"Priority 2","Priority 3")),IF(M45&gt;=$E$3,"Priority 2","Priority 3")))</f>
        <v>Excluded – IV only</v>
      </c>
      <c r="F45" s="15" t="str">
        <f aca="false">IF(H45&lt;&gt;"","",COUNTIFS($A$29:$A$361,A45,$H$29:$H$361,"",$AJ$29:$AJ$361,"&gt;"&amp;AJ45)+COUNTIFS($A$29:A45,A45,$H$29:H45,"",$AJ$29:AJ45,AJ45))</f>
        <v/>
      </c>
      <c r="G45" s="17" t="str">
        <f aca="false">IF(H45&lt;&gt;"","",IF(ISNUMBER(I45),IF(I45&gt;=$C$3,"High price","Lower price"),"No price")&amp;", "&amp;IF(M45&gt;=$E$3,"high volume","lower volume"))</f>
        <v/>
      </c>
      <c r="H45" s="17" t="str">
        <f aca="false">IF(Q45="No","IV only (no ID, IM or SC route)",IF(AND(AE45&gt;0,AF45=0),"Price ≤ USD 5",""))</f>
        <v>IV only (no ID, IM or SC route)</v>
      </c>
      <c r="I45" s="18" t="n">
        <f aca="false">IF(AF45&gt;0,ROUND(AVERAGEIFS('Shortlisted Drugs X Company (7)'!$N$3:$N$698,'Shortlisted Drugs X Company (7)'!$C$3:$C$698,$B45,'Shortlisted Drugs X Company (7)'!$E$3:$E$698,$AA45,'Shortlisted Drugs X Company (7)'!$N$3:$N$698,"&gt;5"),2),"")</f>
        <v>234.04</v>
      </c>
      <c r="J45" s="17" t="str">
        <f aca="false">IF(COUNTIFS('Shortlisted Drugs X Company (7)'!$C$3:$C$698,$B45,'Shortlisted Drugs X Company (7)'!$E$3:$E$698,$AA45,'Shortlisted Drugs X Company (7)'!$P$3:$P$698,"Exact")&gt;0,"Exact",IF(COUNTIFS('Shortlisted Drugs X Company (7)'!$C$3:$C$698,$B45,'Shortlisted Drugs X Company (7)'!$E$3:$E$698,$AA45,'Shortlisted Drugs X Company (7)'!$P$3:$P$698,"Same-market proxy")&gt;0,"Same-market proxy",IF(COUNTIFS('Shortlisted Drugs X Company (7)'!$C$3:$C$698,$B45,'Shortlisted Drugs X Company (7)'!$E$3:$E$698,$AA45,'Shortlisted Drugs X Company (7)'!$P$3:$P$698,"Cross-market proxy")&gt;0,"Cross-market proxy",IF(COUNTIFS('Shortlisted Drugs X Company (7)'!$C$3:$C$698,$B45,'Shortlisted Drugs X Company (7)'!$E$3:$E$698,$AA45,'Shortlisted Drugs X Company (7)'!$P$3:$P$698,"Source not found")&gt;0,"Source not found","No price found"))))</f>
        <v>Same-market proxy</v>
      </c>
      <c r="K45" s="19" t="n">
        <f aca="false">IFERROR(INDEX('Injectable Value'!$AB$28:$AB$178,MATCH(B45,'Injectable Value'!$A$28:$A$178,0)),"")</f>
        <v>843</v>
      </c>
      <c r="L45" s="77" t="n">
        <f aca="false">IFERROR(INDEX('Injectable Value'!$Z$28:$Z$178,MATCH(B45,'Injectable Value'!$A$28:$A$178,0)),"")</f>
        <v>0.858739397335643</v>
      </c>
      <c r="M45" s="19" t="n">
        <f aca="false">IFERROR(INDEX('Injectable Value'!$AC$28:$AC$178,MATCH(B45,'Injectable Value'!$A$28:$A$178,0)),"")</f>
        <v>724</v>
      </c>
      <c r="N45" s="19" t="n">
        <f aca="false">IFERROR(INDEX('Injectable Value'!$C$28:$C$178,MATCH(B45,'Injectable Value'!$A$28:$A$178,0)),"")</f>
        <v>4508</v>
      </c>
      <c r="O45" s="19" t="n">
        <f aca="false">IFERROR(ROUND(INDEX('Injectable Value'!$AA$28:$AA$178,MATCH(B45,'Injectable Value'!$A$28:$A$178,0)),1),"")</f>
        <v>3871.2</v>
      </c>
      <c r="P45" s="16" t="str">
        <f aca="false">IFERROR(INDEX('Route of Administration'!$C$5:$C$155,MATCH(B45,'Route of Administration'!$A$5:$A$155,0)),"")</f>
        <v>IV</v>
      </c>
      <c r="Q45" s="15" t="str">
        <f aca="false">IFERROR(INDEX('Route of Administration'!$D$5:$D$155,MATCH(B45,'Route of Administration'!$A$5:$A$155,0)),"")</f>
        <v>No</v>
      </c>
      <c r="R45" s="16" t="s">
        <v>281</v>
      </c>
      <c r="S45" s="17" t="s">
        <v>382</v>
      </c>
      <c r="T45" s="16" t="s">
        <v>283</v>
      </c>
      <c r="U45" s="17" t="str">
        <f aca="false">"Cancer drug (cytotoxic) – less relevant"&amp;IF(AE45=0,"; No price found","")&amp;IF(AND(AE45&gt;0,AF45=0,AG45=0),"; Low price comes from another market – confirm with the company","")</f>
        <v>Cancer drug (cytotoxic) – less relevant</v>
      </c>
      <c r="V45" s="17" t="s">
        <v>284</v>
      </c>
      <c r="W45" s="15" t="n">
        <v>1</v>
      </c>
      <c r="X45" s="17" t="s">
        <v>284</v>
      </c>
      <c r="Y45" s="17" t="s">
        <v>284</v>
      </c>
      <c r="Z45" s="17" t="s">
        <v>286</v>
      </c>
      <c r="AA45" s="16" t="s">
        <v>322</v>
      </c>
      <c r="AB45" s="78" t="s">
        <v>383</v>
      </c>
      <c r="AC45" s="20" t="n">
        <f aca="false">IF(AE45&gt;0,ROUND(AVERAGEIFS('Shortlisted Drugs X Company (7)'!$N$3:$N$698,'Shortlisted Drugs X Company (7)'!$C$3:$C$698,$B45,'Shortlisted Drugs X Company (7)'!$E$3:$E$698,$AA45,'Shortlisted Drugs X Company (7)'!$N$3:$N$698,"&gt;=0"),2),"")</f>
        <v>234.04</v>
      </c>
      <c r="AD45" s="79" t="str">
        <f aca="false">B45&amp;"|"&amp;AA45</f>
        <v>Cyclophosphamide|Aurobindo Pharma</v>
      </c>
      <c r="AE45" s="22" t="n">
        <f aca="false">COUNTIFS('Shortlisted Drugs X Company (7)'!$C$3:$C$698,$B45,'Shortlisted Drugs X Company (7)'!$E$3:$E$698,$AA45,'Shortlisted Drugs X Company (7)'!$N$3:$N$698,"&gt;=0")</f>
        <v>3</v>
      </c>
      <c r="AF45" s="22" t="n">
        <f aca="false">COUNTIFS('Shortlisted Drugs X Company (7)'!$C$3:$C$698,$B45,'Shortlisted Drugs X Company (7)'!$E$3:$E$698,$AA45,'Shortlisted Drugs X Company (7)'!$N$3:$N$698,"&gt;5")</f>
        <v>3</v>
      </c>
      <c r="AG45" s="22" t="n">
        <f aca="false">COUNTIFS('Shortlisted Drugs X Company (7)'!$C$3:$C$698,$B45,'Shortlisted Drugs X Company (7)'!$E$3:$E$698,$AA45,'Shortlisted Drugs X Company (7)'!$P$3:$P$698,"Exact")+COUNTIFS('Shortlisted Drugs X Company (7)'!$C$3:$C$698,$B45,'Shortlisted Drugs X Company (7)'!$E$3:$E$698,$AA45,'Shortlisted Drugs X Company (7)'!$P$3:$P$698,"Same-market proxy")</f>
        <v>3</v>
      </c>
      <c r="AH45" s="22" t="n">
        <f aca="false">INDEX($G$7:$G$25,MATCH(A45,$A$7:$A$25,0))</f>
        <v>2</v>
      </c>
      <c r="AI45" s="79" t="str">
        <f aca="false">IF(OR(Q45="No",LEFT(H45,7)="IV only"),"",AH45*1000+IF(F45="",900+COUNTIFS($A$29:A45,A45,$H$29:H45,"Price*"),F45))</f>
        <v/>
      </c>
      <c r="AJ45" s="79" t="str">
        <f aca="false">IF(H45&lt;&gt;"","",(4-VALUE(RIGHT(E45,1)))*10^7+N(O45))</f>
        <v/>
      </c>
      <c r="AK45" s="79" t="str">
        <f aca="false">IF(AND(H45="",ISNUMBER(I45)),I45,"")</f>
        <v/>
      </c>
      <c r="AL45" s="79" t="str">
        <f aca="false">IF(H45="",M45,"")</f>
        <v/>
      </c>
    </row>
    <row r="46" customFormat="false" ht="55.2" hidden="false" customHeight="false" outlineLevel="0" collapsed="false">
      <c r="A46" s="16" t="s">
        <v>229</v>
      </c>
      <c r="B46" s="16" t="s">
        <v>384</v>
      </c>
      <c r="C46" s="17" t="s">
        <v>384</v>
      </c>
      <c r="D46" s="17" t="s">
        <v>385</v>
      </c>
      <c r="E46" s="15" t="str">
        <f aca="false">IF(H46&lt;&gt;"",IF(LEFT(H46,5)="Price","Excluded – price ≤ USD 5","Excluded – IV only"),IF(ISNUMBER(I46),IF(AND(I46&gt;=$C$3,M46&gt;=$E$3),"Priority 1",IF(OR(I46&gt;=$C$3,M46&gt;=$E$3),"Priority 2","Priority 3")),IF(M46&gt;=$E$3,"Priority 2","Priority 3")))</f>
        <v>Excluded – IV only</v>
      </c>
      <c r="F46" s="15" t="str">
        <f aca="false">IF(H46&lt;&gt;"","",COUNTIFS($A$29:$A$361,A46,$H$29:$H$361,"",$AJ$29:$AJ$361,"&gt;"&amp;AJ46)+COUNTIFS($A$29:A46,A46,$H$29:H46,"",$AJ$29:AJ46,AJ46))</f>
        <v/>
      </c>
      <c r="G46" s="17" t="str">
        <f aca="false">IF(H46&lt;&gt;"","",IF(ISNUMBER(I46),IF(I46&gt;=$C$3,"High price","Lower price"),"No price")&amp;", "&amp;IF(M46&gt;=$E$3,"high volume","lower volume"))</f>
        <v/>
      </c>
      <c r="H46" s="17" t="str">
        <f aca="false">IF(Q46="No","IV only (no ID, IM or SC route)",IF(AND(AE46&gt;0,AF46=0),"Price ≤ USD 5",""))</f>
        <v>IV only (no ID, IM or SC route)</v>
      </c>
      <c r="I46" s="18" t="n">
        <f aca="false">IF(AF46&gt;0,ROUND(AVERAGEIFS('Shortlisted Drugs X Company (7)'!$N$3:$N$698,'Shortlisted Drugs X Company (7)'!$C$3:$C$698,$B46,'Shortlisted Drugs X Company (7)'!$E$3:$E$698,$AA46,'Shortlisted Drugs X Company (7)'!$N$3:$N$698,"&gt;5"),2),"")</f>
        <v>427.8</v>
      </c>
      <c r="J46" s="17" t="str">
        <f aca="false">IF(COUNTIFS('Shortlisted Drugs X Company (7)'!$C$3:$C$698,$B46,'Shortlisted Drugs X Company (7)'!$E$3:$E$698,$AA46,'Shortlisted Drugs X Company (7)'!$P$3:$P$698,"Exact")&gt;0,"Exact",IF(COUNTIFS('Shortlisted Drugs X Company (7)'!$C$3:$C$698,$B46,'Shortlisted Drugs X Company (7)'!$E$3:$E$698,$AA46,'Shortlisted Drugs X Company (7)'!$P$3:$P$698,"Same-market proxy")&gt;0,"Same-market proxy",IF(COUNTIFS('Shortlisted Drugs X Company (7)'!$C$3:$C$698,$B46,'Shortlisted Drugs X Company (7)'!$E$3:$E$698,$AA46,'Shortlisted Drugs X Company (7)'!$P$3:$P$698,"Cross-market proxy")&gt;0,"Cross-market proxy",IF(COUNTIFS('Shortlisted Drugs X Company (7)'!$C$3:$C$698,$B46,'Shortlisted Drugs X Company (7)'!$E$3:$E$698,$AA46,'Shortlisted Drugs X Company (7)'!$P$3:$P$698,"Source not found")&gt;0,"Source not found","No price found"))))</f>
        <v>Same-market proxy</v>
      </c>
      <c r="K46" s="19" t="n">
        <f aca="false">IFERROR(INDEX('Injectable Value'!$AB$28:$AB$178,MATCH(B46,'Injectable Value'!$A$28:$A$178,0)),"")</f>
        <v>411</v>
      </c>
      <c r="L46" s="77" t="n">
        <f aca="false">IFERROR(INDEX('Injectable Value'!$Z$28:$Z$178,MATCH(B46,'Injectable Value'!$A$28:$A$178,0)),"")</f>
        <v>1</v>
      </c>
      <c r="M46" s="19" t="n">
        <f aca="false">IFERROR(INDEX('Injectable Value'!$AC$28:$AC$178,MATCH(B46,'Injectable Value'!$A$28:$A$178,0)),"")</f>
        <v>411</v>
      </c>
      <c r="N46" s="19" t="n">
        <f aca="false">IFERROR(INDEX('Injectable Value'!$C$28:$C$178,MATCH(B46,'Injectable Value'!$A$28:$A$178,0)),"")</f>
        <v>2151.51</v>
      </c>
      <c r="O46" s="19" t="n">
        <f aca="false">IFERROR(ROUND(INDEX('Injectable Value'!$AA$28:$AA$178,MATCH(B46,'Injectable Value'!$A$28:$A$178,0)),1),"")</f>
        <v>2151.5</v>
      </c>
      <c r="P46" s="16" t="str">
        <f aca="false">IFERROR(INDEX('Route of Administration'!$C$5:$C$155,MATCH(B46,'Route of Administration'!$A$5:$A$155,0)),"")</f>
        <v>IV</v>
      </c>
      <c r="Q46" s="15" t="str">
        <f aca="false">IFERROR(INDEX('Route of Administration'!$D$5:$D$155,MATCH(B46,'Route of Administration'!$A$5:$A$155,0)),"")</f>
        <v>No</v>
      </c>
      <c r="R46" s="16" t="s">
        <v>281</v>
      </c>
      <c r="S46" s="17" t="s">
        <v>386</v>
      </c>
      <c r="T46" s="16" t="s">
        <v>333</v>
      </c>
      <c r="U46" s="17" t="str">
        <f aca="false">"Cancer drug (cytotoxic) – less relevant; Reconstitution"&amp;IF(AE46=0,"; No price found","")&amp;IF(AND(AE46&gt;0,AF46=0,AG46=0),"; Low price comes from another market – confirm with the company","")</f>
        <v>Cancer drug (cytotoxic) – less relevant; Reconstitution</v>
      </c>
      <c r="V46" s="17" t="s">
        <v>284</v>
      </c>
      <c r="W46" s="15" t="n">
        <v>1</v>
      </c>
      <c r="X46" s="17" t="s">
        <v>284</v>
      </c>
      <c r="Y46" s="17" t="s">
        <v>284</v>
      </c>
      <c r="Z46" s="17" t="s">
        <v>321</v>
      </c>
      <c r="AA46" s="16" t="s">
        <v>322</v>
      </c>
      <c r="AB46" s="78" t="s">
        <v>387</v>
      </c>
      <c r="AC46" s="20" t="n">
        <f aca="false">IF(AE46&gt;0,ROUND(AVERAGEIFS('Shortlisted Drugs X Company (7)'!$N$3:$N$698,'Shortlisted Drugs X Company (7)'!$C$3:$C$698,$B46,'Shortlisted Drugs X Company (7)'!$E$3:$E$698,$AA46,'Shortlisted Drugs X Company (7)'!$N$3:$N$698,"&gt;=0"),2),"")</f>
        <v>427.8</v>
      </c>
      <c r="AD46" s="79" t="str">
        <f aca="false">B46&amp;"|"&amp;AA46</f>
        <v>Dactinomycin|Aurobindo Pharma</v>
      </c>
      <c r="AE46" s="22" t="n">
        <f aca="false">COUNTIFS('Shortlisted Drugs X Company (7)'!$C$3:$C$698,$B46,'Shortlisted Drugs X Company (7)'!$E$3:$E$698,$AA46,'Shortlisted Drugs X Company (7)'!$N$3:$N$698,"&gt;=0")</f>
        <v>1</v>
      </c>
      <c r="AF46" s="22" t="n">
        <f aca="false">COUNTIFS('Shortlisted Drugs X Company (7)'!$C$3:$C$698,$B46,'Shortlisted Drugs X Company (7)'!$E$3:$E$698,$AA46,'Shortlisted Drugs X Company (7)'!$N$3:$N$698,"&gt;5")</f>
        <v>1</v>
      </c>
      <c r="AG46" s="22" t="n">
        <f aca="false">COUNTIFS('Shortlisted Drugs X Company (7)'!$C$3:$C$698,$B46,'Shortlisted Drugs X Company (7)'!$E$3:$E$698,$AA46,'Shortlisted Drugs X Company (7)'!$P$3:$P$698,"Exact")+COUNTIFS('Shortlisted Drugs X Company (7)'!$C$3:$C$698,$B46,'Shortlisted Drugs X Company (7)'!$E$3:$E$698,$AA46,'Shortlisted Drugs X Company (7)'!$P$3:$P$698,"Same-market proxy")</f>
        <v>1</v>
      </c>
      <c r="AH46" s="22" t="n">
        <f aca="false">INDEX($G$7:$G$25,MATCH(A46,$A$7:$A$25,0))</f>
        <v>2</v>
      </c>
      <c r="AI46" s="79" t="str">
        <f aca="false">IF(OR(Q46="No",LEFT(H46,7)="IV only"),"",AH46*1000+IF(F46="",900+COUNTIFS($A$29:A46,A46,$H$29:H46,"Price*"),F46))</f>
        <v/>
      </c>
      <c r="AJ46" s="79" t="str">
        <f aca="false">IF(H46&lt;&gt;"","",(4-VALUE(RIGHT(E46,1)))*10^7+N(O46))</f>
        <v/>
      </c>
      <c r="AK46" s="79" t="str">
        <f aca="false">IF(AND(H46="",ISNUMBER(I46)),I46,"")</f>
        <v/>
      </c>
      <c r="AL46" s="79" t="str">
        <f aca="false">IF(H46="",M46,"")</f>
        <v/>
      </c>
    </row>
    <row r="47" customFormat="false" ht="41.75" hidden="false" customHeight="false" outlineLevel="0" collapsed="false">
      <c r="A47" s="16" t="s">
        <v>229</v>
      </c>
      <c r="B47" s="16" t="s">
        <v>388</v>
      </c>
      <c r="C47" s="17" t="s">
        <v>389</v>
      </c>
      <c r="D47" s="17" t="s">
        <v>390</v>
      </c>
      <c r="E47" s="15" t="str">
        <f aca="false">IF(H47&lt;&gt;"",IF(LEFT(H47,5)="Price","Excluded – price ≤ USD 5","Excluded – IV only"),IF(ISNUMBER(I47),IF(AND(I47&gt;=$C$3,M47&gt;=$E$3),"Priority 1",IF(OR(I47&gt;=$C$3,M47&gt;=$E$3),"Priority 2","Priority 3")),IF(M47&gt;=$E$3,"Priority 2","Priority 3")))</f>
        <v>Excluded – IV only</v>
      </c>
      <c r="F47" s="15" t="str">
        <f aca="false">IF(H47&lt;&gt;"","",COUNTIFS($A$29:$A$361,A47,$H$29:$H$361,"",$AJ$29:$AJ$361,"&gt;"&amp;AJ47)+COUNTIFS($A$29:A47,A47,$H$29:H47,"",$AJ$29:AJ47,AJ47))</f>
        <v/>
      </c>
      <c r="G47" s="17" t="str">
        <f aca="false">IF(H47&lt;&gt;"","",IF(ISNUMBER(I47),IF(I47&gt;=$C$3,"High price","Lower price"),"No price")&amp;", "&amp;IF(M47&gt;=$E$3,"high volume","lower volume"))</f>
        <v/>
      </c>
      <c r="H47" s="17" t="str">
        <f aca="false">IF(Q47="No","IV only (no ID, IM or SC route)",IF(AND(AE47&gt;0,AF47=0),"Price ≤ USD 5",""))</f>
        <v>IV only (no ID, IM or SC route)</v>
      </c>
      <c r="I47" s="18" t="n">
        <f aca="false">IF(AF47&gt;0,ROUND(AVERAGEIFS('Shortlisted Drugs X Company (7)'!$N$3:$N$698,'Shortlisted Drugs X Company (7)'!$C$3:$C$698,$B47,'Shortlisted Drugs X Company (7)'!$E$3:$E$698,$AA47,'Shortlisted Drugs X Company (7)'!$N$3:$N$698,"&gt;5"),2),"")</f>
        <v>93.73</v>
      </c>
      <c r="J47" s="17" t="str">
        <f aca="false">IF(COUNTIFS('Shortlisted Drugs X Company (7)'!$C$3:$C$698,$B47,'Shortlisted Drugs X Company (7)'!$E$3:$E$698,$AA47,'Shortlisted Drugs X Company (7)'!$P$3:$P$698,"Exact")&gt;0,"Exact",IF(COUNTIFS('Shortlisted Drugs X Company (7)'!$C$3:$C$698,$B47,'Shortlisted Drugs X Company (7)'!$E$3:$E$698,$AA47,'Shortlisted Drugs X Company (7)'!$P$3:$P$698,"Same-market proxy")&gt;0,"Same-market proxy",IF(COUNTIFS('Shortlisted Drugs X Company (7)'!$C$3:$C$698,$B47,'Shortlisted Drugs X Company (7)'!$E$3:$E$698,$AA47,'Shortlisted Drugs X Company (7)'!$P$3:$P$698,"Cross-market proxy")&gt;0,"Cross-market proxy",IF(COUNTIFS('Shortlisted Drugs X Company (7)'!$C$3:$C$698,$B47,'Shortlisted Drugs X Company (7)'!$E$3:$E$698,$AA47,'Shortlisted Drugs X Company (7)'!$P$3:$P$698,"Source not found")&gt;0,"Source not found","No price found"))))</f>
        <v>Same-market proxy</v>
      </c>
      <c r="K47" s="19" t="n">
        <f aca="false">IFERROR(INDEX('Injectable Value'!$AB$28:$AB$178,MATCH(B47,'Injectable Value'!$A$28:$A$178,0)),"")</f>
        <v>312</v>
      </c>
      <c r="L47" s="77" t="n">
        <f aca="false">IFERROR(INDEX('Injectable Value'!$Z$28:$Z$178,MATCH(B47,'Injectable Value'!$A$28:$A$178,0)),"")</f>
        <v>1</v>
      </c>
      <c r="M47" s="19" t="n">
        <f aca="false">IFERROR(INDEX('Injectable Value'!$AC$28:$AC$178,MATCH(B47,'Injectable Value'!$A$28:$A$178,0)),"")</f>
        <v>312</v>
      </c>
      <c r="N47" s="19" t="n">
        <f aca="false">IFERROR(INDEX('Injectable Value'!$C$28:$C$178,MATCH(B47,'Injectable Value'!$A$28:$A$178,0)),"")</f>
        <v>59827.18</v>
      </c>
      <c r="O47" s="19" t="n">
        <f aca="false">IFERROR(ROUND(INDEX('Injectable Value'!$AA$28:$AA$178,MATCH(B47,'Injectable Value'!$A$28:$A$178,0)),1),"")</f>
        <v>59827.2</v>
      </c>
      <c r="P47" s="16" t="str">
        <f aca="false">IFERROR(INDEX('Route of Administration'!$C$5:$C$155,MATCH(B47,'Route of Administration'!$A$5:$A$155,0)),"")</f>
        <v>IV</v>
      </c>
      <c r="Q47" s="15" t="str">
        <f aca="false">IFERROR(INDEX('Route of Administration'!$D$5:$D$155,MATCH(B47,'Route of Administration'!$A$5:$A$155,0)),"")</f>
        <v>No</v>
      </c>
      <c r="R47" s="16" t="s">
        <v>281</v>
      </c>
      <c r="S47" s="17" t="s">
        <v>391</v>
      </c>
      <c r="T47" s="16" t="s">
        <v>333</v>
      </c>
      <c r="U47" s="17" t="str">
        <f aca="false">"Reconstitution"&amp;IF(AE47=0,"; No price found","")&amp;IF(AND(AE47&gt;0,AF47=0,AG47=0),"; Low price comes from another market – confirm with the company","")</f>
        <v>Reconstitution</v>
      </c>
      <c r="V47" s="17" t="s">
        <v>372</v>
      </c>
      <c r="W47" s="15" t="n">
        <v>5</v>
      </c>
      <c r="X47" s="17" t="s">
        <v>392</v>
      </c>
      <c r="Y47" s="17" t="s">
        <v>392</v>
      </c>
      <c r="Z47" s="17" t="s">
        <v>286</v>
      </c>
      <c r="AA47" s="16" t="s">
        <v>322</v>
      </c>
      <c r="AB47" s="78" t="s">
        <v>393</v>
      </c>
      <c r="AC47" s="20" t="n">
        <f aca="false">IF(AE47&gt;0,ROUND(AVERAGEIFS('Shortlisted Drugs X Company (7)'!$N$3:$N$698,'Shortlisted Drugs X Company (7)'!$C$3:$C$698,$B47,'Shortlisted Drugs X Company (7)'!$E$3:$E$698,$AA47,'Shortlisted Drugs X Company (7)'!$N$3:$N$698,"&gt;=0"),2),"")</f>
        <v>93.73</v>
      </c>
      <c r="AD47" s="79" t="str">
        <f aca="false">B47&amp;"|"&amp;AA47</f>
        <v>Daptomycin|Aurobindo Pharma</v>
      </c>
      <c r="AE47" s="22" t="n">
        <f aca="false">COUNTIFS('Shortlisted Drugs X Company (7)'!$C$3:$C$698,$B47,'Shortlisted Drugs X Company (7)'!$E$3:$E$698,$AA47,'Shortlisted Drugs X Company (7)'!$N$3:$N$698,"&gt;=0")</f>
        <v>1</v>
      </c>
      <c r="AF47" s="22" t="n">
        <f aca="false">COUNTIFS('Shortlisted Drugs X Company (7)'!$C$3:$C$698,$B47,'Shortlisted Drugs X Company (7)'!$E$3:$E$698,$AA47,'Shortlisted Drugs X Company (7)'!$N$3:$N$698,"&gt;5")</f>
        <v>1</v>
      </c>
      <c r="AG47" s="22" t="n">
        <f aca="false">COUNTIFS('Shortlisted Drugs X Company (7)'!$C$3:$C$698,$B47,'Shortlisted Drugs X Company (7)'!$E$3:$E$698,$AA47,'Shortlisted Drugs X Company (7)'!$P$3:$P$698,"Exact")+COUNTIFS('Shortlisted Drugs X Company (7)'!$C$3:$C$698,$B47,'Shortlisted Drugs X Company (7)'!$E$3:$E$698,$AA47,'Shortlisted Drugs X Company (7)'!$P$3:$P$698,"Same-market proxy")</f>
        <v>1</v>
      </c>
      <c r="AH47" s="22" t="n">
        <f aca="false">INDEX($G$7:$G$25,MATCH(A47,$A$7:$A$25,0))</f>
        <v>2</v>
      </c>
      <c r="AI47" s="79" t="str">
        <f aca="false">IF(OR(Q47="No",LEFT(H47,7)="IV only"),"",AH47*1000+IF(F47="",900+COUNTIFS($A$29:A47,A47,$H$29:H47,"Price*"),F47))</f>
        <v/>
      </c>
      <c r="AJ47" s="79" t="str">
        <f aca="false">IF(H47&lt;&gt;"","",(4-VALUE(RIGHT(E47,1)))*10^7+N(O47))</f>
        <v/>
      </c>
      <c r="AK47" s="79" t="str">
        <f aca="false">IF(AND(H47="",ISNUMBER(I47)),I47,"")</f>
        <v/>
      </c>
      <c r="AL47" s="79" t="str">
        <f aca="false">IF(H47="",M47,"")</f>
        <v/>
      </c>
    </row>
    <row r="48" customFormat="false" ht="28.35" hidden="false" customHeight="false" outlineLevel="0" collapsed="false">
      <c r="A48" s="16" t="s">
        <v>229</v>
      </c>
      <c r="B48" s="16" t="s">
        <v>394</v>
      </c>
      <c r="C48" s="17" t="s">
        <v>395</v>
      </c>
      <c r="D48" s="17" t="s">
        <v>396</v>
      </c>
      <c r="E48" s="15" t="str">
        <f aca="false">IF(H48&lt;&gt;"",IF(LEFT(H48,5)="Price","Excluded – price ≤ USD 5","Excluded – IV only"),IF(ISNUMBER(I48),IF(AND(I48&gt;=$C$3,M48&gt;=$E$3),"Priority 1",IF(OR(I48&gt;=$C$3,M48&gt;=$E$3),"Priority 2","Priority 3")),IF(M48&gt;=$E$3,"Priority 2","Priority 3")))</f>
        <v>Excluded – IV only</v>
      </c>
      <c r="F48" s="15" t="str">
        <f aca="false">IF(H48&lt;&gt;"","",COUNTIFS($A$29:$A$361,A48,$H$29:$H$361,"",$AJ$29:$AJ$361,"&gt;"&amp;AJ48)+COUNTIFS($A$29:A48,A48,$H$29:H48,"",$AJ$29:AJ48,AJ48))</f>
        <v/>
      </c>
      <c r="G48" s="17" t="str">
        <f aca="false">IF(H48&lt;&gt;"","",IF(ISNUMBER(I48),IF(I48&gt;=$C$3,"High price","Lower price"),"No price")&amp;", "&amp;IF(M48&gt;=$E$3,"high volume","lower volume"))</f>
        <v/>
      </c>
      <c r="H48" s="17" t="str">
        <f aca="false">IF(Q48="No","IV only (no ID, IM or SC route)",IF(AND(AE48&gt;0,AF48=0),"Price ≤ USD 5",""))</f>
        <v>IV only (no ID, IM or SC route)</v>
      </c>
      <c r="I48" s="18" t="n">
        <f aca="false">IF(AF48&gt;0,ROUND(AVERAGEIFS('Shortlisted Drugs X Company (7)'!$N$3:$N$698,'Shortlisted Drugs X Company (7)'!$C$3:$C$698,$B48,'Shortlisted Drugs X Company (7)'!$E$3:$E$698,$AA48,'Shortlisted Drugs X Company (7)'!$N$3:$N$698,"&gt;5"),2),"")</f>
        <v>16.84</v>
      </c>
      <c r="J48" s="17" t="str">
        <f aca="false">IF(COUNTIFS('Shortlisted Drugs X Company (7)'!$C$3:$C$698,$B48,'Shortlisted Drugs X Company (7)'!$E$3:$E$698,$AA48,'Shortlisted Drugs X Company (7)'!$P$3:$P$698,"Exact")&gt;0,"Exact",IF(COUNTIFS('Shortlisted Drugs X Company (7)'!$C$3:$C$698,$B48,'Shortlisted Drugs X Company (7)'!$E$3:$E$698,$AA48,'Shortlisted Drugs X Company (7)'!$P$3:$P$698,"Same-market proxy")&gt;0,"Same-market proxy",IF(COUNTIFS('Shortlisted Drugs X Company (7)'!$C$3:$C$698,$B48,'Shortlisted Drugs X Company (7)'!$E$3:$E$698,$AA48,'Shortlisted Drugs X Company (7)'!$P$3:$P$698,"Cross-market proxy")&gt;0,"Cross-market proxy",IF(COUNTIFS('Shortlisted Drugs X Company (7)'!$C$3:$C$698,$B48,'Shortlisted Drugs X Company (7)'!$E$3:$E$698,$AA48,'Shortlisted Drugs X Company (7)'!$P$3:$P$698,"Source not found")&gt;0,"Source not found","No price found"))))</f>
        <v>Exact</v>
      </c>
      <c r="K48" s="19" t="n">
        <f aca="false">IFERROR(INDEX('Injectable Value'!$AB$28:$AB$178,MATCH(B48,'Injectable Value'!$A$28:$A$178,0)),"")</f>
        <v>1644</v>
      </c>
      <c r="L48" s="77" t="n">
        <f aca="false">IFERROR(INDEX('Injectable Value'!$Z$28:$Z$178,MATCH(B48,'Injectable Value'!$A$28:$A$178,0)),"")</f>
        <v>0.990783410138249</v>
      </c>
      <c r="M48" s="19" t="n">
        <f aca="false">IFERROR(INDEX('Injectable Value'!$AC$28:$AC$178,MATCH(B48,'Injectable Value'!$A$28:$A$178,0)),"")</f>
        <v>1629</v>
      </c>
      <c r="N48" s="19" t="n">
        <f aca="false">IFERROR(INDEX('Injectable Value'!$C$28:$C$178,MATCH(B48,'Injectable Value'!$A$28:$A$178,0)),"")</f>
        <v>41889.23</v>
      </c>
      <c r="O48" s="19" t="n">
        <f aca="false">IFERROR(ROUND(INDEX('Injectable Value'!$AA$28:$AA$178,MATCH(B48,'Injectable Value'!$A$28:$A$178,0)),1),"")</f>
        <v>41503.2</v>
      </c>
      <c r="P48" s="16" t="str">
        <f aca="false">IFERROR(INDEX('Route of Administration'!$C$5:$C$155,MATCH(B48,'Route of Administration'!$A$5:$A$155,0)),"")</f>
        <v>IV</v>
      </c>
      <c r="Q48" s="15" t="str">
        <f aca="false">IFERROR(INDEX('Route of Administration'!$D$5:$D$155,MATCH(B48,'Route of Administration'!$A$5:$A$155,0)),"")</f>
        <v>No</v>
      </c>
      <c r="R48" s="16" t="s">
        <v>281</v>
      </c>
      <c r="S48" s="17" t="s">
        <v>397</v>
      </c>
      <c r="T48" s="16" t="s">
        <v>283</v>
      </c>
      <c r="U48" s="17" t="str">
        <f aca="false">"Cancer drug (cytotoxic) – less relevant"&amp;IF(AE48=0,"; No price found","")&amp;IF(AND(AE48&gt;0,AF48=0,AG48=0),"; Low price comes from another market – confirm with the company","")</f>
        <v>Cancer drug (cytotoxic) – less relevant</v>
      </c>
      <c r="V48" s="17" t="s">
        <v>398</v>
      </c>
      <c r="W48" s="15" t="n">
        <v>6</v>
      </c>
      <c r="X48" s="17" t="s">
        <v>399</v>
      </c>
      <c r="Y48" s="17" t="s">
        <v>399</v>
      </c>
      <c r="Z48" s="17" t="s">
        <v>286</v>
      </c>
      <c r="AA48" s="16" t="s">
        <v>322</v>
      </c>
      <c r="AB48" s="78" t="s">
        <v>400</v>
      </c>
      <c r="AC48" s="20" t="n">
        <f aca="false">IF(AE48&gt;0,ROUND(AVERAGEIFS('Shortlisted Drugs X Company (7)'!$N$3:$N$698,'Shortlisted Drugs X Company (7)'!$C$3:$C$698,$B48,'Shortlisted Drugs X Company (7)'!$E$3:$E$698,$AA48,'Shortlisted Drugs X Company (7)'!$N$3:$N$698,"&gt;=0"),2),"")</f>
        <v>16.84</v>
      </c>
      <c r="AD48" s="79" t="str">
        <f aca="false">B48&amp;"|"&amp;AA48</f>
        <v>Doxorubicin|Aurobindo Pharma</v>
      </c>
      <c r="AE48" s="22" t="n">
        <f aca="false">COUNTIFS('Shortlisted Drugs X Company (7)'!$C$3:$C$698,$B48,'Shortlisted Drugs X Company (7)'!$E$3:$E$698,$AA48,'Shortlisted Drugs X Company (7)'!$N$3:$N$698,"&gt;=0")</f>
        <v>1</v>
      </c>
      <c r="AF48" s="22" t="n">
        <f aca="false">COUNTIFS('Shortlisted Drugs X Company (7)'!$C$3:$C$698,$B48,'Shortlisted Drugs X Company (7)'!$E$3:$E$698,$AA48,'Shortlisted Drugs X Company (7)'!$N$3:$N$698,"&gt;5")</f>
        <v>1</v>
      </c>
      <c r="AG48" s="22" t="n">
        <f aca="false">COUNTIFS('Shortlisted Drugs X Company (7)'!$C$3:$C$698,$B48,'Shortlisted Drugs X Company (7)'!$E$3:$E$698,$AA48,'Shortlisted Drugs X Company (7)'!$P$3:$P$698,"Exact")+COUNTIFS('Shortlisted Drugs X Company (7)'!$C$3:$C$698,$B48,'Shortlisted Drugs X Company (7)'!$E$3:$E$698,$AA48,'Shortlisted Drugs X Company (7)'!$P$3:$P$698,"Same-market proxy")</f>
        <v>1</v>
      </c>
      <c r="AH48" s="22" t="n">
        <f aca="false">INDEX($G$7:$G$25,MATCH(A48,$A$7:$A$25,0))</f>
        <v>2</v>
      </c>
      <c r="AI48" s="79" t="str">
        <f aca="false">IF(OR(Q48="No",LEFT(H48,7)="IV only"),"",AH48*1000+IF(F48="",900+COUNTIFS($A$29:A48,A48,$H$29:H48,"Price*"),F48))</f>
        <v/>
      </c>
      <c r="AJ48" s="79" t="str">
        <f aca="false">IF(H48&lt;&gt;"","",(4-VALUE(RIGHT(E48,1)))*10^7+N(O48))</f>
        <v/>
      </c>
      <c r="AK48" s="79" t="str">
        <f aca="false">IF(AND(H48="",ISNUMBER(I48)),I48,"")</f>
        <v/>
      </c>
      <c r="AL48" s="79" t="str">
        <f aca="false">IF(H48="",M48,"")</f>
        <v/>
      </c>
    </row>
    <row r="49" customFormat="false" ht="41.75" hidden="false" customHeight="false" outlineLevel="0" collapsed="false">
      <c r="A49" s="16" t="s">
        <v>229</v>
      </c>
      <c r="B49" s="16" t="s">
        <v>401</v>
      </c>
      <c r="C49" s="17" t="s">
        <v>402</v>
      </c>
      <c r="D49" s="17" t="s">
        <v>403</v>
      </c>
      <c r="E49" s="15" t="str">
        <f aca="false">IF(H49&lt;&gt;"",IF(LEFT(H49,5)="Price","Excluded – price ≤ USD 5","Excluded – IV only"),IF(ISNUMBER(I49),IF(AND(I49&gt;=$C$3,M49&gt;=$E$3),"Priority 1",IF(OR(I49&gt;=$C$3,M49&gt;=$E$3),"Priority 2","Priority 3")),IF(M49&gt;=$E$3,"Priority 2","Priority 3")))</f>
        <v>Priority 3</v>
      </c>
      <c r="F49" s="15" t="n">
        <f aca="false">IF(H49&lt;&gt;"","",COUNTIFS($A$29:$A$361,A49,$H$29:$H$361,"",$AJ$29:$AJ$361,"&gt;"&amp;AJ49)+COUNTIFS($A$29:A49,A49,$H$29:H49,"",$AJ$29:AJ49,AJ49))</f>
        <v>22</v>
      </c>
      <c r="G49" s="17" t="str">
        <f aca="false">IF(H49&lt;&gt;"","",IF(ISNUMBER(I49),IF(I49&gt;=$C$3,"High price","Lower price"),"No price")&amp;", "&amp;IF(M49&gt;=$E$3,"high volume","lower volume"))</f>
        <v>Lower price, lower volume</v>
      </c>
      <c r="H49" s="17" t="str">
        <f aca="false">IF(Q49="No","IV only (no ID, IM or SC route)",IF(AND(AE49&gt;0,AF49=0),"Price ≤ USD 5",""))</f>
        <v/>
      </c>
      <c r="I49" s="18" t="n">
        <f aca="false">IF(AF49&gt;0,ROUND(AVERAGEIFS('Shortlisted Drugs X Company (7)'!$N$3:$N$698,'Shortlisted Drugs X Company (7)'!$C$3:$C$698,$B49,'Shortlisted Drugs X Company (7)'!$E$3:$E$698,$AA49,'Shortlisted Drugs X Company (7)'!$N$3:$N$698,"&gt;5"),2),"")</f>
        <v>5.35</v>
      </c>
      <c r="J49" s="17" t="str">
        <f aca="false">IF(COUNTIFS('Shortlisted Drugs X Company (7)'!$C$3:$C$698,$B49,'Shortlisted Drugs X Company (7)'!$E$3:$E$698,$AA49,'Shortlisted Drugs X Company (7)'!$P$3:$P$698,"Exact")&gt;0,"Exact",IF(COUNTIFS('Shortlisted Drugs X Company (7)'!$C$3:$C$698,$B49,'Shortlisted Drugs X Company (7)'!$E$3:$E$698,$AA49,'Shortlisted Drugs X Company (7)'!$P$3:$P$698,"Same-market proxy")&gt;0,"Same-market proxy",IF(COUNTIFS('Shortlisted Drugs X Company (7)'!$C$3:$C$698,$B49,'Shortlisted Drugs X Company (7)'!$E$3:$E$698,$AA49,'Shortlisted Drugs X Company (7)'!$P$3:$P$698,"Cross-market proxy")&gt;0,"Cross-market proxy",IF(COUNTIFS('Shortlisted Drugs X Company (7)'!$C$3:$C$698,$B49,'Shortlisted Drugs X Company (7)'!$E$3:$E$698,$AA49,'Shortlisted Drugs X Company (7)'!$P$3:$P$698,"Source not found")&gt;0,"Source not found","No price found"))))</f>
        <v>Same-market proxy</v>
      </c>
      <c r="K49" s="19" t="n">
        <f aca="false">IFERROR(INDEX('Injectable Value'!$AB$28:$AB$178,MATCH(B49,'Injectable Value'!$A$28:$A$178,0)),"")</f>
        <v>78</v>
      </c>
      <c r="L49" s="77" t="n">
        <f aca="false">IFERROR(INDEX('Injectable Value'!$Z$28:$Z$178,MATCH(B49,'Injectable Value'!$A$28:$A$178,0)),"")</f>
        <v>0.623015352554995</v>
      </c>
      <c r="M49" s="19" t="n">
        <f aca="false">IFERROR(INDEX('Injectable Value'!$AC$28:$AC$178,MATCH(B49,'Injectable Value'!$A$28:$A$178,0)),"")</f>
        <v>49</v>
      </c>
      <c r="N49" s="19" t="n">
        <f aca="false">IFERROR(INDEX('Injectable Value'!$C$28:$C$178,MATCH(B49,'Injectable Value'!$A$28:$A$178,0)),"")</f>
        <v>4714.67</v>
      </c>
      <c r="O49" s="19" t="n">
        <f aca="false">IFERROR(ROUND(INDEX('Injectable Value'!$AA$28:$AA$178,MATCH(B49,'Injectable Value'!$A$28:$A$178,0)),1),"")</f>
        <v>2937.3</v>
      </c>
      <c r="P49" s="16" t="str">
        <f aca="false">IFERROR(INDEX('Route of Administration'!$C$5:$C$155,MATCH(B49,'Route of Administration'!$A$5:$A$155,0)),"")</f>
        <v>IV, IM, SC</v>
      </c>
      <c r="Q49" s="15" t="str">
        <f aca="false">IFERROR(INDEX('Route of Administration'!$D$5:$D$155,MATCH(B49,'Route of Administration'!$A$5:$A$155,0)),"")</f>
        <v>Yes</v>
      </c>
      <c r="R49" s="16" t="s">
        <v>281</v>
      </c>
      <c r="S49" s="17" t="s">
        <v>404</v>
      </c>
      <c r="T49" s="16" t="s">
        <v>283</v>
      </c>
      <c r="U49" s="17" t="str">
        <f aca="false">""&amp;IF(AE49=0,"No price found","")&amp;IF(AND(AE49&gt;0,AF49=0,AG49=0),"Low price comes from another market – confirm with the company","")</f>
        <v/>
      </c>
      <c r="V49" s="17" t="s">
        <v>405</v>
      </c>
      <c r="W49" s="15" t="n">
        <v>2</v>
      </c>
      <c r="X49" s="17" t="s">
        <v>406</v>
      </c>
      <c r="Y49" s="17" t="s">
        <v>406</v>
      </c>
      <c r="Z49" s="17" t="s">
        <v>286</v>
      </c>
      <c r="AA49" s="16" t="s">
        <v>322</v>
      </c>
      <c r="AB49" s="78" t="s">
        <v>407</v>
      </c>
      <c r="AC49" s="20" t="n">
        <f aca="false">IF(AE49&gt;0,ROUND(AVERAGEIFS('Shortlisted Drugs X Company (7)'!$N$3:$N$698,'Shortlisted Drugs X Company (7)'!$C$3:$C$698,$B49,'Shortlisted Drugs X Company (7)'!$E$3:$E$698,$AA49,'Shortlisted Drugs X Company (7)'!$N$3:$N$698,"&gt;=0"),2),"")</f>
        <v>5.35</v>
      </c>
      <c r="AD49" s="79" t="str">
        <f aca="false">B49&amp;"|"&amp;AA49</f>
        <v>Ephedrine|Aurobindo Pharma</v>
      </c>
      <c r="AE49" s="22" t="n">
        <f aca="false">COUNTIFS('Shortlisted Drugs X Company (7)'!$C$3:$C$698,$B49,'Shortlisted Drugs X Company (7)'!$E$3:$E$698,$AA49,'Shortlisted Drugs X Company (7)'!$N$3:$N$698,"&gt;=0")</f>
        <v>1</v>
      </c>
      <c r="AF49" s="22" t="n">
        <f aca="false">COUNTIFS('Shortlisted Drugs X Company (7)'!$C$3:$C$698,$B49,'Shortlisted Drugs X Company (7)'!$E$3:$E$698,$AA49,'Shortlisted Drugs X Company (7)'!$N$3:$N$698,"&gt;5")</f>
        <v>1</v>
      </c>
      <c r="AG49" s="22" t="n">
        <f aca="false">COUNTIFS('Shortlisted Drugs X Company (7)'!$C$3:$C$698,$B49,'Shortlisted Drugs X Company (7)'!$E$3:$E$698,$AA49,'Shortlisted Drugs X Company (7)'!$P$3:$P$698,"Exact")+COUNTIFS('Shortlisted Drugs X Company (7)'!$C$3:$C$698,$B49,'Shortlisted Drugs X Company (7)'!$E$3:$E$698,$AA49,'Shortlisted Drugs X Company (7)'!$P$3:$P$698,"Same-market proxy")</f>
        <v>1</v>
      </c>
      <c r="AH49" s="22" t="n">
        <f aca="false">INDEX($G$7:$G$25,MATCH(A49,$A$7:$A$25,0))</f>
        <v>2</v>
      </c>
      <c r="AI49" s="79" t="n">
        <f aca="false">IF(OR(Q49="No",LEFT(H49,7)="IV only"),"",AH49*1000+IF(F49="",900+COUNTIFS($A$29:A49,A49,$H$29:H49,"Price*"),F49))</f>
        <v>2022</v>
      </c>
      <c r="AJ49" s="79" t="n">
        <f aca="false">IF(H49&lt;&gt;"","",(4-VALUE(RIGHT(E49,1)))*10^7+N(O49))</f>
        <v>10002937.3</v>
      </c>
      <c r="AK49" s="20" t="n">
        <f aca="false">IF(AND(H49="",ISNUMBER(I49)),I49,"")</f>
        <v>5.35</v>
      </c>
      <c r="AL49" s="21" t="n">
        <f aca="false">IF(H49="",M49,"")</f>
        <v>49</v>
      </c>
    </row>
    <row r="50" customFormat="false" ht="28.35" hidden="false" customHeight="false" outlineLevel="0" collapsed="false">
      <c r="A50" s="16" t="s">
        <v>229</v>
      </c>
      <c r="B50" s="16" t="s">
        <v>408</v>
      </c>
      <c r="C50" s="17" t="s">
        <v>409</v>
      </c>
      <c r="D50" s="17" t="s">
        <v>410</v>
      </c>
      <c r="E50" s="15" t="str">
        <f aca="false">IF(H50&lt;&gt;"",IF(LEFT(H50,5)="Price","Excluded – price ≤ USD 5","Excluded – IV only"),IF(ISNUMBER(I50),IF(AND(I50&gt;=$C$3,M50&gt;=$E$3),"Priority 1",IF(OR(I50&gt;=$C$3,M50&gt;=$E$3),"Priority 2","Priority 3")),IF(M50&gt;=$E$3,"Priority 2","Priority 3")))</f>
        <v>Excluded – IV only</v>
      </c>
      <c r="F50" s="15" t="str">
        <f aca="false">IF(H50&lt;&gt;"","",COUNTIFS($A$29:$A$361,A50,$H$29:$H$361,"",$AJ$29:$AJ$361,"&gt;"&amp;AJ50)+COUNTIFS($A$29:A50,A50,$H$29:H50,"",$AJ$29:AJ50,AJ50))</f>
        <v/>
      </c>
      <c r="G50" s="17" t="str">
        <f aca="false">IF(H50&lt;&gt;"","",IF(ISNUMBER(I50),IF(I50&gt;=$C$3,"High price","Lower price"),"No price")&amp;", "&amp;IF(M50&gt;=$E$3,"high volume","lower volume"))</f>
        <v/>
      </c>
      <c r="H50" s="17" t="str">
        <f aca="false">IF(Q50="No","IV only (no ID, IM or SC route)",IF(AND(AE50&gt;0,AF50=0),"Price ≤ USD 5",""))</f>
        <v>IV only (no ID, IM or SC route)</v>
      </c>
      <c r="I50" s="18" t="n">
        <f aca="false">IF(AF50&gt;0,ROUND(AVERAGEIFS('Shortlisted Drugs X Company (7)'!$N$3:$N$698,'Shortlisted Drugs X Company (7)'!$C$3:$C$698,$B50,'Shortlisted Drugs X Company (7)'!$E$3:$E$698,$AA50,'Shortlisted Drugs X Company (7)'!$N$3:$N$698,"&gt;5"),2),"")</f>
        <v>91.73</v>
      </c>
      <c r="J50" s="17" t="str">
        <f aca="false">IF(COUNTIFS('Shortlisted Drugs X Company (7)'!$C$3:$C$698,$B50,'Shortlisted Drugs X Company (7)'!$E$3:$E$698,$AA50,'Shortlisted Drugs X Company (7)'!$P$3:$P$698,"Exact")&gt;0,"Exact",IF(COUNTIFS('Shortlisted Drugs X Company (7)'!$C$3:$C$698,$B50,'Shortlisted Drugs X Company (7)'!$E$3:$E$698,$AA50,'Shortlisted Drugs X Company (7)'!$P$3:$P$698,"Same-market proxy")&gt;0,"Same-market proxy",IF(COUNTIFS('Shortlisted Drugs X Company (7)'!$C$3:$C$698,$B50,'Shortlisted Drugs X Company (7)'!$E$3:$E$698,$AA50,'Shortlisted Drugs X Company (7)'!$P$3:$P$698,"Cross-market proxy")&gt;0,"Cross-market proxy",IF(COUNTIFS('Shortlisted Drugs X Company (7)'!$C$3:$C$698,$B50,'Shortlisted Drugs X Company (7)'!$E$3:$E$698,$AA50,'Shortlisted Drugs X Company (7)'!$P$3:$P$698,"Source not found")&gt;0,"Source not found","No price found"))))</f>
        <v>Cross-market proxy</v>
      </c>
      <c r="K50" s="19" t="n">
        <f aca="false">IFERROR(INDEX('Injectable Value'!$AB$28:$AB$178,MATCH(B50,'Injectable Value'!$A$28:$A$178,0)),"")</f>
        <v>345</v>
      </c>
      <c r="L50" s="77" t="n">
        <f aca="false">IFERROR(INDEX('Injectable Value'!$Z$28:$Z$178,MATCH(B50,'Injectable Value'!$A$28:$A$178,0)),"")</f>
        <v>0.995283018867925</v>
      </c>
      <c r="M50" s="19" t="n">
        <f aca="false">IFERROR(INDEX('Injectable Value'!$AC$28:$AC$178,MATCH(B50,'Injectable Value'!$A$28:$A$178,0)),"")</f>
        <v>343</v>
      </c>
      <c r="N50" s="19" t="n">
        <f aca="false">IFERROR(INDEX('Injectable Value'!$C$28:$C$178,MATCH(B50,'Injectable Value'!$A$28:$A$178,0)),"")</f>
        <v>2783.28</v>
      </c>
      <c r="O50" s="19" t="n">
        <f aca="false">IFERROR(ROUND(INDEX('Injectable Value'!$AA$28:$AA$178,MATCH(B50,'Injectable Value'!$A$28:$A$178,0)),1),"")</f>
        <v>2770.2</v>
      </c>
      <c r="P50" s="16" t="str">
        <f aca="false">IFERROR(INDEX('Route of Administration'!$C$5:$C$155,MATCH(B50,'Route of Administration'!$A$5:$A$155,0)),"")</f>
        <v>IV</v>
      </c>
      <c r="Q50" s="15" t="str">
        <f aca="false">IFERROR(INDEX('Route of Administration'!$D$5:$D$155,MATCH(B50,'Route of Administration'!$A$5:$A$155,0)),"")</f>
        <v>No</v>
      </c>
      <c r="R50" s="16" t="s">
        <v>281</v>
      </c>
      <c r="S50" s="17" t="s">
        <v>411</v>
      </c>
      <c r="T50" s="16" t="s">
        <v>318</v>
      </c>
      <c r="U50" s="17" t="str">
        <f aca="false">"Cancer drug (cytotoxic) – less relevant"&amp;IF(AE50=0,"; No price found","")&amp;IF(AND(AE50&gt;0,AF50=0,AG50=0),"; Low price comes from another market – confirm with the company","")</f>
        <v>Cancer drug (cytotoxic) – less relevant</v>
      </c>
      <c r="V50" s="17" t="s">
        <v>412</v>
      </c>
      <c r="W50" s="15" t="n">
        <v>4</v>
      </c>
      <c r="X50" s="17" t="s">
        <v>413</v>
      </c>
      <c r="Y50" s="17" t="s">
        <v>413</v>
      </c>
      <c r="Z50" s="17" t="s">
        <v>321</v>
      </c>
      <c r="AA50" s="16" t="s">
        <v>322</v>
      </c>
      <c r="AB50" s="78" t="s">
        <v>414</v>
      </c>
      <c r="AC50" s="20" t="n">
        <f aca="false">IF(AE50&gt;0,ROUND(AVERAGEIFS('Shortlisted Drugs X Company (7)'!$N$3:$N$698,'Shortlisted Drugs X Company (7)'!$C$3:$C$698,$B50,'Shortlisted Drugs X Company (7)'!$E$3:$E$698,$AA50,'Shortlisted Drugs X Company (7)'!$N$3:$N$698,"&gt;=0"),2),"")</f>
        <v>91.73</v>
      </c>
      <c r="AD50" s="79" t="str">
        <f aca="false">B50&amp;"|"&amp;AA50</f>
        <v>Epirubicin|Aurobindo Pharma</v>
      </c>
      <c r="AE50" s="22" t="n">
        <f aca="false">COUNTIFS('Shortlisted Drugs X Company (7)'!$C$3:$C$698,$B50,'Shortlisted Drugs X Company (7)'!$E$3:$E$698,$AA50,'Shortlisted Drugs X Company (7)'!$N$3:$N$698,"&gt;=0")</f>
        <v>1</v>
      </c>
      <c r="AF50" s="22" t="n">
        <f aca="false">COUNTIFS('Shortlisted Drugs X Company (7)'!$C$3:$C$698,$B50,'Shortlisted Drugs X Company (7)'!$E$3:$E$698,$AA50,'Shortlisted Drugs X Company (7)'!$N$3:$N$698,"&gt;5")</f>
        <v>1</v>
      </c>
      <c r="AG50" s="22" t="n">
        <f aca="false">COUNTIFS('Shortlisted Drugs X Company (7)'!$C$3:$C$698,$B50,'Shortlisted Drugs X Company (7)'!$E$3:$E$698,$AA50,'Shortlisted Drugs X Company (7)'!$P$3:$P$698,"Exact")+COUNTIFS('Shortlisted Drugs X Company (7)'!$C$3:$C$698,$B50,'Shortlisted Drugs X Company (7)'!$E$3:$E$698,$AA50,'Shortlisted Drugs X Company (7)'!$P$3:$P$698,"Same-market proxy")</f>
        <v>0</v>
      </c>
      <c r="AH50" s="22" t="n">
        <f aca="false">INDEX($G$7:$G$25,MATCH(A50,$A$7:$A$25,0))</f>
        <v>2</v>
      </c>
      <c r="AI50" s="79" t="str">
        <f aca="false">IF(OR(Q50="No",LEFT(H50,7)="IV only"),"",AH50*1000+IF(F50="",900+COUNTIFS($A$29:A50,A50,$H$29:H50,"Price*"),F50))</f>
        <v/>
      </c>
      <c r="AJ50" s="79" t="str">
        <f aca="false">IF(H50&lt;&gt;"","",(4-VALUE(RIGHT(E50,1)))*10^7+N(O50))</f>
        <v/>
      </c>
      <c r="AK50" s="79" t="str">
        <f aca="false">IF(AND(H50="",ISNUMBER(I50)),I50,"")</f>
        <v/>
      </c>
      <c r="AL50" s="79" t="str">
        <f aca="false">IF(H50="",M50,"")</f>
        <v/>
      </c>
    </row>
    <row r="51" customFormat="false" ht="41.75" hidden="false" customHeight="false" outlineLevel="0" collapsed="false">
      <c r="A51" s="16" t="s">
        <v>229</v>
      </c>
      <c r="B51" s="16" t="s">
        <v>415</v>
      </c>
      <c r="C51" s="17" t="s">
        <v>415</v>
      </c>
      <c r="D51" s="17" t="s">
        <v>416</v>
      </c>
      <c r="E51" s="15" t="str">
        <f aca="false">IF(H51&lt;&gt;"",IF(LEFT(H51,5)="Price","Excluded – price ≤ USD 5","Excluded – IV only"),IF(ISNUMBER(I51),IF(AND(I51&gt;=$C$3,M51&gt;=$E$3),"Priority 1",IF(OR(I51&gt;=$C$3,M51&gt;=$E$3),"Priority 2","Priority 3")),IF(M51&gt;=$E$3,"Priority 2","Priority 3")))</f>
        <v>Excluded – IV only</v>
      </c>
      <c r="F51" s="15" t="str">
        <f aca="false">IF(H51&lt;&gt;"","",COUNTIFS($A$29:$A$361,A51,$H$29:$H$361,"",$AJ$29:$AJ$361,"&gt;"&amp;AJ51)+COUNTIFS($A$29:A51,A51,$H$29:H51,"",$AJ$29:AJ51,AJ51))</f>
        <v/>
      </c>
      <c r="G51" s="17" t="str">
        <f aca="false">IF(H51&lt;&gt;"","",IF(ISNUMBER(I51),IF(I51&gt;=$C$3,"High price","Lower price"),"No price")&amp;", "&amp;IF(M51&gt;=$E$3,"high volume","lower volume"))</f>
        <v/>
      </c>
      <c r="H51" s="17" t="str">
        <f aca="false">IF(Q51="No","IV only (no ID, IM or SC route)",IF(AND(AE51&gt;0,AF51=0),"Price ≤ USD 5",""))</f>
        <v>IV only (no ID, IM or SC route)</v>
      </c>
      <c r="I51" s="18" t="n">
        <f aca="false">IF(AF51&gt;0,ROUND(AVERAGEIFS('Shortlisted Drugs X Company (7)'!$N$3:$N$698,'Shortlisted Drugs X Company (7)'!$C$3:$C$698,$B51,'Shortlisted Drugs X Company (7)'!$E$3:$E$698,$AA51,'Shortlisted Drugs X Company (7)'!$N$3:$N$698,"&gt;5"),2),"")</f>
        <v>343.8</v>
      </c>
      <c r="J51" s="17" t="str">
        <f aca="false">IF(COUNTIFS('Shortlisted Drugs X Company (7)'!$C$3:$C$698,$B51,'Shortlisted Drugs X Company (7)'!$E$3:$E$698,$AA51,'Shortlisted Drugs X Company (7)'!$P$3:$P$698,"Exact")&gt;0,"Exact",IF(COUNTIFS('Shortlisted Drugs X Company (7)'!$C$3:$C$698,$B51,'Shortlisted Drugs X Company (7)'!$E$3:$E$698,$AA51,'Shortlisted Drugs X Company (7)'!$P$3:$P$698,"Same-market proxy")&gt;0,"Same-market proxy",IF(COUNTIFS('Shortlisted Drugs X Company (7)'!$C$3:$C$698,$B51,'Shortlisted Drugs X Company (7)'!$E$3:$E$698,$AA51,'Shortlisted Drugs X Company (7)'!$P$3:$P$698,"Cross-market proxy")&gt;0,"Cross-market proxy",IF(COUNTIFS('Shortlisted Drugs X Company (7)'!$C$3:$C$698,$B51,'Shortlisted Drugs X Company (7)'!$E$3:$E$698,$AA51,'Shortlisted Drugs X Company (7)'!$P$3:$P$698,"Source not found")&gt;0,"Source not found","No price found"))))</f>
        <v>Same-market proxy</v>
      </c>
      <c r="K51" s="19" t="n">
        <f aca="false">IFERROR(INDEX('Injectable Value'!$AB$28:$AB$178,MATCH(B51,'Injectable Value'!$A$28:$A$178,0)),"")</f>
        <v>149</v>
      </c>
      <c r="L51" s="77" t="n">
        <f aca="false">IFERROR(INDEX('Injectable Value'!$Z$28:$Z$178,MATCH(B51,'Injectable Value'!$A$28:$A$178,0)),"")</f>
        <v>0.985294117647059</v>
      </c>
      <c r="M51" s="19" t="n">
        <f aca="false">IFERROR(INDEX('Injectable Value'!$AC$28:$AC$178,MATCH(B51,'Injectable Value'!$A$28:$A$178,0)),"")</f>
        <v>147</v>
      </c>
      <c r="N51" s="19" t="n">
        <f aca="false">IFERROR(INDEX('Injectable Value'!$C$28:$C$178,MATCH(B51,'Injectable Value'!$A$28:$A$178,0)),"")</f>
        <v>5255.61</v>
      </c>
      <c r="O51" s="19" t="n">
        <f aca="false">IFERROR(ROUND(INDEX('Injectable Value'!$AA$28:$AA$178,MATCH(B51,'Injectable Value'!$A$28:$A$178,0)),1),"")</f>
        <v>5178.3</v>
      </c>
      <c r="P51" s="16" t="str">
        <f aca="false">IFERROR(INDEX('Route of Administration'!$C$5:$C$155,MATCH(B51,'Route of Administration'!$A$5:$A$155,0)),"")</f>
        <v>IV</v>
      </c>
      <c r="Q51" s="15" t="str">
        <f aca="false">IFERROR(INDEX('Route of Administration'!$D$5:$D$155,MATCH(B51,'Route of Administration'!$A$5:$A$155,0)),"")</f>
        <v>No</v>
      </c>
      <c r="R51" s="16" t="s">
        <v>281</v>
      </c>
      <c r="S51" s="17" t="s">
        <v>417</v>
      </c>
      <c r="T51" s="16" t="s">
        <v>283</v>
      </c>
      <c r="U51" s="17" t="str">
        <f aca="false">""&amp;IF(AE51=0,"No price found","")&amp;IF(AND(AE51&gt;0,AF51=0,AG51=0),"Low price comes from another market – confirm with the company","")</f>
        <v/>
      </c>
      <c r="V51" s="17" t="s">
        <v>284</v>
      </c>
      <c r="W51" s="15" t="n">
        <v>1</v>
      </c>
      <c r="X51" s="17" t="s">
        <v>284</v>
      </c>
      <c r="Y51" s="17" t="s">
        <v>284</v>
      </c>
      <c r="Z51" s="17" t="s">
        <v>321</v>
      </c>
      <c r="AA51" s="16" t="s">
        <v>322</v>
      </c>
      <c r="AB51" s="78" t="s">
        <v>418</v>
      </c>
      <c r="AC51" s="20" t="n">
        <f aca="false">IF(AE51&gt;0,ROUND(AVERAGEIFS('Shortlisted Drugs X Company (7)'!$N$3:$N$698,'Shortlisted Drugs X Company (7)'!$C$3:$C$698,$B51,'Shortlisted Drugs X Company (7)'!$E$3:$E$698,$AA51,'Shortlisted Drugs X Company (7)'!$N$3:$N$698,"&gt;=0"),2),"")</f>
        <v>343.8</v>
      </c>
      <c r="AD51" s="79" t="str">
        <f aca="false">B51&amp;"|"&amp;AA51</f>
        <v>Eptifibatide|Aurobindo Pharma</v>
      </c>
      <c r="AE51" s="22" t="n">
        <f aca="false">COUNTIFS('Shortlisted Drugs X Company (7)'!$C$3:$C$698,$B51,'Shortlisted Drugs X Company (7)'!$E$3:$E$698,$AA51,'Shortlisted Drugs X Company (7)'!$N$3:$N$698,"&gt;=0")</f>
        <v>1</v>
      </c>
      <c r="AF51" s="22" t="n">
        <f aca="false">COUNTIFS('Shortlisted Drugs X Company (7)'!$C$3:$C$698,$B51,'Shortlisted Drugs X Company (7)'!$E$3:$E$698,$AA51,'Shortlisted Drugs X Company (7)'!$N$3:$N$698,"&gt;5")</f>
        <v>1</v>
      </c>
      <c r="AG51" s="22" t="n">
        <f aca="false">COUNTIFS('Shortlisted Drugs X Company (7)'!$C$3:$C$698,$B51,'Shortlisted Drugs X Company (7)'!$E$3:$E$698,$AA51,'Shortlisted Drugs X Company (7)'!$P$3:$P$698,"Exact")+COUNTIFS('Shortlisted Drugs X Company (7)'!$C$3:$C$698,$B51,'Shortlisted Drugs X Company (7)'!$E$3:$E$698,$AA51,'Shortlisted Drugs X Company (7)'!$P$3:$P$698,"Same-market proxy")</f>
        <v>1</v>
      </c>
      <c r="AH51" s="22" t="n">
        <f aca="false">INDEX($G$7:$G$25,MATCH(A51,$A$7:$A$25,0))</f>
        <v>2</v>
      </c>
      <c r="AI51" s="79" t="str">
        <f aca="false">IF(OR(Q51="No",LEFT(H51,7)="IV only"),"",AH51*1000+IF(F51="",900+COUNTIFS($A$29:A51,A51,$H$29:H51,"Price*"),F51))</f>
        <v/>
      </c>
      <c r="AJ51" s="79" t="str">
        <f aca="false">IF(H51&lt;&gt;"","",(4-VALUE(RIGHT(E51,1)))*10^7+N(O51))</f>
        <v/>
      </c>
      <c r="AK51" s="79" t="str">
        <f aca="false">IF(AND(H51="",ISNUMBER(I51)),I51,"")</f>
        <v/>
      </c>
      <c r="AL51" s="79" t="str">
        <f aca="false">IF(H51="",M51,"")</f>
        <v/>
      </c>
    </row>
    <row r="52" customFormat="false" ht="41.75" hidden="false" customHeight="false" outlineLevel="0" collapsed="false">
      <c r="A52" s="16" t="s">
        <v>229</v>
      </c>
      <c r="B52" s="16" t="s">
        <v>419</v>
      </c>
      <c r="C52" s="17" t="s">
        <v>420</v>
      </c>
      <c r="D52" s="17" t="s">
        <v>421</v>
      </c>
      <c r="E52" s="15" t="str">
        <f aca="false">IF(H52&lt;&gt;"",IF(LEFT(H52,5)="Price","Excluded – price ≤ USD 5","Excluded – IV only"),IF(ISNUMBER(I52),IF(AND(I52&gt;=$C$3,M52&gt;=$E$3),"Priority 1",IF(OR(I52&gt;=$C$3,M52&gt;=$E$3),"Priority 2","Priority 3")),IF(M52&gt;=$E$3,"Priority 2","Priority 3")))</f>
        <v>Priority 1</v>
      </c>
      <c r="F52" s="15" t="n">
        <f aca="false">IF(H52&lt;&gt;"","",COUNTIFS($A$29:$A$361,A52,$H$29:$H$361,"",$AJ$29:$AJ$361,"&gt;"&amp;AJ52)+COUNTIFS($A$29:A52,A52,$H$29:H52,"",$AJ$29:AJ52,AJ52))</f>
        <v>1</v>
      </c>
      <c r="G52" s="17" t="str">
        <f aca="false">IF(H52&lt;&gt;"","",IF(ISNUMBER(I52),IF(I52&gt;=$C$3,"High price","Lower price"),"No price")&amp;", "&amp;IF(M52&gt;=$E$3,"high volume","lower volume"))</f>
        <v>High price, high volume</v>
      </c>
      <c r="H52" s="17" t="str">
        <f aca="false">IF(Q52="No","IV only (no ID, IM or SC route)",IF(AND(AE52&gt;0,AF52=0),"Price ≤ USD 5",""))</f>
        <v/>
      </c>
      <c r="I52" s="18" t="n">
        <f aca="false">IF(AF52&gt;0,ROUND(AVERAGEIFS('Shortlisted Drugs X Company (7)'!$N$3:$N$698,'Shortlisted Drugs X Company (7)'!$C$3:$C$698,$B52,'Shortlisted Drugs X Company (7)'!$E$3:$E$698,$AA52,'Shortlisted Drugs X Company (7)'!$N$3:$N$698,"&gt;5"),2),"")</f>
        <v>28.55</v>
      </c>
      <c r="J52" s="17" t="str">
        <f aca="false">IF(COUNTIFS('Shortlisted Drugs X Company (7)'!$C$3:$C$698,$B52,'Shortlisted Drugs X Company (7)'!$E$3:$E$698,$AA52,'Shortlisted Drugs X Company (7)'!$P$3:$P$698,"Exact")&gt;0,"Exact",IF(COUNTIFS('Shortlisted Drugs X Company (7)'!$C$3:$C$698,$B52,'Shortlisted Drugs X Company (7)'!$E$3:$E$698,$AA52,'Shortlisted Drugs X Company (7)'!$P$3:$P$698,"Same-market proxy")&gt;0,"Same-market proxy",IF(COUNTIFS('Shortlisted Drugs X Company (7)'!$C$3:$C$698,$B52,'Shortlisted Drugs X Company (7)'!$E$3:$E$698,$AA52,'Shortlisted Drugs X Company (7)'!$P$3:$P$698,"Cross-market proxy")&gt;0,"Cross-market proxy",IF(COUNTIFS('Shortlisted Drugs X Company (7)'!$C$3:$C$698,$B52,'Shortlisted Drugs X Company (7)'!$E$3:$E$698,$AA52,'Shortlisted Drugs X Company (7)'!$P$3:$P$698,"Source not found")&gt;0,"Source not found","No price found"))))</f>
        <v>Exact</v>
      </c>
      <c r="K52" s="19" t="n">
        <f aca="false">IFERROR(INDEX('Injectable Value'!$AB$28:$AB$178,MATCH(B52,'Injectable Value'!$A$28:$A$178,0)),"")</f>
        <v>223</v>
      </c>
      <c r="L52" s="77" t="n">
        <f aca="false">IFERROR(INDEX('Injectable Value'!$Z$28:$Z$178,MATCH(B52,'Injectable Value'!$A$28:$A$178,0)),"")</f>
        <v>1</v>
      </c>
      <c r="M52" s="19" t="n">
        <f aca="false">IFERROR(INDEX('Injectable Value'!$AC$28:$AC$178,MATCH(B52,'Injectable Value'!$A$28:$A$178,0)),"")</f>
        <v>223</v>
      </c>
      <c r="N52" s="19" t="n">
        <f aca="false">IFERROR(INDEX('Injectable Value'!$C$28:$C$178,MATCH(B52,'Injectable Value'!$A$28:$A$178,0)),"")</f>
        <v>53539.87</v>
      </c>
      <c r="O52" s="19" t="n">
        <f aca="false">IFERROR(ROUND(INDEX('Injectable Value'!$AA$28:$AA$178,MATCH(B52,'Injectable Value'!$A$28:$A$178,0)),1),"")</f>
        <v>53539.9</v>
      </c>
      <c r="P52" s="16" t="str">
        <f aca="false">IFERROR(INDEX('Route of Administration'!$C$5:$C$155,MATCH(B52,'Route of Administration'!$A$5:$A$155,0)),"")</f>
        <v>IV, IM</v>
      </c>
      <c r="Q52" s="15" t="str">
        <f aca="false">IFERROR(INDEX('Route of Administration'!$D$5:$D$155,MATCH(B52,'Route of Administration'!$A$5:$A$155,0)),"")</f>
        <v>Yes</v>
      </c>
      <c r="R52" s="16" t="s">
        <v>281</v>
      </c>
      <c r="S52" s="17" t="s">
        <v>422</v>
      </c>
      <c r="T52" s="16" t="s">
        <v>359</v>
      </c>
      <c r="U52" s="17" t="str">
        <f aca="false">"Reconstitution"&amp;IF(AE52=0,"; No price found","")&amp;IF(AND(AE52&gt;0,AF52=0,AG52=0),"; Low price comes from another market – confirm with the company","")</f>
        <v>Reconstitution</v>
      </c>
      <c r="V52" s="17" t="s">
        <v>423</v>
      </c>
      <c r="W52" s="15" t="n">
        <v>10</v>
      </c>
      <c r="X52" s="17" t="s">
        <v>424</v>
      </c>
      <c r="Y52" s="17" t="s">
        <v>424</v>
      </c>
      <c r="Z52" s="17" t="s">
        <v>286</v>
      </c>
      <c r="AA52" s="16" t="s">
        <v>322</v>
      </c>
      <c r="AB52" s="78" t="s">
        <v>425</v>
      </c>
      <c r="AC52" s="20" t="n">
        <f aca="false">IF(AE52&gt;0,ROUND(AVERAGEIFS('Shortlisted Drugs X Company (7)'!$N$3:$N$698,'Shortlisted Drugs X Company (7)'!$C$3:$C$698,$B52,'Shortlisted Drugs X Company (7)'!$E$3:$E$698,$AA52,'Shortlisted Drugs X Company (7)'!$N$3:$N$698,"&gt;=0"),2),"")</f>
        <v>28.55</v>
      </c>
      <c r="AD52" s="79" t="str">
        <f aca="false">B52&amp;"|"&amp;AA52</f>
        <v>Ertapenem|Aurobindo Pharma</v>
      </c>
      <c r="AE52" s="22" t="n">
        <f aca="false">COUNTIFS('Shortlisted Drugs X Company (7)'!$C$3:$C$698,$B52,'Shortlisted Drugs X Company (7)'!$E$3:$E$698,$AA52,'Shortlisted Drugs X Company (7)'!$N$3:$N$698,"&gt;=0")</f>
        <v>7</v>
      </c>
      <c r="AF52" s="22" t="n">
        <f aca="false">COUNTIFS('Shortlisted Drugs X Company (7)'!$C$3:$C$698,$B52,'Shortlisted Drugs X Company (7)'!$E$3:$E$698,$AA52,'Shortlisted Drugs X Company (7)'!$N$3:$N$698,"&gt;5")</f>
        <v>7</v>
      </c>
      <c r="AG52" s="22" t="n">
        <f aca="false">COUNTIFS('Shortlisted Drugs X Company (7)'!$C$3:$C$698,$B52,'Shortlisted Drugs X Company (7)'!$E$3:$E$698,$AA52,'Shortlisted Drugs X Company (7)'!$P$3:$P$698,"Exact")+COUNTIFS('Shortlisted Drugs X Company (7)'!$C$3:$C$698,$B52,'Shortlisted Drugs X Company (7)'!$E$3:$E$698,$AA52,'Shortlisted Drugs X Company (7)'!$P$3:$P$698,"Same-market proxy")</f>
        <v>7</v>
      </c>
      <c r="AH52" s="22" t="n">
        <f aca="false">INDEX($G$7:$G$25,MATCH(A52,$A$7:$A$25,0))</f>
        <v>2</v>
      </c>
      <c r="AI52" s="79" t="n">
        <f aca="false">IF(OR(Q52="No",LEFT(H52,7)="IV only"),"",AH52*1000+IF(F52="",900+COUNTIFS($A$29:A52,A52,$H$29:H52,"Price*"),F52))</f>
        <v>2001</v>
      </c>
      <c r="AJ52" s="79" t="n">
        <f aca="false">IF(H52&lt;&gt;"","",(4-VALUE(RIGHT(E52,1)))*10^7+N(O52))</f>
        <v>30053539.9</v>
      </c>
      <c r="AK52" s="20" t="n">
        <f aca="false">IF(AND(H52="",ISNUMBER(I52)),I52,"")</f>
        <v>28.55</v>
      </c>
      <c r="AL52" s="21" t="n">
        <f aca="false">IF(H52="",M52,"")</f>
        <v>223</v>
      </c>
    </row>
    <row r="53" customFormat="false" ht="28.35" hidden="false" customHeight="false" outlineLevel="0" collapsed="false">
      <c r="A53" s="16" t="s">
        <v>229</v>
      </c>
      <c r="B53" s="16" t="s">
        <v>426</v>
      </c>
      <c r="C53" s="17" t="s">
        <v>427</v>
      </c>
      <c r="D53" s="17" t="s">
        <v>428</v>
      </c>
      <c r="E53" s="15" t="str">
        <f aca="false">IF(H53&lt;&gt;"",IF(LEFT(H53,5)="Price","Excluded – price ≤ USD 5","Excluded – IV only"),IF(ISNUMBER(I53),IF(AND(I53&gt;=$C$3,M53&gt;=$E$3),"Priority 1",IF(OR(I53&gt;=$C$3,M53&gt;=$E$3),"Priority 2","Priority 3")),IF(M53&gt;=$E$3,"Priority 2","Priority 3")))</f>
        <v>Excluded – IV only</v>
      </c>
      <c r="F53" s="15" t="str">
        <f aca="false">IF(H53&lt;&gt;"","",COUNTIFS($A$29:$A$361,A53,$H$29:$H$361,"",$AJ$29:$AJ$361,"&gt;"&amp;AJ53)+COUNTIFS($A$29:A53,A53,$H$29:H53,"",$AJ$29:AJ53,AJ53))</f>
        <v/>
      </c>
      <c r="G53" s="17" t="str">
        <f aca="false">IF(H53&lt;&gt;"","",IF(ISNUMBER(I53),IF(I53&gt;=$C$3,"High price","Lower price"),"No price")&amp;", "&amp;IF(M53&gt;=$E$3,"high volume","lower volume"))</f>
        <v/>
      </c>
      <c r="H53" s="17" t="str">
        <f aca="false">IF(Q53="No","IV only (no ID, IM or SC route)",IF(AND(AE53&gt;0,AF53=0),"Price ≤ USD 5",""))</f>
        <v>IV only (no ID, IM or SC route)</v>
      </c>
      <c r="I53" s="18" t="n">
        <f aca="false">IF(AF53&gt;0,ROUND(AVERAGEIFS('Shortlisted Drugs X Company (7)'!$N$3:$N$698,'Shortlisted Drugs X Company (7)'!$C$3:$C$698,$B53,'Shortlisted Drugs X Company (7)'!$E$3:$E$698,$AA53,'Shortlisted Drugs X Company (7)'!$N$3:$N$698,"&gt;5"),2),"")</f>
        <v>54.54</v>
      </c>
      <c r="J53" s="17" t="str">
        <f aca="false">IF(COUNTIFS('Shortlisted Drugs X Company (7)'!$C$3:$C$698,$B53,'Shortlisted Drugs X Company (7)'!$E$3:$E$698,$AA53,'Shortlisted Drugs X Company (7)'!$P$3:$P$698,"Exact")&gt;0,"Exact",IF(COUNTIFS('Shortlisted Drugs X Company (7)'!$C$3:$C$698,$B53,'Shortlisted Drugs X Company (7)'!$E$3:$E$698,$AA53,'Shortlisted Drugs X Company (7)'!$P$3:$P$698,"Same-market proxy")&gt;0,"Same-market proxy",IF(COUNTIFS('Shortlisted Drugs X Company (7)'!$C$3:$C$698,$B53,'Shortlisted Drugs X Company (7)'!$E$3:$E$698,$AA53,'Shortlisted Drugs X Company (7)'!$P$3:$P$698,"Cross-market proxy")&gt;0,"Cross-market proxy",IF(COUNTIFS('Shortlisted Drugs X Company (7)'!$C$3:$C$698,$B53,'Shortlisted Drugs X Company (7)'!$E$3:$E$698,$AA53,'Shortlisted Drugs X Company (7)'!$P$3:$P$698,"Source not found")&gt;0,"Source not found","No price found"))))</f>
        <v>Same-market proxy</v>
      </c>
      <c r="K53" s="19" t="n">
        <f aca="false">IFERROR(INDEX('Injectable Value'!$AB$28:$AB$178,MATCH(B53,'Injectable Value'!$A$28:$A$178,0)),"")</f>
        <v>126</v>
      </c>
      <c r="L53" s="77" t="n">
        <f aca="false">IFERROR(INDEX('Injectable Value'!$Z$28:$Z$178,MATCH(B53,'Injectable Value'!$A$28:$A$178,0)),"")</f>
        <v>1</v>
      </c>
      <c r="M53" s="19" t="n">
        <f aca="false">IFERROR(INDEX('Injectable Value'!$AC$28:$AC$178,MATCH(B53,'Injectable Value'!$A$28:$A$178,0)),"")</f>
        <v>126</v>
      </c>
      <c r="N53" s="19" t="n">
        <f aca="false">IFERROR(INDEX('Injectable Value'!$C$28:$C$178,MATCH(B53,'Injectable Value'!$A$28:$A$178,0)),"")</f>
        <v>5896.49</v>
      </c>
      <c r="O53" s="19" t="n">
        <f aca="false">IFERROR(ROUND(INDEX('Injectable Value'!$AA$28:$AA$178,MATCH(B53,'Injectable Value'!$A$28:$A$178,0)),1),"")</f>
        <v>5896.5</v>
      </c>
      <c r="P53" s="16" t="str">
        <f aca="false">IFERROR(INDEX('Route of Administration'!$C$5:$C$155,MATCH(B53,'Route of Administration'!$A$5:$A$155,0)),"")</f>
        <v>IV</v>
      </c>
      <c r="Q53" s="15" t="str">
        <f aca="false">IFERROR(INDEX('Route of Administration'!$D$5:$D$155,MATCH(B53,'Route of Administration'!$A$5:$A$155,0)),"")</f>
        <v>No</v>
      </c>
      <c r="R53" s="16" t="s">
        <v>429</v>
      </c>
      <c r="S53" s="17" t="s">
        <v>430</v>
      </c>
      <c r="T53" s="16" t="s">
        <v>318</v>
      </c>
      <c r="U53" s="17" t="str">
        <f aca="false">""&amp;IF(AE53=0,"No price found","")&amp;IF(AND(AE53&gt;0,AF53=0,AG53=0),"Low price comes from another market – confirm with the company","")</f>
        <v/>
      </c>
      <c r="V53" s="17" t="s">
        <v>284</v>
      </c>
      <c r="W53" s="15" t="n">
        <v>2</v>
      </c>
      <c r="X53" s="17" t="s">
        <v>431</v>
      </c>
      <c r="Y53" s="17" t="s">
        <v>431</v>
      </c>
      <c r="Z53" s="17" t="s">
        <v>321</v>
      </c>
      <c r="AA53" s="16" t="s">
        <v>322</v>
      </c>
      <c r="AB53" s="78" t="s">
        <v>432</v>
      </c>
      <c r="AC53" s="20" t="n">
        <f aca="false">IF(AE53&gt;0,ROUND(AVERAGEIFS('Shortlisted Drugs X Company (7)'!$N$3:$N$698,'Shortlisted Drugs X Company (7)'!$C$3:$C$698,$B53,'Shortlisted Drugs X Company (7)'!$E$3:$E$698,$AA53,'Shortlisted Drugs X Company (7)'!$N$3:$N$698,"&gt;=0"),2),"")</f>
        <v>54.54</v>
      </c>
      <c r="AD53" s="79" t="str">
        <f aca="false">B53&amp;"|"&amp;AA53</f>
        <v>Esmolol|Aurobindo Pharma</v>
      </c>
      <c r="AE53" s="22" t="n">
        <f aca="false">COUNTIFS('Shortlisted Drugs X Company (7)'!$C$3:$C$698,$B53,'Shortlisted Drugs X Company (7)'!$E$3:$E$698,$AA53,'Shortlisted Drugs X Company (7)'!$N$3:$N$698,"&gt;=0")</f>
        <v>1</v>
      </c>
      <c r="AF53" s="22" t="n">
        <f aca="false">COUNTIFS('Shortlisted Drugs X Company (7)'!$C$3:$C$698,$B53,'Shortlisted Drugs X Company (7)'!$E$3:$E$698,$AA53,'Shortlisted Drugs X Company (7)'!$N$3:$N$698,"&gt;5")</f>
        <v>1</v>
      </c>
      <c r="AG53" s="22" t="n">
        <f aca="false">COUNTIFS('Shortlisted Drugs X Company (7)'!$C$3:$C$698,$B53,'Shortlisted Drugs X Company (7)'!$E$3:$E$698,$AA53,'Shortlisted Drugs X Company (7)'!$P$3:$P$698,"Exact")+COUNTIFS('Shortlisted Drugs X Company (7)'!$C$3:$C$698,$B53,'Shortlisted Drugs X Company (7)'!$E$3:$E$698,$AA53,'Shortlisted Drugs X Company (7)'!$P$3:$P$698,"Same-market proxy")</f>
        <v>1</v>
      </c>
      <c r="AH53" s="22" t="n">
        <f aca="false">INDEX($G$7:$G$25,MATCH(A53,$A$7:$A$25,0))</f>
        <v>2</v>
      </c>
      <c r="AI53" s="79" t="str">
        <f aca="false">IF(OR(Q53="No",LEFT(H53,7)="IV only"),"",AH53*1000+IF(F53="",900+COUNTIFS($A$29:A53,A53,$H$29:H53,"Price*"),F53))</f>
        <v/>
      </c>
      <c r="AJ53" s="79" t="str">
        <f aca="false">IF(H53&lt;&gt;"","",(4-VALUE(RIGHT(E53,1)))*10^7+N(O53))</f>
        <v/>
      </c>
      <c r="AK53" s="79" t="str">
        <f aca="false">IF(AND(H53="",ISNUMBER(I53)),I53,"")</f>
        <v/>
      </c>
      <c r="AL53" s="79" t="str">
        <f aca="false">IF(H53="",M53,"")</f>
        <v/>
      </c>
    </row>
    <row r="54" customFormat="false" ht="41.75" hidden="false" customHeight="false" outlineLevel="0" collapsed="false">
      <c r="A54" s="16" t="s">
        <v>229</v>
      </c>
      <c r="B54" s="16" t="s">
        <v>433</v>
      </c>
      <c r="C54" s="17" t="s">
        <v>434</v>
      </c>
      <c r="D54" s="17" t="s">
        <v>435</v>
      </c>
      <c r="E54" s="15" t="str">
        <f aca="false">IF(H54&lt;&gt;"",IF(LEFT(H54,5)="Price","Excluded – price ≤ USD 5","Excluded – IV only"),IF(ISNUMBER(I54),IF(AND(I54&gt;=$C$3,M54&gt;=$E$3),"Priority 1",IF(OR(I54&gt;=$C$3,M54&gt;=$E$3),"Priority 2","Priority 3")),IF(M54&gt;=$E$3,"Priority 2","Priority 3")))</f>
        <v>Excluded – price ≤ USD 5</v>
      </c>
      <c r="F54" s="15" t="str">
        <f aca="false">IF(H54&lt;&gt;"","",COUNTIFS($A$29:$A$361,A54,$H$29:$H$361,"",$AJ$29:$AJ$361,"&gt;"&amp;AJ54)+COUNTIFS($A$29:A54,A54,$H$29:H54,"",$AJ$29:AJ54,AJ54))</f>
        <v/>
      </c>
      <c r="G54" s="17" t="str">
        <f aca="false">IF(H54&lt;&gt;"","",IF(ISNUMBER(I54),IF(I54&gt;=$C$3,"High price","Lower price"),"No price")&amp;", "&amp;IF(M54&gt;=$E$3,"high volume","lower volume"))</f>
        <v/>
      </c>
      <c r="H54" s="17" t="str">
        <f aca="false">IF(Q54="No","IV only (no ID, IM or SC route)",IF(AND(AE54&gt;0,AF54=0),"Price ≤ USD 5",""))</f>
        <v>Price ≤ USD 5</v>
      </c>
      <c r="I54" s="18" t="str">
        <f aca="false">IF(AF54&gt;0,ROUND(AVERAGEIFS('Shortlisted Drugs X Company (7)'!$N$3:$N$698,'Shortlisted Drugs X Company (7)'!$C$3:$C$698,$B54,'Shortlisted Drugs X Company (7)'!$E$3:$E$698,$AA54,'Shortlisted Drugs X Company (7)'!$N$3:$N$698,"&gt;5"),2),"")</f>
        <v/>
      </c>
      <c r="J54" s="17" t="str">
        <f aca="false">IF(COUNTIFS('Shortlisted Drugs X Company (7)'!$C$3:$C$698,$B54,'Shortlisted Drugs X Company (7)'!$E$3:$E$698,$AA54,'Shortlisted Drugs X Company (7)'!$P$3:$P$698,"Exact")&gt;0,"Exact",IF(COUNTIFS('Shortlisted Drugs X Company (7)'!$C$3:$C$698,$B54,'Shortlisted Drugs X Company (7)'!$E$3:$E$698,$AA54,'Shortlisted Drugs X Company (7)'!$P$3:$P$698,"Same-market proxy")&gt;0,"Same-market proxy",IF(COUNTIFS('Shortlisted Drugs X Company (7)'!$C$3:$C$698,$B54,'Shortlisted Drugs X Company (7)'!$E$3:$E$698,$AA54,'Shortlisted Drugs X Company (7)'!$P$3:$P$698,"Cross-market proxy")&gt;0,"Cross-market proxy",IF(COUNTIFS('Shortlisted Drugs X Company (7)'!$C$3:$C$698,$B54,'Shortlisted Drugs X Company (7)'!$E$3:$E$698,$AA54,'Shortlisted Drugs X Company (7)'!$P$3:$P$698,"Source not found")&gt;0,"Source not found","No price found"))))</f>
        <v>Same-market proxy</v>
      </c>
      <c r="K54" s="19" t="n">
        <f aca="false">IFERROR(INDEX('Injectable Value'!$AB$28:$AB$178,MATCH(B54,'Injectable Value'!$A$28:$A$178,0)),"")</f>
        <v>347</v>
      </c>
      <c r="L54" s="77" t="n">
        <f aca="false">IFERROR(INDEX('Injectable Value'!$Z$28:$Z$178,MATCH(B54,'Injectable Value'!$A$28:$A$178,0)),"")</f>
        <v>0.334376150165624</v>
      </c>
      <c r="M54" s="19" t="n">
        <f aca="false">IFERROR(INDEX('Injectable Value'!$AC$28:$AC$178,MATCH(B54,'Injectable Value'!$A$28:$A$178,0)),"")</f>
        <v>116</v>
      </c>
      <c r="N54" s="19" t="n">
        <f aca="false">IFERROR(INDEX('Injectable Value'!$C$28:$C$178,MATCH(B54,'Injectable Value'!$A$28:$A$178,0)),"")</f>
        <v>18803.98</v>
      </c>
      <c r="O54" s="19" t="n">
        <f aca="false">IFERROR(ROUND(INDEX('Injectable Value'!$AA$28:$AA$178,MATCH(B54,'Injectable Value'!$A$28:$A$178,0)),1),"")</f>
        <v>6287.6</v>
      </c>
      <c r="P54" s="16" t="str">
        <f aca="false">IFERROR(INDEX('Route of Administration'!$C$5:$C$155,MATCH(B54,'Route of Administration'!$A$5:$A$155,0)),"")</f>
        <v>IV, IM (also intra-articular, intrapleural)</v>
      </c>
      <c r="Q54" s="15" t="str">
        <f aca="false">IFERROR(INDEX('Route of Administration'!$D$5:$D$155,MATCH(B54,'Route of Administration'!$A$5:$A$155,0)),"")</f>
        <v>Yes</v>
      </c>
      <c r="R54" s="16" t="s">
        <v>281</v>
      </c>
      <c r="S54" s="17" t="s">
        <v>436</v>
      </c>
      <c r="T54" s="16" t="s">
        <v>333</v>
      </c>
      <c r="U54" s="17" t="str">
        <f aca="false">"Reconstitution"&amp;IF(AE54=0,"; No price found","")&amp;IF(AND(AE54&gt;0,AF54=0,AG54=0),"; Low price comes from another market – confirm with the company","")</f>
        <v>Reconstitution</v>
      </c>
      <c r="V54" s="17" t="s">
        <v>437</v>
      </c>
      <c r="W54" s="15" t="n">
        <v>8</v>
      </c>
      <c r="X54" s="17" t="s">
        <v>438</v>
      </c>
      <c r="Y54" s="17" t="s">
        <v>438</v>
      </c>
      <c r="Z54" s="17" t="s">
        <v>321</v>
      </c>
      <c r="AA54" s="16" t="s">
        <v>322</v>
      </c>
      <c r="AB54" s="78" t="s">
        <v>439</v>
      </c>
      <c r="AC54" s="20" t="n">
        <f aca="false">IF(AE54&gt;0,ROUND(AVERAGEIFS('Shortlisted Drugs X Company (7)'!$N$3:$N$698,'Shortlisted Drugs X Company (7)'!$C$3:$C$698,$B54,'Shortlisted Drugs X Company (7)'!$E$3:$E$698,$AA54,'Shortlisted Drugs X Company (7)'!$N$3:$N$698,"&gt;=0"),2),"")</f>
        <v>3.32</v>
      </c>
      <c r="AD54" s="79" t="str">
        <f aca="false">B54&amp;"|"&amp;AA54</f>
        <v>Flucloxacillin|Aurobindo Pharma</v>
      </c>
      <c r="AE54" s="22" t="n">
        <f aca="false">COUNTIFS('Shortlisted Drugs X Company (7)'!$C$3:$C$698,$B54,'Shortlisted Drugs X Company (7)'!$E$3:$E$698,$AA54,'Shortlisted Drugs X Company (7)'!$N$3:$N$698,"&gt;=0")</f>
        <v>2</v>
      </c>
      <c r="AF54" s="22" t="n">
        <f aca="false">COUNTIFS('Shortlisted Drugs X Company (7)'!$C$3:$C$698,$B54,'Shortlisted Drugs X Company (7)'!$E$3:$E$698,$AA54,'Shortlisted Drugs X Company (7)'!$N$3:$N$698,"&gt;5")</f>
        <v>0</v>
      </c>
      <c r="AG54" s="22" t="n">
        <f aca="false">COUNTIFS('Shortlisted Drugs X Company (7)'!$C$3:$C$698,$B54,'Shortlisted Drugs X Company (7)'!$E$3:$E$698,$AA54,'Shortlisted Drugs X Company (7)'!$P$3:$P$698,"Exact")+COUNTIFS('Shortlisted Drugs X Company (7)'!$C$3:$C$698,$B54,'Shortlisted Drugs X Company (7)'!$E$3:$E$698,$AA54,'Shortlisted Drugs X Company (7)'!$P$3:$P$698,"Same-market proxy")</f>
        <v>1</v>
      </c>
      <c r="AH54" s="22" t="n">
        <f aca="false">INDEX($G$7:$G$25,MATCH(A54,$A$7:$A$25,0))</f>
        <v>2</v>
      </c>
      <c r="AI54" s="79" t="n">
        <f aca="false">IF(OR(Q54="No",LEFT(H54,7)="IV only"),"",AH54*1000+IF(F54="",900+COUNTIFS($A$29:A54,A54,$H$29:H54,"Price*"),F54))</f>
        <v>2901</v>
      </c>
      <c r="AJ54" s="79" t="str">
        <f aca="false">IF(H54&lt;&gt;"","",(4-VALUE(RIGHT(E54,1)))*10^7+N(O54))</f>
        <v/>
      </c>
      <c r="AK54" s="79" t="str">
        <f aca="false">IF(AND(H54="",ISNUMBER(I54)),I54,"")</f>
        <v/>
      </c>
      <c r="AL54" s="79" t="str">
        <f aca="false">IF(H54="",M54,"")</f>
        <v/>
      </c>
    </row>
    <row r="55" customFormat="false" ht="41.75" hidden="false" customHeight="false" outlineLevel="0" collapsed="false">
      <c r="A55" s="16" t="s">
        <v>229</v>
      </c>
      <c r="B55" s="16" t="s">
        <v>440</v>
      </c>
      <c r="C55" s="17" t="s">
        <v>440</v>
      </c>
      <c r="D55" s="17" t="s">
        <v>441</v>
      </c>
      <c r="E55" s="15" t="str">
        <f aca="false">IF(H55&lt;&gt;"",IF(LEFT(H55,5)="Price","Excluded – price ≤ USD 5","Excluded – IV only"),IF(ISNUMBER(I55),IF(AND(I55&gt;=$C$3,M55&gt;=$E$3),"Priority 1",IF(OR(I55&gt;=$C$3,M55&gt;=$E$3),"Priority 2","Priority 3")),IF(M55&gt;=$E$3,"Priority 2","Priority 3")))</f>
        <v>Excluded – IV only</v>
      </c>
      <c r="F55" s="15" t="str">
        <f aca="false">IF(H55&lt;&gt;"","",COUNTIFS($A$29:$A$361,A55,$H$29:$H$361,"",$AJ$29:$AJ$361,"&gt;"&amp;AJ55)+COUNTIFS($A$29:A55,A55,$H$29:H55,"",$AJ$29:AJ55,AJ55))</f>
        <v/>
      </c>
      <c r="G55" s="17" t="str">
        <f aca="false">IF(H55&lt;&gt;"","",IF(ISNUMBER(I55),IF(I55&gt;=$C$3,"High price","Lower price"),"No price")&amp;", "&amp;IF(M55&gt;=$E$3,"high volume","lower volume"))</f>
        <v/>
      </c>
      <c r="H55" s="17" t="str">
        <f aca="false">IF(Q55="No","IV only (no ID, IM or SC route)",IF(AND(AE55&gt;0,AF55=0),"Price ≤ USD 5",""))</f>
        <v>IV only (no ID, IM or SC route)</v>
      </c>
      <c r="I55" s="18" t="n">
        <f aca="false">IF(AF55&gt;0,ROUND(AVERAGEIFS('Shortlisted Drugs X Company (7)'!$N$3:$N$698,'Shortlisted Drugs X Company (7)'!$C$3:$C$698,$B55,'Shortlisted Drugs X Company (7)'!$E$3:$E$698,$AA55,'Shortlisted Drugs X Company (7)'!$N$3:$N$698,"&gt;5"),2),"")</f>
        <v>5.68</v>
      </c>
      <c r="J55" s="17" t="str">
        <f aca="false">IF(COUNTIFS('Shortlisted Drugs X Company (7)'!$C$3:$C$698,$B55,'Shortlisted Drugs X Company (7)'!$E$3:$E$698,$AA55,'Shortlisted Drugs X Company (7)'!$P$3:$P$698,"Exact")&gt;0,"Exact",IF(COUNTIFS('Shortlisted Drugs X Company (7)'!$C$3:$C$698,$B55,'Shortlisted Drugs X Company (7)'!$E$3:$E$698,$AA55,'Shortlisted Drugs X Company (7)'!$P$3:$P$698,"Same-market proxy")&gt;0,"Same-market proxy",IF(COUNTIFS('Shortlisted Drugs X Company (7)'!$C$3:$C$698,$B55,'Shortlisted Drugs X Company (7)'!$E$3:$E$698,$AA55,'Shortlisted Drugs X Company (7)'!$P$3:$P$698,"Cross-market proxy")&gt;0,"Cross-market proxy",IF(COUNTIFS('Shortlisted Drugs X Company (7)'!$C$3:$C$698,$B55,'Shortlisted Drugs X Company (7)'!$E$3:$E$698,$AA55,'Shortlisted Drugs X Company (7)'!$P$3:$P$698,"Source not found")&gt;0,"Source not found","No price found"))))</f>
        <v>Same-market proxy</v>
      </c>
      <c r="K55" s="19" t="n">
        <f aca="false">IFERROR(INDEX('Injectable Value'!$AB$28:$AB$178,MATCH(B55,'Injectable Value'!$A$28:$A$178,0)),"")</f>
        <v>727</v>
      </c>
      <c r="L55" s="77" t="n">
        <f aca="false">IFERROR(INDEX('Injectable Value'!$Z$28:$Z$178,MATCH(B55,'Injectable Value'!$A$28:$A$178,0)),"")</f>
        <v>0.650751867180439</v>
      </c>
      <c r="M55" s="19" t="n">
        <f aca="false">IFERROR(INDEX('Injectable Value'!$AC$28:$AC$178,MATCH(B55,'Injectable Value'!$A$28:$A$178,0)),"")</f>
        <v>473</v>
      </c>
      <c r="N55" s="19" t="n">
        <f aca="false">IFERROR(INDEX('Injectable Value'!$C$28:$C$178,MATCH(B55,'Injectable Value'!$A$28:$A$178,0)),"")</f>
        <v>7496</v>
      </c>
      <c r="O55" s="19" t="n">
        <f aca="false">IFERROR(ROUND(INDEX('Injectable Value'!$AA$28:$AA$178,MATCH(B55,'Injectable Value'!$A$28:$A$178,0)),1),"")</f>
        <v>4878</v>
      </c>
      <c r="P55" s="16" t="str">
        <f aca="false">IFERROR(INDEX('Route of Administration'!$C$5:$C$155,MATCH(B55,'Route of Administration'!$A$5:$A$155,0)),"")</f>
        <v>IV</v>
      </c>
      <c r="Q55" s="15" t="str">
        <f aca="false">IFERROR(INDEX('Route of Administration'!$D$5:$D$155,MATCH(B55,'Route of Administration'!$A$5:$A$155,0)),"")</f>
        <v>No</v>
      </c>
      <c r="R55" s="16" t="s">
        <v>281</v>
      </c>
      <c r="S55" s="17" t="s">
        <v>442</v>
      </c>
      <c r="T55" s="16" t="s">
        <v>318</v>
      </c>
      <c r="U55" s="17" t="str">
        <f aca="false">"Cancer drug (cytotoxic) – less relevant"&amp;IF(AE55=0,"; No price found","")&amp;IF(AND(AE55&gt;0,AF55=0,AG55=0),"; Low price comes from another market – confirm with the company","")</f>
        <v>Cancer drug (cytotoxic) – less relevant</v>
      </c>
      <c r="V55" s="17" t="s">
        <v>284</v>
      </c>
      <c r="W55" s="15" t="n">
        <v>1</v>
      </c>
      <c r="X55" s="17" t="s">
        <v>284</v>
      </c>
      <c r="Y55" s="17" t="s">
        <v>284</v>
      </c>
      <c r="Z55" s="17" t="s">
        <v>321</v>
      </c>
      <c r="AA55" s="16" t="s">
        <v>322</v>
      </c>
      <c r="AB55" s="78" t="s">
        <v>443</v>
      </c>
      <c r="AC55" s="20" t="n">
        <f aca="false">IF(AE55&gt;0,ROUND(AVERAGEIFS('Shortlisted Drugs X Company (7)'!$N$3:$N$698,'Shortlisted Drugs X Company (7)'!$C$3:$C$698,$B55,'Shortlisted Drugs X Company (7)'!$E$3:$E$698,$AA55,'Shortlisted Drugs X Company (7)'!$N$3:$N$698,"&gt;=0"),2),"")</f>
        <v>5.68</v>
      </c>
      <c r="AD55" s="79" t="str">
        <f aca="false">B55&amp;"|"&amp;AA55</f>
        <v>Fluorouracil|Aurobindo Pharma</v>
      </c>
      <c r="AE55" s="22" t="n">
        <f aca="false">COUNTIFS('Shortlisted Drugs X Company (7)'!$C$3:$C$698,$B55,'Shortlisted Drugs X Company (7)'!$E$3:$E$698,$AA55,'Shortlisted Drugs X Company (7)'!$N$3:$N$698,"&gt;=0")</f>
        <v>1</v>
      </c>
      <c r="AF55" s="22" t="n">
        <f aca="false">COUNTIFS('Shortlisted Drugs X Company (7)'!$C$3:$C$698,$B55,'Shortlisted Drugs X Company (7)'!$E$3:$E$698,$AA55,'Shortlisted Drugs X Company (7)'!$N$3:$N$698,"&gt;5")</f>
        <v>1</v>
      </c>
      <c r="AG55" s="22" t="n">
        <f aca="false">COUNTIFS('Shortlisted Drugs X Company (7)'!$C$3:$C$698,$B55,'Shortlisted Drugs X Company (7)'!$E$3:$E$698,$AA55,'Shortlisted Drugs X Company (7)'!$P$3:$P$698,"Exact")+COUNTIFS('Shortlisted Drugs X Company (7)'!$C$3:$C$698,$B55,'Shortlisted Drugs X Company (7)'!$E$3:$E$698,$AA55,'Shortlisted Drugs X Company (7)'!$P$3:$P$698,"Same-market proxy")</f>
        <v>1</v>
      </c>
      <c r="AH55" s="22" t="n">
        <f aca="false">INDEX($G$7:$G$25,MATCH(A55,$A$7:$A$25,0))</f>
        <v>2</v>
      </c>
      <c r="AI55" s="79" t="str">
        <f aca="false">IF(OR(Q55="No",LEFT(H55,7)="IV only"),"",AH55*1000+IF(F55="",900+COUNTIFS($A$29:A55,A55,$H$29:H55,"Price*"),F55))</f>
        <v/>
      </c>
      <c r="AJ55" s="79" t="str">
        <f aca="false">IF(H55&lt;&gt;"","",(4-VALUE(RIGHT(E55,1)))*10^7+N(O55))</f>
        <v/>
      </c>
      <c r="AK55" s="79" t="str">
        <f aca="false">IF(AND(H55="",ISNUMBER(I55)),I55,"")</f>
        <v/>
      </c>
      <c r="AL55" s="79" t="str">
        <f aca="false">IF(H55="",M55,"")</f>
        <v/>
      </c>
    </row>
    <row r="56" customFormat="false" ht="41.75" hidden="false" customHeight="false" outlineLevel="0" collapsed="false">
      <c r="A56" s="16" t="s">
        <v>229</v>
      </c>
      <c r="B56" s="16" t="s">
        <v>444</v>
      </c>
      <c r="C56" s="17" t="s">
        <v>444</v>
      </c>
      <c r="D56" s="17" t="s">
        <v>445</v>
      </c>
      <c r="E56" s="15" t="str">
        <f aca="false">IF(H56&lt;&gt;"",IF(LEFT(H56,5)="Price","Excluded – price ≤ USD 5","Excluded – IV only"),IF(ISNUMBER(I56),IF(AND(I56&gt;=$C$3,M56&gt;=$E$3),"Priority 1",IF(OR(I56&gt;=$C$3,M56&gt;=$E$3),"Priority 2","Priority 3")),IF(M56&gt;=$E$3,"Priority 2","Priority 3")))</f>
        <v>Priority 2</v>
      </c>
      <c r="F56" s="15" t="n">
        <f aca="false">IF(H56&lt;&gt;"","",COUNTIFS($A$29:$A$361,A56,$H$29:$H$361,"",$AJ$29:$AJ$361,"&gt;"&amp;AJ56)+COUNTIFS($A$29:A56,A56,$H$29:H56,"",$AJ$29:AJ56,AJ56))</f>
        <v>17</v>
      </c>
      <c r="G56" s="17" t="str">
        <f aca="false">IF(H56&lt;&gt;"","",IF(ISNUMBER(I56),IF(I56&gt;=$C$3,"High price","Lower price"),"No price")&amp;", "&amp;IF(M56&gt;=$E$3,"high volume","lower volume"))</f>
        <v>High price, lower volume</v>
      </c>
      <c r="H56" s="17" t="str">
        <f aca="false">IF(Q56="No","IV only (no ID, IM or SC route)",IF(AND(AE56&gt;0,AF56=0),"Price ≤ USD 5",""))</f>
        <v/>
      </c>
      <c r="I56" s="18" t="n">
        <f aca="false">IF(AF56&gt;0,ROUND(AVERAGEIFS('Shortlisted Drugs X Company (7)'!$N$3:$N$698,'Shortlisted Drugs X Company (7)'!$C$3:$C$698,$B56,'Shortlisted Drugs X Company (7)'!$E$3:$E$698,$AA56,'Shortlisted Drugs X Company (7)'!$N$3:$N$698,"&gt;5"),2),"")</f>
        <v>54.55</v>
      </c>
      <c r="J56" s="17" t="str">
        <f aca="false">IF(COUNTIFS('Shortlisted Drugs X Company (7)'!$C$3:$C$698,$B56,'Shortlisted Drugs X Company (7)'!$E$3:$E$698,$AA56,'Shortlisted Drugs X Company (7)'!$P$3:$P$698,"Exact")&gt;0,"Exact",IF(COUNTIFS('Shortlisted Drugs X Company (7)'!$C$3:$C$698,$B56,'Shortlisted Drugs X Company (7)'!$E$3:$E$698,$AA56,'Shortlisted Drugs X Company (7)'!$P$3:$P$698,"Same-market proxy")&gt;0,"Same-market proxy",IF(COUNTIFS('Shortlisted Drugs X Company (7)'!$C$3:$C$698,$B56,'Shortlisted Drugs X Company (7)'!$E$3:$E$698,$AA56,'Shortlisted Drugs X Company (7)'!$P$3:$P$698,"Cross-market proxy")&gt;0,"Cross-market proxy",IF(COUNTIFS('Shortlisted Drugs X Company (7)'!$C$3:$C$698,$B56,'Shortlisted Drugs X Company (7)'!$E$3:$E$698,$AA56,'Shortlisted Drugs X Company (7)'!$P$3:$P$698,"Source not found")&gt;0,"Source not found","No price found"))))</f>
        <v>Same-market proxy</v>
      </c>
      <c r="K56" s="19" t="n">
        <f aca="false">IFERROR(INDEX('Injectable Value'!$AB$28:$AB$178,MATCH(B56,'Injectable Value'!$A$28:$A$178,0)),"")</f>
        <v>126</v>
      </c>
      <c r="L56" s="77" t="n">
        <f aca="false">IFERROR(INDEX('Injectable Value'!$Z$28:$Z$178,MATCH(B56,'Injectable Value'!$A$28:$A$178,0)),"")</f>
        <v>1</v>
      </c>
      <c r="M56" s="19" t="n">
        <f aca="false">IFERROR(INDEX('Injectable Value'!$AC$28:$AC$178,MATCH(B56,'Injectable Value'!$A$28:$A$178,0)),"")</f>
        <v>126</v>
      </c>
      <c r="N56" s="19" t="n">
        <f aca="false">IFERROR(INDEX('Injectable Value'!$C$28:$C$178,MATCH(B56,'Injectable Value'!$A$28:$A$178,0)),"")</f>
        <v>3407.51</v>
      </c>
      <c r="O56" s="19" t="n">
        <f aca="false">IFERROR(ROUND(INDEX('Injectable Value'!$AA$28:$AA$178,MATCH(B56,'Injectable Value'!$A$28:$A$178,0)),1),"")</f>
        <v>3407.5</v>
      </c>
      <c r="P56" s="16" t="str">
        <f aca="false">IFERROR(INDEX('Route of Administration'!$C$5:$C$155,MATCH(B56,'Route of Administration'!$A$5:$A$155,0)),"")</f>
        <v>IM, SC</v>
      </c>
      <c r="Q56" s="15" t="str">
        <f aca="false">IFERROR(INDEX('Route of Administration'!$D$5:$D$155,MATCH(B56,'Route of Administration'!$A$5:$A$155,0)),"")</f>
        <v>Yes</v>
      </c>
      <c r="R56" s="16" t="s">
        <v>281</v>
      </c>
      <c r="S56" s="17" t="s">
        <v>446</v>
      </c>
      <c r="T56" s="16" t="s">
        <v>283</v>
      </c>
      <c r="U56" s="17" t="str">
        <f aca="false">""&amp;IF(AE56=0,"No price found","")&amp;IF(AND(AE56&gt;0,AF56=0,AG56=0),"Low price comes from another market – confirm with the company","")</f>
        <v/>
      </c>
      <c r="V56" s="17" t="s">
        <v>284</v>
      </c>
      <c r="W56" s="15" t="n">
        <v>1</v>
      </c>
      <c r="X56" s="17" t="s">
        <v>284</v>
      </c>
      <c r="Y56" s="17" t="s">
        <v>284</v>
      </c>
      <c r="Z56" s="17" t="s">
        <v>321</v>
      </c>
      <c r="AA56" s="16" t="s">
        <v>322</v>
      </c>
      <c r="AB56" s="78" t="s">
        <v>447</v>
      </c>
      <c r="AC56" s="20" t="n">
        <f aca="false">IF(AE56&gt;0,ROUND(AVERAGEIFS('Shortlisted Drugs X Company (7)'!$N$3:$N$698,'Shortlisted Drugs X Company (7)'!$C$3:$C$698,$B56,'Shortlisted Drugs X Company (7)'!$E$3:$E$698,$AA56,'Shortlisted Drugs X Company (7)'!$N$3:$N$698,"&gt;=0"),2),"")</f>
        <v>54.55</v>
      </c>
      <c r="AD56" s="79" t="str">
        <f aca="false">B56&amp;"|"&amp;AA56</f>
        <v>Fluphenazine Decanoate|Aurobindo Pharma</v>
      </c>
      <c r="AE56" s="22" t="n">
        <f aca="false">COUNTIFS('Shortlisted Drugs X Company (7)'!$C$3:$C$698,$B56,'Shortlisted Drugs X Company (7)'!$E$3:$E$698,$AA56,'Shortlisted Drugs X Company (7)'!$N$3:$N$698,"&gt;=0")</f>
        <v>1</v>
      </c>
      <c r="AF56" s="22" t="n">
        <f aca="false">COUNTIFS('Shortlisted Drugs X Company (7)'!$C$3:$C$698,$B56,'Shortlisted Drugs X Company (7)'!$E$3:$E$698,$AA56,'Shortlisted Drugs X Company (7)'!$N$3:$N$698,"&gt;5")</f>
        <v>1</v>
      </c>
      <c r="AG56" s="22" t="n">
        <f aca="false">COUNTIFS('Shortlisted Drugs X Company (7)'!$C$3:$C$698,$B56,'Shortlisted Drugs X Company (7)'!$E$3:$E$698,$AA56,'Shortlisted Drugs X Company (7)'!$P$3:$P$698,"Exact")+COUNTIFS('Shortlisted Drugs X Company (7)'!$C$3:$C$698,$B56,'Shortlisted Drugs X Company (7)'!$E$3:$E$698,$AA56,'Shortlisted Drugs X Company (7)'!$P$3:$P$698,"Same-market proxy")</f>
        <v>1</v>
      </c>
      <c r="AH56" s="22" t="n">
        <f aca="false">INDEX($G$7:$G$25,MATCH(A56,$A$7:$A$25,0))</f>
        <v>2</v>
      </c>
      <c r="AI56" s="79" t="n">
        <f aca="false">IF(OR(Q56="No",LEFT(H56,7)="IV only"),"",AH56*1000+IF(F56="",900+COUNTIFS($A$29:A56,A56,$H$29:H56,"Price*"),F56))</f>
        <v>2017</v>
      </c>
      <c r="AJ56" s="79" t="n">
        <f aca="false">IF(H56&lt;&gt;"","",(4-VALUE(RIGHT(E56,1)))*10^7+N(O56))</f>
        <v>20003407.5</v>
      </c>
      <c r="AK56" s="20" t="n">
        <f aca="false">IF(AND(H56="",ISNUMBER(I56)),I56,"")</f>
        <v>54.55</v>
      </c>
      <c r="AL56" s="21" t="n">
        <f aca="false">IF(H56="",M56,"")</f>
        <v>126</v>
      </c>
    </row>
    <row r="57" customFormat="false" ht="41.75" hidden="false" customHeight="false" outlineLevel="0" collapsed="false">
      <c r="A57" s="16" t="s">
        <v>229</v>
      </c>
      <c r="B57" s="16" t="s">
        <v>448</v>
      </c>
      <c r="C57" s="17" t="s">
        <v>449</v>
      </c>
      <c r="D57" s="17" t="s">
        <v>450</v>
      </c>
      <c r="E57" s="15" t="str">
        <f aca="false">IF(H57&lt;&gt;"",IF(LEFT(H57,5)="Price","Excluded – price ≤ USD 5","Excluded – IV only"),IF(ISNUMBER(I57),IF(AND(I57&gt;=$C$3,M57&gt;=$E$3),"Priority 1",IF(OR(I57&gt;=$C$3,M57&gt;=$E$3),"Priority 2","Priority 3")),IF(M57&gt;=$E$3,"Priority 2","Priority 3")))</f>
        <v>Priority 1</v>
      </c>
      <c r="F57" s="15" t="n">
        <f aca="false">IF(H57&lt;&gt;"","",COUNTIFS($A$29:$A$361,A57,$H$29:$H$361,"",$AJ$29:$AJ$361,"&gt;"&amp;AJ57)+COUNTIFS($A$29:A57,A57,$H$29:H57,"",$AJ$29:AJ57,AJ57))</f>
        <v>5</v>
      </c>
      <c r="G57" s="17" t="str">
        <f aca="false">IF(H57&lt;&gt;"","",IF(ISNUMBER(I57),IF(I57&gt;=$C$3,"High price","Lower price"),"No price")&amp;", "&amp;IF(M57&gt;=$E$3,"high volume","lower volume"))</f>
        <v>High price, high volume</v>
      </c>
      <c r="H57" s="17" t="str">
        <f aca="false">IF(Q57="No","IV only (no ID, IM or SC route)",IF(AND(AE57&gt;0,AF57=0),"Price ≤ USD 5",""))</f>
        <v/>
      </c>
      <c r="I57" s="18" t="n">
        <f aca="false">IF(AF57&gt;0,ROUND(AVERAGEIFS('Shortlisted Drugs X Company (7)'!$N$3:$N$698,'Shortlisted Drugs X Company (7)'!$C$3:$C$698,$B57,'Shortlisted Drugs X Company (7)'!$E$3:$E$698,$AA57,'Shortlisted Drugs X Company (7)'!$N$3:$N$698,"&gt;5"),2),"")</f>
        <v>378.26</v>
      </c>
      <c r="J57" s="17" t="str">
        <f aca="false">IF(COUNTIFS('Shortlisted Drugs X Company (7)'!$C$3:$C$698,$B57,'Shortlisted Drugs X Company (7)'!$E$3:$E$698,$AA57,'Shortlisted Drugs X Company (7)'!$P$3:$P$698,"Exact")&gt;0,"Exact",IF(COUNTIFS('Shortlisted Drugs X Company (7)'!$C$3:$C$698,$B57,'Shortlisted Drugs X Company (7)'!$E$3:$E$698,$AA57,'Shortlisted Drugs X Company (7)'!$P$3:$P$698,"Same-market proxy")&gt;0,"Same-market proxy",IF(COUNTIFS('Shortlisted Drugs X Company (7)'!$C$3:$C$698,$B57,'Shortlisted Drugs X Company (7)'!$E$3:$E$698,$AA57,'Shortlisted Drugs X Company (7)'!$P$3:$P$698,"Cross-market proxy")&gt;0,"Cross-market proxy",IF(COUNTIFS('Shortlisted Drugs X Company (7)'!$C$3:$C$698,$B57,'Shortlisted Drugs X Company (7)'!$E$3:$E$698,$AA57,'Shortlisted Drugs X Company (7)'!$P$3:$P$698,"Source not found")&gt;0,"Source not found","No price found"))))</f>
        <v>Exact</v>
      </c>
      <c r="K57" s="19" t="n">
        <f aca="false">IFERROR(INDEX('Injectable Value'!$AB$28:$AB$178,MATCH(B57,'Injectable Value'!$A$28:$A$178,0)),"")</f>
        <v>366</v>
      </c>
      <c r="L57" s="77" t="n">
        <f aca="false">IFERROR(INDEX('Injectable Value'!$Z$28:$Z$178,MATCH(B57,'Injectable Value'!$A$28:$A$178,0)),"")</f>
        <v>0.664995452935796</v>
      </c>
      <c r="M57" s="19" t="n">
        <f aca="false">IFERROR(INDEX('Injectable Value'!$AC$28:$AC$178,MATCH(B57,'Injectable Value'!$A$28:$A$178,0)),"")</f>
        <v>243</v>
      </c>
      <c r="N57" s="19" t="n">
        <f aca="false">IFERROR(INDEX('Injectable Value'!$C$28:$C$178,MATCH(B57,'Injectable Value'!$A$28:$A$178,0)),"")</f>
        <v>5357.19</v>
      </c>
      <c r="O57" s="19" t="n">
        <f aca="false">IFERROR(ROUND(INDEX('Injectable Value'!$AA$28:$AA$178,MATCH(B57,'Injectable Value'!$A$28:$A$178,0)),1),"")</f>
        <v>3562.5</v>
      </c>
      <c r="P57" s="16" t="str">
        <f aca="false">IFERROR(INDEX('Route of Administration'!$C$5:$C$155,MATCH(B57,'Route of Administration'!$A$5:$A$155,0)),"")</f>
        <v>IV, IM</v>
      </c>
      <c r="Q57" s="15" t="str">
        <f aca="false">IFERROR(INDEX('Route of Administration'!$D$5:$D$155,MATCH(B57,'Route of Administration'!$A$5:$A$155,0)),"")</f>
        <v>Yes</v>
      </c>
      <c r="R57" s="16" t="s">
        <v>281</v>
      </c>
      <c r="S57" s="17" t="s">
        <v>451</v>
      </c>
      <c r="T57" s="16" t="s">
        <v>318</v>
      </c>
      <c r="U57" s="17" t="str">
        <f aca="false">""&amp;IF(AE57=0,"No price found","")&amp;IF(AND(AE57&gt;0,AF57=0,AG57=0),"Low price comes from another market – confirm with the company","")</f>
        <v/>
      </c>
      <c r="V57" s="17" t="s">
        <v>452</v>
      </c>
      <c r="W57" s="15" t="n">
        <v>1</v>
      </c>
      <c r="X57" s="17" t="s">
        <v>453</v>
      </c>
      <c r="Y57" s="17" t="s">
        <v>453</v>
      </c>
      <c r="Z57" s="17" t="s">
        <v>321</v>
      </c>
      <c r="AA57" s="16" t="s">
        <v>322</v>
      </c>
      <c r="AB57" s="78" t="s">
        <v>454</v>
      </c>
      <c r="AC57" s="20" t="n">
        <f aca="false">IF(AE57&gt;0,ROUND(AVERAGEIFS('Shortlisted Drugs X Company (7)'!$N$3:$N$698,'Shortlisted Drugs X Company (7)'!$C$3:$C$698,$B57,'Shortlisted Drugs X Company (7)'!$E$3:$E$698,$AA57,'Shortlisted Drugs X Company (7)'!$N$3:$N$698,"&gt;=0"),2),"")</f>
        <v>378.26</v>
      </c>
      <c r="AD57" s="79" t="str">
        <f aca="false">B57&amp;"|"&amp;AA57</f>
        <v>Folinic Acid (Leucovorin)|Aurobindo Pharma</v>
      </c>
      <c r="AE57" s="22" t="n">
        <f aca="false">COUNTIFS('Shortlisted Drugs X Company (7)'!$C$3:$C$698,$B57,'Shortlisted Drugs X Company (7)'!$E$3:$E$698,$AA57,'Shortlisted Drugs X Company (7)'!$N$3:$N$698,"&gt;=0")</f>
        <v>1</v>
      </c>
      <c r="AF57" s="22" t="n">
        <f aca="false">COUNTIFS('Shortlisted Drugs X Company (7)'!$C$3:$C$698,$B57,'Shortlisted Drugs X Company (7)'!$E$3:$E$698,$AA57,'Shortlisted Drugs X Company (7)'!$N$3:$N$698,"&gt;5")</f>
        <v>1</v>
      </c>
      <c r="AG57" s="22" t="n">
        <f aca="false">COUNTIFS('Shortlisted Drugs X Company (7)'!$C$3:$C$698,$B57,'Shortlisted Drugs X Company (7)'!$E$3:$E$698,$AA57,'Shortlisted Drugs X Company (7)'!$P$3:$P$698,"Exact")+COUNTIFS('Shortlisted Drugs X Company (7)'!$C$3:$C$698,$B57,'Shortlisted Drugs X Company (7)'!$E$3:$E$698,$AA57,'Shortlisted Drugs X Company (7)'!$P$3:$P$698,"Same-market proxy")</f>
        <v>1</v>
      </c>
      <c r="AH57" s="22" t="n">
        <f aca="false">INDEX($G$7:$G$25,MATCH(A57,$A$7:$A$25,0))</f>
        <v>2</v>
      </c>
      <c r="AI57" s="79" t="n">
        <f aca="false">IF(OR(Q57="No",LEFT(H57,7)="IV only"),"",AH57*1000+IF(F57="",900+COUNTIFS($A$29:A57,A57,$H$29:H57,"Price*"),F57))</f>
        <v>2005</v>
      </c>
      <c r="AJ57" s="79" t="n">
        <f aca="false">IF(H57&lt;&gt;"","",(4-VALUE(RIGHT(E57,1)))*10^7+N(O57))</f>
        <v>30003562.5</v>
      </c>
      <c r="AK57" s="20" t="n">
        <f aca="false">IF(AND(H57="",ISNUMBER(I57)),I57,"")</f>
        <v>378.26</v>
      </c>
      <c r="AL57" s="21" t="n">
        <f aca="false">IF(H57="",M57,"")</f>
        <v>243</v>
      </c>
    </row>
    <row r="58" customFormat="false" ht="41.75" hidden="false" customHeight="false" outlineLevel="0" collapsed="false">
      <c r="A58" s="16" t="s">
        <v>229</v>
      </c>
      <c r="B58" s="16" t="s">
        <v>295</v>
      </c>
      <c r="C58" s="17" t="s">
        <v>455</v>
      </c>
      <c r="D58" s="17" t="s">
        <v>296</v>
      </c>
      <c r="E58" s="15" t="str">
        <f aca="false">IF(H58&lt;&gt;"",IF(LEFT(H58,5)="Price","Excluded – price ≤ USD 5","Excluded – IV only"),IF(ISNUMBER(I58),IF(AND(I58&gt;=$C$3,M58&gt;=$E$3),"Priority 1",IF(OR(I58&gt;=$C$3,M58&gt;=$E$3),"Priority 2","Priority 3")),IF(M58&gt;=$E$3,"Priority 2","Priority 3")))</f>
        <v>Priority 1</v>
      </c>
      <c r="F58" s="15" t="n">
        <f aca="false">IF(H58&lt;&gt;"","",COUNTIFS($A$29:$A$361,A58,$H$29:$H$361,"",$AJ$29:$AJ$361,"&gt;"&amp;AJ58)+COUNTIFS($A$29:A58,A58,$H$29:H58,"",$AJ$29:AJ58,AJ58))</f>
        <v>4</v>
      </c>
      <c r="G58" s="17" t="str">
        <f aca="false">IF(H58&lt;&gt;"","",IF(ISNUMBER(I58),IF(I58&gt;=$C$3,"High price","Lower price"),"No price")&amp;", "&amp;IF(M58&gt;=$E$3,"high volume","lower volume"))</f>
        <v>High price, high volume</v>
      </c>
      <c r="H58" s="17" t="str">
        <f aca="false">IF(Q58="No","IV only (no ID, IM or SC route)",IF(AND(AE58&gt;0,AF58=0),"Price ≤ USD 5",""))</f>
        <v/>
      </c>
      <c r="I58" s="18" t="n">
        <f aca="false">IF(AF58&gt;0,ROUND(AVERAGEIFS('Shortlisted Drugs X Company (7)'!$N$3:$N$698,'Shortlisted Drugs X Company (7)'!$C$3:$C$698,$B58,'Shortlisted Drugs X Company (7)'!$E$3:$E$698,$AA58,'Shortlisted Drugs X Company (7)'!$N$3:$N$698,"&gt;5"),2),"")</f>
        <v>308.1</v>
      </c>
      <c r="J58" s="17" t="str">
        <f aca="false">IF(COUNTIFS('Shortlisted Drugs X Company (7)'!$C$3:$C$698,$B58,'Shortlisted Drugs X Company (7)'!$E$3:$E$698,$AA58,'Shortlisted Drugs X Company (7)'!$P$3:$P$698,"Exact")&gt;0,"Exact",IF(COUNTIFS('Shortlisted Drugs X Company (7)'!$C$3:$C$698,$B58,'Shortlisted Drugs X Company (7)'!$E$3:$E$698,$AA58,'Shortlisted Drugs X Company (7)'!$P$3:$P$698,"Same-market proxy")&gt;0,"Same-market proxy",IF(COUNTIFS('Shortlisted Drugs X Company (7)'!$C$3:$C$698,$B58,'Shortlisted Drugs X Company (7)'!$E$3:$E$698,$AA58,'Shortlisted Drugs X Company (7)'!$P$3:$P$698,"Cross-market proxy")&gt;0,"Cross-market proxy",IF(COUNTIFS('Shortlisted Drugs X Company (7)'!$C$3:$C$698,$B58,'Shortlisted Drugs X Company (7)'!$E$3:$E$698,$AA58,'Shortlisted Drugs X Company (7)'!$P$3:$P$698,"Source not found")&gt;0,"Source not found","No price found"))))</f>
        <v>Exact</v>
      </c>
      <c r="K58" s="19" t="n">
        <f aca="false">IFERROR(INDEX('Injectable Value'!$AB$28:$AB$178,MATCH(B58,'Injectable Value'!$A$28:$A$178,0)),"")</f>
        <v>146</v>
      </c>
      <c r="L58" s="77" t="n">
        <f aca="false">IFERROR(INDEX('Injectable Value'!$Z$28:$Z$178,MATCH(B58,'Injectable Value'!$A$28:$A$178,0)),"")</f>
        <v>1</v>
      </c>
      <c r="M58" s="19" t="n">
        <f aca="false">IFERROR(INDEX('Injectable Value'!$AC$28:$AC$178,MATCH(B58,'Injectable Value'!$A$28:$A$178,0)),"")</f>
        <v>146</v>
      </c>
      <c r="N58" s="19" t="n">
        <f aca="false">IFERROR(INDEX('Injectable Value'!$C$28:$C$178,MATCH(B58,'Injectable Value'!$A$28:$A$178,0)),"")</f>
        <v>11366.06</v>
      </c>
      <c r="O58" s="19" t="n">
        <f aca="false">IFERROR(ROUND(INDEX('Injectable Value'!$AA$28:$AA$178,MATCH(B58,'Injectable Value'!$A$28:$A$178,0)),1),"")</f>
        <v>11366.1</v>
      </c>
      <c r="P58" s="16" t="str">
        <f aca="false">IFERROR(INDEX('Route of Administration'!$C$5:$C$155,MATCH(B58,'Route of Administration'!$A$5:$A$155,0)),"")</f>
        <v>IM</v>
      </c>
      <c r="Q58" s="15" t="str">
        <f aca="false">IFERROR(INDEX('Route of Administration'!$D$5:$D$155,MATCH(B58,'Route of Administration'!$A$5:$A$155,0)),"")</f>
        <v>Yes</v>
      </c>
      <c r="R58" s="16" t="s">
        <v>291</v>
      </c>
      <c r="S58" s="17" t="s">
        <v>297</v>
      </c>
      <c r="T58" s="16" t="s">
        <v>283</v>
      </c>
      <c r="U58" s="17" t="str">
        <f aca="false">"Prefilled only"&amp;IF(AE58=0,"; No price found","")&amp;IF(AND(AE58&gt;0,AF58=0,AG58=0),"; Low price comes from another market – confirm with the company","")</f>
        <v>Prefilled only</v>
      </c>
      <c r="V58" s="17" t="s">
        <v>456</v>
      </c>
      <c r="W58" s="15" t="n">
        <v>10</v>
      </c>
      <c r="X58" s="17" t="s">
        <v>457</v>
      </c>
      <c r="Y58" s="17" t="s">
        <v>458</v>
      </c>
      <c r="Z58" s="17" t="s">
        <v>293</v>
      </c>
      <c r="AA58" s="16" t="s">
        <v>322</v>
      </c>
      <c r="AB58" s="78" t="s">
        <v>298</v>
      </c>
      <c r="AC58" s="20" t="n">
        <f aca="false">IF(AE58&gt;0,ROUND(AVERAGEIFS('Shortlisted Drugs X Company (7)'!$N$3:$N$698,'Shortlisted Drugs X Company (7)'!$C$3:$C$698,$B58,'Shortlisted Drugs X Company (7)'!$E$3:$E$698,$AA58,'Shortlisted Drugs X Company (7)'!$N$3:$N$698,"&gt;=0"),2),"")</f>
        <v>308.1</v>
      </c>
      <c r="AD58" s="79" t="str">
        <f aca="false">B58&amp;"|"&amp;AA58</f>
        <v>Fulvestrant|Aurobindo Pharma</v>
      </c>
      <c r="AE58" s="22" t="n">
        <f aca="false">COUNTIFS('Shortlisted Drugs X Company (7)'!$C$3:$C$698,$B58,'Shortlisted Drugs X Company (7)'!$E$3:$E$698,$AA58,'Shortlisted Drugs X Company (7)'!$N$3:$N$698,"&gt;=0")</f>
        <v>3</v>
      </c>
      <c r="AF58" s="22" t="n">
        <f aca="false">COUNTIFS('Shortlisted Drugs X Company (7)'!$C$3:$C$698,$B58,'Shortlisted Drugs X Company (7)'!$E$3:$E$698,$AA58,'Shortlisted Drugs X Company (7)'!$N$3:$N$698,"&gt;5")</f>
        <v>3</v>
      </c>
      <c r="AG58" s="22" t="n">
        <f aca="false">COUNTIFS('Shortlisted Drugs X Company (7)'!$C$3:$C$698,$B58,'Shortlisted Drugs X Company (7)'!$E$3:$E$698,$AA58,'Shortlisted Drugs X Company (7)'!$P$3:$P$698,"Exact")+COUNTIFS('Shortlisted Drugs X Company (7)'!$C$3:$C$698,$B58,'Shortlisted Drugs X Company (7)'!$E$3:$E$698,$AA58,'Shortlisted Drugs X Company (7)'!$P$3:$P$698,"Same-market proxy")</f>
        <v>3</v>
      </c>
      <c r="AH58" s="22" t="n">
        <f aca="false">INDEX($G$7:$G$25,MATCH(A58,$A$7:$A$25,0))</f>
        <v>2</v>
      </c>
      <c r="AI58" s="79" t="n">
        <f aca="false">IF(OR(Q58="No",LEFT(H58,7)="IV only"),"",AH58*1000+IF(F58="",900+COUNTIFS($A$29:A58,A58,$H$29:H58,"Price*"),F58))</f>
        <v>2004</v>
      </c>
      <c r="AJ58" s="79" t="n">
        <f aca="false">IF(H58&lt;&gt;"","",(4-VALUE(RIGHT(E58,1)))*10^7+N(O58))</f>
        <v>30011366.1</v>
      </c>
      <c r="AK58" s="20" t="n">
        <f aca="false">IF(AND(H58="",ISNUMBER(I58)),I58,"")</f>
        <v>308.1</v>
      </c>
      <c r="AL58" s="21" t="n">
        <f aca="false">IF(H58="",M58,"")</f>
        <v>146</v>
      </c>
    </row>
    <row r="59" customFormat="false" ht="41.75" hidden="false" customHeight="false" outlineLevel="0" collapsed="false">
      <c r="A59" s="16" t="s">
        <v>229</v>
      </c>
      <c r="B59" s="16" t="s">
        <v>459</v>
      </c>
      <c r="C59" s="17" t="s">
        <v>460</v>
      </c>
      <c r="D59" s="17" t="s">
        <v>461</v>
      </c>
      <c r="E59" s="15" t="str">
        <f aca="false">IF(H59&lt;&gt;"",IF(LEFT(H59,5)="Price","Excluded – price ≤ USD 5","Excluded – IV only"),IF(ISNUMBER(I59),IF(AND(I59&gt;=$C$3,M59&gt;=$E$3),"Priority 1",IF(OR(I59&gt;=$C$3,M59&gt;=$E$3),"Priority 2","Priority 3")),IF(M59&gt;=$E$3,"Priority 2","Priority 3")))</f>
        <v>Priority 3</v>
      </c>
      <c r="F59" s="15" t="n">
        <f aca="false">IF(H59&lt;&gt;"","",COUNTIFS($A$29:$A$361,A59,$H$29:$H$361,"",$AJ$29:$AJ$361,"&gt;"&amp;AJ59)+COUNTIFS($A$29:A59,A59,$H$29:H59,"",$AJ$29:AJ59,AJ59))</f>
        <v>21</v>
      </c>
      <c r="G59" s="17" t="str">
        <f aca="false">IF(H59&lt;&gt;"","",IF(ISNUMBER(I59),IF(I59&gt;=$C$3,"High price","Lower price"),"No price")&amp;", "&amp;IF(M59&gt;=$E$3,"high volume","lower volume"))</f>
        <v>Lower price, lower volume</v>
      </c>
      <c r="H59" s="17" t="str">
        <f aca="false">IF(Q59="No","IV only (no ID, IM or SC route)",IF(AND(AE59&gt;0,AF59=0),"Price ≤ USD 5",""))</f>
        <v/>
      </c>
      <c r="I59" s="18" t="n">
        <f aca="false">IF(AF59&gt;0,ROUND(AVERAGEIFS('Shortlisted Drugs X Company (7)'!$N$3:$N$698,'Shortlisted Drugs X Company (7)'!$C$3:$C$698,$B59,'Shortlisted Drugs X Company (7)'!$E$3:$E$698,$AA59,'Shortlisted Drugs X Company (7)'!$N$3:$N$698,"&gt;5"),2),"")</f>
        <v>7.36</v>
      </c>
      <c r="J59" s="17" t="str">
        <f aca="false">IF(COUNTIFS('Shortlisted Drugs X Company (7)'!$C$3:$C$698,$B59,'Shortlisted Drugs X Company (7)'!$E$3:$E$698,$AA59,'Shortlisted Drugs X Company (7)'!$P$3:$P$698,"Exact")&gt;0,"Exact",IF(COUNTIFS('Shortlisted Drugs X Company (7)'!$C$3:$C$698,$B59,'Shortlisted Drugs X Company (7)'!$E$3:$E$698,$AA59,'Shortlisted Drugs X Company (7)'!$P$3:$P$698,"Same-market proxy")&gt;0,"Same-market proxy",IF(COUNTIFS('Shortlisted Drugs X Company (7)'!$C$3:$C$698,$B59,'Shortlisted Drugs X Company (7)'!$E$3:$E$698,$AA59,'Shortlisted Drugs X Company (7)'!$P$3:$P$698,"Cross-market proxy")&gt;0,"Cross-market proxy",IF(COUNTIFS('Shortlisted Drugs X Company (7)'!$C$3:$C$698,$B59,'Shortlisted Drugs X Company (7)'!$E$3:$E$698,$AA59,'Shortlisted Drugs X Company (7)'!$P$3:$P$698,"Source not found")&gt;0,"Source not found","No price found"))))</f>
        <v>Exact</v>
      </c>
      <c r="K59" s="19" t="n">
        <f aca="false">IFERROR(INDEX('Injectable Value'!$AB$28:$AB$178,MATCH(B59,'Injectable Value'!$A$28:$A$178,0)),"")</f>
        <v>503</v>
      </c>
      <c r="L59" s="77" t="n">
        <f aca="false">IFERROR(INDEX('Injectable Value'!$Z$28:$Z$178,MATCH(B59,'Injectable Value'!$A$28:$A$178,0)),"")</f>
        <v>0.162389770723104</v>
      </c>
      <c r="M59" s="19" t="n">
        <f aca="false">IFERROR(INDEX('Injectable Value'!$AC$28:$AC$178,MATCH(B59,'Injectable Value'!$A$28:$A$178,0)),"")</f>
        <v>82</v>
      </c>
      <c r="N59" s="19" t="n">
        <f aca="false">IFERROR(INDEX('Injectable Value'!$C$28:$C$178,MATCH(B59,'Injectable Value'!$A$28:$A$178,0)),"")</f>
        <v>21671.77</v>
      </c>
      <c r="O59" s="19" t="n">
        <f aca="false">IFERROR(ROUND(INDEX('Injectable Value'!$AA$28:$AA$178,MATCH(B59,'Injectable Value'!$A$28:$A$178,0)),1),"")</f>
        <v>3519.3</v>
      </c>
      <c r="P59" s="16" t="str">
        <f aca="false">IFERROR(INDEX('Route of Administration'!$C$5:$C$155,MATCH(B59,'Route of Administration'!$A$5:$A$155,0)),"")</f>
        <v>IV, IM</v>
      </c>
      <c r="Q59" s="15" t="str">
        <f aca="false">IFERROR(INDEX('Route of Administration'!$D$5:$D$155,MATCH(B59,'Route of Administration'!$A$5:$A$155,0)),"")</f>
        <v>Yes</v>
      </c>
      <c r="R59" s="16" t="s">
        <v>281</v>
      </c>
      <c r="S59" s="17" t="s">
        <v>462</v>
      </c>
      <c r="T59" s="16" t="s">
        <v>283</v>
      </c>
      <c r="U59" s="17" t="str">
        <f aca="false">""&amp;IF(AE59=0,"No price found","")&amp;IF(AND(AE59&gt;0,AF59=0,AG59=0),"Low price comes from another market – confirm with the company","")</f>
        <v/>
      </c>
      <c r="V59" s="17" t="s">
        <v>463</v>
      </c>
      <c r="W59" s="15" t="n">
        <v>1</v>
      </c>
      <c r="X59" s="17" t="s">
        <v>464</v>
      </c>
      <c r="Y59" s="17" t="s">
        <v>464</v>
      </c>
      <c r="Z59" s="17" t="s">
        <v>321</v>
      </c>
      <c r="AA59" s="16" t="s">
        <v>322</v>
      </c>
      <c r="AB59" s="78" t="s">
        <v>465</v>
      </c>
      <c r="AC59" s="20" t="n">
        <f aca="false">IF(AE59&gt;0,ROUND(AVERAGEIFS('Shortlisted Drugs X Company (7)'!$N$3:$N$698,'Shortlisted Drugs X Company (7)'!$C$3:$C$698,$B59,'Shortlisted Drugs X Company (7)'!$E$3:$E$698,$AA59,'Shortlisted Drugs X Company (7)'!$N$3:$N$698,"&gt;=0"),2),"")</f>
        <v>7.36</v>
      </c>
      <c r="AD59" s="79" t="str">
        <f aca="false">B59&amp;"|"&amp;AA59</f>
        <v>Hydralazine|Aurobindo Pharma</v>
      </c>
      <c r="AE59" s="22" t="n">
        <f aca="false">COUNTIFS('Shortlisted Drugs X Company (7)'!$C$3:$C$698,$B59,'Shortlisted Drugs X Company (7)'!$E$3:$E$698,$AA59,'Shortlisted Drugs X Company (7)'!$N$3:$N$698,"&gt;=0")</f>
        <v>2</v>
      </c>
      <c r="AF59" s="22" t="n">
        <f aca="false">COUNTIFS('Shortlisted Drugs X Company (7)'!$C$3:$C$698,$B59,'Shortlisted Drugs X Company (7)'!$E$3:$E$698,$AA59,'Shortlisted Drugs X Company (7)'!$N$3:$N$698,"&gt;5")</f>
        <v>2</v>
      </c>
      <c r="AG59" s="22" t="n">
        <f aca="false">COUNTIFS('Shortlisted Drugs X Company (7)'!$C$3:$C$698,$B59,'Shortlisted Drugs X Company (7)'!$E$3:$E$698,$AA59,'Shortlisted Drugs X Company (7)'!$P$3:$P$698,"Exact")+COUNTIFS('Shortlisted Drugs X Company (7)'!$C$3:$C$698,$B59,'Shortlisted Drugs X Company (7)'!$E$3:$E$698,$AA59,'Shortlisted Drugs X Company (7)'!$P$3:$P$698,"Same-market proxy")</f>
        <v>2</v>
      </c>
      <c r="AH59" s="22" t="n">
        <f aca="false">INDEX($G$7:$G$25,MATCH(A59,$A$7:$A$25,0))</f>
        <v>2</v>
      </c>
      <c r="AI59" s="79" t="n">
        <f aca="false">IF(OR(Q59="No",LEFT(H59,7)="IV only"),"",AH59*1000+IF(F59="",900+COUNTIFS($A$29:A59,A59,$H$29:H59,"Price*"),F59))</f>
        <v>2021</v>
      </c>
      <c r="AJ59" s="79" t="n">
        <f aca="false">IF(H59&lt;&gt;"","",(4-VALUE(RIGHT(E59,1)))*10^7+N(O59))</f>
        <v>10003519.3</v>
      </c>
      <c r="AK59" s="20" t="n">
        <f aca="false">IF(AND(H59="",ISNUMBER(I59)),I59,"")</f>
        <v>7.36</v>
      </c>
      <c r="AL59" s="21" t="n">
        <f aca="false">IF(H59="",M59,"")</f>
        <v>82</v>
      </c>
    </row>
    <row r="60" customFormat="false" ht="28.35" hidden="false" customHeight="false" outlineLevel="0" collapsed="false">
      <c r="A60" s="16" t="s">
        <v>229</v>
      </c>
      <c r="B60" s="16" t="s">
        <v>466</v>
      </c>
      <c r="C60" s="17" t="s">
        <v>467</v>
      </c>
      <c r="D60" s="17" t="s">
        <v>468</v>
      </c>
      <c r="E60" s="15" t="str">
        <f aca="false">IF(H60&lt;&gt;"",IF(LEFT(H60,5)="Price","Excluded – price ≤ USD 5","Excluded – IV only"),IF(ISNUMBER(I60),IF(AND(I60&gt;=$C$3,M60&gt;=$E$3),"Priority 1",IF(OR(I60&gt;=$C$3,M60&gt;=$E$3),"Priority 2","Priority 3")),IF(M60&gt;=$E$3,"Priority 2","Priority 3")))</f>
        <v>Excluded – IV only</v>
      </c>
      <c r="F60" s="15" t="str">
        <f aca="false">IF(H60&lt;&gt;"","",COUNTIFS($A$29:$A$361,A60,$H$29:$H$361,"",$AJ$29:$AJ$361,"&gt;"&amp;AJ60)+COUNTIFS($A$29:A60,A60,$H$29:H60,"",$AJ$29:AJ60,AJ60))</f>
        <v/>
      </c>
      <c r="G60" s="17" t="str">
        <f aca="false">IF(H60&lt;&gt;"","",IF(ISNUMBER(I60),IF(I60&gt;=$C$3,"High price","Lower price"),"No price")&amp;", "&amp;IF(M60&gt;=$E$3,"high volume","lower volume"))</f>
        <v/>
      </c>
      <c r="H60" s="17" t="str">
        <f aca="false">IF(Q60="No","IV only (no ID, IM or SC route)",IF(AND(AE60&gt;0,AF60=0),"Price ≤ USD 5",""))</f>
        <v>IV only (no ID, IM or SC route)</v>
      </c>
      <c r="I60" s="18" t="n">
        <f aca="false">IF(AF60&gt;0,ROUND(AVERAGEIFS('Shortlisted Drugs X Company (7)'!$N$3:$N$698,'Shortlisted Drugs X Company (7)'!$C$3:$C$698,$B60,'Shortlisted Drugs X Company (7)'!$E$3:$E$698,$AA60,'Shortlisted Drugs X Company (7)'!$N$3:$N$698,"&gt;5"),2),"")</f>
        <v>125</v>
      </c>
      <c r="J60" s="17" t="str">
        <f aca="false">IF(COUNTIFS('Shortlisted Drugs X Company (7)'!$C$3:$C$698,$B60,'Shortlisted Drugs X Company (7)'!$E$3:$E$698,$AA60,'Shortlisted Drugs X Company (7)'!$P$3:$P$698,"Exact")&gt;0,"Exact",IF(COUNTIFS('Shortlisted Drugs X Company (7)'!$C$3:$C$698,$B60,'Shortlisted Drugs X Company (7)'!$E$3:$E$698,$AA60,'Shortlisted Drugs X Company (7)'!$P$3:$P$698,"Same-market proxy")&gt;0,"Same-market proxy",IF(COUNTIFS('Shortlisted Drugs X Company (7)'!$C$3:$C$698,$B60,'Shortlisted Drugs X Company (7)'!$E$3:$E$698,$AA60,'Shortlisted Drugs X Company (7)'!$P$3:$P$698,"Cross-market proxy")&gt;0,"Cross-market proxy",IF(COUNTIFS('Shortlisted Drugs X Company (7)'!$C$3:$C$698,$B60,'Shortlisted Drugs X Company (7)'!$E$3:$E$698,$AA60,'Shortlisted Drugs X Company (7)'!$P$3:$P$698,"Source not found")&gt;0,"Source not found","No price found"))))</f>
        <v>Same-market proxy</v>
      </c>
      <c r="K60" s="19" t="n">
        <f aca="false">IFERROR(INDEX('Injectable Value'!$AB$28:$AB$178,MATCH(B60,'Injectable Value'!$A$28:$A$178,0)),"")</f>
        <v>116</v>
      </c>
      <c r="L60" s="77" t="n">
        <f aca="false">IFERROR(INDEX('Injectable Value'!$Z$28:$Z$178,MATCH(B60,'Injectable Value'!$A$28:$A$178,0)),"")</f>
        <v>0.444974105461394</v>
      </c>
      <c r="M60" s="19" t="n">
        <f aca="false">IFERROR(INDEX('Injectable Value'!$AC$28:$AC$178,MATCH(B60,'Injectable Value'!$A$28:$A$178,0)),"")</f>
        <v>52</v>
      </c>
      <c r="N60" s="19" t="n">
        <f aca="false">IFERROR(INDEX('Injectable Value'!$C$28:$C$178,MATCH(B60,'Injectable Value'!$A$28:$A$178,0)),"")</f>
        <v>1162.12</v>
      </c>
      <c r="O60" s="19" t="n">
        <f aca="false">IFERROR(ROUND(INDEX('Injectable Value'!$AA$28:$AA$178,MATCH(B60,'Injectable Value'!$A$28:$A$178,0)),1),"")</f>
        <v>517.1</v>
      </c>
      <c r="P60" s="16" t="str">
        <f aca="false">IFERROR(INDEX('Route of Administration'!$C$5:$C$155,MATCH(B60,'Route of Administration'!$A$5:$A$155,0)),"")</f>
        <v>IV</v>
      </c>
      <c r="Q60" s="15" t="str">
        <f aca="false">IFERROR(INDEX('Route of Administration'!$D$5:$D$155,MATCH(B60,'Route of Administration'!$A$5:$A$155,0)),"")</f>
        <v>No</v>
      </c>
      <c r="R60" s="16" t="s">
        <v>291</v>
      </c>
      <c r="S60" s="17" t="s">
        <v>469</v>
      </c>
      <c r="T60" s="16" t="s">
        <v>283</v>
      </c>
      <c r="U60" s="17" t="str">
        <f aca="false">"Prefilled only"&amp;IF(AE60=0,"; No price found","")&amp;IF(AND(AE60&gt;0,AF60=0,AG60=0),"; Low price comes from another market – confirm with the company","")</f>
        <v>Prefilled only</v>
      </c>
      <c r="V60" s="17" t="s">
        <v>284</v>
      </c>
      <c r="W60" s="15" t="n">
        <v>1</v>
      </c>
      <c r="X60" s="17" t="s">
        <v>284</v>
      </c>
      <c r="Y60" s="17" t="s">
        <v>284</v>
      </c>
      <c r="Z60" s="17" t="s">
        <v>293</v>
      </c>
      <c r="AA60" s="16" t="s">
        <v>322</v>
      </c>
      <c r="AB60" s="78" t="s">
        <v>470</v>
      </c>
      <c r="AC60" s="20" t="n">
        <f aca="false">IF(AE60&gt;0,ROUND(AVERAGEIFS('Shortlisted Drugs X Company (7)'!$N$3:$N$698,'Shortlisted Drugs X Company (7)'!$C$3:$C$698,$B60,'Shortlisted Drugs X Company (7)'!$E$3:$E$698,$AA60,'Shortlisted Drugs X Company (7)'!$N$3:$N$698,"&gt;=0"),2),"")</f>
        <v>125</v>
      </c>
      <c r="AD60" s="79" t="str">
        <f aca="false">B60&amp;"|"&amp;AA60</f>
        <v>Ibandronic Acid|Aurobindo Pharma</v>
      </c>
      <c r="AE60" s="22" t="n">
        <f aca="false">COUNTIFS('Shortlisted Drugs X Company (7)'!$C$3:$C$698,$B60,'Shortlisted Drugs X Company (7)'!$E$3:$E$698,$AA60,'Shortlisted Drugs X Company (7)'!$N$3:$N$698,"&gt;=0")</f>
        <v>1</v>
      </c>
      <c r="AF60" s="22" t="n">
        <f aca="false">COUNTIFS('Shortlisted Drugs X Company (7)'!$C$3:$C$698,$B60,'Shortlisted Drugs X Company (7)'!$E$3:$E$698,$AA60,'Shortlisted Drugs X Company (7)'!$N$3:$N$698,"&gt;5")</f>
        <v>1</v>
      </c>
      <c r="AG60" s="22" t="n">
        <f aca="false">COUNTIFS('Shortlisted Drugs X Company (7)'!$C$3:$C$698,$B60,'Shortlisted Drugs X Company (7)'!$E$3:$E$698,$AA60,'Shortlisted Drugs X Company (7)'!$P$3:$P$698,"Exact")+COUNTIFS('Shortlisted Drugs X Company (7)'!$C$3:$C$698,$B60,'Shortlisted Drugs X Company (7)'!$E$3:$E$698,$AA60,'Shortlisted Drugs X Company (7)'!$P$3:$P$698,"Same-market proxy")</f>
        <v>1</v>
      </c>
      <c r="AH60" s="22" t="n">
        <f aca="false">INDEX($G$7:$G$25,MATCH(A60,$A$7:$A$25,0))</f>
        <v>2</v>
      </c>
      <c r="AI60" s="79" t="str">
        <f aca="false">IF(OR(Q60="No",LEFT(H60,7)="IV only"),"",AH60*1000+IF(F60="",900+COUNTIFS($A$29:A60,A60,$H$29:H60,"Price*"),F60))</f>
        <v/>
      </c>
      <c r="AJ60" s="79" t="str">
        <f aca="false">IF(H60&lt;&gt;"","",(4-VALUE(RIGHT(E60,1)))*10^7+N(O60))</f>
        <v/>
      </c>
      <c r="AK60" s="79" t="str">
        <f aca="false">IF(AND(H60="",ISNUMBER(I60)),I60,"")</f>
        <v/>
      </c>
      <c r="AL60" s="79" t="str">
        <f aca="false">IF(H60="",M60,"")</f>
        <v/>
      </c>
    </row>
    <row r="61" customFormat="false" ht="28.35" hidden="false" customHeight="false" outlineLevel="0" collapsed="false">
      <c r="A61" s="16" t="s">
        <v>229</v>
      </c>
      <c r="B61" s="16" t="s">
        <v>471</v>
      </c>
      <c r="C61" s="17" t="s">
        <v>471</v>
      </c>
      <c r="D61" s="17" t="s">
        <v>472</v>
      </c>
      <c r="E61" s="15" t="str">
        <f aca="false">IF(H61&lt;&gt;"",IF(LEFT(H61,5)="Price","Excluded – price ≤ USD 5","Excluded – IV only"),IF(ISNUMBER(I61),IF(AND(I61&gt;=$C$3,M61&gt;=$E$3),"Priority 1",IF(OR(I61&gt;=$C$3,M61&gt;=$E$3),"Priority 2","Priority 3")),IF(M61&gt;=$E$3,"Priority 2","Priority 3")))</f>
        <v>Priority 2</v>
      </c>
      <c r="F61" s="15" t="n">
        <f aca="false">IF(H61&lt;&gt;"","",COUNTIFS($A$29:$A$361,A61,$H$29:$H$361,"",$AJ$29:$AJ$361,"&gt;"&amp;AJ61)+COUNTIFS($A$29:A61,A61,$H$29:H61,"",$AJ$29:AJ61,AJ61))</f>
        <v>18</v>
      </c>
      <c r="G61" s="17" t="str">
        <f aca="false">IF(H61&lt;&gt;"","",IF(ISNUMBER(I61),IF(I61&gt;=$C$3,"High price","Lower price"),"No price")&amp;", "&amp;IF(M61&gt;=$E$3,"high volume","lower volume"))</f>
        <v>High price, lower volume</v>
      </c>
      <c r="H61" s="17" t="str">
        <f aca="false">IF(Q61="No","IV only (no ID, IM or SC route)",IF(AND(AE61&gt;0,AF61=0),"Price ≤ USD 5",""))</f>
        <v/>
      </c>
      <c r="I61" s="18" t="n">
        <f aca="false">IF(AF61&gt;0,ROUND(AVERAGEIFS('Shortlisted Drugs X Company (7)'!$N$3:$N$698,'Shortlisted Drugs X Company (7)'!$C$3:$C$698,$B61,'Shortlisted Drugs X Company (7)'!$E$3:$E$698,$AA61,'Shortlisted Drugs X Company (7)'!$N$3:$N$698,"&gt;5"),2),"")</f>
        <v>35.26</v>
      </c>
      <c r="J61" s="17" t="str">
        <f aca="false">IF(COUNTIFS('Shortlisted Drugs X Company (7)'!$C$3:$C$698,$B61,'Shortlisted Drugs X Company (7)'!$E$3:$E$698,$AA61,'Shortlisted Drugs X Company (7)'!$P$3:$P$698,"Exact")&gt;0,"Exact",IF(COUNTIFS('Shortlisted Drugs X Company (7)'!$C$3:$C$698,$B61,'Shortlisted Drugs X Company (7)'!$E$3:$E$698,$AA61,'Shortlisted Drugs X Company (7)'!$P$3:$P$698,"Same-market proxy")&gt;0,"Same-market proxy",IF(COUNTIFS('Shortlisted Drugs X Company (7)'!$C$3:$C$698,$B61,'Shortlisted Drugs X Company (7)'!$E$3:$E$698,$AA61,'Shortlisted Drugs X Company (7)'!$P$3:$P$698,"Cross-market proxy")&gt;0,"Cross-market proxy",IF(COUNTIFS('Shortlisted Drugs X Company (7)'!$C$3:$C$698,$B61,'Shortlisted Drugs X Company (7)'!$E$3:$E$698,$AA61,'Shortlisted Drugs X Company (7)'!$P$3:$P$698,"Source not found")&gt;0,"Source not found","No price found"))))</f>
        <v>Same-market proxy</v>
      </c>
      <c r="K61" s="19" t="n">
        <f aca="false">IFERROR(INDEX('Injectable Value'!$AB$28:$AB$178,MATCH(B61,'Injectable Value'!$A$28:$A$178,0)),"")</f>
        <v>122</v>
      </c>
      <c r="L61" s="77" t="n">
        <f aca="false">IFERROR(INDEX('Injectable Value'!$Z$28:$Z$178,MATCH(B61,'Injectable Value'!$A$28:$A$178,0)),"")</f>
        <v>0.33624222999223</v>
      </c>
      <c r="M61" s="19" t="n">
        <f aca="false">IFERROR(INDEX('Injectable Value'!$AC$28:$AC$178,MATCH(B61,'Injectable Value'!$A$28:$A$178,0)),"")</f>
        <v>41</v>
      </c>
      <c r="N61" s="19" t="n">
        <f aca="false">IFERROR(INDEX('Injectable Value'!$C$28:$C$178,MATCH(B61,'Injectable Value'!$A$28:$A$178,0)),"")</f>
        <v>8000.57</v>
      </c>
      <c r="O61" s="19" t="n">
        <f aca="false">IFERROR(ROUND(INDEX('Injectable Value'!$AA$28:$AA$178,MATCH(B61,'Injectable Value'!$A$28:$A$178,0)),1),"")</f>
        <v>2690.1</v>
      </c>
      <c r="P61" s="16" t="str">
        <f aca="false">IFERROR(INDEX('Route of Administration'!$C$5:$C$155,MATCH(B61,'Route of Administration'!$A$5:$A$155,0)),"")</f>
        <v>IM, SC</v>
      </c>
      <c r="Q61" s="15" t="str">
        <f aca="false">IFERROR(INDEX('Route of Administration'!$D$5:$D$155,MATCH(B61,'Route of Administration'!$A$5:$A$155,0)),"")</f>
        <v>Yes</v>
      </c>
      <c r="R61" s="16" t="s">
        <v>473</v>
      </c>
      <c r="S61" s="17" t="s">
        <v>474</v>
      </c>
      <c r="T61" s="16" t="s">
        <v>283</v>
      </c>
      <c r="U61" s="17" t="str">
        <f aca="false">""&amp;IF(AE61=0,"No price found","")&amp;IF(AND(AE61&gt;0,AF61=0,AG61=0),"Low price comes from another market – confirm with the company","")</f>
        <v/>
      </c>
      <c r="V61" s="17" t="s">
        <v>284</v>
      </c>
      <c r="W61" s="15" t="n">
        <v>1</v>
      </c>
      <c r="X61" s="17" t="s">
        <v>284</v>
      </c>
      <c r="Y61" s="17" t="s">
        <v>284</v>
      </c>
      <c r="Z61" s="17" t="s">
        <v>321</v>
      </c>
      <c r="AA61" s="16" t="s">
        <v>322</v>
      </c>
      <c r="AB61" s="78" t="s">
        <v>475</v>
      </c>
      <c r="AC61" s="20" t="n">
        <f aca="false">IF(AE61&gt;0,ROUND(AVERAGEIFS('Shortlisted Drugs X Company (7)'!$N$3:$N$698,'Shortlisted Drugs X Company (7)'!$C$3:$C$698,$B61,'Shortlisted Drugs X Company (7)'!$E$3:$E$698,$AA61,'Shortlisted Drugs X Company (7)'!$N$3:$N$698,"&gt;=0"),2),"")</f>
        <v>35.26</v>
      </c>
      <c r="AD61" s="79" t="str">
        <f aca="false">B61&amp;"|"&amp;AA61</f>
        <v>Medroxyprogesterone Acetate|Aurobindo Pharma</v>
      </c>
      <c r="AE61" s="22" t="n">
        <f aca="false">COUNTIFS('Shortlisted Drugs X Company (7)'!$C$3:$C$698,$B61,'Shortlisted Drugs X Company (7)'!$E$3:$E$698,$AA61,'Shortlisted Drugs X Company (7)'!$N$3:$N$698,"&gt;=0")</f>
        <v>2</v>
      </c>
      <c r="AF61" s="22" t="n">
        <f aca="false">COUNTIFS('Shortlisted Drugs X Company (7)'!$C$3:$C$698,$B61,'Shortlisted Drugs X Company (7)'!$E$3:$E$698,$AA61,'Shortlisted Drugs X Company (7)'!$N$3:$N$698,"&gt;5")</f>
        <v>2</v>
      </c>
      <c r="AG61" s="22" t="n">
        <f aca="false">COUNTIFS('Shortlisted Drugs X Company (7)'!$C$3:$C$698,$B61,'Shortlisted Drugs X Company (7)'!$E$3:$E$698,$AA61,'Shortlisted Drugs X Company (7)'!$P$3:$P$698,"Exact")+COUNTIFS('Shortlisted Drugs X Company (7)'!$C$3:$C$698,$B61,'Shortlisted Drugs X Company (7)'!$E$3:$E$698,$AA61,'Shortlisted Drugs X Company (7)'!$P$3:$P$698,"Same-market proxy")</f>
        <v>2</v>
      </c>
      <c r="AH61" s="22" t="n">
        <f aca="false">INDEX($G$7:$G$25,MATCH(A61,$A$7:$A$25,0))</f>
        <v>2</v>
      </c>
      <c r="AI61" s="79" t="n">
        <f aca="false">IF(OR(Q61="No",LEFT(H61,7)="IV only"),"",AH61*1000+IF(F61="",900+COUNTIFS($A$29:A61,A61,$H$29:H61,"Price*"),F61))</f>
        <v>2018</v>
      </c>
      <c r="AJ61" s="79" t="n">
        <f aca="false">IF(H61&lt;&gt;"","",(4-VALUE(RIGHT(E61,1)))*10^7+N(O61))</f>
        <v>20002690.1</v>
      </c>
      <c r="AK61" s="20" t="n">
        <f aca="false">IF(AND(H61="",ISNUMBER(I61)),I61,"")</f>
        <v>35.26</v>
      </c>
      <c r="AL61" s="21" t="n">
        <f aca="false">IF(H61="",M61,"")</f>
        <v>41</v>
      </c>
    </row>
    <row r="62" customFormat="false" ht="28.35" hidden="false" customHeight="false" outlineLevel="0" collapsed="false">
      <c r="A62" s="16" t="s">
        <v>229</v>
      </c>
      <c r="B62" s="16" t="s">
        <v>476</v>
      </c>
      <c r="C62" s="17" t="s">
        <v>477</v>
      </c>
      <c r="D62" s="17" t="s">
        <v>478</v>
      </c>
      <c r="E62" s="15" t="str">
        <f aca="false">IF(H62&lt;&gt;"",IF(LEFT(H62,5)="Price","Excluded – price ≤ USD 5","Excluded – IV only"),IF(ISNUMBER(I62),IF(AND(I62&gt;=$C$3,M62&gt;=$E$3),"Priority 1",IF(OR(I62&gt;=$C$3,M62&gt;=$E$3),"Priority 2","Priority 3")),IF(M62&gt;=$E$3,"Priority 2","Priority 3")))</f>
        <v>Excluded – IV only</v>
      </c>
      <c r="F62" s="15" t="str">
        <f aca="false">IF(H62&lt;&gt;"","",COUNTIFS($A$29:$A$361,A62,$H$29:$H$361,"",$AJ$29:$AJ$361,"&gt;"&amp;AJ62)+COUNTIFS($A$29:A62,A62,$H$29:H62,"",$AJ$29:AJ62,AJ62))</f>
        <v/>
      </c>
      <c r="G62" s="17" t="str">
        <f aca="false">IF(H62&lt;&gt;"","",IF(ISNUMBER(I62),IF(I62&gt;=$C$3,"High price","Lower price"),"No price")&amp;", "&amp;IF(M62&gt;=$E$3,"high volume","lower volume"))</f>
        <v/>
      </c>
      <c r="H62" s="17" t="str">
        <f aca="false">IF(Q62="No","IV only (no ID, IM or SC route)",IF(AND(AE62&gt;0,AF62=0),"Price ≤ USD 5",""))</f>
        <v>IV only (no ID, IM or SC route)</v>
      </c>
      <c r="I62" s="18" t="n">
        <f aca="false">IF(AF62&gt;0,ROUND(AVERAGEIFS('Shortlisted Drugs X Company (7)'!$N$3:$N$698,'Shortlisted Drugs X Company (7)'!$C$3:$C$698,$B62,'Shortlisted Drugs X Company (7)'!$E$3:$E$698,$AA62,'Shortlisted Drugs X Company (7)'!$N$3:$N$698,"&gt;5"),2),"")</f>
        <v>95.2</v>
      </c>
      <c r="J62" s="17" t="str">
        <f aca="false">IF(COUNTIFS('Shortlisted Drugs X Company (7)'!$C$3:$C$698,$B62,'Shortlisted Drugs X Company (7)'!$E$3:$E$698,$AA62,'Shortlisted Drugs X Company (7)'!$P$3:$P$698,"Exact")&gt;0,"Exact",IF(COUNTIFS('Shortlisted Drugs X Company (7)'!$C$3:$C$698,$B62,'Shortlisted Drugs X Company (7)'!$E$3:$E$698,$AA62,'Shortlisted Drugs X Company (7)'!$P$3:$P$698,"Same-market proxy")&gt;0,"Same-market proxy",IF(COUNTIFS('Shortlisted Drugs X Company (7)'!$C$3:$C$698,$B62,'Shortlisted Drugs X Company (7)'!$E$3:$E$698,$AA62,'Shortlisted Drugs X Company (7)'!$P$3:$P$698,"Cross-market proxy")&gt;0,"Cross-market proxy",IF(COUNTIFS('Shortlisted Drugs X Company (7)'!$C$3:$C$698,$B62,'Shortlisted Drugs X Company (7)'!$E$3:$E$698,$AA62,'Shortlisted Drugs X Company (7)'!$P$3:$P$698,"Source not found")&gt;0,"Source not found","No price found"))))</f>
        <v>Cross-market proxy</v>
      </c>
      <c r="K62" s="19" t="n">
        <f aca="false">IFERROR(INDEX('Injectable Value'!$AB$28:$AB$178,MATCH(B62,'Injectable Value'!$A$28:$A$178,0)),"")</f>
        <v>257</v>
      </c>
      <c r="L62" s="77" t="n">
        <f aca="false">IFERROR(INDEX('Injectable Value'!$Z$28:$Z$178,MATCH(B62,'Injectable Value'!$A$28:$A$178,0)),"")</f>
        <v>0.689888576486515</v>
      </c>
      <c r="M62" s="19" t="n">
        <f aca="false">IFERROR(INDEX('Injectable Value'!$AC$28:$AC$178,MATCH(B62,'Injectable Value'!$A$28:$A$178,0)),"")</f>
        <v>177</v>
      </c>
      <c r="N62" s="19" t="n">
        <f aca="false">IFERROR(INDEX('Injectable Value'!$C$28:$C$178,MATCH(B62,'Injectable Value'!$A$28:$A$178,0)),"")</f>
        <v>4183.29</v>
      </c>
      <c r="O62" s="19" t="n">
        <f aca="false">IFERROR(ROUND(INDEX('Injectable Value'!$AA$28:$AA$178,MATCH(B62,'Injectable Value'!$A$28:$A$178,0)),1),"")</f>
        <v>2886</v>
      </c>
      <c r="P62" s="16" t="str">
        <f aca="false">IFERROR(INDEX('Route of Administration'!$C$5:$C$155,MATCH(B62,'Route of Administration'!$A$5:$A$155,0)),"")</f>
        <v>IV</v>
      </c>
      <c r="Q62" s="15" t="str">
        <f aca="false">IFERROR(INDEX('Route of Administration'!$D$5:$D$155,MATCH(B62,'Route of Administration'!$A$5:$A$155,0)),"")</f>
        <v>No</v>
      </c>
      <c r="R62" s="16" t="s">
        <v>281</v>
      </c>
      <c r="S62" s="17" t="s">
        <v>479</v>
      </c>
      <c r="T62" s="16" t="s">
        <v>333</v>
      </c>
      <c r="U62" s="17" t="str">
        <f aca="false">"Cancer drug (cytotoxic) – less relevant; Reconstitution"&amp;IF(AE62=0,"; No price found","")&amp;IF(AND(AE62&gt;0,AF62=0,AG62=0),"; Low price comes from another market – confirm with the company","")</f>
        <v>Cancer drug (cytotoxic) – less relevant; Reconstitution</v>
      </c>
      <c r="V62" s="17" t="s">
        <v>480</v>
      </c>
      <c r="W62" s="15" t="n">
        <v>3</v>
      </c>
      <c r="X62" s="17" t="s">
        <v>481</v>
      </c>
      <c r="Y62" s="17" t="s">
        <v>481</v>
      </c>
      <c r="Z62" s="17" t="s">
        <v>286</v>
      </c>
      <c r="AA62" s="16" t="s">
        <v>322</v>
      </c>
      <c r="AB62" s="78" t="s">
        <v>482</v>
      </c>
      <c r="AC62" s="20" t="n">
        <f aca="false">IF(AE62&gt;0,ROUND(AVERAGEIFS('Shortlisted Drugs X Company (7)'!$N$3:$N$698,'Shortlisted Drugs X Company (7)'!$C$3:$C$698,$B62,'Shortlisted Drugs X Company (7)'!$E$3:$E$698,$AA62,'Shortlisted Drugs X Company (7)'!$N$3:$N$698,"&gt;=0"),2),"")</f>
        <v>95.2</v>
      </c>
      <c r="AD62" s="79" t="str">
        <f aca="false">B62&amp;"|"&amp;AA62</f>
        <v>Melphalan|Aurobindo Pharma</v>
      </c>
      <c r="AE62" s="22" t="n">
        <f aca="false">COUNTIFS('Shortlisted Drugs X Company (7)'!$C$3:$C$698,$B62,'Shortlisted Drugs X Company (7)'!$E$3:$E$698,$AA62,'Shortlisted Drugs X Company (7)'!$N$3:$N$698,"&gt;=0")</f>
        <v>1</v>
      </c>
      <c r="AF62" s="22" t="n">
        <f aca="false">COUNTIFS('Shortlisted Drugs X Company (7)'!$C$3:$C$698,$B62,'Shortlisted Drugs X Company (7)'!$E$3:$E$698,$AA62,'Shortlisted Drugs X Company (7)'!$N$3:$N$698,"&gt;5")</f>
        <v>1</v>
      </c>
      <c r="AG62" s="22" t="n">
        <f aca="false">COUNTIFS('Shortlisted Drugs X Company (7)'!$C$3:$C$698,$B62,'Shortlisted Drugs X Company (7)'!$E$3:$E$698,$AA62,'Shortlisted Drugs X Company (7)'!$P$3:$P$698,"Exact")+COUNTIFS('Shortlisted Drugs X Company (7)'!$C$3:$C$698,$B62,'Shortlisted Drugs X Company (7)'!$E$3:$E$698,$AA62,'Shortlisted Drugs X Company (7)'!$P$3:$P$698,"Same-market proxy")</f>
        <v>0</v>
      </c>
      <c r="AH62" s="22" t="n">
        <f aca="false">INDEX($G$7:$G$25,MATCH(A62,$A$7:$A$25,0))</f>
        <v>2</v>
      </c>
      <c r="AI62" s="79" t="str">
        <f aca="false">IF(OR(Q62="No",LEFT(H62,7)="IV only"),"",AH62*1000+IF(F62="",900+COUNTIFS($A$29:A62,A62,$H$29:H62,"Price*"),F62))</f>
        <v/>
      </c>
      <c r="AJ62" s="79" t="str">
        <f aca="false">IF(H62&lt;&gt;"","",(4-VALUE(RIGHT(E62,1)))*10^7+N(O62))</f>
        <v/>
      </c>
      <c r="AK62" s="79" t="str">
        <f aca="false">IF(AND(H62="",ISNUMBER(I62)),I62,"")</f>
        <v/>
      </c>
      <c r="AL62" s="79" t="str">
        <f aca="false">IF(H62="",M62,"")</f>
        <v/>
      </c>
    </row>
    <row r="63" customFormat="false" ht="55.2" hidden="false" customHeight="false" outlineLevel="0" collapsed="false">
      <c r="A63" s="16" t="s">
        <v>229</v>
      </c>
      <c r="B63" s="16" t="s">
        <v>483</v>
      </c>
      <c r="C63" s="17" t="s">
        <v>484</v>
      </c>
      <c r="D63" s="17" t="s">
        <v>485</v>
      </c>
      <c r="E63" s="15" t="str">
        <f aca="false">IF(H63&lt;&gt;"",IF(LEFT(H63,5)="Price","Excluded – price ≤ USD 5","Excluded – IV only"),IF(ISNUMBER(I63),IF(AND(I63&gt;=$C$3,M63&gt;=$E$3),"Priority 1",IF(OR(I63&gt;=$C$3,M63&gt;=$E$3),"Priority 2","Priority 3")),IF(M63&gt;=$E$3,"Priority 2","Priority 3")))</f>
        <v>Excluded – IV only</v>
      </c>
      <c r="F63" s="15" t="str">
        <f aca="false">IF(H63&lt;&gt;"","",COUNTIFS($A$29:$A$361,A63,$H$29:$H$361,"",$AJ$29:$AJ$361,"&gt;"&amp;AJ63)+COUNTIFS($A$29:A63,A63,$H$29:H63,"",$AJ$29:AJ63,AJ63))</f>
        <v/>
      </c>
      <c r="G63" s="17" t="str">
        <f aca="false">IF(H63&lt;&gt;"","",IF(ISNUMBER(I63),IF(I63&gt;=$C$3,"High price","Lower price"),"No price")&amp;", "&amp;IF(M63&gt;=$E$3,"high volume","lower volume"))</f>
        <v/>
      </c>
      <c r="H63" s="17" t="str">
        <f aca="false">IF(Q63="No","IV only (no ID, IM or SC route)",IF(AND(AE63&gt;0,AF63=0),"Price ≤ USD 5",""))</f>
        <v>IV only (no ID, IM or SC route)</v>
      </c>
      <c r="I63" s="18" t="n">
        <f aca="false">IF(AF63&gt;0,ROUND(AVERAGEIFS('Shortlisted Drugs X Company (7)'!$N$3:$N$698,'Shortlisted Drugs X Company (7)'!$C$3:$C$698,$B63,'Shortlisted Drugs X Company (7)'!$E$3:$E$698,$AA63,'Shortlisted Drugs X Company (7)'!$N$3:$N$698,"&gt;5"),2),"")</f>
        <v>20.14</v>
      </c>
      <c r="J63" s="17" t="str">
        <f aca="false">IF(COUNTIFS('Shortlisted Drugs X Company (7)'!$C$3:$C$698,$B63,'Shortlisted Drugs X Company (7)'!$E$3:$E$698,$AA63,'Shortlisted Drugs X Company (7)'!$P$3:$P$698,"Exact")&gt;0,"Exact",IF(COUNTIFS('Shortlisted Drugs X Company (7)'!$C$3:$C$698,$B63,'Shortlisted Drugs X Company (7)'!$E$3:$E$698,$AA63,'Shortlisted Drugs X Company (7)'!$P$3:$P$698,"Same-market proxy")&gt;0,"Same-market proxy",IF(COUNTIFS('Shortlisted Drugs X Company (7)'!$C$3:$C$698,$B63,'Shortlisted Drugs X Company (7)'!$E$3:$E$698,$AA63,'Shortlisted Drugs X Company (7)'!$P$3:$P$698,"Cross-market proxy")&gt;0,"Cross-market proxy",IF(COUNTIFS('Shortlisted Drugs X Company (7)'!$C$3:$C$698,$B63,'Shortlisted Drugs X Company (7)'!$E$3:$E$698,$AA63,'Shortlisted Drugs X Company (7)'!$P$3:$P$698,"Source not found")&gt;0,"Source not found","No price found"))))</f>
        <v>Exact</v>
      </c>
      <c r="K63" s="19" t="n">
        <f aca="false">IFERROR(INDEX('Injectable Value'!$AB$28:$AB$178,MATCH(B63,'Injectable Value'!$A$28:$A$178,0)),"")</f>
        <v>1185</v>
      </c>
      <c r="L63" s="77" t="n">
        <f aca="false">IFERROR(INDEX('Injectable Value'!$Z$28:$Z$178,MATCH(B63,'Injectable Value'!$A$28:$A$178,0)),"")</f>
        <v>0.991808067465962</v>
      </c>
      <c r="M63" s="19" t="n">
        <f aca="false">IFERROR(INDEX('Injectable Value'!$AC$28:$AC$178,MATCH(B63,'Injectable Value'!$A$28:$A$178,0)),"")</f>
        <v>1175</v>
      </c>
      <c r="N63" s="19" t="n">
        <f aca="false">IFERROR(INDEX('Injectable Value'!$C$28:$C$178,MATCH(B63,'Injectable Value'!$A$28:$A$178,0)),"")</f>
        <v>59407.06</v>
      </c>
      <c r="O63" s="19" t="n">
        <f aca="false">IFERROR(ROUND(INDEX('Injectable Value'!$AA$28:$AA$178,MATCH(B63,'Injectable Value'!$A$28:$A$178,0)),1),"")</f>
        <v>58920.4</v>
      </c>
      <c r="P63" s="16" t="str">
        <f aca="false">IFERROR(INDEX('Route of Administration'!$C$5:$C$155,MATCH(B63,'Route of Administration'!$A$5:$A$155,0)),"")</f>
        <v>IV</v>
      </c>
      <c r="Q63" s="15" t="str">
        <f aca="false">IFERROR(INDEX('Route of Administration'!$D$5:$D$155,MATCH(B63,'Route of Administration'!$A$5:$A$155,0)),"")</f>
        <v>No</v>
      </c>
      <c r="R63" s="16" t="s">
        <v>281</v>
      </c>
      <c r="S63" s="17" t="s">
        <v>486</v>
      </c>
      <c r="T63" s="16" t="s">
        <v>359</v>
      </c>
      <c r="U63" s="17" t="str">
        <f aca="false">"Reconstitution"&amp;IF(AE63=0,"; No price found","")&amp;IF(AND(AE63&gt;0,AF63=0,AG63=0),"; Low price comes from another market – confirm with the company","")</f>
        <v>Reconstitution</v>
      </c>
      <c r="V63" s="17" t="s">
        <v>487</v>
      </c>
      <c r="W63" s="15" t="n">
        <v>10</v>
      </c>
      <c r="X63" s="17" t="s">
        <v>488</v>
      </c>
      <c r="Y63" s="17" t="s">
        <v>489</v>
      </c>
      <c r="Z63" s="17" t="s">
        <v>286</v>
      </c>
      <c r="AA63" s="16" t="s">
        <v>322</v>
      </c>
      <c r="AB63" s="78" t="s">
        <v>490</v>
      </c>
      <c r="AC63" s="20" t="n">
        <f aca="false">IF(AE63&gt;0,ROUND(AVERAGEIFS('Shortlisted Drugs X Company (7)'!$N$3:$N$698,'Shortlisted Drugs X Company (7)'!$C$3:$C$698,$B63,'Shortlisted Drugs X Company (7)'!$E$3:$E$698,$AA63,'Shortlisted Drugs X Company (7)'!$N$3:$N$698,"&gt;=0"),2),"")</f>
        <v>20.14</v>
      </c>
      <c r="AD63" s="79" t="str">
        <f aca="false">B63&amp;"|"&amp;AA63</f>
        <v>Meropenem|Aurobindo Pharma</v>
      </c>
      <c r="AE63" s="22" t="n">
        <f aca="false">COUNTIFS('Shortlisted Drugs X Company (7)'!$C$3:$C$698,$B63,'Shortlisted Drugs X Company (7)'!$E$3:$E$698,$AA63,'Shortlisted Drugs X Company (7)'!$N$3:$N$698,"&gt;=0")</f>
        <v>7</v>
      </c>
      <c r="AF63" s="22" t="n">
        <f aca="false">COUNTIFS('Shortlisted Drugs X Company (7)'!$C$3:$C$698,$B63,'Shortlisted Drugs X Company (7)'!$E$3:$E$698,$AA63,'Shortlisted Drugs X Company (7)'!$N$3:$N$698,"&gt;5")</f>
        <v>7</v>
      </c>
      <c r="AG63" s="22" t="n">
        <f aca="false">COUNTIFS('Shortlisted Drugs X Company (7)'!$C$3:$C$698,$B63,'Shortlisted Drugs X Company (7)'!$E$3:$E$698,$AA63,'Shortlisted Drugs X Company (7)'!$P$3:$P$698,"Exact")+COUNTIFS('Shortlisted Drugs X Company (7)'!$C$3:$C$698,$B63,'Shortlisted Drugs X Company (7)'!$E$3:$E$698,$AA63,'Shortlisted Drugs X Company (7)'!$P$3:$P$698,"Same-market proxy")</f>
        <v>7</v>
      </c>
      <c r="AH63" s="22" t="n">
        <f aca="false">INDEX($G$7:$G$25,MATCH(A63,$A$7:$A$25,0))</f>
        <v>2</v>
      </c>
      <c r="AI63" s="79" t="str">
        <f aca="false">IF(OR(Q63="No",LEFT(H63,7)="IV only"),"",AH63*1000+IF(F63="",900+COUNTIFS($A$29:A63,A63,$H$29:H63,"Price*"),F63))</f>
        <v/>
      </c>
      <c r="AJ63" s="79" t="str">
        <f aca="false">IF(H63&lt;&gt;"","",(4-VALUE(RIGHT(E63,1)))*10^7+N(O63))</f>
        <v/>
      </c>
      <c r="AK63" s="79" t="str">
        <f aca="false">IF(AND(H63="",ISNUMBER(I63)),I63,"")</f>
        <v/>
      </c>
      <c r="AL63" s="79" t="str">
        <f aca="false">IF(H63="",M63,"")</f>
        <v/>
      </c>
    </row>
    <row r="64" customFormat="false" ht="41.75" hidden="false" customHeight="false" outlineLevel="0" collapsed="false">
      <c r="A64" s="16" t="s">
        <v>229</v>
      </c>
      <c r="B64" s="16" t="s">
        <v>491</v>
      </c>
      <c r="C64" s="17" t="s">
        <v>491</v>
      </c>
      <c r="D64" s="17" t="s">
        <v>492</v>
      </c>
      <c r="E64" s="15" t="str">
        <f aca="false">IF(H64&lt;&gt;"",IF(LEFT(H64,5)="Price","Excluded – price ≤ USD 5","Excluded – IV only"),IF(ISNUMBER(I64),IF(AND(I64&gt;=$C$3,M64&gt;=$E$3),"Priority 1",IF(OR(I64&gt;=$C$3,M64&gt;=$E$3),"Priority 2","Priority 3")),IF(M64&gt;=$E$3,"Priority 2","Priority 3")))</f>
        <v>Excluded – IV only</v>
      </c>
      <c r="F64" s="15" t="str">
        <f aca="false">IF(H64&lt;&gt;"","",COUNTIFS($A$29:$A$361,A64,$H$29:$H$361,"",$AJ$29:$AJ$361,"&gt;"&amp;AJ64)+COUNTIFS($A$29:A64,A64,$H$29:H64,"",$AJ$29:AJ64,AJ64))</f>
        <v/>
      </c>
      <c r="G64" s="17" t="str">
        <f aca="false">IF(H64&lt;&gt;"","",IF(ISNUMBER(I64),IF(I64&gt;=$C$3,"High price","Lower price"),"No price")&amp;", "&amp;IF(M64&gt;=$E$3,"high volume","lower volume"))</f>
        <v/>
      </c>
      <c r="H64" s="17" t="str">
        <f aca="false">IF(Q64="No","IV only (no ID, IM or SC route)",IF(AND(AE64&gt;0,AF64=0),"Price ≤ USD 5",""))</f>
        <v>IV only (no ID, IM or SC route)</v>
      </c>
      <c r="I64" s="18" t="n">
        <f aca="false">IF(AF64&gt;0,ROUND(AVERAGEIFS('Shortlisted Drugs X Company (7)'!$N$3:$N$698,'Shortlisted Drugs X Company (7)'!$C$3:$C$698,$B64,'Shortlisted Drugs X Company (7)'!$E$3:$E$698,$AA64,'Shortlisted Drugs X Company (7)'!$N$3:$N$698,"&gt;5"),2),"")</f>
        <v>22.25</v>
      </c>
      <c r="J64" s="17" t="str">
        <f aca="false">IF(COUNTIFS('Shortlisted Drugs X Company (7)'!$C$3:$C$698,$B64,'Shortlisted Drugs X Company (7)'!$E$3:$E$698,$AA64,'Shortlisted Drugs X Company (7)'!$P$3:$P$698,"Exact")&gt;0,"Exact",IF(COUNTIFS('Shortlisted Drugs X Company (7)'!$C$3:$C$698,$B64,'Shortlisted Drugs X Company (7)'!$E$3:$E$698,$AA64,'Shortlisted Drugs X Company (7)'!$P$3:$P$698,"Same-market proxy")&gt;0,"Same-market proxy",IF(COUNTIFS('Shortlisted Drugs X Company (7)'!$C$3:$C$698,$B64,'Shortlisted Drugs X Company (7)'!$E$3:$E$698,$AA64,'Shortlisted Drugs X Company (7)'!$P$3:$P$698,"Cross-market proxy")&gt;0,"Cross-market proxy",IF(COUNTIFS('Shortlisted Drugs X Company (7)'!$C$3:$C$698,$B64,'Shortlisted Drugs X Company (7)'!$E$3:$E$698,$AA64,'Shortlisted Drugs X Company (7)'!$P$3:$P$698,"Source not found")&gt;0,"Source not found","No price found"))))</f>
        <v>Same-market proxy</v>
      </c>
      <c r="K64" s="19" t="n">
        <f aca="false">IFERROR(INDEX('Injectable Value'!$AB$28:$AB$178,MATCH(B64,'Injectable Value'!$A$28:$A$178,0)),"")</f>
        <v>305</v>
      </c>
      <c r="L64" s="77" t="n">
        <f aca="false">IFERROR(INDEX('Injectable Value'!$Z$28:$Z$178,MATCH(B64,'Injectable Value'!$A$28:$A$178,0)),"")</f>
        <v>0.688492063492064</v>
      </c>
      <c r="M64" s="19" t="n">
        <f aca="false">IFERROR(INDEX('Injectable Value'!$AC$28:$AC$178,MATCH(B64,'Injectable Value'!$A$28:$A$178,0)),"")</f>
        <v>210</v>
      </c>
      <c r="N64" s="19" t="n">
        <f aca="false">IFERROR(INDEX('Injectable Value'!$C$28:$C$178,MATCH(B64,'Injectable Value'!$A$28:$A$178,0)),"")</f>
        <v>703.44</v>
      </c>
      <c r="O64" s="19" t="n">
        <f aca="false">IFERROR(ROUND(INDEX('Injectable Value'!$AA$28:$AA$178,MATCH(B64,'Injectable Value'!$A$28:$A$178,0)),1),"")</f>
        <v>484.3</v>
      </c>
      <c r="P64" s="16" t="str">
        <f aca="false">IFERROR(INDEX('Route of Administration'!$C$5:$C$155,MATCH(B64,'Route of Administration'!$A$5:$A$155,0)),"")</f>
        <v>IV</v>
      </c>
      <c r="Q64" s="15" t="str">
        <f aca="false">IFERROR(INDEX('Route of Administration'!$D$5:$D$155,MATCH(B64,'Route of Administration'!$A$5:$A$155,0)),"")</f>
        <v>No</v>
      </c>
      <c r="R64" s="16" t="s">
        <v>281</v>
      </c>
      <c r="S64" s="17" t="s">
        <v>493</v>
      </c>
      <c r="T64" s="16" t="s">
        <v>283</v>
      </c>
      <c r="U64" s="17" t="str">
        <f aca="false">""&amp;IF(AE64=0,"No price found","")&amp;IF(AND(AE64&gt;0,AF64=0,AG64=0),"Low price comes from another market – confirm with the company","")</f>
        <v/>
      </c>
      <c r="V64" s="17" t="s">
        <v>284</v>
      </c>
      <c r="W64" s="15" t="n">
        <v>1</v>
      </c>
      <c r="X64" s="17" t="s">
        <v>284</v>
      </c>
      <c r="Y64" s="17" t="s">
        <v>284</v>
      </c>
      <c r="Z64" s="17" t="s">
        <v>321</v>
      </c>
      <c r="AA64" s="16" t="s">
        <v>322</v>
      </c>
      <c r="AB64" s="78" t="s">
        <v>494</v>
      </c>
      <c r="AC64" s="20" t="n">
        <f aca="false">IF(AE64&gt;0,ROUND(AVERAGEIFS('Shortlisted Drugs X Company (7)'!$N$3:$N$698,'Shortlisted Drugs X Company (7)'!$C$3:$C$698,$B64,'Shortlisted Drugs X Company (7)'!$E$3:$E$698,$AA64,'Shortlisted Drugs X Company (7)'!$N$3:$N$698,"&gt;=0"),2),"")</f>
        <v>22.25</v>
      </c>
      <c r="AD64" s="79" t="str">
        <f aca="false">B64&amp;"|"&amp;AA64</f>
        <v>Mesna|Aurobindo Pharma</v>
      </c>
      <c r="AE64" s="22" t="n">
        <f aca="false">COUNTIFS('Shortlisted Drugs X Company (7)'!$C$3:$C$698,$B64,'Shortlisted Drugs X Company (7)'!$E$3:$E$698,$AA64,'Shortlisted Drugs X Company (7)'!$N$3:$N$698,"&gt;=0")</f>
        <v>1</v>
      </c>
      <c r="AF64" s="22" t="n">
        <f aca="false">COUNTIFS('Shortlisted Drugs X Company (7)'!$C$3:$C$698,$B64,'Shortlisted Drugs X Company (7)'!$E$3:$E$698,$AA64,'Shortlisted Drugs X Company (7)'!$N$3:$N$698,"&gt;5")</f>
        <v>1</v>
      </c>
      <c r="AG64" s="22" t="n">
        <f aca="false">COUNTIFS('Shortlisted Drugs X Company (7)'!$C$3:$C$698,$B64,'Shortlisted Drugs X Company (7)'!$E$3:$E$698,$AA64,'Shortlisted Drugs X Company (7)'!$P$3:$P$698,"Exact")+COUNTIFS('Shortlisted Drugs X Company (7)'!$C$3:$C$698,$B64,'Shortlisted Drugs X Company (7)'!$E$3:$E$698,$AA64,'Shortlisted Drugs X Company (7)'!$P$3:$P$698,"Same-market proxy")</f>
        <v>1</v>
      </c>
      <c r="AH64" s="22" t="n">
        <f aca="false">INDEX($G$7:$G$25,MATCH(A64,$A$7:$A$25,0))</f>
        <v>2</v>
      </c>
      <c r="AI64" s="79" t="str">
        <f aca="false">IF(OR(Q64="No",LEFT(H64,7)="IV only"),"",AH64*1000+IF(F64="",900+COUNTIFS($A$29:A64,A64,$H$29:H64,"Price*"),F64))</f>
        <v/>
      </c>
      <c r="AJ64" s="79" t="str">
        <f aca="false">IF(H64&lt;&gt;"","",(4-VALUE(RIGHT(E64,1)))*10^7+N(O64))</f>
        <v/>
      </c>
      <c r="AK64" s="79" t="str">
        <f aca="false">IF(AND(H64="",ISNUMBER(I64)),I64,"")</f>
        <v/>
      </c>
      <c r="AL64" s="79" t="str">
        <f aca="false">IF(H64="",M64,"")</f>
        <v/>
      </c>
    </row>
    <row r="65" customFormat="false" ht="55.2" hidden="false" customHeight="false" outlineLevel="0" collapsed="false">
      <c r="A65" s="16" t="s">
        <v>229</v>
      </c>
      <c r="B65" s="16" t="s">
        <v>299</v>
      </c>
      <c r="C65" s="17" t="s">
        <v>495</v>
      </c>
      <c r="D65" s="17" t="s">
        <v>301</v>
      </c>
      <c r="E65" s="15" t="str">
        <f aca="false">IF(H65&lt;&gt;"",IF(LEFT(H65,5)="Price","Excluded – price ≤ USD 5","Excluded – IV only"),IF(ISNUMBER(I65),IF(AND(I65&gt;=$C$3,M65&gt;=$E$3),"Priority 1",IF(OR(I65&gt;=$C$3,M65&gt;=$E$3),"Priority 2","Priority 3")),IF(M65&gt;=$E$3,"Priority 2","Priority 3")))</f>
        <v>Priority 2</v>
      </c>
      <c r="F65" s="15" t="n">
        <f aca="false">IF(H65&lt;&gt;"","",COUNTIFS($A$29:$A$361,A65,$H$29:$H$361,"",$AJ$29:$AJ$361,"&gt;"&amp;AJ65)+COUNTIFS($A$29:A65,A65,$H$29:H65,"",$AJ$29:AJ65,AJ65))</f>
        <v>11</v>
      </c>
      <c r="G65" s="17" t="str">
        <f aca="false">IF(H65&lt;&gt;"","",IF(ISNUMBER(I65),IF(I65&gt;=$C$3,"High price","Lower price"),"No price")&amp;", "&amp;IF(M65&gt;=$E$3,"high volume","lower volume"))</f>
        <v>Lower price, high volume</v>
      </c>
      <c r="H65" s="17" t="str">
        <f aca="false">IF(Q65="No","IV only (no ID, IM or SC route)",IF(AND(AE65&gt;0,AF65=0),"Price ≤ USD 5",""))</f>
        <v/>
      </c>
      <c r="I65" s="18" t="n">
        <f aca="false">IF(AF65&gt;0,ROUND(AVERAGEIFS('Shortlisted Drugs X Company (7)'!$N$3:$N$698,'Shortlisted Drugs X Company (7)'!$C$3:$C$698,$B65,'Shortlisted Drugs X Company (7)'!$E$3:$E$698,$AA65,'Shortlisted Drugs X Company (7)'!$N$3:$N$698,"&gt;5"),2),"")</f>
        <v>9.81</v>
      </c>
      <c r="J65" s="17" t="str">
        <f aca="false">IF(COUNTIFS('Shortlisted Drugs X Company (7)'!$C$3:$C$698,$B65,'Shortlisted Drugs X Company (7)'!$E$3:$E$698,$AA65,'Shortlisted Drugs X Company (7)'!$P$3:$P$698,"Exact")&gt;0,"Exact",IF(COUNTIFS('Shortlisted Drugs X Company (7)'!$C$3:$C$698,$B65,'Shortlisted Drugs X Company (7)'!$E$3:$E$698,$AA65,'Shortlisted Drugs X Company (7)'!$P$3:$P$698,"Same-market proxy")&gt;0,"Same-market proxy",IF(COUNTIFS('Shortlisted Drugs X Company (7)'!$C$3:$C$698,$B65,'Shortlisted Drugs X Company (7)'!$E$3:$E$698,$AA65,'Shortlisted Drugs X Company (7)'!$P$3:$P$698,"Cross-market proxy")&gt;0,"Cross-market proxy",IF(COUNTIFS('Shortlisted Drugs X Company (7)'!$C$3:$C$698,$B65,'Shortlisted Drugs X Company (7)'!$E$3:$E$698,$AA65,'Shortlisted Drugs X Company (7)'!$P$3:$P$698,"Source not found")&gt;0,"Source not found","No price found"))))</f>
        <v>Same-market proxy</v>
      </c>
      <c r="K65" s="19" t="n">
        <f aca="false">IFERROR(INDEX('Injectable Value'!$AB$28:$AB$178,MATCH(B65,'Injectable Value'!$A$28:$A$178,0)),"")</f>
        <v>1282</v>
      </c>
      <c r="L65" s="77" t="n">
        <f aca="false">IFERROR(INDEX('Injectable Value'!$Z$28:$Z$178,MATCH(B65,'Injectable Value'!$A$28:$A$178,0)),"")</f>
        <v>0.776857437207773</v>
      </c>
      <c r="M65" s="19" t="n">
        <f aca="false">IFERROR(INDEX('Injectable Value'!$AC$28:$AC$178,MATCH(B65,'Injectable Value'!$A$28:$A$178,0)),"")</f>
        <v>996</v>
      </c>
      <c r="N65" s="19" t="n">
        <f aca="false">IFERROR(INDEX('Injectable Value'!$C$28:$C$178,MATCH(B65,'Injectable Value'!$A$28:$A$178,0)),"")</f>
        <v>16792.84</v>
      </c>
      <c r="O65" s="19" t="n">
        <f aca="false">IFERROR(ROUND(INDEX('Injectable Value'!$AA$28:$AA$178,MATCH(B65,'Injectable Value'!$A$28:$A$178,0)),1),"")</f>
        <v>13045.6</v>
      </c>
      <c r="P65" s="16" t="str">
        <f aca="false">IFERROR(INDEX('Route of Administration'!$C$5:$C$155,MATCH(B65,'Route of Administration'!$A$5:$A$155,0)),"")</f>
        <v>IV, IM, SC</v>
      </c>
      <c r="Q65" s="15" t="str">
        <f aca="false">IFERROR(INDEX('Route of Administration'!$D$5:$D$155,MATCH(B65,'Route of Administration'!$A$5:$A$155,0)),"")</f>
        <v>Yes</v>
      </c>
      <c r="R65" s="16" t="s">
        <v>281</v>
      </c>
      <c r="S65" s="17" t="s">
        <v>496</v>
      </c>
      <c r="T65" s="16" t="s">
        <v>283</v>
      </c>
      <c r="U65" s="17" t="str">
        <f aca="false">"Cancer drug (cytotoxic) – less relevant"&amp;IF(AE65=0,"; No price found","")&amp;IF(AND(AE65&gt;0,AF65=0,AG65=0),"; Low price comes from another market – confirm with the company","")</f>
        <v>Cancer drug (cytotoxic) – less relevant</v>
      </c>
      <c r="V65" s="17" t="s">
        <v>284</v>
      </c>
      <c r="W65" s="15" t="n">
        <v>1</v>
      </c>
      <c r="X65" s="17" t="s">
        <v>284</v>
      </c>
      <c r="Y65" s="17" t="s">
        <v>284</v>
      </c>
      <c r="Z65" s="17" t="s">
        <v>286</v>
      </c>
      <c r="AA65" s="16" t="s">
        <v>322</v>
      </c>
      <c r="AB65" s="78" t="s">
        <v>303</v>
      </c>
      <c r="AC65" s="20" t="n">
        <f aca="false">IF(AE65&gt;0,ROUND(AVERAGEIFS('Shortlisted Drugs X Company (7)'!$N$3:$N$698,'Shortlisted Drugs X Company (7)'!$C$3:$C$698,$B65,'Shortlisted Drugs X Company (7)'!$E$3:$E$698,$AA65,'Shortlisted Drugs X Company (7)'!$N$3:$N$698,"&gt;=0"),2),"")</f>
        <v>9.81</v>
      </c>
      <c r="AD65" s="79" t="str">
        <f aca="false">B65&amp;"|"&amp;AA65</f>
        <v>Methotrexate|Aurobindo Pharma</v>
      </c>
      <c r="AE65" s="22" t="n">
        <f aca="false">COUNTIFS('Shortlisted Drugs X Company (7)'!$C$3:$C$698,$B65,'Shortlisted Drugs X Company (7)'!$E$3:$E$698,$AA65,'Shortlisted Drugs X Company (7)'!$N$3:$N$698,"&gt;=0")</f>
        <v>3</v>
      </c>
      <c r="AF65" s="22" t="n">
        <f aca="false">COUNTIFS('Shortlisted Drugs X Company (7)'!$C$3:$C$698,$B65,'Shortlisted Drugs X Company (7)'!$E$3:$E$698,$AA65,'Shortlisted Drugs X Company (7)'!$N$3:$N$698,"&gt;5")</f>
        <v>3</v>
      </c>
      <c r="AG65" s="22" t="n">
        <f aca="false">COUNTIFS('Shortlisted Drugs X Company (7)'!$C$3:$C$698,$B65,'Shortlisted Drugs X Company (7)'!$E$3:$E$698,$AA65,'Shortlisted Drugs X Company (7)'!$P$3:$P$698,"Exact")+COUNTIFS('Shortlisted Drugs X Company (7)'!$C$3:$C$698,$B65,'Shortlisted Drugs X Company (7)'!$E$3:$E$698,$AA65,'Shortlisted Drugs X Company (7)'!$P$3:$P$698,"Same-market proxy")</f>
        <v>3</v>
      </c>
      <c r="AH65" s="22" t="n">
        <f aca="false">INDEX($G$7:$G$25,MATCH(A65,$A$7:$A$25,0))</f>
        <v>2</v>
      </c>
      <c r="AI65" s="79" t="n">
        <f aca="false">IF(OR(Q65="No",LEFT(H65,7)="IV only"),"",AH65*1000+IF(F65="",900+COUNTIFS($A$29:A65,A65,$H$29:H65,"Price*"),F65))</f>
        <v>2011</v>
      </c>
      <c r="AJ65" s="79" t="n">
        <f aca="false">IF(H65&lt;&gt;"","",(4-VALUE(RIGHT(E65,1)))*10^7+N(O65))</f>
        <v>20013045.6</v>
      </c>
      <c r="AK65" s="20" t="n">
        <f aca="false">IF(AND(H65="",ISNUMBER(I65)),I65,"")</f>
        <v>9.81</v>
      </c>
      <c r="AL65" s="21" t="n">
        <f aca="false">IF(H65="",M65,"")</f>
        <v>996</v>
      </c>
    </row>
    <row r="66" customFormat="false" ht="41.75" hidden="false" customHeight="false" outlineLevel="0" collapsed="false">
      <c r="A66" s="16" t="s">
        <v>229</v>
      </c>
      <c r="B66" s="16" t="s">
        <v>497</v>
      </c>
      <c r="C66" s="17" t="s">
        <v>497</v>
      </c>
      <c r="D66" s="17" t="s">
        <v>498</v>
      </c>
      <c r="E66" s="15" t="str">
        <f aca="false">IF(H66&lt;&gt;"",IF(LEFT(H66,5)="Price","Excluded – price ≤ USD 5","Excluded – IV only"),IF(ISNUMBER(I66),IF(AND(I66&gt;=$C$3,M66&gt;=$E$3),"Priority 1",IF(OR(I66&gt;=$C$3,M66&gt;=$E$3),"Priority 2","Priority 3")),IF(M66&gt;=$E$3,"Priority 2","Priority 3")))</f>
        <v>Priority 3</v>
      </c>
      <c r="F66" s="15" t="n">
        <f aca="false">IF(H66&lt;&gt;"","",COUNTIFS($A$29:$A$361,A66,$H$29:$H$361,"",$AJ$29:$AJ$361,"&gt;"&amp;AJ66)+COUNTIFS($A$29:A66,A66,$H$29:H66,"",$AJ$29:AJ66,AJ66))</f>
        <v>20</v>
      </c>
      <c r="G66" s="17" t="str">
        <f aca="false">IF(H66&lt;&gt;"","",IF(ISNUMBER(I66),IF(I66&gt;=$C$3,"High price","Lower price"),"No price")&amp;", "&amp;IF(M66&gt;=$E$3,"high volume","lower volume"))</f>
        <v>Lower price, lower volume</v>
      </c>
      <c r="H66" s="17" t="str">
        <f aca="false">IF(Q66="No","IV only (no ID, IM or SC route)",IF(AND(AE66&gt;0,AF66=0),"Price ≤ USD 5",""))</f>
        <v/>
      </c>
      <c r="I66" s="18" t="n">
        <f aca="false">IF(AF66&gt;0,ROUND(AVERAGEIFS('Shortlisted Drugs X Company (7)'!$N$3:$N$698,'Shortlisted Drugs X Company (7)'!$C$3:$C$698,$B66,'Shortlisted Drugs X Company (7)'!$E$3:$E$698,$AA66,'Shortlisted Drugs X Company (7)'!$N$3:$N$698,"&gt;5"),2),"")</f>
        <v>9.84</v>
      </c>
      <c r="J66" s="17" t="str">
        <f aca="false">IF(COUNTIFS('Shortlisted Drugs X Company (7)'!$C$3:$C$698,$B66,'Shortlisted Drugs X Company (7)'!$E$3:$E$698,$AA66,'Shortlisted Drugs X Company (7)'!$P$3:$P$698,"Exact")&gt;0,"Exact",IF(COUNTIFS('Shortlisted Drugs X Company (7)'!$C$3:$C$698,$B66,'Shortlisted Drugs X Company (7)'!$E$3:$E$698,$AA66,'Shortlisted Drugs X Company (7)'!$P$3:$P$698,"Same-market proxy")&gt;0,"Same-market proxy",IF(COUNTIFS('Shortlisted Drugs X Company (7)'!$C$3:$C$698,$B66,'Shortlisted Drugs X Company (7)'!$E$3:$E$698,$AA66,'Shortlisted Drugs X Company (7)'!$P$3:$P$698,"Cross-market proxy")&gt;0,"Cross-market proxy",IF(COUNTIFS('Shortlisted Drugs X Company (7)'!$C$3:$C$698,$B66,'Shortlisted Drugs X Company (7)'!$E$3:$E$698,$AA66,'Shortlisted Drugs X Company (7)'!$P$3:$P$698,"Source not found")&gt;0,"Source not found","No price found"))))</f>
        <v>Same-market proxy</v>
      </c>
      <c r="K66" s="19" t="n">
        <f aca="false">IFERROR(INDEX('Injectable Value'!$AB$28:$AB$178,MATCH(B66,'Injectable Value'!$A$28:$A$178,0)),"")</f>
        <v>81</v>
      </c>
      <c r="L66" s="77" t="n">
        <f aca="false">IFERROR(INDEX('Injectable Value'!$Z$28:$Z$178,MATCH(B66,'Injectable Value'!$A$28:$A$178,0)),"")</f>
        <v>1</v>
      </c>
      <c r="M66" s="19" t="n">
        <f aca="false">IFERROR(INDEX('Injectable Value'!$AC$28:$AC$178,MATCH(B66,'Injectable Value'!$A$28:$A$178,0)),"")</f>
        <v>81</v>
      </c>
      <c r="N66" s="19" t="n">
        <f aca="false">IFERROR(INDEX('Injectable Value'!$C$28:$C$178,MATCH(B66,'Injectable Value'!$A$28:$A$178,0)),"")</f>
        <v>4745.88</v>
      </c>
      <c r="O66" s="19" t="n">
        <f aca="false">IFERROR(ROUND(INDEX('Injectable Value'!$AA$28:$AA$178,MATCH(B66,'Injectable Value'!$A$28:$A$178,0)),1),"")</f>
        <v>4745.9</v>
      </c>
      <c r="P66" s="16" t="str">
        <f aca="false">IFERROR(INDEX('Route of Administration'!$C$5:$C$155,MATCH(B66,'Route of Administration'!$A$5:$A$155,0)),"")</f>
        <v>IM</v>
      </c>
      <c r="Q66" s="15" t="str">
        <f aca="false">IFERROR(INDEX('Route of Administration'!$D$5:$D$155,MATCH(B66,'Route of Administration'!$A$5:$A$155,0)),"")</f>
        <v>Yes</v>
      </c>
      <c r="R66" s="16" t="s">
        <v>281</v>
      </c>
      <c r="S66" s="17" t="s">
        <v>499</v>
      </c>
      <c r="T66" s="16" t="s">
        <v>333</v>
      </c>
      <c r="U66" s="17" t="str">
        <f aca="false">"Reconstitution"&amp;IF(AE66=0,"; No price found","")&amp;IF(AND(AE66&gt;0,AF66=0,AG66=0),"; Low price comes from another market – confirm with the company","")</f>
        <v>Reconstitution</v>
      </c>
      <c r="V66" s="17" t="s">
        <v>284</v>
      </c>
      <c r="W66" s="15" t="n">
        <v>1</v>
      </c>
      <c r="X66" s="17" t="s">
        <v>284</v>
      </c>
      <c r="Y66" s="17" t="s">
        <v>284</v>
      </c>
      <c r="Z66" s="17" t="s">
        <v>321</v>
      </c>
      <c r="AA66" s="16" t="s">
        <v>322</v>
      </c>
      <c r="AB66" s="78" t="s">
        <v>500</v>
      </c>
      <c r="AC66" s="20" t="n">
        <f aca="false">IF(AE66&gt;0,ROUND(AVERAGEIFS('Shortlisted Drugs X Company (7)'!$N$3:$N$698,'Shortlisted Drugs X Company (7)'!$C$3:$C$698,$B66,'Shortlisted Drugs X Company (7)'!$E$3:$E$698,$AA66,'Shortlisted Drugs X Company (7)'!$N$3:$N$698,"&gt;=0"),2),"")</f>
        <v>7.38</v>
      </c>
      <c r="AD66" s="79" t="str">
        <f aca="false">B66&amp;"|"&amp;AA66</f>
        <v>Methylprednisolone Acetate|Aurobindo Pharma</v>
      </c>
      <c r="AE66" s="22" t="n">
        <f aca="false">COUNTIFS('Shortlisted Drugs X Company (7)'!$C$3:$C$698,$B66,'Shortlisted Drugs X Company (7)'!$E$3:$E$698,$AA66,'Shortlisted Drugs X Company (7)'!$N$3:$N$698,"&gt;=0")</f>
        <v>2</v>
      </c>
      <c r="AF66" s="22" t="n">
        <f aca="false">COUNTIFS('Shortlisted Drugs X Company (7)'!$C$3:$C$698,$B66,'Shortlisted Drugs X Company (7)'!$E$3:$E$698,$AA66,'Shortlisted Drugs X Company (7)'!$N$3:$N$698,"&gt;5")</f>
        <v>1</v>
      </c>
      <c r="AG66" s="22" t="n">
        <f aca="false">COUNTIFS('Shortlisted Drugs X Company (7)'!$C$3:$C$698,$B66,'Shortlisted Drugs X Company (7)'!$E$3:$E$698,$AA66,'Shortlisted Drugs X Company (7)'!$P$3:$P$698,"Exact")+COUNTIFS('Shortlisted Drugs X Company (7)'!$C$3:$C$698,$B66,'Shortlisted Drugs X Company (7)'!$E$3:$E$698,$AA66,'Shortlisted Drugs X Company (7)'!$P$3:$P$698,"Same-market proxy")</f>
        <v>2</v>
      </c>
      <c r="AH66" s="22" t="n">
        <f aca="false">INDEX($G$7:$G$25,MATCH(A66,$A$7:$A$25,0))</f>
        <v>2</v>
      </c>
      <c r="AI66" s="79" t="n">
        <f aca="false">IF(OR(Q66="No",LEFT(H66,7)="IV only"),"",AH66*1000+IF(F66="",900+COUNTIFS($A$29:A66,A66,$H$29:H66,"Price*"),F66))</f>
        <v>2020</v>
      </c>
      <c r="AJ66" s="79" t="n">
        <f aca="false">IF(H66&lt;&gt;"","",(4-VALUE(RIGHT(E66,1)))*10^7+N(O66))</f>
        <v>10004745.9</v>
      </c>
      <c r="AK66" s="20" t="n">
        <f aca="false">IF(AND(H66="",ISNUMBER(I66)),I66,"")</f>
        <v>9.84</v>
      </c>
      <c r="AL66" s="21" t="n">
        <f aca="false">IF(H66="",M66,"")</f>
        <v>81</v>
      </c>
    </row>
    <row r="67" customFormat="false" ht="28.35" hidden="false" customHeight="false" outlineLevel="0" collapsed="false">
      <c r="A67" s="16" t="s">
        <v>229</v>
      </c>
      <c r="B67" s="16" t="s">
        <v>501</v>
      </c>
      <c r="C67" s="17" t="s">
        <v>502</v>
      </c>
      <c r="D67" s="17" t="s">
        <v>503</v>
      </c>
      <c r="E67" s="15" t="str">
        <f aca="false">IF(H67&lt;&gt;"",IF(LEFT(H67,5)="Price","Excluded – price ≤ USD 5","Excluded – IV only"),IF(ISNUMBER(I67),IF(AND(I67&gt;=$C$3,M67&gt;=$E$3),"Priority 1",IF(OR(I67&gt;=$C$3,M67&gt;=$E$3),"Priority 2","Priority 3")),IF(M67&gt;=$E$3,"Priority 2","Priority 3")))</f>
        <v>Excluded – IV only</v>
      </c>
      <c r="F67" s="15" t="str">
        <f aca="false">IF(H67&lt;&gt;"","",COUNTIFS($A$29:$A$361,A67,$H$29:$H$361,"",$AJ$29:$AJ$361,"&gt;"&amp;AJ67)+COUNTIFS($A$29:A67,A67,$H$29:H67,"",$AJ$29:AJ67,AJ67))</f>
        <v/>
      </c>
      <c r="G67" s="17" t="str">
        <f aca="false">IF(H67&lt;&gt;"","",IF(ISNUMBER(I67),IF(I67&gt;=$C$3,"High price","Lower price"),"No price")&amp;", "&amp;IF(M67&gt;=$E$3,"high volume","lower volume"))</f>
        <v/>
      </c>
      <c r="H67" s="17" t="str">
        <f aca="false">IF(Q67="No","IV only (no ID, IM or SC route)",IF(AND(AE67&gt;0,AF67=0),"Price ≤ USD 5",""))</f>
        <v>IV only (no ID, IM or SC route)</v>
      </c>
      <c r="I67" s="18" t="n">
        <f aca="false">IF(AF67&gt;0,ROUND(AVERAGEIFS('Shortlisted Drugs X Company (7)'!$N$3:$N$698,'Shortlisted Drugs X Company (7)'!$C$3:$C$698,$B67,'Shortlisted Drugs X Company (7)'!$E$3:$E$698,$AA67,'Shortlisted Drugs X Company (7)'!$N$3:$N$698,"&gt;5"),2),"")</f>
        <v>55.89</v>
      </c>
      <c r="J67" s="17" t="str">
        <f aca="false">IF(COUNTIFS('Shortlisted Drugs X Company (7)'!$C$3:$C$698,$B67,'Shortlisted Drugs X Company (7)'!$E$3:$E$698,$AA67,'Shortlisted Drugs X Company (7)'!$P$3:$P$698,"Exact")&gt;0,"Exact",IF(COUNTIFS('Shortlisted Drugs X Company (7)'!$C$3:$C$698,$B67,'Shortlisted Drugs X Company (7)'!$E$3:$E$698,$AA67,'Shortlisted Drugs X Company (7)'!$P$3:$P$698,"Same-market proxy")&gt;0,"Same-market proxy",IF(COUNTIFS('Shortlisted Drugs X Company (7)'!$C$3:$C$698,$B67,'Shortlisted Drugs X Company (7)'!$E$3:$E$698,$AA67,'Shortlisted Drugs X Company (7)'!$P$3:$P$698,"Cross-market proxy")&gt;0,"Cross-market proxy",IF(COUNTIFS('Shortlisted Drugs X Company (7)'!$C$3:$C$698,$B67,'Shortlisted Drugs X Company (7)'!$E$3:$E$698,$AA67,'Shortlisted Drugs X Company (7)'!$P$3:$P$698,"Source not found")&gt;0,"Source not found","No price found"))))</f>
        <v>Cross-market proxy</v>
      </c>
      <c r="K67" s="19" t="n">
        <f aca="false">IFERROR(INDEX('Injectable Value'!$AB$28:$AB$178,MATCH(B67,'Injectable Value'!$A$28:$A$178,0)),"")</f>
        <v>544</v>
      </c>
      <c r="L67" s="77" t="n">
        <f aca="false">IFERROR(INDEX('Injectable Value'!$Z$28:$Z$178,MATCH(B67,'Injectable Value'!$A$28:$A$178,0)),"")</f>
        <v>0.882348668280872</v>
      </c>
      <c r="M67" s="19" t="n">
        <f aca="false">IFERROR(INDEX('Injectable Value'!$AC$28:$AC$178,MATCH(B67,'Injectable Value'!$A$28:$A$178,0)),"")</f>
        <v>480</v>
      </c>
      <c r="N67" s="19" t="n">
        <f aca="false">IFERROR(INDEX('Injectable Value'!$C$28:$C$178,MATCH(B67,'Injectable Value'!$A$28:$A$178,0)),"")</f>
        <v>7654.85</v>
      </c>
      <c r="O67" s="19" t="n">
        <f aca="false">IFERROR(ROUND(INDEX('Injectable Value'!$AA$28:$AA$178,MATCH(B67,'Injectable Value'!$A$28:$A$178,0)),1),"")</f>
        <v>6754.2</v>
      </c>
      <c r="P67" s="16" t="str">
        <f aca="false">IFERROR(INDEX('Route of Administration'!$C$5:$C$155,MATCH(B67,'Route of Administration'!$A$5:$A$155,0)),"")</f>
        <v>IV</v>
      </c>
      <c r="Q67" s="15" t="str">
        <f aca="false">IFERROR(INDEX('Route of Administration'!$D$5:$D$155,MATCH(B67,'Route of Administration'!$A$5:$A$155,0)),"")</f>
        <v>No</v>
      </c>
      <c r="R67" s="16" t="s">
        <v>281</v>
      </c>
      <c r="S67" s="17" t="s">
        <v>504</v>
      </c>
      <c r="T67" s="16" t="s">
        <v>333</v>
      </c>
      <c r="U67" s="17" t="str">
        <f aca="false">"Cancer drug (cytotoxic) – less relevant; Reconstitution"&amp;IF(AE67=0,"; No price found","")&amp;IF(AND(AE67&gt;0,AF67=0,AG67=0),"; Low price comes from another market – confirm with the company","")</f>
        <v>Cancer drug (cytotoxic) – less relevant; Reconstitution</v>
      </c>
      <c r="V67" s="17" t="s">
        <v>112</v>
      </c>
      <c r="W67" s="15" t="n">
        <v>2</v>
      </c>
      <c r="X67" s="17" t="s">
        <v>505</v>
      </c>
      <c r="Y67" s="17" t="s">
        <v>505</v>
      </c>
      <c r="Z67" s="17" t="s">
        <v>321</v>
      </c>
      <c r="AA67" s="16" t="s">
        <v>322</v>
      </c>
      <c r="AB67" s="78" t="s">
        <v>506</v>
      </c>
      <c r="AC67" s="20" t="n">
        <f aca="false">IF(AE67&gt;0,ROUND(AVERAGEIFS('Shortlisted Drugs X Company (7)'!$N$3:$N$698,'Shortlisted Drugs X Company (7)'!$C$3:$C$698,$B67,'Shortlisted Drugs X Company (7)'!$E$3:$E$698,$AA67,'Shortlisted Drugs X Company (7)'!$N$3:$N$698,"&gt;=0"),2),"")</f>
        <v>55.89</v>
      </c>
      <c r="AD67" s="79" t="str">
        <f aca="false">B67&amp;"|"&amp;AA67</f>
        <v>Mitomycin|Aurobindo Pharma</v>
      </c>
      <c r="AE67" s="22" t="n">
        <f aca="false">COUNTIFS('Shortlisted Drugs X Company (7)'!$C$3:$C$698,$B67,'Shortlisted Drugs X Company (7)'!$E$3:$E$698,$AA67,'Shortlisted Drugs X Company (7)'!$N$3:$N$698,"&gt;=0")</f>
        <v>1</v>
      </c>
      <c r="AF67" s="22" t="n">
        <f aca="false">COUNTIFS('Shortlisted Drugs X Company (7)'!$C$3:$C$698,$B67,'Shortlisted Drugs X Company (7)'!$E$3:$E$698,$AA67,'Shortlisted Drugs X Company (7)'!$N$3:$N$698,"&gt;5")</f>
        <v>1</v>
      </c>
      <c r="AG67" s="22" t="n">
        <f aca="false">COUNTIFS('Shortlisted Drugs X Company (7)'!$C$3:$C$698,$B67,'Shortlisted Drugs X Company (7)'!$E$3:$E$698,$AA67,'Shortlisted Drugs X Company (7)'!$P$3:$P$698,"Exact")+COUNTIFS('Shortlisted Drugs X Company (7)'!$C$3:$C$698,$B67,'Shortlisted Drugs X Company (7)'!$E$3:$E$698,$AA67,'Shortlisted Drugs X Company (7)'!$P$3:$P$698,"Same-market proxy")</f>
        <v>0</v>
      </c>
      <c r="AH67" s="22" t="n">
        <f aca="false">INDEX($G$7:$G$25,MATCH(A67,$A$7:$A$25,0))</f>
        <v>2</v>
      </c>
      <c r="AI67" s="79" t="str">
        <f aca="false">IF(OR(Q67="No",LEFT(H67,7)="IV only"),"",AH67*1000+IF(F67="",900+COUNTIFS($A$29:A67,A67,$H$29:H67,"Price*"),F67))</f>
        <v/>
      </c>
      <c r="AJ67" s="79" t="str">
        <f aca="false">IF(H67&lt;&gt;"","",(4-VALUE(RIGHT(E67,1)))*10^7+N(O67))</f>
        <v/>
      </c>
      <c r="AK67" s="79" t="str">
        <f aca="false">IF(AND(H67="",ISNUMBER(I67)),I67,"")</f>
        <v/>
      </c>
      <c r="AL67" s="79" t="str">
        <f aca="false">IF(H67="",M67,"")</f>
        <v/>
      </c>
    </row>
    <row r="68" customFormat="false" ht="28.35" hidden="false" customHeight="false" outlineLevel="0" collapsed="false">
      <c r="A68" s="16" t="s">
        <v>229</v>
      </c>
      <c r="B68" s="16" t="s">
        <v>507</v>
      </c>
      <c r="C68" s="17" t="s">
        <v>508</v>
      </c>
      <c r="D68" s="17" t="s">
        <v>509</v>
      </c>
      <c r="E68" s="15" t="str">
        <f aca="false">IF(H68&lt;&gt;"",IF(LEFT(H68,5)="Price","Excluded – price ≤ USD 5","Excluded – IV only"),IF(ISNUMBER(I68),IF(AND(I68&gt;=$C$3,M68&gt;=$E$3),"Priority 1",IF(OR(I68&gt;=$C$3,M68&gt;=$E$3),"Priority 2","Priority 3")),IF(M68&gt;=$E$3,"Priority 2","Priority 3")))</f>
        <v>Priority 3</v>
      </c>
      <c r="F68" s="15" t="n">
        <f aca="false">IF(H68&lt;&gt;"","",COUNTIFS($A$29:$A$361,A68,$H$29:$H$361,"",$AJ$29:$AJ$361,"&gt;"&amp;AJ68)+COUNTIFS($A$29:A68,A68,$H$29:H68,"",$AJ$29:AJ68,AJ68))</f>
        <v>25</v>
      </c>
      <c r="G68" s="17" t="str">
        <f aca="false">IF(H68&lt;&gt;"","",IF(ISNUMBER(I68),IF(I68&gt;=$C$3,"High price","Lower price"),"No price")&amp;", "&amp;IF(M68&gt;=$E$3,"high volume","lower volume"))</f>
        <v>Lower price, lower volume</v>
      </c>
      <c r="H68" s="17" t="str">
        <f aca="false">IF(Q68="No","IV only (no ID, IM or SC route)",IF(AND(AE68&gt;0,AF68=0),"Price ≤ USD 5",""))</f>
        <v/>
      </c>
      <c r="I68" s="18" t="n">
        <f aca="false">IF(AF68&gt;0,ROUND(AVERAGEIFS('Shortlisted Drugs X Company (7)'!$N$3:$N$698,'Shortlisted Drugs X Company (7)'!$C$3:$C$698,$B68,'Shortlisted Drugs X Company (7)'!$E$3:$E$698,$AA68,'Shortlisted Drugs X Company (7)'!$N$3:$N$698,"&gt;5"),2),"")</f>
        <v>7.41</v>
      </c>
      <c r="J68" s="17" t="str">
        <f aca="false">IF(COUNTIFS('Shortlisted Drugs X Company (7)'!$C$3:$C$698,$B68,'Shortlisted Drugs X Company (7)'!$E$3:$E$698,$AA68,'Shortlisted Drugs X Company (7)'!$P$3:$P$698,"Exact")&gt;0,"Exact",IF(COUNTIFS('Shortlisted Drugs X Company (7)'!$C$3:$C$698,$B68,'Shortlisted Drugs X Company (7)'!$E$3:$E$698,$AA68,'Shortlisted Drugs X Company (7)'!$P$3:$P$698,"Same-market proxy")&gt;0,"Same-market proxy",IF(COUNTIFS('Shortlisted Drugs X Company (7)'!$C$3:$C$698,$B68,'Shortlisted Drugs X Company (7)'!$E$3:$E$698,$AA68,'Shortlisted Drugs X Company (7)'!$P$3:$P$698,"Cross-market proxy")&gt;0,"Cross-market proxy",IF(COUNTIFS('Shortlisted Drugs X Company (7)'!$C$3:$C$698,$B68,'Shortlisted Drugs X Company (7)'!$E$3:$E$698,$AA68,'Shortlisted Drugs X Company (7)'!$P$3:$P$698,"Source not found")&gt;0,"Source not found","No price found"))))</f>
        <v>Same-market proxy</v>
      </c>
      <c r="K68" s="19" t="n">
        <f aca="false">IFERROR(INDEX('Injectable Value'!$AB$28:$AB$178,MATCH(B68,'Injectable Value'!$A$28:$A$178,0)),"")</f>
        <v>4</v>
      </c>
      <c r="L68" s="77" t="n">
        <f aca="false">IFERROR(INDEX('Injectable Value'!$Z$28:$Z$178,MATCH(B68,'Injectable Value'!$A$28:$A$178,0)),"")</f>
        <v>1</v>
      </c>
      <c r="M68" s="19" t="n">
        <f aca="false">IFERROR(INDEX('Injectable Value'!$AC$28:$AC$178,MATCH(B68,'Injectable Value'!$A$28:$A$178,0)),"")</f>
        <v>4</v>
      </c>
      <c r="N68" s="19" t="n">
        <f aca="false">IFERROR(INDEX('Injectable Value'!$C$28:$C$178,MATCH(B68,'Injectable Value'!$A$28:$A$178,0)),"")</f>
        <v>570.1</v>
      </c>
      <c r="O68" s="19" t="n">
        <f aca="false">IFERROR(ROUND(INDEX('Injectable Value'!$AA$28:$AA$178,MATCH(B68,'Injectable Value'!$A$28:$A$178,0)),1),"")</f>
        <v>570.1</v>
      </c>
      <c r="P68" s="16" t="str">
        <f aca="false">IFERROR(INDEX('Route of Administration'!$C$5:$C$155,MATCH(B68,'Route of Administration'!$A$5:$A$155,0)),"")</f>
        <v>IV, IM</v>
      </c>
      <c r="Q68" s="15" t="str">
        <f aca="false">IFERROR(INDEX('Route of Administration'!$D$5:$D$155,MATCH(B68,'Route of Administration'!$A$5:$A$155,0)),"")</f>
        <v>Yes</v>
      </c>
      <c r="R68" s="16" t="s">
        <v>281</v>
      </c>
      <c r="S68" s="17" t="s">
        <v>510</v>
      </c>
      <c r="T68" s="16" t="s">
        <v>333</v>
      </c>
      <c r="U68" s="17" t="str">
        <f aca="false">"Reconstitution"&amp;IF(AE68=0,"; No price found","")&amp;IF(AND(AE68&gt;0,AF68=0,AG68=0),"; Low price comes from another market – confirm with the company","")</f>
        <v>Reconstitution</v>
      </c>
      <c r="V68" s="17" t="s">
        <v>284</v>
      </c>
      <c r="W68" s="15" t="n">
        <v>1</v>
      </c>
      <c r="X68" s="17" t="s">
        <v>284</v>
      </c>
      <c r="Y68" s="17" t="s">
        <v>284</v>
      </c>
      <c r="Z68" s="17" t="s">
        <v>321</v>
      </c>
      <c r="AA68" s="16" t="s">
        <v>322</v>
      </c>
      <c r="AB68" s="78" t="s">
        <v>511</v>
      </c>
      <c r="AC68" s="20" t="n">
        <f aca="false">IF(AE68&gt;0,ROUND(AVERAGEIFS('Shortlisted Drugs X Company (7)'!$N$3:$N$698,'Shortlisted Drugs X Company (7)'!$C$3:$C$698,$B68,'Shortlisted Drugs X Company (7)'!$E$3:$E$698,$AA68,'Shortlisted Drugs X Company (7)'!$N$3:$N$698,"&gt;=0"),2),"")</f>
        <v>7.41</v>
      </c>
      <c r="AD68" s="79" t="str">
        <f aca="false">B68&amp;"|"&amp;AA68</f>
        <v>Nafcillin|Aurobindo Pharma</v>
      </c>
      <c r="AE68" s="22" t="n">
        <f aca="false">COUNTIFS('Shortlisted Drugs X Company (7)'!$C$3:$C$698,$B68,'Shortlisted Drugs X Company (7)'!$E$3:$E$698,$AA68,'Shortlisted Drugs X Company (7)'!$N$3:$N$698,"&gt;=0")</f>
        <v>2</v>
      </c>
      <c r="AF68" s="22" t="n">
        <f aca="false">COUNTIFS('Shortlisted Drugs X Company (7)'!$C$3:$C$698,$B68,'Shortlisted Drugs X Company (7)'!$E$3:$E$698,$AA68,'Shortlisted Drugs X Company (7)'!$N$3:$N$698,"&gt;5")</f>
        <v>2</v>
      </c>
      <c r="AG68" s="22" t="n">
        <f aca="false">COUNTIFS('Shortlisted Drugs X Company (7)'!$C$3:$C$698,$B68,'Shortlisted Drugs X Company (7)'!$E$3:$E$698,$AA68,'Shortlisted Drugs X Company (7)'!$P$3:$P$698,"Exact")+COUNTIFS('Shortlisted Drugs X Company (7)'!$C$3:$C$698,$B68,'Shortlisted Drugs X Company (7)'!$E$3:$E$698,$AA68,'Shortlisted Drugs X Company (7)'!$P$3:$P$698,"Same-market proxy")</f>
        <v>2</v>
      </c>
      <c r="AH68" s="22" t="n">
        <f aca="false">INDEX($G$7:$G$25,MATCH(A68,$A$7:$A$25,0))</f>
        <v>2</v>
      </c>
      <c r="AI68" s="79" t="n">
        <f aca="false">IF(OR(Q68="No",LEFT(H68,7)="IV only"),"",AH68*1000+IF(F68="",900+COUNTIFS($A$29:A68,A68,$H$29:H68,"Price*"),F68))</f>
        <v>2025</v>
      </c>
      <c r="AJ68" s="79" t="n">
        <f aca="false">IF(H68&lt;&gt;"","",(4-VALUE(RIGHT(E68,1)))*10^7+N(O68))</f>
        <v>10000570.1</v>
      </c>
      <c r="AK68" s="20" t="n">
        <f aca="false">IF(AND(H68="",ISNUMBER(I68)),I68,"")</f>
        <v>7.41</v>
      </c>
      <c r="AL68" s="21" t="n">
        <f aca="false">IF(H68="",M68,"")</f>
        <v>4</v>
      </c>
    </row>
    <row r="69" customFormat="false" ht="28.35" hidden="false" customHeight="false" outlineLevel="0" collapsed="false">
      <c r="A69" s="16" t="s">
        <v>229</v>
      </c>
      <c r="B69" s="16" t="s">
        <v>75</v>
      </c>
      <c r="C69" s="17" t="s">
        <v>512</v>
      </c>
      <c r="D69" s="17" t="s">
        <v>513</v>
      </c>
      <c r="E69" s="15" t="str">
        <f aca="false">IF(H69&lt;&gt;"",IF(LEFT(H69,5)="Price","Excluded – price ≤ USD 5","Excluded – IV only"),IF(ISNUMBER(I69),IF(AND(I69&gt;=$C$3,M69&gt;=$E$3),"Priority 1",IF(OR(I69&gt;=$C$3,M69&gt;=$E$3),"Priority 2","Priority 3")),IF(M69&gt;=$E$3,"Priority 2","Priority 3")))</f>
        <v>Priority 2</v>
      </c>
      <c r="F69" s="15" t="n">
        <f aca="false">IF(H69&lt;&gt;"","",COUNTIFS($A$29:$A$361,A69,$H$29:$H$361,"",$AJ$29:$AJ$361,"&gt;"&amp;AJ69)+COUNTIFS($A$29:A69,A69,$H$29:H69,"",$AJ$29:AJ69,AJ69))</f>
        <v>19</v>
      </c>
      <c r="G69" s="17" t="str">
        <f aca="false">IF(H69&lt;&gt;"","",IF(ISNUMBER(I69),IF(I69&gt;=$C$3,"High price","Lower price"),"No price")&amp;", "&amp;IF(M69&gt;=$E$3,"high volume","lower volume"))</f>
        <v>High price, lower volume</v>
      </c>
      <c r="H69" s="17" t="str">
        <f aca="false">IF(Q69="No","IV only (no ID, IM or SC route)",IF(AND(AE69&gt;0,AF69=0),"Price ≤ USD 5",""))</f>
        <v/>
      </c>
      <c r="I69" s="18" t="n">
        <f aca="false">IF(AF69&gt;0,ROUND(AVERAGEIFS('Shortlisted Drugs X Company (7)'!$N$3:$N$698,'Shortlisted Drugs X Company (7)'!$C$3:$C$698,$B69,'Shortlisted Drugs X Company (7)'!$E$3:$E$698,$AA69,'Shortlisted Drugs X Company (7)'!$N$3:$N$698,"&gt;5"),2),"")</f>
        <v>51.32</v>
      </c>
      <c r="J69" s="17" t="str">
        <f aca="false">IF(COUNTIFS('Shortlisted Drugs X Company (7)'!$C$3:$C$698,$B69,'Shortlisted Drugs X Company (7)'!$E$3:$E$698,$AA69,'Shortlisted Drugs X Company (7)'!$P$3:$P$698,"Exact")&gt;0,"Exact",IF(COUNTIFS('Shortlisted Drugs X Company (7)'!$C$3:$C$698,$B69,'Shortlisted Drugs X Company (7)'!$E$3:$E$698,$AA69,'Shortlisted Drugs X Company (7)'!$P$3:$P$698,"Same-market proxy")&gt;0,"Same-market proxy",IF(COUNTIFS('Shortlisted Drugs X Company (7)'!$C$3:$C$698,$B69,'Shortlisted Drugs X Company (7)'!$E$3:$E$698,$AA69,'Shortlisted Drugs X Company (7)'!$P$3:$P$698,"Cross-market proxy")&gt;0,"Cross-market proxy",IF(COUNTIFS('Shortlisted Drugs X Company (7)'!$C$3:$C$698,$B69,'Shortlisted Drugs X Company (7)'!$E$3:$E$698,$AA69,'Shortlisted Drugs X Company (7)'!$P$3:$P$698,"Source not found")&gt;0,"Source not found","No price found"))))</f>
        <v>Same-market proxy</v>
      </c>
      <c r="K69" s="19" t="n">
        <f aca="false">IFERROR(INDEX('Injectable Value'!$AB$28:$AB$178,MATCH(B69,'Injectable Value'!$A$28:$A$178,0)),"")</f>
        <v>365</v>
      </c>
      <c r="L69" s="77" t="n">
        <f aca="false">IFERROR(INDEX('Injectable Value'!$Z$28:$Z$178,MATCH(B69,'Injectable Value'!$A$28:$A$178,0)),"")</f>
        <v>0.240571827983426</v>
      </c>
      <c r="M69" s="19" t="n">
        <f aca="false">IFERROR(INDEX('Injectable Value'!$AC$28:$AC$178,MATCH(B69,'Injectable Value'!$A$28:$A$178,0)),"")</f>
        <v>88</v>
      </c>
      <c r="N69" s="19" t="n">
        <f aca="false">IFERROR(INDEX('Injectable Value'!$C$28:$C$178,MATCH(B69,'Injectable Value'!$A$28:$A$178,0)),"")</f>
        <v>5976.94</v>
      </c>
      <c r="O69" s="19" t="n">
        <f aca="false">IFERROR(ROUND(INDEX('Injectable Value'!$AA$28:$AA$178,MATCH(B69,'Injectable Value'!$A$28:$A$178,0)),1),"")</f>
        <v>1437.9</v>
      </c>
      <c r="P69" s="16" t="str">
        <f aca="false">IFERROR(INDEX('Route of Administration'!$C$5:$C$155,MATCH(B69,'Route of Administration'!$A$5:$A$155,0)),"")</f>
        <v>IV, IM, SC</v>
      </c>
      <c r="Q69" s="15" t="str">
        <f aca="false">IFERROR(INDEX('Route of Administration'!$D$5:$D$155,MATCH(B69,'Route of Administration'!$A$5:$A$155,0)),"")</f>
        <v>Yes</v>
      </c>
      <c r="R69" s="16" t="s">
        <v>473</v>
      </c>
      <c r="S69" s="17" t="s">
        <v>514</v>
      </c>
      <c r="T69" s="16" t="s">
        <v>283</v>
      </c>
      <c r="U69" s="17" t="str">
        <f aca="false">""&amp;IF(AE69=0,"No price found","")&amp;IF(AND(AE69&gt;0,AF69=0,AG69=0),"Low price comes from another market – confirm with the company","")</f>
        <v/>
      </c>
      <c r="V69" s="17" t="s">
        <v>515</v>
      </c>
      <c r="W69" s="15" t="n">
        <v>2</v>
      </c>
      <c r="X69" s="17" t="s">
        <v>516</v>
      </c>
      <c r="Y69" s="17" t="s">
        <v>516</v>
      </c>
      <c r="Z69" s="17" t="s">
        <v>286</v>
      </c>
      <c r="AA69" s="16" t="s">
        <v>322</v>
      </c>
      <c r="AB69" s="78" t="s">
        <v>517</v>
      </c>
      <c r="AC69" s="20" t="n">
        <f aca="false">IF(AE69&gt;0,ROUND(AVERAGEIFS('Shortlisted Drugs X Company (7)'!$N$3:$N$698,'Shortlisted Drugs X Company (7)'!$C$3:$C$698,$B69,'Shortlisted Drugs X Company (7)'!$E$3:$E$698,$AA69,'Shortlisted Drugs X Company (7)'!$N$3:$N$698,"&gt;=0"),2),"")</f>
        <v>51.32</v>
      </c>
      <c r="AD69" s="79" t="str">
        <f aca="false">B69&amp;"|"&amp;AA69</f>
        <v>Naloxone|Aurobindo Pharma</v>
      </c>
      <c r="AE69" s="22" t="n">
        <f aca="false">COUNTIFS('Shortlisted Drugs X Company (7)'!$C$3:$C$698,$B69,'Shortlisted Drugs X Company (7)'!$E$3:$E$698,$AA69,'Shortlisted Drugs X Company (7)'!$N$3:$N$698,"&gt;=0")</f>
        <v>2</v>
      </c>
      <c r="AF69" s="22" t="n">
        <f aca="false">COUNTIFS('Shortlisted Drugs X Company (7)'!$C$3:$C$698,$B69,'Shortlisted Drugs X Company (7)'!$E$3:$E$698,$AA69,'Shortlisted Drugs X Company (7)'!$N$3:$N$698,"&gt;5")</f>
        <v>2</v>
      </c>
      <c r="AG69" s="22" t="n">
        <f aca="false">COUNTIFS('Shortlisted Drugs X Company (7)'!$C$3:$C$698,$B69,'Shortlisted Drugs X Company (7)'!$E$3:$E$698,$AA69,'Shortlisted Drugs X Company (7)'!$P$3:$P$698,"Exact")+COUNTIFS('Shortlisted Drugs X Company (7)'!$C$3:$C$698,$B69,'Shortlisted Drugs X Company (7)'!$E$3:$E$698,$AA69,'Shortlisted Drugs X Company (7)'!$P$3:$P$698,"Same-market proxy")</f>
        <v>2</v>
      </c>
      <c r="AH69" s="22" t="n">
        <f aca="false">INDEX($G$7:$G$25,MATCH(A69,$A$7:$A$25,0))</f>
        <v>2</v>
      </c>
      <c r="AI69" s="79" t="n">
        <f aca="false">IF(OR(Q69="No",LEFT(H69,7)="IV only"),"",AH69*1000+IF(F69="",900+COUNTIFS($A$29:A69,A69,$H$29:H69,"Price*"),F69))</f>
        <v>2019</v>
      </c>
      <c r="AJ69" s="79" t="n">
        <f aca="false">IF(H69&lt;&gt;"","",(4-VALUE(RIGHT(E69,1)))*10^7+N(O69))</f>
        <v>20001437.9</v>
      </c>
      <c r="AK69" s="20" t="n">
        <f aca="false">IF(AND(H69="",ISNUMBER(I69)),I69,"")</f>
        <v>51.32</v>
      </c>
      <c r="AL69" s="21" t="n">
        <f aca="false">IF(H69="",M69,"")</f>
        <v>88</v>
      </c>
    </row>
    <row r="70" customFormat="false" ht="41.75" hidden="false" customHeight="false" outlineLevel="0" collapsed="false">
      <c r="A70" s="16" t="s">
        <v>229</v>
      </c>
      <c r="B70" s="16" t="s">
        <v>518</v>
      </c>
      <c r="C70" s="17" t="s">
        <v>519</v>
      </c>
      <c r="D70" s="17" t="s">
        <v>520</v>
      </c>
      <c r="E70" s="15" t="str">
        <f aca="false">IF(H70&lt;&gt;"",IF(LEFT(H70,5)="Price","Excluded – price ≤ USD 5","Excluded – IV only"),IF(ISNUMBER(I70),IF(AND(I70&gt;=$C$3,M70&gt;=$E$3),"Priority 1",IF(OR(I70&gt;=$C$3,M70&gt;=$E$3),"Priority 2","Priority 3")),IF(M70&gt;=$E$3,"Priority 2","Priority 3")))</f>
        <v>Priority 2</v>
      </c>
      <c r="F70" s="15" t="n">
        <f aca="false">IF(H70&lt;&gt;"","",COUNTIFS($A$29:$A$361,A70,$H$29:$H$361,"",$AJ$29:$AJ$361,"&gt;"&amp;AJ70)+COUNTIFS($A$29:A70,A70,$H$29:H70,"",$AJ$29:AJ70,AJ70))</f>
        <v>9</v>
      </c>
      <c r="G70" s="17" t="str">
        <f aca="false">IF(H70&lt;&gt;"","",IF(ISNUMBER(I70),IF(I70&gt;=$C$3,"High price","Lower price"),"No price")&amp;", "&amp;IF(M70&gt;=$E$3,"high volume","lower volume"))</f>
        <v>Lower price, high volume</v>
      </c>
      <c r="H70" s="17" t="str">
        <f aca="false">IF(Q70="No","IV only (no ID, IM or SC route)",IF(AND(AE70&gt;0,AF70=0),"Price ≤ USD 5",""))</f>
        <v/>
      </c>
      <c r="I70" s="18" t="n">
        <f aca="false">IF(AF70&gt;0,ROUND(AVERAGEIFS('Shortlisted Drugs X Company (7)'!$N$3:$N$698,'Shortlisted Drugs X Company (7)'!$C$3:$C$698,$B70,'Shortlisted Drugs X Company (7)'!$E$3:$E$698,$AA70,'Shortlisted Drugs X Company (7)'!$N$3:$N$698,"&gt;5"),2),"")</f>
        <v>9.82</v>
      </c>
      <c r="J70" s="17" t="str">
        <f aca="false">IF(COUNTIFS('Shortlisted Drugs X Company (7)'!$C$3:$C$698,$B70,'Shortlisted Drugs X Company (7)'!$E$3:$E$698,$AA70,'Shortlisted Drugs X Company (7)'!$P$3:$P$698,"Exact")&gt;0,"Exact",IF(COUNTIFS('Shortlisted Drugs X Company (7)'!$C$3:$C$698,$B70,'Shortlisted Drugs X Company (7)'!$E$3:$E$698,$AA70,'Shortlisted Drugs X Company (7)'!$P$3:$P$698,"Same-market proxy")&gt;0,"Same-market proxy",IF(COUNTIFS('Shortlisted Drugs X Company (7)'!$C$3:$C$698,$B70,'Shortlisted Drugs X Company (7)'!$E$3:$E$698,$AA70,'Shortlisted Drugs X Company (7)'!$P$3:$P$698,"Cross-market proxy")&gt;0,"Cross-market proxy",IF(COUNTIFS('Shortlisted Drugs X Company (7)'!$C$3:$C$698,$B70,'Shortlisted Drugs X Company (7)'!$E$3:$E$698,$AA70,'Shortlisted Drugs X Company (7)'!$P$3:$P$698,"Source not found")&gt;0,"Source not found","No price found"))))</f>
        <v>Exact</v>
      </c>
      <c r="K70" s="19" t="n">
        <f aca="false">IFERROR(INDEX('Injectable Value'!$AB$28:$AB$178,MATCH(B70,'Injectable Value'!$A$28:$A$178,0)),"")</f>
        <v>2546</v>
      </c>
      <c r="L70" s="77" t="n">
        <f aca="false">IFERROR(INDEX('Injectable Value'!$Z$28:$Z$178,MATCH(B70,'Injectable Value'!$A$28:$A$178,0)),"")</f>
        <v>0.378228374732698</v>
      </c>
      <c r="M70" s="19" t="n">
        <f aca="false">IFERROR(INDEX('Injectable Value'!$AC$28:$AC$178,MATCH(B70,'Injectable Value'!$A$28:$A$178,0)),"")</f>
        <v>963</v>
      </c>
      <c r="N70" s="19" t="n">
        <f aca="false">IFERROR(INDEX('Injectable Value'!$C$28:$C$178,MATCH(B70,'Injectable Value'!$A$28:$A$178,0)),"")</f>
        <v>46507.62</v>
      </c>
      <c r="O70" s="19" t="n">
        <f aca="false">IFERROR(ROUND(INDEX('Injectable Value'!$AA$28:$AA$178,MATCH(B70,'Injectable Value'!$A$28:$A$178,0)),1),"")</f>
        <v>17590.5</v>
      </c>
      <c r="P70" s="16" t="str">
        <f aca="false">IFERROR(INDEX('Route of Administration'!$C$5:$C$155,MATCH(B70,'Route of Administration'!$A$5:$A$155,0)),"")</f>
        <v>IV, IM</v>
      </c>
      <c r="Q70" s="15" t="str">
        <f aca="false">IFERROR(INDEX('Route of Administration'!$D$5:$D$155,MATCH(B70,'Route of Administration'!$A$5:$A$155,0)),"")</f>
        <v>Yes</v>
      </c>
      <c r="R70" s="16" t="s">
        <v>371</v>
      </c>
      <c r="S70" s="17" t="s">
        <v>521</v>
      </c>
      <c r="T70" s="16" t="s">
        <v>283</v>
      </c>
      <c r="U70" s="17" t="str">
        <f aca="false">""&amp;IF(AE70=0,"No price found","")&amp;IF(AND(AE70&gt;0,AF70=0,AG70=0),"Low price comes from another market – confirm with the company","")</f>
        <v/>
      </c>
      <c r="V70" s="17" t="s">
        <v>522</v>
      </c>
      <c r="W70" s="15" t="n">
        <v>10</v>
      </c>
      <c r="X70" s="17" t="s">
        <v>523</v>
      </c>
      <c r="Y70" s="17" t="s">
        <v>524</v>
      </c>
      <c r="Z70" s="17" t="s">
        <v>286</v>
      </c>
      <c r="AA70" s="16" t="s">
        <v>322</v>
      </c>
      <c r="AB70" s="78" t="s">
        <v>525</v>
      </c>
      <c r="AC70" s="20" t="n">
        <f aca="false">IF(AE70&gt;0,ROUND(AVERAGEIFS('Shortlisted Drugs X Company (7)'!$N$3:$N$698,'Shortlisted Drugs X Company (7)'!$C$3:$C$698,$B70,'Shortlisted Drugs X Company (7)'!$E$3:$E$698,$AA70,'Shortlisted Drugs X Company (7)'!$N$3:$N$698,"&gt;=0"),2),"")</f>
        <v>9.82</v>
      </c>
      <c r="AD70" s="79" t="str">
        <f aca="false">B70&amp;"|"&amp;AA70</f>
        <v>Ondansetron|Aurobindo Pharma</v>
      </c>
      <c r="AE70" s="22" t="n">
        <f aca="false">COUNTIFS('Shortlisted Drugs X Company (7)'!$C$3:$C$698,$B70,'Shortlisted Drugs X Company (7)'!$E$3:$E$698,$AA70,'Shortlisted Drugs X Company (7)'!$N$3:$N$698,"&gt;=0")</f>
        <v>5</v>
      </c>
      <c r="AF70" s="22" t="n">
        <f aca="false">COUNTIFS('Shortlisted Drugs X Company (7)'!$C$3:$C$698,$B70,'Shortlisted Drugs X Company (7)'!$E$3:$E$698,$AA70,'Shortlisted Drugs X Company (7)'!$N$3:$N$698,"&gt;5")</f>
        <v>5</v>
      </c>
      <c r="AG70" s="22" t="n">
        <f aca="false">COUNTIFS('Shortlisted Drugs X Company (7)'!$C$3:$C$698,$B70,'Shortlisted Drugs X Company (7)'!$E$3:$E$698,$AA70,'Shortlisted Drugs X Company (7)'!$P$3:$P$698,"Exact")+COUNTIFS('Shortlisted Drugs X Company (7)'!$C$3:$C$698,$B70,'Shortlisted Drugs X Company (7)'!$E$3:$E$698,$AA70,'Shortlisted Drugs X Company (7)'!$P$3:$P$698,"Same-market proxy")</f>
        <v>5</v>
      </c>
      <c r="AH70" s="22" t="n">
        <f aca="false">INDEX($G$7:$G$25,MATCH(A70,$A$7:$A$25,0))</f>
        <v>2</v>
      </c>
      <c r="AI70" s="79" t="n">
        <f aca="false">IF(OR(Q70="No",LEFT(H70,7)="IV only"),"",AH70*1000+IF(F70="",900+COUNTIFS($A$29:A70,A70,$H$29:H70,"Price*"),F70))</f>
        <v>2009</v>
      </c>
      <c r="AJ70" s="79" t="n">
        <f aca="false">IF(H70&lt;&gt;"","",(4-VALUE(RIGHT(E70,1)))*10^7+N(O70))</f>
        <v>20017590.5</v>
      </c>
      <c r="AK70" s="20" t="n">
        <f aca="false">IF(AND(H70="",ISNUMBER(I70)),I70,"")</f>
        <v>9.82</v>
      </c>
      <c r="AL70" s="21" t="n">
        <f aca="false">IF(H70="",M70,"")</f>
        <v>963</v>
      </c>
    </row>
    <row r="71" customFormat="false" ht="28.35" hidden="false" customHeight="false" outlineLevel="0" collapsed="false">
      <c r="A71" s="16" t="s">
        <v>229</v>
      </c>
      <c r="B71" s="16" t="s">
        <v>526</v>
      </c>
      <c r="C71" s="17" t="s">
        <v>527</v>
      </c>
      <c r="D71" s="17" t="s">
        <v>509</v>
      </c>
      <c r="E71" s="15" t="str">
        <f aca="false">IF(H71&lt;&gt;"",IF(LEFT(H71,5)="Price","Excluded – price ≤ USD 5","Excluded – IV only"),IF(ISNUMBER(I71),IF(AND(I71&gt;=$C$3,M71&gt;=$E$3),"Priority 1",IF(OR(I71&gt;=$C$3,M71&gt;=$E$3),"Priority 2","Priority 3")),IF(M71&gt;=$E$3,"Priority 2","Priority 3")))</f>
        <v>Priority 3</v>
      </c>
      <c r="F71" s="15" t="n">
        <f aca="false">IF(H71&lt;&gt;"","",COUNTIFS($A$29:$A$361,A71,$H$29:$H$361,"",$AJ$29:$AJ$361,"&gt;"&amp;AJ71)+COUNTIFS($A$29:A71,A71,$H$29:H71,"",$AJ$29:AJ71,AJ71))</f>
        <v>26</v>
      </c>
      <c r="G71" s="17" t="str">
        <f aca="false">IF(H71&lt;&gt;"","",IF(ISNUMBER(I71),IF(I71&gt;=$C$3,"High price","Lower price"),"No price")&amp;", "&amp;IF(M71&gt;=$E$3,"high volume","lower volume"))</f>
        <v>Lower price, lower volume</v>
      </c>
      <c r="H71" s="17" t="str">
        <f aca="false">IF(Q71="No","IV only (no ID, IM or SC route)",IF(AND(AE71&gt;0,AF71=0),"Price ≤ USD 5",""))</f>
        <v/>
      </c>
      <c r="I71" s="18" t="n">
        <f aca="false">IF(AF71&gt;0,ROUND(AVERAGEIFS('Shortlisted Drugs X Company (7)'!$N$3:$N$698,'Shortlisted Drugs X Company (7)'!$C$3:$C$698,$B71,'Shortlisted Drugs X Company (7)'!$E$3:$E$698,$AA71,'Shortlisted Drugs X Company (7)'!$N$3:$N$698,"&gt;5"),2),"")</f>
        <v>10.93</v>
      </c>
      <c r="J71" s="17" t="str">
        <f aca="false">IF(COUNTIFS('Shortlisted Drugs X Company (7)'!$C$3:$C$698,$B71,'Shortlisted Drugs X Company (7)'!$E$3:$E$698,$AA71,'Shortlisted Drugs X Company (7)'!$P$3:$P$698,"Exact")&gt;0,"Exact",IF(COUNTIFS('Shortlisted Drugs X Company (7)'!$C$3:$C$698,$B71,'Shortlisted Drugs X Company (7)'!$E$3:$E$698,$AA71,'Shortlisted Drugs X Company (7)'!$P$3:$P$698,"Same-market proxy")&gt;0,"Same-market proxy",IF(COUNTIFS('Shortlisted Drugs X Company (7)'!$C$3:$C$698,$B71,'Shortlisted Drugs X Company (7)'!$E$3:$E$698,$AA71,'Shortlisted Drugs X Company (7)'!$P$3:$P$698,"Cross-market proxy")&gt;0,"Cross-market proxy",IF(COUNTIFS('Shortlisted Drugs X Company (7)'!$C$3:$C$698,$B71,'Shortlisted Drugs X Company (7)'!$E$3:$E$698,$AA71,'Shortlisted Drugs X Company (7)'!$P$3:$P$698,"Source not found")&gt;0,"Source not found","No price found"))))</f>
        <v>Same-market proxy</v>
      </c>
      <c r="K71" s="19" t="n">
        <f aca="false">IFERROR(INDEX('Injectable Value'!$AB$28:$AB$178,MATCH(B71,'Injectable Value'!$A$28:$A$178,0)),"")</f>
        <v>10</v>
      </c>
      <c r="L71" s="77" t="n">
        <f aca="false">IFERROR(INDEX('Injectable Value'!$Z$28:$Z$178,MATCH(B71,'Injectable Value'!$A$28:$A$178,0)),"")</f>
        <v>0.928571428571429</v>
      </c>
      <c r="M71" s="19" t="n">
        <f aca="false">IFERROR(INDEX('Injectable Value'!$AC$28:$AC$178,MATCH(B71,'Injectable Value'!$A$28:$A$178,0)),"")</f>
        <v>9</v>
      </c>
      <c r="N71" s="19" t="n">
        <f aca="false">IFERROR(INDEX('Injectable Value'!$C$28:$C$178,MATCH(B71,'Injectable Value'!$A$28:$A$178,0)),"")</f>
        <v>280.98</v>
      </c>
      <c r="O71" s="19" t="n">
        <f aca="false">IFERROR(ROUND(INDEX('Injectable Value'!$AA$28:$AA$178,MATCH(B71,'Injectable Value'!$A$28:$A$178,0)),1),"")</f>
        <v>260.9</v>
      </c>
      <c r="P71" s="16" t="str">
        <f aca="false">IFERROR(INDEX('Route of Administration'!$C$5:$C$155,MATCH(B71,'Route of Administration'!$A$5:$A$155,0)),"")</f>
        <v>IV, IM</v>
      </c>
      <c r="Q71" s="15" t="str">
        <f aca="false">IFERROR(INDEX('Route of Administration'!$D$5:$D$155,MATCH(B71,'Route of Administration'!$A$5:$A$155,0)),"")</f>
        <v>Yes</v>
      </c>
      <c r="R71" s="16" t="s">
        <v>281</v>
      </c>
      <c r="S71" s="17" t="s">
        <v>365</v>
      </c>
      <c r="T71" s="16" t="s">
        <v>333</v>
      </c>
      <c r="U71" s="17" t="str">
        <f aca="false">"Reconstitution"&amp;IF(AE71=0,"; No price found","")&amp;IF(AND(AE71&gt;0,AF71=0,AG71=0),"; Low price comes from another market – confirm with the company","")</f>
        <v>Reconstitution</v>
      </c>
      <c r="V71" s="17" t="s">
        <v>284</v>
      </c>
      <c r="W71" s="15" t="n">
        <v>1</v>
      </c>
      <c r="X71" s="17" t="s">
        <v>284</v>
      </c>
      <c r="Y71" s="17" t="s">
        <v>284</v>
      </c>
      <c r="Z71" s="17" t="s">
        <v>321</v>
      </c>
      <c r="AA71" s="16" t="s">
        <v>322</v>
      </c>
      <c r="AB71" s="78" t="s">
        <v>528</v>
      </c>
      <c r="AC71" s="20" t="n">
        <f aca="false">IF(AE71&gt;0,ROUND(AVERAGEIFS('Shortlisted Drugs X Company (7)'!$N$3:$N$698,'Shortlisted Drugs X Company (7)'!$C$3:$C$698,$B71,'Shortlisted Drugs X Company (7)'!$E$3:$E$698,$AA71,'Shortlisted Drugs X Company (7)'!$N$3:$N$698,"&gt;=0"),2),"")</f>
        <v>10.93</v>
      </c>
      <c r="AD71" s="79" t="str">
        <f aca="false">B71&amp;"|"&amp;AA71</f>
        <v>Oxacillin|Aurobindo Pharma</v>
      </c>
      <c r="AE71" s="22" t="n">
        <f aca="false">COUNTIFS('Shortlisted Drugs X Company (7)'!$C$3:$C$698,$B71,'Shortlisted Drugs X Company (7)'!$E$3:$E$698,$AA71,'Shortlisted Drugs X Company (7)'!$N$3:$N$698,"&gt;=0")</f>
        <v>1</v>
      </c>
      <c r="AF71" s="22" t="n">
        <f aca="false">COUNTIFS('Shortlisted Drugs X Company (7)'!$C$3:$C$698,$B71,'Shortlisted Drugs X Company (7)'!$E$3:$E$698,$AA71,'Shortlisted Drugs X Company (7)'!$N$3:$N$698,"&gt;5")</f>
        <v>1</v>
      </c>
      <c r="AG71" s="22" t="n">
        <f aca="false">COUNTIFS('Shortlisted Drugs X Company (7)'!$C$3:$C$698,$B71,'Shortlisted Drugs X Company (7)'!$E$3:$E$698,$AA71,'Shortlisted Drugs X Company (7)'!$P$3:$P$698,"Exact")+COUNTIFS('Shortlisted Drugs X Company (7)'!$C$3:$C$698,$B71,'Shortlisted Drugs X Company (7)'!$E$3:$E$698,$AA71,'Shortlisted Drugs X Company (7)'!$P$3:$P$698,"Same-market proxy")</f>
        <v>1</v>
      </c>
      <c r="AH71" s="22" t="n">
        <f aca="false">INDEX($G$7:$G$25,MATCH(A71,$A$7:$A$25,0))</f>
        <v>2</v>
      </c>
      <c r="AI71" s="79" t="n">
        <f aca="false">IF(OR(Q71="No",LEFT(H71,7)="IV only"),"",AH71*1000+IF(F71="",900+COUNTIFS($A$29:A71,A71,$H$29:H71,"Price*"),F71))</f>
        <v>2026</v>
      </c>
      <c r="AJ71" s="79" t="n">
        <f aca="false">IF(H71&lt;&gt;"","",(4-VALUE(RIGHT(E71,1)))*10^7+N(O71))</f>
        <v>10000260.9</v>
      </c>
      <c r="AK71" s="20" t="n">
        <f aca="false">IF(AND(H71="",ISNUMBER(I71)),I71,"")</f>
        <v>10.93</v>
      </c>
      <c r="AL71" s="21" t="n">
        <f aca="false">IF(H71="",M71,"")</f>
        <v>9</v>
      </c>
    </row>
    <row r="72" customFormat="false" ht="28.35" hidden="false" customHeight="false" outlineLevel="0" collapsed="false">
      <c r="A72" s="16" t="s">
        <v>229</v>
      </c>
      <c r="B72" s="16" t="s">
        <v>529</v>
      </c>
      <c r="C72" s="17" t="s">
        <v>530</v>
      </c>
      <c r="D72" s="17" t="s">
        <v>531</v>
      </c>
      <c r="E72" s="15" t="str">
        <f aca="false">IF(H72&lt;&gt;"",IF(LEFT(H72,5)="Price","Excluded – price ≤ USD 5","Excluded – IV only"),IF(ISNUMBER(I72),IF(AND(I72&gt;=$C$3,M72&gt;=$E$3),"Priority 1",IF(OR(I72&gt;=$C$3,M72&gt;=$E$3),"Priority 2","Priority 3")),IF(M72&gt;=$E$3,"Priority 2","Priority 3")))</f>
        <v>Excluded – IV only</v>
      </c>
      <c r="F72" s="15" t="str">
        <f aca="false">IF(H72&lt;&gt;"","",COUNTIFS($A$29:$A$361,A72,$H$29:$H$361,"",$AJ$29:$AJ$361,"&gt;"&amp;AJ72)+COUNTIFS($A$29:A72,A72,$H$29:H72,"",$AJ$29:AJ72,AJ72))</f>
        <v/>
      </c>
      <c r="G72" s="17" t="str">
        <f aca="false">IF(H72&lt;&gt;"","",IF(ISNUMBER(I72),IF(I72&gt;=$C$3,"High price","Lower price"),"No price")&amp;", "&amp;IF(M72&gt;=$E$3,"high volume","lower volume"))</f>
        <v/>
      </c>
      <c r="H72" s="17" t="str">
        <f aca="false">IF(Q72="No","IV only (no ID, IM or SC route)",IF(AND(AE72&gt;0,AF72=0),"Price ≤ USD 5",""))</f>
        <v>IV only (no ID, IM or SC route)</v>
      </c>
      <c r="I72" s="18" t="n">
        <f aca="false">IF(AF72&gt;0,ROUND(AVERAGEIFS('Shortlisted Drugs X Company (7)'!$N$3:$N$698,'Shortlisted Drugs X Company (7)'!$C$3:$C$698,$B72,'Shortlisted Drugs X Company (7)'!$E$3:$E$698,$AA72,'Shortlisted Drugs X Company (7)'!$N$3:$N$698,"&gt;5"),2),"")</f>
        <v>9.74</v>
      </c>
      <c r="J72" s="17" t="str">
        <f aca="false">IF(COUNTIFS('Shortlisted Drugs X Company (7)'!$C$3:$C$698,$B72,'Shortlisted Drugs X Company (7)'!$E$3:$E$698,$AA72,'Shortlisted Drugs X Company (7)'!$P$3:$P$698,"Exact")&gt;0,"Exact",IF(COUNTIFS('Shortlisted Drugs X Company (7)'!$C$3:$C$698,$B72,'Shortlisted Drugs X Company (7)'!$E$3:$E$698,$AA72,'Shortlisted Drugs X Company (7)'!$P$3:$P$698,"Same-market proxy")&gt;0,"Same-market proxy",IF(COUNTIFS('Shortlisted Drugs X Company (7)'!$C$3:$C$698,$B72,'Shortlisted Drugs X Company (7)'!$E$3:$E$698,$AA72,'Shortlisted Drugs X Company (7)'!$P$3:$P$698,"Cross-market proxy")&gt;0,"Cross-market proxy",IF(COUNTIFS('Shortlisted Drugs X Company (7)'!$C$3:$C$698,$B72,'Shortlisted Drugs X Company (7)'!$E$3:$E$698,$AA72,'Shortlisted Drugs X Company (7)'!$P$3:$P$698,"Source not found")&gt;0,"Source not found","No price found"))))</f>
        <v>Same-market proxy</v>
      </c>
      <c r="K72" s="19" t="n">
        <f aca="false">IFERROR(INDEX('Injectable Value'!$AB$28:$AB$178,MATCH(B72,'Injectable Value'!$A$28:$A$178,0)),"")</f>
        <v>119</v>
      </c>
      <c r="L72" s="77" t="n">
        <f aca="false">IFERROR(INDEX('Injectable Value'!$Z$28:$Z$178,MATCH(B72,'Injectable Value'!$A$28:$A$178,0)),"")</f>
        <v>0.899884259259259</v>
      </c>
      <c r="M72" s="19" t="n">
        <f aca="false">IFERROR(INDEX('Injectable Value'!$AC$28:$AC$178,MATCH(B72,'Injectable Value'!$A$28:$A$178,0)),"")</f>
        <v>107</v>
      </c>
      <c r="N72" s="19" t="n">
        <f aca="false">IFERROR(INDEX('Injectable Value'!$C$28:$C$178,MATCH(B72,'Injectable Value'!$A$28:$A$178,0)),"")</f>
        <v>3113.83</v>
      </c>
      <c r="O72" s="19" t="n">
        <f aca="false">IFERROR(ROUND(INDEX('Injectable Value'!$AA$28:$AA$178,MATCH(B72,'Injectable Value'!$A$28:$A$178,0)),1),"")</f>
        <v>2802.1</v>
      </c>
      <c r="P72" s="16" t="str">
        <f aca="false">IFERROR(INDEX('Route of Administration'!$C$5:$C$155,MATCH(B72,'Route of Administration'!$A$5:$A$155,0)),"")</f>
        <v>IV</v>
      </c>
      <c r="Q72" s="15" t="str">
        <f aca="false">IFERROR(INDEX('Route of Administration'!$D$5:$D$155,MATCH(B72,'Route of Administration'!$A$5:$A$155,0)),"")</f>
        <v>No</v>
      </c>
      <c r="R72" s="16" t="s">
        <v>281</v>
      </c>
      <c r="S72" s="17" t="s">
        <v>532</v>
      </c>
      <c r="T72" s="16" t="s">
        <v>283</v>
      </c>
      <c r="U72" s="17" t="str">
        <f aca="false">""&amp;IF(AE72=0,"No price found","")&amp;IF(AND(AE72&gt;0,AF72=0,AG72=0),"Low price comes from another market – confirm with the company","")</f>
        <v/>
      </c>
      <c r="V72" s="17" t="s">
        <v>284</v>
      </c>
      <c r="W72" s="15" t="n">
        <v>1</v>
      </c>
      <c r="X72" s="17" t="s">
        <v>284</v>
      </c>
      <c r="Y72" s="17" t="s">
        <v>284</v>
      </c>
      <c r="Z72" s="17" t="s">
        <v>286</v>
      </c>
      <c r="AA72" s="16" t="s">
        <v>322</v>
      </c>
      <c r="AB72" s="78" t="s">
        <v>533</v>
      </c>
      <c r="AC72" s="20" t="n">
        <f aca="false">IF(AE72&gt;0,ROUND(AVERAGEIFS('Shortlisted Drugs X Company (7)'!$N$3:$N$698,'Shortlisted Drugs X Company (7)'!$C$3:$C$698,$B72,'Shortlisted Drugs X Company (7)'!$E$3:$E$698,$AA72,'Shortlisted Drugs X Company (7)'!$N$3:$N$698,"&gt;=0"),2),"")</f>
        <v>9.74</v>
      </c>
      <c r="AD72" s="79" t="str">
        <f aca="false">B72&amp;"|"&amp;AA72</f>
        <v>Palonosetron|Aurobindo Pharma</v>
      </c>
      <c r="AE72" s="22" t="n">
        <f aca="false">COUNTIFS('Shortlisted Drugs X Company (7)'!$C$3:$C$698,$B72,'Shortlisted Drugs X Company (7)'!$E$3:$E$698,$AA72,'Shortlisted Drugs X Company (7)'!$N$3:$N$698,"&gt;=0")</f>
        <v>1</v>
      </c>
      <c r="AF72" s="22" t="n">
        <f aca="false">COUNTIFS('Shortlisted Drugs X Company (7)'!$C$3:$C$698,$B72,'Shortlisted Drugs X Company (7)'!$E$3:$E$698,$AA72,'Shortlisted Drugs X Company (7)'!$N$3:$N$698,"&gt;5")</f>
        <v>1</v>
      </c>
      <c r="AG72" s="22" t="n">
        <f aca="false">COUNTIFS('Shortlisted Drugs X Company (7)'!$C$3:$C$698,$B72,'Shortlisted Drugs X Company (7)'!$E$3:$E$698,$AA72,'Shortlisted Drugs X Company (7)'!$P$3:$P$698,"Exact")+COUNTIFS('Shortlisted Drugs X Company (7)'!$C$3:$C$698,$B72,'Shortlisted Drugs X Company (7)'!$E$3:$E$698,$AA72,'Shortlisted Drugs X Company (7)'!$P$3:$P$698,"Same-market proxy")</f>
        <v>1</v>
      </c>
      <c r="AH72" s="22" t="n">
        <f aca="false">INDEX($G$7:$G$25,MATCH(A72,$A$7:$A$25,0))</f>
        <v>2</v>
      </c>
      <c r="AI72" s="79" t="str">
        <f aca="false">IF(OR(Q72="No",LEFT(H72,7)="IV only"),"",AH72*1000+IF(F72="",900+COUNTIFS($A$29:A72,A72,$H$29:H72,"Price*"),F72))</f>
        <v/>
      </c>
      <c r="AJ72" s="79" t="str">
        <f aca="false">IF(H72&lt;&gt;"","",(4-VALUE(RIGHT(E72,1)))*10^7+N(O72))</f>
        <v/>
      </c>
      <c r="AK72" s="79" t="str">
        <f aca="false">IF(AND(H72="",ISNUMBER(I72)),I72,"")</f>
        <v/>
      </c>
      <c r="AL72" s="79" t="str">
        <f aca="false">IF(H72="",M72,"")</f>
        <v/>
      </c>
    </row>
    <row r="73" customFormat="false" ht="41.75" hidden="false" customHeight="false" outlineLevel="0" collapsed="false">
      <c r="A73" s="16" t="s">
        <v>229</v>
      </c>
      <c r="B73" s="16" t="s">
        <v>534</v>
      </c>
      <c r="C73" s="17" t="s">
        <v>534</v>
      </c>
      <c r="D73" s="17" t="s">
        <v>535</v>
      </c>
      <c r="E73" s="15" t="str">
        <f aca="false">IF(H73&lt;&gt;"",IF(LEFT(H73,5)="Price","Excluded – price ≤ USD 5","Excluded – IV only"),IF(ISNUMBER(I73),IF(AND(I73&gt;=$C$3,M73&gt;=$E$3),"Priority 1",IF(OR(I73&gt;=$C$3,M73&gt;=$E$3),"Priority 2","Priority 3")),IF(M73&gt;=$E$3,"Priority 2","Priority 3")))</f>
        <v>Excluded – IV only</v>
      </c>
      <c r="F73" s="15" t="str">
        <f aca="false">IF(H73&lt;&gt;"","",COUNTIFS($A$29:$A$361,A73,$H$29:$H$361,"",$AJ$29:$AJ$361,"&gt;"&amp;AJ73)+COUNTIFS($A$29:A73,A73,$H$29:H73,"",$AJ$29:AJ73,AJ73))</f>
        <v/>
      </c>
      <c r="G73" s="17" t="str">
        <f aca="false">IF(H73&lt;&gt;"","",IF(ISNUMBER(I73),IF(I73&gt;=$C$3,"High price","Lower price"),"No price")&amp;", "&amp;IF(M73&gt;=$E$3,"high volume","lower volume"))</f>
        <v/>
      </c>
      <c r="H73" s="17" t="str">
        <f aca="false">IF(Q73="No","IV only (no ID, IM or SC route)",IF(AND(AE73&gt;0,AF73=0),"Price ≤ USD 5",""))</f>
        <v>IV only (no ID, IM or SC route)</v>
      </c>
      <c r="I73" s="18" t="n">
        <f aca="false">IF(AF73&gt;0,ROUND(AVERAGEIFS('Shortlisted Drugs X Company (7)'!$N$3:$N$698,'Shortlisted Drugs X Company (7)'!$C$3:$C$698,$B73,'Shortlisted Drugs X Company (7)'!$E$3:$E$698,$AA73,'Shortlisted Drugs X Company (7)'!$N$3:$N$698,"&gt;5"),2),"")</f>
        <v>7.7</v>
      </c>
      <c r="J73" s="17" t="str">
        <f aca="false">IF(COUNTIFS('Shortlisted Drugs X Company (7)'!$C$3:$C$698,$B73,'Shortlisted Drugs X Company (7)'!$E$3:$E$698,$AA73,'Shortlisted Drugs X Company (7)'!$P$3:$P$698,"Exact")&gt;0,"Exact",IF(COUNTIFS('Shortlisted Drugs X Company (7)'!$C$3:$C$698,$B73,'Shortlisted Drugs X Company (7)'!$E$3:$E$698,$AA73,'Shortlisted Drugs X Company (7)'!$P$3:$P$698,"Same-market proxy")&gt;0,"Same-market proxy",IF(COUNTIFS('Shortlisted Drugs X Company (7)'!$C$3:$C$698,$B73,'Shortlisted Drugs X Company (7)'!$E$3:$E$698,$AA73,'Shortlisted Drugs X Company (7)'!$P$3:$P$698,"Cross-market proxy")&gt;0,"Cross-market proxy",IF(COUNTIFS('Shortlisted Drugs X Company (7)'!$C$3:$C$698,$B73,'Shortlisted Drugs X Company (7)'!$E$3:$E$698,$AA73,'Shortlisted Drugs X Company (7)'!$P$3:$P$698,"Source not found")&gt;0,"Source not found","No price found"))))</f>
        <v>Exact</v>
      </c>
      <c r="K73" s="19" t="n">
        <f aca="false">IFERROR(INDEX('Injectable Value'!$AB$28:$AB$178,MATCH(B73,'Injectable Value'!$A$28:$A$178,0)),"")</f>
        <v>3515</v>
      </c>
      <c r="L73" s="77" t="n">
        <f aca="false">IFERROR(INDEX('Injectable Value'!$Z$28:$Z$178,MATCH(B73,'Injectable Value'!$A$28:$A$178,0)),"")</f>
        <v>0.251824206147514</v>
      </c>
      <c r="M73" s="19" t="n">
        <f aca="false">IFERROR(INDEX('Injectable Value'!$AC$28:$AC$178,MATCH(B73,'Injectable Value'!$A$28:$A$178,0)),"")</f>
        <v>885</v>
      </c>
      <c r="N73" s="19" t="n">
        <f aca="false">IFERROR(INDEX('Injectable Value'!$C$28:$C$178,MATCH(B73,'Injectable Value'!$A$28:$A$178,0)),"")</f>
        <v>140084.73</v>
      </c>
      <c r="O73" s="19" t="n">
        <f aca="false">IFERROR(ROUND(INDEX('Injectable Value'!$AA$28:$AA$178,MATCH(B73,'Injectable Value'!$A$28:$A$178,0)),1),"")</f>
        <v>35276.7</v>
      </c>
      <c r="P73" s="16" t="str">
        <f aca="false">IFERROR(INDEX('Route of Administration'!$C$5:$C$155,MATCH(B73,'Route of Administration'!$A$5:$A$155,0)),"")</f>
        <v>IV</v>
      </c>
      <c r="Q73" s="15" t="str">
        <f aca="false">IFERROR(INDEX('Route of Administration'!$D$5:$D$155,MATCH(B73,'Route of Administration'!$A$5:$A$155,0)),"")</f>
        <v>No</v>
      </c>
      <c r="R73" s="16" t="s">
        <v>281</v>
      </c>
      <c r="S73" s="17" t="s">
        <v>536</v>
      </c>
      <c r="T73" s="16" t="s">
        <v>283</v>
      </c>
      <c r="U73" s="17" t="str">
        <f aca="false">""&amp;IF(AE73=0,"No price found","")&amp;IF(AND(AE73&gt;0,AF73=0,AG73=0),"Low price comes from another market – confirm with the company","")</f>
        <v/>
      </c>
      <c r="V73" s="17" t="s">
        <v>537</v>
      </c>
      <c r="W73" s="15" t="n">
        <v>11</v>
      </c>
      <c r="X73" s="17" t="s">
        <v>538</v>
      </c>
      <c r="Y73" s="17" t="s">
        <v>539</v>
      </c>
      <c r="Z73" s="17" t="s">
        <v>286</v>
      </c>
      <c r="AA73" s="16" t="s">
        <v>322</v>
      </c>
      <c r="AB73" s="78" t="s">
        <v>540</v>
      </c>
      <c r="AC73" s="20" t="n">
        <f aca="false">IF(AE73&gt;0,ROUND(AVERAGEIFS('Shortlisted Drugs X Company (7)'!$N$3:$N$698,'Shortlisted Drugs X Company (7)'!$C$3:$C$698,$B73,'Shortlisted Drugs X Company (7)'!$E$3:$E$698,$AA73,'Shortlisted Drugs X Company (7)'!$N$3:$N$698,"&gt;=0"),2),"")</f>
        <v>7.7</v>
      </c>
      <c r="AD73" s="79" t="str">
        <f aca="false">B73&amp;"|"&amp;AA73</f>
        <v>Pantoprazole|Aurobindo Pharma</v>
      </c>
      <c r="AE73" s="22" t="n">
        <f aca="false">COUNTIFS('Shortlisted Drugs X Company (7)'!$C$3:$C$698,$B73,'Shortlisted Drugs X Company (7)'!$E$3:$E$698,$AA73,'Shortlisted Drugs X Company (7)'!$N$3:$N$698,"&gt;=0")</f>
        <v>3</v>
      </c>
      <c r="AF73" s="22" t="n">
        <f aca="false">COUNTIFS('Shortlisted Drugs X Company (7)'!$C$3:$C$698,$B73,'Shortlisted Drugs X Company (7)'!$E$3:$E$698,$AA73,'Shortlisted Drugs X Company (7)'!$N$3:$N$698,"&gt;5")</f>
        <v>3</v>
      </c>
      <c r="AG73" s="22" t="n">
        <f aca="false">COUNTIFS('Shortlisted Drugs X Company (7)'!$C$3:$C$698,$B73,'Shortlisted Drugs X Company (7)'!$E$3:$E$698,$AA73,'Shortlisted Drugs X Company (7)'!$P$3:$P$698,"Exact")+COUNTIFS('Shortlisted Drugs X Company (7)'!$C$3:$C$698,$B73,'Shortlisted Drugs X Company (7)'!$E$3:$E$698,$AA73,'Shortlisted Drugs X Company (7)'!$P$3:$P$698,"Same-market proxy")</f>
        <v>3</v>
      </c>
      <c r="AH73" s="22" t="n">
        <f aca="false">INDEX($G$7:$G$25,MATCH(A73,$A$7:$A$25,0))</f>
        <v>2</v>
      </c>
      <c r="AI73" s="79" t="str">
        <f aca="false">IF(OR(Q73="No",LEFT(H73,7)="IV only"),"",AH73*1000+IF(F73="",900+COUNTIFS($A$29:A73,A73,$H$29:H73,"Price*"),F73))</f>
        <v/>
      </c>
      <c r="AJ73" s="79" t="str">
        <f aca="false">IF(H73&lt;&gt;"","",(4-VALUE(RIGHT(E73,1)))*10^7+N(O73))</f>
        <v/>
      </c>
      <c r="AK73" s="79" t="str">
        <f aca="false">IF(AND(H73="",ISNUMBER(I73)),I73,"")</f>
        <v/>
      </c>
      <c r="AL73" s="79" t="str">
        <f aca="false">IF(H73="",M73,"")</f>
        <v/>
      </c>
    </row>
    <row r="74" customFormat="false" ht="41.75" hidden="false" customHeight="false" outlineLevel="0" collapsed="false">
      <c r="A74" s="16" t="s">
        <v>229</v>
      </c>
      <c r="B74" s="16" t="s">
        <v>541</v>
      </c>
      <c r="C74" s="17" t="s">
        <v>542</v>
      </c>
      <c r="D74" s="17" t="s">
        <v>543</v>
      </c>
      <c r="E74" s="15" t="str">
        <f aca="false">IF(H74&lt;&gt;"",IF(LEFT(H74,5)="Price","Excluded – price ≤ USD 5","Excluded – IV only"),IF(ISNUMBER(I74),IF(AND(I74&gt;=$C$3,M74&gt;=$E$3),"Priority 1",IF(OR(I74&gt;=$C$3,M74&gt;=$E$3),"Priority 2","Priority 3")),IF(M74&gt;=$E$3,"Priority 2","Priority 3")))</f>
        <v>Priority 2</v>
      </c>
      <c r="F74" s="15" t="n">
        <f aca="false">IF(H74&lt;&gt;"","",COUNTIFS($A$29:$A$361,A74,$H$29:$H$361,"",$AJ$29:$AJ$361,"&gt;"&amp;AJ74)+COUNTIFS($A$29:A74,A74,$H$29:H74,"",$AJ$29:AJ74,AJ74))</f>
        <v>12</v>
      </c>
      <c r="G74" s="17" t="str">
        <f aca="false">IF(H74&lt;&gt;"","",IF(ISNUMBER(I74),IF(I74&gt;=$C$3,"High price","Lower price"),"No price")&amp;", "&amp;IF(M74&gt;=$E$3,"high volume","lower volume"))</f>
        <v>High price, lower volume</v>
      </c>
      <c r="H74" s="17" t="str">
        <f aca="false">IF(Q74="No","IV only (no ID, IM or SC route)",IF(AND(AE74&gt;0,AF74=0),"Price ≤ USD 5",""))</f>
        <v/>
      </c>
      <c r="I74" s="18" t="n">
        <f aca="false">IF(AF74&gt;0,ROUND(AVERAGEIFS('Shortlisted Drugs X Company (7)'!$N$3:$N$698,'Shortlisted Drugs X Company (7)'!$C$3:$C$698,$B74,'Shortlisted Drugs X Company (7)'!$E$3:$E$698,$AA74,'Shortlisted Drugs X Company (7)'!$N$3:$N$698,"&gt;5"),2),"")</f>
        <v>3710.2</v>
      </c>
      <c r="J74" s="17" t="str">
        <f aca="false">IF(COUNTIFS('Shortlisted Drugs X Company (7)'!$C$3:$C$698,$B74,'Shortlisted Drugs X Company (7)'!$E$3:$E$698,$AA74,'Shortlisted Drugs X Company (7)'!$P$3:$P$698,"Exact")&gt;0,"Exact",IF(COUNTIFS('Shortlisted Drugs X Company (7)'!$C$3:$C$698,$B74,'Shortlisted Drugs X Company (7)'!$E$3:$E$698,$AA74,'Shortlisted Drugs X Company (7)'!$P$3:$P$698,"Same-market proxy")&gt;0,"Same-market proxy",IF(COUNTIFS('Shortlisted Drugs X Company (7)'!$C$3:$C$698,$B74,'Shortlisted Drugs X Company (7)'!$E$3:$E$698,$AA74,'Shortlisted Drugs X Company (7)'!$P$3:$P$698,"Cross-market proxy")&gt;0,"Cross-market proxy",IF(COUNTIFS('Shortlisted Drugs X Company (7)'!$C$3:$C$698,$B74,'Shortlisted Drugs X Company (7)'!$E$3:$E$698,$AA74,'Shortlisted Drugs X Company (7)'!$P$3:$P$698,"Source not found")&gt;0,"Source not found","No price found"))))</f>
        <v>Exact</v>
      </c>
      <c r="K74" s="19" t="n">
        <f aca="false">IFERROR(INDEX('Injectable Value'!$AB$28:$AB$178,MATCH(B74,'Injectable Value'!$A$28:$A$178,0)),"")</f>
        <v>47</v>
      </c>
      <c r="L74" s="77" t="n">
        <f aca="false">IFERROR(INDEX('Injectable Value'!$Z$28:$Z$178,MATCH(B74,'Injectable Value'!$A$28:$A$178,0)),"")</f>
        <v>1</v>
      </c>
      <c r="M74" s="19" t="n">
        <f aca="false">IFERROR(INDEX('Injectable Value'!$AC$28:$AC$178,MATCH(B74,'Injectable Value'!$A$28:$A$178,0)),"")</f>
        <v>47</v>
      </c>
      <c r="N74" s="19" t="n">
        <f aca="false">IFERROR(INDEX('Injectable Value'!$C$28:$C$178,MATCH(B74,'Injectable Value'!$A$28:$A$178,0)),"")</f>
        <v>7904.67</v>
      </c>
      <c r="O74" s="19" t="n">
        <f aca="false">IFERROR(ROUND(INDEX('Injectable Value'!$AA$28:$AA$178,MATCH(B74,'Injectable Value'!$A$28:$A$178,0)),1),"")</f>
        <v>7904.7</v>
      </c>
      <c r="P74" s="16" t="str">
        <f aca="false">IFERROR(INDEX('Route of Administration'!$C$5:$C$155,MATCH(B74,'Route of Administration'!$A$5:$A$155,0)),"")</f>
        <v>SC</v>
      </c>
      <c r="Q74" s="15" t="str">
        <f aca="false">IFERROR(INDEX('Route of Administration'!$D$5:$D$155,MATCH(B74,'Route of Administration'!$A$5:$A$155,0)),"")</f>
        <v>Yes</v>
      </c>
      <c r="R74" s="16" t="s">
        <v>281</v>
      </c>
      <c r="S74" s="17" t="s">
        <v>544</v>
      </c>
      <c r="T74" s="16" t="s">
        <v>283</v>
      </c>
      <c r="U74" s="17" t="str">
        <f aca="false">""&amp;IF(AE74=0,"No price found","")&amp;IF(AND(AE74&gt;0,AF74=0,AG74=0),"Low price comes from another market – confirm with the company","")</f>
        <v/>
      </c>
      <c r="V74" s="17" t="s">
        <v>545</v>
      </c>
      <c r="W74" s="15" t="n">
        <v>10</v>
      </c>
      <c r="X74" s="17" t="s">
        <v>546</v>
      </c>
      <c r="Y74" s="17" t="s">
        <v>546</v>
      </c>
      <c r="Z74" s="17" t="s">
        <v>286</v>
      </c>
      <c r="AA74" s="16" t="s">
        <v>322</v>
      </c>
      <c r="AB74" s="78" t="s">
        <v>547</v>
      </c>
      <c r="AC74" s="20" t="n">
        <f aca="false">IF(AE74&gt;0,ROUND(AVERAGEIFS('Shortlisted Drugs X Company (7)'!$N$3:$N$698,'Shortlisted Drugs X Company (7)'!$C$3:$C$698,$B74,'Shortlisted Drugs X Company (7)'!$E$3:$E$698,$AA74,'Shortlisted Drugs X Company (7)'!$N$3:$N$698,"&gt;=0"),2),"")</f>
        <v>3710.2</v>
      </c>
      <c r="AD74" s="79" t="str">
        <f aca="false">B74&amp;"|"&amp;AA74</f>
        <v>Plerixafor|Aurobindo Pharma</v>
      </c>
      <c r="AE74" s="22" t="n">
        <f aca="false">COUNTIFS('Shortlisted Drugs X Company (7)'!$C$3:$C$698,$B74,'Shortlisted Drugs X Company (7)'!$E$3:$E$698,$AA74,'Shortlisted Drugs X Company (7)'!$N$3:$N$698,"&gt;=0")</f>
        <v>5</v>
      </c>
      <c r="AF74" s="22" t="n">
        <f aca="false">COUNTIFS('Shortlisted Drugs X Company (7)'!$C$3:$C$698,$B74,'Shortlisted Drugs X Company (7)'!$E$3:$E$698,$AA74,'Shortlisted Drugs X Company (7)'!$N$3:$N$698,"&gt;5")</f>
        <v>5</v>
      </c>
      <c r="AG74" s="22" t="n">
        <f aca="false">COUNTIFS('Shortlisted Drugs X Company (7)'!$C$3:$C$698,$B74,'Shortlisted Drugs X Company (7)'!$E$3:$E$698,$AA74,'Shortlisted Drugs X Company (7)'!$P$3:$P$698,"Exact")+COUNTIFS('Shortlisted Drugs X Company (7)'!$C$3:$C$698,$B74,'Shortlisted Drugs X Company (7)'!$E$3:$E$698,$AA74,'Shortlisted Drugs X Company (7)'!$P$3:$P$698,"Same-market proxy")</f>
        <v>5</v>
      </c>
      <c r="AH74" s="22" t="n">
        <f aca="false">INDEX($G$7:$G$25,MATCH(A74,$A$7:$A$25,0))</f>
        <v>2</v>
      </c>
      <c r="AI74" s="79" t="n">
        <f aca="false">IF(OR(Q74="No",LEFT(H74,7)="IV only"),"",AH74*1000+IF(F74="",900+COUNTIFS($A$29:A74,A74,$H$29:H74,"Price*"),F74))</f>
        <v>2012</v>
      </c>
      <c r="AJ74" s="79" t="n">
        <f aca="false">IF(H74&lt;&gt;"","",(4-VALUE(RIGHT(E74,1)))*10^7+N(O74))</f>
        <v>20007904.7</v>
      </c>
      <c r="AK74" s="20" t="n">
        <f aca="false">IF(AND(H74="",ISNUMBER(I74)),I74,"")</f>
        <v>3710.2</v>
      </c>
      <c r="AL74" s="21" t="n">
        <f aca="false">IF(H74="",M74,"")</f>
        <v>47</v>
      </c>
    </row>
    <row r="75" customFormat="false" ht="41.75" hidden="false" customHeight="false" outlineLevel="0" collapsed="false">
      <c r="A75" s="16" t="s">
        <v>229</v>
      </c>
      <c r="B75" s="16" t="s">
        <v>548</v>
      </c>
      <c r="C75" s="17" t="s">
        <v>548</v>
      </c>
      <c r="D75" s="17" t="s">
        <v>549</v>
      </c>
      <c r="E75" s="15" t="str">
        <f aca="false">IF(H75&lt;&gt;"",IF(LEFT(H75,5)="Price","Excluded – price ≤ USD 5","Excluded – IV only"),IF(ISNUMBER(I75),IF(AND(I75&gt;=$C$3,M75&gt;=$E$3),"Priority 1",IF(OR(I75&gt;=$C$3,M75&gt;=$E$3),"Priority 2","Priority 3")),IF(M75&gt;=$E$3,"Priority 2","Priority 3")))</f>
        <v>Priority 3</v>
      </c>
      <c r="F75" s="15" t="n">
        <f aca="false">IF(H75&lt;&gt;"","",COUNTIFS($A$29:$A$361,A75,$H$29:$H$361,"",$AJ$29:$AJ$361,"&gt;"&amp;AJ75)+COUNTIFS($A$29:A75,A75,$H$29:H75,"",$AJ$29:AJ75,AJ75))</f>
        <v>23</v>
      </c>
      <c r="G75" s="17" t="str">
        <f aca="false">IF(H75&lt;&gt;"","",IF(ISNUMBER(I75),IF(I75&gt;=$C$3,"High price","Lower price"),"No price")&amp;", "&amp;IF(M75&gt;=$E$3,"high volume","lower volume"))</f>
        <v>Lower price, lower volume</v>
      </c>
      <c r="H75" s="17" t="str">
        <f aca="false">IF(Q75="No","IV only (no ID, IM or SC route)",IF(AND(AE75&gt;0,AF75=0),"Price ≤ USD 5",""))</f>
        <v/>
      </c>
      <c r="I75" s="18" t="n">
        <f aca="false">IF(AF75&gt;0,ROUND(AVERAGEIFS('Shortlisted Drugs X Company (7)'!$N$3:$N$698,'Shortlisted Drugs X Company (7)'!$C$3:$C$698,$B75,'Shortlisted Drugs X Company (7)'!$E$3:$E$698,$AA75,'Shortlisted Drugs X Company (7)'!$N$3:$N$698,"&gt;5"),2),"")</f>
        <v>22.25</v>
      </c>
      <c r="J75" s="17" t="str">
        <f aca="false">IF(COUNTIFS('Shortlisted Drugs X Company (7)'!$C$3:$C$698,$B75,'Shortlisted Drugs X Company (7)'!$E$3:$E$698,$AA75,'Shortlisted Drugs X Company (7)'!$P$3:$P$698,"Exact")&gt;0,"Exact",IF(COUNTIFS('Shortlisted Drugs X Company (7)'!$C$3:$C$698,$B75,'Shortlisted Drugs X Company (7)'!$E$3:$E$698,$AA75,'Shortlisted Drugs X Company (7)'!$P$3:$P$698,"Same-market proxy")&gt;0,"Same-market proxy",IF(COUNTIFS('Shortlisted Drugs X Company (7)'!$C$3:$C$698,$B75,'Shortlisted Drugs X Company (7)'!$E$3:$E$698,$AA75,'Shortlisted Drugs X Company (7)'!$P$3:$P$698,"Cross-market proxy")&gt;0,"Cross-market proxy",IF(COUNTIFS('Shortlisted Drugs X Company (7)'!$C$3:$C$698,$B75,'Shortlisted Drugs X Company (7)'!$E$3:$E$698,$AA75,'Shortlisted Drugs X Company (7)'!$P$3:$P$698,"Source not found")&gt;0,"Source not found","No price found"))))</f>
        <v>Same-market proxy</v>
      </c>
      <c r="K75" s="19" t="n">
        <f aca="false">IFERROR(INDEX('Injectable Value'!$AB$28:$AB$178,MATCH(B75,'Injectable Value'!$A$28:$A$178,0)),"")</f>
        <v>736</v>
      </c>
      <c r="L75" s="77" t="n">
        <f aca="false">IFERROR(INDEX('Injectable Value'!$Z$28:$Z$178,MATCH(B75,'Injectable Value'!$A$28:$A$178,0)),"")</f>
        <v>0.120198430249293</v>
      </c>
      <c r="M75" s="19" t="n">
        <f aca="false">IFERROR(INDEX('Injectable Value'!$AC$28:$AC$178,MATCH(B75,'Injectable Value'!$A$28:$A$178,0)),"")</f>
        <v>88</v>
      </c>
      <c r="N75" s="19" t="n">
        <f aca="false">IFERROR(INDEX('Injectable Value'!$C$28:$C$178,MATCH(B75,'Injectable Value'!$A$28:$A$178,0)),"")</f>
        <v>22018.81</v>
      </c>
      <c r="O75" s="19" t="n">
        <f aca="false">IFERROR(ROUND(INDEX('Injectable Value'!$AA$28:$AA$178,MATCH(B75,'Injectable Value'!$A$28:$A$178,0)),1),"")</f>
        <v>2646.6</v>
      </c>
      <c r="P75" s="16" t="str">
        <f aca="false">IFERROR(INDEX('Route of Administration'!$C$5:$C$155,MATCH(B75,'Route of Administration'!$A$5:$A$155,0)),"")</f>
        <v>IM</v>
      </c>
      <c r="Q75" s="15" t="str">
        <f aca="false">IFERROR(INDEX('Route of Administration'!$D$5:$D$155,MATCH(B75,'Route of Administration'!$A$5:$A$155,0)),"")</f>
        <v>Yes</v>
      </c>
      <c r="R75" s="16" t="s">
        <v>281</v>
      </c>
      <c r="S75" s="17" t="s">
        <v>550</v>
      </c>
      <c r="T75" s="16" t="s">
        <v>283</v>
      </c>
      <c r="U75" s="17" t="str">
        <f aca="false">""&amp;IF(AE75=0,"No price found","")&amp;IF(AND(AE75&gt;0,AF75=0,AG75=0),"Low price comes from another market – confirm with the company","")</f>
        <v/>
      </c>
      <c r="V75" s="17" t="s">
        <v>284</v>
      </c>
      <c r="W75" s="15" t="n">
        <v>1</v>
      </c>
      <c r="X75" s="17" t="s">
        <v>284</v>
      </c>
      <c r="Y75" s="17" t="s">
        <v>284</v>
      </c>
      <c r="Z75" s="17" t="s">
        <v>321</v>
      </c>
      <c r="AA75" s="16" t="s">
        <v>322</v>
      </c>
      <c r="AB75" s="78" t="s">
        <v>551</v>
      </c>
      <c r="AC75" s="20" t="n">
        <f aca="false">IF(AE75&gt;0,ROUND(AVERAGEIFS('Shortlisted Drugs X Company (7)'!$N$3:$N$698,'Shortlisted Drugs X Company (7)'!$C$3:$C$698,$B75,'Shortlisted Drugs X Company (7)'!$E$3:$E$698,$AA75,'Shortlisted Drugs X Company (7)'!$N$3:$N$698,"&gt;=0"),2),"")</f>
        <v>22.25</v>
      </c>
      <c r="AD75" s="79" t="str">
        <f aca="false">B75&amp;"|"&amp;AA75</f>
        <v>Progesterone|Aurobindo Pharma</v>
      </c>
      <c r="AE75" s="22" t="n">
        <f aca="false">COUNTIFS('Shortlisted Drugs X Company (7)'!$C$3:$C$698,$B75,'Shortlisted Drugs X Company (7)'!$E$3:$E$698,$AA75,'Shortlisted Drugs X Company (7)'!$N$3:$N$698,"&gt;=0")</f>
        <v>1</v>
      </c>
      <c r="AF75" s="22" t="n">
        <f aca="false">COUNTIFS('Shortlisted Drugs X Company (7)'!$C$3:$C$698,$B75,'Shortlisted Drugs X Company (7)'!$E$3:$E$698,$AA75,'Shortlisted Drugs X Company (7)'!$N$3:$N$698,"&gt;5")</f>
        <v>1</v>
      </c>
      <c r="AG75" s="22" t="n">
        <f aca="false">COUNTIFS('Shortlisted Drugs X Company (7)'!$C$3:$C$698,$B75,'Shortlisted Drugs X Company (7)'!$E$3:$E$698,$AA75,'Shortlisted Drugs X Company (7)'!$P$3:$P$698,"Exact")+COUNTIFS('Shortlisted Drugs X Company (7)'!$C$3:$C$698,$B75,'Shortlisted Drugs X Company (7)'!$E$3:$E$698,$AA75,'Shortlisted Drugs X Company (7)'!$P$3:$P$698,"Same-market proxy")</f>
        <v>1</v>
      </c>
      <c r="AH75" s="22" t="n">
        <f aca="false">INDEX($G$7:$G$25,MATCH(A75,$A$7:$A$25,0))</f>
        <v>2</v>
      </c>
      <c r="AI75" s="79" t="n">
        <f aca="false">IF(OR(Q75="No",LEFT(H75,7)="IV only"),"",AH75*1000+IF(F75="",900+COUNTIFS($A$29:A75,A75,$H$29:H75,"Price*"),F75))</f>
        <v>2023</v>
      </c>
      <c r="AJ75" s="79" t="n">
        <f aca="false">IF(H75&lt;&gt;"","",(4-VALUE(RIGHT(E75,1)))*10^7+N(O75))</f>
        <v>10002646.6</v>
      </c>
      <c r="AK75" s="20" t="n">
        <f aca="false">IF(AND(H75="",ISNUMBER(I75)),I75,"")</f>
        <v>22.25</v>
      </c>
      <c r="AL75" s="21" t="n">
        <f aca="false">IF(H75="",M75,"")</f>
        <v>88</v>
      </c>
    </row>
    <row r="76" customFormat="false" ht="28.35" hidden="false" customHeight="false" outlineLevel="0" collapsed="false">
      <c r="A76" s="16" t="s">
        <v>229</v>
      </c>
      <c r="B76" s="16" t="s">
        <v>552</v>
      </c>
      <c r="C76" s="17" t="s">
        <v>552</v>
      </c>
      <c r="D76" s="17" t="s">
        <v>553</v>
      </c>
      <c r="E76" s="15" t="str">
        <f aca="false">IF(H76&lt;&gt;"",IF(LEFT(H76,5)="Price","Excluded – price ≤ USD 5","Excluded – IV only"),IF(ISNUMBER(I76),IF(AND(I76&gt;=$C$3,M76&gt;=$E$3),"Priority 1",IF(OR(I76&gt;=$C$3,M76&gt;=$E$3),"Priority 2","Priority 3")),IF(M76&gt;=$E$3,"Priority 2","Priority 3")))</f>
        <v>Excluded – IV only</v>
      </c>
      <c r="F76" s="15" t="str">
        <f aca="false">IF(H76&lt;&gt;"","",COUNTIFS($A$29:$A$361,A76,$H$29:$H$361,"",$AJ$29:$AJ$361,"&gt;"&amp;AJ76)+COUNTIFS($A$29:A76,A76,$H$29:H76,"",$AJ$29:AJ76,AJ76))</f>
        <v/>
      </c>
      <c r="G76" s="17" t="str">
        <f aca="false">IF(H76&lt;&gt;"","",IF(ISNUMBER(I76),IF(I76&gt;=$C$3,"High price","Lower price"),"No price")&amp;", "&amp;IF(M76&gt;=$E$3,"high volume","lower volume"))</f>
        <v/>
      </c>
      <c r="H76" s="17" t="str">
        <f aca="false">IF(Q76="No","IV only (no ID, IM or SC route)",IF(AND(AE76&gt;0,AF76=0),"Price ≤ USD 5",""))</f>
        <v>IV only (no ID, IM or SC route)</v>
      </c>
      <c r="I76" s="18" t="n">
        <f aca="false">IF(AF76&gt;0,ROUND(AVERAGEIFS('Shortlisted Drugs X Company (7)'!$N$3:$N$698,'Shortlisted Drugs X Company (7)'!$C$3:$C$698,$B76,'Shortlisted Drugs X Company (7)'!$E$3:$E$698,$AA76,'Shortlisted Drugs X Company (7)'!$N$3:$N$698,"&gt;5"),2),"")</f>
        <v>10.03</v>
      </c>
      <c r="J76" s="17" t="str">
        <f aca="false">IF(COUNTIFS('Shortlisted Drugs X Company (7)'!$C$3:$C$698,$B76,'Shortlisted Drugs X Company (7)'!$E$3:$E$698,$AA76,'Shortlisted Drugs X Company (7)'!$P$3:$P$698,"Exact")&gt;0,"Exact",IF(COUNTIFS('Shortlisted Drugs X Company (7)'!$C$3:$C$698,$B76,'Shortlisted Drugs X Company (7)'!$E$3:$E$698,$AA76,'Shortlisted Drugs X Company (7)'!$P$3:$P$698,"Same-market proxy")&gt;0,"Same-market proxy",IF(COUNTIFS('Shortlisted Drugs X Company (7)'!$C$3:$C$698,$B76,'Shortlisted Drugs X Company (7)'!$E$3:$E$698,$AA76,'Shortlisted Drugs X Company (7)'!$P$3:$P$698,"Cross-market proxy")&gt;0,"Cross-market proxy",IF(COUNTIFS('Shortlisted Drugs X Company (7)'!$C$3:$C$698,$B76,'Shortlisted Drugs X Company (7)'!$E$3:$E$698,$AA76,'Shortlisted Drugs X Company (7)'!$P$3:$P$698,"Source not found")&gt;0,"Source not found","No price found"))))</f>
        <v>Same-market proxy</v>
      </c>
      <c r="K76" s="19" t="n">
        <f aca="false">IFERROR(INDEX('Injectable Value'!$AB$28:$AB$178,MATCH(B76,'Injectable Value'!$A$28:$A$178,0)),"")</f>
        <v>9</v>
      </c>
      <c r="L76" s="77" t="n">
        <f aca="false">IFERROR(INDEX('Injectable Value'!$Z$28:$Z$178,MATCH(B76,'Injectable Value'!$A$28:$A$178,0)),"")</f>
        <v>1</v>
      </c>
      <c r="M76" s="19" t="n">
        <f aca="false">IFERROR(INDEX('Injectable Value'!$AC$28:$AC$178,MATCH(B76,'Injectable Value'!$A$28:$A$178,0)),"")</f>
        <v>9</v>
      </c>
      <c r="N76" s="19" t="n">
        <f aca="false">IFERROR(INDEX('Injectable Value'!$C$28:$C$178,MATCH(B76,'Injectable Value'!$A$28:$A$178,0)),"")</f>
        <v>1127.64</v>
      </c>
      <c r="O76" s="19" t="n">
        <f aca="false">IFERROR(ROUND(INDEX('Injectable Value'!$AA$28:$AA$178,MATCH(B76,'Injectable Value'!$A$28:$A$178,0)),1),"")</f>
        <v>1127.6</v>
      </c>
      <c r="P76" s="16" t="str">
        <f aca="false">IFERROR(INDEX('Route of Administration'!$C$5:$C$155,MATCH(B76,'Route of Administration'!$A$5:$A$155,0)),"")</f>
        <v>IV</v>
      </c>
      <c r="Q76" s="15" t="str">
        <f aca="false">IFERROR(INDEX('Route of Administration'!$D$5:$D$155,MATCH(B76,'Route of Administration'!$A$5:$A$155,0)),"")</f>
        <v>No</v>
      </c>
      <c r="R76" s="16" t="s">
        <v>291</v>
      </c>
      <c r="S76" s="17" t="s">
        <v>554</v>
      </c>
      <c r="T76" s="16" t="s">
        <v>283</v>
      </c>
      <c r="U76" s="17" t="str">
        <f aca="false">"Prefilled only"&amp;IF(AE76=0,"; No price found","")&amp;IF(AND(AE76&gt;0,AF76=0,AG76=0),"; Low price comes from another market – confirm with the company","")</f>
        <v>Prefilled only</v>
      </c>
      <c r="V76" s="17" t="s">
        <v>284</v>
      </c>
      <c r="W76" s="15" t="n">
        <v>1</v>
      </c>
      <c r="X76" s="17" t="s">
        <v>284</v>
      </c>
      <c r="Y76" s="17" t="s">
        <v>284</v>
      </c>
      <c r="Z76" s="17" t="s">
        <v>293</v>
      </c>
      <c r="AA76" s="16" t="s">
        <v>322</v>
      </c>
      <c r="AB76" s="78" t="s">
        <v>555</v>
      </c>
      <c r="AC76" s="20" t="n">
        <f aca="false">IF(AE76&gt;0,ROUND(AVERAGEIFS('Shortlisted Drugs X Company (7)'!$N$3:$N$698,'Shortlisted Drugs X Company (7)'!$C$3:$C$698,$B76,'Shortlisted Drugs X Company (7)'!$E$3:$E$698,$AA76,'Shortlisted Drugs X Company (7)'!$N$3:$N$698,"&gt;=0"),2),"")</f>
        <v>10.03</v>
      </c>
      <c r="AD76" s="79" t="str">
        <f aca="false">B76&amp;"|"&amp;AA76</f>
        <v>Regadenoson|Aurobindo Pharma</v>
      </c>
      <c r="AE76" s="22" t="n">
        <f aca="false">COUNTIFS('Shortlisted Drugs X Company (7)'!$C$3:$C$698,$B76,'Shortlisted Drugs X Company (7)'!$E$3:$E$698,$AA76,'Shortlisted Drugs X Company (7)'!$N$3:$N$698,"&gt;=0")</f>
        <v>1</v>
      </c>
      <c r="AF76" s="22" t="n">
        <f aca="false">COUNTIFS('Shortlisted Drugs X Company (7)'!$C$3:$C$698,$B76,'Shortlisted Drugs X Company (7)'!$E$3:$E$698,$AA76,'Shortlisted Drugs X Company (7)'!$N$3:$N$698,"&gt;5")</f>
        <v>1</v>
      </c>
      <c r="AG76" s="22" t="n">
        <f aca="false">COUNTIFS('Shortlisted Drugs X Company (7)'!$C$3:$C$698,$B76,'Shortlisted Drugs X Company (7)'!$E$3:$E$698,$AA76,'Shortlisted Drugs X Company (7)'!$P$3:$P$698,"Exact")+COUNTIFS('Shortlisted Drugs X Company (7)'!$C$3:$C$698,$B76,'Shortlisted Drugs X Company (7)'!$E$3:$E$698,$AA76,'Shortlisted Drugs X Company (7)'!$P$3:$P$698,"Same-market proxy")</f>
        <v>1</v>
      </c>
      <c r="AH76" s="22" t="n">
        <f aca="false">INDEX($G$7:$G$25,MATCH(A76,$A$7:$A$25,0))</f>
        <v>2</v>
      </c>
      <c r="AI76" s="79" t="str">
        <f aca="false">IF(OR(Q76="No",LEFT(H76,7)="IV only"),"",AH76*1000+IF(F76="",900+COUNTIFS($A$29:A76,A76,$H$29:H76,"Price*"),F76))</f>
        <v/>
      </c>
      <c r="AJ76" s="79" t="str">
        <f aca="false">IF(H76&lt;&gt;"","",(4-VALUE(RIGHT(E76,1)))*10^7+N(O76))</f>
        <v/>
      </c>
      <c r="AK76" s="79" t="str">
        <f aca="false">IF(AND(H76="",ISNUMBER(I76)),I76,"")</f>
        <v/>
      </c>
      <c r="AL76" s="79" t="str">
        <f aca="false">IF(H76="",M76,"")</f>
        <v/>
      </c>
    </row>
    <row r="77" customFormat="false" ht="28.35" hidden="false" customHeight="false" outlineLevel="0" collapsed="false">
      <c r="A77" s="16" t="s">
        <v>229</v>
      </c>
      <c r="B77" s="16" t="s">
        <v>556</v>
      </c>
      <c r="C77" s="17" t="s">
        <v>557</v>
      </c>
      <c r="D77" s="17" t="s">
        <v>558</v>
      </c>
      <c r="E77" s="15" t="str">
        <f aca="false">IF(H77&lt;&gt;"",IF(LEFT(H77,5)="Price","Excluded – price ≤ USD 5","Excluded – IV only"),IF(ISNUMBER(I77),IF(AND(I77&gt;=$C$3,M77&gt;=$E$3),"Priority 1",IF(OR(I77&gt;=$C$3,M77&gt;=$E$3),"Priority 2","Priority 3")),IF(M77&gt;=$E$3,"Priority 2","Priority 3")))</f>
        <v>Excluded – IV only</v>
      </c>
      <c r="F77" s="15" t="str">
        <f aca="false">IF(H77&lt;&gt;"","",COUNTIFS($A$29:$A$361,A77,$H$29:$H$361,"",$AJ$29:$AJ$361,"&gt;"&amp;AJ77)+COUNTIFS($A$29:A77,A77,$H$29:H77,"",$AJ$29:AJ77,AJ77))</f>
        <v/>
      </c>
      <c r="G77" s="17" t="str">
        <f aca="false">IF(H77&lt;&gt;"","",IF(ISNUMBER(I77),IF(I77&gt;=$C$3,"High price","Lower price"),"No price")&amp;", "&amp;IF(M77&gt;=$E$3,"high volume","lower volume"))</f>
        <v/>
      </c>
      <c r="H77" s="17" t="str">
        <f aca="false">IF(Q77="No","IV only (no ID, IM or SC route)",IF(AND(AE77&gt;0,AF77=0),"Price ≤ USD 5",""))</f>
        <v>IV only (no ID, IM or SC route)</v>
      </c>
      <c r="I77" s="18" t="n">
        <f aca="false">IF(AF77&gt;0,ROUND(AVERAGEIFS('Shortlisted Drugs X Company (7)'!$N$3:$N$698,'Shortlisted Drugs X Company (7)'!$C$3:$C$698,$B77,'Shortlisted Drugs X Company (7)'!$E$3:$E$698,$AA77,'Shortlisted Drugs X Company (7)'!$N$3:$N$698,"&gt;5"),2),"")</f>
        <v>7.04</v>
      </c>
      <c r="J77" s="17" t="str">
        <f aca="false">IF(COUNTIFS('Shortlisted Drugs X Company (7)'!$C$3:$C$698,$B77,'Shortlisted Drugs X Company (7)'!$E$3:$E$698,$AA77,'Shortlisted Drugs X Company (7)'!$P$3:$P$698,"Exact")&gt;0,"Exact",IF(COUNTIFS('Shortlisted Drugs X Company (7)'!$C$3:$C$698,$B77,'Shortlisted Drugs X Company (7)'!$E$3:$E$698,$AA77,'Shortlisted Drugs X Company (7)'!$P$3:$P$698,"Same-market proxy")&gt;0,"Same-market proxy",IF(COUNTIFS('Shortlisted Drugs X Company (7)'!$C$3:$C$698,$B77,'Shortlisted Drugs X Company (7)'!$E$3:$E$698,$AA77,'Shortlisted Drugs X Company (7)'!$P$3:$P$698,"Cross-market proxy")&gt;0,"Cross-market proxy",IF(COUNTIFS('Shortlisted Drugs X Company (7)'!$C$3:$C$698,$B77,'Shortlisted Drugs X Company (7)'!$E$3:$E$698,$AA77,'Shortlisted Drugs X Company (7)'!$P$3:$P$698,"Source not found")&gt;0,"Source not found","No price found"))))</f>
        <v>Cross-market proxy</v>
      </c>
      <c r="K77" s="19" t="n">
        <f aca="false">IFERROR(INDEX('Injectable Value'!$AB$28:$AB$178,MATCH(B77,'Injectable Value'!$A$28:$A$178,0)),"")</f>
        <v>2</v>
      </c>
      <c r="L77" s="77" t="n">
        <f aca="false">IFERROR(INDEX('Injectable Value'!$Z$28:$Z$178,MATCH(B77,'Injectable Value'!$A$28:$A$178,0)),"")</f>
        <v>0.996078431372549</v>
      </c>
      <c r="M77" s="19" t="n">
        <f aca="false">IFERROR(INDEX('Injectable Value'!$AC$28:$AC$178,MATCH(B77,'Injectable Value'!$A$28:$A$178,0)),"")</f>
        <v>2</v>
      </c>
      <c r="N77" s="19" t="n">
        <f aca="false">IFERROR(INDEX('Injectable Value'!$C$28:$C$178,MATCH(B77,'Injectable Value'!$A$28:$A$178,0)),"")</f>
        <v>71.73</v>
      </c>
      <c r="O77" s="19" t="n">
        <f aca="false">IFERROR(ROUND(INDEX('Injectable Value'!$AA$28:$AA$178,MATCH(B77,'Injectable Value'!$A$28:$A$178,0)),1),"")</f>
        <v>71.4</v>
      </c>
      <c r="P77" s="16" t="str">
        <f aca="false">IFERROR(INDEX('Route of Administration'!$C$5:$C$155,MATCH(B77,'Route of Administration'!$A$5:$A$155,0)),"")</f>
        <v>IV</v>
      </c>
      <c r="Q77" s="15" t="str">
        <f aca="false">IFERROR(INDEX('Route of Administration'!$D$5:$D$155,MATCH(B77,'Route of Administration'!$A$5:$A$155,0)),"")</f>
        <v>No</v>
      </c>
      <c r="R77" s="16" t="s">
        <v>281</v>
      </c>
      <c r="S77" s="17" t="s">
        <v>559</v>
      </c>
      <c r="T77" s="16" t="s">
        <v>333</v>
      </c>
      <c r="U77" s="17" t="str">
        <f aca="false">"Reconstitution"&amp;IF(AE77=0,"; No price found","")&amp;IF(AND(AE77&gt;0,AF77=0,AG77=0),"; Low price comes from another market – confirm with the company","")</f>
        <v>Reconstitution</v>
      </c>
      <c r="V77" s="17" t="s">
        <v>560</v>
      </c>
      <c r="W77" s="15" t="n">
        <v>1</v>
      </c>
      <c r="X77" s="17" t="s">
        <v>561</v>
      </c>
      <c r="Y77" s="17" t="s">
        <v>561</v>
      </c>
      <c r="Z77" s="17" t="s">
        <v>286</v>
      </c>
      <c r="AA77" s="16" t="s">
        <v>322</v>
      </c>
      <c r="AB77" s="78" t="s">
        <v>562</v>
      </c>
      <c r="AC77" s="20" t="n">
        <f aca="false">IF(AE77&gt;0,ROUND(AVERAGEIFS('Shortlisted Drugs X Company (7)'!$N$3:$N$698,'Shortlisted Drugs X Company (7)'!$C$3:$C$698,$B77,'Shortlisted Drugs X Company (7)'!$E$3:$E$698,$AA77,'Shortlisted Drugs X Company (7)'!$N$3:$N$698,"&gt;=0"),2),"")</f>
        <v>7.04</v>
      </c>
      <c r="AD77" s="79" t="str">
        <f aca="false">B77&amp;"|"&amp;AA77</f>
        <v>Remifentanil|Aurobindo Pharma</v>
      </c>
      <c r="AE77" s="22" t="n">
        <f aca="false">COUNTIFS('Shortlisted Drugs X Company (7)'!$C$3:$C$698,$B77,'Shortlisted Drugs X Company (7)'!$E$3:$E$698,$AA77,'Shortlisted Drugs X Company (7)'!$N$3:$N$698,"&gt;=0")</f>
        <v>1</v>
      </c>
      <c r="AF77" s="22" t="n">
        <f aca="false">COUNTIFS('Shortlisted Drugs X Company (7)'!$C$3:$C$698,$B77,'Shortlisted Drugs X Company (7)'!$E$3:$E$698,$AA77,'Shortlisted Drugs X Company (7)'!$N$3:$N$698,"&gt;5")</f>
        <v>1</v>
      </c>
      <c r="AG77" s="22" t="n">
        <f aca="false">COUNTIFS('Shortlisted Drugs X Company (7)'!$C$3:$C$698,$B77,'Shortlisted Drugs X Company (7)'!$E$3:$E$698,$AA77,'Shortlisted Drugs X Company (7)'!$P$3:$P$698,"Exact")+COUNTIFS('Shortlisted Drugs X Company (7)'!$C$3:$C$698,$B77,'Shortlisted Drugs X Company (7)'!$E$3:$E$698,$AA77,'Shortlisted Drugs X Company (7)'!$P$3:$P$698,"Same-market proxy")</f>
        <v>0</v>
      </c>
      <c r="AH77" s="22" t="n">
        <f aca="false">INDEX($G$7:$G$25,MATCH(A77,$A$7:$A$25,0))</f>
        <v>2</v>
      </c>
      <c r="AI77" s="79" t="str">
        <f aca="false">IF(OR(Q77="No",LEFT(H77,7)="IV only"),"",AH77*1000+IF(F77="",900+COUNTIFS($A$29:A77,A77,$H$29:H77,"Price*"),F77))</f>
        <v/>
      </c>
      <c r="AJ77" s="79" t="str">
        <f aca="false">IF(H77&lt;&gt;"","",(4-VALUE(RIGHT(E77,1)))*10^7+N(O77))</f>
        <v/>
      </c>
      <c r="AK77" s="79" t="str">
        <f aca="false">IF(AND(H77="",ISNUMBER(I77)),I77,"")</f>
        <v/>
      </c>
      <c r="AL77" s="79" t="str">
        <f aca="false">IF(H77="",M77,"")</f>
        <v/>
      </c>
    </row>
    <row r="78" customFormat="false" ht="28.35" hidden="false" customHeight="false" outlineLevel="0" collapsed="false">
      <c r="A78" s="16" t="s">
        <v>229</v>
      </c>
      <c r="B78" s="16" t="s">
        <v>563</v>
      </c>
      <c r="C78" s="17" t="s">
        <v>564</v>
      </c>
      <c r="D78" s="17" t="s">
        <v>565</v>
      </c>
      <c r="E78" s="15" t="str">
        <f aca="false">IF(H78&lt;&gt;"",IF(LEFT(H78,5)="Price","Excluded – price ≤ USD 5","Excluded – IV only"),IF(ISNUMBER(I78),IF(AND(I78&gt;=$C$3,M78&gt;=$E$3),"Priority 1",IF(OR(I78&gt;=$C$3,M78&gt;=$E$3),"Priority 2","Priority 3")),IF(M78&gt;=$E$3,"Priority 2","Priority 3")))</f>
        <v>Excluded – IV only</v>
      </c>
      <c r="F78" s="15" t="str">
        <f aca="false">IF(H78&lt;&gt;"","",COUNTIFS($A$29:$A$361,A78,$H$29:$H$361,"",$AJ$29:$AJ$361,"&gt;"&amp;AJ78)+COUNTIFS($A$29:A78,A78,$H$29:H78,"",$AJ$29:AJ78,AJ78))</f>
        <v/>
      </c>
      <c r="G78" s="17" t="str">
        <f aca="false">IF(H78&lt;&gt;"","",IF(ISNUMBER(I78),IF(I78&gt;=$C$3,"High price","Lower price"),"No price")&amp;", "&amp;IF(M78&gt;=$E$3,"high volume","lower volume"))</f>
        <v/>
      </c>
      <c r="H78" s="17" t="str">
        <f aca="false">IF(Q78="No","IV only (no ID, IM or SC route)",IF(AND(AE78&gt;0,AF78=0),"Price ≤ USD 5",""))</f>
        <v>IV only (no ID, IM or SC route)</v>
      </c>
      <c r="I78" s="18" t="n">
        <f aca="false">IF(AF78&gt;0,ROUND(AVERAGEIFS('Shortlisted Drugs X Company (7)'!$N$3:$N$698,'Shortlisted Drugs X Company (7)'!$C$3:$C$698,$B78,'Shortlisted Drugs X Company (7)'!$E$3:$E$698,$AA78,'Shortlisted Drugs X Company (7)'!$N$3:$N$698,"&gt;5"),2),"")</f>
        <v>8.84</v>
      </c>
      <c r="J78" s="17" t="str">
        <f aca="false">IF(COUNTIFS('Shortlisted Drugs X Company (7)'!$C$3:$C$698,$B78,'Shortlisted Drugs X Company (7)'!$E$3:$E$698,$AA78,'Shortlisted Drugs X Company (7)'!$P$3:$P$698,"Exact")&gt;0,"Exact",IF(COUNTIFS('Shortlisted Drugs X Company (7)'!$C$3:$C$698,$B78,'Shortlisted Drugs X Company (7)'!$E$3:$E$698,$AA78,'Shortlisted Drugs X Company (7)'!$P$3:$P$698,"Same-market proxy")&gt;0,"Same-market proxy",IF(COUNTIFS('Shortlisted Drugs X Company (7)'!$C$3:$C$698,$B78,'Shortlisted Drugs X Company (7)'!$E$3:$E$698,$AA78,'Shortlisted Drugs X Company (7)'!$P$3:$P$698,"Cross-market proxy")&gt;0,"Cross-market proxy",IF(COUNTIFS('Shortlisted Drugs X Company (7)'!$C$3:$C$698,$B78,'Shortlisted Drugs X Company (7)'!$E$3:$E$698,$AA78,'Shortlisted Drugs X Company (7)'!$P$3:$P$698,"Source not found")&gt;0,"Source not found","No price found"))))</f>
        <v>Same-market proxy</v>
      </c>
      <c r="K78" s="19" t="n">
        <f aca="false">IFERROR(INDEX('Injectable Value'!$AB$28:$AB$178,MATCH(B78,'Injectable Value'!$A$28:$A$178,0)),"")</f>
        <v>159</v>
      </c>
      <c r="L78" s="77" t="n">
        <f aca="false">IFERROR(INDEX('Injectable Value'!$Z$28:$Z$178,MATCH(B78,'Injectable Value'!$A$28:$A$178,0)),"")</f>
        <v>1</v>
      </c>
      <c r="M78" s="19" t="n">
        <f aca="false">IFERROR(INDEX('Injectable Value'!$AC$28:$AC$178,MATCH(B78,'Injectable Value'!$A$28:$A$178,0)),"")</f>
        <v>159</v>
      </c>
      <c r="N78" s="19" t="n">
        <f aca="false">IFERROR(INDEX('Injectable Value'!$C$28:$C$178,MATCH(B78,'Injectable Value'!$A$28:$A$178,0)),"")</f>
        <v>8072.59</v>
      </c>
      <c r="O78" s="19" t="n">
        <f aca="false">IFERROR(ROUND(INDEX('Injectable Value'!$AA$28:$AA$178,MATCH(B78,'Injectable Value'!$A$28:$A$178,0)),1),"")</f>
        <v>8072.6</v>
      </c>
      <c r="P78" s="16" t="str">
        <f aca="false">IFERROR(INDEX('Route of Administration'!$C$5:$C$155,MATCH(B78,'Route of Administration'!$A$5:$A$155,0)),"")</f>
        <v>Epidural, perineural, infiltration</v>
      </c>
      <c r="Q78" s="15" t="str">
        <f aca="false">IFERROR(INDEX('Route of Administration'!$D$5:$D$155,MATCH(B78,'Route of Administration'!$A$5:$A$155,0)),"")</f>
        <v>No</v>
      </c>
      <c r="R78" s="16" t="s">
        <v>281</v>
      </c>
      <c r="S78" s="17" t="s">
        <v>566</v>
      </c>
      <c r="T78" s="16" t="s">
        <v>283</v>
      </c>
      <c r="U78" s="17" t="str">
        <f aca="false">""&amp;IF(AE78=0,"No price found","")&amp;IF(AND(AE78&gt;0,AF78=0,AG78=0),"Low price comes from another market – confirm with the company","")</f>
        <v/>
      </c>
      <c r="V78" s="17" t="s">
        <v>284</v>
      </c>
      <c r="W78" s="15" t="n">
        <v>1</v>
      </c>
      <c r="X78" s="17" t="s">
        <v>284</v>
      </c>
      <c r="Y78" s="17" t="s">
        <v>284</v>
      </c>
      <c r="Z78" s="17" t="s">
        <v>321</v>
      </c>
      <c r="AA78" s="16" t="s">
        <v>322</v>
      </c>
      <c r="AB78" s="78" t="s">
        <v>567</v>
      </c>
      <c r="AC78" s="20" t="n">
        <f aca="false">IF(AE78&gt;0,ROUND(AVERAGEIFS('Shortlisted Drugs X Company (7)'!$N$3:$N$698,'Shortlisted Drugs X Company (7)'!$C$3:$C$698,$B78,'Shortlisted Drugs X Company (7)'!$E$3:$E$698,$AA78,'Shortlisted Drugs X Company (7)'!$N$3:$N$698,"&gt;=0"),2),"")</f>
        <v>8.84</v>
      </c>
      <c r="AD78" s="79" t="str">
        <f aca="false">B78&amp;"|"&amp;AA78</f>
        <v>Ropivacaine|Aurobindo Pharma</v>
      </c>
      <c r="AE78" s="22" t="n">
        <f aca="false">COUNTIFS('Shortlisted Drugs X Company (7)'!$C$3:$C$698,$B78,'Shortlisted Drugs X Company (7)'!$E$3:$E$698,$AA78,'Shortlisted Drugs X Company (7)'!$N$3:$N$698,"&gt;=0")</f>
        <v>6</v>
      </c>
      <c r="AF78" s="22" t="n">
        <f aca="false">COUNTIFS('Shortlisted Drugs X Company (7)'!$C$3:$C$698,$B78,'Shortlisted Drugs X Company (7)'!$E$3:$E$698,$AA78,'Shortlisted Drugs X Company (7)'!$N$3:$N$698,"&gt;5")</f>
        <v>6</v>
      </c>
      <c r="AG78" s="22" t="n">
        <f aca="false">COUNTIFS('Shortlisted Drugs X Company (7)'!$C$3:$C$698,$B78,'Shortlisted Drugs X Company (7)'!$E$3:$E$698,$AA78,'Shortlisted Drugs X Company (7)'!$P$3:$P$698,"Exact")+COUNTIFS('Shortlisted Drugs X Company (7)'!$C$3:$C$698,$B78,'Shortlisted Drugs X Company (7)'!$E$3:$E$698,$AA78,'Shortlisted Drugs X Company (7)'!$P$3:$P$698,"Same-market proxy")</f>
        <v>6</v>
      </c>
      <c r="AH78" s="22" t="n">
        <f aca="false">INDEX($G$7:$G$25,MATCH(A78,$A$7:$A$25,0))</f>
        <v>2</v>
      </c>
      <c r="AI78" s="79" t="str">
        <f aca="false">IF(OR(Q78="No",LEFT(H78,7)="IV only"),"",AH78*1000+IF(F78="",900+COUNTIFS($A$29:A78,A78,$H$29:H78,"Price*"),F78))</f>
        <v/>
      </c>
      <c r="AJ78" s="79" t="str">
        <f aca="false">IF(H78&lt;&gt;"","",(4-VALUE(RIGHT(E78,1)))*10^7+N(O78))</f>
        <v/>
      </c>
      <c r="AK78" s="79" t="str">
        <f aca="false">IF(AND(H78="",ISNUMBER(I78)),I78,"")</f>
        <v/>
      </c>
      <c r="AL78" s="79" t="str">
        <f aca="false">IF(H78="",M78,"")</f>
        <v/>
      </c>
    </row>
    <row r="79" customFormat="false" ht="28.35" hidden="false" customHeight="false" outlineLevel="0" collapsed="false">
      <c r="A79" s="16" t="s">
        <v>229</v>
      </c>
      <c r="B79" s="16" t="s">
        <v>568</v>
      </c>
      <c r="C79" s="17" t="s">
        <v>569</v>
      </c>
      <c r="D79" s="17" t="s">
        <v>570</v>
      </c>
      <c r="E79" s="15" t="str">
        <f aca="false">IF(H79&lt;&gt;"",IF(LEFT(H79,5)="Price","Excluded – price ≤ USD 5","Excluded – IV only"),IF(ISNUMBER(I79),IF(AND(I79&gt;=$C$3,M79&gt;=$E$3),"Priority 1",IF(OR(I79&gt;=$C$3,M79&gt;=$E$3),"Priority 2","Priority 3")),IF(M79&gt;=$E$3,"Priority 2","Priority 3")))</f>
        <v>Excluded – IV only</v>
      </c>
      <c r="F79" s="15" t="str">
        <f aca="false">IF(H79&lt;&gt;"","",COUNTIFS($A$29:$A$361,A79,$H$29:$H$361,"",$AJ$29:$AJ$361,"&gt;"&amp;AJ79)+COUNTIFS($A$29:A79,A79,$H$29:H79,"",$AJ$29:AJ79,AJ79))</f>
        <v/>
      </c>
      <c r="G79" s="17" t="str">
        <f aca="false">IF(H79&lt;&gt;"","",IF(ISNUMBER(I79),IF(I79&gt;=$C$3,"High price","Lower price"),"No price")&amp;", "&amp;IF(M79&gt;=$E$3,"high volume","lower volume"))</f>
        <v/>
      </c>
      <c r="H79" s="17" t="str">
        <f aca="false">IF(Q79="No","IV only (no ID, IM or SC route)",IF(AND(AE79&gt;0,AF79=0),"Price ≤ USD 5",""))</f>
        <v>IV only (no ID, IM or SC route)</v>
      </c>
      <c r="I79" s="18" t="n">
        <f aca="false">IF(AF79&gt;0,ROUND(AVERAGEIFS('Shortlisted Drugs X Company (7)'!$N$3:$N$698,'Shortlisted Drugs X Company (7)'!$C$3:$C$698,$B79,'Shortlisted Drugs X Company (7)'!$E$3:$E$698,$AA79,'Shortlisted Drugs X Company (7)'!$N$3:$N$698,"&gt;5"),2),"")</f>
        <v>161.8</v>
      </c>
      <c r="J79" s="17" t="str">
        <f aca="false">IF(COUNTIFS('Shortlisted Drugs X Company (7)'!$C$3:$C$698,$B79,'Shortlisted Drugs X Company (7)'!$E$3:$E$698,$AA79,'Shortlisted Drugs X Company (7)'!$P$3:$P$698,"Exact")&gt;0,"Exact",IF(COUNTIFS('Shortlisted Drugs X Company (7)'!$C$3:$C$698,$B79,'Shortlisted Drugs X Company (7)'!$E$3:$E$698,$AA79,'Shortlisted Drugs X Company (7)'!$P$3:$P$698,"Same-market proxy")&gt;0,"Same-market proxy",IF(COUNTIFS('Shortlisted Drugs X Company (7)'!$C$3:$C$698,$B79,'Shortlisted Drugs X Company (7)'!$E$3:$E$698,$AA79,'Shortlisted Drugs X Company (7)'!$P$3:$P$698,"Cross-market proxy")&gt;0,"Cross-market proxy",IF(COUNTIFS('Shortlisted Drugs X Company (7)'!$C$3:$C$698,$B79,'Shortlisted Drugs X Company (7)'!$E$3:$E$698,$AA79,'Shortlisted Drugs X Company (7)'!$P$3:$P$698,"Source not found")&gt;0,"Source not found","No price found"))))</f>
        <v>Same-market proxy</v>
      </c>
      <c r="K79" s="19" t="n">
        <f aca="false">IFERROR(INDEX('Injectable Value'!$AB$28:$AB$178,MATCH(B79,'Injectable Value'!$A$28:$A$178,0)),"")</f>
        <v>9996</v>
      </c>
      <c r="L79" s="77" t="n">
        <f aca="false">IFERROR(INDEX('Injectable Value'!$Z$28:$Z$178,MATCH(B79,'Injectable Value'!$A$28:$A$178,0)),"")</f>
        <v>0.0105877483794673</v>
      </c>
      <c r="M79" s="19" t="n">
        <f aca="false">IFERROR(INDEX('Injectable Value'!$AC$28:$AC$178,MATCH(B79,'Injectable Value'!$A$28:$A$178,0)),"")</f>
        <v>106</v>
      </c>
      <c r="N79" s="19" t="n">
        <f aca="false">IFERROR(INDEX('Injectable Value'!$C$28:$C$178,MATCH(B79,'Injectable Value'!$A$28:$A$178,0)),"")</f>
        <v>71311.67</v>
      </c>
      <c r="O79" s="19" t="n">
        <f aca="false">IFERROR(ROUND(INDEX('Injectable Value'!$AA$28:$AA$178,MATCH(B79,'Injectable Value'!$A$28:$A$178,0)),1),"")</f>
        <v>755</v>
      </c>
      <c r="P79" s="16" t="str">
        <f aca="false">IFERROR(INDEX('Route of Administration'!$C$5:$C$155,MATCH(B79,'Route of Administration'!$A$5:$A$155,0)),"")</f>
        <v>IV</v>
      </c>
      <c r="Q79" s="15" t="str">
        <f aca="false">IFERROR(INDEX('Route of Administration'!$D$5:$D$155,MATCH(B79,'Route of Administration'!$A$5:$A$155,0)),"")</f>
        <v>No</v>
      </c>
      <c r="R79" s="16" t="s">
        <v>281</v>
      </c>
      <c r="S79" s="17" t="s">
        <v>571</v>
      </c>
      <c r="T79" s="16" t="s">
        <v>318</v>
      </c>
      <c r="U79" s="17" t="str">
        <f aca="false">""&amp;IF(AE79=0,"No price found","")&amp;IF(AND(AE79&gt;0,AF79=0,AG79=0),"Low price comes from another market – confirm with the company","")</f>
        <v/>
      </c>
      <c r="V79" s="17" t="s">
        <v>284</v>
      </c>
      <c r="W79" s="15" t="n">
        <v>1</v>
      </c>
      <c r="X79" s="17" t="s">
        <v>284</v>
      </c>
      <c r="Y79" s="17" t="s">
        <v>284</v>
      </c>
      <c r="Z79" s="17" t="s">
        <v>321</v>
      </c>
      <c r="AA79" s="16" t="s">
        <v>322</v>
      </c>
      <c r="AB79" s="78" t="s">
        <v>572</v>
      </c>
      <c r="AC79" s="20" t="n">
        <f aca="false">IF(AE79&gt;0,ROUND(AVERAGEIFS('Shortlisted Drugs X Company (7)'!$N$3:$N$698,'Shortlisted Drugs X Company (7)'!$C$3:$C$698,$B79,'Shortlisted Drugs X Company (7)'!$E$3:$E$698,$AA79,'Shortlisted Drugs X Company (7)'!$N$3:$N$698,"&gt;=0"),2),"")</f>
        <v>161.8</v>
      </c>
      <c r="AD79" s="79" t="str">
        <f aca="false">B79&amp;"|"&amp;AA79</f>
        <v>Sildenafil|Aurobindo Pharma</v>
      </c>
      <c r="AE79" s="22" t="n">
        <f aca="false">COUNTIFS('Shortlisted Drugs X Company (7)'!$C$3:$C$698,$B79,'Shortlisted Drugs X Company (7)'!$E$3:$E$698,$AA79,'Shortlisted Drugs X Company (7)'!$N$3:$N$698,"&gt;=0")</f>
        <v>1</v>
      </c>
      <c r="AF79" s="22" t="n">
        <f aca="false">COUNTIFS('Shortlisted Drugs X Company (7)'!$C$3:$C$698,$B79,'Shortlisted Drugs X Company (7)'!$E$3:$E$698,$AA79,'Shortlisted Drugs X Company (7)'!$N$3:$N$698,"&gt;5")</f>
        <v>1</v>
      </c>
      <c r="AG79" s="22" t="n">
        <f aca="false">COUNTIFS('Shortlisted Drugs X Company (7)'!$C$3:$C$698,$B79,'Shortlisted Drugs X Company (7)'!$E$3:$E$698,$AA79,'Shortlisted Drugs X Company (7)'!$P$3:$P$698,"Exact")+COUNTIFS('Shortlisted Drugs X Company (7)'!$C$3:$C$698,$B79,'Shortlisted Drugs X Company (7)'!$E$3:$E$698,$AA79,'Shortlisted Drugs X Company (7)'!$P$3:$P$698,"Same-market proxy")</f>
        <v>1</v>
      </c>
      <c r="AH79" s="22" t="n">
        <f aca="false">INDEX($G$7:$G$25,MATCH(A79,$A$7:$A$25,0))</f>
        <v>2</v>
      </c>
      <c r="AI79" s="79" t="str">
        <f aca="false">IF(OR(Q79="No",LEFT(H79,7)="IV only"),"",AH79*1000+IF(F79="",900+COUNTIFS($A$29:A79,A79,$H$29:H79,"Price*"),F79))</f>
        <v/>
      </c>
      <c r="AJ79" s="79" t="str">
        <f aca="false">IF(H79&lt;&gt;"","",(4-VALUE(RIGHT(E79,1)))*10^7+N(O79))</f>
        <v/>
      </c>
      <c r="AK79" s="79" t="str">
        <f aca="false">IF(AND(H79="",ISNUMBER(I79)),I79,"")</f>
        <v/>
      </c>
      <c r="AL79" s="79" t="str">
        <f aca="false">IF(H79="",M79,"")</f>
        <v/>
      </c>
    </row>
    <row r="80" customFormat="false" ht="41.75" hidden="false" customHeight="false" outlineLevel="0" collapsed="false">
      <c r="A80" s="16" t="s">
        <v>229</v>
      </c>
      <c r="B80" s="16" t="s">
        <v>573</v>
      </c>
      <c r="C80" s="17" t="s">
        <v>573</v>
      </c>
      <c r="D80" s="17" t="s">
        <v>574</v>
      </c>
      <c r="E80" s="15" t="str">
        <f aca="false">IF(H80&lt;&gt;"",IF(LEFT(H80,5)="Price","Excluded – price ≤ USD 5","Excluded – IV only"),IF(ISNUMBER(I80),IF(AND(I80&gt;=$C$3,M80&gt;=$E$3),"Priority 1",IF(OR(I80&gt;=$C$3,M80&gt;=$E$3),"Priority 2","Priority 3")),IF(M80&gt;=$E$3,"Priority 2","Priority 3")))</f>
        <v>Priority 2</v>
      </c>
      <c r="F80" s="15" t="n">
        <f aca="false">IF(H80&lt;&gt;"","",COUNTIFS($A$29:$A$361,A80,$H$29:$H$361,"",$AJ$29:$AJ$361,"&gt;"&amp;AJ80)+COUNTIFS($A$29:A80,A80,$H$29:H80,"",$AJ$29:AJ80,AJ80))</f>
        <v>13</v>
      </c>
      <c r="G80" s="17" t="str">
        <f aca="false">IF(H80&lt;&gt;"","",IF(ISNUMBER(I80),IF(I80&gt;=$C$3,"High price","Lower price"),"No price")&amp;", "&amp;IF(M80&gt;=$E$3,"high volume","lower volume"))</f>
        <v>Lower price, high volume</v>
      </c>
      <c r="H80" s="17" t="str">
        <f aca="false">IF(Q80="No","IV only (no ID, IM or SC route)",IF(AND(AE80&gt;0,AF80=0),"Price ≤ USD 5",""))</f>
        <v/>
      </c>
      <c r="I80" s="18" t="n">
        <f aca="false">IF(AF80&gt;0,ROUND(AVERAGEIFS('Shortlisted Drugs X Company (7)'!$N$3:$N$698,'Shortlisted Drugs X Company (7)'!$C$3:$C$698,$B80,'Shortlisted Drugs X Company (7)'!$E$3:$E$698,$AA80,'Shortlisted Drugs X Company (7)'!$N$3:$N$698,"&gt;5"),2),"")</f>
        <v>20.63</v>
      </c>
      <c r="J80" s="17" t="str">
        <f aca="false">IF(COUNTIFS('Shortlisted Drugs X Company (7)'!$C$3:$C$698,$B80,'Shortlisted Drugs X Company (7)'!$E$3:$E$698,$AA80,'Shortlisted Drugs X Company (7)'!$P$3:$P$698,"Exact")&gt;0,"Exact",IF(COUNTIFS('Shortlisted Drugs X Company (7)'!$C$3:$C$698,$B80,'Shortlisted Drugs X Company (7)'!$E$3:$E$698,$AA80,'Shortlisted Drugs X Company (7)'!$P$3:$P$698,"Same-market proxy")&gt;0,"Same-market proxy",IF(COUNTIFS('Shortlisted Drugs X Company (7)'!$C$3:$C$698,$B80,'Shortlisted Drugs X Company (7)'!$E$3:$E$698,$AA80,'Shortlisted Drugs X Company (7)'!$P$3:$P$698,"Cross-market proxy")&gt;0,"Cross-market proxy",IF(COUNTIFS('Shortlisted Drugs X Company (7)'!$C$3:$C$698,$B80,'Shortlisted Drugs X Company (7)'!$E$3:$E$698,$AA80,'Shortlisted Drugs X Company (7)'!$P$3:$P$698,"Source not found")&gt;0,"Source not found","No price found"))))</f>
        <v>Same-market proxy</v>
      </c>
      <c r="K80" s="19" t="n">
        <f aca="false">IFERROR(INDEX('Injectable Value'!$AB$28:$AB$178,MATCH(B80,'Injectable Value'!$A$28:$A$178,0)),"")</f>
        <v>307</v>
      </c>
      <c r="L80" s="77" t="n">
        <f aca="false">IFERROR(INDEX('Injectable Value'!$Z$28:$Z$178,MATCH(B80,'Injectable Value'!$A$28:$A$178,0)),"")</f>
        <v>0.947368421052632</v>
      </c>
      <c r="M80" s="19" t="n">
        <f aca="false">IFERROR(INDEX('Injectable Value'!$AC$28:$AC$178,MATCH(B80,'Injectable Value'!$A$28:$A$178,0)),"")</f>
        <v>291</v>
      </c>
      <c r="N80" s="19" t="n">
        <f aca="false">IFERROR(INDEX('Injectable Value'!$C$28:$C$178,MATCH(B80,'Injectable Value'!$A$28:$A$178,0)),"")</f>
        <v>7276.73</v>
      </c>
      <c r="O80" s="19" t="n">
        <f aca="false">IFERROR(ROUND(INDEX('Injectable Value'!$AA$28:$AA$178,MATCH(B80,'Injectable Value'!$A$28:$A$178,0)),1),"")</f>
        <v>6893.7</v>
      </c>
      <c r="P80" s="16" t="str">
        <f aca="false">IFERROR(INDEX('Route of Administration'!$C$5:$C$155,MATCH(B80,'Route of Administration'!$A$5:$A$155,0)),"")</f>
        <v>IM</v>
      </c>
      <c r="Q80" s="15" t="str">
        <f aca="false">IFERROR(INDEX('Route of Administration'!$D$5:$D$155,MATCH(B80,'Route of Administration'!$A$5:$A$155,0)),"")</f>
        <v>Yes</v>
      </c>
      <c r="R80" s="16" t="s">
        <v>281</v>
      </c>
      <c r="S80" s="17" t="s">
        <v>575</v>
      </c>
      <c r="T80" s="16" t="s">
        <v>283</v>
      </c>
      <c r="U80" s="17" t="str">
        <f aca="false">""&amp;IF(AE80=0,"No price found","")&amp;IF(AND(AE80&gt;0,AF80=0,AG80=0),"Low price comes from another market – confirm with the company","")</f>
        <v/>
      </c>
      <c r="V80" s="17" t="s">
        <v>284</v>
      </c>
      <c r="W80" s="15" t="n">
        <v>1</v>
      </c>
      <c r="X80" s="17" t="s">
        <v>284</v>
      </c>
      <c r="Y80" s="17" t="s">
        <v>284</v>
      </c>
      <c r="Z80" s="17" t="s">
        <v>286</v>
      </c>
      <c r="AA80" s="16" t="s">
        <v>322</v>
      </c>
      <c r="AB80" s="78" t="s">
        <v>576</v>
      </c>
      <c r="AC80" s="20" t="n">
        <f aca="false">IF(AE80&gt;0,ROUND(AVERAGEIFS('Shortlisted Drugs X Company (7)'!$N$3:$N$698,'Shortlisted Drugs X Company (7)'!$C$3:$C$698,$B80,'Shortlisted Drugs X Company (7)'!$E$3:$E$698,$AA80,'Shortlisted Drugs X Company (7)'!$N$3:$N$698,"&gt;=0"),2),"")</f>
        <v>20.63</v>
      </c>
      <c r="AD80" s="79" t="str">
        <f aca="false">B80&amp;"|"&amp;AA80</f>
        <v>Testosterone Cypionate|Aurobindo Pharma</v>
      </c>
      <c r="AE80" s="22" t="n">
        <f aca="false">COUNTIFS('Shortlisted Drugs X Company (7)'!$C$3:$C$698,$B80,'Shortlisted Drugs X Company (7)'!$E$3:$E$698,$AA80,'Shortlisted Drugs X Company (7)'!$N$3:$N$698,"&gt;=0")</f>
        <v>2</v>
      </c>
      <c r="AF80" s="22" t="n">
        <f aca="false">COUNTIFS('Shortlisted Drugs X Company (7)'!$C$3:$C$698,$B80,'Shortlisted Drugs X Company (7)'!$E$3:$E$698,$AA80,'Shortlisted Drugs X Company (7)'!$N$3:$N$698,"&gt;5")</f>
        <v>2</v>
      </c>
      <c r="AG80" s="22" t="n">
        <f aca="false">COUNTIFS('Shortlisted Drugs X Company (7)'!$C$3:$C$698,$B80,'Shortlisted Drugs X Company (7)'!$E$3:$E$698,$AA80,'Shortlisted Drugs X Company (7)'!$P$3:$P$698,"Exact")+COUNTIFS('Shortlisted Drugs X Company (7)'!$C$3:$C$698,$B80,'Shortlisted Drugs X Company (7)'!$E$3:$E$698,$AA80,'Shortlisted Drugs X Company (7)'!$P$3:$P$698,"Same-market proxy")</f>
        <v>2</v>
      </c>
      <c r="AH80" s="22" t="n">
        <f aca="false">INDEX($G$7:$G$25,MATCH(A80,$A$7:$A$25,0))</f>
        <v>2</v>
      </c>
      <c r="AI80" s="79" t="n">
        <f aca="false">IF(OR(Q80="No",LEFT(H80,7)="IV only"),"",AH80*1000+IF(F80="",900+COUNTIFS($A$29:A80,A80,$H$29:H80,"Price*"),F80))</f>
        <v>2013</v>
      </c>
      <c r="AJ80" s="79" t="n">
        <f aca="false">IF(H80&lt;&gt;"","",(4-VALUE(RIGHT(E80,1)))*10^7+N(O80))</f>
        <v>20006893.7</v>
      </c>
      <c r="AK80" s="20" t="n">
        <f aca="false">IF(AND(H80="",ISNUMBER(I80)),I80,"")</f>
        <v>20.63</v>
      </c>
      <c r="AL80" s="21" t="n">
        <f aca="false">IF(H80="",M80,"")</f>
        <v>291</v>
      </c>
    </row>
    <row r="81" customFormat="false" ht="28.35" hidden="false" customHeight="false" outlineLevel="0" collapsed="false">
      <c r="A81" s="16" t="s">
        <v>229</v>
      </c>
      <c r="B81" s="16" t="s">
        <v>577</v>
      </c>
      <c r="C81" s="17" t="s">
        <v>577</v>
      </c>
      <c r="D81" s="17" t="s">
        <v>578</v>
      </c>
      <c r="E81" s="15" t="str">
        <f aca="false">IF(H81&lt;&gt;"",IF(LEFT(H81,5)="Price","Excluded – price ≤ USD 5","Excluded – IV only"),IF(ISNUMBER(I81),IF(AND(I81&gt;=$C$3,M81&gt;=$E$3),"Priority 1",IF(OR(I81&gt;=$C$3,M81&gt;=$E$3),"Priority 2","Priority 3")),IF(M81&gt;=$E$3,"Priority 2","Priority 3")))</f>
        <v>Priority 1</v>
      </c>
      <c r="F81" s="15" t="n">
        <f aca="false">IF(H81&lt;&gt;"","",COUNTIFS($A$29:$A$361,A81,$H$29:$H$361,"",$AJ$29:$AJ$361,"&gt;"&amp;AJ81)+COUNTIFS($A$29:A81,A81,$H$29:H81,"",$AJ$29:AJ81,AJ81))</f>
        <v>6</v>
      </c>
      <c r="G81" s="17" t="str">
        <f aca="false">IF(H81&lt;&gt;"","",IF(ISNUMBER(I81),IF(I81&gt;=$C$3,"High price","Lower price"),"No price")&amp;", "&amp;IF(M81&gt;=$E$3,"high volume","lower volume"))</f>
        <v>High price, high volume</v>
      </c>
      <c r="H81" s="17" t="str">
        <f aca="false">IF(Q81="No","IV only (no ID, IM or SC route)",IF(AND(AE81&gt;0,AF81=0),"Price ≤ USD 5",""))</f>
        <v/>
      </c>
      <c r="I81" s="18" t="n">
        <f aca="false">IF(AF81&gt;0,ROUND(AVERAGEIFS('Shortlisted Drugs X Company (7)'!$N$3:$N$698,'Shortlisted Drugs X Company (7)'!$C$3:$C$698,$B81,'Shortlisted Drugs X Company (7)'!$E$3:$E$698,$AA81,'Shortlisted Drugs X Company (7)'!$N$3:$N$698,"&gt;5"),2),"")</f>
        <v>36.17</v>
      </c>
      <c r="J81" s="17" t="str">
        <f aca="false">IF(COUNTIFS('Shortlisted Drugs X Company (7)'!$C$3:$C$698,$B81,'Shortlisted Drugs X Company (7)'!$E$3:$E$698,$AA81,'Shortlisted Drugs X Company (7)'!$P$3:$P$698,"Exact")&gt;0,"Exact",IF(COUNTIFS('Shortlisted Drugs X Company (7)'!$C$3:$C$698,$B81,'Shortlisted Drugs X Company (7)'!$E$3:$E$698,$AA81,'Shortlisted Drugs X Company (7)'!$P$3:$P$698,"Same-market proxy")&gt;0,"Same-market proxy",IF(COUNTIFS('Shortlisted Drugs X Company (7)'!$C$3:$C$698,$B81,'Shortlisted Drugs X Company (7)'!$E$3:$E$698,$AA81,'Shortlisted Drugs X Company (7)'!$P$3:$P$698,"Cross-market proxy")&gt;0,"Cross-market proxy",IF(COUNTIFS('Shortlisted Drugs X Company (7)'!$C$3:$C$698,$B81,'Shortlisted Drugs X Company (7)'!$E$3:$E$698,$AA81,'Shortlisted Drugs X Company (7)'!$P$3:$P$698,"Source not found")&gt;0,"Source not found","No price found"))))</f>
        <v>Same-market proxy</v>
      </c>
      <c r="K81" s="19" t="n">
        <f aca="false">IFERROR(INDEX('Injectable Value'!$AB$28:$AB$178,MATCH(B81,'Injectable Value'!$A$28:$A$178,0)),"")</f>
        <v>448</v>
      </c>
      <c r="L81" s="77" t="n">
        <f aca="false">IFERROR(INDEX('Injectable Value'!$Z$28:$Z$178,MATCH(B81,'Injectable Value'!$A$28:$A$178,0)),"")</f>
        <v>1</v>
      </c>
      <c r="M81" s="19" t="n">
        <f aca="false">IFERROR(INDEX('Injectable Value'!$AC$28:$AC$178,MATCH(B81,'Injectable Value'!$A$28:$A$178,0)),"")</f>
        <v>448</v>
      </c>
      <c r="N81" s="19" t="n">
        <f aca="false">IFERROR(INDEX('Injectable Value'!$C$28:$C$178,MATCH(B81,'Injectable Value'!$A$28:$A$178,0)),"")</f>
        <v>1202.23</v>
      </c>
      <c r="O81" s="19" t="n">
        <f aca="false">IFERROR(ROUND(INDEX('Injectable Value'!$AA$28:$AA$178,MATCH(B81,'Injectable Value'!$A$28:$A$178,0)),1),"")</f>
        <v>1202.2</v>
      </c>
      <c r="P81" s="16" t="str">
        <f aca="false">IFERROR(INDEX('Route of Administration'!$C$5:$C$155,MATCH(B81,'Route of Administration'!$A$5:$A$155,0)),"")</f>
        <v>IM, SC</v>
      </c>
      <c r="Q81" s="15" t="str">
        <f aca="false">IFERROR(INDEX('Route of Administration'!$D$5:$D$155,MATCH(B81,'Route of Administration'!$A$5:$A$155,0)),"")</f>
        <v>Yes</v>
      </c>
      <c r="R81" s="16" t="s">
        <v>281</v>
      </c>
      <c r="S81" s="17" t="s">
        <v>579</v>
      </c>
      <c r="T81" s="16" t="s">
        <v>283</v>
      </c>
      <c r="U81" s="17" t="str">
        <f aca="false">""&amp;IF(AE81=0,"No price found","")&amp;IF(AND(AE81&gt;0,AF81=0,AG81=0),"Low price comes from another market – confirm with the company","")</f>
        <v/>
      </c>
      <c r="V81" s="17" t="s">
        <v>284</v>
      </c>
      <c r="W81" s="15" t="n">
        <v>1</v>
      </c>
      <c r="X81" s="17" t="s">
        <v>284</v>
      </c>
      <c r="Y81" s="17" t="s">
        <v>284</v>
      </c>
      <c r="Z81" s="17" t="s">
        <v>321</v>
      </c>
      <c r="AA81" s="16" t="s">
        <v>322</v>
      </c>
      <c r="AB81" s="78" t="s">
        <v>580</v>
      </c>
      <c r="AC81" s="20" t="n">
        <f aca="false">IF(AE81&gt;0,ROUND(AVERAGEIFS('Shortlisted Drugs X Company (7)'!$N$3:$N$698,'Shortlisted Drugs X Company (7)'!$C$3:$C$698,$B81,'Shortlisted Drugs X Company (7)'!$E$3:$E$698,$AA81,'Shortlisted Drugs X Company (7)'!$N$3:$N$698,"&gt;=0"),2),"")</f>
        <v>36.17</v>
      </c>
      <c r="AD81" s="79" t="str">
        <f aca="false">B81&amp;"|"&amp;AA81</f>
        <v>Testosterone Enanthate|Aurobindo Pharma</v>
      </c>
      <c r="AE81" s="22" t="n">
        <f aca="false">COUNTIFS('Shortlisted Drugs X Company (7)'!$C$3:$C$698,$B81,'Shortlisted Drugs X Company (7)'!$E$3:$E$698,$AA81,'Shortlisted Drugs X Company (7)'!$N$3:$N$698,"&gt;=0")</f>
        <v>1</v>
      </c>
      <c r="AF81" s="22" t="n">
        <f aca="false">COUNTIFS('Shortlisted Drugs X Company (7)'!$C$3:$C$698,$B81,'Shortlisted Drugs X Company (7)'!$E$3:$E$698,$AA81,'Shortlisted Drugs X Company (7)'!$N$3:$N$698,"&gt;5")</f>
        <v>1</v>
      </c>
      <c r="AG81" s="22" t="n">
        <f aca="false">COUNTIFS('Shortlisted Drugs X Company (7)'!$C$3:$C$698,$B81,'Shortlisted Drugs X Company (7)'!$E$3:$E$698,$AA81,'Shortlisted Drugs X Company (7)'!$P$3:$P$698,"Exact")+COUNTIFS('Shortlisted Drugs X Company (7)'!$C$3:$C$698,$B81,'Shortlisted Drugs X Company (7)'!$E$3:$E$698,$AA81,'Shortlisted Drugs X Company (7)'!$P$3:$P$698,"Same-market proxy")</f>
        <v>1</v>
      </c>
      <c r="AH81" s="22" t="n">
        <f aca="false">INDEX($G$7:$G$25,MATCH(A81,$A$7:$A$25,0))</f>
        <v>2</v>
      </c>
      <c r="AI81" s="79" t="n">
        <f aca="false">IF(OR(Q81="No",LEFT(H81,7)="IV only"),"",AH81*1000+IF(F81="",900+COUNTIFS($A$29:A81,A81,$H$29:H81,"Price*"),F81))</f>
        <v>2006</v>
      </c>
      <c r="AJ81" s="79" t="n">
        <f aca="false">IF(H81&lt;&gt;"","",(4-VALUE(RIGHT(E81,1)))*10^7+N(O81))</f>
        <v>30001202.2</v>
      </c>
      <c r="AK81" s="20" t="n">
        <f aca="false">IF(AND(H81="",ISNUMBER(I81)),I81,"")</f>
        <v>36.17</v>
      </c>
      <c r="AL81" s="21" t="n">
        <f aca="false">IF(H81="",M81,"")</f>
        <v>448</v>
      </c>
    </row>
    <row r="82" customFormat="false" ht="28.35" hidden="false" customHeight="false" outlineLevel="0" collapsed="false">
      <c r="A82" s="16" t="s">
        <v>229</v>
      </c>
      <c r="B82" s="16" t="s">
        <v>581</v>
      </c>
      <c r="C82" s="17" t="s">
        <v>582</v>
      </c>
      <c r="D82" s="17" t="s">
        <v>583</v>
      </c>
      <c r="E82" s="15" t="str">
        <f aca="false">IF(H82&lt;&gt;"",IF(LEFT(H82,5)="Price","Excluded – price ≤ USD 5","Excluded – IV only"),IF(ISNUMBER(I82),IF(AND(I82&gt;=$C$3,M82&gt;=$E$3),"Priority 1",IF(OR(I82&gt;=$C$3,M82&gt;=$E$3),"Priority 2","Priority 3")),IF(M82&gt;=$E$3,"Priority 2","Priority 3")))</f>
        <v>Excluded – IV only</v>
      </c>
      <c r="F82" s="15" t="str">
        <f aca="false">IF(H82&lt;&gt;"","",COUNTIFS($A$29:$A$361,A82,$H$29:$H$361,"",$AJ$29:$AJ$361,"&gt;"&amp;AJ82)+COUNTIFS($A$29:A82,A82,$H$29:H82,"",$AJ$29:AJ82,AJ82))</f>
        <v/>
      </c>
      <c r="G82" s="17" t="str">
        <f aca="false">IF(H82&lt;&gt;"","",IF(ISNUMBER(I82),IF(I82&gt;=$C$3,"High price","Lower price"),"No price")&amp;", "&amp;IF(M82&gt;=$E$3,"high volume","lower volume"))</f>
        <v/>
      </c>
      <c r="H82" s="17" t="str">
        <f aca="false">IF(Q82="No","IV only (no ID, IM or SC route)",IF(AND(AE82&gt;0,AF82=0),"Price ≤ USD 5",""))</f>
        <v>IV only (no ID, IM or SC route)</v>
      </c>
      <c r="I82" s="18" t="n">
        <f aca="false">IF(AF82&gt;0,ROUND(AVERAGEIFS('Shortlisted Drugs X Company (7)'!$N$3:$N$698,'Shortlisted Drugs X Company (7)'!$C$3:$C$698,$B82,'Shortlisted Drugs X Company (7)'!$E$3:$E$698,$AA82,'Shortlisted Drugs X Company (7)'!$N$3:$N$698,"&gt;5"),2),"")</f>
        <v>139.81</v>
      </c>
      <c r="J82" s="17" t="str">
        <f aca="false">IF(COUNTIFS('Shortlisted Drugs X Company (7)'!$C$3:$C$698,$B82,'Shortlisted Drugs X Company (7)'!$E$3:$E$698,$AA82,'Shortlisted Drugs X Company (7)'!$P$3:$P$698,"Exact")&gt;0,"Exact",IF(COUNTIFS('Shortlisted Drugs X Company (7)'!$C$3:$C$698,$B82,'Shortlisted Drugs X Company (7)'!$E$3:$E$698,$AA82,'Shortlisted Drugs X Company (7)'!$P$3:$P$698,"Same-market proxy")&gt;0,"Same-market proxy",IF(COUNTIFS('Shortlisted Drugs X Company (7)'!$C$3:$C$698,$B82,'Shortlisted Drugs X Company (7)'!$E$3:$E$698,$AA82,'Shortlisted Drugs X Company (7)'!$P$3:$P$698,"Cross-market proxy")&gt;0,"Cross-market proxy",IF(COUNTIFS('Shortlisted Drugs X Company (7)'!$C$3:$C$698,$B82,'Shortlisted Drugs X Company (7)'!$E$3:$E$698,$AA82,'Shortlisted Drugs X Company (7)'!$P$3:$P$698,"Source not found")&gt;0,"Source not found","No price found"))))</f>
        <v>Same-market proxy</v>
      </c>
      <c r="K82" s="19" t="n">
        <f aca="false">IFERROR(INDEX('Injectable Value'!$AB$28:$AB$178,MATCH(B82,'Injectable Value'!$A$28:$A$178,0)),"")</f>
        <v>61</v>
      </c>
      <c r="L82" s="77" t="n">
        <f aca="false">IFERROR(INDEX('Injectable Value'!$Z$28:$Z$178,MATCH(B82,'Injectable Value'!$A$28:$A$178,0)),"")</f>
        <v>1</v>
      </c>
      <c r="M82" s="19" t="n">
        <f aca="false">IFERROR(INDEX('Injectable Value'!$AC$28:$AC$178,MATCH(B82,'Injectable Value'!$A$28:$A$178,0)),"")</f>
        <v>61</v>
      </c>
      <c r="N82" s="19" t="n">
        <f aca="false">IFERROR(INDEX('Injectable Value'!$C$28:$C$178,MATCH(B82,'Injectable Value'!$A$28:$A$178,0)),"")</f>
        <v>2812.77</v>
      </c>
      <c r="O82" s="19" t="n">
        <f aca="false">IFERROR(ROUND(INDEX('Injectable Value'!$AA$28:$AA$178,MATCH(B82,'Injectable Value'!$A$28:$A$178,0)),1),"")</f>
        <v>2812.8</v>
      </c>
      <c r="P82" s="16" t="str">
        <f aca="false">IFERROR(INDEX('Route of Administration'!$C$5:$C$155,MATCH(B82,'Route of Administration'!$A$5:$A$155,0)),"")</f>
        <v>IV</v>
      </c>
      <c r="Q82" s="15" t="str">
        <f aca="false">IFERROR(INDEX('Route of Administration'!$D$5:$D$155,MATCH(B82,'Route of Administration'!$A$5:$A$155,0)),"")</f>
        <v>No</v>
      </c>
      <c r="R82" s="16" t="s">
        <v>429</v>
      </c>
      <c r="S82" s="17" t="s">
        <v>584</v>
      </c>
      <c r="T82" s="16" t="s">
        <v>318</v>
      </c>
      <c r="U82" s="17" t="str">
        <f aca="false">""&amp;IF(AE82=0,"No price found","")&amp;IF(AND(AE82&gt;0,AF82=0,AG82=0),"Low price comes from another market – confirm with the company","")</f>
        <v/>
      </c>
      <c r="V82" s="17" t="s">
        <v>585</v>
      </c>
      <c r="W82" s="15" t="n">
        <v>6</v>
      </c>
      <c r="X82" s="17" t="s">
        <v>586</v>
      </c>
      <c r="Y82" s="17" t="s">
        <v>586</v>
      </c>
      <c r="Z82" s="17" t="s">
        <v>321</v>
      </c>
      <c r="AA82" s="16" t="s">
        <v>322</v>
      </c>
      <c r="AB82" s="78" t="s">
        <v>587</v>
      </c>
      <c r="AC82" s="20" t="n">
        <f aca="false">IF(AE82&gt;0,ROUND(AVERAGEIFS('Shortlisted Drugs X Company (7)'!$N$3:$N$698,'Shortlisted Drugs X Company (7)'!$C$3:$C$698,$B82,'Shortlisted Drugs X Company (7)'!$E$3:$E$698,$AA82,'Shortlisted Drugs X Company (7)'!$N$3:$N$698,"&gt;=0"),2),"")</f>
        <v>139.81</v>
      </c>
      <c r="AD82" s="79" t="str">
        <f aca="false">B82&amp;"|"&amp;AA82</f>
        <v>Tirofiban|Aurobindo Pharma</v>
      </c>
      <c r="AE82" s="22" t="n">
        <f aca="false">COUNTIFS('Shortlisted Drugs X Company (7)'!$C$3:$C$698,$B82,'Shortlisted Drugs X Company (7)'!$E$3:$E$698,$AA82,'Shortlisted Drugs X Company (7)'!$N$3:$N$698,"&gt;=0")</f>
        <v>2</v>
      </c>
      <c r="AF82" s="22" t="n">
        <f aca="false">COUNTIFS('Shortlisted Drugs X Company (7)'!$C$3:$C$698,$B82,'Shortlisted Drugs X Company (7)'!$E$3:$E$698,$AA82,'Shortlisted Drugs X Company (7)'!$N$3:$N$698,"&gt;5")</f>
        <v>2</v>
      </c>
      <c r="AG82" s="22" t="n">
        <f aca="false">COUNTIFS('Shortlisted Drugs X Company (7)'!$C$3:$C$698,$B82,'Shortlisted Drugs X Company (7)'!$E$3:$E$698,$AA82,'Shortlisted Drugs X Company (7)'!$P$3:$P$698,"Exact")+COUNTIFS('Shortlisted Drugs X Company (7)'!$C$3:$C$698,$B82,'Shortlisted Drugs X Company (7)'!$E$3:$E$698,$AA82,'Shortlisted Drugs X Company (7)'!$P$3:$P$698,"Same-market proxy")</f>
        <v>2</v>
      </c>
      <c r="AH82" s="22" t="n">
        <f aca="false">INDEX($G$7:$G$25,MATCH(A82,$A$7:$A$25,0))</f>
        <v>2</v>
      </c>
      <c r="AI82" s="79" t="str">
        <f aca="false">IF(OR(Q82="No",LEFT(H82,7)="IV only"),"",AH82*1000+IF(F82="",900+COUNTIFS($A$29:A82,A82,$H$29:H82,"Price*"),F82))</f>
        <v/>
      </c>
      <c r="AJ82" s="79" t="str">
        <f aca="false">IF(H82&lt;&gt;"","",(4-VALUE(RIGHT(E82,1)))*10^7+N(O82))</f>
        <v/>
      </c>
      <c r="AK82" s="79" t="str">
        <f aca="false">IF(AND(H82="",ISNUMBER(I82)),I82,"")</f>
        <v/>
      </c>
      <c r="AL82" s="79" t="str">
        <f aca="false">IF(H82="",M82,"")</f>
        <v/>
      </c>
    </row>
    <row r="83" customFormat="false" ht="41.75" hidden="false" customHeight="false" outlineLevel="0" collapsed="false">
      <c r="A83" s="16" t="s">
        <v>229</v>
      </c>
      <c r="B83" s="16" t="s">
        <v>588</v>
      </c>
      <c r="C83" s="17" t="s">
        <v>588</v>
      </c>
      <c r="D83" s="17" t="s">
        <v>589</v>
      </c>
      <c r="E83" s="15" t="str">
        <f aca="false">IF(H83&lt;&gt;"",IF(LEFT(H83,5)="Price","Excluded – price ≤ USD 5","Excluded – IV only"),IF(ISNUMBER(I83),IF(AND(I83&gt;=$C$3,M83&gt;=$E$3),"Priority 1",IF(OR(I83&gt;=$C$3,M83&gt;=$E$3),"Priority 2","Priority 3")),IF(M83&gt;=$E$3,"Priority 2","Priority 3")))</f>
        <v>Excluded – IV only</v>
      </c>
      <c r="F83" s="15" t="str">
        <f aca="false">IF(H83&lt;&gt;"","",COUNTIFS($A$29:$A$361,A83,$H$29:$H$361,"",$AJ$29:$AJ$361,"&gt;"&amp;AJ83)+COUNTIFS($A$29:A83,A83,$H$29:H83,"",$AJ$29:AJ83,AJ83))</f>
        <v/>
      </c>
      <c r="G83" s="17" t="str">
        <f aca="false">IF(H83&lt;&gt;"","",IF(ISNUMBER(I83),IF(I83&gt;=$C$3,"High price","Lower price"),"No price")&amp;", "&amp;IF(M83&gt;=$E$3,"high volume","lower volume"))</f>
        <v/>
      </c>
      <c r="H83" s="17" t="str">
        <f aca="false">IF(Q83="No","IV only (no ID, IM or SC route)",IF(AND(AE83&gt;0,AF83=0),"Price ≤ USD 5",""))</f>
        <v>IV only (no ID, IM or SC route)</v>
      </c>
      <c r="I83" s="18" t="n">
        <f aca="false">IF(AF83&gt;0,ROUND(AVERAGEIFS('Shortlisted Drugs X Company (7)'!$N$3:$N$698,'Shortlisted Drugs X Company (7)'!$C$3:$C$698,$B83,'Shortlisted Drugs X Company (7)'!$E$3:$E$698,$AA83,'Shortlisted Drugs X Company (7)'!$N$3:$N$698,"&gt;5"),2),"")</f>
        <v>13.53</v>
      </c>
      <c r="J83" s="17" t="str">
        <f aca="false">IF(COUNTIFS('Shortlisted Drugs X Company (7)'!$C$3:$C$698,$B83,'Shortlisted Drugs X Company (7)'!$E$3:$E$698,$AA83,'Shortlisted Drugs X Company (7)'!$P$3:$P$698,"Exact")&gt;0,"Exact",IF(COUNTIFS('Shortlisted Drugs X Company (7)'!$C$3:$C$698,$B83,'Shortlisted Drugs X Company (7)'!$E$3:$E$698,$AA83,'Shortlisted Drugs X Company (7)'!$P$3:$P$698,"Same-market proxy")&gt;0,"Same-market proxy",IF(COUNTIFS('Shortlisted Drugs X Company (7)'!$C$3:$C$698,$B83,'Shortlisted Drugs X Company (7)'!$E$3:$E$698,$AA83,'Shortlisted Drugs X Company (7)'!$P$3:$P$698,"Cross-market proxy")&gt;0,"Cross-market proxy",IF(COUNTIFS('Shortlisted Drugs X Company (7)'!$C$3:$C$698,$B83,'Shortlisted Drugs X Company (7)'!$E$3:$E$698,$AA83,'Shortlisted Drugs X Company (7)'!$P$3:$P$698,"Source not found")&gt;0,"Source not found","No price found"))))</f>
        <v>Exact</v>
      </c>
      <c r="K83" s="19" t="n">
        <f aca="false">IFERROR(INDEX('Injectable Value'!$AB$28:$AB$178,MATCH(B83,'Injectable Value'!$A$28:$A$178,0)),"")</f>
        <v>1307</v>
      </c>
      <c r="L83" s="77" t="n">
        <f aca="false">IFERROR(INDEX('Injectable Value'!$Z$28:$Z$178,MATCH(B83,'Injectable Value'!$A$28:$A$178,0)),"")</f>
        <v>0.618159088235815</v>
      </c>
      <c r="M83" s="19" t="n">
        <f aca="false">IFERROR(INDEX('Injectable Value'!$AC$28:$AC$178,MATCH(B83,'Injectable Value'!$A$28:$A$178,0)),"")</f>
        <v>808</v>
      </c>
      <c r="N83" s="19" t="n">
        <f aca="false">IFERROR(INDEX('Injectable Value'!$C$28:$C$178,MATCH(B83,'Injectable Value'!$A$28:$A$178,0)),"")</f>
        <v>36428.56</v>
      </c>
      <c r="O83" s="19" t="n">
        <f aca="false">IFERROR(ROUND(INDEX('Injectable Value'!$AA$28:$AA$178,MATCH(B83,'Injectable Value'!$A$28:$A$178,0)),1),"")</f>
        <v>22518.6</v>
      </c>
      <c r="P83" s="16" t="str">
        <f aca="false">IFERROR(INDEX('Route of Administration'!$C$5:$C$155,MATCH(B83,'Route of Administration'!$A$5:$A$155,0)),"")</f>
        <v>IV</v>
      </c>
      <c r="Q83" s="15" t="str">
        <f aca="false">IFERROR(INDEX('Route of Administration'!$D$5:$D$155,MATCH(B83,'Route of Administration'!$A$5:$A$155,0)),"")</f>
        <v>No</v>
      </c>
      <c r="R83" s="16" t="s">
        <v>371</v>
      </c>
      <c r="S83" s="17" t="s">
        <v>590</v>
      </c>
      <c r="T83" s="16" t="s">
        <v>283</v>
      </c>
      <c r="U83" s="17" t="str">
        <f aca="false">""&amp;IF(AE83=0,"No price found","")&amp;IF(AND(AE83&gt;0,AF83=0,AG83=0),"Low price comes from another market – confirm with the company","")</f>
        <v/>
      </c>
      <c r="V83" s="17" t="s">
        <v>591</v>
      </c>
      <c r="W83" s="15" t="n">
        <v>7</v>
      </c>
      <c r="X83" s="17" t="s">
        <v>592</v>
      </c>
      <c r="Y83" s="17" t="s">
        <v>592</v>
      </c>
      <c r="Z83" s="17" t="s">
        <v>321</v>
      </c>
      <c r="AA83" s="16" t="s">
        <v>322</v>
      </c>
      <c r="AB83" s="78" t="s">
        <v>593</v>
      </c>
      <c r="AC83" s="20" t="n">
        <f aca="false">IF(AE83&gt;0,ROUND(AVERAGEIFS('Shortlisted Drugs X Company (7)'!$N$3:$N$698,'Shortlisted Drugs X Company (7)'!$C$3:$C$698,$B83,'Shortlisted Drugs X Company (7)'!$E$3:$E$698,$AA83,'Shortlisted Drugs X Company (7)'!$N$3:$N$698,"&gt;=0"),2),"")</f>
        <v>13.53</v>
      </c>
      <c r="AD83" s="79" t="str">
        <f aca="false">B83&amp;"|"&amp;AA83</f>
        <v>Tranexamic Acid|Aurobindo Pharma</v>
      </c>
      <c r="AE83" s="22" t="n">
        <f aca="false">COUNTIFS('Shortlisted Drugs X Company (7)'!$C$3:$C$698,$B83,'Shortlisted Drugs X Company (7)'!$E$3:$E$698,$AA83,'Shortlisted Drugs X Company (7)'!$N$3:$N$698,"&gt;=0")</f>
        <v>3</v>
      </c>
      <c r="AF83" s="22" t="n">
        <f aca="false">COUNTIFS('Shortlisted Drugs X Company (7)'!$C$3:$C$698,$B83,'Shortlisted Drugs X Company (7)'!$E$3:$E$698,$AA83,'Shortlisted Drugs X Company (7)'!$N$3:$N$698,"&gt;5")</f>
        <v>3</v>
      </c>
      <c r="AG83" s="22" t="n">
        <f aca="false">COUNTIFS('Shortlisted Drugs X Company (7)'!$C$3:$C$698,$B83,'Shortlisted Drugs X Company (7)'!$E$3:$E$698,$AA83,'Shortlisted Drugs X Company (7)'!$P$3:$P$698,"Exact")+COUNTIFS('Shortlisted Drugs X Company (7)'!$C$3:$C$698,$B83,'Shortlisted Drugs X Company (7)'!$E$3:$E$698,$AA83,'Shortlisted Drugs X Company (7)'!$P$3:$P$698,"Same-market proxy")</f>
        <v>3</v>
      </c>
      <c r="AH83" s="22" t="n">
        <f aca="false">INDEX($G$7:$G$25,MATCH(A83,$A$7:$A$25,0))</f>
        <v>2</v>
      </c>
      <c r="AI83" s="79" t="str">
        <f aca="false">IF(OR(Q83="No",LEFT(H83,7)="IV only"),"",AH83*1000+IF(F83="",900+COUNTIFS($A$29:A83,A83,$H$29:H83,"Price*"),F83))</f>
        <v/>
      </c>
      <c r="AJ83" s="79" t="str">
        <f aca="false">IF(H83&lt;&gt;"","",(4-VALUE(RIGHT(E83,1)))*10^7+N(O83))</f>
        <v/>
      </c>
      <c r="AK83" s="79" t="str">
        <f aca="false">IF(AND(H83="",ISNUMBER(I83)),I83,"")</f>
        <v/>
      </c>
      <c r="AL83" s="79" t="str">
        <f aca="false">IF(H83="",M83,"")</f>
        <v/>
      </c>
    </row>
    <row r="84" customFormat="false" ht="41.75" hidden="false" customHeight="false" outlineLevel="0" collapsed="false">
      <c r="A84" s="16" t="s">
        <v>229</v>
      </c>
      <c r="B84" s="16" t="s">
        <v>308</v>
      </c>
      <c r="C84" s="17" t="s">
        <v>308</v>
      </c>
      <c r="D84" s="17" t="s">
        <v>309</v>
      </c>
      <c r="E84" s="15" t="str">
        <f aca="false">IF(H84&lt;&gt;"",IF(LEFT(H84,5)="Price","Excluded – price ≤ USD 5","Excluded – IV only"),IF(ISNUMBER(I84),IF(AND(I84&gt;=$C$3,M84&gt;=$E$3),"Priority 1",IF(OR(I84&gt;=$C$3,M84&gt;=$E$3),"Priority 2","Priority 3")),IF(M84&gt;=$E$3,"Priority 2","Priority 3")))</f>
        <v>Excluded – price ≤ USD 5</v>
      </c>
      <c r="F84" s="15" t="str">
        <f aca="false">IF(H84&lt;&gt;"","",COUNTIFS($A$29:$A$361,A84,$H$29:$H$361,"",$AJ$29:$AJ$361,"&gt;"&amp;AJ84)+COUNTIFS($A$29:A84,A84,$H$29:H84,"",$AJ$29:AJ84,AJ84))</f>
        <v/>
      </c>
      <c r="G84" s="17" t="str">
        <f aca="false">IF(H84&lt;&gt;"","",IF(ISNUMBER(I84),IF(I84&gt;=$C$3,"High price","Lower price"),"No price")&amp;", "&amp;IF(M84&gt;=$E$3,"high volume","lower volume"))</f>
        <v/>
      </c>
      <c r="H84" s="17" t="str">
        <f aca="false">IF(Q84="No","IV only (no ID, IM or SC route)",IF(AND(AE84&gt;0,AF84=0),"Price ≤ USD 5",""))</f>
        <v>Price ≤ USD 5</v>
      </c>
      <c r="I84" s="18" t="str">
        <f aca="false">IF(AF84&gt;0,ROUND(AVERAGEIFS('Shortlisted Drugs X Company (7)'!$N$3:$N$698,'Shortlisted Drugs X Company (7)'!$C$3:$C$698,$B84,'Shortlisted Drugs X Company (7)'!$E$3:$E$698,$AA84,'Shortlisted Drugs X Company (7)'!$N$3:$N$698,"&gt;5"),2),"")</f>
        <v/>
      </c>
      <c r="J84" s="17" t="str">
        <f aca="false">IF(COUNTIFS('Shortlisted Drugs X Company (7)'!$C$3:$C$698,$B84,'Shortlisted Drugs X Company (7)'!$E$3:$E$698,$AA84,'Shortlisted Drugs X Company (7)'!$P$3:$P$698,"Exact")&gt;0,"Exact",IF(COUNTIFS('Shortlisted Drugs X Company (7)'!$C$3:$C$698,$B84,'Shortlisted Drugs X Company (7)'!$E$3:$E$698,$AA84,'Shortlisted Drugs X Company (7)'!$P$3:$P$698,"Same-market proxy")&gt;0,"Same-market proxy",IF(COUNTIFS('Shortlisted Drugs X Company (7)'!$C$3:$C$698,$B84,'Shortlisted Drugs X Company (7)'!$E$3:$E$698,$AA84,'Shortlisted Drugs X Company (7)'!$P$3:$P$698,"Cross-market proxy")&gt;0,"Cross-market proxy",IF(COUNTIFS('Shortlisted Drugs X Company (7)'!$C$3:$C$698,$B84,'Shortlisted Drugs X Company (7)'!$E$3:$E$698,$AA84,'Shortlisted Drugs X Company (7)'!$P$3:$P$698,"Source not found")&gt;0,"Source not found","No price found"))))</f>
        <v>Same-market proxy</v>
      </c>
      <c r="K84" s="19" t="n">
        <f aca="false">IFERROR(INDEX('Injectable Value'!$AB$28:$AB$178,MATCH(B84,'Injectable Value'!$A$28:$A$178,0)),"")</f>
        <v>735</v>
      </c>
      <c r="L84" s="77" t="n">
        <f aca="false">IFERROR(INDEX('Injectable Value'!$Z$28:$Z$178,MATCH(B84,'Injectable Value'!$A$28:$A$178,0)),"")</f>
        <v>0.262678151411075</v>
      </c>
      <c r="M84" s="19" t="n">
        <f aca="false">IFERROR(INDEX('Injectable Value'!$AC$28:$AC$178,MATCH(B84,'Injectable Value'!$A$28:$A$178,0)),"")</f>
        <v>193</v>
      </c>
      <c r="N84" s="19" t="n">
        <f aca="false">IFERROR(INDEX('Injectable Value'!$C$28:$C$178,MATCH(B84,'Injectable Value'!$A$28:$A$178,0)),"")</f>
        <v>16205.48</v>
      </c>
      <c r="O84" s="19" t="n">
        <f aca="false">IFERROR(ROUND(INDEX('Injectable Value'!$AA$28:$AA$178,MATCH(B84,'Injectable Value'!$A$28:$A$178,0)),1),"")</f>
        <v>4256.8</v>
      </c>
      <c r="P84" s="16" t="str">
        <f aca="false">IFERROR(INDEX('Route of Administration'!$C$5:$C$155,MATCH(B84,'Route of Administration'!$A$5:$A$155,0)),"")</f>
        <v>IM</v>
      </c>
      <c r="Q84" s="15" t="str">
        <f aca="false">IFERROR(INDEX('Route of Administration'!$D$5:$D$155,MATCH(B84,'Route of Administration'!$A$5:$A$155,0)),"")</f>
        <v>Yes</v>
      </c>
      <c r="R84" s="16" t="s">
        <v>310</v>
      </c>
      <c r="S84" s="17" t="s">
        <v>311</v>
      </c>
      <c r="T84" s="16" t="s">
        <v>310</v>
      </c>
      <c r="U84" s="17" t="str">
        <f aca="false">""&amp;IF(AE84=0,"No price found","")&amp;IF(AND(AE84&gt;0,AF84=0,AG84=0),"Low price comes from another market – confirm with the company","")</f>
        <v/>
      </c>
      <c r="V84" s="17" t="s">
        <v>284</v>
      </c>
      <c r="W84" s="15" t="n">
        <v>1</v>
      </c>
      <c r="X84" s="17" t="s">
        <v>284</v>
      </c>
      <c r="Y84" s="17" t="s">
        <v>284</v>
      </c>
      <c r="Z84" s="17" t="s">
        <v>312</v>
      </c>
      <c r="AA84" s="16" t="s">
        <v>322</v>
      </c>
      <c r="AB84" s="78" t="s">
        <v>313</v>
      </c>
      <c r="AC84" s="20" t="n">
        <f aca="false">IF(AE84&gt;0,ROUND(AVERAGEIFS('Shortlisted Drugs X Company (7)'!$N$3:$N$698,'Shortlisted Drugs X Company (7)'!$C$3:$C$698,$B84,'Shortlisted Drugs X Company (7)'!$E$3:$E$698,$AA84,'Shortlisted Drugs X Company (7)'!$N$3:$N$698,"&gt;=0"),2),"")</f>
        <v>3.15</v>
      </c>
      <c r="AD84" s="79" t="str">
        <f aca="false">B84&amp;"|"&amp;AA84</f>
        <v>Triamcinolone Acetonide|Aurobindo Pharma</v>
      </c>
      <c r="AE84" s="22" t="n">
        <f aca="false">COUNTIFS('Shortlisted Drugs X Company (7)'!$C$3:$C$698,$B84,'Shortlisted Drugs X Company (7)'!$E$3:$E$698,$AA84,'Shortlisted Drugs X Company (7)'!$N$3:$N$698,"&gt;=0")</f>
        <v>1</v>
      </c>
      <c r="AF84" s="22" t="n">
        <f aca="false">COUNTIFS('Shortlisted Drugs X Company (7)'!$C$3:$C$698,$B84,'Shortlisted Drugs X Company (7)'!$E$3:$E$698,$AA84,'Shortlisted Drugs X Company (7)'!$N$3:$N$698,"&gt;5")</f>
        <v>0</v>
      </c>
      <c r="AG84" s="22" t="n">
        <f aca="false">COUNTIFS('Shortlisted Drugs X Company (7)'!$C$3:$C$698,$B84,'Shortlisted Drugs X Company (7)'!$E$3:$E$698,$AA84,'Shortlisted Drugs X Company (7)'!$P$3:$P$698,"Exact")+COUNTIFS('Shortlisted Drugs X Company (7)'!$C$3:$C$698,$B84,'Shortlisted Drugs X Company (7)'!$E$3:$E$698,$AA84,'Shortlisted Drugs X Company (7)'!$P$3:$P$698,"Same-market proxy")</f>
        <v>1</v>
      </c>
      <c r="AH84" s="22" t="n">
        <f aca="false">INDEX($G$7:$G$25,MATCH(A84,$A$7:$A$25,0))</f>
        <v>2</v>
      </c>
      <c r="AI84" s="79" t="n">
        <f aca="false">IF(OR(Q84="No",LEFT(H84,7)="IV only"),"",AH84*1000+IF(F84="",900+COUNTIFS($A$29:A84,A84,$H$29:H84,"Price*"),F84))</f>
        <v>2902</v>
      </c>
      <c r="AJ84" s="79" t="str">
        <f aca="false">IF(H84&lt;&gt;"","",(4-VALUE(RIGHT(E84,1)))*10^7+N(O84))</f>
        <v/>
      </c>
      <c r="AK84" s="79" t="str">
        <f aca="false">IF(AND(H84="",ISNUMBER(I84)),I84,"")</f>
        <v/>
      </c>
      <c r="AL84" s="79" t="str">
        <f aca="false">IF(H84="",M84,"")</f>
        <v/>
      </c>
    </row>
    <row r="85" customFormat="false" ht="28.35" hidden="false" customHeight="false" outlineLevel="0" collapsed="false">
      <c r="A85" s="16" t="s">
        <v>229</v>
      </c>
      <c r="B85" s="16" t="s">
        <v>594</v>
      </c>
      <c r="C85" s="17" t="s">
        <v>595</v>
      </c>
      <c r="D85" s="17" t="s">
        <v>596</v>
      </c>
      <c r="E85" s="15" t="str">
        <f aca="false">IF(H85&lt;&gt;"",IF(LEFT(H85,5)="Price","Excluded – price ≤ USD 5","Excluded – IV only"),IF(ISNUMBER(I85),IF(AND(I85&gt;=$C$3,M85&gt;=$E$3),"Priority 1",IF(OR(I85&gt;=$C$3,M85&gt;=$E$3),"Priority 2","Priority 3")),IF(M85&gt;=$E$3,"Priority 2","Priority 3")))</f>
        <v>Excluded – IV only</v>
      </c>
      <c r="F85" s="15" t="str">
        <f aca="false">IF(H85&lt;&gt;"","",COUNTIFS($A$29:$A$361,A85,$H$29:$H$361,"",$AJ$29:$AJ$361,"&gt;"&amp;AJ85)+COUNTIFS($A$29:A85,A85,$H$29:H85,"",$AJ$29:AJ85,AJ85))</f>
        <v/>
      </c>
      <c r="G85" s="17" t="str">
        <f aca="false">IF(H85&lt;&gt;"","",IF(ISNUMBER(I85),IF(I85&gt;=$C$3,"High price","Lower price"),"No price")&amp;", "&amp;IF(M85&gt;=$E$3,"high volume","lower volume"))</f>
        <v/>
      </c>
      <c r="H85" s="17" t="str">
        <f aca="false">IF(Q85="No","IV only (no ID, IM or SC route)",IF(AND(AE85&gt;0,AF85=0),"Price ≤ USD 5",""))</f>
        <v>IV only (no ID, IM or SC route)</v>
      </c>
      <c r="I85" s="18" t="n">
        <f aca="false">IF(AF85&gt;0,ROUND(AVERAGEIFS('Shortlisted Drugs X Company (7)'!$N$3:$N$698,'Shortlisted Drugs X Company (7)'!$C$3:$C$698,$B85,'Shortlisted Drugs X Company (7)'!$E$3:$E$698,$AA85,'Shortlisted Drugs X Company (7)'!$N$3:$N$698,"&gt;5"),2),"")</f>
        <v>7.95</v>
      </c>
      <c r="J85" s="17" t="str">
        <f aca="false">IF(COUNTIFS('Shortlisted Drugs X Company (7)'!$C$3:$C$698,$B85,'Shortlisted Drugs X Company (7)'!$E$3:$E$698,$AA85,'Shortlisted Drugs X Company (7)'!$P$3:$P$698,"Exact")&gt;0,"Exact",IF(COUNTIFS('Shortlisted Drugs X Company (7)'!$C$3:$C$698,$B85,'Shortlisted Drugs X Company (7)'!$E$3:$E$698,$AA85,'Shortlisted Drugs X Company (7)'!$P$3:$P$698,"Same-market proxy")&gt;0,"Same-market proxy",IF(COUNTIFS('Shortlisted Drugs X Company (7)'!$C$3:$C$698,$B85,'Shortlisted Drugs X Company (7)'!$E$3:$E$698,$AA85,'Shortlisted Drugs X Company (7)'!$P$3:$P$698,"Cross-market proxy")&gt;0,"Cross-market proxy",IF(COUNTIFS('Shortlisted Drugs X Company (7)'!$C$3:$C$698,$B85,'Shortlisted Drugs X Company (7)'!$E$3:$E$698,$AA85,'Shortlisted Drugs X Company (7)'!$P$3:$P$698,"Source not found")&gt;0,"Source not found","No price found"))))</f>
        <v>Cross-market proxy</v>
      </c>
      <c r="K85" s="19" t="n">
        <f aca="false">IFERROR(INDEX('Injectable Value'!$AB$28:$AB$178,MATCH(B85,'Injectable Value'!$A$28:$A$178,0)),"")</f>
        <v>208</v>
      </c>
      <c r="L85" s="77" t="n">
        <f aca="false">IFERROR(INDEX('Injectable Value'!$Z$28:$Z$178,MATCH(B85,'Injectable Value'!$A$28:$A$178,0)),"")</f>
        <v>1</v>
      </c>
      <c r="M85" s="19" t="n">
        <f aca="false">IFERROR(INDEX('Injectable Value'!$AC$28:$AC$178,MATCH(B85,'Injectable Value'!$A$28:$A$178,0)),"")</f>
        <v>208</v>
      </c>
      <c r="N85" s="19" t="n">
        <f aca="false">IFERROR(INDEX('Injectable Value'!$C$28:$C$178,MATCH(B85,'Injectable Value'!$A$28:$A$178,0)),"")</f>
        <v>3923.58</v>
      </c>
      <c r="O85" s="19" t="n">
        <f aca="false">IFERROR(ROUND(INDEX('Injectable Value'!$AA$28:$AA$178,MATCH(B85,'Injectable Value'!$A$28:$A$178,0)),1),"")</f>
        <v>3923.6</v>
      </c>
      <c r="P85" s="16" t="str">
        <f aca="false">IFERROR(INDEX('Route of Administration'!$C$5:$C$155,MATCH(B85,'Route of Administration'!$A$5:$A$155,0)),"")</f>
        <v>IV</v>
      </c>
      <c r="Q85" s="15" t="str">
        <f aca="false">IFERROR(INDEX('Route of Administration'!$D$5:$D$155,MATCH(B85,'Route of Administration'!$A$5:$A$155,0)),"")</f>
        <v>No</v>
      </c>
      <c r="R85" s="16" t="s">
        <v>281</v>
      </c>
      <c r="S85" s="17" t="s">
        <v>597</v>
      </c>
      <c r="T85" s="16" t="s">
        <v>310</v>
      </c>
      <c r="U85" s="17" t="str">
        <f aca="false">""&amp;IF(AE85=0,"No price found","")&amp;IF(AND(AE85&gt;0,AF85=0,AG85=0),"Low price comes from another market – confirm with the company","")</f>
        <v/>
      </c>
      <c r="V85" s="17" t="s">
        <v>284</v>
      </c>
      <c r="W85" s="15" t="n">
        <v>1</v>
      </c>
      <c r="X85" s="17" t="s">
        <v>284</v>
      </c>
      <c r="Y85" s="17" t="s">
        <v>284</v>
      </c>
      <c r="Z85" s="17" t="s">
        <v>321</v>
      </c>
      <c r="AA85" s="16" t="s">
        <v>322</v>
      </c>
      <c r="AB85" s="78" t="s">
        <v>598</v>
      </c>
      <c r="AC85" s="20" t="n">
        <f aca="false">IF(AE85&gt;0,ROUND(AVERAGEIFS('Shortlisted Drugs X Company (7)'!$N$3:$N$698,'Shortlisted Drugs X Company (7)'!$C$3:$C$698,$B85,'Shortlisted Drugs X Company (7)'!$E$3:$E$698,$AA85,'Shortlisted Drugs X Company (7)'!$N$3:$N$698,"&gt;=0"),2),"")</f>
        <v>7.95</v>
      </c>
      <c r="AD85" s="79" t="str">
        <f aca="false">B85&amp;"|"&amp;AA85</f>
        <v>Vecuronium|Aurobindo Pharma</v>
      </c>
      <c r="AE85" s="22" t="n">
        <f aca="false">COUNTIFS('Shortlisted Drugs X Company (7)'!$C$3:$C$698,$B85,'Shortlisted Drugs X Company (7)'!$E$3:$E$698,$AA85,'Shortlisted Drugs X Company (7)'!$N$3:$N$698,"&gt;=0")</f>
        <v>1</v>
      </c>
      <c r="AF85" s="22" t="n">
        <f aca="false">COUNTIFS('Shortlisted Drugs X Company (7)'!$C$3:$C$698,$B85,'Shortlisted Drugs X Company (7)'!$E$3:$E$698,$AA85,'Shortlisted Drugs X Company (7)'!$N$3:$N$698,"&gt;5")</f>
        <v>1</v>
      </c>
      <c r="AG85" s="22" t="n">
        <f aca="false">COUNTIFS('Shortlisted Drugs X Company (7)'!$C$3:$C$698,$B85,'Shortlisted Drugs X Company (7)'!$E$3:$E$698,$AA85,'Shortlisted Drugs X Company (7)'!$P$3:$P$698,"Exact")+COUNTIFS('Shortlisted Drugs X Company (7)'!$C$3:$C$698,$B85,'Shortlisted Drugs X Company (7)'!$E$3:$E$698,$AA85,'Shortlisted Drugs X Company (7)'!$P$3:$P$698,"Same-market proxy")</f>
        <v>0</v>
      </c>
      <c r="AH85" s="22" t="n">
        <f aca="false">INDEX($G$7:$G$25,MATCH(A85,$A$7:$A$25,0))</f>
        <v>2</v>
      </c>
      <c r="AI85" s="79" t="str">
        <f aca="false">IF(OR(Q85="No",LEFT(H85,7)="IV only"),"",AH85*1000+IF(F85="",900+COUNTIFS($A$29:A85,A85,$H$29:H85,"Price*"),F85))</f>
        <v/>
      </c>
      <c r="AJ85" s="79" t="str">
        <f aca="false">IF(H85&lt;&gt;"","",(4-VALUE(RIGHT(E85,1)))*10^7+N(O85))</f>
        <v/>
      </c>
      <c r="AK85" s="79" t="str">
        <f aca="false">IF(AND(H85="",ISNUMBER(I85)),I85,"")</f>
        <v/>
      </c>
      <c r="AL85" s="79" t="str">
        <f aca="false">IF(H85="",M85,"")</f>
        <v/>
      </c>
    </row>
    <row r="86" customFormat="false" ht="41.75" hidden="false" customHeight="false" outlineLevel="0" collapsed="false">
      <c r="A86" s="16" t="s">
        <v>229</v>
      </c>
      <c r="B86" s="16" t="s">
        <v>599</v>
      </c>
      <c r="C86" s="17" t="s">
        <v>600</v>
      </c>
      <c r="D86" s="17" t="s">
        <v>601</v>
      </c>
      <c r="E86" s="15" t="str">
        <f aca="false">IF(H86&lt;&gt;"",IF(LEFT(H86,5)="Price","Excluded – price ≤ USD 5","Excluded – IV only"),IF(ISNUMBER(I86),IF(AND(I86&gt;=$C$3,M86&gt;=$E$3),"Priority 1",IF(OR(I86&gt;=$C$3,M86&gt;=$E$3),"Priority 2","Priority 3")),IF(M86&gt;=$E$3,"Priority 2","Priority 3")))</f>
        <v>Excluded – IV only</v>
      </c>
      <c r="F86" s="15" t="str">
        <f aca="false">IF(H86&lt;&gt;"","",COUNTIFS($A$29:$A$361,A86,$H$29:$H$361,"",$AJ$29:$AJ$361,"&gt;"&amp;AJ86)+COUNTIFS($A$29:A86,A86,$H$29:H86,"",$AJ$29:AJ86,AJ86))</f>
        <v/>
      </c>
      <c r="G86" s="17" t="str">
        <f aca="false">IF(H86&lt;&gt;"","",IF(ISNUMBER(I86),IF(I86&gt;=$C$3,"High price","Lower price"),"No price")&amp;", "&amp;IF(M86&gt;=$E$3,"high volume","lower volume"))</f>
        <v/>
      </c>
      <c r="H86" s="17" t="str">
        <f aca="false">IF(Q86="No","IV only (no ID, IM or SC route)",IF(AND(AE86&gt;0,AF86=0),"Price ≤ USD 5",""))</f>
        <v>IV only (no ID, IM or SC route)</v>
      </c>
      <c r="I86" s="18" t="n">
        <f aca="false">IF(AF86&gt;0,ROUND(AVERAGEIFS('Shortlisted Drugs X Company (7)'!$N$3:$N$698,'Shortlisted Drugs X Company (7)'!$C$3:$C$698,$B86,'Shortlisted Drugs X Company (7)'!$E$3:$E$698,$AA86,'Shortlisted Drugs X Company (7)'!$N$3:$N$698,"&gt;5"),2),"")</f>
        <v>13.63</v>
      </c>
      <c r="J86" s="17" t="str">
        <f aca="false">IF(COUNTIFS('Shortlisted Drugs X Company (7)'!$C$3:$C$698,$B86,'Shortlisted Drugs X Company (7)'!$E$3:$E$698,$AA86,'Shortlisted Drugs X Company (7)'!$P$3:$P$698,"Exact")&gt;0,"Exact",IF(COUNTIFS('Shortlisted Drugs X Company (7)'!$C$3:$C$698,$B86,'Shortlisted Drugs X Company (7)'!$E$3:$E$698,$AA86,'Shortlisted Drugs X Company (7)'!$P$3:$P$698,"Same-market proxy")&gt;0,"Same-market proxy",IF(COUNTIFS('Shortlisted Drugs X Company (7)'!$C$3:$C$698,$B86,'Shortlisted Drugs X Company (7)'!$E$3:$E$698,$AA86,'Shortlisted Drugs X Company (7)'!$P$3:$P$698,"Cross-market proxy")&gt;0,"Cross-market proxy",IF(COUNTIFS('Shortlisted Drugs X Company (7)'!$C$3:$C$698,$B86,'Shortlisted Drugs X Company (7)'!$E$3:$E$698,$AA86,'Shortlisted Drugs X Company (7)'!$P$3:$P$698,"Source not found")&gt;0,"Source not found","No price found"))))</f>
        <v>Same-market proxy</v>
      </c>
      <c r="K86" s="19" t="n">
        <f aca="false">IFERROR(INDEX('Injectable Value'!$AB$28:$AB$178,MATCH(B86,'Injectable Value'!$A$28:$A$178,0)),"")</f>
        <v>374</v>
      </c>
      <c r="L86" s="77" t="n">
        <f aca="false">IFERROR(INDEX('Injectable Value'!$Z$28:$Z$178,MATCH(B86,'Injectable Value'!$A$28:$A$178,0)),"")</f>
        <v>0.18191811645244</v>
      </c>
      <c r="M86" s="19" t="n">
        <f aca="false">IFERROR(INDEX('Injectable Value'!$AC$28:$AC$178,MATCH(B86,'Injectable Value'!$A$28:$A$178,0)),"")</f>
        <v>68</v>
      </c>
      <c r="N86" s="19" t="n">
        <f aca="false">IFERROR(INDEX('Injectable Value'!$C$28:$C$178,MATCH(B86,'Injectable Value'!$A$28:$A$178,0)),"")</f>
        <v>13615.47</v>
      </c>
      <c r="O86" s="19" t="n">
        <f aca="false">IFERROR(ROUND(INDEX('Injectable Value'!$AA$28:$AA$178,MATCH(B86,'Injectable Value'!$A$28:$A$178,0)),1),"")</f>
        <v>2476.9</v>
      </c>
      <c r="P86" s="16" t="str">
        <f aca="false">IFERROR(INDEX('Route of Administration'!$C$5:$C$155,MATCH(B86,'Route of Administration'!$A$5:$A$155,0)),"")</f>
        <v>IV</v>
      </c>
      <c r="Q86" s="15" t="str">
        <f aca="false">IFERROR(INDEX('Route of Administration'!$D$5:$D$155,MATCH(B86,'Route of Administration'!$A$5:$A$155,0)),"")</f>
        <v>No</v>
      </c>
      <c r="R86" s="16" t="s">
        <v>281</v>
      </c>
      <c r="S86" s="17" t="s">
        <v>602</v>
      </c>
      <c r="T86" s="16" t="s">
        <v>283</v>
      </c>
      <c r="U86" s="17" t="str">
        <f aca="false">""&amp;IF(AE86=0,"No price found","")&amp;IF(AND(AE86&gt;0,AF86=0,AG86=0),"Low price comes from another market – confirm with the company","")</f>
        <v/>
      </c>
      <c r="V86" s="17" t="s">
        <v>284</v>
      </c>
      <c r="W86" s="15" t="n">
        <v>1</v>
      </c>
      <c r="X86" s="17" t="s">
        <v>284</v>
      </c>
      <c r="Y86" s="17" t="s">
        <v>284</v>
      </c>
      <c r="Z86" s="17" t="s">
        <v>286</v>
      </c>
      <c r="AA86" s="16" t="s">
        <v>322</v>
      </c>
      <c r="AB86" s="78" t="s">
        <v>603</v>
      </c>
      <c r="AC86" s="20" t="n">
        <f aca="false">IF(AE86&gt;0,ROUND(AVERAGEIFS('Shortlisted Drugs X Company (7)'!$N$3:$N$698,'Shortlisted Drugs X Company (7)'!$C$3:$C$698,$B86,'Shortlisted Drugs X Company (7)'!$E$3:$E$698,$AA86,'Shortlisted Drugs X Company (7)'!$N$3:$N$698,"&gt;=0"),2),"")</f>
        <v>13.63</v>
      </c>
      <c r="AD86" s="79" t="str">
        <f aca="false">B86&amp;"|"&amp;AA86</f>
        <v>Verapamil|Aurobindo Pharma</v>
      </c>
      <c r="AE86" s="22" t="n">
        <f aca="false">COUNTIFS('Shortlisted Drugs X Company (7)'!$C$3:$C$698,$B86,'Shortlisted Drugs X Company (7)'!$E$3:$E$698,$AA86,'Shortlisted Drugs X Company (7)'!$N$3:$N$698,"&gt;=0")</f>
        <v>1</v>
      </c>
      <c r="AF86" s="22" t="n">
        <f aca="false">COUNTIFS('Shortlisted Drugs X Company (7)'!$C$3:$C$698,$B86,'Shortlisted Drugs X Company (7)'!$E$3:$E$698,$AA86,'Shortlisted Drugs X Company (7)'!$N$3:$N$698,"&gt;5")</f>
        <v>1</v>
      </c>
      <c r="AG86" s="22" t="n">
        <f aca="false">COUNTIFS('Shortlisted Drugs X Company (7)'!$C$3:$C$698,$B86,'Shortlisted Drugs X Company (7)'!$E$3:$E$698,$AA86,'Shortlisted Drugs X Company (7)'!$P$3:$P$698,"Exact")+COUNTIFS('Shortlisted Drugs X Company (7)'!$C$3:$C$698,$B86,'Shortlisted Drugs X Company (7)'!$E$3:$E$698,$AA86,'Shortlisted Drugs X Company (7)'!$P$3:$P$698,"Same-market proxy")</f>
        <v>1</v>
      </c>
      <c r="AH86" s="22" t="n">
        <f aca="false">INDEX($G$7:$G$25,MATCH(A86,$A$7:$A$25,0))</f>
        <v>2</v>
      </c>
      <c r="AI86" s="79" t="str">
        <f aca="false">IF(OR(Q86="No",LEFT(H86,7)="IV only"),"",AH86*1000+IF(F86="",900+COUNTIFS($A$29:A86,A86,$H$29:H86,"Price*"),F86))</f>
        <v/>
      </c>
      <c r="AJ86" s="79" t="str">
        <f aca="false">IF(H86&lt;&gt;"","",(4-VALUE(RIGHT(E86,1)))*10^7+N(O86))</f>
        <v/>
      </c>
      <c r="AK86" s="79" t="str">
        <f aca="false">IF(AND(H86="",ISNUMBER(I86)),I86,"")</f>
        <v/>
      </c>
      <c r="AL86" s="79" t="str">
        <f aca="false">IF(H86="",M86,"")</f>
        <v/>
      </c>
    </row>
    <row r="87" customFormat="false" ht="28.35" hidden="false" customHeight="false" outlineLevel="0" collapsed="false">
      <c r="A87" s="16" t="s">
        <v>229</v>
      </c>
      <c r="B87" s="16" t="s">
        <v>604</v>
      </c>
      <c r="C87" s="17" t="s">
        <v>605</v>
      </c>
      <c r="D87" s="17" t="s">
        <v>606</v>
      </c>
      <c r="E87" s="15" t="str">
        <f aca="false">IF(H87&lt;&gt;"",IF(LEFT(H87,5)="Price","Excluded – price ≤ USD 5","Excluded – IV only"),IF(ISNUMBER(I87),IF(AND(I87&gt;=$C$3,M87&gt;=$E$3),"Priority 1",IF(OR(I87&gt;=$C$3,M87&gt;=$E$3),"Priority 2","Priority 3")),IF(M87&gt;=$E$3,"Priority 2","Priority 3")))</f>
        <v>Excluded – IV only</v>
      </c>
      <c r="F87" s="15" t="str">
        <f aca="false">IF(H87&lt;&gt;"","",COUNTIFS($A$29:$A$361,A87,$H$29:$H$361,"",$AJ$29:$AJ$361,"&gt;"&amp;AJ87)+COUNTIFS($A$29:A87,A87,$H$29:H87,"",$AJ$29:AJ87,AJ87))</f>
        <v/>
      </c>
      <c r="G87" s="17" t="str">
        <f aca="false">IF(H87&lt;&gt;"","",IF(ISNUMBER(I87),IF(I87&gt;=$C$3,"High price","Lower price"),"No price")&amp;", "&amp;IF(M87&gt;=$E$3,"high volume","lower volume"))</f>
        <v/>
      </c>
      <c r="H87" s="17" t="str">
        <f aca="false">IF(Q87="No","IV only (no ID, IM or SC route)",IF(AND(AE87&gt;0,AF87=0),"Price ≤ USD 5",""))</f>
        <v>IV only (no ID, IM or SC route)</v>
      </c>
      <c r="I87" s="18" t="n">
        <f aca="false">IF(AF87&gt;0,ROUND(AVERAGEIFS('Shortlisted Drugs X Company (7)'!$N$3:$N$698,'Shortlisted Drugs X Company (7)'!$C$3:$C$698,$B87,'Shortlisted Drugs X Company (7)'!$E$3:$E$698,$AA87,'Shortlisted Drugs X Company (7)'!$N$3:$N$698,"&gt;5"),2),"")</f>
        <v>24.4</v>
      </c>
      <c r="J87" s="17" t="str">
        <f aca="false">IF(COUNTIFS('Shortlisted Drugs X Company (7)'!$C$3:$C$698,$B87,'Shortlisted Drugs X Company (7)'!$E$3:$E$698,$AA87,'Shortlisted Drugs X Company (7)'!$P$3:$P$698,"Exact")&gt;0,"Exact",IF(COUNTIFS('Shortlisted Drugs X Company (7)'!$C$3:$C$698,$B87,'Shortlisted Drugs X Company (7)'!$E$3:$E$698,$AA87,'Shortlisted Drugs X Company (7)'!$P$3:$P$698,"Same-market proxy")&gt;0,"Same-market proxy",IF(COUNTIFS('Shortlisted Drugs X Company (7)'!$C$3:$C$698,$B87,'Shortlisted Drugs X Company (7)'!$E$3:$E$698,$AA87,'Shortlisted Drugs X Company (7)'!$P$3:$P$698,"Cross-market proxy")&gt;0,"Cross-market proxy",IF(COUNTIFS('Shortlisted Drugs X Company (7)'!$C$3:$C$698,$B87,'Shortlisted Drugs X Company (7)'!$E$3:$E$698,$AA87,'Shortlisted Drugs X Company (7)'!$P$3:$P$698,"Source not found")&gt;0,"Source not found","No price found"))))</f>
        <v>Exact</v>
      </c>
      <c r="K87" s="19" t="n">
        <f aca="false">IFERROR(INDEX('Injectable Value'!$AB$28:$AB$178,MATCH(B87,'Injectable Value'!$A$28:$A$178,0)),"")</f>
        <v>93</v>
      </c>
      <c r="L87" s="77" t="n">
        <f aca="false">IFERROR(INDEX('Injectable Value'!$Z$28:$Z$178,MATCH(B87,'Injectable Value'!$A$28:$A$178,0)),"")</f>
        <v>0.571145833333333</v>
      </c>
      <c r="M87" s="19" t="n">
        <f aca="false">IFERROR(INDEX('Injectable Value'!$AC$28:$AC$178,MATCH(B87,'Injectable Value'!$A$28:$A$178,0)),"")</f>
        <v>53</v>
      </c>
      <c r="N87" s="19" t="n">
        <f aca="false">IFERROR(INDEX('Injectable Value'!$C$28:$C$178,MATCH(B87,'Injectable Value'!$A$28:$A$178,0)),"")</f>
        <v>528.18</v>
      </c>
      <c r="O87" s="19" t="n">
        <f aca="false">IFERROR(ROUND(INDEX('Injectable Value'!$AA$28:$AA$178,MATCH(B87,'Injectable Value'!$A$28:$A$178,0)),1),"")</f>
        <v>301.7</v>
      </c>
      <c r="P87" s="16" t="str">
        <f aca="false">IFERROR(INDEX('Route of Administration'!$C$5:$C$155,MATCH(B87,'Route of Administration'!$A$5:$A$155,0)),"")</f>
        <v>IV</v>
      </c>
      <c r="Q87" s="15" t="str">
        <f aca="false">IFERROR(INDEX('Route of Administration'!$D$5:$D$155,MATCH(B87,'Route of Administration'!$A$5:$A$155,0)),"")</f>
        <v>No</v>
      </c>
      <c r="R87" s="16" t="s">
        <v>281</v>
      </c>
      <c r="S87" s="17" t="s">
        <v>607</v>
      </c>
      <c r="T87" s="16" t="s">
        <v>283</v>
      </c>
      <c r="U87" s="17" t="str">
        <f aca="false">"Cancer drug (cytotoxic) – less relevant"&amp;IF(AE87=0,"; No price found","")&amp;IF(AND(AE87&gt;0,AF87=0,AG87=0),"; Low price comes from another market – confirm with the company","")</f>
        <v>Cancer drug (cytotoxic) – less relevant</v>
      </c>
      <c r="V87" s="17" t="s">
        <v>608</v>
      </c>
      <c r="W87" s="15" t="n">
        <v>7</v>
      </c>
      <c r="X87" s="17" t="s">
        <v>609</v>
      </c>
      <c r="Y87" s="17" t="s">
        <v>610</v>
      </c>
      <c r="Z87" s="17" t="s">
        <v>286</v>
      </c>
      <c r="AA87" s="16" t="s">
        <v>322</v>
      </c>
      <c r="AB87" s="78" t="s">
        <v>611</v>
      </c>
      <c r="AC87" s="20" t="n">
        <f aca="false">IF(AE87&gt;0,ROUND(AVERAGEIFS('Shortlisted Drugs X Company (7)'!$N$3:$N$698,'Shortlisted Drugs X Company (7)'!$C$3:$C$698,$B87,'Shortlisted Drugs X Company (7)'!$E$3:$E$698,$AA87,'Shortlisted Drugs X Company (7)'!$N$3:$N$698,"&gt;=0"),2),"")</f>
        <v>24.4</v>
      </c>
      <c r="AD87" s="79" t="str">
        <f aca="false">B87&amp;"|"&amp;AA87</f>
        <v>Vinorelbine|Aurobindo Pharma</v>
      </c>
      <c r="AE87" s="22" t="n">
        <f aca="false">COUNTIFS('Shortlisted Drugs X Company (7)'!$C$3:$C$698,$B87,'Shortlisted Drugs X Company (7)'!$E$3:$E$698,$AA87,'Shortlisted Drugs X Company (7)'!$N$3:$N$698,"&gt;=0")</f>
        <v>2</v>
      </c>
      <c r="AF87" s="22" t="n">
        <f aca="false">COUNTIFS('Shortlisted Drugs X Company (7)'!$C$3:$C$698,$B87,'Shortlisted Drugs X Company (7)'!$E$3:$E$698,$AA87,'Shortlisted Drugs X Company (7)'!$N$3:$N$698,"&gt;5")</f>
        <v>2</v>
      </c>
      <c r="AG87" s="22" t="n">
        <f aca="false">COUNTIFS('Shortlisted Drugs X Company (7)'!$C$3:$C$698,$B87,'Shortlisted Drugs X Company (7)'!$E$3:$E$698,$AA87,'Shortlisted Drugs X Company (7)'!$P$3:$P$698,"Exact")+COUNTIFS('Shortlisted Drugs X Company (7)'!$C$3:$C$698,$B87,'Shortlisted Drugs X Company (7)'!$E$3:$E$698,$AA87,'Shortlisted Drugs X Company (7)'!$P$3:$P$698,"Same-market proxy")</f>
        <v>2</v>
      </c>
      <c r="AH87" s="22" t="n">
        <f aca="false">INDEX($G$7:$G$25,MATCH(A87,$A$7:$A$25,0))</f>
        <v>2</v>
      </c>
      <c r="AI87" s="79" t="str">
        <f aca="false">IF(OR(Q87="No",LEFT(H87,7)="IV only"),"",AH87*1000+IF(F87="",900+COUNTIFS($A$29:A87,A87,$H$29:H87,"Price*"),F87))</f>
        <v/>
      </c>
      <c r="AJ87" s="79" t="str">
        <f aca="false">IF(H87&lt;&gt;"","",(4-VALUE(RIGHT(E87,1)))*10^7+N(O87))</f>
        <v/>
      </c>
      <c r="AK87" s="79" t="str">
        <f aca="false">IF(AND(H87="",ISNUMBER(I87)),I87,"")</f>
        <v/>
      </c>
      <c r="AL87" s="79" t="str">
        <f aca="false">IF(H87="",M87,"")</f>
        <v/>
      </c>
    </row>
    <row r="88" customFormat="false" ht="41.75" hidden="false" customHeight="false" outlineLevel="0" collapsed="false">
      <c r="A88" s="16" t="s">
        <v>230</v>
      </c>
      <c r="B88" s="16" t="s">
        <v>329</v>
      </c>
      <c r="C88" s="17" t="s">
        <v>612</v>
      </c>
      <c r="D88" s="17" t="s">
        <v>331</v>
      </c>
      <c r="E88" s="15" t="str">
        <f aca="false">IF(H88&lt;&gt;"",IF(LEFT(H88,5)="Price","Excluded – price ≤ USD 5","Excluded – IV only"),IF(ISNUMBER(I88),IF(AND(I88&gt;=$C$3,M88&gt;=$E$3),"Priority 1",IF(OR(I88&gt;=$C$3,M88&gt;=$E$3),"Priority 2","Priority 3")),IF(M88&gt;=$E$3,"Priority 2","Priority 3")))</f>
        <v>Priority 2</v>
      </c>
      <c r="F88" s="15" t="n">
        <f aca="false">IF(H88&lt;&gt;"","",COUNTIFS($A$29:$A$361,A88,$H$29:$H$361,"",$AJ$29:$AJ$361,"&gt;"&amp;AJ88)+COUNTIFS($A$29:A88,A88,$H$29:H88,"",$AJ$29:AJ88,AJ88))</f>
        <v>5</v>
      </c>
      <c r="G88" s="17" t="str">
        <f aca="false">IF(H88&lt;&gt;"","",IF(ISNUMBER(I88),IF(I88&gt;=$C$3,"High price","Lower price"),"No price")&amp;", "&amp;IF(M88&gt;=$E$3,"high volume","lower volume"))</f>
        <v>Lower price, high volume</v>
      </c>
      <c r="H88" s="17" t="str">
        <f aca="false">IF(Q88="No","IV only (no ID, IM or SC route)",IF(AND(AE88&gt;0,AF88=0),"Price ≤ USD 5",""))</f>
        <v/>
      </c>
      <c r="I88" s="18" t="n">
        <f aca="false">IF(AF88&gt;0,ROUND(AVERAGEIFS('Shortlisted Drugs X Company (7)'!$N$3:$N$698,'Shortlisted Drugs X Company (7)'!$C$3:$C$698,$B88,'Shortlisted Drugs X Company (7)'!$E$3:$E$698,$AA88,'Shortlisted Drugs X Company (7)'!$N$3:$N$698,"&gt;5"),2),"")</f>
        <v>10.24</v>
      </c>
      <c r="J88" s="17" t="str">
        <f aca="false">IF(COUNTIFS('Shortlisted Drugs X Company (7)'!$C$3:$C$698,$B88,'Shortlisted Drugs X Company (7)'!$E$3:$E$698,$AA88,'Shortlisted Drugs X Company (7)'!$P$3:$P$698,"Exact")&gt;0,"Exact",IF(COUNTIFS('Shortlisted Drugs X Company (7)'!$C$3:$C$698,$B88,'Shortlisted Drugs X Company (7)'!$E$3:$E$698,$AA88,'Shortlisted Drugs X Company (7)'!$P$3:$P$698,"Same-market proxy")&gt;0,"Same-market proxy",IF(COUNTIFS('Shortlisted Drugs X Company (7)'!$C$3:$C$698,$B88,'Shortlisted Drugs X Company (7)'!$E$3:$E$698,$AA88,'Shortlisted Drugs X Company (7)'!$P$3:$P$698,"Cross-market proxy")&gt;0,"Cross-market proxy",IF(COUNTIFS('Shortlisted Drugs X Company (7)'!$C$3:$C$698,$B88,'Shortlisted Drugs X Company (7)'!$E$3:$E$698,$AA88,'Shortlisted Drugs X Company (7)'!$P$3:$P$698,"Source not found")&gt;0,"Source not found","No price found"))))</f>
        <v>Same-market proxy</v>
      </c>
      <c r="K88" s="19" t="n">
        <f aca="false">IFERROR(INDEX('Injectable Value'!$AB$28:$AB$178,MATCH(B88,'Injectable Value'!$A$28:$A$178,0)),"")</f>
        <v>762</v>
      </c>
      <c r="L88" s="77" t="n">
        <f aca="false">IFERROR(INDEX('Injectable Value'!$Z$28:$Z$178,MATCH(B88,'Injectable Value'!$A$28:$A$178,0)),"")</f>
        <v>0.829278792417718</v>
      </c>
      <c r="M88" s="19" t="n">
        <f aca="false">IFERROR(INDEX('Injectable Value'!$AC$28:$AC$178,MATCH(B88,'Injectable Value'!$A$28:$A$178,0)),"")</f>
        <v>632</v>
      </c>
      <c r="N88" s="19" t="n">
        <f aca="false">IFERROR(INDEX('Injectable Value'!$C$28:$C$178,MATCH(B88,'Injectable Value'!$A$28:$A$178,0)),"")</f>
        <v>50865.56</v>
      </c>
      <c r="O88" s="19" t="n">
        <f aca="false">IFERROR(ROUND(INDEX('Injectable Value'!$AA$28:$AA$178,MATCH(B88,'Injectable Value'!$A$28:$A$178,0)),1),"")</f>
        <v>42181.7</v>
      </c>
      <c r="P88" s="16" t="str">
        <f aca="false">IFERROR(INDEX('Route of Administration'!$C$5:$C$155,MATCH(B88,'Route of Administration'!$A$5:$A$155,0)),"")</f>
        <v>IV, SC</v>
      </c>
      <c r="Q88" s="15" t="str">
        <f aca="false">IFERROR(INDEX('Route of Administration'!$D$5:$D$155,MATCH(B88,'Route of Administration'!$A$5:$A$155,0)),"")</f>
        <v>Yes</v>
      </c>
      <c r="R88" s="16" t="s">
        <v>281</v>
      </c>
      <c r="S88" s="17" t="s">
        <v>613</v>
      </c>
      <c r="T88" s="16" t="s">
        <v>333</v>
      </c>
      <c r="U88" s="17" t="str">
        <f aca="false">"Cancer drug (cytotoxic) – less relevant; Reconstitution"&amp;IF(AE88=0,"; No price found","")&amp;IF(AND(AE88&gt;0,AF88=0,AG88=0),"; Low price comes from another market – confirm with the company","")</f>
        <v>Cancer drug (cytotoxic) – less relevant; Reconstitution</v>
      </c>
      <c r="V88" s="17" t="s">
        <v>112</v>
      </c>
      <c r="W88" s="15" t="n">
        <v>1</v>
      </c>
      <c r="X88" s="17" t="s">
        <v>614</v>
      </c>
      <c r="Y88" s="17" t="s">
        <v>614</v>
      </c>
      <c r="Z88" s="17" t="s">
        <v>286</v>
      </c>
      <c r="AA88" s="16" t="s">
        <v>230</v>
      </c>
      <c r="AB88" s="78" t="s">
        <v>337</v>
      </c>
      <c r="AC88" s="20" t="n">
        <f aca="false">IF(AE88&gt;0,ROUND(AVERAGEIFS('Shortlisted Drugs X Company (7)'!$N$3:$N$698,'Shortlisted Drugs X Company (7)'!$C$3:$C$698,$B88,'Shortlisted Drugs X Company (7)'!$E$3:$E$698,$AA88,'Shortlisted Drugs X Company (7)'!$N$3:$N$698,"&gt;=0"),2),"")</f>
        <v>10.24</v>
      </c>
      <c r="AD88" s="79" t="str">
        <f aca="false">B88&amp;"|"&amp;AA88</f>
        <v>Azacitidine|Cipla</v>
      </c>
      <c r="AE88" s="22" t="n">
        <f aca="false">COUNTIFS('Shortlisted Drugs X Company (7)'!$C$3:$C$698,$B88,'Shortlisted Drugs X Company (7)'!$E$3:$E$698,$AA88,'Shortlisted Drugs X Company (7)'!$N$3:$N$698,"&gt;=0")</f>
        <v>1</v>
      </c>
      <c r="AF88" s="22" t="n">
        <f aca="false">COUNTIFS('Shortlisted Drugs X Company (7)'!$C$3:$C$698,$B88,'Shortlisted Drugs X Company (7)'!$E$3:$E$698,$AA88,'Shortlisted Drugs X Company (7)'!$N$3:$N$698,"&gt;5")</f>
        <v>1</v>
      </c>
      <c r="AG88" s="22" t="n">
        <f aca="false">COUNTIFS('Shortlisted Drugs X Company (7)'!$C$3:$C$698,$B88,'Shortlisted Drugs X Company (7)'!$E$3:$E$698,$AA88,'Shortlisted Drugs X Company (7)'!$P$3:$P$698,"Exact")+COUNTIFS('Shortlisted Drugs X Company (7)'!$C$3:$C$698,$B88,'Shortlisted Drugs X Company (7)'!$E$3:$E$698,$AA88,'Shortlisted Drugs X Company (7)'!$P$3:$P$698,"Same-market proxy")</f>
        <v>1</v>
      </c>
      <c r="AH88" s="22" t="n">
        <f aca="false">INDEX($G$7:$G$25,MATCH(A88,$A$7:$A$25,0))</f>
        <v>4</v>
      </c>
      <c r="AI88" s="79" t="n">
        <f aca="false">IF(OR(Q88="No",LEFT(H88,7)="IV only"),"",AH88*1000+IF(F88="",900+COUNTIFS($A$29:A88,A88,$H$29:H88,"Price*"),F88))</f>
        <v>4005</v>
      </c>
      <c r="AJ88" s="79" t="n">
        <f aca="false">IF(H88&lt;&gt;"","",(4-VALUE(RIGHT(E88,1)))*10^7+N(O88))</f>
        <v>20042181.7</v>
      </c>
      <c r="AK88" s="20" t="n">
        <f aca="false">IF(AND(H88="",ISNUMBER(I88)),I88,"")</f>
        <v>10.24</v>
      </c>
      <c r="AL88" s="21" t="n">
        <f aca="false">IF(H88="",M88,"")</f>
        <v>632</v>
      </c>
    </row>
    <row r="89" customFormat="false" ht="41.75" hidden="false" customHeight="false" outlineLevel="0" collapsed="false">
      <c r="A89" s="16" t="s">
        <v>230</v>
      </c>
      <c r="B89" s="16" t="s">
        <v>615</v>
      </c>
      <c r="C89" s="17" t="s">
        <v>616</v>
      </c>
      <c r="D89" s="17" t="s">
        <v>617</v>
      </c>
      <c r="E89" s="15" t="str">
        <f aca="false">IF(H89&lt;&gt;"",IF(LEFT(H89,5)="Price","Excluded – price ≤ USD 5","Excluded – IV only"),IF(ISNUMBER(I89),IF(AND(I89&gt;=$C$3,M89&gt;=$E$3),"Priority 1",IF(OR(I89&gt;=$C$3,M89&gt;=$E$3),"Priority 2","Priority 3")),IF(M89&gt;=$E$3,"Priority 2","Priority 3")))</f>
        <v>Priority 1</v>
      </c>
      <c r="F89" s="15" t="n">
        <f aca="false">IF(H89&lt;&gt;"","",COUNTIFS($A$29:$A$361,A89,$H$29:$H$361,"",$AJ$29:$AJ$361,"&gt;"&amp;AJ89)+COUNTIFS($A$29:A89,A89,$H$29:H89,"",$AJ$29:AJ89,AJ89))</f>
        <v>3</v>
      </c>
      <c r="G89" s="17" t="str">
        <f aca="false">IF(H89&lt;&gt;"","",IF(ISNUMBER(I89),IF(I89&gt;=$C$3,"High price","Lower price"),"No price")&amp;", "&amp;IF(M89&gt;=$E$3,"high volume","lower volume"))</f>
        <v>High price, high volume</v>
      </c>
      <c r="H89" s="17" t="str">
        <f aca="false">IF(Q89="No","IV only (no ID, IM or SC route)",IF(AND(AE89&gt;0,AF89=0),"Price ≤ USD 5",""))</f>
        <v/>
      </c>
      <c r="I89" s="18" t="n">
        <f aca="false">IF(AF89&gt;0,ROUND(AVERAGEIFS('Shortlisted Drugs X Company (7)'!$N$3:$N$698,'Shortlisted Drugs X Company (7)'!$C$3:$C$698,$B89,'Shortlisted Drugs X Company (7)'!$E$3:$E$698,$AA89,'Shortlisted Drugs X Company (7)'!$N$3:$N$698,"&gt;5"),2),"")</f>
        <v>41.27</v>
      </c>
      <c r="J89" s="17" t="str">
        <f aca="false">IF(COUNTIFS('Shortlisted Drugs X Company (7)'!$C$3:$C$698,$B89,'Shortlisted Drugs X Company (7)'!$E$3:$E$698,$AA89,'Shortlisted Drugs X Company (7)'!$P$3:$P$698,"Exact")&gt;0,"Exact",IF(COUNTIFS('Shortlisted Drugs X Company (7)'!$C$3:$C$698,$B89,'Shortlisted Drugs X Company (7)'!$E$3:$E$698,$AA89,'Shortlisted Drugs X Company (7)'!$P$3:$P$698,"Same-market proxy")&gt;0,"Same-market proxy",IF(COUNTIFS('Shortlisted Drugs X Company (7)'!$C$3:$C$698,$B89,'Shortlisted Drugs X Company (7)'!$E$3:$E$698,$AA89,'Shortlisted Drugs X Company (7)'!$P$3:$P$698,"Cross-market proxy")&gt;0,"Cross-market proxy",IF(COUNTIFS('Shortlisted Drugs X Company (7)'!$C$3:$C$698,$B89,'Shortlisted Drugs X Company (7)'!$E$3:$E$698,$AA89,'Shortlisted Drugs X Company (7)'!$P$3:$P$698,"Source not found")&gt;0,"Source not found","No price found"))))</f>
        <v>Exact</v>
      </c>
      <c r="K89" s="19" t="n">
        <f aca="false">IFERROR(INDEX('Injectable Value'!$AB$28:$AB$178,MATCH(B89,'Injectable Value'!$A$28:$A$178,0)),"")</f>
        <v>441</v>
      </c>
      <c r="L89" s="77" t="n">
        <f aca="false">IFERROR(INDEX('Injectable Value'!$Z$28:$Z$178,MATCH(B89,'Injectable Value'!$A$28:$A$178,0)),"")</f>
        <v>1</v>
      </c>
      <c r="M89" s="19" t="n">
        <f aca="false">IFERROR(INDEX('Injectable Value'!$AC$28:$AC$178,MATCH(B89,'Injectable Value'!$A$28:$A$178,0)),"")</f>
        <v>441</v>
      </c>
      <c r="N89" s="19" t="n">
        <f aca="false">IFERROR(INDEX('Injectable Value'!$C$28:$C$178,MATCH(B89,'Injectable Value'!$A$28:$A$178,0)),"")</f>
        <v>3973.65</v>
      </c>
      <c r="O89" s="19" t="n">
        <f aca="false">IFERROR(ROUND(INDEX('Injectable Value'!$AA$28:$AA$178,MATCH(B89,'Injectable Value'!$A$28:$A$178,0)),1),"")</f>
        <v>3973.7</v>
      </c>
      <c r="P89" s="16" t="str">
        <f aca="false">IFERROR(INDEX('Route of Administration'!$C$5:$C$155,MATCH(B89,'Route of Administration'!$A$5:$A$155,0)),"")</f>
        <v>IV, IM, SC</v>
      </c>
      <c r="Q89" s="15" t="str">
        <f aca="false">IFERROR(INDEX('Route of Administration'!$D$5:$D$155,MATCH(B89,'Route of Administration'!$A$5:$A$155,0)),"")</f>
        <v>Yes</v>
      </c>
      <c r="R89" s="16" t="s">
        <v>281</v>
      </c>
      <c r="S89" s="17" t="s">
        <v>618</v>
      </c>
      <c r="T89" s="16" t="s">
        <v>283</v>
      </c>
      <c r="U89" s="17" t="str">
        <f aca="false">"Cancer drug (cytotoxic) – less relevant; Reconstitution"&amp;IF(AE89=0,"; No price found","")&amp;IF(AND(AE89&gt;0,AF89=0,AG89=0),"; Low price comes from another market – confirm with the company","")</f>
        <v>Cancer drug (cytotoxic) – less relevant; Reconstitution</v>
      </c>
      <c r="V89" s="17" t="s">
        <v>112</v>
      </c>
      <c r="W89" s="15" t="n">
        <v>2</v>
      </c>
      <c r="X89" s="17" t="s">
        <v>619</v>
      </c>
      <c r="Y89" s="17" t="s">
        <v>619</v>
      </c>
      <c r="Z89" s="17" t="s">
        <v>286</v>
      </c>
      <c r="AA89" s="16" t="s">
        <v>230</v>
      </c>
      <c r="AB89" s="78" t="s">
        <v>620</v>
      </c>
      <c r="AC89" s="20" t="n">
        <f aca="false">IF(AE89&gt;0,ROUND(AVERAGEIFS('Shortlisted Drugs X Company (7)'!$N$3:$N$698,'Shortlisted Drugs X Company (7)'!$C$3:$C$698,$B89,'Shortlisted Drugs X Company (7)'!$E$3:$E$698,$AA89,'Shortlisted Drugs X Company (7)'!$N$3:$N$698,"&gt;=0"),2),"")</f>
        <v>41.27</v>
      </c>
      <c r="AD89" s="79" t="str">
        <f aca="false">B89&amp;"|"&amp;AA89</f>
        <v>Bleomycin|Cipla</v>
      </c>
      <c r="AE89" s="22" t="n">
        <f aca="false">COUNTIFS('Shortlisted Drugs X Company (7)'!$C$3:$C$698,$B89,'Shortlisted Drugs X Company (7)'!$E$3:$E$698,$AA89,'Shortlisted Drugs X Company (7)'!$N$3:$N$698,"&gt;=0")</f>
        <v>2</v>
      </c>
      <c r="AF89" s="22" t="n">
        <f aca="false">COUNTIFS('Shortlisted Drugs X Company (7)'!$C$3:$C$698,$B89,'Shortlisted Drugs X Company (7)'!$E$3:$E$698,$AA89,'Shortlisted Drugs X Company (7)'!$N$3:$N$698,"&gt;5")</f>
        <v>2</v>
      </c>
      <c r="AG89" s="22" t="n">
        <f aca="false">COUNTIFS('Shortlisted Drugs X Company (7)'!$C$3:$C$698,$B89,'Shortlisted Drugs X Company (7)'!$E$3:$E$698,$AA89,'Shortlisted Drugs X Company (7)'!$P$3:$P$698,"Exact")+COUNTIFS('Shortlisted Drugs X Company (7)'!$C$3:$C$698,$B89,'Shortlisted Drugs X Company (7)'!$E$3:$E$698,$AA89,'Shortlisted Drugs X Company (7)'!$P$3:$P$698,"Same-market proxy")</f>
        <v>2</v>
      </c>
      <c r="AH89" s="22" t="n">
        <f aca="false">INDEX($G$7:$G$25,MATCH(A89,$A$7:$A$25,0))</f>
        <v>4</v>
      </c>
      <c r="AI89" s="79" t="n">
        <f aca="false">IF(OR(Q89="No",LEFT(H89,7)="IV only"),"",AH89*1000+IF(F89="",900+COUNTIFS($A$29:A89,A89,$H$29:H89,"Price*"),F89))</f>
        <v>4003</v>
      </c>
      <c r="AJ89" s="79" t="n">
        <f aca="false">IF(H89&lt;&gt;"","",(4-VALUE(RIGHT(E89,1)))*10^7+N(O89))</f>
        <v>30003973.7</v>
      </c>
      <c r="AK89" s="20" t="n">
        <f aca="false">IF(AND(H89="",ISNUMBER(I89)),I89,"")</f>
        <v>41.27</v>
      </c>
      <c r="AL89" s="21" t="n">
        <f aca="false">IF(H89="",M89,"")</f>
        <v>441</v>
      </c>
    </row>
    <row r="90" customFormat="false" ht="28.35" hidden="false" customHeight="false" outlineLevel="0" collapsed="false">
      <c r="A90" s="16" t="s">
        <v>230</v>
      </c>
      <c r="B90" s="16" t="s">
        <v>338</v>
      </c>
      <c r="C90" s="17" t="s">
        <v>621</v>
      </c>
      <c r="D90" s="17" t="s">
        <v>340</v>
      </c>
      <c r="E90" s="15" t="str">
        <f aca="false">IF(H90&lt;&gt;"",IF(LEFT(H90,5)="Price","Excluded – price ≤ USD 5","Excluded – IV only"),IF(ISNUMBER(I90),IF(AND(I90&gt;=$C$3,M90&gt;=$E$3),"Priority 1",IF(OR(I90&gt;=$C$3,M90&gt;=$E$3),"Priority 2","Priority 3")),IF(M90&gt;=$E$3,"Priority 2","Priority 3")))</f>
        <v>Priority 1</v>
      </c>
      <c r="F90" s="15" t="n">
        <f aca="false">IF(H90&lt;&gt;"","",COUNTIFS($A$29:$A$361,A90,$H$29:$H$361,"",$AJ$29:$AJ$361,"&gt;"&amp;AJ90)+COUNTIFS($A$29:A90,A90,$H$29:H90,"",$AJ$29:AJ90,AJ90))</f>
        <v>1</v>
      </c>
      <c r="G90" s="17" t="str">
        <f aca="false">IF(H90&lt;&gt;"","",IF(ISNUMBER(I90),IF(I90&gt;=$C$3,"High price","Lower price"),"No price")&amp;", "&amp;IF(M90&gt;=$E$3,"high volume","lower volume"))</f>
        <v>High price, high volume</v>
      </c>
      <c r="H90" s="17" t="str">
        <f aca="false">IF(Q90="No","IV only (no ID, IM or SC route)",IF(AND(AE90&gt;0,AF90=0),"Price ≤ USD 5",""))</f>
        <v/>
      </c>
      <c r="I90" s="18" t="n">
        <f aca="false">IF(AF90&gt;0,ROUND(AVERAGEIFS('Shortlisted Drugs X Company (7)'!$N$3:$N$698,'Shortlisted Drugs X Company (7)'!$C$3:$C$698,$B90,'Shortlisted Drugs X Company (7)'!$E$3:$E$698,$AA90,'Shortlisted Drugs X Company (7)'!$N$3:$N$698,"&gt;5"),2),"")</f>
        <v>163.29</v>
      </c>
      <c r="J90" s="17" t="str">
        <f aca="false">IF(COUNTIFS('Shortlisted Drugs X Company (7)'!$C$3:$C$698,$B90,'Shortlisted Drugs X Company (7)'!$E$3:$E$698,$AA90,'Shortlisted Drugs X Company (7)'!$P$3:$P$698,"Exact")&gt;0,"Exact",IF(COUNTIFS('Shortlisted Drugs X Company (7)'!$C$3:$C$698,$B90,'Shortlisted Drugs X Company (7)'!$E$3:$E$698,$AA90,'Shortlisted Drugs X Company (7)'!$P$3:$P$698,"Same-market proxy")&gt;0,"Same-market proxy",IF(COUNTIFS('Shortlisted Drugs X Company (7)'!$C$3:$C$698,$B90,'Shortlisted Drugs X Company (7)'!$E$3:$E$698,$AA90,'Shortlisted Drugs X Company (7)'!$P$3:$P$698,"Cross-market proxy")&gt;0,"Cross-market proxy",IF(COUNTIFS('Shortlisted Drugs X Company (7)'!$C$3:$C$698,$B90,'Shortlisted Drugs X Company (7)'!$E$3:$E$698,$AA90,'Shortlisted Drugs X Company (7)'!$P$3:$P$698,"Source not found")&gt;0,"Source not found","No price found"))))</f>
        <v>Exact</v>
      </c>
      <c r="K90" s="19" t="n">
        <f aca="false">IFERROR(INDEX('Injectable Value'!$AB$28:$AB$178,MATCH(B90,'Injectable Value'!$A$28:$A$178,0)),"")</f>
        <v>905</v>
      </c>
      <c r="L90" s="77" t="n">
        <f aca="false">IFERROR(INDEX('Injectable Value'!$Z$28:$Z$178,MATCH(B90,'Injectable Value'!$A$28:$A$178,0)),"")</f>
        <v>1</v>
      </c>
      <c r="M90" s="19" t="n">
        <f aca="false">IFERROR(INDEX('Injectable Value'!$AC$28:$AC$178,MATCH(B90,'Injectable Value'!$A$28:$A$178,0)),"")</f>
        <v>905</v>
      </c>
      <c r="N90" s="19" t="n">
        <f aca="false">IFERROR(INDEX('Injectable Value'!$C$28:$C$178,MATCH(B90,'Injectable Value'!$A$28:$A$178,0)),"")</f>
        <v>28093.38</v>
      </c>
      <c r="O90" s="19" t="n">
        <f aca="false">IFERROR(ROUND(INDEX('Injectable Value'!$AA$28:$AA$178,MATCH(B90,'Injectable Value'!$A$28:$A$178,0)),1),"")</f>
        <v>28093.4</v>
      </c>
      <c r="P90" s="16" t="str">
        <f aca="false">IFERROR(INDEX('Route of Administration'!$C$5:$C$155,MATCH(B90,'Route of Administration'!$A$5:$A$155,0)),"")</f>
        <v>IV, SC</v>
      </c>
      <c r="Q90" s="15" t="str">
        <f aca="false">IFERROR(INDEX('Route of Administration'!$D$5:$D$155,MATCH(B90,'Route of Administration'!$A$5:$A$155,0)),"")</f>
        <v>Yes</v>
      </c>
      <c r="R90" s="16" t="s">
        <v>281</v>
      </c>
      <c r="S90" s="17" t="s">
        <v>622</v>
      </c>
      <c r="T90" s="16" t="s">
        <v>283</v>
      </c>
      <c r="U90" s="17" t="str">
        <f aca="false">"Cancer drug (cytotoxic) – less relevant"&amp;IF(AE90=0,"; No price found","")&amp;IF(AND(AE90&gt;0,AF90=0,AG90=0),"; Low price comes from another market – confirm with the company","")</f>
        <v>Cancer drug (cytotoxic) – less relevant</v>
      </c>
      <c r="V90" s="17" t="s">
        <v>112</v>
      </c>
      <c r="W90" s="15" t="n">
        <v>1</v>
      </c>
      <c r="X90" s="17" t="s">
        <v>360</v>
      </c>
      <c r="Y90" s="17" t="s">
        <v>360</v>
      </c>
      <c r="Z90" s="17" t="s">
        <v>286</v>
      </c>
      <c r="AA90" s="16" t="s">
        <v>230</v>
      </c>
      <c r="AB90" s="78" t="s">
        <v>345</v>
      </c>
      <c r="AC90" s="20" t="n">
        <f aca="false">IF(AE90&gt;0,ROUND(AVERAGEIFS('Shortlisted Drugs X Company (7)'!$N$3:$N$698,'Shortlisted Drugs X Company (7)'!$C$3:$C$698,$B90,'Shortlisted Drugs X Company (7)'!$E$3:$E$698,$AA90,'Shortlisted Drugs X Company (7)'!$N$3:$N$698,"&gt;=0"),2),"")</f>
        <v>163.29</v>
      </c>
      <c r="AD90" s="79" t="str">
        <f aca="false">B90&amp;"|"&amp;AA90</f>
        <v>Bortezomib|Cipla</v>
      </c>
      <c r="AE90" s="22" t="n">
        <f aca="false">COUNTIFS('Shortlisted Drugs X Company (7)'!$C$3:$C$698,$B90,'Shortlisted Drugs X Company (7)'!$E$3:$E$698,$AA90,'Shortlisted Drugs X Company (7)'!$N$3:$N$698,"&gt;=0")</f>
        <v>1</v>
      </c>
      <c r="AF90" s="22" t="n">
        <f aca="false">COUNTIFS('Shortlisted Drugs X Company (7)'!$C$3:$C$698,$B90,'Shortlisted Drugs X Company (7)'!$E$3:$E$698,$AA90,'Shortlisted Drugs X Company (7)'!$N$3:$N$698,"&gt;5")</f>
        <v>1</v>
      </c>
      <c r="AG90" s="22" t="n">
        <f aca="false">COUNTIFS('Shortlisted Drugs X Company (7)'!$C$3:$C$698,$B90,'Shortlisted Drugs X Company (7)'!$E$3:$E$698,$AA90,'Shortlisted Drugs X Company (7)'!$P$3:$P$698,"Exact")+COUNTIFS('Shortlisted Drugs X Company (7)'!$C$3:$C$698,$B90,'Shortlisted Drugs X Company (7)'!$E$3:$E$698,$AA90,'Shortlisted Drugs X Company (7)'!$P$3:$P$698,"Same-market proxy")</f>
        <v>1</v>
      </c>
      <c r="AH90" s="22" t="n">
        <f aca="false">INDEX($G$7:$G$25,MATCH(A90,$A$7:$A$25,0))</f>
        <v>4</v>
      </c>
      <c r="AI90" s="79" t="n">
        <f aca="false">IF(OR(Q90="No",LEFT(H90,7)="IV only"),"",AH90*1000+IF(F90="",900+COUNTIFS($A$29:A90,A90,$H$29:H90,"Price*"),F90))</f>
        <v>4001</v>
      </c>
      <c r="AJ90" s="79" t="n">
        <f aca="false">IF(H90&lt;&gt;"","",(4-VALUE(RIGHT(E90,1)))*10^7+N(O90))</f>
        <v>30028093.4</v>
      </c>
      <c r="AK90" s="20" t="n">
        <f aca="false">IF(AND(H90="",ISNUMBER(I90)),I90,"")</f>
        <v>163.29</v>
      </c>
      <c r="AL90" s="21" t="n">
        <f aca="false">IF(H90="",M90,"")</f>
        <v>905</v>
      </c>
    </row>
    <row r="91" customFormat="false" ht="41.75" hidden="false" customHeight="false" outlineLevel="0" collapsed="false">
      <c r="A91" s="16" t="s">
        <v>230</v>
      </c>
      <c r="B91" s="16" t="s">
        <v>355</v>
      </c>
      <c r="C91" s="17" t="s">
        <v>623</v>
      </c>
      <c r="D91" s="17" t="s">
        <v>357</v>
      </c>
      <c r="E91" s="15" t="str">
        <f aca="false">IF(H91&lt;&gt;"",IF(LEFT(H91,5)="Price","Excluded – price ≤ USD 5","Excluded – IV only"),IF(ISNUMBER(I91),IF(AND(I91&gt;=$C$3,M91&gt;=$E$3),"Priority 1",IF(OR(I91&gt;=$C$3,M91&gt;=$E$3),"Priority 2","Priority 3")),IF(M91&gt;=$E$3,"Priority 2","Priority 3")))</f>
        <v>Priority 2</v>
      </c>
      <c r="F91" s="15" t="n">
        <f aca="false">IF(H91&lt;&gt;"","",COUNTIFS($A$29:$A$361,A91,$H$29:$H$361,"",$AJ$29:$AJ$361,"&gt;"&amp;AJ91)+COUNTIFS($A$29:A91,A91,$H$29:H91,"",$AJ$29:AJ91,AJ91))</f>
        <v>7</v>
      </c>
      <c r="G91" s="17" t="str">
        <f aca="false">IF(H91&lt;&gt;"","",IF(ISNUMBER(I91),IF(I91&gt;=$C$3,"High price","Lower price"),"No price")&amp;", "&amp;IF(M91&gt;=$E$3,"high volume","lower volume"))</f>
        <v>Lower price, high volume</v>
      </c>
      <c r="H91" s="17" t="str">
        <f aca="false">IF(Q91="No","IV only (no ID, IM or SC route)",IF(AND(AE91&gt;0,AF91=0),"Price ≤ USD 5",""))</f>
        <v/>
      </c>
      <c r="I91" s="18" t="n">
        <f aca="false">IF(AF91&gt;0,ROUND(AVERAGEIFS('Shortlisted Drugs X Company (7)'!$N$3:$N$698,'Shortlisted Drugs X Company (7)'!$C$3:$C$698,$B91,'Shortlisted Drugs X Company (7)'!$E$3:$E$698,$AA91,'Shortlisted Drugs X Company (7)'!$N$3:$N$698,"&gt;5"),2),"")</f>
        <v>24.42</v>
      </c>
      <c r="J91" s="17" t="str">
        <f aca="false">IF(COUNTIFS('Shortlisted Drugs X Company (7)'!$C$3:$C$698,$B91,'Shortlisted Drugs X Company (7)'!$E$3:$E$698,$AA91,'Shortlisted Drugs X Company (7)'!$P$3:$P$698,"Exact")&gt;0,"Exact",IF(COUNTIFS('Shortlisted Drugs X Company (7)'!$C$3:$C$698,$B91,'Shortlisted Drugs X Company (7)'!$E$3:$E$698,$AA91,'Shortlisted Drugs X Company (7)'!$P$3:$P$698,"Same-market proxy")&gt;0,"Same-market proxy",IF(COUNTIFS('Shortlisted Drugs X Company (7)'!$C$3:$C$698,$B91,'Shortlisted Drugs X Company (7)'!$E$3:$E$698,$AA91,'Shortlisted Drugs X Company (7)'!$P$3:$P$698,"Cross-market proxy")&gt;0,"Cross-market proxy",IF(COUNTIFS('Shortlisted Drugs X Company (7)'!$C$3:$C$698,$B91,'Shortlisted Drugs X Company (7)'!$E$3:$E$698,$AA91,'Shortlisted Drugs X Company (7)'!$P$3:$P$698,"Source not found")&gt;0,"Source not found","No price found"))))</f>
        <v>Exact</v>
      </c>
      <c r="K91" s="19" t="n">
        <f aca="false">IFERROR(INDEX('Injectable Value'!$AB$28:$AB$178,MATCH(B91,'Injectable Value'!$A$28:$A$178,0)),"")</f>
        <v>290</v>
      </c>
      <c r="L91" s="77" t="n">
        <f aca="false">IFERROR(INDEX('Injectable Value'!$Z$28:$Z$178,MATCH(B91,'Injectable Value'!$A$28:$A$178,0)),"")</f>
        <v>0.991596638655462</v>
      </c>
      <c r="M91" s="19" t="n">
        <f aca="false">IFERROR(INDEX('Injectable Value'!$AC$28:$AC$178,MATCH(B91,'Injectable Value'!$A$28:$A$178,0)),"")</f>
        <v>288</v>
      </c>
      <c r="N91" s="19" t="n">
        <f aca="false">IFERROR(INDEX('Injectable Value'!$C$28:$C$178,MATCH(B91,'Injectable Value'!$A$28:$A$178,0)),"")</f>
        <v>6348.25</v>
      </c>
      <c r="O91" s="19" t="n">
        <f aca="false">IFERROR(ROUND(INDEX('Injectable Value'!$AA$28:$AA$178,MATCH(B91,'Injectable Value'!$A$28:$A$178,0)),1),"")</f>
        <v>6294.9</v>
      </c>
      <c r="P91" s="16" t="str">
        <f aca="false">IFERROR(INDEX('Route of Administration'!$C$5:$C$155,MATCH(B91,'Route of Administration'!$A$5:$A$155,0)),"")</f>
        <v>IV, IM</v>
      </c>
      <c r="Q91" s="15" t="str">
        <f aca="false">IFERROR(INDEX('Route of Administration'!$D$5:$D$155,MATCH(B91,'Route of Administration'!$A$5:$A$155,0)),"")</f>
        <v>Yes</v>
      </c>
      <c r="R91" s="16" t="s">
        <v>310</v>
      </c>
      <c r="S91" s="17" t="s">
        <v>624</v>
      </c>
      <c r="T91" s="16" t="s">
        <v>310</v>
      </c>
      <c r="U91" s="17" t="str">
        <f aca="false">""&amp;IF(AE91=0,"No price found","")&amp;IF(AND(AE91&gt;0,AF91=0,AG91=0),"Low price comes from another market – confirm with the company","")</f>
        <v/>
      </c>
      <c r="V91" s="17" t="s">
        <v>112</v>
      </c>
      <c r="W91" s="15" t="n">
        <v>1</v>
      </c>
      <c r="X91" s="17" t="s">
        <v>360</v>
      </c>
      <c r="Y91" s="17" t="s">
        <v>360</v>
      </c>
      <c r="Z91" s="17" t="s">
        <v>312</v>
      </c>
      <c r="AA91" s="16" t="s">
        <v>230</v>
      </c>
      <c r="AB91" s="78" t="s">
        <v>361</v>
      </c>
      <c r="AC91" s="20" t="n">
        <f aca="false">IF(AE91&gt;0,ROUND(AVERAGEIFS('Shortlisted Drugs X Company (7)'!$N$3:$N$698,'Shortlisted Drugs X Company (7)'!$C$3:$C$698,$B91,'Shortlisted Drugs X Company (7)'!$E$3:$E$698,$AA91,'Shortlisted Drugs X Company (7)'!$N$3:$N$698,"&gt;=0"),2),"")</f>
        <v>24.42</v>
      </c>
      <c r="AD91" s="79" t="str">
        <f aca="false">B91&amp;"|"&amp;AA91</f>
        <v>Cefepime|Cipla</v>
      </c>
      <c r="AE91" s="22" t="n">
        <f aca="false">COUNTIFS('Shortlisted Drugs X Company (7)'!$C$3:$C$698,$B91,'Shortlisted Drugs X Company (7)'!$E$3:$E$698,$AA91,'Shortlisted Drugs X Company (7)'!$N$3:$N$698,"&gt;=0")</f>
        <v>2</v>
      </c>
      <c r="AF91" s="22" t="n">
        <f aca="false">COUNTIFS('Shortlisted Drugs X Company (7)'!$C$3:$C$698,$B91,'Shortlisted Drugs X Company (7)'!$E$3:$E$698,$AA91,'Shortlisted Drugs X Company (7)'!$N$3:$N$698,"&gt;5")</f>
        <v>2</v>
      </c>
      <c r="AG91" s="22" t="n">
        <f aca="false">COUNTIFS('Shortlisted Drugs X Company (7)'!$C$3:$C$698,$B91,'Shortlisted Drugs X Company (7)'!$E$3:$E$698,$AA91,'Shortlisted Drugs X Company (7)'!$P$3:$P$698,"Exact")+COUNTIFS('Shortlisted Drugs X Company (7)'!$C$3:$C$698,$B91,'Shortlisted Drugs X Company (7)'!$E$3:$E$698,$AA91,'Shortlisted Drugs X Company (7)'!$P$3:$P$698,"Same-market proxy")</f>
        <v>2</v>
      </c>
      <c r="AH91" s="22" t="n">
        <f aca="false">INDEX($G$7:$G$25,MATCH(A91,$A$7:$A$25,0))</f>
        <v>4</v>
      </c>
      <c r="AI91" s="79" t="n">
        <f aca="false">IF(OR(Q91="No",LEFT(H91,7)="IV only"),"",AH91*1000+IF(F91="",900+COUNTIFS($A$29:A91,A91,$H$29:H91,"Price*"),F91))</f>
        <v>4007</v>
      </c>
      <c r="AJ91" s="79" t="n">
        <f aca="false">IF(H91&lt;&gt;"","",(4-VALUE(RIGHT(E91,1)))*10^7+N(O91))</f>
        <v>20006294.9</v>
      </c>
      <c r="AK91" s="20" t="n">
        <f aca="false">IF(AND(H91="",ISNUMBER(I91)),I91,"")</f>
        <v>24.42</v>
      </c>
      <c r="AL91" s="21" t="n">
        <f aca="false">IF(H91="",M91,"")</f>
        <v>288</v>
      </c>
    </row>
    <row r="92" customFormat="false" ht="41.75" hidden="false" customHeight="false" outlineLevel="0" collapsed="false">
      <c r="A92" s="16" t="s">
        <v>230</v>
      </c>
      <c r="B92" s="16" t="s">
        <v>388</v>
      </c>
      <c r="C92" s="17" t="s">
        <v>625</v>
      </c>
      <c r="D92" s="17" t="s">
        <v>390</v>
      </c>
      <c r="E92" s="15" t="str">
        <f aca="false">IF(H92&lt;&gt;"",IF(LEFT(H92,5)="Price","Excluded – price ≤ USD 5","Excluded – IV only"),IF(ISNUMBER(I92),IF(AND(I92&gt;=$C$3,M92&gt;=$E$3),"Priority 1",IF(OR(I92&gt;=$C$3,M92&gt;=$E$3),"Priority 2","Priority 3")),IF(M92&gt;=$E$3,"Priority 2","Priority 3")))</f>
        <v>Excluded – IV only</v>
      </c>
      <c r="F92" s="15" t="str">
        <f aca="false">IF(H92&lt;&gt;"","",COUNTIFS($A$29:$A$361,A92,$H$29:$H$361,"",$AJ$29:$AJ$361,"&gt;"&amp;AJ92)+COUNTIFS($A$29:A92,A92,$H$29:H92,"",$AJ$29:AJ92,AJ92))</f>
        <v/>
      </c>
      <c r="G92" s="17" t="str">
        <f aca="false">IF(H92&lt;&gt;"","",IF(ISNUMBER(I92),IF(I92&gt;=$C$3,"High price","Lower price"),"No price")&amp;", "&amp;IF(M92&gt;=$E$3,"high volume","lower volume"))</f>
        <v/>
      </c>
      <c r="H92" s="17" t="str">
        <f aca="false">IF(Q92="No","IV only (no ID, IM or SC route)",IF(AND(AE92&gt;0,AF92=0),"Price ≤ USD 5",""))</f>
        <v>IV only (no ID, IM or SC route)</v>
      </c>
      <c r="I92" s="18" t="n">
        <f aca="false">IF(AF92&gt;0,ROUND(AVERAGEIFS('Shortlisted Drugs X Company (7)'!$N$3:$N$698,'Shortlisted Drugs X Company (7)'!$C$3:$C$698,$B92,'Shortlisted Drugs X Company (7)'!$E$3:$E$698,$AA92,'Shortlisted Drugs X Company (7)'!$N$3:$N$698,"&gt;5"),2),"")</f>
        <v>87.85</v>
      </c>
      <c r="J92" s="17" t="str">
        <f aca="false">IF(COUNTIFS('Shortlisted Drugs X Company (7)'!$C$3:$C$698,$B92,'Shortlisted Drugs X Company (7)'!$E$3:$E$698,$AA92,'Shortlisted Drugs X Company (7)'!$P$3:$P$698,"Exact")&gt;0,"Exact",IF(COUNTIFS('Shortlisted Drugs X Company (7)'!$C$3:$C$698,$B92,'Shortlisted Drugs X Company (7)'!$E$3:$E$698,$AA92,'Shortlisted Drugs X Company (7)'!$P$3:$P$698,"Same-market proxy")&gt;0,"Same-market proxy",IF(COUNTIFS('Shortlisted Drugs X Company (7)'!$C$3:$C$698,$B92,'Shortlisted Drugs X Company (7)'!$E$3:$E$698,$AA92,'Shortlisted Drugs X Company (7)'!$P$3:$P$698,"Cross-market proxy")&gt;0,"Cross-market proxy",IF(COUNTIFS('Shortlisted Drugs X Company (7)'!$C$3:$C$698,$B92,'Shortlisted Drugs X Company (7)'!$E$3:$E$698,$AA92,'Shortlisted Drugs X Company (7)'!$P$3:$P$698,"Source not found")&gt;0,"Source not found","No price found"))))</f>
        <v>Exact</v>
      </c>
      <c r="K92" s="19" t="n">
        <f aca="false">IFERROR(INDEX('Injectable Value'!$AB$28:$AB$178,MATCH(B92,'Injectable Value'!$A$28:$A$178,0)),"")</f>
        <v>312</v>
      </c>
      <c r="L92" s="77" t="n">
        <f aca="false">IFERROR(INDEX('Injectable Value'!$Z$28:$Z$178,MATCH(B92,'Injectable Value'!$A$28:$A$178,0)),"")</f>
        <v>1</v>
      </c>
      <c r="M92" s="19" t="n">
        <f aca="false">IFERROR(INDEX('Injectable Value'!$AC$28:$AC$178,MATCH(B92,'Injectable Value'!$A$28:$A$178,0)),"")</f>
        <v>312</v>
      </c>
      <c r="N92" s="19" t="n">
        <f aca="false">IFERROR(INDEX('Injectable Value'!$C$28:$C$178,MATCH(B92,'Injectable Value'!$A$28:$A$178,0)),"")</f>
        <v>59827.18</v>
      </c>
      <c r="O92" s="19" t="n">
        <f aca="false">IFERROR(ROUND(INDEX('Injectable Value'!$AA$28:$AA$178,MATCH(B92,'Injectable Value'!$A$28:$A$178,0)),1),"")</f>
        <v>59827.2</v>
      </c>
      <c r="P92" s="16" t="str">
        <f aca="false">IFERROR(INDEX('Route of Administration'!$C$5:$C$155,MATCH(B92,'Route of Administration'!$A$5:$A$155,0)),"")</f>
        <v>IV</v>
      </c>
      <c r="Q92" s="15" t="str">
        <f aca="false">IFERROR(INDEX('Route of Administration'!$D$5:$D$155,MATCH(B92,'Route of Administration'!$A$5:$A$155,0)),"")</f>
        <v>No</v>
      </c>
      <c r="R92" s="16" t="s">
        <v>281</v>
      </c>
      <c r="S92" s="17" t="s">
        <v>626</v>
      </c>
      <c r="T92" s="16" t="s">
        <v>283</v>
      </c>
      <c r="U92" s="17" t="str">
        <f aca="false">"Reconstitution"&amp;IF(AE92=0,"; No price found","")&amp;IF(AND(AE92&gt;0,AF92=0,AG92=0),"; Low price comes from another market – confirm with the company","")</f>
        <v>Reconstitution</v>
      </c>
      <c r="V92" s="17" t="s">
        <v>627</v>
      </c>
      <c r="W92" s="15" t="n">
        <v>5</v>
      </c>
      <c r="X92" s="17" t="s">
        <v>628</v>
      </c>
      <c r="Y92" s="17" t="s">
        <v>628</v>
      </c>
      <c r="Z92" s="17" t="s">
        <v>286</v>
      </c>
      <c r="AA92" s="16" t="s">
        <v>230</v>
      </c>
      <c r="AB92" s="78" t="s">
        <v>393</v>
      </c>
      <c r="AC92" s="20" t="n">
        <f aca="false">IF(AE92&gt;0,ROUND(AVERAGEIFS('Shortlisted Drugs X Company (7)'!$N$3:$N$698,'Shortlisted Drugs X Company (7)'!$C$3:$C$698,$B92,'Shortlisted Drugs X Company (7)'!$E$3:$E$698,$AA92,'Shortlisted Drugs X Company (7)'!$N$3:$N$698,"&gt;=0"),2),"")</f>
        <v>87.85</v>
      </c>
      <c r="AD92" s="79" t="str">
        <f aca="false">B92&amp;"|"&amp;AA92</f>
        <v>Daptomycin|Cipla</v>
      </c>
      <c r="AE92" s="22" t="n">
        <f aca="false">COUNTIFS('Shortlisted Drugs X Company (7)'!$C$3:$C$698,$B92,'Shortlisted Drugs X Company (7)'!$E$3:$E$698,$AA92,'Shortlisted Drugs X Company (7)'!$N$3:$N$698,"&gt;=0")</f>
        <v>2</v>
      </c>
      <c r="AF92" s="22" t="n">
        <f aca="false">COUNTIFS('Shortlisted Drugs X Company (7)'!$C$3:$C$698,$B92,'Shortlisted Drugs X Company (7)'!$E$3:$E$698,$AA92,'Shortlisted Drugs X Company (7)'!$N$3:$N$698,"&gt;5")</f>
        <v>2</v>
      </c>
      <c r="AG92" s="22" t="n">
        <f aca="false">COUNTIFS('Shortlisted Drugs X Company (7)'!$C$3:$C$698,$B92,'Shortlisted Drugs X Company (7)'!$E$3:$E$698,$AA92,'Shortlisted Drugs X Company (7)'!$P$3:$P$698,"Exact")+COUNTIFS('Shortlisted Drugs X Company (7)'!$C$3:$C$698,$B92,'Shortlisted Drugs X Company (7)'!$E$3:$E$698,$AA92,'Shortlisted Drugs X Company (7)'!$P$3:$P$698,"Same-market proxy")</f>
        <v>1</v>
      </c>
      <c r="AH92" s="22" t="n">
        <f aca="false">INDEX($G$7:$G$25,MATCH(A92,$A$7:$A$25,0))</f>
        <v>4</v>
      </c>
      <c r="AI92" s="79" t="str">
        <f aca="false">IF(OR(Q92="No",LEFT(H92,7)="IV only"),"",AH92*1000+IF(F92="",900+COUNTIFS($A$29:A92,A92,$H$29:H92,"Price*"),F92))</f>
        <v/>
      </c>
      <c r="AJ92" s="79" t="str">
        <f aca="false">IF(H92&lt;&gt;"","",(4-VALUE(RIGHT(E92,1)))*10^7+N(O92))</f>
        <v/>
      </c>
      <c r="AK92" s="79" t="str">
        <f aca="false">IF(AND(H92="",ISNUMBER(I92)),I92,"")</f>
        <v/>
      </c>
      <c r="AL92" s="79" t="str">
        <f aca="false">IF(H92="",M92,"")</f>
        <v/>
      </c>
    </row>
    <row r="93" customFormat="false" ht="28.35" hidden="false" customHeight="false" outlineLevel="0" collapsed="false">
      <c r="A93" s="16" t="s">
        <v>230</v>
      </c>
      <c r="B93" s="16" t="s">
        <v>394</v>
      </c>
      <c r="C93" s="17" t="s">
        <v>629</v>
      </c>
      <c r="D93" s="17" t="s">
        <v>396</v>
      </c>
      <c r="E93" s="15" t="str">
        <f aca="false">IF(H93&lt;&gt;"",IF(LEFT(H93,5)="Price","Excluded – price ≤ USD 5","Excluded – IV only"),IF(ISNUMBER(I93),IF(AND(I93&gt;=$C$3,M93&gt;=$E$3),"Priority 1",IF(OR(I93&gt;=$C$3,M93&gt;=$E$3),"Priority 2","Priority 3")),IF(M93&gt;=$E$3,"Priority 2","Priority 3")))</f>
        <v>Excluded – IV only</v>
      </c>
      <c r="F93" s="15" t="str">
        <f aca="false">IF(H93&lt;&gt;"","",COUNTIFS($A$29:$A$361,A93,$H$29:$H$361,"",$AJ$29:$AJ$361,"&gt;"&amp;AJ93)+COUNTIFS($A$29:A93,A93,$H$29:H93,"",$AJ$29:AJ93,AJ93))</f>
        <v/>
      </c>
      <c r="G93" s="17" t="str">
        <f aca="false">IF(H93&lt;&gt;"","",IF(ISNUMBER(I93),IF(I93&gt;=$C$3,"High price","Lower price"),"No price")&amp;", "&amp;IF(M93&gt;=$E$3,"high volume","lower volume"))</f>
        <v/>
      </c>
      <c r="H93" s="17" t="str">
        <f aca="false">IF(Q93="No","IV only (no ID, IM or SC route)",IF(AND(AE93&gt;0,AF93=0),"Price ≤ USD 5",""))</f>
        <v>IV only (no ID, IM or SC route)</v>
      </c>
      <c r="I93" s="18" t="n">
        <f aca="false">IF(AF93&gt;0,ROUND(AVERAGEIFS('Shortlisted Drugs X Company (7)'!$N$3:$N$698,'Shortlisted Drugs X Company (7)'!$C$3:$C$698,$B93,'Shortlisted Drugs X Company (7)'!$E$3:$E$698,$AA93,'Shortlisted Drugs X Company (7)'!$N$3:$N$698,"&gt;5"),2),"")</f>
        <v>18.93</v>
      </c>
      <c r="J93" s="17" t="str">
        <f aca="false">IF(COUNTIFS('Shortlisted Drugs X Company (7)'!$C$3:$C$698,$B93,'Shortlisted Drugs X Company (7)'!$E$3:$E$698,$AA93,'Shortlisted Drugs X Company (7)'!$P$3:$P$698,"Exact")&gt;0,"Exact",IF(COUNTIFS('Shortlisted Drugs X Company (7)'!$C$3:$C$698,$B93,'Shortlisted Drugs X Company (7)'!$E$3:$E$698,$AA93,'Shortlisted Drugs X Company (7)'!$P$3:$P$698,"Same-market proxy")&gt;0,"Same-market proxy",IF(COUNTIFS('Shortlisted Drugs X Company (7)'!$C$3:$C$698,$B93,'Shortlisted Drugs X Company (7)'!$E$3:$E$698,$AA93,'Shortlisted Drugs X Company (7)'!$P$3:$P$698,"Cross-market proxy")&gt;0,"Cross-market proxy",IF(COUNTIFS('Shortlisted Drugs X Company (7)'!$C$3:$C$698,$B93,'Shortlisted Drugs X Company (7)'!$E$3:$E$698,$AA93,'Shortlisted Drugs X Company (7)'!$P$3:$P$698,"Source not found")&gt;0,"Source not found","No price found"))))</f>
        <v>Exact</v>
      </c>
      <c r="K93" s="19" t="n">
        <f aca="false">IFERROR(INDEX('Injectable Value'!$AB$28:$AB$178,MATCH(B93,'Injectable Value'!$A$28:$A$178,0)),"")</f>
        <v>1644</v>
      </c>
      <c r="L93" s="77" t="n">
        <f aca="false">IFERROR(INDEX('Injectable Value'!$Z$28:$Z$178,MATCH(B93,'Injectable Value'!$A$28:$A$178,0)),"")</f>
        <v>0.990783410138249</v>
      </c>
      <c r="M93" s="19" t="n">
        <f aca="false">IFERROR(INDEX('Injectable Value'!$AC$28:$AC$178,MATCH(B93,'Injectable Value'!$A$28:$A$178,0)),"")</f>
        <v>1629</v>
      </c>
      <c r="N93" s="19" t="n">
        <f aca="false">IFERROR(INDEX('Injectable Value'!$C$28:$C$178,MATCH(B93,'Injectable Value'!$A$28:$A$178,0)),"")</f>
        <v>41889.23</v>
      </c>
      <c r="O93" s="19" t="n">
        <f aca="false">IFERROR(ROUND(INDEX('Injectable Value'!$AA$28:$AA$178,MATCH(B93,'Injectable Value'!$A$28:$A$178,0)),1),"")</f>
        <v>41503.2</v>
      </c>
      <c r="P93" s="16" t="str">
        <f aca="false">IFERROR(INDEX('Route of Administration'!$C$5:$C$155,MATCH(B93,'Route of Administration'!$A$5:$A$155,0)),"")</f>
        <v>IV</v>
      </c>
      <c r="Q93" s="15" t="str">
        <f aca="false">IFERROR(INDEX('Route of Administration'!$D$5:$D$155,MATCH(B93,'Route of Administration'!$A$5:$A$155,0)),"")</f>
        <v>No</v>
      </c>
      <c r="R93" s="16" t="s">
        <v>281</v>
      </c>
      <c r="S93" s="17" t="s">
        <v>630</v>
      </c>
      <c r="T93" s="16" t="s">
        <v>283</v>
      </c>
      <c r="U93" s="17" t="str">
        <f aca="false">"Cancer drug (cytotoxic) – less relevant; Reconstitution"&amp;IF(AE93=0,"; No price found","")&amp;IF(AND(AE93&gt;0,AF93=0,AG93=0),"; Low price comes from another market – confirm with the company","")</f>
        <v>Cancer drug (cytotoxic) – less relevant; Reconstitution</v>
      </c>
      <c r="V93" s="17" t="s">
        <v>112</v>
      </c>
      <c r="W93" s="15" t="n">
        <v>1</v>
      </c>
      <c r="X93" s="17" t="s">
        <v>360</v>
      </c>
      <c r="Y93" s="17" t="s">
        <v>360</v>
      </c>
      <c r="Z93" s="17" t="s">
        <v>286</v>
      </c>
      <c r="AA93" s="16" t="s">
        <v>230</v>
      </c>
      <c r="AB93" s="78" t="s">
        <v>400</v>
      </c>
      <c r="AC93" s="20" t="n">
        <f aca="false">IF(AE93&gt;0,ROUND(AVERAGEIFS('Shortlisted Drugs X Company (7)'!$N$3:$N$698,'Shortlisted Drugs X Company (7)'!$C$3:$C$698,$B93,'Shortlisted Drugs X Company (7)'!$E$3:$E$698,$AA93,'Shortlisted Drugs X Company (7)'!$N$3:$N$698,"&gt;=0"),2),"")</f>
        <v>18.93</v>
      </c>
      <c r="AD93" s="79" t="str">
        <f aca="false">B93&amp;"|"&amp;AA93</f>
        <v>Doxorubicin|Cipla</v>
      </c>
      <c r="AE93" s="22" t="n">
        <f aca="false">COUNTIFS('Shortlisted Drugs X Company (7)'!$C$3:$C$698,$B93,'Shortlisted Drugs X Company (7)'!$E$3:$E$698,$AA93,'Shortlisted Drugs X Company (7)'!$N$3:$N$698,"&gt;=0")</f>
        <v>2</v>
      </c>
      <c r="AF93" s="22" t="n">
        <f aca="false">COUNTIFS('Shortlisted Drugs X Company (7)'!$C$3:$C$698,$B93,'Shortlisted Drugs X Company (7)'!$E$3:$E$698,$AA93,'Shortlisted Drugs X Company (7)'!$N$3:$N$698,"&gt;5")</f>
        <v>2</v>
      </c>
      <c r="AG93" s="22" t="n">
        <f aca="false">COUNTIFS('Shortlisted Drugs X Company (7)'!$C$3:$C$698,$B93,'Shortlisted Drugs X Company (7)'!$E$3:$E$698,$AA93,'Shortlisted Drugs X Company (7)'!$P$3:$P$698,"Exact")+COUNTIFS('Shortlisted Drugs X Company (7)'!$C$3:$C$698,$B93,'Shortlisted Drugs X Company (7)'!$E$3:$E$698,$AA93,'Shortlisted Drugs X Company (7)'!$P$3:$P$698,"Same-market proxy")</f>
        <v>2</v>
      </c>
      <c r="AH93" s="22" t="n">
        <f aca="false">INDEX($G$7:$G$25,MATCH(A93,$A$7:$A$25,0))</f>
        <v>4</v>
      </c>
      <c r="AI93" s="79" t="str">
        <f aca="false">IF(OR(Q93="No",LEFT(H93,7)="IV only"),"",AH93*1000+IF(F93="",900+COUNTIFS($A$29:A93,A93,$H$29:H93,"Price*"),F93))</f>
        <v/>
      </c>
      <c r="AJ93" s="79" t="str">
        <f aca="false">IF(H93&lt;&gt;"","",(4-VALUE(RIGHT(E93,1)))*10^7+N(O93))</f>
        <v/>
      </c>
      <c r="AK93" s="79" t="str">
        <f aca="false">IF(AND(H93="",ISNUMBER(I93)),I93,"")</f>
        <v/>
      </c>
      <c r="AL93" s="79" t="str">
        <f aca="false">IF(H93="",M93,"")</f>
        <v/>
      </c>
    </row>
    <row r="94" customFormat="false" ht="28.35" hidden="false" customHeight="false" outlineLevel="0" collapsed="false">
      <c r="A94" s="16" t="s">
        <v>230</v>
      </c>
      <c r="B94" s="16" t="s">
        <v>295</v>
      </c>
      <c r="C94" s="17" t="s">
        <v>631</v>
      </c>
      <c r="D94" s="17" t="s">
        <v>296</v>
      </c>
      <c r="E94" s="15" t="str">
        <f aca="false">IF(H94&lt;&gt;"",IF(LEFT(H94,5)="Price","Excluded – price ≤ USD 5","Excluded – IV only"),IF(ISNUMBER(I94),IF(AND(I94&gt;=$C$3,M94&gt;=$E$3),"Priority 1",IF(OR(I94&gt;=$C$3,M94&gt;=$E$3),"Priority 2","Priority 3")),IF(M94&gt;=$E$3,"Priority 2","Priority 3")))</f>
        <v>Priority 1</v>
      </c>
      <c r="F94" s="15" t="n">
        <f aca="false">IF(H94&lt;&gt;"","",COUNTIFS($A$29:$A$361,A94,$H$29:$H$361,"",$AJ$29:$AJ$361,"&gt;"&amp;AJ94)+COUNTIFS($A$29:A94,A94,$H$29:H94,"",$AJ$29:AJ94,AJ94))</f>
        <v>2</v>
      </c>
      <c r="G94" s="17" t="str">
        <f aca="false">IF(H94&lt;&gt;"","",IF(ISNUMBER(I94),IF(I94&gt;=$C$3,"High price","Lower price"),"No price")&amp;", "&amp;IF(M94&gt;=$E$3,"high volume","lower volume"))</f>
        <v>High price, high volume</v>
      </c>
      <c r="H94" s="17" t="str">
        <f aca="false">IF(Q94="No","IV only (no ID, IM or SC route)",IF(AND(AE94&gt;0,AF94=0),"Price ≤ USD 5",""))</f>
        <v/>
      </c>
      <c r="I94" s="18" t="n">
        <f aca="false">IF(AF94&gt;0,ROUND(AVERAGEIFS('Shortlisted Drugs X Company (7)'!$N$3:$N$698,'Shortlisted Drugs X Company (7)'!$C$3:$C$698,$B94,'Shortlisted Drugs X Company (7)'!$E$3:$E$698,$AA94,'Shortlisted Drugs X Company (7)'!$N$3:$N$698,"&gt;5"),2),"")</f>
        <v>100.05</v>
      </c>
      <c r="J94" s="17" t="str">
        <f aca="false">IF(COUNTIFS('Shortlisted Drugs X Company (7)'!$C$3:$C$698,$B94,'Shortlisted Drugs X Company (7)'!$E$3:$E$698,$AA94,'Shortlisted Drugs X Company (7)'!$P$3:$P$698,"Exact")&gt;0,"Exact",IF(COUNTIFS('Shortlisted Drugs X Company (7)'!$C$3:$C$698,$B94,'Shortlisted Drugs X Company (7)'!$E$3:$E$698,$AA94,'Shortlisted Drugs X Company (7)'!$P$3:$P$698,"Same-market proxy")&gt;0,"Same-market proxy",IF(COUNTIFS('Shortlisted Drugs X Company (7)'!$C$3:$C$698,$B94,'Shortlisted Drugs X Company (7)'!$E$3:$E$698,$AA94,'Shortlisted Drugs X Company (7)'!$P$3:$P$698,"Cross-market proxy")&gt;0,"Cross-market proxy",IF(COUNTIFS('Shortlisted Drugs X Company (7)'!$C$3:$C$698,$B94,'Shortlisted Drugs X Company (7)'!$E$3:$E$698,$AA94,'Shortlisted Drugs X Company (7)'!$P$3:$P$698,"Source not found")&gt;0,"Source not found","No price found"))))</f>
        <v>Exact</v>
      </c>
      <c r="K94" s="19" t="n">
        <f aca="false">IFERROR(INDEX('Injectable Value'!$AB$28:$AB$178,MATCH(B94,'Injectable Value'!$A$28:$A$178,0)),"")</f>
        <v>146</v>
      </c>
      <c r="L94" s="77" t="n">
        <f aca="false">IFERROR(INDEX('Injectable Value'!$Z$28:$Z$178,MATCH(B94,'Injectable Value'!$A$28:$A$178,0)),"")</f>
        <v>1</v>
      </c>
      <c r="M94" s="19" t="n">
        <f aca="false">IFERROR(INDEX('Injectable Value'!$AC$28:$AC$178,MATCH(B94,'Injectable Value'!$A$28:$A$178,0)),"")</f>
        <v>146</v>
      </c>
      <c r="N94" s="19" t="n">
        <f aca="false">IFERROR(INDEX('Injectable Value'!$C$28:$C$178,MATCH(B94,'Injectable Value'!$A$28:$A$178,0)),"")</f>
        <v>11366.06</v>
      </c>
      <c r="O94" s="19" t="n">
        <f aca="false">IFERROR(ROUND(INDEX('Injectable Value'!$AA$28:$AA$178,MATCH(B94,'Injectable Value'!$A$28:$A$178,0)),1),"")</f>
        <v>11366.1</v>
      </c>
      <c r="P94" s="16" t="str">
        <f aca="false">IFERROR(INDEX('Route of Administration'!$C$5:$C$155,MATCH(B94,'Route of Administration'!$A$5:$A$155,0)),"")</f>
        <v>IM</v>
      </c>
      <c r="Q94" s="15" t="str">
        <f aca="false">IFERROR(INDEX('Route of Administration'!$D$5:$D$155,MATCH(B94,'Route of Administration'!$A$5:$A$155,0)),"")</f>
        <v>Yes</v>
      </c>
      <c r="R94" s="16" t="s">
        <v>291</v>
      </c>
      <c r="S94" s="17" t="s">
        <v>297</v>
      </c>
      <c r="T94" s="16" t="s">
        <v>283</v>
      </c>
      <c r="U94" s="17" t="str">
        <f aca="false">"Prefilled only"&amp;IF(AE94=0,"; No price found","")&amp;IF(AND(AE94&gt;0,AF94=0,AG94=0),"; Low price comes from another market – confirm with the company","")</f>
        <v>Prefilled only</v>
      </c>
      <c r="V94" s="17" t="s">
        <v>452</v>
      </c>
      <c r="W94" s="15" t="n">
        <v>1</v>
      </c>
      <c r="X94" s="17" t="s">
        <v>453</v>
      </c>
      <c r="Y94" s="17" t="s">
        <v>453</v>
      </c>
      <c r="Z94" s="17" t="s">
        <v>293</v>
      </c>
      <c r="AA94" s="16" t="s">
        <v>230</v>
      </c>
      <c r="AB94" s="78" t="s">
        <v>298</v>
      </c>
      <c r="AC94" s="20" t="n">
        <f aca="false">IF(AE94&gt;0,ROUND(AVERAGEIFS('Shortlisted Drugs X Company (7)'!$N$3:$N$698,'Shortlisted Drugs X Company (7)'!$C$3:$C$698,$B94,'Shortlisted Drugs X Company (7)'!$E$3:$E$698,$AA94,'Shortlisted Drugs X Company (7)'!$N$3:$N$698,"&gt;=0"),2),"")</f>
        <v>100.05</v>
      </c>
      <c r="AD94" s="79" t="str">
        <f aca="false">B94&amp;"|"&amp;AA94</f>
        <v>Fulvestrant|Cipla</v>
      </c>
      <c r="AE94" s="22" t="n">
        <f aca="false">COUNTIFS('Shortlisted Drugs X Company (7)'!$C$3:$C$698,$B94,'Shortlisted Drugs X Company (7)'!$E$3:$E$698,$AA94,'Shortlisted Drugs X Company (7)'!$N$3:$N$698,"&gt;=0")</f>
        <v>1</v>
      </c>
      <c r="AF94" s="22" t="n">
        <f aca="false">COUNTIFS('Shortlisted Drugs X Company (7)'!$C$3:$C$698,$B94,'Shortlisted Drugs X Company (7)'!$E$3:$E$698,$AA94,'Shortlisted Drugs X Company (7)'!$N$3:$N$698,"&gt;5")</f>
        <v>1</v>
      </c>
      <c r="AG94" s="22" t="n">
        <f aca="false">COUNTIFS('Shortlisted Drugs X Company (7)'!$C$3:$C$698,$B94,'Shortlisted Drugs X Company (7)'!$E$3:$E$698,$AA94,'Shortlisted Drugs X Company (7)'!$P$3:$P$698,"Exact")+COUNTIFS('Shortlisted Drugs X Company (7)'!$C$3:$C$698,$B94,'Shortlisted Drugs X Company (7)'!$E$3:$E$698,$AA94,'Shortlisted Drugs X Company (7)'!$P$3:$P$698,"Same-market proxy")</f>
        <v>1</v>
      </c>
      <c r="AH94" s="22" t="n">
        <f aca="false">INDEX($G$7:$G$25,MATCH(A94,$A$7:$A$25,0))</f>
        <v>4</v>
      </c>
      <c r="AI94" s="79" t="n">
        <f aca="false">IF(OR(Q94="No",LEFT(H94,7)="IV only"),"",AH94*1000+IF(F94="",900+COUNTIFS($A$29:A94,A94,$H$29:H94,"Price*"),F94))</f>
        <v>4002</v>
      </c>
      <c r="AJ94" s="79" t="n">
        <f aca="false">IF(H94&lt;&gt;"","",(4-VALUE(RIGHT(E94,1)))*10^7+N(O94))</f>
        <v>30011366.1</v>
      </c>
      <c r="AK94" s="20" t="n">
        <f aca="false">IF(AND(H94="",ISNUMBER(I94)),I94,"")</f>
        <v>100.05</v>
      </c>
      <c r="AL94" s="21" t="n">
        <f aca="false">IF(H94="",M94,"")</f>
        <v>146</v>
      </c>
    </row>
    <row r="95" customFormat="false" ht="41.75" hidden="false" customHeight="false" outlineLevel="0" collapsed="false">
      <c r="A95" s="16" t="s">
        <v>230</v>
      </c>
      <c r="B95" s="16" t="s">
        <v>632</v>
      </c>
      <c r="C95" s="17" t="s">
        <v>633</v>
      </c>
      <c r="D95" s="17" t="s">
        <v>634</v>
      </c>
      <c r="E95" s="15" t="str">
        <f aca="false">IF(H95&lt;&gt;"",IF(LEFT(H95,5)="Price","Excluded – price ≤ USD 5","Excluded – IV only"),IF(ISNUMBER(I95),IF(AND(I95&gt;=$C$3,M95&gt;=$E$3),"Priority 1",IF(OR(I95&gt;=$C$3,M95&gt;=$E$3),"Priority 2","Priority 3")),IF(M95&gt;=$E$3,"Priority 2","Priority 3")))</f>
        <v>Priority 2</v>
      </c>
      <c r="F95" s="15" t="n">
        <f aca="false">IF(H95&lt;&gt;"","",COUNTIFS($A$29:$A$361,A95,$H$29:$H$361,"",$AJ$29:$AJ$361,"&gt;"&amp;AJ95)+COUNTIFS($A$29:A95,A95,$H$29:H95,"",$AJ$29:AJ95,AJ95))</f>
        <v>8</v>
      </c>
      <c r="G95" s="17" t="str">
        <f aca="false">IF(H95&lt;&gt;"","",IF(ISNUMBER(I95),IF(I95&gt;=$C$3,"High price","Lower price"),"No price")&amp;", "&amp;IF(M95&gt;=$E$3,"high volume","lower volume"))</f>
        <v>Lower price, high volume</v>
      </c>
      <c r="H95" s="17" t="str">
        <f aca="false">IF(Q95="No","IV only (no ID, IM or SC route)",IF(AND(AE95&gt;0,AF95=0),"Price ≤ USD 5",""))</f>
        <v/>
      </c>
      <c r="I95" s="18" t="n">
        <f aca="false">IF(AF95&gt;0,ROUND(AVERAGEIFS('Shortlisted Drugs X Company (7)'!$N$3:$N$698,'Shortlisted Drugs X Company (7)'!$C$3:$C$698,$B95,'Shortlisted Drugs X Company (7)'!$E$3:$E$698,$AA95,'Shortlisted Drugs X Company (7)'!$N$3:$N$698,"&gt;5"),2),"")</f>
        <v>23.15</v>
      </c>
      <c r="J95" s="17" t="str">
        <f aca="false">IF(COUNTIFS('Shortlisted Drugs X Company (7)'!$C$3:$C$698,$B95,'Shortlisted Drugs X Company (7)'!$E$3:$E$698,$AA95,'Shortlisted Drugs X Company (7)'!$P$3:$P$698,"Exact")&gt;0,"Exact",IF(COUNTIFS('Shortlisted Drugs X Company (7)'!$C$3:$C$698,$B95,'Shortlisted Drugs X Company (7)'!$E$3:$E$698,$AA95,'Shortlisted Drugs X Company (7)'!$P$3:$P$698,"Same-market proxy")&gt;0,"Same-market proxy",IF(COUNTIFS('Shortlisted Drugs X Company (7)'!$C$3:$C$698,$B95,'Shortlisted Drugs X Company (7)'!$E$3:$E$698,$AA95,'Shortlisted Drugs X Company (7)'!$P$3:$P$698,"Cross-market proxy")&gt;0,"Cross-market proxy",IF(COUNTIFS('Shortlisted Drugs X Company (7)'!$C$3:$C$698,$B95,'Shortlisted Drugs X Company (7)'!$E$3:$E$698,$AA95,'Shortlisted Drugs X Company (7)'!$P$3:$P$698,"Source not found")&gt;0,"Source not found","No price found"))))</f>
        <v>Same-market proxy</v>
      </c>
      <c r="K95" s="19" t="n">
        <f aca="false">IFERROR(INDEX('Injectable Value'!$AB$28:$AB$178,MATCH(B95,'Injectable Value'!$A$28:$A$178,0)),"")</f>
        <v>2582</v>
      </c>
      <c r="L95" s="77" t="n">
        <f aca="false">IFERROR(INDEX('Injectable Value'!$Z$28:$Z$178,MATCH(B95,'Injectable Value'!$A$28:$A$178,0)),"")</f>
        <v>0.125875590958329</v>
      </c>
      <c r="M95" s="19" t="n">
        <f aca="false">IFERROR(INDEX('Injectable Value'!$AC$28:$AC$178,MATCH(B95,'Injectable Value'!$A$28:$A$178,0)),"")</f>
        <v>325</v>
      </c>
      <c r="N95" s="19" t="n">
        <f aca="false">IFERROR(INDEX('Injectable Value'!$C$28:$C$178,MATCH(B95,'Injectable Value'!$A$28:$A$178,0)),"")</f>
        <v>38106.07</v>
      </c>
      <c r="O95" s="19" t="n">
        <f aca="false">IFERROR(ROUND(INDEX('Injectable Value'!$AA$28:$AA$178,MATCH(B95,'Injectable Value'!$A$28:$A$178,0)),1),"")</f>
        <v>4796.6</v>
      </c>
      <c r="P95" s="16" t="str">
        <f aca="false">IFERROR(INDEX('Route of Administration'!$C$5:$C$155,MATCH(B95,'Route of Administration'!$A$5:$A$155,0)),"")</f>
        <v>IV, IM</v>
      </c>
      <c r="Q95" s="15" t="str">
        <f aca="false">IFERROR(INDEX('Route of Administration'!$D$5:$D$155,MATCH(B95,'Route of Administration'!$A$5:$A$155,0)),"")</f>
        <v>Yes</v>
      </c>
      <c r="R95" s="16" t="s">
        <v>281</v>
      </c>
      <c r="S95" s="17" t="s">
        <v>613</v>
      </c>
      <c r="T95" s="16" t="s">
        <v>333</v>
      </c>
      <c r="U95" s="17" t="str">
        <f aca="false">"Reconstitution"&amp;IF(AE95=0,"; No price found","")&amp;IF(AND(AE95&gt;0,AF95=0,AG95=0),"; Low price comes from another market – confirm with the company","")</f>
        <v>Reconstitution</v>
      </c>
      <c r="V95" s="17" t="s">
        <v>284</v>
      </c>
      <c r="W95" s="15" t="n">
        <v>2</v>
      </c>
      <c r="X95" s="17" t="s">
        <v>635</v>
      </c>
      <c r="Y95" s="17" t="s">
        <v>635</v>
      </c>
      <c r="Z95" s="17" t="s">
        <v>286</v>
      </c>
      <c r="AA95" s="16" t="s">
        <v>230</v>
      </c>
      <c r="AB95" s="78" t="s">
        <v>636</v>
      </c>
      <c r="AC95" s="20" t="n">
        <f aca="false">IF(AE95&gt;0,ROUND(AVERAGEIFS('Shortlisted Drugs X Company (7)'!$N$3:$N$698,'Shortlisted Drugs X Company (7)'!$C$3:$C$698,$B95,'Shortlisted Drugs X Company (7)'!$E$3:$E$698,$AA95,'Shortlisted Drugs X Company (7)'!$N$3:$N$698,"&gt;=0"),2),"")</f>
        <v>23.15</v>
      </c>
      <c r="AD95" s="79" t="str">
        <f aca="false">B95&amp;"|"&amp;AA95</f>
        <v>Hydrocortisone|Cipla</v>
      </c>
      <c r="AE95" s="22" t="n">
        <f aca="false">COUNTIFS('Shortlisted Drugs X Company (7)'!$C$3:$C$698,$B95,'Shortlisted Drugs X Company (7)'!$E$3:$E$698,$AA95,'Shortlisted Drugs X Company (7)'!$N$3:$N$698,"&gt;=0")</f>
        <v>2</v>
      </c>
      <c r="AF95" s="22" t="n">
        <f aca="false">COUNTIFS('Shortlisted Drugs X Company (7)'!$C$3:$C$698,$B95,'Shortlisted Drugs X Company (7)'!$E$3:$E$698,$AA95,'Shortlisted Drugs X Company (7)'!$N$3:$N$698,"&gt;5")</f>
        <v>2</v>
      </c>
      <c r="AG95" s="22" t="n">
        <f aca="false">COUNTIFS('Shortlisted Drugs X Company (7)'!$C$3:$C$698,$B95,'Shortlisted Drugs X Company (7)'!$E$3:$E$698,$AA95,'Shortlisted Drugs X Company (7)'!$P$3:$P$698,"Exact")+COUNTIFS('Shortlisted Drugs X Company (7)'!$C$3:$C$698,$B95,'Shortlisted Drugs X Company (7)'!$E$3:$E$698,$AA95,'Shortlisted Drugs X Company (7)'!$P$3:$P$698,"Same-market proxy")</f>
        <v>2</v>
      </c>
      <c r="AH95" s="22" t="n">
        <f aca="false">INDEX($G$7:$G$25,MATCH(A95,$A$7:$A$25,0))</f>
        <v>4</v>
      </c>
      <c r="AI95" s="79" t="n">
        <f aca="false">IF(OR(Q95="No",LEFT(H95,7)="IV only"),"",AH95*1000+IF(F95="",900+COUNTIFS($A$29:A95,A95,$H$29:H95,"Price*"),F95))</f>
        <v>4008</v>
      </c>
      <c r="AJ95" s="79" t="n">
        <f aca="false">IF(H95&lt;&gt;"","",(4-VALUE(RIGHT(E95,1)))*10^7+N(O95))</f>
        <v>20004796.6</v>
      </c>
      <c r="AK95" s="20" t="n">
        <f aca="false">IF(AND(H95="",ISNUMBER(I95)),I95,"")</f>
        <v>23.15</v>
      </c>
      <c r="AL95" s="21" t="n">
        <f aca="false">IF(H95="",M95,"")</f>
        <v>325</v>
      </c>
    </row>
    <row r="96" customFormat="false" ht="28.35" hidden="false" customHeight="false" outlineLevel="0" collapsed="false">
      <c r="A96" s="16" t="s">
        <v>230</v>
      </c>
      <c r="B96" s="16" t="s">
        <v>637</v>
      </c>
      <c r="C96" s="17" t="s">
        <v>638</v>
      </c>
      <c r="D96" s="17" t="s">
        <v>639</v>
      </c>
      <c r="E96" s="15" t="str">
        <f aca="false">IF(H96&lt;&gt;"",IF(LEFT(H96,5)="Price","Excluded – price ≤ USD 5","Excluded – IV only"),IF(ISNUMBER(I96),IF(AND(I96&gt;=$C$3,M96&gt;=$E$3),"Priority 1",IF(OR(I96&gt;=$C$3,M96&gt;=$E$3),"Priority 2","Priority 3")),IF(M96&gt;=$E$3,"Priority 2","Priority 3")))</f>
        <v>Priority 2</v>
      </c>
      <c r="F96" s="15" t="n">
        <f aca="false">IF(H96&lt;&gt;"","",COUNTIFS($A$29:$A$361,A96,$H$29:$H$361,"",$AJ$29:$AJ$361,"&gt;"&amp;AJ96)+COUNTIFS($A$29:A96,A96,$H$29:H96,"",$AJ$29:AJ96,AJ96))</f>
        <v>9</v>
      </c>
      <c r="G96" s="17" t="str">
        <f aca="false">IF(H96&lt;&gt;"","",IF(ISNUMBER(I96),IF(I96&gt;=$C$3,"High price","Lower price"),"No price")&amp;", "&amp;IF(M96&gt;=$E$3,"high volume","lower volume"))</f>
        <v>High price, lower volume</v>
      </c>
      <c r="H96" s="17" t="str">
        <f aca="false">IF(Q96="No","IV only (no ID, IM or SC route)",IF(AND(AE96&gt;0,AF96=0),"Price ≤ USD 5",""))</f>
        <v/>
      </c>
      <c r="I96" s="18" t="n">
        <f aca="false">IF(AF96&gt;0,ROUND(AVERAGEIFS('Shortlisted Drugs X Company (7)'!$N$3:$N$698,'Shortlisted Drugs X Company (7)'!$C$3:$C$698,$B96,'Shortlisted Drugs X Company (7)'!$E$3:$E$698,$AA96,'Shortlisted Drugs X Company (7)'!$N$3:$N$698,"&gt;5"),2),"")</f>
        <v>82.51</v>
      </c>
      <c r="J96" s="17" t="str">
        <f aca="false">IF(COUNTIFS('Shortlisted Drugs X Company (7)'!$C$3:$C$698,$B96,'Shortlisted Drugs X Company (7)'!$E$3:$E$698,$AA96,'Shortlisted Drugs X Company (7)'!$P$3:$P$698,"Exact")&gt;0,"Exact",IF(COUNTIFS('Shortlisted Drugs X Company (7)'!$C$3:$C$698,$B96,'Shortlisted Drugs X Company (7)'!$E$3:$E$698,$AA96,'Shortlisted Drugs X Company (7)'!$P$3:$P$698,"Same-market proxy")&gt;0,"Same-market proxy",IF(COUNTIFS('Shortlisted Drugs X Company (7)'!$C$3:$C$698,$B96,'Shortlisted Drugs X Company (7)'!$E$3:$E$698,$AA96,'Shortlisted Drugs X Company (7)'!$P$3:$P$698,"Cross-market proxy")&gt;0,"Cross-market proxy",IF(COUNTIFS('Shortlisted Drugs X Company (7)'!$C$3:$C$698,$B96,'Shortlisted Drugs X Company (7)'!$E$3:$E$698,$AA96,'Shortlisted Drugs X Company (7)'!$P$3:$P$698,"Source not found")&gt;0,"Source not found","No price found"))))</f>
        <v>Cross-market proxy</v>
      </c>
      <c r="K96" s="19" t="n">
        <f aca="false">IFERROR(INDEX('Injectable Value'!$AB$28:$AB$178,MATCH(B96,'Injectable Value'!$A$28:$A$178,0)),"")</f>
        <v>87</v>
      </c>
      <c r="L96" s="77" t="n">
        <f aca="false">IFERROR(INDEX('Injectable Value'!$Z$28:$Z$178,MATCH(B96,'Injectable Value'!$A$28:$A$178,0)),"")</f>
        <v>1</v>
      </c>
      <c r="M96" s="19" t="n">
        <f aca="false">IFERROR(INDEX('Injectable Value'!$AC$28:$AC$178,MATCH(B96,'Injectable Value'!$A$28:$A$178,0)),"")</f>
        <v>87</v>
      </c>
      <c r="N96" s="19" t="n">
        <f aca="false">IFERROR(INDEX('Injectable Value'!$C$28:$C$178,MATCH(B96,'Injectable Value'!$A$28:$A$178,0)),"")</f>
        <v>2931.42</v>
      </c>
      <c r="O96" s="19" t="n">
        <f aca="false">IFERROR(ROUND(INDEX('Injectable Value'!$AA$28:$AA$178,MATCH(B96,'Injectable Value'!$A$28:$A$178,0)),1),"")</f>
        <v>2931.4</v>
      </c>
      <c r="P96" s="16" t="str">
        <f aca="false">IFERROR(INDEX('Route of Administration'!$C$5:$C$155,MATCH(B96,'Route of Administration'!$A$5:$A$155,0)),"")</f>
        <v>IV, IM, SC</v>
      </c>
      <c r="Q96" s="15" t="str">
        <f aca="false">IFERROR(INDEX('Route of Administration'!$D$5:$D$155,MATCH(B96,'Route of Administration'!$A$5:$A$155,0)),"")</f>
        <v>Yes</v>
      </c>
      <c r="R96" s="16" t="s">
        <v>349</v>
      </c>
      <c r="S96" s="17" t="s">
        <v>640</v>
      </c>
      <c r="T96" s="16" t="s">
        <v>283</v>
      </c>
      <c r="U96" s="17" t="str">
        <f aca="false">""&amp;IF(AE96=0,"No price found","")&amp;IF(AND(AE96&gt;0,AF96=0,AG96=0),"Low price comes from another market – confirm with the company","")</f>
        <v/>
      </c>
      <c r="V96" s="17" t="s">
        <v>112</v>
      </c>
      <c r="W96" s="15" t="n">
        <v>1</v>
      </c>
      <c r="X96" s="17" t="s">
        <v>614</v>
      </c>
      <c r="Y96" s="17" t="s">
        <v>614</v>
      </c>
      <c r="Z96" s="17" t="s">
        <v>286</v>
      </c>
      <c r="AA96" s="16" t="s">
        <v>230</v>
      </c>
      <c r="AB96" s="78" t="s">
        <v>641</v>
      </c>
      <c r="AC96" s="20" t="n">
        <f aca="false">IF(AE96&gt;0,ROUND(AVERAGEIFS('Shortlisted Drugs X Company (7)'!$N$3:$N$698,'Shortlisted Drugs X Company (7)'!$C$3:$C$698,$B96,'Shortlisted Drugs X Company (7)'!$E$3:$E$698,$AA96,'Shortlisted Drugs X Company (7)'!$N$3:$N$698,"&gt;=0"),2),"")</f>
        <v>82.51</v>
      </c>
      <c r="AD96" s="79" t="str">
        <f aca="false">B96&amp;"|"&amp;AA96</f>
        <v>Isoprenaline (Isoproterenol)|Cipla</v>
      </c>
      <c r="AE96" s="22" t="n">
        <f aca="false">COUNTIFS('Shortlisted Drugs X Company (7)'!$C$3:$C$698,$B96,'Shortlisted Drugs X Company (7)'!$E$3:$E$698,$AA96,'Shortlisted Drugs X Company (7)'!$N$3:$N$698,"&gt;=0")</f>
        <v>3</v>
      </c>
      <c r="AF96" s="22" t="n">
        <f aca="false">COUNTIFS('Shortlisted Drugs X Company (7)'!$C$3:$C$698,$B96,'Shortlisted Drugs X Company (7)'!$E$3:$E$698,$AA96,'Shortlisted Drugs X Company (7)'!$N$3:$N$698,"&gt;5")</f>
        <v>3</v>
      </c>
      <c r="AG96" s="22" t="n">
        <f aca="false">COUNTIFS('Shortlisted Drugs X Company (7)'!$C$3:$C$698,$B96,'Shortlisted Drugs X Company (7)'!$E$3:$E$698,$AA96,'Shortlisted Drugs X Company (7)'!$P$3:$P$698,"Exact")+COUNTIFS('Shortlisted Drugs X Company (7)'!$C$3:$C$698,$B96,'Shortlisted Drugs X Company (7)'!$E$3:$E$698,$AA96,'Shortlisted Drugs X Company (7)'!$P$3:$P$698,"Same-market proxy")</f>
        <v>0</v>
      </c>
      <c r="AH96" s="22" t="n">
        <f aca="false">INDEX($G$7:$G$25,MATCH(A96,$A$7:$A$25,0))</f>
        <v>4</v>
      </c>
      <c r="AI96" s="79" t="n">
        <f aca="false">IF(OR(Q96="No",LEFT(H96,7)="IV only"),"",AH96*1000+IF(F96="",900+COUNTIFS($A$29:A96,A96,$H$29:H96,"Price*"),F96))</f>
        <v>4009</v>
      </c>
      <c r="AJ96" s="79" t="n">
        <f aca="false">IF(H96&lt;&gt;"","",(4-VALUE(RIGHT(E96,1)))*10^7+N(O96))</f>
        <v>20002931.4</v>
      </c>
      <c r="AK96" s="20" t="n">
        <f aca="false">IF(AND(H96="",ISNUMBER(I96)),I96,"")</f>
        <v>82.51</v>
      </c>
      <c r="AL96" s="21" t="n">
        <f aca="false">IF(H96="",M96,"")</f>
        <v>87</v>
      </c>
    </row>
    <row r="97" customFormat="false" ht="41.75" hidden="false" customHeight="false" outlineLevel="0" collapsed="false">
      <c r="A97" s="16" t="s">
        <v>230</v>
      </c>
      <c r="B97" s="16" t="s">
        <v>642</v>
      </c>
      <c r="C97" s="17" t="s">
        <v>643</v>
      </c>
      <c r="D97" s="17" t="s">
        <v>644</v>
      </c>
      <c r="E97" s="15" t="str">
        <f aca="false">IF(H97&lt;&gt;"",IF(LEFT(H97,5)="Price","Excluded – price ≤ USD 5","Excluded – IV only"),IF(ISNUMBER(I97),IF(AND(I97&gt;=$C$3,M97&gt;=$E$3),"Priority 1",IF(OR(I97&gt;=$C$3,M97&gt;=$E$3),"Priority 2","Priority 3")),IF(M97&gt;=$E$3,"Priority 2","Priority 3")))</f>
        <v>Priority 2</v>
      </c>
      <c r="F97" s="15" t="n">
        <f aca="false">IF(H97&lt;&gt;"","",COUNTIFS($A$29:$A$361,A97,$H$29:$H$361,"",$AJ$29:$AJ$361,"&gt;"&amp;AJ97)+COUNTIFS($A$29:A97,A97,$H$29:H97,"",$AJ$29:AJ97,AJ97))</f>
        <v>12</v>
      </c>
      <c r="G97" s="17" t="str">
        <f aca="false">IF(H97&lt;&gt;"","",IF(ISNUMBER(I97),IF(I97&gt;=$C$3,"High price","Lower price"),"No price")&amp;", "&amp;IF(M97&gt;=$E$3,"high volume","lower volume"))</f>
        <v>High price, lower volume</v>
      </c>
      <c r="H97" s="17" t="str">
        <f aca="false">IF(Q97="No","IV only (no ID, IM or SC route)",IF(AND(AE97&gt;0,AF97=0),"Price ≤ USD 5",""))</f>
        <v/>
      </c>
      <c r="I97" s="18" t="n">
        <f aca="false">IF(AF97&gt;0,ROUND(AVERAGEIFS('Shortlisted Drugs X Company (7)'!$N$3:$N$698,'Shortlisted Drugs X Company (7)'!$C$3:$C$698,$B97,'Shortlisted Drugs X Company (7)'!$E$3:$E$698,$AA97,'Shortlisted Drugs X Company (7)'!$N$3:$N$698,"&gt;5"),2),"")</f>
        <v>5970.59</v>
      </c>
      <c r="J97" s="17" t="str">
        <f aca="false">IF(COUNTIFS('Shortlisted Drugs X Company (7)'!$C$3:$C$698,$B97,'Shortlisted Drugs X Company (7)'!$E$3:$E$698,$AA97,'Shortlisted Drugs X Company (7)'!$P$3:$P$698,"Exact")&gt;0,"Exact",IF(COUNTIFS('Shortlisted Drugs X Company (7)'!$C$3:$C$698,$B97,'Shortlisted Drugs X Company (7)'!$E$3:$E$698,$AA97,'Shortlisted Drugs X Company (7)'!$P$3:$P$698,"Same-market proxy")&gt;0,"Same-market proxy",IF(COUNTIFS('Shortlisted Drugs X Company (7)'!$C$3:$C$698,$B97,'Shortlisted Drugs X Company (7)'!$E$3:$E$698,$AA97,'Shortlisted Drugs X Company (7)'!$P$3:$P$698,"Cross-market proxy")&gt;0,"Cross-market proxy",IF(COUNTIFS('Shortlisted Drugs X Company (7)'!$C$3:$C$698,$B97,'Shortlisted Drugs X Company (7)'!$E$3:$E$698,$AA97,'Shortlisted Drugs X Company (7)'!$P$3:$P$698,"Source not found")&gt;0,"Source not found","No price found"))))</f>
        <v>Same-market proxy</v>
      </c>
      <c r="K97" s="19" t="n">
        <f aca="false">IFERROR(INDEX('Injectable Value'!$AB$28:$AB$178,MATCH(B97,'Injectable Value'!$A$28:$A$178,0)),"")</f>
        <v>25</v>
      </c>
      <c r="L97" s="77" t="n">
        <f aca="false">IFERROR(INDEX('Injectable Value'!$Z$28:$Z$178,MATCH(B97,'Injectable Value'!$A$28:$A$178,0)),"")</f>
        <v>1</v>
      </c>
      <c r="M97" s="19" t="n">
        <f aca="false">IFERROR(INDEX('Injectable Value'!$AC$28:$AC$178,MATCH(B97,'Injectable Value'!$A$28:$A$178,0)),"")</f>
        <v>25</v>
      </c>
      <c r="N97" s="19" t="n">
        <f aca="false">IFERROR(INDEX('Injectable Value'!$C$28:$C$178,MATCH(B97,'Injectable Value'!$A$28:$A$178,0)),"")</f>
        <v>0.23</v>
      </c>
      <c r="O97" s="19" t="n">
        <f aca="false">IFERROR(ROUND(INDEX('Injectable Value'!$AA$28:$AA$178,MATCH(B97,'Injectable Value'!$A$28:$A$178,0)),1),"")</f>
        <v>0.2</v>
      </c>
      <c r="P97" s="16" t="str">
        <f aca="false">IFERROR(INDEX('Route of Administration'!$C$5:$C$155,MATCH(B97,'Route of Administration'!$A$5:$A$155,0)),"")</f>
        <v>SC</v>
      </c>
      <c r="Q97" s="15" t="str">
        <f aca="false">IFERROR(INDEX('Route of Administration'!$D$5:$D$155,MATCH(B97,'Route of Administration'!$A$5:$A$155,0)),"")</f>
        <v>Yes</v>
      </c>
      <c r="R97" s="16" t="s">
        <v>291</v>
      </c>
      <c r="S97" s="17" t="s">
        <v>645</v>
      </c>
      <c r="T97" s="16" t="s">
        <v>283</v>
      </c>
      <c r="U97" s="17" t="str">
        <f aca="false">"Prefilled only"&amp;IF(AE97=0,"; No price found","")&amp;IF(AND(AE97&gt;0,AF97=0,AG97=0),"; Low price comes from another market – confirm with the company","")</f>
        <v>Prefilled only</v>
      </c>
      <c r="V97" s="17" t="s">
        <v>284</v>
      </c>
      <c r="W97" s="15" t="n">
        <v>1</v>
      </c>
      <c r="X97" s="17" t="s">
        <v>284</v>
      </c>
      <c r="Y97" s="17" t="s">
        <v>284</v>
      </c>
      <c r="Z97" s="17" t="s">
        <v>293</v>
      </c>
      <c r="AA97" s="16" t="s">
        <v>230</v>
      </c>
      <c r="AB97" s="78" t="s">
        <v>646</v>
      </c>
      <c r="AC97" s="20" t="n">
        <f aca="false">IF(AE97&gt;0,ROUND(AVERAGEIFS('Shortlisted Drugs X Company (7)'!$N$3:$N$698,'Shortlisted Drugs X Company (7)'!$C$3:$C$698,$B97,'Shortlisted Drugs X Company (7)'!$E$3:$E$698,$AA97,'Shortlisted Drugs X Company (7)'!$N$3:$N$698,"&gt;=0"),2),"")</f>
        <v>5970.59</v>
      </c>
      <c r="AD97" s="79" t="str">
        <f aca="false">B97&amp;"|"&amp;AA97</f>
        <v>Lanreotide|Cipla</v>
      </c>
      <c r="AE97" s="22" t="n">
        <f aca="false">COUNTIFS('Shortlisted Drugs X Company (7)'!$C$3:$C$698,$B97,'Shortlisted Drugs X Company (7)'!$E$3:$E$698,$AA97,'Shortlisted Drugs X Company (7)'!$N$3:$N$698,"&gt;=0")</f>
        <v>3</v>
      </c>
      <c r="AF97" s="22" t="n">
        <f aca="false">COUNTIFS('Shortlisted Drugs X Company (7)'!$C$3:$C$698,$B97,'Shortlisted Drugs X Company (7)'!$E$3:$E$698,$AA97,'Shortlisted Drugs X Company (7)'!$N$3:$N$698,"&gt;5")</f>
        <v>3</v>
      </c>
      <c r="AG97" s="22" t="n">
        <f aca="false">COUNTIFS('Shortlisted Drugs X Company (7)'!$C$3:$C$698,$B97,'Shortlisted Drugs X Company (7)'!$E$3:$E$698,$AA97,'Shortlisted Drugs X Company (7)'!$P$3:$P$698,"Exact")+COUNTIFS('Shortlisted Drugs X Company (7)'!$C$3:$C$698,$B97,'Shortlisted Drugs X Company (7)'!$E$3:$E$698,$AA97,'Shortlisted Drugs X Company (7)'!$P$3:$P$698,"Same-market proxy")</f>
        <v>3</v>
      </c>
      <c r="AH97" s="22" t="n">
        <f aca="false">INDEX($G$7:$G$25,MATCH(A97,$A$7:$A$25,0))</f>
        <v>4</v>
      </c>
      <c r="AI97" s="79" t="n">
        <f aca="false">IF(OR(Q97="No",LEFT(H97,7)="IV only"),"",AH97*1000+IF(F97="",900+COUNTIFS($A$29:A97,A97,$H$29:H97,"Price*"),F97))</f>
        <v>4012</v>
      </c>
      <c r="AJ97" s="79" t="n">
        <f aca="false">IF(H97&lt;&gt;"","",(4-VALUE(RIGHT(E97,1)))*10^7+N(O97))</f>
        <v>20000000.2</v>
      </c>
      <c r="AK97" s="20" t="n">
        <f aca="false">IF(AND(H97="",ISNUMBER(I97)),I97,"")</f>
        <v>5970.59</v>
      </c>
      <c r="AL97" s="21" t="n">
        <f aca="false">IF(H97="",M97,"")</f>
        <v>25</v>
      </c>
    </row>
    <row r="98" customFormat="false" ht="28.35" hidden="false" customHeight="false" outlineLevel="0" collapsed="false">
      <c r="A98" s="16" t="s">
        <v>230</v>
      </c>
      <c r="B98" s="16" t="s">
        <v>647</v>
      </c>
      <c r="C98" s="17" t="s">
        <v>648</v>
      </c>
      <c r="D98" s="17" t="s">
        <v>649</v>
      </c>
      <c r="E98" s="15" t="str">
        <f aca="false">IF(H98&lt;&gt;"",IF(LEFT(H98,5)="Price","Excluded – price ≤ USD 5","Excluded – IV only"),IF(ISNUMBER(I98),IF(AND(I98&gt;=$C$3,M98&gt;=$E$3),"Priority 1",IF(OR(I98&gt;=$C$3,M98&gt;=$E$3),"Priority 2","Priority 3")),IF(M98&gt;=$E$3,"Priority 2","Priority 3")))</f>
        <v>Priority 2</v>
      </c>
      <c r="F98" s="15" t="n">
        <f aca="false">IF(H98&lt;&gt;"","",COUNTIFS($A$29:$A$361,A98,$H$29:$H$361,"",$AJ$29:$AJ$361,"&gt;"&amp;AJ98)+COUNTIFS($A$29:A98,A98,$H$29:H98,"",$AJ$29:AJ98,AJ98))</f>
        <v>4</v>
      </c>
      <c r="G98" s="17" t="str">
        <f aca="false">IF(H98&lt;&gt;"","",IF(ISNUMBER(I98),IF(I98&gt;=$C$3,"High price","Lower price"),"No price")&amp;", "&amp;IF(M98&gt;=$E$3,"high volume","lower volume"))</f>
        <v>Lower price, high volume</v>
      </c>
      <c r="H98" s="17" t="str">
        <f aca="false">IF(Q98="No","IV only (no ID, IM or SC route)",IF(AND(AE98&gt;0,AF98=0),"Price ≤ USD 5",""))</f>
        <v/>
      </c>
      <c r="I98" s="18" t="n">
        <f aca="false">IF(AF98&gt;0,ROUND(AVERAGEIFS('Shortlisted Drugs X Company (7)'!$N$3:$N$698,'Shortlisted Drugs X Company (7)'!$C$3:$C$698,$B98,'Shortlisted Drugs X Company (7)'!$E$3:$E$698,$AA98,'Shortlisted Drugs X Company (7)'!$N$3:$N$698,"&gt;5"),2),"")</f>
        <v>9.55</v>
      </c>
      <c r="J98" s="17" t="str">
        <f aca="false">IF(COUNTIFS('Shortlisted Drugs X Company (7)'!$C$3:$C$698,$B98,'Shortlisted Drugs X Company (7)'!$E$3:$E$698,$AA98,'Shortlisted Drugs X Company (7)'!$P$3:$P$698,"Exact")&gt;0,"Exact",IF(COUNTIFS('Shortlisted Drugs X Company (7)'!$C$3:$C$698,$B98,'Shortlisted Drugs X Company (7)'!$E$3:$E$698,$AA98,'Shortlisted Drugs X Company (7)'!$P$3:$P$698,"Same-market proxy")&gt;0,"Same-market proxy",IF(COUNTIFS('Shortlisted Drugs X Company (7)'!$C$3:$C$698,$B98,'Shortlisted Drugs X Company (7)'!$E$3:$E$698,$AA98,'Shortlisted Drugs X Company (7)'!$P$3:$P$698,"Cross-market proxy")&gt;0,"Cross-market proxy",IF(COUNTIFS('Shortlisted Drugs X Company (7)'!$C$3:$C$698,$B98,'Shortlisted Drugs X Company (7)'!$E$3:$E$698,$AA98,'Shortlisted Drugs X Company (7)'!$P$3:$P$698,"Source not found")&gt;0,"Source not found","No price found"))))</f>
        <v>Exact</v>
      </c>
      <c r="K98" s="19" t="n">
        <f aca="false">IFERROR(INDEX('Injectable Value'!$AB$28:$AB$178,MATCH(B98,'Injectable Value'!$A$28:$A$178,0)),"")</f>
        <v>590</v>
      </c>
      <c r="L98" s="77" t="n">
        <f aca="false">IFERROR(INDEX('Injectable Value'!$Z$28:$Z$178,MATCH(B98,'Injectable Value'!$A$28:$A$178,0)),"")</f>
        <v>1</v>
      </c>
      <c r="M98" s="19" t="n">
        <f aca="false">IFERROR(INDEX('Injectable Value'!$AC$28:$AC$178,MATCH(B98,'Injectable Value'!$A$28:$A$178,0)),"")</f>
        <v>590</v>
      </c>
      <c r="N98" s="19" t="n">
        <f aca="false">IFERROR(INDEX('Injectable Value'!$C$28:$C$178,MATCH(B98,'Injectable Value'!$A$28:$A$178,0)),"")</f>
        <v>417765.21</v>
      </c>
      <c r="O98" s="19" t="n">
        <f aca="false">IFERROR(ROUND(INDEX('Injectable Value'!$AA$28:$AA$178,MATCH(B98,'Injectable Value'!$A$28:$A$178,0)),1),"")</f>
        <v>417765.2</v>
      </c>
      <c r="P98" s="16" t="str">
        <f aca="false">IFERROR(INDEX('Route of Administration'!$C$5:$C$155,MATCH(B98,'Route of Administration'!$A$5:$A$155,0)),"")</f>
        <v>SC, IM</v>
      </c>
      <c r="Q98" s="15" t="str">
        <f aca="false">IFERROR(INDEX('Route of Administration'!$D$5:$D$155,MATCH(B98,'Route of Administration'!$A$5:$A$155,0)),"")</f>
        <v>Yes</v>
      </c>
      <c r="R98" s="16" t="s">
        <v>281</v>
      </c>
      <c r="S98" s="17" t="s">
        <v>650</v>
      </c>
      <c r="T98" s="16" t="s">
        <v>283</v>
      </c>
      <c r="U98" s="17" t="str">
        <f aca="false">""&amp;IF(AE98=0,"No price found","")&amp;IF(AND(AE98&gt;0,AF98=0,AG98=0),"Low price comes from another market – confirm with the company","")</f>
        <v/>
      </c>
      <c r="V98" s="17" t="s">
        <v>112</v>
      </c>
      <c r="W98" s="15" t="n">
        <v>1</v>
      </c>
      <c r="X98" s="17" t="s">
        <v>360</v>
      </c>
      <c r="Y98" s="17" t="s">
        <v>360</v>
      </c>
      <c r="Z98" s="17" t="s">
        <v>321</v>
      </c>
      <c r="AA98" s="16" t="s">
        <v>230</v>
      </c>
      <c r="AB98" s="78" t="s">
        <v>651</v>
      </c>
      <c r="AC98" s="20" t="n">
        <f aca="false">IF(AE98&gt;0,ROUND(AVERAGEIFS('Shortlisted Drugs X Company (7)'!$N$3:$N$698,'Shortlisted Drugs X Company (7)'!$C$3:$C$698,$B98,'Shortlisted Drugs X Company (7)'!$E$3:$E$698,$AA98,'Shortlisted Drugs X Company (7)'!$N$3:$N$698,"&gt;=0"),2),"")</f>
        <v>9.55</v>
      </c>
      <c r="AD98" s="79" t="str">
        <f aca="false">B98&amp;"|"&amp;AA98</f>
        <v>Measles Vaccine|Cipla</v>
      </c>
      <c r="AE98" s="22" t="n">
        <f aca="false">COUNTIFS('Shortlisted Drugs X Company (7)'!$C$3:$C$698,$B98,'Shortlisted Drugs X Company (7)'!$E$3:$E$698,$AA98,'Shortlisted Drugs X Company (7)'!$N$3:$N$698,"&gt;=0")</f>
        <v>2</v>
      </c>
      <c r="AF98" s="22" t="n">
        <f aca="false">COUNTIFS('Shortlisted Drugs X Company (7)'!$C$3:$C$698,$B98,'Shortlisted Drugs X Company (7)'!$E$3:$E$698,$AA98,'Shortlisted Drugs X Company (7)'!$N$3:$N$698,"&gt;5")</f>
        <v>2</v>
      </c>
      <c r="AG98" s="22" t="n">
        <f aca="false">COUNTIFS('Shortlisted Drugs X Company (7)'!$C$3:$C$698,$B98,'Shortlisted Drugs X Company (7)'!$E$3:$E$698,$AA98,'Shortlisted Drugs X Company (7)'!$P$3:$P$698,"Exact")+COUNTIFS('Shortlisted Drugs X Company (7)'!$C$3:$C$698,$B98,'Shortlisted Drugs X Company (7)'!$E$3:$E$698,$AA98,'Shortlisted Drugs X Company (7)'!$P$3:$P$698,"Same-market proxy")</f>
        <v>2</v>
      </c>
      <c r="AH98" s="22" t="n">
        <f aca="false">INDEX($G$7:$G$25,MATCH(A98,$A$7:$A$25,0))</f>
        <v>4</v>
      </c>
      <c r="AI98" s="79" t="n">
        <f aca="false">IF(OR(Q98="No",LEFT(H98,7)="IV only"),"",AH98*1000+IF(F98="",900+COUNTIFS($A$29:A98,A98,$H$29:H98,"Price*"),F98))</f>
        <v>4004</v>
      </c>
      <c r="AJ98" s="79" t="n">
        <f aca="false">IF(H98&lt;&gt;"","",(4-VALUE(RIGHT(E98,1)))*10^7+N(O98))</f>
        <v>20417765.2</v>
      </c>
      <c r="AK98" s="20" t="n">
        <f aca="false">IF(AND(H98="",ISNUMBER(I98)),I98,"")</f>
        <v>9.55</v>
      </c>
      <c r="AL98" s="21" t="n">
        <f aca="false">IF(H98="",M98,"")</f>
        <v>590</v>
      </c>
    </row>
    <row r="99" customFormat="false" ht="28.35" hidden="false" customHeight="false" outlineLevel="0" collapsed="false">
      <c r="A99" s="16" t="s">
        <v>230</v>
      </c>
      <c r="B99" s="16" t="s">
        <v>471</v>
      </c>
      <c r="C99" s="17" t="s">
        <v>652</v>
      </c>
      <c r="D99" s="17" t="s">
        <v>472</v>
      </c>
      <c r="E99" s="15" t="str">
        <f aca="false">IF(H99&lt;&gt;"",IF(LEFT(H99,5)="Price","Excluded – price ≤ USD 5","Excluded – IV only"),IF(ISNUMBER(I99),IF(AND(I99&gt;=$C$3,M99&gt;=$E$3),"Priority 1",IF(OR(I99&gt;=$C$3,M99&gt;=$E$3),"Priority 2","Priority 3")),IF(M99&gt;=$E$3,"Priority 2","Priority 3")))</f>
        <v>Priority 3</v>
      </c>
      <c r="F99" s="15" t="n">
        <f aca="false">IF(H99&lt;&gt;"","",COUNTIFS($A$29:$A$361,A99,$H$29:$H$361,"",$AJ$29:$AJ$361,"&gt;"&amp;AJ99)+COUNTIFS($A$29:A99,A99,$H$29:H99,"",$AJ$29:AJ99,AJ99))</f>
        <v>14</v>
      </c>
      <c r="G99" s="17" t="str">
        <f aca="false">IF(H99&lt;&gt;"","",IF(ISNUMBER(I99),IF(I99&gt;=$C$3,"High price","Lower price"),"No price")&amp;", "&amp;IF(M99&gt;=$E$3,"high volume","lower volume"))</f>
        <v>Lower price, lower volume</v>
      </c>
      <c r="H99" s="17" t="str">
        <f aca="false">IF(Q99="No","IV only (no ID, IM or SC route)",IF(AND(AE99&gt;0,AF99=0),"Price ≤ USD 5",""))</f>
        <v/>
      </c>
      <c r="I99" s="18" t="n">
        <f aca="false">IF(AF99&gt;0,ROUND(AVERAGEIFS('Shortlisted Drugs X Company (7)'!$N$3:$N$698,'Shortlisted Drugs X Company (7)'!$C$3:$C$698,$B99,'Shortlisted Drugs X Company (7)'!$E$3:$E$698,$AA99,'Shortlisted Drugs X Company (7)'!$N$3:$N$698,"&gt;5"),2),"")</f>
        <v>19.65</v>
      </c>
      <c r="J99" s="17" t="str">
        <f aca="false">IF(COUNTIFS('Shortlisted Drugs X Company (7)'!$C$3:$C$698,$B99,'Shortlisted Drugs X Company (7)'!$E$3:$E$698,$AA99,'Shortlisted Drugs X Company (7)'!$P$3:$P$698,"Exact")&gt;0,"Exact",IF(COUNTIFS('Shortlisted Drugs X Company (7)'!$C$3:$C$698,$B99,'Shortlisted Drugs X Company (7)'!$E$3:$E$698,$AA99,'Shortlisted Drugs X Company (7)'!$P$3:$P$698,"Same-market proxy")&gt;0,"Same-market proxy",IF(COUNTIFS('Shortlisted Drugs X Company (7)'!$C$3:$C$698,$B99,'Shortlisted Drugs X Company (7)'!$E$3:$E$698,$AA99,'Shortlisted Drugs X Company (7)'!$P$3:$P$698,"Cross-market proxy")&gt;0,"Cross-market proxy",IF(COUNTIFS('Shortlisted Drugs X Company (7)'!$C$3:$C$698,$B99,'Shortlisted Drugs X Company (7)'!$E$3:$E$698,$AA99,'Shortlisted Drugs X Company (7)'!$P$3:$P$698,"Source not found")&gt;0,"Source not found","No price found"))))</f>
        <v>Same-market proxy</v>
      </c>
      <c r="K99" s="19" t="n">
        <f aca="false">IFERROR(INDEX('Injectable Value'!$AB$28:$AB$178,MATCH(B99,'Injectable Value'!$A$28:$A$178,0)),"")</f>
        <v>122</v>
      </c>
      <c r="L99" s="77" t="n">
        <f aca="false">IFERROR(INDEX('Injectable Value'!$Z$28:$Z$178,MATCH(B99,'Injectable Value'!$A$28:$A$178,0)),"")</f>
        <v>0.33624222999223</v>
      </c>
      <c r="M99" s="19" t="n">
        <f aca="false">IFERROR(INDEX('Injectable Value'!$AC$28:$AC$178,MATCH(B99,'Injectable Value'!$A$28:$A$178,0)),"")</f>
        <v>41</v>
      </c>
      <c r="N99" s="19" t="n">
        <f aca="false">IFERROR(INDEX('Injectable Value'!$C$28:$C$178,MATCH(B99,'Injectable Value'!$A$28:$A$178,0)),"")</f>
        <v>8000.57</v>
      </c>
      <c r="O99" s="19" t="n">
        <f aca="false">IFERROR(ROUND(INDEX('Injectable Value'!$AA$28:$AA$178,MATCH(B99,'Injectable Value'!$A$28:$A$178,0)),1),"")</f>
        <v>2690.1</v>
      </c>
      <c r="P99" s="16" t="str">
        <f aca="false">IFERROR(INDEX('Route of Administration'!$C$5:$C$155,MATCH(B99,'Route of Administration'!$A$5:$A$155,0)),"")</f>
        <v>IM, SC</v>
      </c>
      <c r="Q99" s="15" t="str">
        <f aca="false">IFERROR(INDEX('Route of Administration'!$D$5:$D$155,MATCH(B99,'Route of Administration'!$A$5:$A$155,0)),"")</f>
        <v>Yes</v>
      </c>
      <c r="R99" s="16" t="s">
        <v>281</v>
      </c>
      <c r="S99" s="17" t="s">
        <v>653</v>
      </c>
      <c r="T99" s="16" t="s">
        <v>283</v>
      </c>
      <c r="U99" s="17" t="str">
        <f aca="false">""&amp;IF(AE99=0,"No price found","")&amp;IF(AND(AE99&gt;0,AF99=0,AG99=0),"Low price comes from another market – confirm with the company","")</f>
        <v/>
      </c>
      <c r="V99" s="17" t="s">
        <v>112</v>
      </c>
      <c r="W99" s="15" t="n">
        <v>1</v>
      </c>
      <c r="X99" s="17" t="s">
        <v>614</v>
      </c>
      <c r="Y99" s="17" t="s">
        <v>614</v>
      </c>
      <c r="Z99" s="17" t="s">
        <v>321</v>
      </c>
      <c r="AA99" s="16" t="s">
        <v>230</v>
      </c>
      <c r="AB99" s="78" t="s">
        <v>475</v>
      </c>
      <c r="AC99" s="20" t="n">
        <f aca="false">IF(AE99&gt;0,ROUND(AVERAGEIFS('Shortlisted Drugs X Company (7)'!$N$3:$N$698,'Shortlisted Drugs X Company (7)'!$C$3:$C$698,$B99,'Shortlisted Drugs X Company (7)'!$E$3:$E$698,$AA99,'Shortlisted Drugs X Company (7)'!$N$3:$N$698,"&gt;=0"),2),"")</f>
        <v>19.65</v>
      </c>
      <c r="AD99" s="79" t="str">
        <f aca="false">B99&amp;"|"&amp;AA99</f>
        <v>Medroxyprogesterone Acetate|Cipla</v>
      </c>
      <c r="AE99" s="22" t="n">
        <f aca="false">COUNTIFS('Shortlisted Drugs X Company (7)'!$C$3:$C$698,$B99,'Shortlisted Drugs X Company (7)'!$E$3:$E$698,$AA99,'Shortlisted Drugs X Company (7)'!$N$3:$N$698,"&gt;=0")</f>
        <v>1</v>
      </c>
      <c r="AF99" s="22" t="n">
        <f aca="false">COUNTIFS('Shortlisted Drugs X Company (7)'!$C$3:$C$698,$B99,'Shortlisted Drugs X Company (7)'!$E$3:$E$698,$AA99,'Shortlisted Drugs X Company (7)'!$N$3:$N$698,"&gt;5")</f>
        <v>1</v>
      </c>
      <c r="AG99" s="22" t="n">
        <f aca="false">COUNTIFS('Shortlisted Drugs X Company (7)'!$C$3:$C$698,$B99,'Shortlisted Drugs X Company (7)'!$E$3:$E$698,$AA99,'Shortlisted Drugs X Company (7)'!$P$3:$P$698,"Exact")+COUNTIFS('Shortlisted Drugs X Company (7)'!$C$3:$C$698,$B99,'Shortlisted Drugs X Company (7)'!$E$3:$E$698,$AA99,'Shortlisted Drugs X Company (7)'!$P$3:$P$698,"Same-market proxy")</f>
        <v>1</v>
      </c>
      <c r="AH99" s="22" t="n">
        <f aca="false">INDEX($G$7:$G$25,MATCH(A99,$A$7:$A$25,0))</f>
        <v>4</v>
      </c>
      <c r="AI99" s="79" t="n">
        <f aca="false">IF(OR(Q99="No",LEFT(H99,7)="IV only"),"",AH99*1000+IF(F99="",900+COUNTIFS($A$29:A99,A99,$H$29:H99,"Price*"),F99))</f>
        <v>4014</v>
      </c>
      <c r="AJ99" s="79" t="n">
        <f aca="false">IF(H99&lt;&gt;"","",(4-VALUE(RIGHT(E99,1)))*10^7+N(O99))</f>
        <v>10002690.1</v>
      </c>
      <c r="AK99" s="20" t="n">
        <f aca="false">IF(AND(H99="",ISNUMBER(I99)),I99,"")</f>
        <v>19.65</v>
      </c>
      <c r="AL99" s="21" t="n">
        <f aca="false">IF(H99="",M99,"")</f>
        <v>41</v>
      </c>
    </row>
    <row r="100" customFormat="false" ht="28.35" hidden="false" customHeight="false" outlineLevel="0" collapsed="false">
      <c r="A100" s="16" t="s">
        <v>230</v>
      </c>
      <c r="B100" s="16" t="s">
        <v>529</v>
      </c>
      <c r="C100" s="17" t="s">
        <v>654</v>
      </c>
      <c r="D100" s="17" t="s">
        <v>531</v>
      </c>
      <c r="E100" s="15" t="str">
        <f aca="false">IF(H100&lt;&gt;"",IF(LEFT(H100,5)="Price","Excluded – price ≤ USD 5","Excluded – IV only"),IF(ISNUMBER(I100),IF(AND(I100&gt;=$C$3,M100&gt;=$E$3),"Priority 1",IF(OR(I100&gt;=$C$3,M100&gt;=$E$3),"Priority 2","Priority 3")),IF(M100&gt;=$E$3,"Priority 2","Priority 3")))</f>
        <v>Excluded – IV only</v>
      </c>
      <c r="F100" s="15" t="str">
        <f aca="false">IF(H100&lt;&gt;"","",COUNTIFS($A$29:$A$361,A100,$H$29:$H$361,"",$AJ$29:$AJ$361,"&gt;"&amp;AJ100)+COUNTIFS($A$29:A100,A100,$H$29:H100,"",$AJ$29:AJ100,AJ100))</f>
        <v/>
      </c>
      <c r="G100" s="17" t="str">
        <f aca="false">IF(H100&lt;&gt;"","",IF(ISNUMBER(I100),IF(I100&gt;=$C$3,"High price","Lower price"),"No price")&amp;", "&amp;IF(M100&gt;=$E$3,"high volume","lower volume"))</f>
        <v/>
      </c>
      <c r="H100" s="17" t="str">
        <f aca="false">IF(Q100="No","IV only (no ID, IM or SC route)",IF(AND(AE100&gt;0,AF100=0),"Price ≤ USD 5",""))</f>
        <v>IV only (no ID, IM or SC route)</v>
      </c>
      <c r="I100" s="18" t="n">
        <f aca="false">IF(AF100&gt;0,ROUND(AVERAGEIFS('Shortlisted Drugs X Company (7)'!$N$3:$N$698,'Shortlisted Drugs X Company (7)'!$C$3:$C$698,$B100,'Shortlisted Drugs X Company (7)'!$E$3:$E$698,$AA100,'Shortlisted Drugs X Company (7)'!$N$3:$N$698,"&gt;5"),2),"")</f>
        <v>6.94</v>
      </c>
      <c r="J100" s="17" t="str">
        <f aca="false">IF(COUNTIFS('Shortlisted Drugs X Company (7)'!$C$3:$C$698,$B100,'Shortlisted Drugs X Company (7)'!$E$3:$E$698,$AA100,'Shortlisted Drugs X Company (7)'!$P$3:$P$698,"Exact")&gt;0,"Exact",IF(COUNTIFS('Shortlisted Drugs X Company (7)'!$C$3:$C$698,$B100,'Shortlisted Drugs X Company (7)'!$E$3:$E$698,$AA100,'Shortlisted Drugs X Company (7)'!$P$3:$P$698,"Same-market proxy")&gt;0,"Same-market proxy",IF(COUNTIFS('Shortlisted Drugs X Company (7)'!$C$3:$C$698,$B100,'Shortlisted Drugs X Company (7)'!$E$3:$E$698,$AA100,'Shortlisted Drugs X Company (7)'!$P$3:$P$698,"Cross-market proxy")&gt;0,"Cross-market proxy",IF(COUNTIFS('Shortlisted Drugs X Company (7)'!$C$3:$C$698,$B100,'Shortlisted Drugs X Company (7)'!$E$3:$E$698,$AA100,'Shortlisted Drugs X Company (7)'!$P$3:$P$698,"Source not found")&gt;0,"Source not found","No price found"))))</f>
        <v>Same-market proxy</v>
      </c>
      <c r="K100" s="19" t="n">
        <f aca="false">IFERROR(INDEX('Injectable Value'!$AB$28:$AB$178,MATCH(B100,'Injectable Value'!$A$28:$A$178,0)),"")</f>
        <v>119</v>
      </c>
      <c r="L100" s="77" t="n">
        <f aca="false">IFERROR(INDEX('Injectable Value'!$Z$28:$Z$178,MATCH(B100,'Injectable Value'!$A$28:$A$178,0)),"")</f>
        <v>0.899884259259259</v>
      </c>
      <c r="M100" s="19" t="n">
        <f aca="false">IFERROR(INDEX('Injectable Value'!$AC$28:$AC$178,MATCH(B100,'Injectable Value'!$A$28:$A$178,0)),"")</f>
        <v>107</v>
      </c>
      <c r="N100" s="19" t="n">
        <f aca="false">IFERROR(INDEX('Injectable Value'!$C$28:$C$178,MATCH(B100,'Injectable Value'!$A$28:$A$178,0)),"")</f>
        <v>3113.83</v>
      </c>
      <c r="O100" s="19" t="n">
        <f aca="false">IFERROR(ROUND(INDEX('Injectable Value'!$AA$28:$AA$178,MATCH(B100,'Injectable Value'!$A$28:$A$178,0)),1),"")</f>
        <v>2802.1</v>
      </c>
      <c r="P100" s="16" t="str">
        <f aca="false">IFERROR(INDEX('Route of Administration'!$C$5:$C$155,MATCH(B100,'Route of Administration'!$A$5:$A$155,0)),"")</f>
        <v>IV</v>
      </c>
      <c r="Q100" s="15" t="str">
        <f aca="false">IFERROR(INDEX('Route of Administration'!$D$5:$D$155,MATCH(B100,'Route of Administration'!$A$5:$A$155,0)),"")</f>
        <v>No</v>
      </c>
      <c r="R100" s="16" t="s">
        <v>281</v>
      </c>
      <c r="S100" s="17" t="s">
        <v>655</v>
      </c>
      <c r="T100" s="16" t="s">
        <v>283</v>
      </c>
      <c r="U100" s="17" t="str">
        <f aca="false">""&amp;IF(AE100=0,"No price found","")&amp;IF(AND(AE100&gt;0,AF100=0,AG100=0),"Low price comes from another market – confirm with the company","")</f>
        <v/>
      </c>
      <c r="V100" s="17" t="s">
        <v>112</v>
      </c>
      <c r="W100" s="15" t="n">
        <v>1</v>
      </c>
      <c r="X100" s="17" t="s">
        <v>614</v>
      </c>
      <c r="Y100" s="17" t="s">
        <v>614</v>
      </c>
      <c r="Z100" s="17" t="s">
        <v>286</v>
      </c>
      <c r="AA100" s="16" t="s">
        <v>230</v>
      </c>
      <c r="AB100" s="78" t="s">
        <v>533</v>
      </c>
      <c r="AC100" s="20" t="n">
        <f aca="false">IF(AE100&gt;0,ROUND(AVERAGEIFS('Shortlisted Drugs X Company (7)'!$N$3:$N$698,'Shortlisted Drugs X Company (7)'!$C$3:$C$698,$B100,'Shortlisted Drugs X Company (7)'!$E$3:$E$698,$AA100,'Shortlisted Drugs X Company (7)'!$N$3:$N$698,"&gt;=0"),2),"")</f>
        <v>6.94</v>
      </c>
      <c r="AD100" s="79" t="str">
        <f aca="false">B100&amp;"|"&amp;AA100</f>
        <v>Palonosetron|Cipla</v>
      </c>
      <c r="AE100" s="22" t="n">
        <f aca="false">COUNTIFS('Shortlisted Drugs X Company (7)'!$C$3:$C$698,$B100,'Shortlisted Drugs X Company (7)'!$E$3:$E$698,$AA100,'Shortlisted Drugs X Company (7)'!$N$3:$N$698,"&gt;=0")</f>
        <v>1</v>
      </c>
      <c r="AF100" s="22" t="n">
        <f aca="false">COUNTIFS('Shortlisted Drugs X Company (7)'!$C$3:$C$698,$B100,'Shortlisted Drugs X Company (7)'!$E$3:$E$698,$AA100,'Shortlisted Drugs X Company (7)'!$N$3:$N$698,"&gt;5")</f>
        <v>1</v>
      </c>
      <c r="AG100" s="22" t="n">
        <f aca="false">COUNTIFS('Shortlisted Drugs X Company (7)'!$C$3:$C$698,$B100,'Shortlisted Drugs X Company (7)'!$E$3:$E$698,$AA100,'Shortlisted Drugs X Company (7)'!$P$3:$P$698,"Exact")+COUNTIFS('Shortlisted Drugs X Company (7)'!$C$3:$C$698,$B100,'Shortlisted Drugs X Company (7)'!$E$3:$E$698,$AA100,'Shortlisted Drugs X Company (7)'!$P$3:$P$698,"Same-market proxy")</f>
        <v>1</v>
      </c>
      <c r="AH100" s="22" t="n">
        <f aca="false">INDEX($G$7:$G$25,MATCH(A100,$A$7:$A$25,0))</f>
        <v>4</v>
      </c>
      <c r="AI100" s="79" t="str">
        <f aca="false">IF(OR(Q100="No",LEFT(H100,7)="IV only"),"",AH100*1000+IF(F100="",900+COUNTIFS($A$29:A100,A100,$H$29:H100,"Price*"),F100))</f>
        <v/>
      </c>
      <c r="AJ100" s="79" t="str">
        <f aca="false">IF(H100&lt;&gt;"","",(4-VALUE(RIGHT(E100,1)))*10^7+N(O100))</f>
        <v/>
      </c>
      <c r="AK100" s="79" t="str">
        <f aca="false">IF(AND(H100="",ISNUMBER(I100)),I100,"")</f>
        <v/>
      </c>
      <c r="AL100" s="79" t="str">
        <f aca="false">IF(H100="",M100,"")</f>
        <v/>
      </c>
    </row>
    <row r="101" customFormat="false" ht="41.75" hidden="false" customHeight="false" outlineLevel="0" collapsed="false">
      <c r="A101" s="16" t="s">
        <v>230</v>
      </c>
      <c r="B101" s="16" t="s">
        <v>74</v>
      </c>
      <c r="C101" s="17" t="s">
        <v>656</v>
      </c>
      <c r="D101" s="17" t="s">
        <v>657</v>
      </c>
      <c r="E101" s="15" t="str">
        <f aca="false">IF(H101&lt;&gt;"",IF(LEFT(H101,5)="Price","Excluded – price ≤ USD 5","Excluded – IV only"),IF(ISNUMBER(I101),IF(AND(I101&gt;=$C$3,M101&gt;=$E$3),"Priority 1",IF(OR(I101&gt;=$C$3,M101&gt;=$E$3),"Priority 2","Priority 3")),IF(M101&gt;=$E$3,"Priority 2","Priority 3")))</f>
        <v>Excluded – price ≤ USD 5</v>
      </c>
      <c r="F101" s="15" t="str">
        <f aca="false">IF(H101&lt;&gt;"","",COUNTIFS($A$29:$A$361,A101,$H$29:$H$361,"",$AJ$29:$AJ$361,"&gt;"&amp;AJ101)+COUNTIFS($A$29:A101,A101,$H$29:H101,"",$AJ$29:AJ101,AJ101))</f>
        <v/>
      </c>
      <c r="G101" s="17" t="str">
        <f aca="false">IF(H101&lt;&gt;"","",IF(ISNUMBER(I101),IF(I101&gt;=$C$3,"High price","Lower price"),"No price")&amp;", "&amp;IF(M101&gt;=$E$3,"high volume","lower volume"))</f>
        <v/>
      </c>
      <c r="H101" s="17" t="str">
        <f aca="false">IF(Q101="No","IV only (no ID, IM or SC route)",IF(AND(AE101&gt;0,AF101=0),"Price ≤ USD 5",""))</f>
        <v>Price ≤ USD 5</v>
      </c>
      <c r="I101" s="18" t="str">
        <f aca="false">IF(AF101&gt;0,ROUND(AVERAGEIFS('Shortlisted Drugs X Company (7)'!$N$3:$N$698,'Shortlisted Drugs X Company (7)'!$C$3:$C$698,$B101,'Shortlisted Drugs X Company (7)'!$E$3:$E$698,$AA101,'Shortlisted Drugs X Company (7)'!$N$3:$N$698,"&gt;5"),2),"")</f>
        <v/>
      </c>
      <c r="J101" s="17" t="str">
        <f aca="false">IF(COUNTIFS('Shortlisted Drugs X Company (7)'!$C$3:$C$698,$B101,'Shortlisted Drugs X Company (7)'!$E$3:$E$698,$AA101,'Shortlisted Drugs X Company (7)'!$P$3:$P$698,"Exact")&gt;0,"Exact",IF(COUNTIFS('Shortlisted Drugs X Company (7)'!$C$3:$C$698,$B101,'Shortlisted Drugs X Company (7)'!$E$3:$E$698,$AA101,'Shortlisted Drugs X Company (7)'!$P$3:$P$698,"Same-market proxy")&gt;0,"Same-market proxy",IF(COUNTIFS('Shortlisted Drugs X Company (7)'!$C$3:$C$698,$B101,'Shortlisted Drugs X Company (7)'!$E$3:$E$698,$AA101,'Shortlisted Drugs X Company (7)'!$P$3:$P$698,"Cross-market proxy")&gt;0,"Cross-market proxy",IF(COUNTIFS('Shortlisted Drugs X Company (7)'!$C$3:$C$698,$B101,'Shortlisted Drugs X Company (7)'!$E$3:$E$698,$AA101,'Shortlisted Drugs X Company (7)'!$P$3:$P$698,"Source not found")&gt;0,"Source not found","No price found"))))</f>
        <v>Cross-market proxy</v>
      </c>
      <c r="K101" s="19" t="n">
        <f aca="false">IFERROR(INDEX('Injectable Value'!$AB$28:$AB$178,MATCH(B101,'Injectable Value'!$A$28:$A$178,0)),"")</f>
        <v>1963</v>
      </c>
      <c r="L101" s="77" t="n">
        <f aca="false">IFERROR(INDEX('Injectable Value'!$Z$28:$Z$178,MATCH(B101,'Injectable Value'!$A$28:$A$178,0)),"")</f>
        <v>0.115367076010264</v>
      </c>
      <c r="M101" s="19" t="n">
        <f aca="false">IFERROR(INDEX('Injectable Value'!$AC$28:$AC$178,MATCH(B101,'Injectable Value'!$A$28:$A$178,0)),"")</f>
        <v>226</v>
      </c>
      <c r="N101" s="19" t="n">
        <f aca="false">IFERROR(INDEX('Injectable Value'!$C$28:$C$178,MATCH(B101,'Injectable Value'!$A$28:$A$178,0)),"")</f>
        <v>49365.77</v>
      </c>
      <c r="O101" s="19" t="n">
        <f aca="false">IFERROR(ROUND(INDEX('Injectable Value'!$AA$28:$AA$178,MATCH(B101,'Injectable Value'!$A$28:$A$178,0)),1),"")</f>
        <v>5695.2</v>
      </c>
      <c r="P101" s="16" t="str">
        <f aca="false">IFERROR(INDEX('Route of Administration'!$C$5:$C$155,MATCH(B101,'Route of Administration'!$A$5:$A$155,0)),"")</f>
        <v>IV, IM, SC</v>
      </c>
      <c r="Q101" s="15" t="str">
        <f aca="false">IFERROR(INDEX('Route of Administration'!$D$5:$D$155,MATCH(B101,'Route of Administration'!$A$5:$A$155,0)),"")</f>
        <v>Yes</v>
      </c>
      <c r="R101" s="16" t="s">
        <v>281</v>
      </c>
      <c r="S101" s="17" t="s">
        <v>607</v>
      </c>
      <c r="T101" s="16" t="s">
        <v>283</v>
      </c>
      <c r="U101" s="17" t="str">
        <f aca="false">""&amp;IF(AE101=0,"No price found","")&amp;IF(AND(AE101&gt;0,AF101=0,AG101=0),"Low price comes from another market – confirm with the company","")</f>
        <v>Low price comes from another market – confirm with the company</v>
      </c>
      <c r="V101" s="17" t="s">
        <v>112</v>
      </c>
      <c r="W101" s="15" t="n">
        <v>1</v>
      </c>
      <c r="X101" s="17" t="s">
        <v>614</v>
      </c>
      <c r="Y101" s="17" t="s">
        <v>614</v>
      </c>
      <c r="Z101" s="17" t="s">
        <v>321</v>
      </c>
      <c r="AA101" s="16" t="s">
        <v>230</v>
      </c>
      <c r="AB101" s="78" t="s">
        <v>658</v>
      </c>
      <c r="AC101" s="20" t="n">
        <f aca="false">IF(AE101&gt;0,ROUND(AVERAGEIFS('Shortlisted Drugs X Company (7)'!$N$3:$N$698,'Shortlisted Drugs X Company (7)'!$C$3:$C$698,$B101,'Shortlisted Drugs X Company (7)'!$E$3:$E$698,$AA101,'Shortlisted Drugs X Company (7)'!$N$3:$N$698,"&gt;=0"),2),"")</f>
        <v>1</v>
      </c>
      <c r="AD101" s="79" t="str">
        <f aca="false">B101&amp;"|"&amp;AA101</f>
        <v>Phenylephrine|Cipla</v>
      </c>
      <c r="AE101" s="22" t="n">
        <f aca="false">COUNTIFS('Shortlisted Drugs X Company (7)'!$C$3:$C$698,$B101,'Shortlisted Drugs X Company (7)'!$E$3:$E$698,$AA101,'Shortlisted Drugs X Company (7)'!$N$3:$N$698,"&gt;=0")</f>
        <v>1</v>
      </c>
      <c r="AF101" s="22" t="n">
        <f aca="false">COUNTIFS('Shortlisted Drugs X Company (7)'!$C$3:$C$698,$B101,'Shortlisted Drugs X Company (7)'!$E$3:$E$698,$AA101,'Shortlisted Drugs X Company (7)'!$N$3:$N$698,"&gt;5")</f>
        <v>0</v>
      </c>
      <c r="AG101" s="22" t="n">
        <f aca="false">COUNTIFS('Shortlisted Drugs X Company (7)'!$C$3:$C$698,$B101,'Shortlisted Drugs X Company (7)'!$E$3:$E$698,$AA101,'Shortlisted Drugs X Company (7)'!$P$3:$P$698,"Exact")+COUNTIFS('Shortlisted Drugs X Company (7)'!$C$3:$C$698,$B101,'Shortlisted Drugs X Company (7)'!$E$3:$E$698,$AA101,'Shortlisted Drugs X Company (7)'!$P$3:$P$698,"Same-market proxy")</f>
        <v>0</v>
      </c>
      <c r="AH101" s="22" t="n">
        <f aca="false">INDEX($G$7:$G$25,MATCH(A101,$A$7:$A$25,0))</f>
        <v>4</v>
      </c>
      <c r="AI101" s="79" t="n">
        <f aca="false">IF(OR(Q101="No",LEFT(H101,7)="IV only"),"",AH101*1000+IF(F101="",900+COUNTIFS($A$29:A101,A101,$H$29:H101,"Price*"),F101))</f>
        <v>4901</v>
      </c>
      <c r="AJ101" s="79" t="str">
        <f aca="false">IF(H101&lt;&gt;"","",(4-VALUE(RIGHT(E101,1)))*10^7+N(O101))</f>
        <v/>
      </c>
      <c r="AK101" s="79" t="str">
        <f aca="false">IF(AND(H101="",ISNUMBER(I101)),I101,"")</f>
        <v/>
      </c>
      <c r="AL101" s="79" t="str">
        <f aca="false">IF(H101="",M101,"")</f>
        <v/>
      </c>
    </row>
    <row r="102" customFormat="false" ht="41.75" hidden="false" customHeight="false" outlineLevel="0" collapsed="false">
      <c r="A102" s="16" t="s">
        <v>230</v>
      </c>
      <c r="B102" s="16" t="s">
        <v>304</v>
      </c>
      <c r="C102" s="17" t="s">
        <v>304</v>
      </c>
      <c r="D102" s="17" t="s">
        <v>305</v>
      </c>
      <c r="E102" s="15" t="str">
        <f aca="false">IF(H102&lt;&gt;"",IF(LEFT(H102,5)="Price","Excluded – price ≤ USD 5","Excluded – IV only"),IF(ISNUMBER(I102),IF(AND(I102&gt;=$C$3,M102&gt;=$E$3),"Priority 1",IF(OR(I102&gt;=$C$3,M102&gt;=$E$3),"Priority 2","Priority 3")),IF(M102&gt;=$E$3,"Priority 2","Priority 3")))</f>
        <v>Priority 2</v>
      </c>
      <c r="F102" s="15" t="n">
        <f aca="false">IF(H102&lt;&gt;"","",COUNTIFS($A$29:$A$361,A102,$H$29:$H$361,"",$AJ$29:$AJ$361,"&gt;"&amp;AJ102)+COUNTIFS($A$29:A102,A102,$H$29:H102,"",$AJ$29:AJ102,AJ102))</f>
        <v>10</v>
      </c>
      <c r="G102" s="17" t="str">
        <f aca="false">IF(H102&lt;&gt;"","",IF(ISNUMBER(I102),IF(I102&gt;=$C$3,"High price","Lower price"),"No price")&amp;", "&amp;IF(M102&gt;=$E$3,"high volume","lower volume"))</f>
        <v>High price, lower volume</v>
      </c>
      <c r="H102" s="17" t="str">
        <f aca="false">IF(Q102="No","IV only (no ID, IM or SC route)",IF(AND(AE102&gt;0,AF102=0),"Price ≤ USD 5",""))</f>
        <v/>
      </c>
      <c r="I102" s="18" t="n">
        <f aca="false">IF(AF102&gt;0,ROUND(AVERAGEIFS('Shortlisted Drugs X Company (7)'!$N$3:$N$698,'Shortlisted Drugs X Company (7)'!$C$3:$C$698,$B102,'Shortlisted Drugs X Company (7)'!$E$3:$E$698,$AA102,'Shortlisted Drugs X Company (7)'!$N$3:$N$698,"&gt;5"),2),"")</f>
        <v>39.89</v>
      </c>
      <c r="J102" s="17" t="str">
        <f aca="false">IF(COUNTIFS('Shortlisted Drugs X Company (7)'!$C$3:$C$698,$B102,'Shortlisted Drugs X Company (7)'!$E$3:$E$698,$AA102,'Shortlisted Drugs X Company (7)'!$P$3:$P$698,"Exact")&gt;0,"Exact",IF(COUNTIFS('Shortlisted Drugs X Company (7)'!$C$3:$C$698,$B102,'Shortlisted Drugs X Company (7)'!$E$3:$E$698,$AA102,'Shortlisted Drugs X Company (7)'!$P$3:$P$698,"Same-market proxy")&gt;0,"Same-market proxy",IF(COUNTIFS('Shortlisted Drugs X Company (7)'!$C$3:$C$698,$B102,'Shortlisted Drugs X Company (7)'!$E$3:$E$698,$AA102,'Shortlisted Drugs X Company (7)'!$P$3:$P$698,"Cross-market proxy")&gt;0,"Cross-market proxy",IF(COUNTIFS('Shortlisted Drugs X Company (7)'!$C$3:$C$698,$B102,'Shortlisted Drugs X Company (7)'!$E$3:$E$698,$AA102,'Shortlisted Drugs X Company (7)'!$P$3:$P$698,"Source not found")&gt;0,"Source not found","No price found"))))</f>
        <v>Same-market proxy</v>
      </c>
      <c r="K102" s="19" t="n">
        <f aca="false">IFERROR(INDEX('Injectable Value'!$AB$28:$AB$178,MATCH(B102,'Injectable Value'!$A$28:$A$178,0)),"")</f>
        <v>51</v>
      </c>
      <c r="L102" s="77" t="n">
        <f aca="false">IFERROR(INDEX('Injectable Value'!$Z$28:$Z$178,MATCH(B102,'Injectable Value'!$A$28:$A$178,0)),"")</f>
        <v>0.468334010008564</v>
      </c>
      <c r="M102" s="19" t="n">
        <f aca="false">IFERROR(INDEX('Injectable Value'!$AC$28:$AC$178,MATCH(B102,'Injectable Value'!$A$28:$A$178,0)),"")</f>
        <v>24</v>
      </c>
      <c r="N102" s="19" t="n">
        <f aca="false">IFERROR(INDEX('Injectable Value'!$C$28:$C$178,MATCH(B102,'Injectable Value'!$A$28:$A$178,0)),"")</f>
        <v>5770.02</v>
      </c>
      <c r="O102" s="19" t="n">
        <f aca="false">IFERROR(ROUND(INDEX('Injectable Value'!$AA$28:$AA$178,MATCH(B102,'Injectable Value'!$A$28:$A$178,0)),1),"")</f>
        <v>2702.3</v>
      </c>
      <c r="P102" s="16" t="str">
        <f aca="false">IFERROR(INDEX('Route of Administration'!$C$5:$C$155,MATCH(B102,'Route of Administration'!$A$5:$A$155,0)),"")</f>
        <v>IV, IM, SC</v>
      </c>
      <c r="Q102" s="15" t="str">
        <f aca="false">IFERROR(INDEX('Route of Administration'!$D$5:$D$155,MATCH(B102,'Route of Administration'!$A$5:$A$155,0)),"")</f>
        <v>Yes</v>
      </c>
      <c r="R102" s="16" t="s">
        <v>473</v>
      </c>
      <c r="S102" s="17" t="s">
        <v>659</v>
      </c>
      <c r="T102" s="16" t="s">
        <v>283</v>
      </c>
      <c r="U102" s="17" t="str">
        <f aca="false">""&amp;IF(AE102=0,"No price found","")&amp;IF(AND(AE102&gt;0,AF102=0,AG102=0),"Low price comes from another market – confirm with the company","")</f>
        <v/>
      </c>
      <c r="V102" s="17" t="s">
        <v>284</v>
      </c>
      <c r="W102" s="15" t="n">
        <v>1</v>
      </c>
      <c r="X102" s="17" t="s">
        <v>284</v>
      </c>
      <c r="Y102" s="17" t="s">
        <v>284</v>
      </c>
      <c r="Z102" s="17" t="s">
        <v>286</v>
      </c>
      <c r="AA102" s="16" t="s">
        <v>230</v>
      </c>
      <c r="AB102" s="78" t="s">
        <v>307</v>
      </c>
      <c r="AC102" s="20" t="n">
        <f aca="false">IF(AE102&gt;0,ROUND(AVERAGEIFS('Shortlisted Drugs X Company (7)'!$N$3:$N$698,'Shortlisted Drugs X Company (7)'!$C$3:$C$698,$B102,'Shortlisted Drugs X Company (7)'!$E$3:$E$698,$AA102,'Shortlisted Drugs X Company (7)'!$N$3:$N$698,"&gt;=0"),2),"")</f>
        <v>21.94</v>
      </c>
      <c r="AD102" s="79" t="str">
        <f aca="false">B102&amp;"|"&amp;AA102</f>
        <v>Phytonadione|Cipla</v>
      </c>
      <c r="AE102" s="22" t="n">
        <f aca="false">COUNTIFS('Shortlisted Drugs X Company (7)'!$C$3:$C$698,$B102,'Shortlisted Drugs X Company (7)'!$E$3:$E$698,$AA102,'Shortlisted Drugs X Company (7)'!$N$3:$N$698,"&gt;=0")</f>
        <v>2</v>
      </c>
      <c r="AF102" s="22" t="n">
        <f aca="false">COUNTIFS('Shortlisted Drugs X Company (7)'!$C$3:$C$698,$B102,'Shortlisted Drugs X Company (7)'!$E$3:$E$698,$AA102,'Shortlisted Drugs X Company (7)'!$N$3:$N$698,"&gt;5")</f>
        <v>1</v>
      </c>
      <c r="AG102" s="22" t="n">
        <f aca="false">COUNTIFS('Shortlisted Drugs X Company (7)'!$C$3:$C$698,$B102,'Shortlisted Drugs X Company (7)'!$E$3:$E$698,$AA102,'Shortlisted Drugs X Company (7)'!$P$3:$P$698,"Exact")+COUNTIFS('Shortlisted Drugs X Company (7)'!$C$3:$C$698,$B102,'Shortlisted Drugs X Company (7)'!$E$3:$E$698,$AA102,'Shortlisted Drugs X Company (7)'!$P$3:$P$698,"Same-market proxy")</f>
        <v>2</v>
      </c>
      <c r="AH102" s="22" t="n">
        <f aca="false">INDEX($G$7:$G$25,MATCH(A102,$A$7:$A$25,0))</f>
        <v>4</v>
      </c>
      <c r="AI102" s="79" t="n">
        <f aca="false">IF(OR(Q102="No",LEFT(H102,7)="IV only"),"",AH102*1000+IF(F102="",900+COUNTIFS($A$29:A102,A102,$H$29:H102,"Price*"),F102))</f>
        <v>4010</v>
      </c>
      <c r="AJ102" s="79" t="n">
        <f aca="false">IF(H102&lt;&gt;"","",(4-VALUE(RIGHT(E102,1)))*10^7+N(O102))</f>
        <v>20002702.3</v>
      </c>
      <c r="AK102" s="20" t="n">
        <f aca="false">IF(AND(H102="",ISNUMBER(I102)),I102,"")</f>
        <v>39.89</v>
      </c>
      <c r="AL102" s="21" t="n">
        <f aca="false">IF(H102="",M102,"")</f>
        <v>24</v>
      </c>
    </row>
    <row r="103" customFormat="false" ht="41.75" hidden="false" customHeight="false" outlineLevel="0" collapsed="false">
      <c r="A103" s="16" t="s">
        <v>230</v>
      </c>
      <c r="B103" s="16" t="s">
        <v>660</v>
      </c>
      <c r="C103" s="17" t="s">
        <v>661</v>
      </c>
      <c r="D103" s="17" t="s">
        <v>662</v>
      </c>
      <c r="E103" s="15" t="str">
        <f aca="false">IF(H103&lt;&gt;"",IF(LEFT(H103,5)="Price","Excluded – price ≤ USD 5","Excluded – IV only"),IF(ISNUMBER(I103),IF(AND(I103&gt;=$C$3,M103&gt;=$E$3),"Priority 1",IF(OR(I103&gt;=$C$3,M103&gt;=$E$3),"Priority 2","Priority 3")),IF(M103&gt;=$E$3,"Priority 2","Priority 3")))</f>
        <v>Excluded – IV only</v>
      </c>
      <c r="F103" s="15" t="str">
        <f aca="false">IF(H103&lt;&gt;"","",COUNTIFS($A$29:$A$361,A103,$H$29:$H$361,"",$AJ$29:$AJ$361,"&gt;"&amp;AJ103)+COUNTIFS($A$29:A103,A103,$H$29:H103,"",$AJ$29:AJ103,AJ103))</f>
        <v/>
      </c>
      <c r="G103" s="17" t="str">
        <f aca="false">IF(H103&lt;&gt;"","",IF(ISNUMBER(I103),IF(I103&gt;=$C$3,"High price","Lower price"),"No price")&amp;", "&amp;IF(M103&gt;=$E$3,"high volume","lower volume"))</f>
        <v/>
      </c>
      <c r="H103" s="17" t="str">
        <f aca="false">IF(Q103="No","IV only (no ID, IM or SC route)",IF(AND(AE103&gt;0,AF103=0),"Price ≤ USD 5",""))</f>
        <v>IV only (no ID, IM or SC route)</v>
      </c>
      <c r="I103" s="18" t="n">
        <f aca="false">IF(AF103&gt;0,ROUND(AVERAGEIFS('Shortlisted Drugs X Company (7)'!$N$3:$N$698,'Shortlisted Drugs X Company (7)'!$C$3:$C$698,$B103,'Shortlisted Drugs X Company (7)'!$E$3:$E$698,$AA103,'Shortlisted Drugs X Company (7)'!$N$3:$N$698,"&gt;5"),2),"")</f>
        <v>218.09</v>
      </c>
      <c r="J103" s="17" t="str">
        <f aca="false">IF(COUNTIFS('Shortlisted Drugs X Company (7)'!$C$3:$C$698,$B103,'Shortlisted Drugs X Company (7)'!$E$3:$E$698,$AA103,'Shortlisted Drugs X Company (7)'!$P$3:$P$698,"Exact")&gt;0,"Exact",IF(COUNTIFS('Shortlisted Drugs X Company (7)'!$C$3:$C$698,$B103,'Shortlisted Drugs X Company (7)'!$E$3:$E$698,$AA103,'Shortlisted Drugs X Company (7)'!$P$3:$P$698,"Same-market proxy")&gt;0,"Same-market proxy",IF(COUNTIFS('Shortlisted Drugs X Company (7)'!$C$3:$C$698,$B103,'Shortlisted Drugs X Company (7)'!$E$3:$E$698,$AA103,'Shortlisted Drugs X Company (7)'!$P$3:$P$698,"Cross-market proxy")&gt;0,"Cross-market proxy",IF(COUNTIFS('Shortlisted Drugs X Company (7)'!$C$3:$C$698,$B103,'Shortlisted Drugs X Company (7)'!$E$3:$E$698,$AA103,'Shortlisted Drugs X Company (7)'!$P$3:$P$698,"Source not found")&gt;0,"Source not found","No price found"))))</f>
        <v>Exact</v>
      </c>
      <c r="K103" s="19" t="n">
        <f aca="false">IFERROR(INDEX('Injectable Value'!$AB$28:$AB$178,MATCH(B103,'Injectable Value'!$A$28:$A$178,0)),"")</f>
        <v>143</v>
      </c>
      <c r="L103" s="77" t="n">
        <f aca="false">IFERROR(INDEX('Injectable Value'!$Z$28:$Z$178,MATCH(B103,'Injectable Value'!$A$28:$A$178,0)),"")</f>
        <v>0.37037037037037</v>
      </c>
      <c r="M103" s="19" t="n">
        <f aca="false">IFERROR(INDEX('Injectable Value'!$AC$28:$AC$178,MATCH(B103,'Injectable Value'!$A$28:$A$178,0)),"")</f>
        <v>53</v>
      </c>
      <c r="N103" s="19" t="n">
        <f aca="false">IFERROR(INDEX('Injectable Value'!$C$28:$C$178,MATCH(B103,'Injectable Value'!$A$28:$A$178,0)),"")</f>
        <v>1308.54</v>
      </c>
      <c r="O103" s="19" t="n">
        <f aca="false">IFERROR(ROUND(INDEX('Injectable Value'!$AA$28:$AA$178,MATCH(B103,'Injectable Value'!$A$28:$A$178,0)),1),"")</f>
        <v>484.6</v>
      </c>
      <c r="P103" s="16" t="str">
        <f aca="false">IFERROR(INDEX('Route of Administration'!$C$5:$C$155,MATCH(B103,'Route of Administration'!$A$5:$A$155,0)),"")</f>
        <v>IV, intracoronary</v>
      </c>
      <c r="Q103" s="15" t="str">
        <f aca="false">IFERROR(INDEX('Route of Administration'!$D$5:$D$155,MATCH(B103,'Route of Administration'!$A$5:$A$155,0)),"")</f>
        <v>No</v>
      </c>
      <c r="R103" s="16" t="s">
        <v>281</v>
      </c>
      <c r="S103" s="17" t="s">
        <v>663</v>
      </c>
      <c r="T103" s="16" t="s">
        <v>333</v>
      </c>
      <c r="U103" s="17" t="str">
        <f aca="false">"Reconstitution"&amp;IF(AE103=0,"; No price found","")&amp;IF(AND(AE103&gt;0,AF103=0,AG103=0),"; Low price comes from another market – confirm with the company","")</f>
        <v>Reconstitution</v>
      </c>
      <c r="V103" s="17" t="s">
        <v>112</v>
      </c>
      <c r="W103" s="15" t="n">
        <v>1</v>
      </c>
      <c r="X103" s="17" t="s">
        <v>360</v>
      </c>
      <c r="Y103" s="17" t="s">
        <v>360</v>
      </c>
      <c r="Z103" s="17" t="s">
        <v>321</v>
      </c>
      <c r="AA103" s="16" t="s">
        <v>230</v>
      </c>
      <c r="AB103" s="78" t="s">
        <v>664</v>
      </c>
      <c r="AC103" s="20" t="n">
        <f aca="false">IF(AE103&gt;0,ROUND(AVERAGEIFS('Shortlisted Drugs X Company (7)'!$N$3:$N$698,'Shortlisted Drugs X Company (7)'!$C$3:$C$698,$B103,'Shortlisted Drugs X Company (7)'!$E$3:$E$698,$AA103,'Shortlisted Drugs X Company (7)'!$N$3:$N$698,"&gt;=0"),2),"")</f>
        <v>218.09</v>
      </c>
      <c r="AD103" s="79" t="str">
        <f aca="false">B103&amp;"|"&amp;AA103</f>
        <v>Streptokinase|Cipla</v>
      </c>
      <c r="AE103" s="22" t="n">
        <f aca="false">COUNTIFS('Shortlisted Drugs X Company (7)'!$C$3:$C$698,$B103,'Shortlisted Drugs X Company (7)'!$E$3:$E$698,$AA103,'Shortlisted Drugs X Company (7)'!$N$3:$N$698,"&gt;=0")</f>
        <v>2</v>
      </c>
      <c r="AF103" s="22" t="n">
        <f aca="false">COUNTIFS('Shortlisted Drugs X Company (7)'!$C$3:$C$698,$B103,'Shortlisted Drugs X Company (7)'!$E$3:$E$698,$AA103,'Shortlisted Drugs X Company (7)'!$N$3:$N$698,"&gt;5")</f>
        <v>2</v>
      </c>
      <c r="AG103" s="22" t="n">
        <f aca="false">COUNTIFS('Shortlisted Drugs X Company (7)'!$C$3:$C$698,$B103,'Shortlisted Drugs X Company (7)'!$E$3:$E$698,$AA103,'Shortlisted Drugs X Company (7)'!$P$3:$P$698,"Exact")+COUNTIFS('Shortlisted Drugs X Company (7)'!$C$3:$C$698,$B103,'Shortlisted Drugs X Company (7)'!$E$3:$E$698,$AA103,'Shortlisted Drugs X Company (7)'!$P$3:$P$698,"Same-market proxy")</f>
        <v>2</v>
      </c>
      <c r="AH103" s="22" t="n">
        <f aca="false">INDEX($G$7:$G$25,MATCH(A103,$A$7:$A$25,0))</f>
        <v>4</v>
      </c>
      <c r="AI103" s="79" t="str">
        <f aca="false">IF(OR(Q103="No",LEFT(H103,7)="IV only"),"",AH103*1000+IF(F103="",900+COUNTIFS($A$29:A103,A103,$H$29:H103,"Price*"),F103))</f>
        <v/>
      </c>
      <c r="AJ103" s="79" t="str">
        <f aca="false">IF(H103&lt;&gt;"","",(4-VALUE(RIGHT(E103,1)))*10^7+N(O103))</f>
        <v/>
      </c>
      <c r="AK103" s="79" t="str">
        <f aca="false">IF(AND(H103="",ISNUMBER(I103)),I103,"")</f>
        <v/>
      </c>
      <c r="AL103" s="79" t="str">
        <f aca="false">IF(H103="",M103,"")</f>
        <v/>
      </c>
    </row>
    <row r="104" customFormat="false" ht="28.35" hidden="false" customHeight="false" outlineLevel="0" collapsed="false">
      <c r="A104" s="16" t="s">
        <v>230</v>
      </c>
      <c r="B104" s="16" t="s">
        <v>665</v>
      </c>
      <c r="C104" s="17" t="s">
        <v>666</v>
      </c>
      <c r="D104" s="17" t="s">
        <v>667</v>
      </c>
      <c r="E104" s="15" t="str">
        <f aca="false">IF(H104&lt;&gt;"",IF(LEFT(H104,5)="Price","Excluded – price ≤ USD 5","Excluded – IV only"),IF(ISNUMBER(I104),IF(AND(I104&gt;=$C$3,M104&gt;=$E$3),"Priority 1",IF(OR(I104&gt;=$C$3,M104&gt;=$E$3),"Priority 2","Priority 3")),IF(M104&gt;=$E$3,"Priority 2","Priority 3")))</f>
        <v>Excluded – IV only</v>
      </c>
      <c r="F104" s="15" t="str">
        <f aca="false">IF(H104&lt;&gt;"","",COUNTIFS($A$29:$A$361,A104,$H$29:$H$361,"",$AJ$29:$AJ$361,"&gt;"&amp;AJ104)+COUNTIFS($A$29:A104,A104,$H$29:H104,"",$AJ$29:AJ104,AJ104))</f>
        <v/>
      </c>
      <c r="G104" s="17" t="str">
        <f aca="false">IF(H104&lt;&gt;"","",IF(ISNUMBER(I104),IF(I104&gt;=$C$3,"High price","Lower price"),"No price")&amp;", "&amp;IF(M104&gt;=$E$3,"high volume","lower volume"))</f>
        <v/>
      </c>
      <c r="H104" s="17" t="str">
        <f aca="false">IF(Q104="No","IV only (no ID, IM or SC route)",IF(AND(AE104&gt;0,AF104=0),"Price ≤ USD 5",""))</f>
        <v>IV only (no ID, IM or SC route)</v>
      </c>
      <c r="I104" s="18" t="n">
        <f aca="false">IF(AF104&gt;0,ROUND(AVERAGEIFS('Shortlisted Drugs X Company (7)'!$N$3:$N$698,'Shortlisted Drugs X Company (7)'!$C$3:$C$698,$B104,'Shortlisted Drugs X Company (7)'!$E$3:$E$698,$AA104,'Shortlisted Drugs X Company (7)'!$N$3:$N$698,"&gt;5"),2),"")</f>
        <v>39.42</v>
      </c>
      <c r="J104" s="17" t="str">
        <f aca="false">IF(COUNTIFS('Shortlisted Drugs X Company (7)'!$C$3:$C$698,$B104,'Shortlisted Drugs X Company (7)'!$E$3:$E$698,$AA104,'Shortlisted Drugs X Company (7)'!$P$3:$P$698,"Exact")&gt;0,"Exact",IF(COUNTIFS('Shortlisted Drugs X Company (7)'!$C$3:$C$698,$B104,'Shortlisted Drugs X Company (7)'!$E$3:$E$698,$AA104,'Shortlisted Drugs X Company (7)'!$P$3:$P$698,"Same-market proxy")&gt;0,"Same-market proxy",IF(COUNTIFS('Shortlisted Drugs X Company (7)'!$C$3:$C$698,$B104,'Shortlisted Drugs X Company (7)'!$E$3:$E$698,$AA104,'Shortlisted Drugs X Company (7)'!$P$3:$P$698,"Cross-market proxy")&gt;0,"Cross-market proxy",IF(COUNTIFS('Shortlisted Drugs X Company (7)'!$C$3:$C$698,$B104,'Shortlisted Drugs X Company (7)'!$E$3:$E$698,$AA104,'Shortlisted Drugs X Company (7)'!$P$3:$P$698,"Source not found")&gt;0,"Source not found","No price found"))))</f>
        <v>Exact</v>
      </c>
      <c r="K104" s="19" t="n">
        <f aca="false">IFERROR(INDEX('Injectable Value'!$AB$28:$AB$178,MATCH(B104,'Injectable Value'!$A$28:$A$178,0)),"")</f>
        <v>346</v>
      </c>
      <c r="L104" s="77" t="n">
        <f aca="false">IFERROR(INDEX('Injectable Value'!$Z$28:$Z$178,MATCH(B104,'Injectable Value'!$A$28:$A$178,0)),"")</f>
        <v>1</v>
      </c>
      <c r="M104" s="19" t="n">
        <f aca="false">IFERROR(INDEX('Injectable Value'!$AC$28:$AC$178,MATCH(B104,'Injectable Value'!$A$28:$A$178,0)),"")</f>
        <v>346</v>
      </c>
      <c r="N104" s="19" t="n">
        <f aca="false">IFERROR(INDEX('Injectable Value'!$C$28:$C$178,MATCH(B104,'Injectable Value'!$A$28:$A$178,0)),"")</f>
        <v>32830.17</v>
      </c>
      <c r="O104" s="19" t="n">
        <f aca="false">IFERROR(ROUND(INDEX('Injectable Value'!$AA$28:$AA$178,MATCH(B104,'Injectable Value'!$A$28:$A$178,0)),1),"")</f>
        <v>32830.2</v>
      </c>
      <c r="P104" s="16" t="str">
        <f aca="false">IFERROR(INDEX('Route of Administration'!$C$5:$C$155,MATCH(B104,'Route of Administration'!$A$5:$A$155,0)),"")</f>
        <v>IV</v>
      </c>
      <c r="Q104" s="15" t="str">
        <f aca="false">IFERROR(INDEX('Route of Administration'!$D$5:$D$155,MATCH(B104,'Route of Administration'!$A$5:$A$155,0)),"")</f>
        <v>No</v>
      </c>
      <c r="R104" s="16" t="s">
        <v>281</v>
      </c>
      <c r="S104" s="17" t="s">
        <v>668</v>
      </c>
      <c r="T104" s="16" t="s">
        <v>283</v>
      </c>
      <c r="U104" s="17" t="str">
        <f aca="false">""&amp;IF(AE104=0,"No price found","")&amp;IF(AND(AE104&gt;0,AF104=0,AG104=0),"Low price comes from another market – confirm with the company","")</f>
        <v/>
      </c>
      <c r="V104" s="17" t="s">
        <v>452</v>
      </c>
      <c r="W104" s="15" t="n">
        <v>4</v>
      </c>
      <c r="X104" s="17" t="s">
        <v>669</v>
      </c>
      <c r="Y104" s="17" t="s">
        <v>669</v>
      </c>
      <c r="Z104" s="17" t="s">
        <v>286</v>
      </c>
      <c r="AA104" s="16" t="s">
        <v>230</v>
      </c>
      <c r="AB104" s="78" t="s">
        <v>670</v>
      </c>
      <c r="AC104" s="20" t="n">
        <f aca="false">IF(AE104&gt;0,ROUND(AVERAGEIFS('Shortlisted Drugs X Company (7)'!$N$3:$N$698,'Shortlisted Drugs X Company (7)'!$C$3:$C$698,$B104,'Shortlisted Drugs X Company (7)'!$E$3:$E$698,$AA104,'Shortlisted Drugs X Company (7)'!$N$3:$N$698,"&gt;=0"),2),"")</f>
        <v>39.42</v>
      </c>
      <c r="AD104" s="79" t="str">
        <f aca="false">B104&amp;"|"&amp;AA104</f>
        <v>Sugammadex|Cipla</v>
      </c>
      <c r="AE104" s="22" t="n">
        <f aca="false">COUNTIFS('Shortlisted Drugs X Company (7)'!$C$3:$C$698,$B104,'Shortlisted Drugs X Company (7)'!$E$3:$E$698,$AA104,'Shortlisted Drugs X Company (7)'!$N$3:$N$698,"&gt;=0")</f>
        <v>2</v>
      </c>
      <c r="AF104" s="22" t="n">
        <f aca="false">COUNTIFS('Shortlisted Drugs X Company (7)'!$C$3:$C$698,$B104,'Shortlisted Drugs X Company (7)'!$E$3:$E$698,$AA104,'Shortlisted Drugs X Company (7)'!$N$3:$N$698,"&gt;5")</f>
        <v>2</v>
      </c>
      <c r="AG104" s="22" t="n">
        <f aca="false">COUNTIFS('Shortlisted Drugs X Company (7)'!$C$3:$C$698,$B104,'Shortlisted Drugs X Company (7)'!$E$3:$E$698,$AA104,'Shortlisted Drugs X Company (7)'!$P$3:$P$698,"Exact")+COUNTIFS('Shortlisted Drugs X Company (7)'!$C$3:$C$698,$B104,'Shortlisted Drugs X Company (7)'!$E$3:$E$698,$AA104,'Shortlisted Drugs X Company (7)'!$P$3:$P$698,"Same-market proxy")</f>
        <v>2</v>
      </c>
      <c r="AH104" s="22" t="n">
        <f aca="false">INDEX($G$7:$G$25,MATCH(A104,$A$7:$A$25,0))</f>
        <v>4</v>
      </c>
      <c r="AI104" s="79" t="str">
        <f aca="false">IF(OR(Q104="No",LEFT(H104,7)="IV only"),"",AH104*1000+IF(F104="",900+COUNTIFS($A$29:A104,A104,$H$29:H104,"Price*"),F104))</f>
        <v/>
      </c>
      <c r="AJ104" s="79" t="str">
        <f aca="false">IF(H104&lt;&gt;"","",(4-VALUE(RIGHT(E104,1)))*10^7+N(O104))</f>
        <v/>
      </c>
      <c r="AK104" s="79" t="str">
        <f aca="false">IF(AND(H104="",ISNUMBER(I104)),I104,"")</f>
        <v/>
      </c>
      <c r="AL104" s="79" t="str">
        <f aca="false">IF(H104="",M104,"")</f>
        <v/>
      </c>
    </row>
    <row r="105" customFormat="false" ht="28.35" hidden="false" customHeight="false" outlineLevel="0" collapsed="false">
      <c r="A105" s="16" t="s">
        <v>230</v>
      </c>
      <c r="B105" s="16" t="s">
        <v>671</v>
      </c>
      <c r="C105" s="17" t="s">
        <v>672</v>
      </c>
      <c r="D105" s="17" t="s">
        <v>673</v>
      </c>
      <c r="E105" s="15" t="str">
        <f aca="false">IF(H105&lt;&gt;"",IF(LEFT(H105,5)="Price","Excluded – price ≤ USD 5","Excluded – IV only"),IF(ISNUMBER(I105),IF(AND(I105&gt;=$C$3,M105&gt;=$E$3),"Priority 1",IF(OR(I105&gt;=$C$3,M105&gt;=$E$3),"Priority 2","Priority 3")),IF(M105&gt;=$E$3,"Priority 2","Priority 3")))</f>
        <v>Priority 3</v>
      </c>
      <c r="F105" s="15" t="n">
        <f aca="false">IF(H105&lt;&gt;"","",COUNTIFS($A$29:$A$361,A105,$H$29:$H$361,"",$AJ$29:$AJ$361,"&gt;"&amp;AJ105)+COUNTIFS($A$29:A105,A105,$H$29:H105,"",$AJ$29:AJ105,AJ105))</f>
        <v>13</v>
      </c>
      <c r="G105" s="17" t="str">
        <f aca="false">IF(H105&lt;&gt;"","",IF(ISNUMBER(I105),IF(I105&gt;=$C$3,"High price","Lower price"),"No price")&amp;", "&amp;IF(M105&gt;=$E$3,"high volume","lower volume"))</f>
        <v>Lower price, lower volume</v>
      </c>
      <c r="H105" s="17" t="str">
        <f aca="false">IF(Q105="No","IV only (no ID, IM or SC route)",IF(AND(AE105&gt;0,AF105=0),"Price ≤ USD 5",""))</f>
        <v/>
      </c>
      <c r="I105" s="18" t="n">
        <f aca="false">IF(AF105&gt;0,ROUND(AVERAGEIFS('Shortlisted Drugs X Company (7)'!$N$3:$N$698,'Shortlisted Drugs X Company (7)'!$C$3:$C$698,$B105,'Shortlisted Drugs X Company (7)'!$E$3:$E$698,$AA105,'Shortlisted Drugs X Company (7)'!$N$3:$N$698,"&gt;5"),2),"")</f>
        <v>13.97</v>
      </c>
      <c r="J105" s="17" t="str">
        <f aca="false">IF(COUNTIFS('Shortlisted Drugs X Company (7)'!$C$3:$C$698,$B105,'Shortlisted Drugs X Company (7)'!$E$3:$E$698,$AA105,'Shortlisted Drugs X Company (7)'!$P$3:$P$698,"Exact")&gt;0,"Exact",IF(COUNTIFS('Shortlisted Drugs X Company (7)'!$C$3:$C$698,$B105,'Shortlisted Drugs X Company (7)'!$E$3:$E$698,$AA105,'Shortlisted Drugs X Company (7)'!$P$3:$P$698,"Same-market proxy")&gt;0,"Same-market proxy",IF(COUNTIFS('Shortlisted Drugs X Company (7)'!$C$3:$C$698,$B105,'Shortlisted Drugs X Company (7)'!$E$3:$E$698,$AA105,'Shortlisted Drugs X Company (7)'!$P$3:$P$698,"Cross-market proxy")&gt;0,"Cross-market proxy",IF(COUNTIFS('Shortlisted Drugs X Company (7)'!$C$3:$C$698,$B105,'Shortlisted Drugs X Company (7)'!$E$3:$E$698,$AA105,'Shortlisted Drugs X Company (7)'!$P$3:$P$698,"Source not found")&gt;0,"Source not found","No price found"))))</f>
        <v>Exact</v>
      </c>
      <c r="K105" s="19" t="n">
        <f aca="false">IFERROR(INDEX('Injectable Value'!$AB$28:$AB$178,MATCH(B105,'Injectable Value'!$A$28:$A$178,0)),"")</f>
        <v>106</v>
      </c>
      <c r="L105" s="77" t="n">
        <f aca="false">IFERROR(INDEX('Injectable Value'!$Z$28:$Z$178,MATCH(B105,'Injectable Value'!$A$28:$A$178,0)),"")</f>
        <v>0.9375</v>
      </c>
      <c r="M105" s="19" t="n">
        <f aca="false">IFERROR(INDEX('Injectable Value'!$AC$28:$AC$178,MATCH(B105,'Injectable Value'!$A$28:$A$178,0)),"")</f>
        <v>99</v>
      </c>
      <c r="N105" s="19" t="n">
        <f aca="false">IFERROR(INDEX('Injectable Value'!$C$28:$C$178,MATCH(B105,'Injectable Value'!$A$28:$A$178,0)),"")</f>
        <v>7074.72</v>
      </c>
      <c r="O105" s="19" t="n">
        <f aca="false">IFERROR(ROUND(INDEX('Injectable Value'!$AA$28:$AA$178,MATCH(B105,'Injectable Value'!$A$28:$A$178,0)),1),"")</f>
        <v>6632.6</v>
      </c>
      <c r="P105" s="16" t="str">
        <f aca="false">IFERROR(INDEX('Route of Administration'!$C$5:$C$155,MATCH(B105,'Route of Administration'!$A$5:$A$155,0)),"")</f>
        <v>IV, IM</v>
      </c>
      <c r="Q105" s="15" t="str">
        <f aca="false">IFERROR(INDEX('Route of Administration'!$D$5:$D$155,MATCH(B105,'Route of Administration'!$A$5:$A$155,0)),"")</f>
        <v>Yes</v>
      </c>
      <c r="R105" s="16" t="s">
        <v>281</v>
      </c>
      <c r="S105" s="17" t="s">
        <v>674</v>
      </c>
      <c r="T105" s="16" t="s">
        <v>283</v>
      </c>
      <c r="U105" s="17" t="str">
        <f aca="false">"Reconstitution"&amp;IF(AE105=0,"; No price found","")&amp;IF(AND(AE105&gt;0,AF105=0,AG105=0),"; Low price comes from another market – confirm with the company","")</f>
        <v>Reconstitution</v>
      </c>
      <c r="V105" s="17" t="s">
        <v>112</v>
      </c>
      <c r="W105" s="15" t="n">
        <v>1</v>
      </c>
      <c r="X105" s="17" t="s">
        <v>360</v>
      </c>
      <c r="Y105" s="17" t="s">
        <v>360</v>
      </c>
      <c r="Z105" s="17" t="s">
        <v>286</v>
      </c>
      <c r="AA105" s="16" t="s">
        <v>230</v>
      </c>
      <c r="AB105" s="78" t="s">
        <v>675</v>
      </c>
      <c r="AC105" s="20" t="n">
        <f aca="false">IF(AE105&gt;0,ROUND(AVERAGEIFS('Shortlisted Drugs X Company (7)'!$N$3:$N$698,'Shortlisted Drugs X Company (7)'!$C$3:$C$698,$B105,'Shortlisted Drugs X Company (7)'!$E$3:$E$698,$AA105,'Shortlisted Drugs X Company (7)'!$N$3:$N$698,"&gt;=0"),2),"")</f>
        <v>13.97</v>
      </c>
      <c r="AD105" s="79" t="str">
        <f aca="false">B105&amp;"|"&amp;AA105</f>
        <v>Teicoplanin|Cipla</v>
      </c>
      <c r="AE105" s="22" t="n">
        <f aca="false">COUNTIFS('Shortlisted Drugs X Company (7)'!$C$3:$C$698,$B105,'Shortlisted Drugs X Company (7)'!$E$3:$E$698,$AA105,'Shortlisted Drugs X Company (7)'!$N$3:$N$698,"&gt;=0")</f>
        <v>1</v>
      </c>
      <c r="AF105" s="22" t="n">
        <f aca="false">COUNTIFS('Shortlisted Drugs X Company (7)'!$C$3:$C$698,$B105,'Shortlisted Drugs X Company (7)'!$E$3:$E$698,$AA105,'Shortlisted Drugs X Company (7)'!$N$3:$N$698,"&gt;5")</f>
        <v>1</v>
      </c>
      <c r="AG105" s="22" t="n">
        <f aca="false">COUNTIFS('Shortlisted Drugs X Company (7)'!$C$3:$C$698,$B105,'Shortlisted Drugs X Company (7)'!$E$3:$E$698,$AA105,'Shortlisted Drugs X Company (7)'!$P$3:$P$698,"Exact")+COUNTIFS('Shortlisted Drugs X Company (7)'!$C$3:$C$698,$B105,'Shortlisted Drugs X Company (7)'!$E$3:$E$698,$AA105,'Shortlisted Drugs X Company (7)'!$P$3:$P$698,"Same-market proxy")</f>
        <v>1</v>
      </c>
      <c r="AH105" s="22" t="n">
        <f aca="false">INDEX($G$7:$G$25,MATCH(A105,$A$7:$A$25,0))</f>
        <v>4</v>
      </c>
      <c r="AI105" s="79" t="n">
        <f aca="false">IF(OR(Q105="No",LEFT(H105,7)="IV only"),"",AH105*1000+IF(F105="",900+COUNTIFS($A$29:A105,A105,$H$29:H105,"Price*"),F105))</f>
        <v>4013</v>
      </c>
      <c r="AJ105" s="79" t="n">
        <f aca="false">IF(H105&lt;&gt;"","",(4-VALUE(RIGHT(E105,1)))*10^7+N(O105))</f>
        <v>10006632.6</v>
      </c>
      <c r="AK105" s="20" t="n">
        <f aca="false">IF(AND(H105="",ISNUMBER(I105)),I105,"")</f>
        <v>13.97</v>
      </c>
      <c r="AL105" s="21" t="n">
        <f aca="false">IF(H105="",M105,"")</f>
        <v>99</v>
      </c>
    </row>
    <row r="106" customFormat="false" ht="41.75" hidden="false" customHeight="false" outlineLevel="0" collapsed="false">
      <c r="A106" s="16" t="s">
        <v>230</v>
      </c>
      <c r="B106" s="16" t="s">
        <v>573</v>
      </c>
      <c r="C106" s="17" t="s">
        <v>573</v>
      </c>
      <c r="D106" s="17" t="s">
        <v>574</v>
      </c>
      <c r="E106" s="15" t="str">
        <f aca="false">IF(H106&lt;&gt;"",IF(LEFT(H106,5)="Price","Excluded – price ≤ USD 5","Excluded – IV only"),IF(ISNUMBER(I106),IF(AND(I106&gt;=$C$3,M106&gt;=$E$3),"Priority 1",IF(OR(I106&gt;=$C$3,M106&gt;=$E$3),"Priority 2","Priority 3")),IF(M106&gt;=$E$3,"Priority 2","Priority 3")))</f>
        <v>Priority 2</v>
      </c>
      <c r="F106" s="15" t="n">
        <f aca="false">IF(H106&lt;&gt;"","",COUNTIFS($A$29:$A$361,A106,$H$29:$H$361,"",$AJ$29:$AJ$361,"&gt;"&amp;AJ106)+COUNTIFS($A$29:A106,A106,$H$29:H106,"",$AJ$29:AJ106,AJ106))</f>
        <v>6</v>
      </c>
      <c r="G106" s="17" t="str">
        <f aca="false">IF(H106&lt;&gt;"","",IF(ISNUMBER(I106),IF(I106&gt;=$C$3,"High price","Lower price"),"No price")&amp;", "&amp;IF(M106&gt;=$E$3,"high volume","lower volume"))</f>
        <v>Lower price, high volume</v>
      </c>
      <c r="H106" s="17" t="str">
        <f aca="false">IF(Q106="No","IV only (no ID, IM or SC route)",IF(AND(AE106&gt;0,AF106=0),"Price ≤ USD 5",""))</f>
        <v/>
      </c>
      <c r="I106" s="18" t="n">
        <f aca="false">IF(AF106&gt;0,ROUND(AVERAGEIFS('Shortlisted Drugs X Company (7)'!$N$3:$N$698,'Shortlisted Drugs X Company (7)'!$C$3:$C$698,$B106,'Shortlisted Drugs X Company (7)'!$E$3:$E$698,$AA106,'Shortlisted Drugs X Company (7)'!$N$3:$N$698,"&gt;5"),2),"")</f>
        <v>20.63</v>
      </c>
      <c r="J106" s="17" t="str">
        <f aca="false">IF(COUNTIFS('Shortlisted Drugs X Company (7)'!$C$3:$C$698,$B106,'Shortlisted Drugs X Company (7)'!$E$3:$E$698,$AA106,'Shortlisted Drugs X Company (7)'!$P$3:$P$698,"Exact")&gt;0,"Exact",IF(COUNTIFS('Shortlisted Drugs X Company (7)'!$C$3:$C$698,$B106,'Shortlisted Drugs X Company (7)'!$E$3:$E$698,$AA106,'Shortlisted Drugs X Company (7)'!$P$3:$P$698,"Same-market proxy")&gt;0,"Same-market proxy",IF(COUNTIFS('Shortlisted Drugs X Company (7)'!$C$3:$C$698,$B106,'Shortlisted Drugs X Company (7)'!$E$3:$E$698,$AA106,'Shortlisted Drugs X Company (7)'!$P$3:$P$698,"Cross-market proxy")&gt;0,"Cross-market proxy",IF(COUNTIFS('Shortlisted Drugs X Company (7)'!$C$3:$C$698,$B106,'Shortlisted Drugs X Company (7)'!$E$3:$E$698,$AA106,'Shortlisted Drugs X Company (7)'!$P$3:$P$698,"Source not found")&gt;0,"Source not found","No price found"))))</f>
        <v>Same-market proxy</v>
      </c>
      <c r="K106" s="19" t="n">
        <f aca="false">IFERROR(INDEX('Injectable Value'!$AB$28:$AB$178,MATCH(B106,'Injectable Value'!$A$28:$A$178,0)),"")</f>
        <v>307</v>
      </c>
      <c r="L106" s="77" t="n">
        <f aca="false">IFERROR(INDEX('Injectable Value'!$Z$28:$Z$178,MATCH(B106,'Injectable Value'!$A$28:$A$178,0)),"")</f>
        <v>0.947368421052632</v>
      </c>
      <c r="M106" s="19" t="n">
        <f aca="false">IFERROR(INDEX('Injectable Value'!$AC$28:$AC$178,MATCH(B106,'Injectable Value'!$A$28:$A$178,0)),"")</f>
        <v>291</v>
      </c>
      <c r="N106" s="19" t="n">
        <f aca="false">IFERROR(INDEX('Injectable Value'!$C$28:$C$178,MATCH(B106,'Injectable Value'!$A$28:$A$178,0)),"")</f>
        <v>7276.73</v>
      </c>
      <c r="O106" s="19" t="n">
        <f aca="false">IFERROR(ROUND(INDEX('Injectable Value'!$AA$28:$AA$178,MATCH(B106,'Injectable Value'!$A$28:$A$178,0)),1),"")</f>
        <v>6893.7</v>
      </c>
      <c r="P106" s="16" t="str">
        <f aca="false">IFERROR(INDEX('Route of Administration'!$C$5:$C$155,MATCH(B106,'Route of Administration'!$A$5:$A$155,0)),"")</f>
        <v>IM</v>
      </c>
      <c r="Q106" s="15" t="str">
        <f aca="false">IFERROR(INDEX('Route of Administration'!$D$5:$D$155,MATCH(B106,'Route of Administration'!$A$5:$A$155,0)),"")</f>
        <v>Yes</v>
      </c>
      <c r="R106" s="16" t="s">
        <v>281</v>
      </c>
      <c r="S106" s="17" t="s">
        <v>575</v>
      </c>
      <c r="T106" s="16" t="s">
        <v>283</v>
      </c>
      <c r="U106" s="17" t="str">
        <f aca="false">""&amp;IF(AE106=0,"No price found","")&amp;IF(AND(AE106&gt;0,AF106=0,AG106=0),"Low price comes from another market – confirm with the company","")</f>
        <v/>
      </c>
      <c r="V106" s="17" t="s">
        <v>284</v>
      </c>
      <c r="W106" s="15" t="n">
        <v>1</v>
      </c>
      <c r="X106" s="17" t="s">
        <v>284</v>
      </c>
      <c r="Y106" s="17" t="s">
        <v>284</v>
      </c>
      <c r="Z106" s="17" t="s">
        <v>286</v>
      </c>
      <c r="AA106" s="16" t="s">
        <v>230</v>
      </c>
      <c r="AB106" s="78" t="s">
        <v>576</v>
      </c>
      <c r="AC106" s="20" t="n">
        <f aca="false">IF(AE106&gt;0,ROUND(AVERAGEIFS('Shortlisted Drugs X Company (7)'!$N$3:$N$698,'Shortlisted Drugs X Company (7)'!$C$3:$C$698,$B106,'Shortlisted Drugs X Company (7)'!$E$3:$E$698,$AA106,'Shortlisted Drugs X Company (7)'!$N$3:$N$698,"&gt;=0"),2),"")</f>
        <v>20.63</v>
      </c>
      <c r="AD106" s="79" t="str">
        <f aca="false">B106&amp;"|"&amp;AA106</f>
        <v>Testosterone Cypionate|Cipla</v>
      </c>
      <c r="AE106" s="22" t="n">
        <f aca="false">COUNTIFS('Shortlisted Drugs X Company (7)'!$C$3:$C$698,$B106,'Shortlisted Drugs X Company (7)'!$E$3:$E$698,$AA106,'Shortlisted Drugs X Company (7)'!$N$3:$N$698,"&gt;=0")</f>
        <v>2</v>
      </c>
      <c r="AF106" s="22" t="n">
        <f aca="false">COUNTIFS('Shortlisted Drugs X Company (7)'!$C$3:$C$698,$B106,'Shortlisted Drugs X Company (7)'!$E$3:$E$698,$AA106,'Shortlisted Drugs X Company (7)'!$N$3:$N$698,"&gt;5")</f>
        <v>2</v>
      </c>
      <c r="AG106" s="22" t="n">
        <f aca="false">COUNTIFS('Shortlisted Drugs X Company (7)'!$C$3:$C$698,$B106,'Shortlisted Drugs X Company (7)'!$E$3:$E$698,$AA106,'Shortlisted Drugs X Company (7)'!$P$3:$P$698,"Exact")+COUNTIFS('Shortlisted Drugs X Company (7)'!$C$3:$C$698,$B106,'Shortlisted Drugs X Company (7)'!$E$3:$E$698,$AA106,'Shortlisted Drugs X Company (7)'!$P$3:$P$698,"Same-market proxy")</f>
        <v>2</v>
      </c>
      <c r="AH106" s="22" t="n">
        <f aca="false">INDEX($G$7:$G$25,MATCH(A106,$A$7:$A$25,0))</f>
        <v>4</v>
      </c>
      <c r="AI106" s="79" t="n">
        <f aca="false">IF(OR(Q106="No",LEFT(H106,7)="IV only"),"",AH106*1000+IF(F106="",900+COUNTIFS($A$29:A106,A106,$H$29:H106,"Price*"),F106))</f>
        <v>4006</v>
      </c>
      <c r="AJ106" s="79" t="n">
        <f aca="false">IF(H106&lt;&gt;"","",(4-VALUE(RIGHT(E106,1)))*10^7+N(O106))</f>
        <v>20006893.7</v>
      </c>
      <c r="AK106" s="20" t="n">
        <f aca="false">IF(AND(H106="",ISNUMBER(I106)),I106,"")</f>
        <v>20.63</v>
      </c>
      <c r="AL106" s="21" t="n">
        <f aca="false">IF(H106="",M106,"")</f>
        <v>291</v>
      </c>
    </row>
    <row r="107" customFormat="false" ht="41.75" hidden="false" customHeight="false" outlineLevel="0" collapsed="false">
      <c r="A107" s="16" t="s">
        <v>230</v>
      </c>
      <c r="B107" s="16" t="s">
        <v>676</v>
      </c>
      <c r="C107" s="17" t="s">
        <v>677</v>
      </c>
      <c r="D107" s="17" t="s">
        <v>678</v>
      </c>
      <c r="E107" s="15" t="str">
        <f aca="false">IF(H107&lt;&gt;"",IF(LEFT(H107,5)="Price","Excluded – price ≤ USD 5","Excluded – IV only"),IF(ISNUMBER(I107),IF(AND(I107&gt;=$C$3,M107&gt;=$E$3),"Priority 1",IF(OR(I107&gt;=$C$3,M107&gt;=$E$3),"Priority 2","Priority 3")),IF(M107&gt;=$E$3,"Priority 2","Priority 3")))</f>
        <v>Priority 2</v>
      </c>
      <c r="F107" s="15" t="n">
        <f aca="false">IF(H107&lt;&gt;"","",COUNTIFS($A$29:$A$361,A107,$H$29:$H$361,"",$AJ$29:$AJ$361,"&gt;"&amp;AJ107)+COUNTIFS($A$29:A107,A107,$H$29:H107,"",$AJ$29:AJ107,AJ107))</f>
        <v>11</v>
      </c>
      <c r="G107" s="17" t="str">
        <f aca="false">IF(H107&lt;&gt;"","",IF(ISNUMBER(I107),IF(I107&gt;=$C$3,"High price","Lower price"),"No price")&amp;", "&amp;IF(M107&gt;=$E$3,"high volume","lower volume"))</f>
        <v>High price, lower volume</v>
      </c>
      <c r="H107" s="17" t="str">
        <f aca="false">IF(Q107="No","IV only (no ID, IM or SC route)",IF(AND(AE107&gt;0,AF107=0),"Price ≤ USD 5",""))</f>
        <v/>
      </c>
      <c r="I107" s="18" t="n">
        <f aca="false">IF(AF107&gt;0,ROUND(AVERAGEIFS('Shortlisted Drugs X Company (7)'!$N$3:$N$698,'Shortlisted Drugs X Company (7)'!$C$3:$C$698,$B107,'Shortlisted Drugs X Company (7)'!$E$3:$E$698,$AA107,'Shortlisted Drugs X Company (7)'!$N$3:$N$698,"&gt;5"),2),"")</f>
        <v>118.45</v>
      </c>
      <c r="J107" s="17" t="str">
        <f aca="false">IF(COUNTIFS('Shortlisted Drugs X Company (7)'!$C$3:$C$698,$B107,'Shortlisted Drugs X Company (7)'!$E$3:$E$698,$AA107,'Shortlisted Drugs X Company (7)'!$P$3:$P$698,"Exact")&gt;0,"Exact",IF(COUNTIFS('Shortlisted Drugs X Company (7)'!$C$3:$C$698,$B107,'Shortlisted Drugs X Company (7)'!$E$3:$E$698,$AA107,'Shortlisted Drugs X Company (7)'!$P$3:$P$698,"Same-market proxy")&gt;0,"Same-market proxy",IF(COUNTIFS('Shortlisted Drugs X Company (7)'!$C$3:$C$698,$B107,'Shortlisted Drugs X Company (7)'!$E$3:$E$698,$AA107,'Shortlisted Drugs X Company (7)'!$P$3:$P$698,"Cross-market proxy")&gt;0,"Cross-market proxy",IF(COUNTIFS('Shortlisted Drugs X Company (7)'!$C$3:$C$698,$B107,'Shortlisted Drugs X Company (7)'!$E$3:$E$698,$AA107,'Shortlisted Drugs X Company (7)'!$P$3:$P$698,"Source not found")&gt;0,"Source not found","No price found"))))</f>
        <v>Exact</v>
      </c>
      <c r="K107" s="19" t="n">
        <f aca="false">IFERROR(INDEX('Injectable Value'!$AB$28:$AB$178,MATCH(B107,'Injectable Value'!$A$28:$A$178,0)),"")</f>
        <v>188</v>
      </c>
      <c r="L107" s="77" t="n">
        <f aca="false">IFERROR(INDEX('Injectable Value'!$Z$28:$Z$178,MATCH(B107,'Injectable Value'!$A$28:$A$178,0)),"")</f>
        <v>0.703571428571429</v>
      </c>
      <c r="M107" s="19" t="n">
        <f aca="false">IFERROR(INDEX('Injectable Value'!$AC$28:$AC$178,MATCH(B107,'Injectable Value'!$A$28:$A$178,0)),"")</f>
        <v>132</v>
      </c>
      <c r="N107" s="19" t="n">
        <f aca="false">IFERROR(INDEX('Injectable Value'!$C$28:$C$178,MATCH(B107,'Injectable Value'!$A$28:$A$178,0)),"")</f>
        <v>262.84</v>
      </c>
      <c r="O107" s="19" t="n">
        <f aca="false">IFERROR(ROUND(INDEX('Injectable Value'!$AA$28:$AA$178,MATCH(B107,'Injectable Value'!$A$28:$A$178,0)),1),"")</f>
        <v>184.9</v>
      </c>
      <c r="P107" s="16" t="str">
        <f aca="false">IFERROR(INDEX('Route of Administration'!$C$5:$C$155,MATCH(B107,'Route of Administration'!$A$5:$A$155,0)),"")</f>
        <v>IM</v>
      </c>
      <c r="Q107" s="15" t="str">
        <f aca="false">IFERROR(INDEX('Route of Administration'!$D$5:$D$155,MATCH(B107,'Route of Administration'!$A$5:$A$155,0)),"")</f>
        <v>Yes</v>
      </c>
      <c r="R107" s="16" t="s">
        <v>281</v>
      </c>
      <c r="S107" s="17" t="s">
        <v>679</v>
      </c>
      <c r="T107" s="16" t="s">
        <v>283</v>
      </c>
      <c r="U107" s="17" t="str">
        <f aca="false">""&amp;IF(AE107=0,"No price found","")&amp;IF(AND(AE107&gt;0,AF107=0,AG107=0),"Low price comes from another market – confirm with the company","")</f>
        <v/>
      </c>
      <c r="V107" s="17" t="s">
        <v>112</v>
      </c>
      <c r="W107" s="15" t="n">
        <v>1</v>
      </c>
      <c r="X107" s="17" t="s">
        <v>360</v>
      </c>
      <c r="Y107" s="17" t="s">
        <v>360</v>
      </c>
      <c r="Z107" s="17" t="s">
        <v>286</v>
      </c>
      <c r="AA107" s="16" t="s">
        <v>230</v>
      </c>
      <c r="AB107" s="78" t="s">
        <v>680</v>
      </c>
      <c r="AC107" s="20" t="n">
        <f aca="false">IF(AE107&gt;0,ROUND(AVERAGEIFS('Shortlisted Drugs X Company (7)'!$N$3:$N$698,'Shortlisted Drugs X Company (7)'!$C$3:$C$698,$B107,'Shortlisted Drugs X Company (7)'!$E$3:$E$698,$AA107,'Shortlisted Drugs X Company (7)'!$N$3:$N$698,"&gt;=0"),2),"")</f>
        <v>118.45</v>
      </c>
      <c r="AD107" s="79" t="str">
        <f aca="false">B107&amp;"|"&amp;AA107</f>
        <v>Testosterone Undecanoate|Cipla</v>
      </c>
      <c r="AE107" s="22" t="n">
        <f aca="false">COUNTIFS('Shortlisted Drugs X Company (7)'!$C$3:$C$698,$B107,'Shortlisted Drugs X Company (7)'!$E$3:$E$698,$AA107,'Shortlisted Drugs X Company (7)'!$N$3:$N$698,"&gt;=0")</f>
        <v>1</v>
      </c>
      <c r="AF107" s="22" t="n">
        <f aca="false">COUNTIFS('Shortlisted Drugs X Company (7)'!$C$3:$C$698,$B107,'Shortlisted Drugs X Company (7)'!$E$3:$E$698,$AA107,'Shortlisted Drugs X Company (7)'!$N$3:$N$698,"&gt;5")</f>
        <v>1</v>
      </c>
      <c r="AG107" s="22" t="n">
        <f aca="false">COUNTIFS('Shortlisted Drugs X Company (7)'!$C$3:$C$698,$B107,'Shortlisted Drugs X Company (7)'!$E$3:$E$698,$AA107,'Shortlisted Drugs X Company (7)'!$P$3:$P$698,"Exact")+COUNTIFS('Shortlisted Drugs X Company (7)'!$C$3:$C$698,$B107,'Shortlisted Drugs X Company (7)'!$E$3:$E$698,$AA107,'Shortlisted Drugs X Company (7)'!$P$3:$P$698,"Same-market proxy")</f>
        <v>1</v>
      </c>
      <c r="AH107" s="22" t="n">
        <f aca="false">INDEX($G$7:$G$25,MATCH(A107,$A$7:$A$25,0))</f>
        <v>4</v>
      </c>
      <c r="AI107" s="79" t="n">
        <f aca="false">IF(OR(Q107="No",LEFT(H107,7)="IV only"),"",AH107*1000+IF(F107="",900+COUNTIFS($A$29:A107,A107,$H$29:H107,"Price*"),F107))</f>
        <v>4011</v>
      </c>
      <c r="AJ107" s="79" t="n">
        <f aca="false">IF(H107&lt;&gt;"","",(4-VALUE(RIGHT(E107,1)))*10^7+N(O107))</f>
        <v>20000184.9</v>
      </c>
      <c r="AK107" s="20" t="n">
        <f aca="false">IF(AND(H107="",ISNUMBER(I107)),I107,"")</f>
        <v>118.45</v>
      </c>
      <c r="AL107" s="21" t="n">
        <f aca="false">IF(H107="",M107,"")</f>
        <v>132</v>
      </c>
    </row>
    <row r="108" customFormat="false" ht="28.35" hidden="false" customHeight="false" outlineLevel="0" collapsed="false">
      <c r="A108" s="16" t="s">
        <v>230</v>
      </c>
      <c r="B108" s="16" t="s">
        <v>681</v>
      </c>
      <c r="C108" s="17" t="s">
        <v>682</v>
      </c>
      <c r="D108" s="17" t="s">
        <v>683</v>
      </c>
      <c r="E108" s="15" t="str">
        <f aca="false">IF(H108&lt;&gt;"",IF(LEFT(H108,5)="Price","Excluded – price ≤ USD 5","Excluded – IV only"),IF(ISNUMBER(I108),IF(AND(I108&gt;=$C$3,M108&gt;=$E$3),"Priority 1",IF(OR(I108&gt;=$C$3,M108&gt;=$E$3),"Priority 2","Priority 3")),IF(M108&gt;=$E$3,"Priority 2","Priority 3")))</f>
        <v>Excluded – IV only</v>
      </c>
      <c r="F108" s="15" t="str">
        <f aca="false">IF(H108&lt;&gt;"","",COUNTIFS($A$29:$A$361,A108,$H$29:$H$361,"",$AJ$29:$AJ$361,"&gt;"&amp;AJ108)+COUNTIFS($A$29:A108,A108,$H$29:H108,"",$AJ$29:AJ108,AJ108))</f>
        <v/>
      </c>
      <c r="G108" s="17" t="str">
        <f aca="false">IF(H108&lt;&gt;"","",IF(ISNUMBER(I108),IF(I108&gt;=$C$3,"High price","Lower price"),"No price")&amp;", "&amp;IF(M108&gt;=$E$3,"high volume","lower volume"))</f>
        <v/>
      </c>
      <c r="H108" s="17" t="str">
        <f aca="false">IF(Q108="No","IV only (no ID, IM or SC route)",IF(AND(AE108&gt;0,AF108=0),"Price ≤ USD 5",""))</f>
        <v>IV only (no ID, IM or SC route)</v>
      </c>
      <c r="I108" s="18" t="n">
        <f aca="false">IF(AF108&gt;0,ROUND(AVERAGEIFS('Shortlisted Drugs X Company (7)'!$N$3:$N$698,'Shortlisted Drugs X Company (7)'!$C$3:$C$698,$B108,'Shortlisted Drugs X Company (7)'!$E$3:$E$698,$AA108,'Shortlisted Drugs X Company (7)'!$N$3:$N$698,"&gt;5"),2),"")</f>
        <v>73.63</v>
      </c>
      <c r="J108" s="17" t="str">
        <f aca="false">IF(COUNTIFS('Shortlisted Drugs X Company (7)'!$C$3:$C$698,$B108,'Shortlisted Drugs X Company (7)'!$E$3:$E$698,$AA108,'Shortlisted Drugs X Company (7)'!$P$3:$P$698,"Exact")&gt;0,"Exact",IF(COUNTIFS('Shortlisted Drugs X Company (7)'!$C$3:$C$698,$B108,'Shortlisted Drugs X Company (7)'!$E$3:$E$698,$AA108,'Shortlisted Drugs X Company (7)'!$P$3:$P$698,"Same-market proxy")&gt;0,"Same-market proxy",IF(COUNTIFS('Shortlisted Drugs X Company (7)'!$C$3:$C$698,$B108,'Shortlisted Drugs X Company (7)'!$E$3:$E$698,$AA108,'Shortlisted Drugs X Company (7)'!$P$3:$P$698,"Cross-market proxy")&gt;0,"Cross-market proxy",IF(COUNTIFS('Shortlisted Drugs X Company (7)'!$C$3:$C$698,$B108,'Shortlisted Drugs X Company (7)'!$E$3:$E$698,$AA108,'Shortlisted Drugs X Company (7)'!$P$3:$P$698,"Source not found")&gt;0,"Source not found","No price found"))))</f>
        <v>Same-market proxy</v>
      </c>
      <c r="K108" s="19" t="n">
        <f aca="false">IFERROR(INDEX('Injectable Value'!$AB$28:$AB$178,MATCH(B108,'Injectable Value'!$A$28:$A$178,0)),"")</f>
        <v>848</v>
      </c>
      <c r="L108" s="77" t="n">
        <f aca="false">IFERROR(INDEX('Injectable Value'!$Z$28:$Z$178,MATCH(B108,'Injectable Value'!$A$28:$A$178,0)),"")</f>
        <v>0.928913192071087</v>
      </c>
      <c r="M108" s="19" t="n">
        <f aca="false">IFERROR(INDEX('Injectable Value'!$AC$28:$AC$178,MATCH(B108,'Injectable Value'!$A$28:$A$178,0)),"")</f>
        <v>788</v>
      </c>
      <c r="N108" s="19" t="n">
        <f aca="false">IFERROR(INDEX('Injectable Value'!$C$28:$C$178,MATCH(B108,'Injectable Value'!$A$28:$A$178,0)),"")</f>
        <v>142879.93</v>
      </c>
      <c r="O108" s="19" t="n">
        <f aca="false">IFERROR(ROUND(INDEX('Injectable Value'!$AA$28:$AA$178,MATCH(B108,'Injectable Value'!$A$28:$A$178,0)),1),"")</f>
        <v>132723.1</v>
      </c>
      <c r="P108" s="16" t="str">
        <f aca="false">IFERROR(INDEX('Route of Administration'!$C$5:$C$155,MATCH(B108,'Route of Administration'!$A$5:$A$155,0)),"")</f>
        <v>IV</v>
      </c>
      <c r="Q108" s="15" t="str">
        <f aca="false">IFERROR(INDEX('Route of Administration'!$D$5:$D$155,MATCH(B108,'Route of Administration'!$A$5:$A$155,0)),"")</f>
        <v>No</v>
      </c>
      <c r="R108" s="16" t="s">
        <v>281</v>
      </c>
      <c r="S108" s="17" t="s">
        <v>684</v>
      </c>
      <c r="T108" s="16" t="s">
        <v>333</v>
      </c>
      <c r="U108" s="17" t="str">
        <f aca="false">"Reconstitution"&amp;IF(AE108=0,"; No price found","")&amp;IF(AND(AE108&gt;0,AF108=0,AG108=0),"; Low price comes from another market – confirm with the company","")</f>
        <v>Reconstitution</v>
      </c>
      <c r="V108" s="17" t="s">
        <v>112</v>
      </c>
      <c r="W108" s="15" t="n">
        <v>1</v>
      </c>
      <c r="X108" s="17" t="s">
        <v>614</v>
      </c>
      <c r="Y108" s="17" t="s">
        <v>614</v>
      </c>
      <c r="Z108" s="17" t="s">
        <v>321</v>
      </c>
      <c r="AA108" s="16" t="s">
        <v>230</v>
      </c>
      <c r="AB108" s="78" t="s">
        <v>685</v>
      </c>
      <c r="AC108" s="20" t="n">
        <f aca="false">IF(AE108&gt;0,ROUND(AVERAGEIFS('Shortlisted Drugs X Company (7)'!$N$3:$N$698,'Shortlisted Drugs X Company (7)'!$C$3:$C$698,$B108,'Shortlisted Drugs X Company (7)'!$E$3:$E$698,$AA108,'Shortlisted Drugs X Company (7)'!$N$3:$N$698,"&gt;=0"),2),"")</f>
        <v>73.63</v>
      </c>
      <c r="AD108" s="79" t="str">
        <f aca="false">B108&amp;"|"&amp;AA108</f>
        <v>Trastuzumab|Cipla</v>
      </c>
      <c r="AE108" s="22" t="n">
        <f aca="false">COUNTIFS('Shortlisted Drugs X Company (7)'!$C$3:$C$698,$B108,'Shortlisted Drugs X Company (7)'!$E$3:$E$698,$AA108,'Shortlisted Drugs X Company (7)'!$N$3:$N$698,"&gt;=0")</f>
        <v>1</v>
      </c>
      <c r="AF108" s="22" t="n">
        <f aca="false">COUNTIFS('Shortlisted Drugs X Company (7)'!$C$3:$C$698,$B108,'Shortlisted Drugs X Company (7)'!$E$3:$E$698,$AA108,'Shortlisted Drugs X Company (7)'!$N$3:$N$698,"&gt;5")</f>
        <v>1</v>
      </c>
      <c r="AG108" s="22" t="n">
        <f aca="false">COUNTIFS('Shortlisted Drugs X Company (7)'!$C$3:$C$698,$B108,'Shortlisted Drugs X Company (7)'!$E$3:$E$698,$AA108,'Shortlisted Drugs X Company (7)'!$P$3:$P$698,"Exact")+COUNTIFS('Shortlisted Drugs X Company (7)'!$C$3:$C$698,$B108,'Shortlisted Drugs X Company (7)'!$E$3:$E$698,$AA108,'Shortlisted Drugs X Company (7)'!$P$3:$P$698,"Same-market proxy")</f>
        <v>1</v>
      </c>
      <c r="AH108" s="22" t="n">
        <f aca="false">INDEX($G$7:$G$25,MATCH(A108,$A$7:$A$25,0))</f>
        <v>4</v>
      </c>
      <c r="AI108" s="79" t="str">
        <f aca="false">IF(OR(Q108="No",LEFT(H108,7)="IV only"),"",AH108*1000+IF(F108="",900+COUNTIFS($A$29:A108,A108,$H$29:H108,"Price*"),F108))</f>
        <v/>
      </c>
      <c r="AJ108" s="79" t="str">
        <f aca="false">IF(H108&lt;&gt;"","",(4-VALUE(RIGHT(E108,1)))*10^7+N(O108))</f>
        <v/>
      </c>
      <c r="AK108" s="79" t="str">
        <f aca="false">IF(AND(H108="",ISNUMBER(I108)),I108,"")</f>
        <v/>
      </c>
      <c r="AL108" s="79" t="str">
        <f aca="false">IF(H108="",M108,"")</f>
        <v/>
      </c>
    </row>
    <row r="109" customFormat="false" ht="41.75" hidden="false" customHeight="false" outlineLevel="0" collapsed="false">
      <c r="A109" s="16" t="s">
        <v>230</v>
      </c>
      <c r="B109" s="16" t="s">
        <v>686</v>
      </c>
      <c r="C109" s="17" t="s">
        <v>687</v>
      </c>
      <c r="D109" s="17" t="s">
        <v>688</v>
      </c>
      <c r="E109" s="15" t="str">
        <f aca="false">IF(H109&lt;&gt;"",IF(LEFT(H109,5)="Price","Excluded – price ≤ USD 5","Excluded – IV only"),IF(ISNUMBER(I109),IF(AND(I109&gt;=$C$3,M109&gt;=$E$3),"Priority 1",IF(OR(I109&gt;=$C$3,M109&gt;=$E$3),"Priority 2","Priority 3")),IF(M109&gt;=$E$3,"Priority 2","Priority 3")))</f>
        <v>Excluded – IV only</v>
      </c>
      <c r="F109" s="15" t="str">
        <f aca="false">IF(H109&lt;&gt;"","",COUNTIFS($A$29:$A$361,A109,$H$29:$H$361,"",$AJ$29:$AJ$361,"&gt;"&amp;AJ109)+COUNTIFS($A$29:A109,A109,$H$29:H109,"",$AJ$29:AJ109,AJ109))</f>
        <v/>
      </c>
      <c r="G109" s="17" t="str">
        <f aca="false">IF(H109&lt;&gt;"","",IF(ISNUMBER(I109),IF(I109&gt;=$C$3,"High price","Lower price"),"No price")&amp;", "&amp;IF(M109&gt;=$E$3,"high volume","lower volume"))</f>
        <v/>
      </c>
      <c r="H109" s="17" t="str">
        <f aca="false">IF(Q109="No","IV only (no ID, IM or SC route)",IF(AND(AE109&gt;0,AF109=0),"Price ≤ USD 5",""))</f>
        <v>IV only (no ID, IM or SC route)</v>
      </c>
      <c r="I109" s="18" t="n">
        <f aca="false">IF(AF109&gt;0,ROUND(AVERAGEIFS('Shortlisted Drugs X Company (7)'!$N$3:$N$698,'Shortlisted Drugs X Company (7)'!$C$3:$C$698,$B109,'Shortlisted Drugs X Company (7)'!$E$3:$E$698,$AA109,'Shortlisted Drugs X Company (7)'!$N$3:$N$698,"&gt;5"),2),"")</f>
        <v>21.16</v>
      </c>
      <c r="J109" s="17" t="str">
        <f aca="false">IF(COUNTIFS('Shortlisted Drugs X Company (7)'!$C$3:$C$698,$B109,'Shortlisted Drugs X Company (7)'!$E$3:$E$698,$AA109,'Shortlisted Drugs X Company (7)'!$P$3:$P$698,"Exact")&gt;0,"Exact",IF(COUNTIFS('Shortlisted Drugs X Company (7)'!$C$3:$C$698,$B109,'Shortlisted Drugs X Company (7)'!$E$3:$E$698,$AA109,'Shortlisted Drugs X Company (7)'!$P$3:$P$698,"Same-market proxy")&gt;0,"Same-market proxy",IF(COUNTIFS('Shortlisted Drugs X Company (7)'!$C$3:$C$698,$B109,'Shortlisted Drugs X Company (7)'!$E$3:$E$698,$AA109,'Shortlisted Drugs X Company (7)'!$P$3:$P$698,"Cross-market proxy")&gt;0,"Cross-market proxy",IF(COUNTIFS('Shortlisted Drugs X Company (7)'!$C$3:$C$698,$B109,'Shortlisted Drugs X Company (7)'!$E$3:$E$698,$AA109,'Shortlisted Drugs X Company (7)'!$P$3:$P$698,"Source not found")&gt;0,"Source not found","No price found"))))</f>
        <v>Exact</v>
      </c>
      <c r="K109" s="19" t="n">
        <f aca="false">IFERROR(INDEX('Injectable Value'!$AB$28:$AB$178,MATCH(B109,'Injectable Value'!$A$28:$A$178,0)),"")</f>
        <v>342</v>
      </c>
      <c r="L109" s="77" t="n">
        <f aca="false">IFERROR(INDEX('Injectable Value'!$Z$28:$Z$178,MATCH(B109,'Injectable Value'!$A$28:$A$178,0)),"")</f>
        <v>1</v>
      </c>
      <c r="M109" s="19" t="n">
        <f aca="false">IFERROR(INDEX('Injectable Value'!$AC$28:$AC$178,MATCH(B109,'Injectable Value'!$A$28:$A$178,0)),"")</f>
        <v>342</v>
      </c>
      <c r="N109" s="19" t="n">
        <f aca="false">IFERROR(INDEX('Injectable Value'!$C$28:$C$178,MATCH(B109,'Injectable Value'!$A$28:$A$178,0)),"")</f>
        <v>520.76</v>
      </c>
      <c r="O109" s="19" t="n">
        <f aca="false">IFERROR(ROUND(INDEX('Injectable Value'!$AA$28:$AA$178,MATCH(B109,'Injectable Value'!$A$28:$A$178,0)),1),"")</f>
        <v>520.8</v>
      </c>
      <c r="P109" s="16" t="str">
        <f aca="false">IFERROR(INDEX('Route of Administration'!$C$5:$C$155,MATCH(B109,'Route of Administration'!$A$5:$A$155,0)),"")</f>
        <v>IV</v>
      </c>
      <c r="Q109" s="15" t="str">
        <f aca="false">IFERROR(INDEX('Route of Administration'!$D$5:$D$155,MATCH(B109,'Route of Administration'!$A$5:$A$155,0)),"")</f>
        <v>No</v>
      </c>
      <c r="R109" s="16" t="s">
        <v>281</v>
      </c>
      <c r="S109" s="17" t="s">
        <v>689</v>
      </c>
      <c r="T109" s="16" t="s">
        <v>283</v>
      </c>
      <c r="U109" s="17" t="str">
        <f aca="false">"Cancer drug (cytotoxic) – less relevant"&amp;IF(AE109=0,"; No price found","")&amp;IF(AND(AE109&gt;0,AF109=0,AG109=0),"; Low price comes from another market – confirm with the company","")</f>
        <v>Cancer drug (cytotoxic) – less relevant</v>
      </c>
      <c r="V109" s="17" t="s">
        <v>112</v>
      </c>
      <c r="W109" s="15" t="n">
        <v>1</v>
      </c>
      <c r="X109" s="17" t="s">
        <v>360</v>
      </c>
      <c r="Y109" s="17" t="s">
        <v>360</v>
      </c>
      <c r="Z109" s="17" t="s">
        <v>321</v>
      </c>
      <c r="AA109" s="16" t="s">
        <v>230</v>
      </c>
      <c r="AB109" s="78" t="s">
        <v>690</v>
      </c>
      <c r="AC109" s="20" t="n">
        <f aca="false">IF(AE109&gt;0,ROUND(AVERAGEIFS('Shortlisted Drugs X Company (7)'!$N$3:$N$698,'Shortlisted Drugs X Company (7)'!$C$3:$C$698,$B109,'Shortlisted Drugs X Company (7)'!$E$3:$E$698,$AA109,'Shortlisted Drugs X Company (7)'!$N$3:$N$698,"&gt;=0"),2),"")</f>
        <v>21.16</v>
      </c>
      <c r="AD109" s="79" t="str">
        <f aca="false">B109&amp;"|"&amp;AA109</f>
        <v>Vinblastine|Cipla</v>
      </c>
      <c r="AE109" s="22" t="n">
        <f aca="false">COUNTIFS('Shortlisted Drugs X Company (7)'!$C$3:$C$698,$B109,'Shortlisted Drugs X Company (7)'!$E$3:$E$698,$AA109,'Shortlisted Drugs X Company (7)'!$N$3:$N$698,"&gt;=0")</f>
        <v>1</v>
      </c>
      <c r="AF109" s="22" t="n">
        <f aca="false">COUNTIFS('Shortlisted Drugs X Company (7)'!$C$3:$C$698,$B109,'Shortlisted Drugs X Company (7)'!$E$3:$E$698,$AA109,'Shortlisted Drugs X Company (7)'!$N$3:$N$698,"&gt;5")</f>
        <v>1</v>
      </c>
      <c r="AG109" s="22" t="n">
        <f aca="false">COUNTIFS('Shortlisted Drugs X Company (7)'!$C$3:$C$698,$B109,'Shortlisted Drugs X Company (7)'!$E$3:$E$698,$AA109,'Shortlisted Drugs X Company (7)'!$P$3:$P$698,"Exact")+COUNTIFS('Shortlisted Drugs X Company (7)'!$C$3:$C$698,$B109,'Shortlisted Drugs X Company (7)'!$E$3:$E$698,$AA109,'Shortlisted Drugs X Company (7)'!$P$3:$P$698,"Same-market proxy")</f>
        <v>1</v>
      </c>
      <c r="AH109" s="22" t="n">
        <f aca="false">INDEX($G$7:$G$25,MATCH(A109,$A$7:$A$25,0))</f>
        <v>4</v>
      </c>
      <c r="AI109" s="79" t="str">
        <f aca="false">IF(OR(Q109="No",LEFT(H109,7)="IV only"),"",AH109*1000+IF(F109="",900+COUNTIFS($A$29:A109,A109,$H$29:H109,"Price*"),F109))</f>
        <v/>
      </c>
      <c r="AJ109" s="79" t="str">
        <f aca="false">IF(H109&lt;&gt;"","",(4-VALUE(RIGHT(E109,1)))*10^7+N(O109))</f>
        <v/>
      </c>
      <c r="AK109" s="79" t="str">
        <f aca="false">IF(AND(H109="",ISNUMBER(I109)),I109,"")</f>
        <v/>
      </c>
      <c r="AL109" s="79" t="str">
        <f aca="false">IF(H109="",M109,"")</f>
        <v/>
      </c>
    </row>
    <row r="110" customFormat="false" ht="28.35" hidden="false" customHeight="false" outlineLevel="0" collapsed="false">
      <c r="A110" s="16" t="s">
        <v>230</v>
      </c>
      <c r="B110" s="16" t="s">
        <v>604</v>
      </c>
      <c r="C110" s="17" t="s">
        <v>691</v>
      </c>
      <c r="D110" s="17" t="s">
        <v>606</v>
      </c>
      <c r="E110" s="15" t="str">
        <f aca="false">IF(H110&lt;&gt;"",IF(LEFT(H110,5)="Price","Excluded – price ≤ USD 5","Excluded – IV only"),IF(ISNUMBER(I110),IF(AND(I110&gt;=$C$3,M110&gt;=$E$3),"Priority 1",IF(OR(I110&gt;=$C$3,M110&gt;=$E$3),"Priority 2","Priority 3")),IF(M110&gt;=$E$3,"Priority 2","Priority 3")))</f>
        <v>Excluded – IV only</v>
      </c>
      <c r="F110" s="15" t="str">
        <f aca="false">IF(H110&lt;&gt;"","",COUNTIFS($A$29:$A$361,A110,$H$29:$H$361,"",$AJ$29:$AJ$361,"&gt;"&amp;AJ110)+COUNTIFS($A$29:A110,A110,$H$29:H110,"",$AJ$29:AJ110,AJ110))</f>
        <v/>
      </c>
      <c r="G110" s="17" t="str">
        <f aca="false">IF(H110&lt;&gt;"","",IF(ISNUMBER(I110),IF(I110&gt;=$C$3,"High price","Lower price"),"No price")&amp;", "&amp;IF(M110&gt;=$E$3,"high volume","lower volume"))</f>
        <v/>
      </c>
      <c r="H110" s="17" t="str">
        <f aca="false">IF(Q110="No","IV only (no ID, IM or SC route)",IF(AND(AE110&gt;0,AF110=0),"Price ≤ USD 5",""))</f>
        <v>IV only (no ID, IM or SC route)</v>
      </c>
      <c r="I110" s="18" t="n">
        <f aca="false">IF(AF110&gt;0,ROUND(AVERAGEIFS('Shortlisted Drugs X Company (7)'!$N$3:$N$698,'Shortlisted Drugs X Company (7)'!$C$3:$C$698,$B110,'Shortlisted Drugs X Company (7)'!$E$3:$E$698,$AA110,'Shortlisted Drugs X Company (7)'!$N$3:$N$698,"&gt;5"),2),"")</f>
        <v>60.37</v>
      </c>
      <c r="J110" s="17" t="str">
        <f aca="false">IF(COUNTIFS('Shortlisted Drugs X Company (7)'!$C$3:$C$698,$B110,'Shortlisted Drugs X Company (7)'!$E$3:$E$698,$AA110,'Shortlisted Drugs X Company (7)'!$P$3:$P$698,"Exact")&gt;0,"Exact",IF(COUNTIFS('Shortlisted Drugs X Company (7)'!$C$3:$C$698,$B110,'Shortlisted Drugs X Company (7)'!$E$3:$E$698,$AA110,'Shortlisted Drugs X Company (7)'!$P$3:$P$698,"Same-market proxy")&gt;0,"Same-market proxy",IF(COUNTIFS('Shortlisted Drugs X Company (7)'!$C$3:$C$698,$B110,'Shortlisted Drugs X Company (7)'!$E$3:$E$698,$AA110,'Shortlisted Drugs X Company (7)'!$P$3:$P$698,"Cross-market proxy")&gt;0,"Cross-market proxy",IF(COUNTIFS('Shortlisted Drugs X Company (7)'!$C$3:$C$698,$B110,'Shortlisted Drugs X Company (7)'!$E$3:$E$698,$AA110,'Shortlisted Drugs X Company (7)'!$P$3:$P$698,"Source not found")&gt;0,"Source not found","No price found"))))</f>
        <v>Exact</v>
      </c>
      <c r="K110" s="19" t="n">
        <f aca="false">IFERROR(INDEX('Injectable Value'!$AB$28:$AB$178,MATCH(B110,'Injectable Value'!$A$28:$A$178,0)),"")</f>
        <v>93</v>
      </c>
      <c r="L110" s="77" t="n">
        <f aca="false">IFERROR(INDEX('Injectable Value'!$Z$28:$Z$178,MATCH(B110,'Injectable Value'!$A$28:$A$178,0)),"")</f>
        <v>0.571145833333333</v>
      </c>
      <c r="M110" s="19" t="n">
        <f aca="false">IFERROR(INDEX('Injectable Value'!$AC$28:$AC$178,MATCH(B110,'Injectable Value'!$A$28:$A$178,0)),"")</f>
        <v>53</v>
      </c>
      <c r="N110" s="19" t="n">
        <f aca="false">IFERROR(INDEX('Injectable Value'!$C$28:$C$178,MATCH(B110,'Injectable Value'!$A$28:$A$178,0)),"")</f>
        <v>528.18</v>
      </c>
      <c r="O110" s="19" t="n">
        <f aca="false">IFERROR(ROUND(INDEX('Injectable Value'!$AA$28:$AA$178,MATCH(B110,'Injectable Value'!$A$28:$A$178,0)),1),"")</f>
        <v>301.7</v>
      </c>
      <c r="P110" s="16" t="str">
        <f aca="false">IFERROR(INDEX('Route of Administration'!$C$5:$C$155,MATCH(B110,'Route of Administration'!$A$5:$A$155,0)),"")</f>
        <v>IV</v>
      </c>
      <c r="Q110" s="15" t="str">
        <f aca="false">IFERROR(INDEX('Route of Administration'!$D$5:$D$155,MATCH(B110,'Route of Administration'!$A$5:$A$155,0)),"")</f>
        <v>No</v>
      </c>
      <c r="R110" s="16" t="s">
        <v>281</v>
      </c>
      <c r="S110" s="17" t="s">
        <v>692</v>
      </c>
      <c r="T110" s="16" t="s">
        <v>283</v>
      </c>
      <c r="U110" s="17" t="str">
        <f aca="false">"Cancer drug (cytotoxic) – less relevant"&amp;IF(AE110=0,"; No price found","")&amp;IF(AND(AE110&gt;0,AF110=0,AG110=0),"; Low price comes from another market – confirm with the company","")</f>
        <v>Cancer drug (cytotoxic) – less relevant</v>
      </c>
      <c r="V110" s="17" t="s">
        <v>112</v>
      </c>
      <c r="W110" s="15" t="n">
        <v>1</v>
      </c>
      <c r="X110" s="17" t="s">
        <v>360</v>
      </c>
      <c r="Y110" s="17" t="s">
        <v>360</v>
      </c>
      <c r="Z110" s="17" t="s">
        <v>286</v>
      </c>
      <c r="AA110" s="16" t="s">
        <v>230</v>
      </c>
      <c r="AB110" s="78" t="s">
        <v>611</v>
      </c>
      <c r="AC110" s="20" t="n">
        <f aca="false">IF(AE110&gt;0,ROUND(AVERAGEIFS('Shortlisted Drugs X Company (7)'!$N$3:$N$698,'Shortlisted Drugs X Company (7)'!$C$3:$C$698,$B110,'Shortlisted Drugs X Company (7)'!$E$3:$E$698,$AA110,'Shortlisted Drugs X Company (7)'!$N$3:$N$698,"&gt;=0"),2),"")</f>
        <v>60.37</v>
      </c>
      <c r="AD110" s="79" t="str">
        <f aca="false">B110&amp;"|"&amp;AA110</f>
        <v>Vinorelbine|Cipla</v>
      </c>
      <c r="AE110" s="22" t="n">
        <f aca="false">COUNTIFS('Shortlisted Drugs X Company (7)'!$C$3:$C$698,$B110,'Shortlisted Drugs X Company (7)'!$E$3:$E$698,$AA110,'Shortlisted Drugs X Company (7)'!$N$3:$N$698,"&gt;=0")</f>
        <v>2</v>
      </c>
      <c r="AF110" s="22" t="n">
        <f aca="false">COUNTIFS('Shortlisted Drugs X Company (7)'!$C$3:$C$698,$B110,'Shortlisted Drugs X Company (7)'!$E$3:$E$698,$AA110,'Shortlisted Drugs X Company (7)'!$N$3:$N$698,"&gt;5")</f>
        <v>2</v>
      </c>
      <c r="AG110" s="22" t="n">
        <f aca="false">COUNTIFS('Shortlisted Drugs X Company (7)'!$C$3:$C$698,$B110,'Shortlisted Drugs X Company (7)'!$E$3:$E$698,$AA110,'Shortlisted Drugs X Company (7)'!$P$3:$P$698,"Exact")+COUNTIFS('Shortlisted Drugs X Company (7)'!$C$3:$C$698,$B110,'Shortlisted Drugs X Company (7)'!$E$3:$E$698,$AA110,'Shortlisted Drugs X Company (7)'!$P$3:$P$698,"Same-market proxy")</f>
        <v>2</v>
      </c>
      <c r="AH110" s="22" t="n">
        <f aca="false">INDEX($G$7:$G$25,MATCH(A110,$A$7:$A$25,0))</f>
        <v>4</v>
      </c>
      <c r="AI110" s="79" t="str">
        <f aca="false">IF(OR(Q110="No",LEFT(H110,7)="IV only"),"",AH110*1000+IF(F110="",900+COUNTIFS($A$29:A110,A110,$H$29:H110,"Price*"),F110))</f>
        <v/>
      </c>
      <c r="AJ110" s="79" t="str">
        <f aca="false">IF(H110&lt;&gt;"","",(4-VALUE(RIGHT(E110,1)))*10^7+N(O110))</f>
        <v/>
      </c>
      <c r="AK110" s="79" t="str">
        <f aca="false">IF(AND(H110="",ISNUMBER(I110)),I110,"")</f>
        <v/>
      </c>
      <c r="AL110" s="79" t="str">
        <f aca="false">IF(H110="",M110,"")</f>
        <v/>
      </c>
    </row>
    <row r="111" customFormat="false" ht="95.5" hidden="false" customHeight="false" outlineLevel="0" collapsed="false">
      <c r="A111" s="16" t="s">
        <v>231</v>
      </c>
      <c r="B111" s="16" t="s">
        <v>329</v>
      </c>
      <c r="C111" s="17" t="s">
        <v>693</v>
      </c>
      <c r="D111" s="17" t="s">
        <v>331</v>
      </c>
      <c r="E111" s="15" t="str">
        <f aca="false">IF(H111&lt;&gt;"",IF(LEFT(H111,5)="Price","Excluded – price ≤ USD 5","Excluded – IV only"),IF(ISNUMBER(I111),IF(AND(I111&gt;=$C$3,M111&gt;=$E$3),"Priority 1",IF(OR(I111&gt;=$C$3,M111&gt;=$E$3),"Priority 2","Priority 3")),IF(M111&gt;=$E$3,"Priority 2","Priority 3")))</f>
        <v>Priority 1</v>
      </c>
      <c r="F111" s="15" t="n">
        <f aca="false">IF(H111&lt;&gt;"","",COUNTIFS($A$29:$A$361,A111,$H$29:$H$361,"",$AJ$29:$AJ$361,"&gt;"&amp;AJ111)+COUNTIFS($A$29:A111,A111,$H$29:H111,"",$AJ$29:AJ111,AJ111))</f>
        <v>2</v>
      </c>
      <c r="G111" s="17" t="str">
        <f aca="false">IF(H111&lt;&gt;"","",IF(ISNUMBER(I111),IF(I111&gt;=$C$3,"High price","Lower price"),"No price")&amp;", "&amp;IF(M111&gt;=$E$3,"high volume","lower volume"))</f>
        <v>High price, high volume</v>
      </c>
      <c r="H111" s="17" t="str">
        <f aca="false">IF(Q111="No","IV only (no ID, IM or SC route)",IF(AND(AE111&gt;0,AF111=0),"Price ≤ USD 5",""))</f>
        <v/>
      </c>
      <c r="I111" s="18" t="n">
        <f aca="false">IF(AF111&gt;0,ROUND(AVERAGEIFS('Shortlisted Drugs X Company (7)'!$N$3:$N$698,'Shortlisted Drugs X Company (7)'!$C$3:$C$698,$B111,'Shortlisted Drugs X Company (7)'!$E$3:$E$698,$AA111,'Shortlisted Drugs X Company (7)'!$N$3:$N$698,"&gt;5"),2),"")</f>
        <v>259.25</v>
      </c>
      <c r="J111" s="17" t="str">
        <f aca="false">IF(COUNTIFS('Shortlisted Drugs X Company (7)'!$C$3:$C$698,$B111,'Shortlisted Drugs X Company (7)'!$E$3:$E$698,$AA111,'Shortlisted Drugs X Company (7)'!$P$3:$P$698,"Exact")&gt;0,"Exact",IF(COUNTIFS('Shortlisted Drugs X Company (7)'!$C$3:$C$698,$B111,'Shortlisted Drugs X Company (7)'!$E$3:$E$698,$AA111,'Shortlisted Drugs X Company (7)'!$P$3:$P$698,"Same-market proxy")&gt;0,"Same-market proxy",IF(COUNTIFS('Shortlisted Drugs X Company (7)'!$C$3:$C$698,$B111,'Shortlisted Drugs X Company (7)'!$E$3:$E$698,$AA111,'Shortlisted Drugs X Company (7)'!$P$3:$P$698,"Cross-market proxy")&gt;0,"Cross-market proxy",IF(COUNTIFS('Shortlisted Drugs X Company (7)'!$C$3:$C$698,$B111,'Shortlisted Drugs X Company (7)'!$E$3:$E$698,$AA111,'Shortlisted Drugs X Company (7)'!$P$3:$P$698,"Source not found")&gt;0,"Source not found","No price found"))))</f>
        <v>Exact</v>
      </c>
      <c r="K111" s="19" t="n">
        <f aca="false">IFERROR(INDEX('Injectable Value'!$AB$28:$AB$178,MATCH(B111,'Injectable Value'!$A$28:$A$178,0)),"")</f>
        <v>762</v>
      </c>
      <c r="L111" s="77" t="n">
        <f aca="false">IFERROR(INDEX('Injectable Value'!$Z$28:$Z$178,MATCH(B111,'Injectable Value'!$A$28:$A$178,0)),"")</f>
        <v>0.829278792417718</v>
      </c>
      <c r="M111" s="19" t="n">
        <f aca="false">IFERROR(INDEX('Injectable Value'!$AC$28:$AC$178,MATCH(B111,'Injectable Value'!$A$28:$A$178,0)),"")</f>
        <v>632</v>
      </c>
      <c r="N111" s="19" t="n">
        <f aca="false">IFERROR(INDEX('Injectable Value'!$C$28:$C$178,MATCH(B111,'Injectable Value'!$A$28:$A$178,0)),"")</f>
        <v>50865.56</v>
      </c>
      <c r="O111" s="19" t="n">
        <f aca="false">IFERROR(ROUND(INDEX('Injectable Value'!$AA$28:$AA$178,MATCH(B111,'Injectable Value'!$A$28:$A$178,0)),1),"")</f>
        <v>42181.7</v>
      </c>
      <c r="P111" s="16" t="str">
        <f aca="false">IFERROR(INDEX('Route of Administration'!$C$5:$C$155,MATCH(B111,'Route of Administration'!$A$5:$A$155,0)),"")</f>
        <v>IV, SC</v>
      </c>
      <c r="Q111" s="15" t="str">
        <f aca="false">IFERROR(INDEX('Route of Administration'!$D$5:$D$155,MATCH(B111,'Route of Administration'!$A$5:$A$155,0)),"")</f>
        <v>Yes</v>
      </c>
      <c r="R111" s="16" t="s">
        <v>281</v>
      </c>
      <c r="S111" s="17" t="s">
        <v>694</v>
      </c>
      <c r="T111" s="16" t="s">
        <v>359</v>
      </c>
      <c r="U111" s="17" t="str">
        <f aca="false">"Cancer drug (cytotoxic) – less relevant; Reconstitution"&amp;IF(AE111=0,"; No price found","")&amp;IF(AND(AE111&gt;0,AF111=0,AG111=0),"; Low price comes from another market – confirm with the company","")</f>
        <v>Cancer drug (cytotoxic) – less relevant; Reconstitution</v>
      </c>
      <c r="V111" s="17" t="s">
        <v>695</v>
      </c>
      <c r="W111" s="15" t="n">
        <v>34</v>
      </c>
      <c r="X111" s="17" t="s">
        <v>696</v>
      </c>
      <c r="Y111" s="17" t="s">
        <v>697</v>
      </c>
      <c r="Z111" s="17" t="s">
        <v>286</v>
      </c>
      <c r="AA111" s="16" t="s">
        <v>698</v>
      </c>
      <c r="AB111" s="78" t="s">
        <v>337</v>
      </c>
      <c r="AC111" s="20" t="n">
        <f aca="false">IF(AE111&gt;0,ROUND(AVERAGEIFS('Shortlisted Drugs X Company (7)'!$N$3:$N$698,'Shortlisted Drugs X Company (7)'!$C$3:$C$698,$B111,'Shortlisted Drugs X Company (7)'!$E$3:$E$698,$AA111,'Shortlisted Drugs X Company (7)'!$N$3:$N$698,"&gt;=0"),2),"")</f>
        <v>259.25</v>
      </c>
      <c r="AD111" s="79" t="str">
        <f aca="false">B111&amp;"|"&amp;AA111</f>
        <v>Azacitidine|Dr. Reddy's Laboratories</v>
      </c>
      <c r="AE111" s="22" t="n">
        <f aca="false">COUNTIFS('Shortlisted Drugs X Company (7)'!$C$3:$C$698,$B111,'Shortlisted Drugs X Company (7)'!$E$3:$E$698,$AA111,'Shortlisted Drugs X Company (7)'!$N$3:$N$698,"&gt;=0")</f>
        <v>5</v>
      </c>
      <c r="AF111" s="22" t="n">
        <f aca="false">COUNTIFS('Shortlisted Drugs X Company (7)'!$C$3:$C$698,$B111,'Shortlisted Drugs X Company (7)'!$E$3:$E$698,$AA111,'Shortlisted Drugs X Company (7)'!$N$3:$N$698,"&gt;5")</f>
        <v>5</v>
      </c>
      <c r="AG111" s="22" t="n">
        <f aca="false">COUNTIFS('Shortlisted Drugs X Company (7)'!$C$3:$C$698,$B111,'Shortlisted Drugs X Company (7)'!$E$3:$E$698,$AA111,'Shortlisted Drugs X Company (7)'!$P$3:$P$698,"Exact")+COUNTIFS('Shortlisted Drugs X Company (7)'!$C$3:$C$698,$B111,'Shortlisted Drugs X Company (7)'!$E$3:$E$698,$AA111,'Shortlisted Drugs X Company (7)'!$P$3:$P$698,"Same-market proxy")</f>
        <v>5</v>
      </c>
      <c r="AH111" s="22" t="n">
        <f aca="false">INDEX($G$7:$G$25,MATCH(A111,$A$7:$A$25,0))</f>
        <v>3</v>
      </c>
      <c r="AI111" s="79" t="n">
        <f aca="false">IF(OR(Q111="No",LEFT(H111,7)="IV only"),"",AH111*1000+IF(F111="",900+COUNTIFS($A$29:A111,A111,$H$29:H111,"Price*"),F111))</f>
        <v>3002</v>
      </c>
      <c r="AJ111" s="79" t="n">
        <f aca="false">IF(H111&lt;&gt;"","",(4-VALUE(RIGHT(E111,1)))*10^7+N(O111))</f>
        <v>30042181.7</v>
      </c>
      <c r="AK111" s="20" t="n">
        <f aca="false">IF(AND(H111="",ISNUMBER(I111)),I111,"")</f>
        <v>259.25</v>
      </c>
      <c r="AL111" s="21" t="n">
        <f aca="false">IF(H111="",M111,"")</f>
        <v>632</v>
      </c>
    </row>
    <row r="112" customFormat="false" ht="28.35" hidden="false" customHeight="false" outlineLevel="0" collapsed="false">
      <c r="A112" s="16" t="s">
        <v>231</v>
      </c>
      <c r="B112" s="16" t="s">
        <v>699</v>
      </c>
      <c r="C112" s="17" t="s">
        <v>699</v>
      </c>
      <c r="D112" s="17" t="s">
        <v>700</v>
      </c>
      <c r="E112" s="15" t="str">
        <f aca="false">IF(H112&lt;&gt;"",IF(LEFT(H112,5)="Price","Excluded – price ≤ USD 5","Excluded – IV only"),IF(ISNUMBER(I112),IF(AND(I112&gt;=$C$3,M112&gt;=$E$3),"Priority 1",IF(OR(I112&gt;=$C$3,M112&gt;=$E$3),"Priority 2","Priority 3")),IF(M112&gt;=$E$3,"Priority 2","Priority 3")))</f>
        <v>Excluded – IV only</v>
      </c>
      <c r="F112" s="15" t="str">
        <f aca="false">IF(H112&lt;&gt;"","",COUNTIFS($A$29:$A$361,A112,$H$29:$H$361,"",$AJ$29:$AJ$361,"&gt;"&amp;AJ112)+COUNTIFS($A$29:A112,A112,$H$29:H112,"",$AJ$29:AJ112,AJ112))</f>
        <v/>
      </c>
      <c r="G112" s="17" t="str">
        <f aca="false">IF(H112&lt;&gt;"","",IF(ISNUMBER(I112),IF(I112&gt;=$C$3,"High price","Lower price"),"No price")&amp;", "&amp;IF(M112&gt;=$E$3,"high volume","lower volume"))</f>
        <v/>
      </c>
      <c r="H112" s="17" t="str">
        <f aca="false">IF(Q112="No","IV only (no ID, IM or SC route)",IF(AND(AE112&gt;0,AF112=0),"Price ≤ USD 5",""))</f>
        <v>IV only (no ID, IM or SC route)</v>
      </c>
      <c r="I112" s="18" t="n">
        <f aca="false">IF(AF112&gt;0,ROUND(AVERAGEIFS('Shortlisted Drugs X Company (7)'!$N$3:$N$698,'Shortlisted Drugs X Company (7)'!$C$3:$C$698,$B112,'Shortlisted Drugs X Company (7)'!$E$3:$E$698,$AA112,'Shortlisted Drugs X Company (7)'!$N$3:$N$698,"&gt;5"),2),"")</f>
        <v>31.16</v>
      </c>
      <c r="J112" s="17" t="str">
        <f aca="false">IF(COUNTIFS('Shortlisted Drugs X Company (7)'!$C$3:$C$698,$B112,'Shortlisted Drugs X Company (7)'!$E$3:$E$698,$AA112,'Shortlisted Drugs X Company (7)'!$P$3:$P$698,"Exact")&gt;0,"Exact",IF(COUNTIFS('Shortlisted Drugs X Company (7)'!$C$3:$C$698,$B112,'Shortlisted Drugs X Company (7)'!$E$3:$E$698,$AA112,'Shortlisted Drugs X Company (7)'!$P$3:$P$698,"Same-market proxy")&gt;0,"Same-market proxy",IF(COUNTIFS('Shortlisted Drugs X Company (7)'!$C$3:$C$698,$B112,'Shortlisted Drugs X Company (7)'!$E$3:$E$698,$AA112,'Shortlisted Drugs X Company (7)'!$P$3:$P$698,"Cross-market proxy")&gt;0,"Cross-market proxy",IF(COUNTIFS('Shortlisted Drugs X Company (7)'!$C$3:$C$698,$B112,'Shortlisted Drugs X Company (7)'!$E$3:$E$698,$AA112,'Shortlisted Drugs X Company (7)'!$P$3:$P$698,"Source not found")&gt;0,"Source not found","No price found"))))</f>
        <v>Same-market proxy</v>
      </c>
      <c r="K112" s="19" t="n">
        <f aca="false">IFERROR(INDEX('Injectable Value'!$AB$28:$AB$178,MATCH(B112,'Injectable Value'!$A$28:$A$178,0)),"")</f>
        <v>5</v>
      </c>
      <c r="L112" s="77" t="n">
        <f aca="false">IFERROR(INDEX('Injectable Value'!$Z$28:$Z$178,MATCH(B112,'Injectable Value'!$A$28:$A$178,0)),"")</f>
        <v>1</v>
      </c>
      <c r="M112" s="19" t="n">
        <f aca="false">IFERROR(INDEX('Injectable Value'!$AC$28:$AC$178,MATCH(B112,'Injectable Value'!$A$28:$A$178,0)),"")</f>
        <v>5</v>
      </c>
      <c r="N112" s="19" t="n">
        <f aca="false">IFERROR(INDEX('Injectable Value'!$C$28:$C$178,MATCH(B112,'Injectable Value'!$A$28:$A$178,0)),"")</f>
        <v>806.34</v>
      </c>
      <c r="O112" s="19" t="n">
        <f aca="false">IFERROR(ROUND(INDEX('Injectable Value'!$AA$28:$AA$178,MATCH(B112,'Injectable Value'!$A$28:$A$178,0)),1),"")</f>
        <v>806.3</v>
      </c>
      <c r="P112" s="16" t="str">
        <f aca="false">IFERROR(INDEX('Route of Administration'!$C$5:$C$155,MATCH(B112,'Route of Administration'!$A$5:$A$155,0)),"")</f>
        <v>IV</v>
      </c>
      <c r="Q112" s="15" t="str">
        <f aca="false">IFERROR(INDEX('Route of Administration'!$D$5:$D$155,MATCH(B112,'Route of Administration'!$A$5:$A$155,0)),"")</f>
        <v>No</v>
      </c>
      <c r="R112" s="16" t="s">
        <v>281</v>
      </c>
      <c r="S112" s="17" t="s">
        <v>701</v>
      </c>
      <c r="T112" s="16" t="s">
        <v>333</v>
      </c>
      <c r="U112" s="17" t="str">
        <f aca="false">"Reconstitution"&amp;IF(AE112=0,"; No price found","")&amp;IF(AND(AE112&gt;0,AF112=0,AG112=0),"; Low price comes from another market – confirm with the company","")</f>
        <v>Reconstitution</v>
      </c>
      <c r="V112" s="17" t="s">
        <v>284</v>
      </c>
      <c r="W112" s="15" t="n">
        <v>1</v>
      </c>
      <c r="X112" s="17" t="s">
        <v>284</v>
      </c>
      <c r="Y112" s="17" t="s">
        <v>284</v>
      </c>
      <c r="Z112" s="17" t="s">
        <v>321</v>
      </c>
      <c r="AA112" s="16" t="s">
        <v>698</v>
      </c>
      <c r="AB112" s="78" t="s">
        <v>702</v>
      </c>
      <c r="AC112" s="20" t="n">
        <f aca="false">IF(AE112&gt;0,ROUND(AVERAGEIFS('Shortlisted Drugs X Company (7)'!$N$3:$N$698,'Shortlisted Drugs X Company (7)'!$C$3:$C$698,$B112,'Shortlisted Drugs X Company (7)'!$E$3:$E$698,$AA112,'Shortlisted Drugs X Company (7)'!$N$3:$N$698,"&gt;=0"),2),"")</f>
        <v>31.16</v>
      </c>
      <c r="AD112" s="79" t="str">
        <f aca="false">B112&amp;"|"&amp;AA112</f>
        <v>Bivalirudin|Dr. Reddy's Laboratories</v>
      </c>
      <c r="AE112" s="22" t="n">
        <f aca="false">COUNTIFS('Shortlisted Drugs X Company (7)'!$C$3:$C$698,$B112,'Shortlisted Drugs X Company (7)'!$E$3:$E$698,$AA112,'Shortlisted Drugs X Company (7)'!$N$3:$N$698,"&gt;=0")</f>
        <v>1</v>
      </c>
      <c r="AF112" s="22" t="n">
        <f aca="false">COUNTIFS('Shortlisted Drugs X Company (7)'!$C$3:$C$698,$B112,'Shortlisted Drugs X Company (7)'!$E$3:$E$698,$AA112,'Shortlisted Drugs X Company (7)'!$N$3:$N$698,"&gt;5")</f>
        <v>1</v>
      </c>
      <c r="AG112" s="22" t="n">
        <f aca="false">COUNTIFS('Shortlisted Drugs X Company (7)'!$C$3:$C$698,$B112,'Shortlisted Drugs X Company (7)'!$E$3:$E$698,$AA112,'Shortlisted Drugs X Company (7)'!$P$3:$P$698,"Exact")+COUNTIFS('Shortlisted Drugs X Company (7)'!$C$3:$C$698,$B112,'Shortlisted Drugs X Company (7)'!$E$3:$E$698,$AA112,'Shortlisted Drugs X Company (7)'!$P$3:$P$698,"Same-market proxy")</f>
        <v>1</v>
      </c>
      <c r="AH112" s="22" t="n">
        <f aca="false">INDEX($G$7:$G$25,MATCH(A112,$A$7:$A$25,0))</f>
        <v>3</v>
      </c>
      <c r="AI112" s="79" t="str">
        <f aca="false">IF(OR(Q112="No",LEFT(H112,7)="IV only"),"",AH112*1000+IF(F112="",900+COUNTIFS($A$29:A112,A112,$H$29:H112,"Price*"),F112))</f>
        <v/>
      </c>
      <c r="AJ112" s="79" t="str">
        <f aca="false">IF(H112&lt;&gt;"","",(4-VALUE(RIGHT(E112,1)))*10^7+N(O112))</f>
        <v/>
      </c>
      <c r="AK112" s="79" t="str">
        <f aca="false">IF(AND(H112="",ISNUMBER(I112)),I112,"")</f>
        <v/>
      </c>
      <c r="AL112" s="79" t="str">
        <f aca="false">IF(H112="",M112,"")</f>
        <v/>
      </c>
    </row>
    <row r="113" customFormat="false" ht="55.2" hidden="false" customHeight="false" outlineLevel="0" collapsed="false">
      <c r="A113" s="16" t="s">
        <v>231</v>
      </c>
      <c r="B113" s="16" t="s">
        <v>338</v>
      </c>
      <c r="C113" s="17" t="s">
        <v>703</v>
      </c>
      <c r="D113" s="17" t="s">
        <v>340</v>
      </c>
      <c r="E113" s="15" t="str">
        <f aca="false">IF(H113&lt;&gt;"",IF(LEFT(H113,5)="Price","Excluded – price ≤ USD 5","Excluded – IV only"),IF(ISNUMBER(I113),IF(AND(I113&gt;=$C$3,M113&gt;=$E$3),"Priority 1",IF(OR(I113&gt;=$C$3,M113&gt;=$E$3),"Priority 2","Priority 3")),IF(M113&gt;=$E$3,"Priority 2","Priority 3")))</f>
        <v>Priority 1</v>
      </c>
      <c r="F113" s="15" t="n">
        <f aca="false">IF(H113&lt;&gt;"","",COUNTIFS($A$29:$A$361,A113,$H$29:$H$361,"",$AJ$29:$AJ$361,"&gt;"&amp;AJ113)+COUNTIFS($A$29:A113,A113,$H$29:H113,"",$AJ$29:AJ113,AJ113))</f>
        <v>3</v>
      </c>
      <c r="G113" s="17" t="str">
        <f aca="false">IF(H113&lt;&gt;"","",IF(ISNUMBER(I113),IF(I113&gt;=$C$3,"High price","Lower price"),"No price")&amp;", "&amp;IF(M113&gt;=$E$3,"high volume","lower volume"))</f>
        <v>High price, high volume</v>
      </c>
      <c r="H113" s="17" t="str">
        <f aca="false">IF(Q113="No","IV only (no ID, IM or SC route)",IF(AND(AE113&gt;0,AF113=0),"Price ≤ USD 5",""))</f>
        <v/>
      </c>
      <c r="I113" s="18" t="n">
        <f aca="false">IF(AF113&gt;0,ROUND(AVERAGEIFS('Shortlisted Drugs X Company (7)'!$N$3:$N$698,'Shortlisted Drugs X Company (7)'!$C$3:$C$698,$B113,'Shortlisted Drugs X Company (7)'!$E$3:$E$698,$AA113,'Shortlisted Drugs X Company (7)'!$N$3:$N$698,"&gt;5"),2),"")</f>
        <v>711.76</v>
      </c>
      <c r="J113" s="17" t="str">
        <f aca="false">IF(COUNTIFS('Shortlisted Drugs X Company (7)'!$C$3:$C$698,$B113,'Shortlisted Drugs X Company (7)'!$E$3:$E$698,$AA113,'Shortlisted Drugs X Company (7)'!$P$3:$P$698,"Exact")&gt;0,"Exact",IF(COUNTIFS('Shortlisted Drugs X Company (7)'!$C$3:$C$698,$B113,'Shortlisted Drugs X Company (7)'!$E$3:$E$698,$AA113,'Shortlisted Drugs X Company (7)'!$P$3:$P$698,"Same-market proxy")&gt;0,"Same-market proxy",IF(COUNTIFS('Shortlisted Drugs X Company (7)'!$C$3:$C$698,$B113,'Shortlisted Drugs X Company (7)'!$E$3:$E$698,$AA113,'Shortlisted Drugs X Company (7)'!$P$3:$P$698,"Cross-market proxy")&gt;0,"Cross-market proxy",IF(COUNTIFS('Shortlisted Drugs X Company (7)'!$C$3:$C$698,$B113,'Shortlisted Drugs X Company (7)'!$E$3:$E$698,$AA113,'Shortlisted Drugs X Company (7)'!$P$3:$P$698,"Source not found")&gt;0,"Source not found","No price found"))))</f>
        <v>Exact</v>
      </c>
      <c r="K113" s="19" t="n">
        <f aca="false">IFERROR(INDEX('Injectable Value'!$AB$28:$AB$178,MATCH(B113,'Injectable Value'!$A$28:$A$178,0)),"")</f>
        <v>905</v>
      </c>
      <c r="L113" s="77" t="n">
        <f aca="false">IFERROR(INDEX('Injectable Value'!$Z$28:$Z$178,MATCH(B113,'Injectable Value'!$A$28:$A$178,0)),"")</f>
        <v>1</v>
      </c>
      <c r="M113" s="19" t="n">
        <f aca="false">IFERROR(INDEX('Injectable Value'!$AC$28:$AC$178,MATCH(B113,'Injectable Value'!$A$28:$A$178,0)),"")</f>
        <v>905</v>
      </c>
      <c r="N113" s="19" t="n">
        <f aca="false">IFERROR(INDEX('Injectable Value'!$C$28:$C$178,MATCH(B113,'Injectable Value'!$A$28:$A$178,0)),"")</f>
        <v>28093.38</v>
      </c>
      <c r="O113" s="19" t="n">
        <f aca="false">IFERROR(ROUND(INDEX('Injectable Value'!$AA$28:$AA$178,MATCH(B113,'Injectable Value'!$A$28:$A$178,0)),1),"")</f>
        <v>28093.4</v>
      </c>
      <c r="P113" s="16" t="str">
        <f aca="false">IFERROR(INDEX('Route of Administration'!$C$5:$C$155,MATCH(B113,'Route of Administration'!$A$5:$A$155,0)),"")</f>
        <v>IV, SC</v>
      </c>
      <c r="Q113" s="15" t="str">
        <f aca="false">IFERROR(INDEX('Route of Administration'!$D$5:$D$155,MATCH(B113,'Route of Administration'!$A$5:$A$155,0)),"")</f>
        <v>Yes</v>
      </c>
      <c r="R113" s="16" t="s">
        <v>281</v>
      </c>
      <c r="S113" s="17" t="s">
        <v>704</v>
      </c>
      <c r="T113" s="16" t="s">
        <v>283</v>
      </c>
      <c r="U113" s="17" t="str">
        <f aca="false">"Cancer drug (cytotoxic) – less relevant; Reconstitution"&amp;IF(AE113=0,"; No price found","")&amp;IF(AND(AE113&gt;0,AF113=0,AG113=0),"; Low price comes from another market – confirm with the company","")</f>
        <v>Cancer drug (cytotoxic) – less relevant; Reconstitution</v>
      </c>
      <c r="V113" s="17" t="s">
        <v>705</v>
      </c>
      <c r="W113" s="15" t="n">
        <v>18</v>
      </c>
      <c r="X113" s="17" t="s">
        <v>706</v>
      </c>
      <c r="Y113" s="17" t="s">
        <v>707</v>
      </c>
      <c r="Z113" s="17" t="s">
        <v>286</v>
      </c>
      <c r="AA113" s="16" t="s">
        <v>698</v>
      </c>
      <c r="AB113" s="78" t="s">
        <v>345</v>
      </c>
      <c r="AC113" s="20" t="n">
        <f aca="false">IF(AE113&gt;0,ROUND(AVERAGEIFS('Shortlisted Drugs X Company (7)'!$N$3:$N$698,'Shortlisted Drugs X Company (7)'!$C$3:$C$698,$B113,'Shortlisted Drugs X Company (7)'!$E$3:$E$698,$AA113,'Shortlisted Drugs X Company (7)'!$N$3:$N$698,"&gt;=0"),2),"")</f>
        <v>711.76</v>
      </c>
      <c r="AD113" s="79" t="str">
        <f aca="false">B113&amp;"|"&amp;AA113</f>
        <v>Bortezomib|Dr. Reddy's Laboratories</v>
      </c>
      <c r="AE113" s="22" t="n">
        <f aca="false">COUNTIFS('Shortlisted Drugs X Company (7)'!$C$3:$C$698,$B113,'Shortlisted Drugs X Company (7)'!$E$3:$E$698,$AA113,'Shortlisted Drugs X Company (7)'!$N$3:$N$698,"&gt;=0")</f>
        <v>5</v>
      </c>
      <c r="AF113" s="22" t="n">
        <f aca="false">COUNTIFS('Shortlisted Drugs X Company (7)'!$C$3:$C$698,$B113,'Shortlisted Drugs X Company (7)'!$E$3:$E$698,$AA113,'Shortlisted Drugs X Company (7)'!$N$3:$N$698,"&gt;5")</f>
        <v>5</v>
      </c>
      <c r="AG113" s="22" t="n">
        <f aca="false">COUNTIFS('Shortlisted Drugs X Company (7)'!$C$3:$C$698,$B113,'Shortlisted Drugs X Company (7)'!$E$3:$E$698,$AA113,'Shortlisted Drugs X Company (7)'!$P$3:$P$698,"Exact")+COUNTIFS('Shortlisted Drugs X Company (7)'!$C$3:$C$698,$B113,'Shortlisted Drugs X Company (7)'!$E$3:$E$698,$AA113,'Shortlisted Drugs X Company (7)'!$P$3:$P$698,"Same-market proxy")</f>
        <v>5</v>
      </c>
      <c r="AH113" s="22" t="n">
        <f aca="false">INDEX($G$7:$G$25,MATCH(A113,$A$7:$A$25,0))</f>
        <v>3</v>
      </c>
      <c r="AI113" s="79" t="n">
        <f aca="false">IF(OR(Q113="No",LEFT(H113,7)="IV only"),"",AH113*1000+IF(F113="",900+COUNTIFS($A$29:A113,A113,$H$29:H113,"Price*"),F113))</f>
        <v>3003</v>
      </c>
      <c r="AJ113" s="79" t="n">
        <f aca="false">IF(H113&lt;&gt;"","",(4-VALUE(RIGHT(E113,1)))*10^7+N(O113))</f>
        <v>30028093.4</v>
      </c>
      <c r="AK113" s="20" t="n">
        <f aca="false">IF(AND(H113="",ISNUMBER(I113)),I113,"")</f>
        <v>711.76</v>
      </c>
      <c r="AL113" s="21" t="n">
        <f aca="false">IF(H113="",M113,"")</f>
        <v>905</v>
      </c>
    </row>
    <row r="114" customFormat="false" ht="41.75" hidden="false" customHeight="false" outlineLevel="0" collapsed="false">
      <c r="A114" s="16" t="s">
        <v>231</v>
      </c>
      <c r="B114" s="16" t="s">
        <v>278</v>
      </c>
      <c r="C114" s="17" t="s">
        <v>708</v>
      </c>
      <c r="D114" s="17" t="s">
        <v>280</v>
      </c>
      <c r="E114" s="15" t="str">
        <f aca="false">IF(H114&lt;&gt;"",IF(LEFT(H114,5)="Price","Excluded – price ≤ USD 5","Excluded – IV only"),IF(ISNUMBER(I114),IF(AND(I114&gt;=$C$3,M114&gt;=$E$3),"Priority 1",IF(OR(I114&gt;=$C$3,M114&gt;=$E$3),"Priority 2","Priority 3")),IF(M114&gt;=$E$3,"Priority 2","Priority 3")))</f>
        <v>Priority 2</v>
      </c>
      <c r="F114" s="15" t="n">
        <f aca="false">IF(H114&lt;&gt;"","",COUNTIFS($A$29:$A$361,A114,$H$29:$H$361,"",$AJ$29:$AJ$361,"&gt;"&amp;AJ114)+COUNTIFS($A$29:A114,A114,$H$29:H114,"",$AJ$29:AJ114,AJ114))</f>
        <v>6</v>
      </c>
      <c r="G114" s="17" t="str">
        <f aca="false">IF(H114&lt;&gt;"","",IF(ISNUMBER(I114),IF(I114&gt;=$C$3,"High price","Lower price"),"No price")&amp;", "&amp;IF(M114&gt;=$E$3,"high volume","lower volume"))</f>
        <v>High price, lower volume</v>
      </c>
      <c r="H114" s="17" t="str">
        <f aca="false">IF(Q114="No","IV only (no ID, IM or SC route)",IF(AND(AE114&gt;0,AF114=0),"Price ≤ USD 5",""))</f>
        <v/>
      </c>
      <c r="I114" s="18" t="n">
        <f aca="false">IF(AF114&gt;0,ROUND(AVERAGEIFS('Shortlisted Drugs X Company (7)'!$N$3:$N$698,'Shortlisted Drugs X Company (7)'!$C$3:$C$698,$B114,'Shortlisted Drugs X Company (7)'!$E$3:$E$698,$AA114,'Shortlisted Drugs X Company (7)'!$N$3:$N$698,"&gt;5"),2),"")</f>
        <v>127.38</v>
      </c>
      <c r="J114" s="17" t="str">
        <f aca="false">IF(COUNTIFS('Shortlisted Drugs X Company (7)'!$C$3:$C$698,$B114,'Shortlisted Drugs X Company (7)'!$E$3:$E$698,$AA114,'Shortlisted Drugs X Company (7)'!$P$3:$P$698,"Exact")&gt;0,"Exact",IF(COUNTIFS('Shortlisted Drugs X Company (7)'!$C$3:$C$698,$B114,'Shortlisted Drugs X Company (7)'!$E$3:$E$698,$AA114,'Shortlisted Drugs X Company (7)'!$P$3:$P$698,"Same-market proxy")&gt;0,"Same-market proxy",IF(COUNTIFS('Shortlisted Drugs X Company (7)'!$C$3:$C$698,$B114,'Shortlisted Drugs X Company (7)'!$E$3:$E$698,$AA114,'Shortlisted Drugs X Company (7)'!$P$3:$P$698,"Cross-market proxy")&gt;0,"Cross-market proxy",IF(COUNTIFS('Shortlisted Drugs X Company (7)'!$C$3:$C$698,$B114,'Shortlisted Drugs X Company (7)'!$E$3:$E$698,$AA114,'Shortlisted Drugs X Company (7)'!$P$3:$P$698,"Source not found")&gt;0,"Source not found","No price found"))))</f>
        <v>Same-market proxy</v>
      </c>
      <c r="K114" s="19" t="n">
        <f aca="false">IFERROR(INDEX('Injectable Value'!$AB$28:$AB$178,MATCH(B114,'Injectable Value'!$A$28:$A$178,0)),"")</f>
        <v>156</v>
      </c>
      <c r="L114" s="77" t="n">
        <f aca="false">IFERROR(INDEX('Injectable Value'!$Z$28:$Z$178,MATCH(B114,'Injectable Value'!$A$28:$A$178,0)),"")</f>
        <v>0.916666666666667</v>
      </c>
      <c r="M114" s="19" t="n">
        <f aca="false">IFERROR(INDEX('Injectable Value'!$AC$28:$AC$178,MATCH(B114,'Injectable Value'!$A$28:$A$178,0)),"")</f>
        <v>143</v>
      </c>
      <c r="N114" s="19" t="n">
        <f aca="false">IFERROR(INDEX('Injectable Value'!$C$28:$C$178,MATCH(B114,'Injectable Value'!$A$28:$A$178,0)),"")</f>
        <v>3954.83</v>
      </c>
      <c r="O114" s="19" t="n">
        <f aca="false">IFERROR(ROUND(INDEX('Injectable Value'!$AA$28:$AA$178,MATCH(B114,'Injectable Value'!$A$28:$A$178,0)),1),"")</f>
        <v>3625.3</v>
      </c>
      <c r="P114" s="16" t="str">
        <f aca="false">IFERROR(INDEX('Route of Administration'!$C$5:$C$155,MATCH(B114,'Route of Administration'!$A$5:$A$155,0)),"")</f>
        <v>IM</v>
      </c>
      <c r="Q114" s="15" t="str">
        <f aca="false">IFERROR(INDEX('Route of Administration'!$D$5:$D$155,MATCH(B114,'Route of Administration'!$A$5:$A$155,0)),"")</f>
        <v>Yes</v>
      </c>
      <c r="R114" s="16" t="s">
        <v>473</v>
      </c>
      <c r="S114" s="17" t="s">
        <v>709</v>
      </c>
      <c r="T114" s="16" t="s">
        <v>283</v>
      </c>
      <c r="U114" s="17" t="str">
        <f aca="false">""&amp;IF(AE114=0,"No price found","")&amp;IF(AND(AE114&gt;0,AF114=0,AG114=0),"Low price comes from another market – confirm with the company","")</f>
        <v/>
      </c>
      <c r="V114" s="17" t="s">
        <v>284</v>
      </c>
      <c r="W114" s="15" t="n">
        <v>2</v>
      </c>
      <c r="X114" s="17" t="s">
        <v>635</v>
      </c>
      <c r="Y114" s="17" t="s">
        <v>635</v>
      </c>
      <c r="Z114" s="17" t="s">
        <v>286</v>
      </c>
      <c r="AA114" s="16" t="s">
        <v>698</v>
      </c>
      <c r="AB114" s="78" t="s">
        <v>288</v>
      </c>
      <c r="AC114" s="20" t="n">
        <f aca="false">IF(AE114&gt;0,ROUND(AVERAGEIFS('Shortlisted Drugs X Company (7)'!$N$3:$N$698,'Shortlisted Drugs X Company (7)'!$C$3:$C$698,$B114,'Shortlisted Drugs X Company (7)'!$E$3:$E$698,$AA114,'Shortlisted Drugs X Company (7)'!$N$3:$N$698,"&gt;=0"),2),"")</f>
        <v>127.38</v>
      </c>
      <c r="AD114" s="79" t="str">
        <f aca="false">B114&amp;"|"&amp;AA114</f>
        <v>Carboprost|Dr. Reddy's Laboratories</v>
      </c>
      <c r="AE114" s="22" t="n">
        <f aca="false">COUNTIFS('Shortlisted Drugs X Company (7)'!$C$3:$C$698,$B114,'Shortlisted Drugs X Company (7)'!$E$3:$E$698,$AA114,'Shortlisted Drugs X Company (7)'!$N$3:$N$698,"&gt;=0")</f>
        <v>2</v>
      </c>
      <c r="AF114" s="22" t="n">
        <f aca="false">COUNTIFS('Shortlisted Drugs X Company (7)'!$C$3:$C$698,$B114,'Shortlisted Drugs X Company (7)'!$E$3:$E$698,$AA114,'Shortlisted Drugs X Company (7)'!$N$3:$N$698,"&gt;5")</f>
        <v>2</v>
      </c>
      <c r="AG114" s="22" t="n">
        <f aca="false">COUNTIFS('Shortlisted Drugs X Company (7)'!$C$3:$C$698,$B114,'Shortlisted Drugs X Company (7)'!$E$3:$E$698,$AA114,'Shortlisted Drugs X Company (7)'!$P$3:$P$698,"Exact")+COUNTIFS('Shortlisted Drugs X Company (7)'!$C$3:$C$698,$B114,'Shortlisted Drugs X Company (7)'!$E$3:$E$698,$AA114,'Shortlisted Drugs X Company (7)'!$P$3:$P$698,"Same-market proxy")</f>
        <v>2</v>
      </c>
      <c r="AH114" s="22" t="n">
        <f aca="false">INDEX($G$7:$G$25,MATCH(A114,$A$7:$A$25,0))</f>
        <v>3</v>
      </c>
      <c r="AI114" s="79" t="n">
        <f aca="false">IF(OR(Q114="No",LEFT(H114,7)="IV only"),"",AH114*1000+IF(F114="",900+COUNTIFS($A$29:A114,A114,$H$29:H114,"Price*"),F114))</f>
        <v>3006</v>
      </c>
      <c r="AJ114" s="79" t="n">
        <f aca="false">IF(H114&lt;&gt;"","",(4-VALUE(RIGHT(E114,1)))*10^7+N(O114))</f>
        <v>20003625.3</v>
      </c>
      <c r="AK114" s="20" t="n">
        <f aca="false">IF(AND(H114="",ISNUMBER(I114)),I114,"")</f>
        <v>127.38</v>
      </c>
      <c r="AL114" s="21" t="n">
        <f aca="false">IF(H114="",M114,"")</f>
        <v>143</v>
      </c>
    </row>
    <row r="115" customFormat="false" ht="41.75" hidden="false" customHeight="false" outlineLevel="0" collapsed="false">
      <c r="A115" s="16" t="s">
        <v>231</v>
      </c>
      <c r="B115" s="16" t="s">
        <v>380</v>
      </c>
      <c r="C115" s="17" t="s">
        <v>710</v>
      </c>
      <c r="D115" s="17" t="s">
        <v>381</v>
      </c>
      <c r="E115" s="15" t="str">
        <f aca="false">IF(H115&lt;&gt;"",IF(LEFT(H115,5)="Price","Excluded – price ≤ USD 5","Excluded – IV only"),IF(ISNUMBER(I115),IF(AND(I115&gt;=$C$3,M115&gt;=$E$3),"Priority 1",IF(OR(I115&gt;=$C$3,M115&gt;=$E$3),"Priority 2","Priority 3")),IF(M115&gt;=$E$3,"Priority 2","Priority 3")))</f>
        <v>Excluded – IV only</v>
      </c>
      <c r="F115" s="15" t="str">
        <f aca="false">IF(H115&lt;&gt;"","",COUNTIFS($A$29:$A$361,A115,$H$29:$H$361,"",$AJ$29:$AJ$361,"&gt;"&amp;AJ115)+COUNTIFS($A$29:A115,A115,$H$29:H115,"",$AJ$29:AJ115,AJ115))</f>
        <v/>
      </c>
      <c r="G115" s="17" t="str">
        <f aca="false">IF(H115&lt;&gt;"","",IF(ISNUMBER(I115),IF(I115&gt;=$C$3,"High price","Lower price"),"No price")&amp;", "&amp;IF(M115&gt;=$E$3,"high volume","lower volume"))</f>
        <v/>
      </c>
      <c r="H115" s="17" t="str">
        <f aca="false">IF(Q115="No","IV only (no ID, IM or SC route)",IF(AND(AE115&gt;0,AF115=0),"Price ≤ USD 5",""))</f>
        <v>IV only (no ID, IM or SC route)</v>
      </c>
      <c r="I115" s="18" t="n">
        <f aca="false">IF(AF115&gt;0,ROUND(AVERAGEIFS('Shortlisted Drugs X Company (7)'!$N$3:$N$698,'Shortlisted Drugs X Company (7)'!$C$3:$C$698,$B115,'Shortlisted Drugs X Company (7)'!$E$3:$E$698,$AA115,'Shortlisted Drugs X Company (7)'!$N$3:$N$698,"&gt;5"),2),"")</f>
        <v>234.04</v>
      </c>
      <c r="J115" s="17" t="str">
        <f aca="false">IF(COUNTIFS('Shortlisted Drugs X Company (7)'!$C$3:$C$698,$B115,'Shortlisted Drugs X Company (7)'!$E$3:$E$698,$AA115,'Shortlisted Drugs X Company (7)'!$P$3:$P$698,"Exact")&gt;0,"Exact",IF(COUNTIFS('Shortlisted Drugs X Company (7)'!$C$3:$C$698,$B115,'Shortlisted Drugs X Company (7)'!$E$3:$E$698,$AA115,'Shortlisted Drugs X Company (7)'!$P$3:$P$698,"Same-market proxy")&gt;0,"Same-market proxy",IF(COUNTIFS('Shortlisted Drugs X Company (7)'!$C$3:$C$698,$B115,'Shortlisted Drugs X Company (7)'!$E$3:$E$698,$AA115,'Shortlisted Drugs X Company (7)'!$P$3:$P$698,"Cross-market proxy")&gt;0,"Cross-market proxy",IF(COUNTIFS('Shortlisted Drugs X Company (7)'!$C$3:$C$698,$B115,'Shortlisted Drugs X Company (7)'!$E$3:$E$698,$AA115,'Shortlisted Drugs X Company (7)'!$P$3:$P$698,"Source not found")&gt;0,"Source not found","No price found"))))</f>
        <v>Exact</v>
      </c>
      <c r="K115" s="19" t="n">
        <f aca="false">IFERROR(INDEX('Injectable Value'!$AB$28:$AB$178,MATCH(B115,'Injectable Value'!$A$28:$A$178,0)),"")</f>
        <v>843</v>
      </c>
      <c r="L115" s="77" t="n">
        <f aca="false">IFERROR(INDEX('Injectable Value'!$Z$28:$Z$178,MATCH(B115,'Injectable Value'!$A$28:$A$178,0)),"")</f>
        <v>0.858739397335643</v>
      </c>
      <c r="M115" s="19" t="n">
        <f aca="false">IFERROR(INDEX('Injectable Value'!$AC$28:$AC$178,MATCH(B115,'Injectable Value'!$A$28:$A$178,0)),"")</f>
        <v>724</v>
      </c>
      <c r="N115" s="19" t="n">
        <f aca="false">IFERROR(INDEX('Injectable Value'!$C$28:$C$178,MATCH(B115,'Injectable Value'!$A$28:$A$178,0)),"")</f>
        <v>4508</v>
      </c>
      <c r="O115" s="19" t="n">
        <f aca="false">IFERROR(ROUND(INDEX('Injectable Value'!$AA$28:$AA$178,MATCH(B115,'Injectable Value'!$A$28:$A$178,0)),1),"")</f>
        <v>3871.2</v>
      </c>
      <c r="P115" s="16" t="str">
        <f aca="false">IFERROR(INDEX('Route of Administration'!$C$5:$C$155,MATCH(B115,'Route of Administration'!$A$5:$A$155,0)),"")</f>
        <v>IV</v>
      </c>
      <c r="Q115" s="15" t="str">
        <f aca="false">IFERROR(INDEX('Route of Administration'!$D$5:$D$155,MATCH(B115,'Route of Administration'!$A$5:$A$155,0)),"")</f>
        <v>No</v>
      </c>
      <c r="R115" s="16" t="s">
        <v>281</v>
      </c>
      <c r="S115" s="17" t="s">
        <v>711</v>
      </c>
      <c r="T115" s="16" t="s">
        <v>283</v>
      </c>
      <c r="U115" s="17" t="str">
        <f aca="false">"Cancer drug (cytotoxic) – less relevant"&amp;IF(AE115=0,"; No price found","")&amp;IF(AND(AE115&gt;0,AF115=0,AG115=0),"; Low price comes from another market – confirm with the company","")</f>
        <v>Cancer drug (cytotoxic) – less relevant</v>
      </c>
      <c r="V115" s="17" t="s">
        <v>712</v>
      </c>
      <c r="W115" s="15" t="n">
        <v>5</v>
      </c>
      <c r="X115" s="17" t="s">
        <v>713</v>
      </c>
      <c r="Y115" s="17" t="s">
        <v>713</v>
      </c>
      <c r="Z115" s="17" t="s">
        <v>286</v>
      </c>
      <c r="AA115" s="16" t="s">
        <v>698</v>
      </c>
      <c r="AB115" s="78" t="s">
        <v>383</v>
      </c>
      <c r="AC115" s="20" t="n">
        <f aca="false">IF(AE115&gt;0,ROUND(AVERAGEIFS('Shortlisted Drugs X Company (7)'!$N$3:$N$698,'Shortlisted Drugs X Company (7)'!$C$3:$C$698,$B115,'Shortlisted Drugs X Company (7)'!$E$3:$E$698,$AA115,'Shortlisted Drugs X Company (7)'!$N$3:$N$698,"&gt;=0"),2),"")</f>
        <v>176.78</v>
      </c>
      <c r="AD115" s="79" t="str">
        <f aca="false">B115&amp;"|"&amp;AA115</f>
        <v>Cyclophosphamide|Dr. Reddy's Laboratories</v>
      </c>
      <c r="AE115" s="22" t="n">
        <f aca="false">COUNTIFS('Shortlisted Drugs X Company (7)'!$C$3:$C$698,$B115,'Shortlisted Drugs X Company (7)'!$E$3:$E$698,$AA115,'Shortlisted Drugs X Company (7)'!$N$3:$N$698,"&gt;=0")</f>
        <v>4</v>
      </c>
      <c r="AF115" s="22" t="n">
        <f aca="false">COUNTIFS('Shortlisted Drugs X Company (7)'!$C$3:$C$698,$B115,'Shortlisted Drugs X Company (7)'!$E$3:$E$698,$AA115,'Shortlisted Drugs X Company (7)'!$N$3:$N$698,"&gt;5")</f>
        <v>3</v>
      </c>
      <c r="AG115" s="22" t="n">
        <f aca="false">COUNTIFS('Shortlisted Drugs X Company (7)'!$C$3:$C$698,$B115,'Shortlisted Drugs X Company (7)'!$E$3:$E$698,$AA115,'Shortlisted Drugs X Company (7)'!$P$3:$P$698,"Exact")+COUNTIFS('Shortlisted Drugs X Company (7)'!$C$3:$C$698,$B115,'Shortlisted Drugs X Company (7)'!$E$3:$E$698,$AA115,'Shortlisted Drugs X Company (7)'!$P$3:$P$698,"Same-market proxy")</f>
        <v>4</v>
      </c>
      <c r="AH115" s="22" t="n">
        <f aca="false">INDEX($G$7:$G$25,MATCH(A115,$A$7:$A$25,0))</f>
        <v>3</v>
      </c>
      <c r="AI115" s="79" t="str">
        <f aca="false">IF(OR(Q115="No",LEFT(H115,7)="IV only"),"",AH115*1000+IF(F115="",900+COUNTIFS($A$29:A115,A115,$H$29:H115,"Price*"),F115))</f>
        <v/>
      </c>
      <c r="AJ115" s="79" t="str">
        <f aca="false">IF(H115&lt;&gt;"","",(4-VALUE(RIGHT(E115,1)))*10^7+N(O115))</f>
        <v/>
      </c>
      <c r="AK115" s="79" t="str">
        <f aca="false">IF(AND(H115="",ISNUMBER(I115)),I115,"")</f>
        <v/>
      </c>
      <c r="AL115" s="79" t="str">
        <f aca="false">IF(H115="",M115,"")</f>
        <v/>
      </c>
    </row>
    <row r="116" customFormat="false" ht="41.75" hidden="false" customHeight="false" outlineLevel="0" collapsed="false">
      <c r="A116" s="16" t="s">
        <v>231</v>
      </c>
      <c r="B116" s="16" t="s">
        <v>388</v>
      </c>
      <c r="C116" s="17" t="s">
        <v>714</v>
      </c>
      <c r="D116" s="17" t="s">
        <v>390</v>
      </c>
      <c r="E116" s="15" t="str">
        <f aca="false">IF(H116&lt;&gt;"",IF(LEFT(H116,5)="Price","Excluded – price ≤ USD 5","Excluded – IV only"),IF(ISNUMBER(I116),IF(AND(I116&gt;=$C$3,M116&gt;=$E$3),"Priority 1",IF(OR(I116&gt;=$C$3,M116&gt;=$E$3),"Priority 2","Priority 3")),IF(M116&gt;=$E$3,"Priority 2","Priority 3")))</f>
        <v>Excluded – IV only</v>
      </c>
      <c r="F116" s="15" t="str">
        <f aca="false">IF(H116&lt;&gt;"","",COUNTIFS($A$29:$A$361,A116,$H$29:$H$361,"",$AJ$29:$AJ$361,"&gt;"&amp;AJ116)+COUNTIFS($A$29:A116,A116,$H$29:H116,"",$AJ$29:AJ116,AJ116))</f>
        <v/>
      </c>
      <c r="G116" s="17" t="str">
        <f aca="false">IF(H116&lt;&gt;"","",IF(ISNUMBER(I116),IF(I116&gt;=$C$3,"High price","Lower price"),"No price")&amp;", "&amp;IF(M116&gt;=$E$3,"high volume","lower volume"))</f>
        <v/>
      </c>
      <c r="H116" s="17" t="str">
        <f aca="false">IF(Q116="No","IV only (no ID, IM or SC route)",IF(AND(AE116&gt;0,AF116=0),"Price ≤ USD 5",""))</f>
        <v>IV only (no ID, IM or SC route)</v>
      </c>
      <c r="I116" s="18" t="n">
        <f aca="false">IF(AF116&gt;0,ROUND(AVERAGEIFS('Shortlisted Drugs X Company (7)'!$N$3:$N$698,'Shortlisted Drugs X Company (7)'!$C$3:$C$698,$B116,'Shortlisted Drugs X Company (7)'!$E$3:$E$698,$AA116,'Shortlisted Drugs X Company (7)'!$N$3:$N$698,"&gt;5"),2),"")</f>
        <v>98.68</v>
      </c>
      <c r="J116" s="17" t="str">
        <f aca="false">IF(COUNTIFS('Shortlisted Drugs X Company (7)'!$C$3:$C$698,$B116,'Shortlisted Drugs X Company (7)'!$E$3:$E$698,$AA116,'Shortlisted Drugs X Company (7)'!$P$3:$P$698,"Exact")&gt;0,"Exact",IF(COUNTIFS('Shortlisted Drugs X Company (7)'!$C$3:$C$698,$B116,'Shortlisted Drugs X Company (7)'!$E$3:$E$698,$AA116,'Shortlisted Drugs X Company (7)'!$P$3:$P$698,"Same-market proxy")&gt;0,"Same-market proxy",IF(COUNTIFS('Shortlisted Drugs X Company (7)'!$C$3:$C$698,$B116,'Shortlisted Drugs X Company (7)'!$E$3:$E$698,$AA116,'Shortlisted Drugs X Company (7)'!$P$3:$P$698,"Cross-market proxy")&gt;0,"Cross-market proxy",IF(COUNTIFS('Shortlisted Drugs X Company (7)'!$C$3:$C$698,$B116,'Shortlisted Drugs X Company (7)'!$E$3:$E$698,$AA116,'Shortlisted Drugs X Company (7)'!$P$3:$P$698,"Source not found")&gt;0,"Source not found","No price found"))))</f>
        <v>Exact</v>
      </c>
      <c r="K116" s="19" t="n">
        <f aca="false">IFERROR(INDEX('Injectable Value'!$AB$28:$AB$178,MATCH(B116,'Injectable Value'!$A$28:$A$178,0)),"")</f>
        <v>312</v>
      </c>
      <c r="L116" s="77" t="n">
        <f aca="false">IFERROR(INDEX('Injectable Value'!$Z$28:$Z$178,MATCH(B116,'Injectable Value'!$A$28:$A$178,0)),"")</f>
        <v>1</v>
      </c>
      <c r="M116" s="19" t="n">
        <f aca="false">IFERROR(INDEX('Injectable Value'!$AC$28:$AC$178,MATCH(B116,'Injectable Value'!$A$28:$A$178,0)),"")</f>
        <v>312</v>
      </c>
      <c r="N116" s="19" t="n">
        <f aca="false">IFERROR(INDEX('Injectable Value'!$C$28:$C$178,MATCH(B116,'Injectable Value'!$A$28:$A$178,0)),"")</f>
        <v>59827.18</v>
      </c>
      <c r="O116" s="19" t="n">
        <f aca="false">IFERROR(ROUND(INDEX('Injectable Value'!$AA$28:$AA$178,MATCH(B116,'Injectable Value'!$A$28:$A$178,0)),1),"")</f>
        <v>59827.2</v>
      </c>
      <c r="P116" s="16" t="str">
        <f aca="false">IFERROR(INDEX('Route of Administration'!$C$5:$C$155,MATCH(B116,'Route of Administration'!$A$5:$A$155,0)),"")</f>
        <v>IV</v>
      </c>
      <c r="Q116" s="15" t="str">
        <f aca="false">IFERROR(INDEX('Route of Administration'!$D$5:$D$155,MATCH(B116,'Route of Administration'!$A$5:$A$155,0)),"")</f>
        <v>No</v>
      </c>
      <c r="R116" s="16" t="s">
        <v>281</v>
      </c>
      <c r="S116" s="17" t="s">
        <v>715</v>
      </c>
      <c r="T116" s="16" t="s">
        <v>333</v>
      </c>
      <c r="U116" s="17" t="str">
        <f aca="false">"Reconstitution"&amp;IF(AE116=0,"; No price found","")&amp;IF(AND(AE116&gt;0,AF116=0,AG116=0),"; Low price comes from another market – confirm with the company","")</f>
        <v>Reconstitution</v>
      </c>
      <c r="V116" s="17" t="s">
        <v>716</v>
      </c>
      <c r="W116" s="15" t="n">
        <v>15</v>
      </c>
      <c r="X116" s="17" t="s">
        <v>717</v>
      </c>
      <c r="Y116" s="17" t="s">
        <v>718</v>
      </c>
      <c r="Z116" s="17" t="s">
        <v>286</v>
      </c>
      <c r="AA116" s="16" t="s">
        <v>698</v>
      </c>
      <c r="AB116" s="78" t="s">
        <v>393</v>
      </c>
      <c r="AC116" s="20" t="n">
        <f aca="false">IF(AE116&gt;0,ROUND(AVERAGEIFS('Shortlisted Drugs X Company (7)'!$N$3:$N$698,'Shortlisted Drugs X Company (7)'!$C$3:$C$698,$B116,'Shortlisted Drugs X Company (7)'!$E$3:$E$698,$AA116,'Shortlisted Drugs X Company (7)'!$N$3:$N$698,"&gt;=0"),2),"")</f>
        <v>98.68</v>
      </c>
      <c r="AD116" s="79" t="str">
        <f aca="false">B116&amp;"|"&amp;AA116</f>
        <v>Daptomycin|Dr. Reddy's Laboratories</v>
      </c>
      <c r="AE116" s="22" t="n">
        <f aca="false">COUNTIFS('Shortlisted Drugs X Company (7)'!$C$3:$C$698,$B116,'Shortlisted Drugs X Company (7)'!$E$3:$E$698,$AA116,'Shortlisted Drugs X Company (7)'!$N$3:$N$698,"&gt;=0")</f>
        <v>3</v>
      </c>
      <c r="AF116" s="22" t="n">
        <f aca="false">COUNTIFS('Shortlisted Drugs X Company (7)'!$C$3:$C$698,$B116,'Shortlisted Drugs X Company (7)'!$E$3:$E$698,$AA116,'Shortlisted Drugs X Company (7)'!$N$3:$N$698,"&gt;5")</f>
        <v>3</v>
      </c>
      <c r="AG116" s="22" t="n">
        <f aca="false">COUNTIFS('Shortlisted Drugs X Company (7)'!$C$3:$C$698,$B116,'Shortlisted Drugs X Company (7)'!$E$3:$E$698,$AA116,'Shortlisted Drugs X Company (7)'!$P$3:$P$698,"Exact")+COUNTIFS('Shortlisted Drugs X Company (7)'!$C$3:$C$698,$B116,'Shortlisted Drugs X Company (7)'!$E$3:$E$698,$AA116,'Shortlisted Drugs X Company (7)'!$P$3:$P$698,"Same-market proxy")</f>
        <v>2</v>
      </c>
      <c r="AH116" s="22" t="n">
        <f aca="false">INDEX($G$7:$G$25,MATCH(A116,$A$7:$A$25,0))</f>
        <v>3</v>
      </c>
      <c r="AI116" s="79" t="str">
        <f aca="false">IF(OR(Q116="No",LEFT(H116,7)="IV only"),"",AH116*1000+IF(F116="",900+COUNTIFS($A$29:A116,A116,$H$29:H116,"Price*"),F116))</f>
        <v/>
      </c>
      <c r="AJ116" s="79" t="str">
        <f aca="false">IF(H116&lt;&gt;"","",(4-VALUE(RIGHT(E116,1)))*10^7+N(O116))</f>
        <v/>
      </c>
      <c r="AK116" s="79" t="str">
        <f aca="false">IF(AND(H116="",ISNUMBER(I116)),I116,"")</f>
        <v/>
      </c>
      <c r="AL116" s="79" t="str">
        <f aca="false">IF(H116="",M116,"")</f>
        <v/>
      </c>
    </row>
    <row r="117" customFormat="false" ht="41.75" hidden="false" customHeight="false" outlineLevel="0" collapsed="false">
      <c r="A117" s="16" t="s">
        <v>231</v>
      </c>
      <c r="B117" s="16" t="s">
        <v>719</v>
      </c>
      <c r="C117" s="17" t="s">
        <v>720</v>
      </c>
      <c r="D117" s="17" t="s">
        <v>721</v>
      </c>
      <c r="E117" s="15" t="str">
        <f aca="false">IF(H117&lt;&gt;"",IF(LEFT(H117,5)="Price","Excluded – price ≤ USD 5","Excluded – IV only"),IF(ISNUMBER(I117),IF(AND(I117&gt;=$C$3,M117&gt;=$E$3),"Priority 1",IF(OR(I117&gt;=$C$3,M117&gt;=$E$3),"Priority 2","Priority 3")),IF(M117&gt;=$E$3,"Priority 2","Priority 3")))</f>
        <v>Priority 2</v>
      </c>
      <c r="F117" s="15" t="n">
        <f aca="false">IF(H117&lt;&gt;"","",COUNTIFS($A$29:$A$361,A117,$H$29:$H$361,"",$AJ$29:$AJ$361,"&gt;"&amp;AJ117)+COUNTIFS($A$29:A117,A117,$H$29:H117,"",$AJ$29:AJ117,AJ117))</f>
        <v>8</v>
      </c>
      <c r="G117" s="17" t="str">
        <f aca="false">IF(H117&lt;&gt;"","",IF(ISNUMBER(I117),IF(I117&gt;=$C$3,"High price","Lower price"),"No price")&amp;", "&amp;IF(M117&gt;=$E$3,"high volume","lower volume"))</f>
        <v>High price, lower volume</v>
      </c>
      <c r="H117" s="17" t="str">
        <f aca="false">IF(Q117="No","IV only (no ID, IM or SC route)",IF(AND(AE117&gt;0,AF117=0),"Price ≤ USD 5",""))</f>
        <v/>
      </c>
      <c r="I117" s="18" t="n">
        <f aca="false">IF(AF117&gt;0,ROUND(AVERAGEIFS('Shortlisted Drugs X Company (7)'!$N$3:$N$698,'Shortlisted Drugs X Company (7)'!$C$3:$C$698,$B117,'Shortlisted Drugs X Company (7)'!$E$3:$E$698,$AA117,'Shortlisted Drugs X Company (7)'!$N$3:$N$698,"&gt;5"),2),"")</f>
        <v>133.8</v>
      </c>
      <c r="J117" s="17" t="str">
        <f aca="false">IF(COUNTIFS('Shortlisted Drugs X Company (7)'!$C$3:$C$698,$B117,'Shortlisted Drugs X Company (7)'!$E$3:$E$698,$AA117,'Shortlisted Drugs X Company (7)'!$P$3:$P$698,"Exact")&gt;0,"Exact",IF(COUNTIFS('Shortlisted Drugs X Company (7)'!$C$3:$C$698,$B117,'Shortlisted Drugs X Company (7)'!$E$3:$E$698,$AA117,'Shortlisted Drugs X Company (7)'!$P$3:$P$698,"Same-market proxy")&gt;0,"Same-market proxy",IF(COUNTIFS('Shortlisted Drugs X Company (7)'!$C$3:$C$698,$B117,'Shortlisted Drugs X Company (7)'!$E$3:$E$698,$AA117,'Shortlisted Drugs X Company (7)'!$P$3:$P$698,"Cross-market proxy")&gt;0,"Cross-market proxy",IF(COUNTIFS('Shortlisted Drugs X Company (7)'!$C$3:$C$698,$B117,'Shortlisted Drugs X Company (7)'!$E$3:$E$698,$AA117,'Shortlisted Drugs X Company (7)'!$P$3:$P$698,"Source not found")&gt;0,"Source not found","No price found"))))</f>
        <v>Same-market proxy</v>
      </c>
      <c r="K117" s="19" t="n">
        <f aca="false">IFERROR(INDEX('Injectable Value'!$AB$28:$AB$178,MATCH(B117,'Injectable Value'!$A$28:$A$178,0)),"")</f>
        <v>209</v>
      </c>
      <c r="L117" s="77" t="n">
        <f aca="false">IFERROR(INDEX('Injectable Value'!$Z$28:$Z$178,MATCH(B117,'Injectable Value'!$A$28:$A$178,0)),"")</f>
        <v>0.192047803841401</v>
      </c>
      <c r="M117" s="19" t="n">
        <f aca="false">IFERROR(INDEX('Injectable Value'!$AC$28:$AC$178,MATCH(B117,'Injectable Value'!$A$28:$A$178,0)),"")</f>
        <v>40</v>
      </c>
      <c r="N117" s="19" t="n">
        <f aca="false">IFERROR(INDEX('Injectable Value'!$C$28:$C$178,MATCH(B117,'Injectable Value'!$A$28:$A$178,0)),"")</f>
        <v>2827.35</v>
      </c>
      <c r="O117" s="19" t="n">
        <f aca="false">IFERROR(ROUND(INDEX('Injectable Value'!$AA$28:$AA$178,MATCH(B117,'Injectable Value'!$A$28:$A$178,0)),1),"")</f>
        <v>543</v>
      </c>
      <c r="P117" s="16" t="str">
        <f aca="false">IFERROR(INDEX('Route of Administration'!$C$5:$C$155,MATCH(B117,'Route of Administration'!$A$5:$A$155,0)),"")</f>
        <v>IV, SC</v>
      </c>
      <c r="Q117" s="15" t="str">
        <f aca="false">IFERROR(INDEX('Route of Administration'!$D$5:$D$155,MATCH(B117,'Route of Administration'!$A$5:$A$155,0)),"")</f>
        <v>Yes</v>
      </c>
      <c r="R117" s="16" t="s">
        <v>281</v>
      </c>
      <c r="S117" s="17" t="s">
        <v>722</v>
      </c>
      <c r="T117" s="16" t="s">
        <v>283</v>
      </c>
      <c r="U117" s="17" t="str">
        <f aca="false">""&amp;IF(AE117=0,"No price found","")&amp;IF(AND(AE117&gt;0,AF117=0,AG117=0),"Low price comes from another market – confirm with the company","")</f>
        <v/>
      </c>
      <c r="V117" s="17" t="s">
        <v>284</v>
      </c>
      <c r="W117" s="15" t="n">
        <v>1</v>
      </c>
      <c r="X117" s="17" t="s">
        <v>284</v>
      </c>
      <c r="Y117" s="17" t="s">
        <v>284</v>
      </c>
      <c r="Z117" s="17" t="s">
        <v>321</v>
      </c>
      <c r="AA117" s="16" t="s">
        <v>698</v>
      </c>
      <c r="AB117" s="78" t="s">
        <v>723</v>
      </c>
      <c r="AC117" s="20" t="n">
        <f aca="false">IF(AE117&gt;0,ROUND(AVERAGEIFS('Shortlisted Drugs X Company (7)'!$N$3:$N$698,'Shortlisted Drugs X Company (7)'!$C$3:$C$698,$B117,'Shortlisted Drugs X Company (7)'!$E$3:$E$698,$AA117,'Shortlisted Drugs X Company (7)'!$N$3:$N$698,"&gt;=0"),2),"")</f>
        <v>133.8</v>
      </c>
      <c r="AD117" s="79" t="str">
        <f aca="false">B117&amp;"|"&amp;AA117</f>
        <v>Desmopressin|Dr. Reddy's Laboratories</v>
      </c>
      <c r="AE117" s="22" t="n">
        <f aca="false">COUNTIFS('Shortlisted Drugs X Company (7)'!$C$3:$C$698,$B117,'Shortlisted Drugs X Company (7)'!$E$3:$E$698,$AA117,'Shortlisted Drugs X Company (7)'!$N$3:$N$698,"&gt;=0")</f>
        <v>1</v>
      </c>
      <c r="AF117" s="22" t="n">
        <f aca="false">COUNTIFS('Shortlisted Drugs X Company (7)'!$C$3:$C$698,$B117,'Shortlisted Drugs X Company (7)'!$E$3:$E$698,$AA117,'Shortlisted Drugs X Company (7)'!$N$3:$N$698,"&gt;5")</f>
        <v>1</v>
      </c>
      <c r="AG117" s="22" t="n">
        <f aca="false">COUNTIFS('Shortlisted Drugs X Company (7)'!$C$3:$C$698,$B117,'Shortlisted Drugs X Company (7)'!$E$3:$E$698,$AA117,'Shortlisted Drugs X Company (7)'!$P$3:$P$698,"Exact")+COUNTIFS('Shortlisted Drugs X Company (7)'!$C$3:$C$698,$B117,'Shortlisted Drugs X Company (7)'!$E$3:$E$698,$AA117,'Shortlisted Drugs X Company (7)'!$P$3:$P$698,"Same-market proxy")</f>
        <v>1</v>
      </c>
      <c r="AH117" s="22" t="n">
        <f aca="false">INDEX($G$7:$G$25,MATCH(A117,$A$7:$A$25,0))</f>
        <v>3</v>
      </c>
      <c r="AI117" s="79" t="n">
        <f aca="false">IF(OR(Q117="No",LEFT(H117,7)="IV only"),"",AH117*1000+IF(F117="",900+COUNTIFS($A$29:A117,A117,$H$29:H117,"Price*"),F117))</f>
        <v>3008</v>
      </c>
      <c r="AJ117" s="79" t="n">
        <f aca="false">IF(H117&lt;&gt;"","",(4-VALUE(RIGHT(E117,1)))*10^7+N(O117))</f>
        <v>20000543</v>
      </c>
      <c r="AK117" s="20" t="n">
        <f aca="false">IF(AND(H117="",ISNUMBER(I117)),I117,"")</f>
        <v>133.8</v>
      </c>
      <c r="AL117" s="21" t="n">
        <f aca="false">IF(H117="",M117,"")</f>
        <v>40</v>
      </c>
    </row>
    <row r="118" customFormat="false" ht="41.75" hidden="false" customHeight="false" outlineLevel="0" collapsed="false">
      <c r="A118" s="16" t="s">
        <v>231</v>
      </c>
      <c r="B118" s="16" t="s">
        <v>289</v>
      </c>
      <c r="C118" s="17" t="s">
        <v>289</v>
      </c>
      <c r="D118" s="17" t="s">
        <v>290</v>
      </c>
      <c r="E118" s="15" t="str">
        <f aca="false">IF(H118&lt;&gt;"",IF(LEFT(H118,5)="Price","Excluded – price ≤ USD 5","Excluded – IV only"),IF(ISNUMBER(I118),IF(AND(I118&gt;=$C$3,M118&gt;=$E$3),"Priority 1",IF(OR(I118&gt;=$C$3,M118&gt;=$E$3),"Priority 2","Priority 3")),IF(M118&gt;=$E$3,"Priority 2","Priority 3")))</f>
        <v>Priority 3</v>
      </c>
      <c r="F118" s="15" t="n">
        <f aca="false">IF(H118&lt;&gt;"","",COUNTIFS($A$29:$A$361,A118,$H$29:$H$361,"",$AJ$29:$AJ$361,"&gt;"&amp;AJ118)+COUNTIFS($A$29:A118,A118,$H$29:H118,"",$AJ$29:AJ118,AJ118))</f>
        <v>11</v>
      </c>
      <c r="G118" s="17" t="str">
        <f aca="false">IF(H118&lt;&gt;"","",IF(ISNUMBER(I118),IF(I118&gt;=$C$3,"High price","Lower price"),"No price")&amp;", "&amp;IF(M118&gt;=$E$3,"high volume","lower volume"))</f>
        <v>Lower price, lower volume</v>
      </c>
      <c r="H118" s="17" t="str">
        <f aca="false">IF(Q118="No","IV only (no ID, IM or SC route)",IF(AND(AE118&gt;0,AF118=0),"Price ≤ USD 5",""))</f>
        <v/>
      </c>
      <c r="I118" s="18" t="n">
        <f aca="false">IF(AF118&gt;0,ROUND(AVERAGEIFS('Shortlisted Drugs X Company (7)'!$N$3:$N$698,'Shortlisted Drugs X Company (7)'!$C$3:$C$698,$B118,'Shortlisted Drugs X Company (7)'!$E$3:$E$698,$AA118,'Shortlisted Drugs X Company (7)'!$N$3:$N$698,"&gt;5"),2),"")</f>
        <v>10.14</v>
      </c>
      <c r="J118" s="17" t="str">
        <f aca="false">IF(COUNTIFS('Shortlisted Drugs X Company (7)'!$C$3:$C$698,$B118,'Shortlisted Drugs X Company (7)'!$E$3:$E$698,$AA118,'Shortlisted Drugs X Company (7)'!$P$3:$P$698,"Exact")&gt;0,"Exact",IF(COUNTIFS('Shortlisted Drugs X Company (7)'!$C$3:$C$698,$B118,'Shortlisted Drugs X Company (7)'!$E$3:$E$698,$AA118,'Shortlisted Drugs X Company (7)'!$P$3:$P$698,"Same-market proxy")&gt;0,"Same-market proxy",IF(COUNTIFS('Shortlisted Drugs X Company (7)'!$C$3:$C$698,$B118,'Shortlisted Drugs X Company (7)'!$E$3:$E$698,$AA118,'Shortlisted Drugs X Company (7)'!$P$3:$P$698,"Cross-market proxy")&gt;0,"Cross-market proxy",IF(COUNTIFS('Shortlisted Drugs X Company (7)'!$C$3:$C$698,$B118,'Shortlisted Drugs X Company (7)'!$E$3:$E$698,$AA118,'Shortlisted Drugs X Company (7)'!$P$3:$P$698,"Source not found")&gt;0,"Source not found","No price found"))))</f>
        <v>Same-market proxy</v>
      </c>
      <c r="K118" s="19" t="n">
        <f aca="false">IFERROR(INDEX('Injectable Value'!$AB$28:$AB$178,MATCH(B118,'Injectable Value'!$A$28:$A$178,0)),"")</f>
        <v>180</v>
      </c>
      <c r="L118" s="77" t="n">
        <f aca="false">IFERROR(INDEX('Injectable Value'!$Z$28:$Z$178,MATCH(B118,'Injectable Value'!$A$28:$A$178,0)),"")</f>
        <v>0.194998811159637</v>
      </c>
      <c r="M118" s="19" t="n">
        <f aca="false">IFERROR(INDEX('Injectable Value'!$AC$28:$AC$178,MATCH(B118,'Injectable Value'!$A$28:$A$178,0)),"")</f>
        <v>35</v>
      </c>
      <c r="N118" s="19" t="n">
        <f aca="false">IFERROR(INDEX('Injectable Value'!$C$28:$C$178,MATCH(B118,'Injectable Value'!$A$28:$A$178,0)),"")</f>
        <v>5403.25</v>
      </c>
      <c r="O118" s="19" t="n">
        <f aca="false">IFERROR(ROUND(INDEX('Injectable Value'!$AA$28:$AA$178,MATCH(B118,'Injectable Value'!$A$28:$A$178,0)),1),"")</f>
        <v>1053.6</v>
      </c>
      <c r="P118" s="16" t="str">
        <f aca="false">IFERROR(INDEX('Route of Administration'!$C$5:$C$155,MATCH(B118,'Route of Administration'!$A$5:$A$155,0)),"")</f>
        <v>IV, IM</v>
      </c>
      <c r="Q118" s="15" t="str">
        <f aca="false">IFERROR(INDEX('Route of Administration'!$D$5:$D$155,MATCH(B118,'Route of Administration'!$A$5:$A$155,0)),"")</f>
        <v>Yes</v>
      </c>
      <c r="R118" s="16" t="s">
        <v>291</v>
      </c>
      <c r="S118" s="17" t="s">
        <v>292</v>
      </c>
      <c r="T118" s="16" t="s">
        <v>283</v>
      </c>
      <c r="U118" s="17" t="str">
        <f aca="false">"Prefilled only"&amp;IF(AE118=0,"; No price found","")&amp;IF(AND(AE118&gt;0,AF118=0,AG118=0),"; Low price comes from another market – confirm with the company","")</f>
        <v>Prefilled only</v>
      </c>
      <c r="V118" s="17" t="s">
        <v>284</v>
      </c>
      <c r="W118" s="15" t="n">
        <v>1</v>
      </c>
      <c r="X118" s="17" t="s">
        <v>284</v>
      </c>
      <c r="Y118" s="17" t="s">
        <v>284</v>
      </c>
      <c r="Z118" s="17" t="s">
        <v>293</v>
      </c>
      <c r="AA118" s="16" t="s">
        <v>698</v>
      </c>
      <c r="AB118" s="78" t="s">
        <v>294</v>
      </c>
      <c r="AC118" s="20" t="n">
        <f aca="false">IF(AE118&gt;0,ROUND(AVERAGEIFS('Shortlisted Drugs X Company (7)'!$N$3:$N$698,'Shortlisted Drugs X Company (7)'!$C$3:$C$698,$B118,'Shortlisted Drugs X Company (7)'!$E$3:$E$698,$AA118,'Shortlisted Drugs X Company (7)'!$N$3:$N$698,"&gt;=0"),2),"")</f>
        <v>10.14</v>
      </c>
      <c r="AD118" s="79" t="str">
        <f aca="false">B118&amp;"|"&amp;AA118</f>
        <v>Diazepam|Dr. Reddy's Laboratories</v>
      </c>
      <c r="AE118" s="22" t="n">
        <f aca="false">COUNTIFS('Shortlisted Drugs X Company (7)'!$C$3:$C$698,$B118,'Shortlisted Drugs X Company (7)'!$E$3:$E$698,$AA118,'Shortlisted Drugs X Company (7)'!$N$3:$N$698,"&gt;=0")</f>
        <v>1</v>
      </c>
      <c r="AF118" s="22" t="n">
        <f aca="false">COUNTIFS('Shortlisted Drugs X Company (7)'!$C$3:$C$698,$B118,'Shortlisted Drugs X Company (7)'!$E$3:$E$698,$AA118,'Shortlisted Drugs X Company (7)'!$N$3:$N$698,"&gt;5")</f>
        <v>1</v>
      </c>
      <c r="AG118" s="22" t="n">
        <f aca="false">COUNTIFS('Shortlisted Drugs X Company (7)'!$C$3:$C$698,$B118,'Shortlisted Drugs X Company (7)'!$E$3:$E$698,$AA118,'Shortlisted Drugs X Company (7)'!$P$3:$P$698,"Exact")+COUNTIFS('Shortlisted Drugs X Company (7)'!$C$3:$C$698,$B118,'Shortlisted Drugs X Company (7)'!$E$3:$E$698,$AA118,'Shortlisted Drugs X Company (7)'!$P$3:$P$698,"Same-market proxy")</f>
        <v>1</v>
      </c>
      <c r="AH118" s="22" t="n">
        <f aca="false">INDEX($G$7:$G$25,MATCH(A118,$A$7:$A$25,0))</f>
        <v>3</v>
      </c>
      <c r="AI118" s="79" t="n">
        <f aca="false">IF(OR(Q118="No",LEFT(H118,7)="IV only"),"",AH118*1000+IF(F118="",900+COUNTIFS($A$29:A118,A118,$H$29:H118,"Price*"),F118))</f>
        <v>3011</v>
      </c>
      <c r="AJ118" s="79" t="n">
        <f aca="false">IF(H118&lt;&gt;"","",(4-VALUE(RIGHT(E118,1)))*10^7+N(O118))</f>
        <v>10001053.6</v>
      </c>
      <c r="AK118" s="20" t="n">
        <f aca="false">IF(AND(H118="",ISNUMBER(I118)),I118,"")</f>
        <v>10.14</v>
      </c>
      <c r="AL118" s="21" t="n">
        <f aca="false">IF(H118="",M118,"")</f>
        <v>35</v>
      </c>
    </row>
    <row r="119" customFormat="false" ht="68.65" hidden="false" customHeight="false" outlineLevel="0" collapsed="false">
      <c r="A119" s="16" t="s">
        <v>231</v>
      </c>
      <c r="B119" s="16" t="s">
        <v>401</v>
      </c>
      <c r="C119" s="17" t="s">
        <v>402</v>
      </c>
      <c r="D119" s="17" t="s">
        <v>403</v>
      </c>
      <c r="E119" s="15" t="str">
        <f aca="false">IF(H119&lt;&gt;"",IF(LEFT(H119,5)="Price","Excluded – price ≤ USD 5","Excluded – IV only"),IF(ISNUMBER(I119),IF(AND(I119&gt;=$C$3,M119&gt;=$E$3),"Priority 1",IF(OR(I119&gt;=$C$3,M119&gt;=$E$3),"Priority 2","Priority 3")),IF(M119&gt;=$E$3,"Priority 2","Priority 3")))</f>
        <v>Excluded – IV only</v>
      </c>
      <c r="F119" s="15" t="str">
        <f aca="false">IF(H119&lt;&gt;"","",COUNTIFS($A$29:$A$361,A119,$H$29:$H$361,"",$AJ$29:$AJ$361,"&gt;"&amp;AJ119)+COUNTIFS($A$29:A119,A119,$H$29:H119,"",$AJ$29:AJ119,AJ119))</f>
        <v/>
      </c>
      <c r="G119" s="17" t="str">
        <f aca="false">IF(H119&lt;&gt;"","",IF(ISNUMBER(I119),IF(I119&gt;=$C$3,"High price","Lower price"),"No price")&amp;", "&amp;IF(M119&gt;=$E$3,"high volume","lower volume"))</f>
        <v/>
      </c>
      <c r="H119" s="17" t="str">
        <f aca="false">IF(Q119="No","IV only (no ID, IM or SC route)","IV only – the company's product (see Route of Administration, step 2)")</f>
        <v>IV only – the company's product (see Route of Administration, step 2)</v>
      </c>
      <c r="I119" s="18" t="n">
        <f aca="false">IF(AF119&gt;0,ROUND(AVERAGEIFS('Shortlisted Drugs X Company (7)'!$N$3:$N$698,'Shortlisted Drugs X Company (7)'!$C$3:$C$698,$B119,'Shortlisted Drugs X Company (7)'!$E$3:$E$698,$AA119,'Shortlisted Drugs X Company (7)'!$N$3:$N$698,"&gt;5"),2),"")</f>
        <v>5.35</v>
      </c>
      <c r="J119" s="17" t="str">
        <f aca="false">IF(COUNTIFS('Shortlisted Drugs X Company (7)'!$C$3:$C$698,$B119,'Shortlisted Drugs X Company (7)'!$E$3:$E$698,$AA119,'Shortlisted Drugs X Company (7)'!$P$3:$P$698,"Exact")&gt;0,"Exact",IF(COUNTIFS('Shortlisted Drugs X Company (7)'!$C$3:$C$698,$B119,'Shortlisted Drugs X Company (7)'!$E$3:$E$698,$AA119,'Shortlisted Drugs X Company (7)'!$P$3:$P$698,"Same-market proxy")&gt;0,"Same-market proxy",IF(COUNTIFS('Shortlisted Drugs X Company (7)'!$C$3:$C$698,$B119,'Shortlisted Drugs X Company (7)'!$E$3:$E$698,$AA119,'Shortlisted Drugs X Company (7)'!$P$3:$P$698,"Cross-market proxy")&gt;0,"Cross-market proxy",IF(COUNTIFS('Shortlisted Drugs X Company (7)'!$C$3:$C$698,$B119,'Shortlisted Drugs X Company (7)'!$E$3:$E$698,$AA119,'Shortlisted Drugs X Company (7)'!$P$3:$P$698,"Source not found")&gt;0,"Source not found","No price found"))))</f>
        <v>Same-market proxy</v>
      </c>
      <c r="K119" s="19" t="n">
        <f aca="false">IFERROR(INDEX('Injectable Value'!$AB$28:$AB$178,MATCH(B119,'Injectable Value'!$A$28:$A$178,0)),"")</f>
        <v>78</v>
      </c>
      <c r="L119" s="77" t="n">
        <f aca="false">IFERROR(INDEX('Injectable Value'!$Z$28:$Z$178,MATCH(B119,'Injectable Value'!$A$28:$A$178,0)),"")</f>
        <v>0.623015352554995</v>
      </c>
      <c r="M119" s="19" t="n">
        <f aca="false">IFERROR(INDEX('Injectable Value'!$AC$28:$AC$178,MATCH(B119,'Injectable Value'!$A$28:$A$178,0)),"")</f>
        <v>49</v>
      </c>
      <c r="N119" s="19" t="n">
        <f aca="false">IFERROR(INDEX('Injectable Value'!$C$28:$C$178,MATCH(B119,'Injectable Value'!$A$28:$A$178,0)),"")</f>
        <v>4714.67</v>
      </c>
      <c r="O119" s="19" t="n">
        <f aca="false">IFERROR(ROUND(INDEX('Injectable Value'!$AA$28:$AA$178,MATCH(B119,'Injectable Value'!$A$28:$A$178,0)),1),"")</f>
        <v>2937.3</v>
      </c>
      <c r="P119" s="16" t="str">
        <f aca="false">IFERROR(INDEX('Route of Administration'!$C$5:$C$155,MATCH(B119,'Route of Administration'!$A$5:$A$155,0)),"")</f>
        <v>IV, IM, SC</v>
      </c>
      <c r="Q119" s="15" t="str">
        <f aca="false">IFERROR(INDEX('Route of Administration'!$D$5:$D$155,MATCH(B119,'Route of Administration'!$A$5:$A$155,0)),"")</f>
        <v>Yes</v>
      </c>
      <c r="R119" s="16" t="s">
        <v>281</v>
      </c>
      <c r="S119" s="17" t="s">
        <v>404</v>
      </c>
      <c r="T119" s="16" t="s">
        <v>283</v>
      </c>
      <c r="U119" s="17" t="str">
        <f aca="false">""&amp;IF(AE119=0,"No price found","")&amp;IF(AND(AE119&gt;0,AF119=0,AG119=0),"Low price comes from another market – confirm with the company","")</f>
        <v/>
      </c>
      <c r="V119" s="17" t="s">
        <v>284</v>
      </c>
      <c r="W119" s="15" t="n">
        <v>1</v>
      </c>
      <c r="X119" s="17" t="s">
        <v>284</v>
      </c>
      <c r="Y119" s="17" t="s">
        <v>284</v>
      </c>
      <c r="Z119" s="17" t="s">
        <v>286</v>
      </c>
      <c r="AA119" s="16" t="s">
        <v>698</v>
      </c>
      <c r="AB119" s="78" t="s">
        <v>407</v>
      </c>
      <c r="AC119" s="20" t="n">
        <f aca="false">IF(AE119&gt;0,ROUND(AVERAGEIFS('Shortlisted Drugs X Company (7)'!$N$3:$N$698,'Shortlisted Drugs X Company (7)'!$C$3:$C$698,$B119,'Shortlisted Drugs X Company (7)'!$E$3:$E$698,$AA119,'Shortlisted Drugs X Company (7)'!$N$3:$N$698,"&gt;=0"),2),"")</f>
        <v>5.35</v>
      </c>
      <c r="AD119" s="79" t="str">
        <f aca="false">B119&amp;"|"&amp;AA119</f>
        <v>Ephedrine|Dr. Reddy's Laboratories</v>
      </c>
      <c r="AE119" s="22" t="n">
        <f aca="false">COUNTIFS('Shortlisted Drugs X Company (7)'!$C$3:$C$698,$B119,'Shortlisted Drugs X Company (7)'!$E$3:$E$698,$AA119,'Shortlisted Drugs X Company (7)'!$N$3:$N$698,"&gt;=0")</f>
        <v>1</v>
      </c>
      <c r="AF119" s="22" t="n">
        <f aca="false">COUNTIFS('Shortlisted Drugs X Company (7)'!$C$3:$C$698,$B119,'Shortlisted Drugs X Company (7)'!$E$3:$E$698,$AA119,'Shortlisted Drugs X Company (7)'!$N$3:$N$698,"&gt;5")</f>
        <v>1</v>
      </c>
      <c r="AG119" s="22" t="n">
        <f aca="false">COUNTIFS('Shortlisted Drugs X Company (7)'!$C$3:$C$698,$B119,'Shortlisted Drugs X Company (7)'!$E$3:$E$698,$AA119,'Shortlisted Drugs X Company (7)'!$P$3:$P$698,"Exact")+COUNTIFS('Shortlisted Drugs X Company (7)'!$C$3:$C$698,$B119,'Shortlisted Drugs X Company (7)'!$E$3:$E$698,$AA119,'Shortlisted Drugs X Company (7)'!$P$3:$P$698,"Same-market proxy")</f>
        <v>1</v>
      </c>
      <c r="AH119" s="22" t="n">
        <f aca="false">INDEX($G$7:$G$25,MATCH(A119,$A$7:$A$25,0))</f>
        <v>3</v>
      </c>
      <c r="AI119" s="79" t="str">
        <f aca="false">IF(OR(Q119="No",LEFT(H119,7)="IV only"),"",AH119*1000+IF(F119="",900+COUNTIFS($A$29:A119,A119,$H$29:H119,"Price*"),F119))</f>
        <v/>
      </c>
      <c r="AJ119" s="79" t="str">
        <f aca="false">IF(H119&lt;&gt;"","",(4-VALUE(RIGHT(E119,1)))*10^7+N(O119))</f>
        <v/>
      </c>
      <c r="AK119" s="79" t="str">
        <f aca="false">IF(AND(H119="",ISNUMBER(I119)),I119,"")</f>
        <v/>
      </c>
      <c r="AL119" s="79" t="str">
        <f aca="false">IF(H119="",M119,"")</f>
        <v/>
      </c>
    </row>
    <row r="120" customFormat="false" ht="41.75" hidden="false" customHeight="false" outlineLevel="0" collapsed="false">
      <c r="A120" s="16" t="s">
        <v>231</v>
      </c>
      <c r="B120" s="16" t="s">
        <v>724</v>
      </c>
      <c r="C120" s="17" t="s">
        <v>725</v>
      </c>
      <c r="D120" s="17" t="s">
        <v>726</v>
      </c>
      <c r="E120" s="15" t="str">
        <f aca="false">IF(H120&lt;&gt;"",IF(LEFT(H120,5)="Price","Excluded – price ≤ USD 5","Excluded – IV only"),IF(ISNUMBER(I120),IF(AND(I120&gt;=$C$3,M120&gt;=$E$3),"Priority 1",IF(OR(I120&gt;=$C$3,M120&gt;=$E$3),"Priority 2","Priority 3")),IF(M120&gt;=$E$3,"Priority 2","Priority 3")))</f>
        <v>Excluded – IV only</v>
      </c>
      <c r="F120" s="15" t="str">
        <f aca="false">IF(H120&lt;&gt;"","",COUNTIFS($A$29:$A$361,A120,$H$29:$H$361,"",$AJ$29:$AJ$361,"&gt;"&amp;AJ120)+COUNTIFS($A$29:A120,A120,$H$29:H120,"",$AJ$29:AJ120,AJ120))</f>
        <v/>
      </c>
      <c r="G120" s="17" t="str">
        <f aca="false">IF(H120&lt;&gt;"","",IF(ISNUMBER(I120),IF(I120&gt;=$C$3,"High price","Lower price"),"No price")&amp;", "&amp;IF(M120&gt;=$E$3,"high volume","lower volume"))</f>
        <v/>
      </c>
      <c r="H120" s="17" t="str">
        <f aca="false">IF(Q120="No","IV only (no ID, IM or SC route)",IF(AND(AE120&gt;0,AF120=0),"Price ≤ USD 5",""))</f>
        <v>IV only (no ID, IM or SC route)</v>
      </c>
      <c r="I120" s="18" t="n">
        <f aca="false">IF(AF120&gt;0,ROUND(AVERAGEIFS('Shortlisted Drugs X Company (7)'!$N$3:$N$698,'Shortlisted Drugs X Company (7)'!$C$3:$C$698,$B120,'Shortlisted Drugs X Company (7)'!$E$3:$E$698,$AA120,'Shortlisted Drugs X Company (7)'!$N$3:$N$698,"&gt;5"),2),"")</f>
        <v>333.85</v>
      </c>
      <c r="J120" s="17" t="str">
        <f aca="false">IF(COUNTIFS('Shortlisted Drugs X Company (7)'!$C$3:$C$698,$B120,'Shortlisted Drugs X Company (7)'!$E$3:$E$698,$AA120,'Shortlisted Drugs X Company (7)'!$P$3:$P$698,"Exact")&gt;0,"Exact",IF(COUNTIFS('Shortlisted Drugs X Company (7)'!$C$3:$C$698,$B120,'Shortlisted Drugs X Company (7)'!$E$3:$E$698,$AA120,'Shortlisted Drugs X Company (7)'!$P$3:$P$698,"Same-market proxy")&gt;0,"Same-market proxy",IF(COUNTIFS('Shortlisted Drugs X Company (7)'!$C$3:$C$698,$B120,'Shortlisted Drugs X Company (7)'!$E$3:$E$698,$AA120,'Shortlisted Drugs X Company (7)'!$P$3:$P$698,"Cross-market proxy")&gt;0,"Cross-market proxy",IF(COUNTIFS('Shortlisted Drugs X Company (7)'!$C$3:$C$698,$B120,'Shortlisted Drugs X Company (7)'!$E$3:$E$698,$AA120,'Shortlisted Drugs X Company (7)'!$P$3:$P$698,"Source not found")&gt;0,"Source not found","No price found"))))</f>
        <v>Exact</v>
      </c>
      <c r="K120" s="19" t="n">
        <f aca="false">IFERROR(INDEX('Injectable Value'!$AB$28:$AB$178,MATCH(B120,'Injectable Value'!$A$28:$A$178,0)),"")</f>
        <v>42</v>
      </c>
      <c r="L120" s="77" t="n">
        <f aca="false">IFERROR(INDEX('Injectable Value'!$Z$28:$Z$178,MATCH(B120,'Injectable Value'!$A$28:$A$178,0)),"")</f>
        <v>1</v>
      </c>
      <c r="M120" s="19" t="n">
        <f aca="false">IFERROR(INDEX('Injectable Value'!$AC$28:$AC$178,MATCH(B120,'Injectable Value'!$A$28:$A$178,0)),"")</f>
        <v>42</v>
      </c>
      <c r="N120" s="19" t="n">
        <f aca="false">IFERROR(INDEX('Injectable Value'!$C$28:$C$178,MATCH(B120,'Injectable Value'!$A$28:$A$178,0)),"")</f>
        <v>1874.63</v>
      </c>
      <c r="O120" s="19" t="n">
        <f aca="false">IFERROR(ROUND(INDEX('Injectable Value'!$AA$28:$AA$178,MATCH(B120,'Injectable Value'!$A$28:$A$178,0)),1),"")</f>
        <v>1874.6</v>
      </c>
      <c r="P120" s="16" t="str">
        <f aca="false">IFERROR(INDEX('Route of Administration'!$C$5:$C$155,MATCH(B120,'Route of Administration'!$A$5:$A$155,0)),"")</f>
        <v>IV</v>
      </c>
      <c r="Q120" s="15" t="str">
        <f aca="false">IFERROR(INDEX('Route of Administration'!$D$5:$D$155,MATCH(B120,'Route of Administration'!$A$5:$A$155,0)),"")</f>
        <v>No</v>
      </c>
      <c r="R120" s="16" t="s">
        <v>281</v>
      </c>
      <c r="S120" s="17" t="s">
        <v>727</v>
      </c>
      <c r="T120" s="16" t="s">
        <v>283</v>
      </c>
      <c r="U120" s="17" t="str">
        <f aca="false">"Cancer drug (cytotoxic) – less relevant"&amp;IF(AE120=0,"; No price found","")&amp;IF(AND(AE120&gt;0,AF120=0,AG120=0),"; Low price comes from another market – confirm with the company","")</f>
        <v>Cancer drug (cytotoxic) – less relevant</v>
      </c>
      <c r="V120" s="17" t="s">
        <v>728</v>
      </c>
      <c r="W120" s="15" t="n">
        <v>8</v>
      </c>
      <c r="X120" s="17" t="s">
        <v>729</v>
      </c>
      <c r="Y120" s="17" t="s">
        <v>729</v>
      </c>
      <c r="Z120" s="17" t="s">
        <v>286</v>
      </c>
      <c r="AA120" s="16" t="s">
        <v>698</v>
      </c>
      <c r="AB120" s="78" t="s">
        <v>730</v>
      </c>
      <c r="AC120" s="20" t="n">
        <f aca="false">IF(AE120&gt;0,ROUND(AVERAGEIFS('Shortlisted Drugs X Company (7)'!$N$3:$N$698,'Shortlisted Drugs X Company (7)'!$C$3:$C$698,$B120,'Shortlisted Drugs X Company (7)'!$E$3:$E$698,$AA120,'Shortlisted Drugs X Company (7)'!$N$3:$N$698,"&gt;=0"),2),"")</f>
        <v>333.85</v>
      </c>
      <c r="AD120" s="79" t="str">
        <f aca="false">B120&amp;"|"&amp;AA120</f>
        <v>Eribulin|Dr. Reddy's Laboratories</v>
      </c>
      <c r="AE120" s="22" t="n">
        <f aca="false">COUNTIFS('Shortlisted Drugs X Company (7)'!$C$3:$C$698,$B120,'Shortlisted Drugs X Company (7)'!$E$3:$E$698,$AA120,'Shortlisted Drugs X Company (7)'!$N$3:$N$698,"&gt;=0")</f>
        <v>6</v>
      </c>
      <c r="AF120" s="22" t="n">
        <f aca="false">COUNTIFS('Shortlisted Drugs X Company (7)'!$C$3:$C$698,$B120,'Shortlisted Drugs X Company (7)'!$E$3:$E$698,$AA120,'Shortlisted Drugs X Company (7)'!$N$3:$N$698,"&gt;5")</f>
        <v>6</v>
      </c>
      <c r="AG120" s="22" t="n">
        <f aca="false">COUNTIFS('Shortlisted Drugs X Company (7)'!$C$3:$C$698,$B120,'Shortlisted Drugs X Company (7)'!$E$3:$E$698,$AA120,'Shortlisted Drugs X Company (7)'!$P$3:$P$698,"Exact")+COUNTIFS('Shortlisted Drugs X Company (7)'!$C$3:$C$698,$B120,'Shortlisted Drugs X Company (7)'!$E$3:$E$698,$AA120,'Shortlisted Drugs X Company (7)'!$P$3:$P$698,"Same-market proxy")</f>
        <v>5</v>
      </c>
      <c r="AH120" s="22" t="n">
        <f aca="false">INDEX($G$7:$G$25,MATCH(A120,$A$7:$A$25,0))</f>
        <v>3</v>
      </c>
      <c r="AI120" s="79" t="str">
        <f aca="false">IF(OR(Q120="No",LEFT(H120,7)="IV only"),"",AH120*1000+IF(F120="",900+COUNTIFS($A$29:A120,A120,$H$29:H120,"Price*"),F120))</f>
        <v/>
      </c>
      <c r="AJ120" s="79" t="str">
        <f aca="false">IF(H120&lt;&gt;"","",(4-VALUE(RIGHT(E120,1)))*10^7+N(O120))</f>
        <v/>
      </c>
      <c r="AK120" s="79" t="str">
        <f aca="false">IF(AND(H120="",ISNUMBER(I120)),I120,"")</f>
        <v/>
      </c>
      <c r="AL120" s="79" t="str">
        <f aca="false">IF(H120="",M120,"")</f>
        <v/>
      </c>
    </row>
    <row r="121" customFormat="false" ht="28.35" hidden="false" customHeight="false" outlineLevel="0" collapsed="false">
      <c r="A121" s="16" t="s">
        <v>231</v>
      </c>
      <c r="B121" s="16" t="s">
        <v>419</v>
      </c>
      <c r="C121" s="17" t="s">
        <v>419</v>
      </c>
      <c r="D121" s="17" t="s">
        <v>421</v>
      </c>
      <c r="E121" s="15" t="str">
        <f aca="false">IF(H121&lt;&gt;"",IF(LEFT(H121,5)="Price","Excluded – price ≤ USD 5","Excluded – IV only"),IF(ISNUMBER(I121),IF(AND(I121&gt;=$C$3,M121&gt;=$E$3),"Priority 1",IF(OR(I121&gt;=$C$3,M121&gt;=$E$3),"Priority 2","Priority 3")),IF(M121&gt;=$E$3,"Priority 2","Priority 3")))</f>
        <v>Priority 1</v>
      </c>
      <c r="F121" s="15" t="n">
        <f aca="false">IF(H121&lt;&gt;"","",COUNTIFS($A$29:$A$361,A121,$H$29:$H$361,"",$AJ$29:$AJ$361,"&gt;"&amp;AJ121)+COUNTIFS($A$29:A121,A121,$H$29:H121,"",$AJ$29:AJ121,AJ121))</f>
        <v>1</v>
      </c>
      <c r="G121" s="17" t="str">
        <f aca="false">IF(H121&lt;&gt;"","",IF(ISNUMBER(I121),IF(I121&gt;=$C$3,"High price","Lower price"),"No price")&amp;", "&amp;IF(M121&gt;=$E$3,"high volume","lower volume"))</f>
        <v>High price, high volume</v>
      </c>
      <c r="H121" s="17" t="str">
        <f aca="false">IF(Q121="No","IV only (no ID, IM or SC route)",IF(AND(AE121&gt;0,AF121=0),"Price ≤ USD 5",""))</f>
        <v/>
      </c>
      <c r="I121" s="18" t="n">
        <f aca="false">IF(AF121&gt;0,ROUND(AVERAGEIFS('Shortlisted Drugs X Company (7)'!$N$3:$N$698,'Shortlisted Drugs X Company (7)'!$C$3:$C$698,$B121,'Shortlisted Drugs X Company (7)'!$E$3:$E$698,$AA121,'Shortlisted Drugs X Company (7)'!$N$3:$N$698,"&gt;5"),2),"")</f>
        <v>36.59</v>
      </c>
      <c r="J121" s="17" t="str">
        <f aca="false">IF(COUNTIFS('Shortlisted Drugs X Company (7)'!$C$3:$C$698,$B121,'Shortlisted Drugs X Company (7)'!$E$3:$E$698,$AA121,'Shortlisted Drugs X Company (7)'!$P$3:$P$698,"Exact")&gt;0,"Exact",IF(COUNTIFS('Shortlisted Drugs X Company (7)'!$C$3:$C$698,$B121,'Shortlisted Drugs X Company (7)'!$E$3:$E$698,$AA121,'Shortlisted Drugs X Company (7)'!$P$3:$P$698,"Same-market proxy")&gt;0,"Same-market proxy",IF(COUNTIFS('Shortlisted Drugs X Company (7)'!$C$3:$C$698,$B121,'Shortlisted Drugs X Company (7)'!$E$3:$E$698,$AA121,'Shortlisted Drugs X Company (7)'!$P$3:$P$698,"Cross-market proxy")&gt;0,"Cross-market proxy",IF(COUNTIFS('Shortlisted Drugs X Company (7)'!$C$3:$C$698,$B121,'Shortlisted Drugs X Company (7)'!$E$3:$E$698,$AA121,'Shortlisted Drugs X Company (7)'!$P$3:$P$698,"Source not found")&gt;0,"Source not found","No price found"))))</f>
        <v>Exact</v>
      </c>
      <c r="K121" s="19" t="n">
        <f aca="false">IFERROR(INDEX('Injectable Value'!$AB$28:$AB$178,MATCH(B121,'Injectable Value'!$A$28:$A$178,0)),"")</f>
        <v>223</v>
      </c>
      <c r="L121" s="77" t="n">
        <f aca="false">IFERROR(INDEX('Injectable Value'!$Z$28:$Z$178,MATCH(B121,'Injectable Value'!$A$28:$A$178,0)),"")</f>
        <v>1</v>
      </c>
      <c r="M121" s="19" t="n">
        <f aca="false">IFERROR(INDEX('Injectable Value'!$AC$28:$AC$178,MATCH(B121,'Injectable Value'!$A$28:$A$178,0)),"")</f>
        <v>223</v>
      </c>
      <c r="N121" s="19" t="n">
        <f aca="false">IFERROR(INDEX('Injectable Value'!$C$28:$C$178,MATCH(B121,'Injectable Value'!$A$28:$A$178,0)),"")</f>
        <v>53539.87</v>
      </c>
      <c r="O121" s="19" t="n">
        <f aca="false">IFERROR(ROUND(INDEX('Injectable Value'!$AA$28:$AA$178,MATCH(B121,'Injectable Value'!$A$28:$A$178,0)),1),"")</f>
        <v>53539.9</v>
      </c>
      <c r="P121" s="16" t="str">
        <f aca="false">IFERROR(INDEX('Route of Administration'!$C$5:$C$155,MATCH(B121,'Route of Administration'!$A$5:$A$155,0)),"")</f>
        <v>IV, IM</v>
      </c>
      <c r="Q121" s="15" t="str">
        <f aca="false">IFERROR(INDEX('Route of Administration'!$D$5:$D$155,MATCH(B121,'Route of Administration'!$A$5:$A$155,0)),"")</f>
        <v>Yes</v>
      </c>
      <c r="R121" s="16" t="s">
        <v>281</v>
      </c>
      <c r="S121" s="17" t="s">
        <v>731</v>
      </c>
      <c r="T121" s="16" t="s">
        <v>310</v>
      </c>
      <c r="U121" s="17" t="str">
        <f aca="false">""&amp;IF(AE121=0,"No price found","")&amp;IF(AND(AE121&gt;0,AF121=0,AG121=0),"Low price comes from another market – confirm with the company","")</f>
        <v/>
      </c>
      <c r="V121" s="17" t="s">
        <v>463</v>
      </c>
      <c r="W121" s="15" t="n">
        <v>1</v>
      </c>
      <c r="X121" s="17" t="s">
        <v>464</v>
      </c>
      <c r="Y121" s="17" t="s">
        <v>464</v>
      </c>
      <c r="Z121" s="17" t="s">
        <v>286</v>
      </c>
      <c r="AA121" s="16" t="s">
        <v>698</v>
      </c>
      <c r="AB121" s="78" t="s">
        <v>425</v>
      </c>
      <c r="AC121" s="20" t="n">
        <f aca="false">IF(AE121&gt;0,ROUND(AVERAGEIFS('Shortlisted Drugs X Company (7)'!$N$3:$N$698,'Shortlisted Drugs X Company (7)'!$C$3:$C$698,$B121,'Shortlisted Drugs X Company (7)'!$E$3:$E$698,$AA121,'Shortlisted Drugs X Company (7)'!$N$3:$N$698,"&gt;=0"),2),"")</f>
        <v>36.59</v>
      </c>
      <c r="AD121" s="79" t="str">
        <f aca="false">B121&amp;"|"&amp;AA121</f>
        <v>Ertapenem|Dr. Reddy's Laboratories</v>
      </c>
      <c r="AE121" s="22" t="n">
        <f aca="false">COUNTIFS('Shortlisted Drugs X Company (7)'!$C$3:$C$698,$B121,'Shortlisted Drugs X Company (7)'!$E$3:$E$698,$AA121,'Shortlisted Drugs X Company (7)'!$N$3:$N$698,"&gt;=0")</f>
        <v>1</v>
      </c>
      <c r="AF121" s="22" t="n">
        <f aca="false">COUNTIFS('Shortlisted Drugs X Company (7)'!$C$3:$C$698,$B121,'Shortlisted Drugs X Company (7)'!$E$3:$E$698,$AA121,'Shortlisted Drugs X Company (7)'!$N$3:$N$698,"&gt;5")</f>
        <v>1</v>
      </c>
      <c r="AG121" s="22" t="n">
        <f aca="false">COUNTIFS('Shortlisted Drugs X Company (7)'!$C$3:$C$698,$B121,'Shortlisted Drugs X Company (7)'!$E$3:$E$698,$AA121,'Shortlisted Drugs X Company (7)'!$P$3:$P$698,"Exact")+COUNTIFS('Shortlisted Drugs X Company (7)'!$C$3:$C$698,$B121,'Shortlisted Drugs X Company (7)'!$E$3:$E$698,$AA121,'Shortlisted Drugs X Company (7)'!$P$3:$P$698,"Same-market proxy")</f>
        <v>1</v>
      </c>
      <c r="AH121" s="22" t="n">
        <f aca="false">INDEX($G$7:$G$25,MATCH(A121,$A$7:$A$25,0))</f>
        <v>3</v>
      </c>
      <c r="AI121" s="79" t="n">
        <f aca="false">IF(OR(Q121="No",LEFT(H121,7)="IV only"),"",AH121*1000+IF(F121="",900+COUNTIFS($A$29:A121,A121,$H$29:H121,"Price*"),F121))</f>
        <v>3001</v>
      </c>
      <c r="AJ121" s="79" t="n">
        <f aca="false">IF(H121&lt;&gt;"","",(4-VALUE(RIGHT(E121,1)))*10^7+N(O121))</f>
        <v>30053539.9</v>
      </c>
      <c r="AK121" s="20" t="n">
        <f aca="false">IF(AND(H121="",ISNUMBER(I121)),I121,"")</f>
        <v>36.59</v>
      </c>
      <c r="AL121" s="21" t="n">
        <f aca="false">IF(H121="",M121,"")</f>
        <v>223</v>
      </c>
    </row>
    <row r="122" customFormat="false" ht="41.75" hidden="false" customHeight="false" outlineLevel="0" collapsed="false">
      <c r="A122" s="16" t="s">
        <v>231</v>
      </c>
      <c r="B122" s="16" t="s">
        <v>732</v>
      </c>
      <c r="C122" s="17" t="s">
        <v>733</v>
      </c>
      <c r="D122" s="17" t="s">
        <v>734</v>
      </c>
      <c r="E122" s="15" t="str">
        <f aca="false">IF(H122&lt;&gt;"",IF(LEFT(H122,5)="Price","Excluded – price ≤ USD 5","Excluded – IV only"),IF(ISNUMBER(I122),IF(AND(I122&gt;=$C$3,M122&gt;=$E$3),"Priority 1",IF(OR(I122&gt;=$C$3,M122&gt;=$E$3),"Priority 2","Priority 3")),IF(M122&gt;=$E$3,"Priority 2","Priority 3")))</f>
        <v>Excluded – IV only</v>
      </c>
      <c r="F122" s="15" t="str">
        <f aca="false">IF(H122&lt;&gt;"","",COUNTIFS($A$29:$A$361,A122,$H$29:$H$361,"",$AJ$29:$AJ$361,"&gt;"&amp;AJ122)+COUNTIFS($A$29:A122,A122,$H$29:H122,"",$AJ$29:AJ122,AJ122))</f>
        <v/>
      </c>
      <c r="G122" s="17" t="str">
        <f aca="false">IF(H122&lt;&gt;"","",IF(ISNUMBER(I122),IF(I122&gt;=$C$3,"High price","Lower price"),"No price")&amp;", "&amp;IF(M122&gt;=$E$3,"high volume","lower volume"))</f>
        <v/>
      </c>
      <c r="H122" s="17" t="str">
        <f aca="false">IF(Q122="No","IV only (no ID, IM or SC route)",IF(AND(AE122&gt;0,AF122=0),"Price ≤ USD 5",""))</f>
        <v>IV only (no ID, IM or SC route)</v>
      </c>
      <c r="I122" s="18" t="n">
        <f aca="false">IF(AF122&gt;0,ROUND(AVERAGEIFS('Shortlisted Drugs X Company (7)'!$N$3:$N$698,'Shortlisted Drugs X Company (7)'!$C$3:$C$698,$B122,'Shortlisted Drugs X Company (7)'!$E$3:$E$698,$AA122,'Shortlisted Drugs X Company (7)'!$N$3:$N$698,"&gt;5"),2),"")</f>
        <v>30.59</v>
      </c>
      <c r="J122" s="17" t="str">
        <f aca="false">IF(COUNTIFS('Shortlisted Drugs X Company (7)'!$C$3:$C$698,$B122,'Shortlisted Drugs X Company (7)'!$E$3:$E$698,$AA122,'Shortlisted Drugs X Company (7)'!$P$3:$P$698,"Exact")&gt;0,"Exact",IF(COUNTIFS('Shortlisted Drugs X Company (7)'!$C$3:$C$698,$B122,'Shortlisted Drugs X Company (7)'!$E$3:$E$698,$AA122,'Shortlisted Drugs X Company (7)'!$P$3:$P$698,"Same-market proxy")&gt;0,"Same-market proxy",IF(COUNTIFS('Shortlisted Drugs X Company (7)'!$C$3:$C$698,$B122,'Shortlisted Drugs X Company (7)'!$E$3:$E$698,$AA122,'Shortlisted Drugs X Company (7)'!$P$3:$P$698,"Cross-market proxy")&gt;0,"Cross-market proxy",IF(COUNTIFS('Shortlisted Drugs X Company (7)'!$C$3:$C$698,$B122,'Shortlisted Drugs X Company (7)'!$E$3:$E$698,$AA122,'Shortlisted Drugs X Company (7)'!$P$3:$P$698,"Source not found")&gt;0,"Source not found","No price found"))))</f>
        <v>Exact</v>
      </c>
      <c r="K122" s="19" t="n">
        <f aca="false">IFERROR(INDEX('Injectable Value'!$AB$28:$AB$178,MATCH(B122,'Injectable Value'!$A$28:$A$178,0)),"")</f>
        <v>132</v>
      </c>
      <c r="L122" s="77" t="n">
        <f aca="false">IFERROR(INDEX('Injectable Value'!$Z$28:$Z$178,MATCH(B122,'Injectable Value'!$A$28:$A$178,0)),"")</f>
        <v>0.993333333333333</v>
      </c>
      <c r="M122" s="19" t="n">
        <f aca="false">IFERROR(INDEX('Injectable Value'!$AC$28:$AC$178,MATCH(B122,'Injectable Value'!$A$28:$A$178,0)),"")</f>
        <v>131</v>
      </c>
      <c r="N122" s="19" t="n">
        <f aca="false">IFERROR(INDEX('Injectable Value'!$C$28:$C$178,MATCH(B122,'Injectable Value'!$A$28:$A$178,0)),"")</f>
        <v>376.39</v>
      </c>
      <c r="O122" s="19" t="n">
        <f aca="false">IFERROR(ROUND(INDEX('Injectable Value'!$AA$28:$AA$178,MATCH(B122,'Injectable Value'!$A$28:$A$178,0)),1),"")</f>
        <v>373.9</v>
      </c>
      <c r="P122" s="16" t="str">
        <f aca="false">IFERROR(INDEX('Route of Administration'!$C$5:$C$155,MATCH(B122,'Route of Administration'!$A$5:$A$155,0)),"")</f>
        <v>IV</v>
      </c>
      <c r="Q122" s="15" t="str">
        <f aca="false">IFERROR(INDEX('Route of Administration'!$D$5:$D$155,MATCH(B122,'Route of Administration'!$A$5:$A$155,0)),"")</f>
        <v>No</v>
      </c>
      <c r="R122" s="16" t="s">
        <v>281</v>
      </c>
      <c r="S122" s="17" t="s">
        <v>735</v>
      </c>
      <c r="T122" s="16" t="s">
        <v>283</v>
      </c>
      <c r="U122" s="17" t="str">
        <f aca="false">""&amp;IF(AE122=0,"No price found","")&amp;IF(AND(AE122&gt;0,AF122=0,AG122=0),"Low price comes from another market – confirm with the company","")</f>
        <v/>
      </c>
      <c r="V122" s="17" t="s">
        <v>112</v>
      </c>
      <c r="W122" s="15" t="n">
        <v>1</v>
      </c>
      <c r="X122" s="17" t="s">
        <v>614</v>
      </c>
      <c r="Y122" s="17" t="s">
        <v>614</v>
      </c>
      <c r="Z122" s="17" t="s">
        <v>321</v>
      </c>
      <c r="AA122" s="16" t="s">
        <v>698</v>
      </c>
      <c r="AB122" s="78" t="s">
        <v>736</v>
      </c>
      <c r="AC122" s="20" t="n">
        <f aca="false">IF(AE122&gt;0,ROUND(AVERAGEIFS('Shortlisted Drugs X Company (7)'!$N$3:$N$698,'Shortlisted Drugs X Company (7)'!$C$3:$C$698,$B122,'Shortlisted Drugs X Company (7)'!$E$3:$E$698,$AA122,'Shortlisted Drugs X Company (7)'!$N$3:$N$698,"&gt;=0"),2),"")</f>
        <v>30.59</v>
      </c>
      <c r="AD122" s="79" t="str">
        <f aca="false">B122&amp;"|"&amp;AA122</f>
        <v>Ferric Carboxymaltose|Dr. Reddy's Laboratories</v>
      </c>
      <c r="AE122" s="22" t="n">
        <f aca="false">COUNTIFS('Shortlisted Drugs X Company (7)'!$C$3:$C$698,$B122,'Shortlisted Drugs X Company (7)'!$E$3:$E$698,$AA122,'Shortlisted Drugs X Company (7)'!$N$3:$N$698,"&gt;=0")</f>
        <v>3</v>
      </c>
      <c r="AF122" s="22" t="n">
        <f aca="false">COUNTIFS('Shortlisted Drugs X Company (7)'!$C$3:$C$698,$B122,'Shortlisted Drugs X Company (7)'!$E$3:$E$698,$AA122,'Shortlisted Drugs X Company (7)'!$N$3:$N$698,"&gt;5")</f>
        <v>3</v>
      </c>
      <c r="AG122" s="22" t="n">
        <f aca="false">COUNTIFS('Shortlisted Drugs X Company (7)'!$C$3:$C$698,$B122,'Shortlisted Drugs X Company (7)'!$E$3:$E$698,$AA122,'Shortlisted Drugs X Company (7)'!$P$3:$P$698,"Exact")+COUNTIFS('Shortlisted Drugs X Company (7)'!$C$3:$C$698,$B122,'Shortlisted Drugs X Company (7)'!$E$3:$E$698,$AA122,'Shortlisted Drugs X Company (7)'!$P$3:$P$698,"Same-market proxy")</f>
        <v>3</v>
      </c>
      <c r="AH122" s="22" t="n">
        <f aca="false">INDEX($G$7:$G$25,MATCH(A122,$A$7:$A$25,0))</f>
        <v>3</v>
      </c>
      <c r="AI122" s="79" t="str">
        <f aca="false">IF(OR(Q122="No",LEFT(H122,7)="IV only"),"",AH122*1000+IF(F122="",900+COUNTIFS($A$29:A122,A122,$H$29:H122,"Price*"),F122))</f>
        <v/>
      </c>
      <c r="AJ122" s="79" t="str">
        <f aca="false">IF(H122&lt;&gt;"","",(4-VALUE(RIGHT(E122,1)))*10^7+N(O122))</f>
        <v/>
      </c>
      <c r="AK122" s="79" t="str">
        <f aca="false">IF(AND(H122="",ISNUMBER(I122)),I122,"")</f>
        <v/>
      </c>
      <c r="AL122" s="79" t="str">
        <f aca="false">IF(H122="",M122,"")</f>
        <v/>
      </c>
    </row>
    <row r="123" customFormat="false" ht="41.75" hidden="false" customHeight="false" outlineLevel="0" collapsed="false">
      <c r="A123" s="16" t="s">
        <v>231</v>
      </c>
      <c r="B123" s="16" t="s">
        <v>295</v>
      </c>
      <c r="C123" s="17" t="s">
        <v>737</v>
      </c>
      <c r="D123" s="17" t="s">
        <v>296</v>
      </c>
      <c r="E123" s="15" t="str">
        <f aca="false">IF(H123&lt;&gt;"",IF(LEFT(H123,5)="Price","Excluded – price ≤ USD 5","Excluded – IV only"),IF(ISNUMBER(I123),IF(AND(I123&gt;=$C$3,M123&gt;=$E$3),"Priority 1",IF(OR(I123&gt;=$C$3,M123&gt;=$E$3),"Priority 2","Priority 3")),IF(M123&gt;=$E$3,"Priority 2","Priority 3")))</f>
        <v>Priority 1</v>
      </c>
      <c r="F123" s="15" t="n">
        <f aca="false">IF(H123&lt;&gt;"","",COUNTIFS($A$29:$A$361,A123,$H$29:$H$361,"",$AJ$29:$AJ$361,"&gt;"&amp;AJ123)+COUNTIFS($A$29:A123,A123,$H$29:H123,"",$AJ$29:AJ123,AJ123))</f>
        <v>4</v>
      </c>
      <c r="G123" s="17" t="str">
        <f aca="false">IF(H123&lt;&gt;"","",IF(ISNUMBER(I123),IF(I123&gt;=$C$3,"High price","Lower price"),"No price")&amp;", "&amp;IF(M123&gt;=$E$3,"high volume","lower volume"))</f>
        <v>High price, high volume</v>
      </c>
      <c r="H123" s="17" t="str">
        <f aca="false">IF(Q123="No","IV only (no ID, IM or SC route)",IF(AND(AE123&gt;0,AF123=0),"Price ≤ USD 5",""))</f>
        <v/>
      </c>
      <c r="I123" s="18" t="n">
        <f aca="false">IF(AF123&gt;0,ROUND(AVERAGEIFS('Shortlisted Drugs X Company (7)'!$N$3:$N$698,'Shortlisted Drugs X Company (7)'!$C$3:$C$698,$B123,'Shortlisted Drugs X Company (7)'!$E$3:$E$698,$AA123,'Shortlisted Drugs X Company (7)'!$N$3:$N$698,"&gt;5"),2),"")</f>
        <v>248.6</v>
      </c>
      <c r="J123" s="17" t="str">
        <f aca="false">IF(COUNTIFS('Shortlisted Drugs X Company (7)'!$C$3:$C$698,$B123,'Shortlisted Drugs X Company (7)'!$E$3:$E$698,$AA123,'Shortlisted Drugs X Company (7)'!$P$3:$P$698,"Exact")&gt;0,"Exact",IF(COUNTIFS('Shortlisted Drugs X Company (7)'!$C$3:$C$698,$B123,'Shortlisted Drugs X Company (7)'!$E$3:$E$698,$AA123,'Shortlisted Drugs X Company (7)'!$P$3:$P$698,"Same-market proxy")&gt;0,"Same-market proxy",IF(COUNTIFS('Shortlisted Drugs X Company (7)'!$C$3:$C$698,$B123,'Shortlisted Drugs X Company (7)'!$E$3:$E$698,$AA123,'Shortlisted Drugs X Company (7)'!$P$3:$P$698,"Cross-market proxy")&gt;0,"Cross-market proxy",IF(COUNTIFS('Shortlisted Drugs X Company (7)'!$C$3:$C$698,$B123,'Shortlisted Drugs X Company (7)'!$E$3:$E$698,$AA123,'Shortlisted Drugs X Company (7)'!$P$3:$P$698,"Source not found")&gt;0,"Source not found","No price found"))))</f>
        <v>Exact</v>
      </c>
      <c r="K123" s="19" t="n">
        <f aca="false">IFERROR(INDEX('Injectable Value'!$AB$28:$AB$178,MATCH(B123,'Injectable Value'!$A$28:$A$178,0)),"")</f>
        <v>146</v>
      </c>
      <c r="L123" s="77" t="n">
        <f aca="false">IFERROR(INDEX('Injectable Value'!$Z$28:$Z$178,MATCH(B123,'Injectable Value'!$A$28:$A$178,0)),"")</f>
        <v>1</v>
      </c>
      <c r="M123" s="19" t="n">
        <f aca="false">IFERROR(INDEX('Injectable Value'!$AC$28:$AC$178,MATCH(B123,'Injectable Value'!$A$28:$A$178,0)),"")</f>
        <v>146</v>
      </c>
      <c r="N123" s="19" t="n">
        <f aca="false">IFERROR(INDEX('Injectable Value'!$C$28:$C$178,MATCH(B123,'Injectable Value'!$A$28:$A$178,0)),"")</f>
        <v>11366.06</v>
      </c>
      <c r="O123" s="19" t="n">
        <f aca="false">IFERROR(ROUND(INDEX('Injectable Value'!$AA$28:$AA$178,MATCH(B123,'Injectable Value'!$A$28:$A$178,0)),1),"")</f>
        <v>11366.1</v>
      </c>
      <c r="P123" s="16" t="str">
        <f aca="false">IFERROR(INDEX('Route of Administration'!$C$5:$C$155,MATCH(B123,'Route of Administration'!$A$5:$A$155,0)),"")</f>
        <v>IM</v>
      </c>
      <c r="Q123" s="15" t="str">
        <f aca="false">IFERROR(INDEX('Route of Administration'!$D$5:$D$155,MATCH(B123,'Route of Administration'!$A$5:$A$155,0)),"")</f>
        <v>Yes</v>
      </c>
      <c r="R123" s="16" t="s">
        <v>291</v>
      </c>
      <c r="S123" s="17" t="s">
        <v>297</v>
      </c>
      <c r="T123" s="16" t="s">
        <v>283</v>
      </c>
      <c r="U123" s="17" t="str">
        <f aca="false">"Prefilled only"&amp;IF(AE123=0,"; No price found","")&amp;IF(AND(AE123&gt;0,AF123=0,AG123=0),"; Low price comes from another market – confirm with the company","")</f>
        <v>Prefilled only</v>
      </c>
      <c r="V123" s="17" t="s">
        <v>738</v>
      </c>
      <c r="W123" s="15" t="n">
        <v>14</v>
      </c>
      <c r="X123" s="17" t="s">
        <v>739</v>
      </c>
      <c r="Y123" s="17" t="s">
        <v>740</v>
      </c>
      <c r="Z123" s="17" t="s">
        <v>293</v>
      </c>
      <c r="AA123" s="16" t="s">
        <v>698</v>
      </c>
      <c r="AB123" s="78" t="s">
        <v>298</v>
      </c>
      <c r="AC123" s="20" t="n">
        <f aca="false">IF(AE123&gt;0,ROUND(AVERAGEIFS('Shortlisted Drugs X Company (7)'!$N$3:$N$698,'Shortlisted Drugs X Company (7)'!$C$3:$C$698,$B123,'Shortlisted Drugs X Company (7)'!$E$3:$E$698,$AA123,'Shortlisted Drugs X Company (7)'!$N$3:$N$698,"&gt;=0"),2),"")</f>
        <v>248.6</v>
      </c>
      <c r="AD123" s="79" t="str">
        <f aca="false">B123&amp;"|"&amp;AA123</f>
        <v>Fulvestrant|Dr. Reddy's Laboratories</v>
      </c>
      <c r="AE123" s="22" t="n">
        <f aca="false">COUNTIFS('Shortlisted Drugs X Company (7)'!$C$3:$C$698,$B123,'Shortlisted Drugs X Company (7)'!$E$3:$E$698,$AA123,'Shortlisted Drugs X Company (7)'!$N$3:$N$698,"&gt;=0")</f>
        <v>4</v>
      </c>
      <c r="AF123" s="22" t="n">
        <f aca="false">COUNTIFS('Shortlisted Drugs X Company (7)'!$C$3:$C$698,$B123,'Shortlisted Drugs X Company (7)'!$E$3:$E$698,$AA123,'Shortlisted Drugs X Company (7)'!$N$3:$N$698,"&gt;5")</f>
        <v>4</v>
      </c>
      <c r="AG123" s="22" t="n">
        <f aca="false">COUNTIFS('Shortlisted Drugs X Company (7)'!$C$3:$C$698,$B123,'Shortlisted Drugs X Company (7)'!$E$3:$E$698,$AA123,'Shortlisted Drugs X Company (7)'!$P$3:$P$698,"Exact")+COUNTIFS('Shortlisted Drugs X Company (7)'!$C$3:$C$698,$B123,'Shortlisted Drugs X Company (7)'!$E$3:$E$698,$AA123,'Shortlisted Drugs X Company (7)'!$P$3:$P$698,"Same-market proxy")</f>
        <v>4</v>
      </c>
      <c r="AH123" s="22" t="n">
        <f aca="false">INDEX($G$7:$G$25,MATCH(A123,$A$7:$A$25,0))</f>
        <v>3</v>
      </c>
      <c r="AI123" s="79" t="n">
        <f aca="false">IF(OR(Q123="No",LEFT(H123,7)="IV only"),"",AH123*1000+IF(F123="",900+COUNTIFS($A$29:A123,A123,$H$29:H123,"Price*"),F123))</f>
        <v>3004</v>
      </c>
      <c r="AJ123" s="79" t="n">
        <f aca="false">IF(H123&lt;&gt;"","",(4-VALUE(RIGHT(E123,1)))*10^7+N(O123))</f>
        <v>30011366.1</v>
      </c>
      <c r="AK123" s="20" t="n">
        <f aca="false">IF(AND(H123="",ISNUMBER(I123)),I123,"")</f>
        <v>248.6</v>
      </c>
      <c r="AL123" s="21" t="n">
        <f aca="false">IF(H123="",M123,"")</f>
        <v>146</v>
      </c>
    </row>
    <row r="124" customFormat="false" ht="28.35" hidden="false" customHeight="false" outlineLevel="0" collapsed="false">
      <c r="A124" s="16" t="s">
        <v>231</v>
      </c>
      <c r="B124" s="16" t="s">
        <v>466</v>
      </c>
      <c r="C124" s="17" t="s">
        <v>741</v>
      </c>
      <c r="D124" s="17" t="s">
        <v>468</v>
      </c>
      <c r="E124" s="15" t="str">
        <f aca="false">IF(H124&lt;&gt;"",IF(LEFT(H124,5)="Price","Excluded – price ≤ USD 5","Excluded – IV only"),IF(ISNUMBER(I124),IF(AND(I124&gt;=$C$3,M124&gt;=$E$3),"Priority 1",IF(OR(I124&gt;=$C$3,M124&gt;=$E$3),"Priority 2","Priority 3")),IF(M124&gt;=$E$3,"Priority 2","Priority 3")))</f>
        <v>Excluded – IV only</v>
      </c>
      <c r="F124" s="15" t="str">
        <f aca="false">IF(H124&lt;&gt;"","",COUNTIFS($A$29:$A$361,A124,$H$29:$H$361,"",$AJ$29:$AJ$361,"&gt;"&amp;AJ124)+COUNTIFS($A$29:A124,A124,$H$29:H124,"",$AJ$29:AJ124,AJ124))</f>
        <v/>
      </c>
      <c r="G124" s="17" t="str">
        <f aca="false">IF(H124&lt;&gt;"","",IF(ISNUMBER(I124),IF(I124&gt;=$C$3,"High price","Lower price"),"No price")&amp;", "&amp;IF(M124&gt;=$E$3,"high volume","lower volume"))</f>
        <v/>
      </c>
      <c r="H124" s="17" t="str">
        <f aca="false">IF(Q124="No","IV only (no ID, IM or SC route)",IF(AND(AE124&gt;0,AF124=0),"Price ≤ USD 5",""))</f>
        <v>IV only (no ID, IM or SC route)</v>
      </c>
      <c r="I124" s="18" t="n">
        <f aca="false">IF(AF124&gt;0,ROUND(AVERAGEIFS('Shortlisted Drugs X Company (7)'!$N$3:$N$698,'Shortlisted Drugs X Company (7)'!$C$3:$C$698,$B124,'Shortlisted Drugs X Company (7)'!$E$3:$E$698,$AA124,'Shortlisted Drugs X Company (7)'!$N$3:$N$698,"&gt;5"),2),"")</f>
        <v>46.35</v>
      </c>
      <c r="J124" s="17" t="str">
        <f aca="false">IF(COUNTIFS('Shortlisted Drugs X Company (7)'!$C$3:$C$698,$B124,'Shortlisted Drugs X Company (7)'!$E$3:$E$698,$AA124,'Shortlisted Drugs X Company (7)'!$P$3:$P$698,"Exact")&gt;0,"Exact",IF(COUNTIFS('Shortlisted Drugs X Company (7)'!$C$3:$C$698,$B124,'Shortlisted Drugs X Company (7)'!$E$3:$E$698,$AA124,'Shortlisted Drugs X Company (7)'!$P$3:$P$698,"Same-market proxy")&gt;0,"Same-market proxy",IF(COUNTIFS('Shortlisted Drugs X Company (7)'!$C$3:$C$698,$B124,'Shortlisted Drugs X Company (7)'!$E$3:$E$698,$AA124,'Shortlisted Drugs X Company (7)'!$P$3:$P$698,"Cross-market proxy")&gt;0,"Cross-market proxy",IF(COUNTIFS('Shortlisted Drugs X Company (7)'!$C$3:$C$698,$B124,'Shortlisted Drugs X Company (7)'!$E$3:$E$698,$AA124,'Shortlisted Drugs X Company (7)'!$P$3:$P$698,"Source not found")&gt;0,"Source not found","No price found"))))</f>
        <v>Exact</v>
      </c>
      <c r="K124" s="19" t="n">
        <f aca="false">IFERROR(INDEX('Injectable Value'!$AB$28:$AB$178,MATCH(B124,'Injectable Value'!$A$28:$A$178,0)),"")</f>
        <v>116</v>
      </c>
      <c r="L124" s="77" t="n">
        <f aca="false">IFERROR(INDEX('Injectable Value'!$Z$28:$Z$178,MATCH(B124,'Injectable Value'!$A$28:$A$178,0)),"")</f>
        <v>0.444974105461394</v>
      </c>
      <c r="M124" s="19" t="n">
        <f aca="false">IFERROR(INDEX('Injectable Value'!$AC$28:$AC$178,MATCH(B124,'Injectable Value'!$A$28:$A$178,0)),"")</f>
        <v>52</v>
      </c>
      <c r="N124" s="19" t="n">
        <f aca="false">IFERROR(INDEX('Injectable Value'!$C$28:$C$178,MATCH(B124,'Injectable Value'!$A$28:$A$178,0)),"")</f>
        <v>1162.12</v>
      </c>
      <c r="O124" s="19" t="n">
        <f aca="false">IFERROR(ROUND(INDEX('Injectable Value'!$AA$28:$AA$178,MATCH(B124,'Injectable Value'!$A$28:$A$178,0)),1),"")</f>
        <v>517.1</v>
      </c>
      <c r="P124" s="16" t="str">
        <f aca="false">IFERROR(INDEX('Route of Administration'!$C$5:$C$155,MATCH(B124,'Route of Administration'!$A$5:$A$155,0)),"")</f>
        <v>IV</v>
      </c>
      <c r="Q124" s="15" t="str">
        <f aca="false">IFERROR(INDEX('Route of Administration'!$D$5:$D$155,MATCH(B124,'Route of Administration'!$A$5:$A$155,0)),"")</f>
        <v>No</v>
      </c>
      <c r="R124" s="16" t="s">
        <v>291</v>
      </c>
      <c r="S124" s="17" t="s">
        <v>742</v>
      </c>
      <c r="T124" s="16" t="s">
        <v>310</v>
      </c>
      <c r="U124" s="17" t="str">
        <f aca="false">"Prefilled only"&amp;IF(AE124=0,"; No price found","")&amp;IF(AND(AE124&gt;0,AF124=0,AG124=0),"; Low price comes from another market – confirm with the company","")</f>
        <v>Prefilled only</v>
      </c>
      <c r="V124" s="17" t="s">
        <v>452</v>
      </c>
      <c r="W124" s="15" t="n">
        <v>1</v>
      </c>
      <c r="X124" s="17" t="s">
        <v>453</v>
      </c>
      <c r="Y124" s="17" t="s">
        <v>453</v>
      </c>
      <c r="Z124" s="17" t="s">
        <v>293</v>
      </c>
      <c r="AA124" s="16" t="s">
        <v>698</v>
      </c>
      <c r="AB124" s="78" t="s">
        <v>470</v>
      </c>
      <c r="AC124" s="20" t="n">
        <f aca="false">IF(AE124&gt;0,ROUND(AVERAGEIFS('Shortlisted Drugs X Company (7)'!$N$3:$N$698,'Shortlisted Drugs X Company (7)'!$C$3:$C$698,$B124,'Shortlisted Drugs X Company (7)'!$E$3:$E$698,$AA124,'Shortlisted Drugs X Company (7)'!$N$3:$N$698,"&gt;=0"),2),"")</f>
        <v>46.35</v>
      </c>
      <c r="AD124" s="79" t="str">
        <f aca="false">B124&amp;"|"&amp;AA124</f>
        <v>Ibandronic Acid|Dr. Reddy's Laboratories</v>
      </c>
      <c r="AE124" s="22" t="n">
        <f aca="false">COUNTIFS('Shortlisted Drugs X Company (7)'!$C$3:$C$698,$B124,'Shortlisted Drugs X Company (7)'!$E$3:$E$698,$AA124,'Shortlisted Drugs X Company (7)'!$N$3:$N$698,"&gt;=0")</f>
        <v>1</v>
      </c>
      <c r="AF124" s="22" t="n">
        <f aca="false">COUNTIFS('Shortlisted Drugs X Company (7)'!$C$3:$C$698,$B124,'Shortlisted Drugs X Company (7)'!$E$3:$E$698,$AA124,'Shortlisted Drugs X Company (7)'!$N$3:$N$698,"&gt;5")</f>
        <v>1</v>
      </c>
      <c r="AG124" s="22" t="n">
        <f aca="false">COUNTIFS('Shortlisted Drugs X Company (7)'!$C$3:$C$698,$B124,'Shortlisted Drugs X Company (7)'!$E$3:$E$698,$AA124,'Shortlisted Drugs X Company (7)'!$P$3:$P$698,"Exact")+COUNTIFS('Shortlisted Drugs X Company (7)'!$C$3:$C$698,$B124,'Shortlisted Drugs X Company (7)'!$E$3:$E$698,$AA124,'Shortlisted Drugs X Company (7)'!$P$3:$P$698,"Same-market proxy")</f>
        <v>1</v>
      </c>
      <c r="AH124" s="22" t="n">
        <f aca="false">INDEX($G$7:$G$25,MATCH(A124,$A$7:$A$25,0))</f>
        <v>3</v>
      </c>
      <c r="AI124" s="79" t="str">
        <f aca="false">IF(OR(Q124="No",LEFT(H124,7)="IV only"),"",AH124*1000+IF(F124="",900+COUNTIFS($A$29:A124,A124,$H$29:H124,"Price*"),F124))</f>
        <v/>
      </c>
      <c r="AJ124" s="79" t="str">
        <f aca="false">IF(H124&lt;&gt;"","",(4-VALUE(RIGHT(E124,1)))*10^7+N(O124))</f>
        <v/>
      </c>
      <c r="AK124" s="79" t="str">
        <f aca="false">IF(AND(H124="",ISNUMBER(I124)),I124,"")</f>
        <v/>
      </c>
      <c r="AL124" s="79" t="str">
        <f aca="false">IF(H124="",M124,"")</f>
        <v/>
      </c>
    </row>
    <row r="125" customFormat="false" ht="28.35" hidden="false" customHeight="false" outlineLevel="0" collapsed="false">
      <c r="A125" s="16" t="s">
        <v>231</v>
      </c>
      <c r="B125" s="16" t="s">
        <v>75</v>
      </c>
      <c r="C125" s="17" t="s">
        <v>512</v>
      </c>
      <c r="D125" s="17" t="s">
        <v>513</v>
      </c>
      <c r="E125" s="15" t="str">
        <f aca="false">IF(H125&lt;&gt;"",IF(LEFT(H125,5)="Price","Excluded – price ≤ USD 5","Excluded – IV only"),IF(ISNUMBER(I125),IF(AND(I125&gt;=$C$3,M125&gt;=$E$3),"Priority 1",IF(OR(I125&gt;=$C$3,M125&gt;=$E$3),"Priority 2","Priority 3")),IF(M125&gt;=$E$3,"Priority 2","Priority 3")))</f>
        <v>Priority 3</v>
      </c>
      <c r="F125" s="15" t="n">
        <f aca="false">IF(H125&lt;&gt;"","",COUNTIFS($A$29:$A$361,A125,$H$29:$H$361,"",$AJ$29:$AJ$361,"&gt;"&amp;AJ125)+COUNTIFS($A$29:A125,A125,$H$29:H125,"",$AJ$29:AJ125,AJ125))</f>
        <v>10</v>
      </c>
      <c r="G125" s="17" t="str">
        <f aca="false">IF(H125&lt;&gt;"","",IF(ISNUMBER(I125),IF(I125&gt;=$C$3,"High price","Lower price"),"No price")&amp;", "&amp;IF(M125&gt;=$E$3,"high volume","lower volume"))</f>
        <v>Lower price, lower volume</v>
      </c>
      <c r="H125" s="17" t="str">
        <f aca="false">IF(Q125="No","IV only (no ID, IM or SC route)",IF(AND(AE125&gt;0,AF125=0),"Price ≤ USD 5",""))</f>
        <v/>
      </c>
      <c r="I125" s="18" t="n">
        <f aca="false">IF(AF125&gt;0,ROUND(AVERAGEIFS('Shortlisted Drugs X Company (7)'!$N$3:$N$698,'Shortlisted Drugs X Company (7)'!$C$3:$C$698,$B125,'Shortlisted Drugs X Company (7)'!$E$3:$E$698,$AA125,'Shortlisted Drugs X Company (7)'!$N$3:$N$698,"&gt;5"),2),"")</f>
        <v>13.87</v>
      </c>
      <c r="J125" s="17" t="str">
        <f aca="false">IF(COUNTIFS('Shortlisted Drugs X Company (7)'!$C$3:$C$698,$B125,'Shortlisted Drugs X Company (7)'!$E$3:$E$698,$AA125,'Shortlisted Drugs X Company (7)'!$P$3:$P$698,"Exact")&gt;0,"Exact",IF(COUNTIFS('Shortlisted Drugs X Company (7)'!$C$3:$C$698,$B125,'Shortlisted Drugs X Company (7)'!$E$3:$E$698,$AA125,'Shortlisted Drugs X Company (7)'!$P$3:$P$698,"Same-market proxy")&gt;0,"Same-market proxy",IF(COUNTIFS('Shortlisted Drugs X Company (7)'!$C$3:$C$698,$B125,'Shortlisted Drugs X Company (7)'!$E$3:$E$698,$AA125,'Shortlisted Drugs X Company (7)'!$P$3:$P$698,"Cross-market proxy")&gt;0,"Cross-market proxy",IF(COUNTIFS('Shortlisted Drugs X Company (7)'!$C$3:$C$698,$B125,'Shortlisted Drugs X Company (7)'!$E$3:$E$698,$AA125,'Shortlisted Drugs X Company (7)'!$P$3:$P$698,"Source not found")&gt;0,"Source not found","No price found"))))</f>
        <v>Exact</v>
      </c>
      <c r="K125" s="19" t="n">
        <f aca="false">IFERROR(INDEX('Injectable Value'!$AB$28:$AB$178,MATCH(B125,'Injectable Value'!$A$28:$A$178,0)),"")</f>
        <v>365</v>
      </c>
      <c r="L125" s="77" t="n">
        <f aca="false">IFERROR(INDEX('Injectable Value'!$Z$28:$Z$178,MATCH(B125,'Injectable Value'!$A$28:$A$178,0)),"")</f>
        <v>0.240571827983426</v>
      </c>
      <c r="M125" s="19" t="n">
        <f aca="false">IFERROR(INDEX('Injectable Value'!$AC$28:$AC$178,MATCH(B125,'Injectable Value'!$A$28:$A$178,0)),"")</f>
        <v>88</v>
      </c>
      <c r="N125" s="19" t="n">
        <f aca="false">IFERROR(INDEX('Injectable Value'!$C$28:$C$178,MATCH(B125,'Injectable Value'!$A$28:$A$178,0)),"")</f>
        <v>5976.94</v>
      </c>
      <c r="O125" s="19" t="n">
        <f aca="false">IFERROR(ROUND(INDEX('Injectable Value'!$AA$28:$AA$178,MATCH(B125,'Injectable Value'!$A$28:$A$178,0)),1),"")</f>
        <v>1437.9</v>
      </c>
      <c r="P125" s="16" t="str">
        <f aca="false">IFERROR(INDEX('Route of Administration'!$C$5:$C$155,MATCH(B125,'Route of Administration'!$A$5:$A$155,0)),"")</f>
        <v>IV, IM, SC</v>
      </c>
      <c r="Q125" s="15" t="str">
        <f aca="false">IFERROR(INDEX('Route of Administration'!$D$5:$D$155,MATCH(B125,'Route of Administration'!$A$5:$A$155,0)),"")</f>
        <v>Yes</v>
      </c>
      <c r="R125" s="16" t="s">
        <v>291</v>
      </c>
      <c r="S125" s="17" t="s">
        <v>743</v>
      </c>
      <c r="T125" s="16" t="s">
        <v>283</v>
      </c>
      <c r="U125" s="17" t="str">
        <f aca="false">"Prefilled only"&amp;IF(AE125=0,"; No price found","")&amp;IF(AND(AE125&gt;0,AF125=0,AG125=0),"; Low price comes from another market – confirm with the company","")</f>
        <v>Prefilled only</v>
      </c>
      <c r="V125" s="17" t="s">
        <v>284</v>
      </c>
      <c r="W125" s="15" t="n">
        <v>1</v>
      </c>
      <c r="X125" s="17" t="s">
        <v>284</v>
      </c>
      <c r="Y125" s="17" t="s">
        <v>284</v>
      </c>
      <c r="Z125" s="17" t="s">
        <v>293</v>
      </c>
      <c r="AA125" s="16" t="s">
        <v>698</v>
      </c>
      <c r="AB125" s="78" t="s">
        <v>517</v>
      </c>
      <c r="AC125" s="20" t="n">
        <f aca="false">IF(AE125&gt;0,ROUND(AVERAGEIFS('Shortlisted Drugs X Company (7)'!$N$3:$N$698,'Shortlisted Drugs X Company (7)'!$C$3:$C$698,$B125,'Shortlisted Drugs X Company (7)'!$E$3:$E$698,$AA125,'Shortlisted Drugs X Company (7)'!$N$3:$N$698,"&gt;=0"),2),"")</f>
        <v>13.87</v>
      </c>
      <c r="AD125" s="79" t="str">
        <f aca="false">B125&amp;"|"&amp;AA125</f>
        <v>Naloxone|Dr. Reddy's Laboratories</v>
      </c>
      <c r="AE125" s="22" t="n">
        <f aca="false">COUNTIFS('Shortlisted Drugs X Company (7)'!$C$3:$C$698,$B125,'Shortlisted Drugs X Company (7)'!$E$3:$E$698,$AA125,'Shortlisted Drugs X Company (7)'!$N$3:$N$698,"&gt;=0")</f>
        <v>1</v>
      </c>
      <c r="AF125" s="22" t="n">
        <f aca="false">COUNTIFS('Shortlisted Drugs X Company (7)'!$C$3:$C$698,$B125,'Shortlisted Drugs X Company (7)'!$E$3:$E$698,$AA125,'Shortlisted Drugs X Company (7)'!$N$3:$N$698,"&gt;5")</f>
        <v>1</v>
      </c>
      <c r="AG125" s="22" t="n">
        <f aca="false">COUNTIFS('Shortlisted Drugs X Company (7)'!$C$3:$C$698,$B125,'Shortlisted Drugs X Company (7)'!$E$3:$E$698,$AA125,'Shortlisted Drugs X Company (7)'!$P$3:$P$698,"Exact")+COUNTIFS('Shortlisted Drugs X Company (7)'!$C$3:$C$698,$B125,'Shortlisted Drugs X Company (7)'!$E$3:$E$698,$AA125,'Shortlisted Drugs X Company (7)'!$P$3:$P$698,"Same-market proxy")</f>
        <v>1</v>
      </c>
      <c r="AH125" s="22" t="n">
        <f aca="false">INDEX($G$7:$G$25,MATCH(A125,$A$7:$A$25,0))</f>
        <v>3</v>
      </c>
      <c r="AI125" s="79" t="n">
        <f aca="false">IF(OR(Q125="No",LEFT(H125,7)="IV only"),"",AH125*1000+IF(F125="",900+COUNTIFS($A$29:A125,A125,$H$29:H125,"Price*"),F125))</f>
        <v>3010</v>
      </c>
      <c r="AJ125" s="79" t="n">
        <f aca="false">IF(H125&lt;&gt;"","",(4-VALUE(RIGHT(E125,1)))*10^7+N(O125))</f>
        <v>10001437.9</v>
      </c>
      <c r="AK125" s="20" t="n">
        <f aca="false">IF(AND(H125="",ISNUMBER(I125)),I125,"")</f>
        <v>13.87</v>
      </c>
      <c r="AL125" s="21" t="n">
        <f aca="false">IF(H125="",M125,"")</f>
        <v>88</v>
      </c>
    </row>
    <row r="126" customFormat="false" ht="68.65" hidden="false" customHeight="false" outlineLevel="0" collapsed="false">
      <c r="A126" s="16" t="s">
        <v>231</v>
      </c>
      <c r="B126" s="16" t="s">
        <v>744</v>
      </c>
      <c r="C126" s="17" t="s">
        <v>745</v>
      </c>
      <c r="D126" s="17" t="s">
        <v>746</v>
      </c>
      <c r="E126" s="15" t="str">
        <f aca="false">IF(H126&lt;&gt;"",IF(LEFT(H126,5)="Price","Excluded – price ≤ USD 5","Excluded – IV only"),IF(ISNUMBER(I126),IF(AND(I126&gt;=$C$3,M126&gt;=$E$3),"Priority 1",IF(OR(I126&gt;=$C$3,M126&gt;=$E$3),"Priority 2","Priority 3")),IF(M126&gt;=$E$3,"Priority 2","Priority 3")))</f>
        <v>Excluded – IV only</v>
      </c>
      <c r="F126" s="15" t="str">
        <f aca="false">IF(H126&lt;&gt;"","",COUNTIFS($A$29:$A$361,A126,$H$29:$H$361,"",$AJ$29:$AJ$361,"&gt;"&amp;AJ126)+COUNTIFS($A$29:A126,A126,$H$29:H126,"",$AJ$29:AJ126,AJ126))</f>
        <v/>
      </c>
      <c r="G126" s="17" t="str">
        <f aca="false">IF(H126&lt;&gt;"","",IF(ISNUMBER(I126),IF(I126&gt;=$C$3,"High price","Lower price"),"No price")&amp;", "&amp;IF(M126&gt;=$E$3,"high volume","lower volume"))</f>
        <v/>
      </c>
      <c r="H126" s="17" t="str">
        <f aca="false">IF(Q126="No","IV only (no ID, IM or SC route)","IV only – the company's product (see Route of Administration, step 2)")</f>
        <v>IV only – the company's product (see Route of Administration, step 2)</v>
      </c>
      <c r="I126" s="18" t="n">
        <f aca="false">IF(AF126&gt;0,ROUND(AVERAGEIFS('Shortlisted Drugs X Company (7)'!$N$3:$N$698,'Shortlisted Drugs X Company (7)'!$C$3:$C$698,$B126,'Shortlisted Drugs X Company (7)'!$E$3:$E$698,$AA126,'Shortlisted Drugs X Company (7)'!$N$3:$N$698,"&gt;5"),2),"")</f>
        <v>17.79</v>
      </c>
      <c r="J126" s="17" t="str">
        <f aca="false">IF(COUNTIFS('Shortlisted Drugs X Company (7)'!$C$3:$C$698,$B126,'Shortlisted Drugs X Company (7)'!$E$3:$E$698,$AA126,'Shortlisted Drugs X Company (7)'!$P$3:$P$698,"Exact")&gt;0,"Exact",IF(COUNTIFS('Shortlisted Drugs X Company (7)'!$C$3:$C$698,$B126,'Shortlisted Drugs X Company (7)'!$E$3:$E$698,$AA126,'Shortlisted Drugs X Company (7)'!$P$3:$P$698,"Same-market proxy")&gt;0,"Same-market proxy",IF(COUNTIFS('Shortlisted Drugs X Company (7)'!$C$3:$C$698,$B126,'Shortlisted Drugs X Company (7)'!$E$3:$E$698,$AA126,'Shortlisted Drugs X Company (7)'!$P$3:$P$698,"Cross-market proxy")&gt;0,"Cross-market proxy",IF(COUNTIFS('Shortlisted Drugs X Company (7)'!$C$3:$C$698,$B126,'Shortlisted Drugs X Company (7)'!$E$3:$E$698,$AA126,'Shortlisted Drugs X Company (7)'!$P$3:$P$698,"Source not found")&gt;0,"Source not found","No price found"))))</f>
        <v>Same-market proxy</v>
      </c>
      <c r="K126" s="19" t="n">
        <f aca="false">IFERROR(INDEX('Injectable Value'!$AB$28:$AB$178,MATCH(B126,'Injectable Value'!$A$28:$A$178,0)),"")</f>
        <v>236</v>
      </c>
      <c r="L126" s="77" t="n">
        <f aca="false">IFERROR(INDEX('Injectable Value'!$Z$28:$Z$178,MATCH(B126,'Injectable Value'!$A$28:$A$178,0)),"")</f>
        <v>0.991758241758242</v>
      </c>
      <c r="M126" s="19" t="n">
        <f aca="false">IFERROR(INDEX('Injectable Value'!$AC$28:$AC$178,MATCH(B126,'Injectable Value'!$A$28:$A$178,0)),"")</f>
        <v>234</v>
      </c>
      <c r="N126" s="19" t="n">
        <f aca="false">IFERROR(INDEX('Injectable Value'!$C$28:$C$178,MATCH(B126,'Injectable Value'!$A$28:$A$178,0)),"")</f>
        <v>1845.67</v>
      </c>
      <c r="O126" s="19" t="n">
        <f aca="false">IFERROR(ROUND(INDEX('Injectable Value'!$AA$28:$AA$178,MATCH(B126,'Injectable Value'!$A$28:$A$178,0)),1),"")</f>
        <v>1830.5</v>
      </c>
      <c r="P126" s="16" t="str">
        <f aca="false">IFERROR(INDEX('Route of Administration'!$C$5:$C$155,MATCH(B126,'Route of Administration'!$A$5:$A$155,0)),"")</f>
        <v>IV, SC, IM</v>
      </c>
      <c r="Q126" s="15" t="str">
        <f aca="false">IFERROR(INDEX('Route of Administration'!$D$5:$D$155,MATCH(B126,'Route of Administration'!$A$5:$A$155,0)),"")</f>
        <v>Yes</v>
      </c>
      <c r="R126" s="16" t="s">
        <v>473</v>
      </c>
      <c r="S126" s="17" t="s">
        <v>747</v>
      </c>
      <c r="T126" s="16" t="s">
        <v>283</v>
      </c>
      <c r="U126" s="17" t="str">
        <f aca="false">""&amp;IF(AE126=0,"No price found","")&amp;IF(AND(AE126&gt;0,AF126=0,AG126=0),"Low price comes from another market – confirm with the company","")</f>
        <v/>
      </c>
      <c r="V126" s="17" t="s">
        <v>284</v>
      </c>
      <c r="W126" s="15" t="n">
        <v>1</v>
      </c>
      <c r="X126" s="17" t="s">
        <v>284</v>
      </c>
      <c r="Y126" s="17" t="s">
        <v>284</v>
      </c>
      <c r="Z126" s="17" t="s">
        <v>321</v>
      </c>
      <c r="AA126" s="16" t="s">
        <v>698</v>
      </c>
      <c r="AB126" s="78" t="s">
        <v>748</v>
      </c>
      <c r="AC126" s="20" t="n">
        <f aca="false">IF(AE126&gt;0,ROUND(AVERAGEIFS('Shortlisted Drugs X Company (7)'!$N$3:$N$698,'Shortlisted Drugs X Company (7)'!$C$3:$C$698,$B126,'Shortlisted Drugs X Company (7)'!$E$3:$E$698,$AA126,'Shortlisted Drugs X Company (7)'!$N$3:$N$698,"&gt;=0"),2),"")</f>
        <v>17.79</v>
      </c>
      <c r="AD126" s="79" t="str">
        <f aca="false">B126&amp;"|"&amp;AA126</f>
        <v>Neostigmine|Dr. Reddy's Laboratories</v>
      </c>
      <c r="AE126" s="22" t="n">
        <f aca="false">COUNTIFS('Shortlisted Drugs X Company (7)'!$C$3:$C$698,$B126,'Shortlisted Drugs X Company (7)'!$E$3:$E$698,$AA126,'Shortlisted Drugs X Company (7)'!$N$3:$N$698,"&gt;=0")</f>
        <v>3</v>
      </c>
      <c r="AF126" s="22" t="n">
        <f aca="false">COUNTIFS('Shortlisted Drugs X Company (7)'!$C$3:$C$698,$B126,'Shortlisted Drugs X Company (7)'!$E$3:$E$698,$AA126,'Shortlisted Drugs X Company (7)'!$N$3:$N$698,"&gt;5")</f>
        <v>3</v>
      </c>
      <c r="AG126" s="22" t="n">
        <f aca="false">COUNTIFS('Shortlisted Drugs X Company (7)'!$C$3:$C$698,$B126,'Shortlisted Drugs X Company (7)'!$E$3:$E$698,$AA126,'Shortlisted Drugs X Company (7)'!$P$3:$P$698,"Exact")+COUNTIFS('Shortlisted Drugs X Company (7)'!$C$3:$C$698,$B126,'Shortlisted Drugs X Company (7)'!$E$3:$E$698,$AA126,'Shortlisted Drugs X Company (7)'!$P$3:$P$698,"Same-market proxy")</f>
        <v>3</v>
      </c>
      <c r="AH126" s="22" t="n">
        <f aca="false">INDEX($G$7:$G$25,MATCH(A126,$A$7:$A$25,0))</f>
        <v>3</v>
      </c>
      <c r="AI126" s="79" t="str">
        <f aca="false">IF(OR(Q126="No",LEFT(H126,7)="IV only"),"",AH126*1000+IF(F126="",900+COUNTIFS($A$29:A126,A126,$H$29:H126,"Price*"),F126))</f>
        <v/>
      </c>
      <c r="AJ126" s="79" t="str">
        <f aca="false">IF(H126&lt;&gt;"","",(4-VALUE(RIGHT(E126,1)))*10^7+N(O126))</f>
        <v/>
      </c>
      <c r="AK126" s="79" t="str">
        <f aca="false">IF(AND(H126="",ISNUMBER(I126)),I126,"")</f>
        <v/>
      </c>
      <c r="AL126" s="79" t="str">
        <f aca="false">IF(H126="",M126,"")</f>
        <v/>
      </c>
    </row>
    <row r="127" customFormat="false" ht="28.35" hidden="false" customHeight="false" outlineLevel="0" collapsed="false">
      <c r="A127" s="16" t="s">
        <v>231</v>
      </c>
      <c r="B127" s="16" t="s">
        <v>529</v>
      </c>
      <c r="C127" s="17" t="s">
        <v>749</v>
      </c>
      <c r="D127" s="17" t="s">
        <v>531</v>
      </c>
      <c r="E127" s="15" t="str">
        <f aca="false">IF(H127&lt;&gt;"",IF(LEFT(H127,5)="Price","Excluded – price ≤ USD 5","Excluded – IV only"),IF(ISNUMBER(I127),IF(AND(I127&gt;=$C$3,M127&gt;=$E$3),"Priority 1",IF(OR(I127&gt;=$C$3,M127&gt;=$E$3),"Priority 2","Priority 3")),IF(M127&gt;=$E$3,"Priority 2","Priority 3")))</f>
        <v>Excluded – IV only</v>
      </c>
      <c r="F127" s="15" t="str">
        <f aca="false">IF(H127&lt;&gt;"","",COUNTIFS($A$29:$A$361,A127,$H$29:$H$361,"",$AJ$29:$AJ$361,"&gt;"&amp;AJ127)+COUNTIFS($A$29:A127,A127,$H$29:H127,"",$AJ$29:AJ127,AJ127))</f>
        <v/>
      </c>
      <c r="G127" s="17" t="str">
        <f aca="false">IF(H127&lt;&gt;"","",IF(ISNUMBER(I127),IF(I127&gt;=$C$3,"High price","Lower price"),"No price")&amp;", "&amp;IF(M127&gt;=$E$3,"high volume","lower volume"))</f>
        <v/>
      </c>
      <c r="H127" s="17" t="str">
        <f aca="false">IF(Q127="No","IV only (no ID, IM or SC route)",IF(AND(AE127&gt;0,AF127=0),"Price ≤ USD 5",""))</f>
        <v>IV only (no ID, IM or SC route)</v>
      </c>
      <c r="I127" s="18" t="n">
        <f aca="false">IF(AF127&gt;0,ROUND(AVERAGEIFS('Shortlisted Drugs X Company (7)'!$N$3:$N$698,'Shortlisted Drugs X Company (7)'!$C$3:$C$698,$B127,'Shortlisted Drugs X Company (7)'!$E$3:$E$698,$AA127,'Shortlisted Drugs X Company (7)'!$N$3:$N$698,"&gt;5"),2),"")</f>
        <v>37.87</v>
      </c>
      <c r="J127" s="17" t="str">
        <f aca="false">IF(COUNTIFS('Shortlisted Drugs X Company (7)'!$C$3:$C$698,$B127,'Shortlisted Drugs X Company (7)'!$E$3:$E$698,$AA127,'Shortlisted Drugs X Company (7)'!$P$3:$P$698,"Exact")&gt;0,"Exact",IF(COUNTIFS('Shortlisted Drugs X Company (7)'!$C$3:$C$698,$B127,'Shortlisted Drugs X Company (7)'!$E$3:$E$698,$AA127,'Shortlisted Drugs X Company (7)'!$P$3:$P$698,"Same-market proxy")&gt;0,"Same-market proxy",IF(COUNTIFS('Shortlisted Drugs X Company (7)'!$C$3:$C$698,$B127,'Shortlisted Drugs X Company (7)'!$E$3:$E$698,$AA127,'Shortlisted Drugs X Company (7)'!$P$3:$P$698,"Cross-market proxy")&gt;0,"Cross-market proxy",IF(COUNTIFS('Shortlisted Drugs X Company (7)'!$C$3:$C$698,$B127,'Shortlisted Drugs X Company (7)'!$E$3:$E$698,$AA127,'Shortlisted Drugs X Company (7)'!$P$3:$P$698,"Source not found")&gt;0,"Source not found","No price found"))))</f>
        <v>Exact</v>
      </c>
      <c r="K127" s="19" t="n">
        <f aca="false">IFERROR(INDEX('Injectable Value'!$AB$28:$AB$178,MATCH(B127,'Injectable Value'!$A$28:$A$178,0)),"")</f>
        <v>119</v>
      </c>
      <c r="L127" s="77" t="n">
        <f aca="false">IFERROR(INDEX('Injectable Value'!$Z$28:$Z$178,MATCH(B127,'Injectable Value'!$A$28:$A$178,0)),"")</f>
        <v>0.899884259259259</v>
      </c>
      <c r="M127" s="19" t="n">
        <f aca="false">IFERROR(INDEX('Injectable Value'!$AC$28:$AC$178,MATCH(B127,'Injectable Value'!$A$28:$A$178,0)),"")</f>
        <v>107</v>
      </c>
      <c r="N127" s="19" t="n">
        <f aca="false">IFERROR(INDEX('Injectable Value'!$C$28:$C$178,MATCH(B127,'Injectable Value'!$A$28:$A$178,0)),"")</f>
        <v>3113.83</v>
      </c>
      <c r="O127" s="19" t="n">
        <f aca="false">IFERROR(ROUND(INDEX('Injectable Value'!$AA$28:$AA$178,MATCH(B127,'Injectable Value'!$A$28:$A$178,0)),1),"")</f>
        <v>2802.1</v>
      </c>
      <c r="P127" s="16" t="str">
        <f aca="false">IFERROR(INDEX('Route of Administration'!$C$5:$C$155,MATCH(B127,'Route of Administration'!$A$5:$A$155,0)),"")</f>
        <v>IV</v>
      </c>
      <c r="Q127" s="15" t="str">
        <f aca="false">IFERROR(INDEX('Route of Administration'!$D$5:$D$155,MATCH(B127,'Route of Administration'!$A$5:$A$155,0)),"")</f>
        <v>No</v>
      </c>
      <c r="R127" s="16" t="s">
        <v>281</v>
      </c>
      <c r="S127" s="17" t="s">
        <v>750</v>
      </c>
      <c r="T127" s="16" t="s">
        <v>283</v>
      </c>
      <c r="U127" s="17" t="str">
        <f aca="false">""&amp;IF(AE127=0,"No price found","")&amp;IF(AND(AE127&gt;0,AF127=0,AG127=0),"Low price comes from another market – confirm with the company","")</f>
        <v/>
      </c>
      <c r="V127" s="17" t="s">
        <v>751</v>
      </c>
      <c r="W127" s="15" t="n">
        <v>5</v>
      </c>
      <c r="X127" s="17" t="s">
        <v>752</v>
      </c>
      <c r="Y127" s="17" t="s">
        <v>752</v>
      </c>
      <c r="Z127" s="17" t="s">
        <v>286</v>
      </c>
      <c r="AA127" s="16" t="s">
        <v>698</v>
      </c>
      <c r="AB127" s="78" t="s">
        <v>533</v>
      </c>
      <c r="AC127" s="20" t="n">
        <f aca="false">IF(AE127&gt;0,ROUND(AVERAGEIFS('Shortlisted Drugs X Company (7)'!$N$3:$N$698,'Shortlisted Drugs X Company (7)'!$C$3:$C$698,$B127,'Shortlisted Drugs X Company (7)'!$E$3:$E$698,$AA127,'Shortlisted Drugs X Company (7)'!$N$3:$N$698,"&gt;=0"),2),"")</f>
        <v>37.87</v>
      </c>
      <c r="AD127" s="79" t="str">
        <f aca="false">B127&amp;"|"&amp;AA127</f>
        <v>Palonosetron|Dr. Reddy's Laboratories</v>
      </c>
      <c r="AE127" s="22" t="n">
        <f aca="false">COUNTIFS('Shortlisted Drugs X Company (7)'!$C$3:$C$698,$B127,'Shortlisted Drugs X Company (7)'!$E$3:$E$698,$AA127,'Shortlisted Drugs X Company (7)'!$N$3:$N$698,"&gt;=0")</f>
        <v>3</v>
      </c>
      <c r="AF127" s="22" t="n">
        <f aca="false">COUNTIFS('Shortlisted Drugs X Company (7)'!$C$3:$C$698,$B127,'Shortlisted Drugs X Company (7)'!$E$3:$E$698,$AA127,'Shortlisted Drugs X Company (7)'!$N$3:$N$698,"&gt;5")</f>
        <v>3</v>
      </c>
      <c r="AG127" s="22" t="n">
        <f aca="false">COUNTIFS('Shortlisted Drugs X Company (7)'!$C$3:$C$698,$B127,'Shortlisted Drugs X Company (7)'!$E$3:$E$698,$AA127,'Shortlisted Drugs X Company (7)'!$P$3:$P$698,"Exact")+COUNTIFS('Shortlisted Drugs X Company (7)'!$C$3:$C$698,$B127,'Shortlisted Drugs X Company (7)'!$E$3:$E$698,$AA127,'Shortlisted Drugs X Company (7)'!$P$3:$P$698,"Same-market proxy")</f>
        <v>3</v>
      </c>
      <c r="AH127" s="22" t="n">
        <f aca="false">INDEX($G$7:$G$25,MATCH(A127,$A$7:$A$25,0))</f>
        <v>3</v>
      </c>
      <c r="AI127" s="79" t="str">
        <f aca="false">IF(OR(Q127="No",LEFT(H127,7)="IV only"),"",AH127*1000+IF(F127="",900+COUNTIFS($A$29:A127,A127,$H$29:H127,"Price*"),F127))</f>
        <v/>
      </c>
      <c r="AJ127" s="79" t="str">
        <f aca="false">IF(H127&lt;&gt;"","",(4-VALUE(RIGHT(E127,1)))*10^7+N(O127))</f>
        <v/>
      </c>
      <c r="AK127" s="79" t="str">
        <f aca="false">IF(AND(H127="",ISNUMBER(I127)),I127,"")</f>
        <v/>
      </c>
      <c r="AL127" s="79" t="str">
        <f aca="false">IF(H127="",M127,"")</f>
        <v/>
      </c>
    </row>
    <row r="128" customFormat="false" ht="41.75" hidden="false" customHeight="false" outlineLevel="0" collapsed="false">
      <c r="A128" s="16" t="s">
        <v>231</v>
      </c>
      <c r="B128" s="16" t="s">
        <v>304</v>
      </c>
      <c r="C128" s="17" t="s">
        <v>304</v>
      </c>
      <c r="D128" s="17" t="s">
        <v>305</v>
      </c>
      <c r="E128" s="15" t="str">
        <f aca="false">IF(H128&lt;&gt;"",IF(LEFT(H128,5)="Price","Excluded – price ≤ USD 5","Excluded – IV only"),IF(ISNUMBER(I128),IF(AND(I128&gt;=$C$3,M128&gt;=$E$3),"Priority 1",IF(OR(I128&gt;=$C$3,M128&gt;=$E$3),"Priority 2","Priority 3")),IF(M128&gt;=$E$3,"Priority 2","Priority 3")))</f>
        <v>Priority 3</v>
      </c>
      <c r="F128" s="15" t="n">
        <f aca="false">IF(H128&lt;&gt;"","",COUNTIFS($A$29:$A$361,A128,$H$29:$H$361,"",$AJ$29:$AJ$361,"&gt;"&amp;AJ128)+COUNTIFS($A$29:A128,A128,$H$29:H128,"",$AJ$29:AJ128,AJ128))</f>
        <v>9</v>
      </c>
      <c r="G128" s="17" t="str">
        <f aca="false">IF(H128&lt;&gt;"","",IF(ISNUMBER(I128),IF(I128&gt;=$C$3,"High price","Lower price"),"No price")&amp;", "&amp;IF(M128&gt;=$E$3,"high volume","lower volume"))</f>
        <v>Lower price, lower volume</v>
      </c>
      <c r="H128" s="17" t="str">
        <f aca="false">IF(Q128="No","IV only (no ID, IM or SC route)",IF(AND(AE128&gt;0,AF128=0),"Price ≤ USD 5",""))</f>
        <v/>
      </c>
      <c r="I128" s="18" t="n">
        <f aca="false">IF(AF128&gt;0,ROUND(AVERAGEIFS('Shortlisted Drugs X Company (7)'!$N$3:$N$698,'Shortlisted Drugs X Company (7)'!$C$3:$C$698,$B128,'Shortlisted Drugs X Company (7)'!$E$3:$E$698,$AA128,'Shortlisted Drugs X Company (7)'!$N$3:$N$698,"&gt;5"),2),"")</f>
        <v>16.96</v>
      </c>
      <c r="J128" s="17" t="str">
        <f aca="false">IF(COUNTIFS('Shortlisted Drugs X Company (7)'!$C$3:$C$698,$B128,'Shortlisted Drugs X Company (7)'!$E$3:$E$698,$AA128,'Shortlisted Drugs X Company (7)'!$P$3:$P$698,"Exact")&gt;0,"Exact",IF(COUNTIFS('Shortlisted Drugs X Company (7)'!$C$3:$C$698,$B128,'Shortlisted Drugs X Company (7)'!$E$3:$E$698,$AA128,'Shortlisted Drugs X Company (7)'!$P$3:$P$698,"Same-market proxy")&gt;0,"Same-market proxy",IF(COUNTIFS('Shortlisted Drugs X Company (7)'!$C$3:$C$698,$B128,'Shortlisted Drugs X Company (7)'!$E$3:$E$698,$AA128,'Shortlisted Drugs X Company (7)'!$P$3:$P$698,"Cross-market proxy")&gt;0,"Cross-market proxy",IF(COUNTIFS('Shortlisted Drugs X Company (7)'!$C$3:$C$698,$B128,'Shortlisted Drugs X Company (7)'!$E$3:$E$698,$AA128,'Shortlisted Drugs X Company (7)'!$P$3:$P$698,"Source not found")&gt;0,"Source not found","No price found"))))</f>
        <v>Same-market proxy</v>
      </c>
      <c r="K128" s="19" t="n">
        <f aca="false">IFERROR(INDEX('Injectable Value'!$AB$28:$AB$178,MATCH(B128,'Injectable Value'!$A$28:$A$178,0)),"")</f>
        <v>51</v>
      </c>
      <c r="L128" s="77" t="n">
        <f aca="false">IFERROR(INDEX('Injectable Value'!$Z$28:$Z$178,MATCH(B128,'Injectable Value'!$A$28:$A$178,0)),"")</f>
        <v>0.468334010008564</v>
      </c>
      <c r="M128" s="19" t="n">
        <f aca="false">IFERROR(INDEX('Injectable Value'!$AC$28:$AC$178,MATCH(B128,'Injectable Value'!$A$28:$A$178,0)),"")</f>
        <v>24</v>
      </c>
      <c r="N128" s="19" t="n">
        <f aca="false">IFERROR(INDEX('Injectable Value'!$C$28:$C$178,MATCH(B128,'Injectable Value'!$A$28:$A$178,0)),"")</f>
        <v>5770.02</v>
      </c>
      <c r="O128" s="19" t="n">
        <f aca="false">IFERROR(ROUND(INDEX('Injectable Value'!$AA$28:$AA$178,MATCH(B128,'Injectable Value'!$A$28:$A$178,0)),1),"")</f>
        <v>2702.3</v>
      </c>
      <c r="P128" s="16" t="str">
        <f aca="false">IFERROR(INDEX('Route of Administration'!$C$5:$C$155,MATCH(B128,'Route of Administration'!$A$5:$A$155,0)),"")</f>
        <v>IV, IM, SC</v>
      </c>
      <c r="Q128" s="15" t="str">
        <f aca="false">IFERROR(INDEX('Route of Administration'!$D$5:$D$155,MATCH(B128,'Route of Administration'!$A$5:$A$155,0)),"")</f>
        <v>Yes</v>
      </c>
      <c r="R128" s="16" t="s">
        <v>349</v>
      </c>
      <c r="S128" s="17" t="s">
        <v>753</v>
      </c>
      <c r="T128" s="16" t="s">
        <v>283</v>
      </c>
      <c r="U128" s="17" t="str">
        <f aca="false">""&amp;IF(AE128=0,"No price found","")&amp;IF(AND(AE128&gt;0,AF128=0,AG128=0),"Low price comes from another market – confirm with the company","")</f>
        <v/>
      </c>
      <c r="V128" s="17" t="s">
        <v>284</v>
      </c>
      <c r="W128" s="15" t="n">
        <v>1</v>
      </c>
      <c r="X128" s="17" t="s">
        <v>284</v>
      </c>
      <c r="Y128" s="17" t="s">
        <v>284</v>
      </c>
      <c r="Z128" s="17" t="s">
        <v>312</v>
      </c>
      <c r="AA128" s="16" t="s">
        <v>698</v>
      </c>
      <c r="AB128" s="78" t="s">
        <v>307</v>
      </c>
      <c r="AC128" s="20" t="n">
        <f aca="false">IF(AE128&gt;0,ROUND(AVERAGEIFS('Shortlisted Drugs X Company (7)'!$N$3:$N$698,'Shortlisted Drugs X Company (7)'!$C$3:$C$698,$B128,'Shortlisted Drugs X Company (7)'!$E$3:$E$698,$AA128,'Shortlisted Drugs X Company (7)'!$N$3:$N$698,"&gt;=0"),2),"")</f>
        <v>16.96</v>
      </c>
      <c r="AD128" s="79" t="str">
        <f aca="false">B128&amp;"|"&amp;AA128</f>
        <v>Phytonadione|Dr. Reddy's Laboratories</v>
      </c>
      <c r="AE128" s="22" t="n">
        <f aca="false">COUNTIFS('Shortlisted Drugs X Company (7)'!$C$3:$C$698,$B128,'Shortlisted Drugs X Company (7)'!$E$3:$E$698,$AA128,'Shortlisted Drugs X Company (7)'!$N$3:$N$698,"&gt;=0")</f>
        <v>1</v>
      </c>
      <c r="AF128" s="22" t="n">
        <f aca="false">COUNTIFS('Shortlisted Drugs X Company (7)'!$C$3:$C$698,$B128,'Shortlisted Drugs X Company (7)'!$E$3:$E$698,$AA128,'Shortlisted Drugs X Company (7)'!$N$3:$N$698,"&gt;5")</f>
        <v>1</v>
      </c>
      <c r="AG128" s="22" t="n">
        <f aca="false">COUNTIFS('Shortlisted Drugs X Company (7)'!$C$3:$C$698,$B128,'Shortlisted Drugs X Company (7)'!$E$3:$E$698,$AA128,'Shortlisted Drugs X Company (7)'!$P$3:$P$698,"Exact")+COUNTIFS('Shortlisted Drugs X Company (7)'!$C$3:$C$698,$B128,'Shortlisted Drugs X Company (7)'!$E$3:$E$698,$AA128,'Shortlisted Drugs X Company (7)'!$P$3:$P$698,"Same-market proxy")</f>
        <v>1</v>
      </c>
      <c r="AH128" s="22" t="n">
        <f aca="false">INDEX($G$7:$G$25,MATCH(A128,$A$7:$A$25,0))</f>
        <v>3</v>
      </c>
      <c r="AI128" s="79" t="n">
        <f aca="false">IF(OR(Q128="No",LEFT(H128,7)="IV only"),"",AH128*1000+IF(F128="",900+COUNTIFS($A$29:A128,A128,$H$29:H128,"Price*"),F128))</f>
        <v>3009</v>
      </c>
      <c r="AJ128" s="79" t="n">
        <f aca="false">IF(H128&lt;&gt;"","",(4-VALUE(RIGHT(E128,1)))*10^7+N(O128))</f>
        <v>10002702.3</v>
      </c>
      <c r="AK128" s="20" t="n">
        <f aca="false">IF(AND(H128="",ISNUMBER(I128)),I128,"")</f>
        <v>16.96</v>
      </c>
      <c r="AL128" s="21" t="n">
        <f aca="false">IF(H128="",M128,"")</f>
        <v>24</v>
      </c>
    </row>
    <row r="129" customFormat="false" ht="41.75" hidden="false" customHeight="false" outlineLevel="0" collapsed="false">
      <c r="A129" s="16" t="s">
        <v>231</v>
      </c>
      <c r="B129" s="16" t="s">
        <v>541</v>
      </c>
      <c r="C129" s="17" t="s">
        <v>541</v>
      </c>
      <c r="D129" s="17" t="s">
        <v>543</v>
      </c>
      <c r="E129" s="15" t="str">
        <f aca="false">IF(H129&lt;&gt;"",IF(LEFT(H129,5)="Price","Excluded – price ≤ USD 5","Excluded – IV only"),IF(ISNUMBER(I129),IF(AND(I129&gt;=$C$3,M129&gt;=$E$3),"Priority 1",IF(OR(I129&gt;=$C$3,M129&gt;=$E$3),"Priority 2","Priority 3")),IF(M129&gt;=$E$3,"Priority 2","Priority 3")))</f>
        <v>Priority 2</v>
      </c>
      <c r="F129" s="15" t="n">
        <f aca="false">IF(H129&lt;&gt;"","",COUNTIFS($A$29:$A$361,A129,$H$29:$H$361,"",$AJ$29:$AJ$361,"&gt;"&amp;AJ129)+COUNTIFS($A$29:A129,A129,$H$29:H129,"",$AJ$29:AJ129,AJ129))</f>
        <v>5</v>
      </c>
      <c r="G129" s="17" t="str">
        <f aca="false">IF(H129&lt;&gt;"","",IF(ISNUMBER(I129),IF(I129&gt;=$C$3,"High price","Lower price"),"No price")&amp;", "&amp;IF(M129&gt;=$E$3,"high volume","lower volume"))</f>
        <v>High price, lower volume</v>
      </c>
      <c r="H129" s="17" t="str">
        <f aca="false">IF(Q129="No","IV only (no ID, IM or SC route)",IF(AND(AE129&gt;0,AF129=0),"Price ≤ USD 5",""))</f>
        <v/>
      </c>
      <c r="I129" s="18" t="n">
        <f aca="false">IF(AF129&gt;0,ROUND(AVERAGEIFS('Shortlisted Drugs X Company (7)'!$N$3:$N$698,'Shortlisted Drugs X Company (7)'!$C$3:$C$698,$B129,'Shortlisted Drugs X Company (7)'!$E$3:$E$698,$AA129,'Shortlisted Drugs X Company (7)'!$N$3:$N$698,"&gt;5"),2),"")</f>
        <v>343.8</v>
      </c>
      <c r="J129" s="17" t="str">
        <f aca="false">IF(COUNTIFS('Shortlisted Drugs X Company (7)'!$C$3:$C$698,$B129,'Shortlisted Drugs X Company (7)'!$E$3:$E$698,$AA129,'Shortlisted Drugs X Company (7)'!$P$3:$P$698,"Exact")&gt;0,"Exact",IF(COUNTIFS('Shortlisted Drugs X Company (7)'!$C$3:$C$698,$B129,'Shortlisted Drugs X Company (7)'!$E$3:$E$698,$AA129,'Shortlisted Drugs X Company (7)'!$P$3:$P$698,"Same-market proxy")&gt;0,"Same-market proxy",IF(COUNTIFS('Shortlisted Drugs X Company (7)'!$C$3:$C$698,$B129,'Shortlisted Drugs X Company (7)'!$E$3:$E$698,$AA129,'Shortlisted Drugs X Company (7)'!$P$3:$P$698,"Cross-market proxy")&gt;0,"Cross-market proxy",IF(COUNTIFS('Shortlisted Drugs X Company (7)'!$C$3:$C$698,$B129,'Shortlisted Drugs X Company (7)'!$E$3:$E$698,$AA129,'Shortlisted Drugs X Company (7)'!$P$3:$P$698,"Source not found")&gt;0,"Source not found","No price found"))))</f>
        <v>Same-market proxy</v>
      </c>
      <c r="K129" s="19" t="n">
        <f aca="false">IFERROR(INDEX('Injectable Value'!$AB$28:$AB$178,MATCH(B129,'Injectable Value'!$A$28:$A$178,0)),"")</f>
        <v>47</v>
      </c>
      <c r="L129" s="77" t="n">
        <f aca="false">IFERROR(INDEX('Injectable Value'!$Z$28:$Z$178,MATCH(B129,'Injectable Value'!$A$28:$A$178,0)),"")</f>
        <v>1</v>
      </c>
      <c r="M129" s="19" t="n">
        <f aca="false">IFERROR(INDEX('Injectable Value'!$AC$28:$AC$178,MATCH(B129,'Injectable Value'!$A$28:$A$178,0)),"")</f>
        <v>47</v>
      </c>
      <c r="N129" s="19" t="n">
        <f aca="false">IFERROR(INDEX('Injectable Value'!$C$28:$C$178,MATCH(B129,'Injectable Value'!$A$28:$A$178,0)),"")</f>
        <v>7904.67</v>
      </c>
      <c r="O129" s="19" t="n">
        <f aca="false">IFERROR(ROUND(INDEX('Injectable Value'!$AA$28:$AA$178,MATCH(B129,'Injectable Value'!$A$28:$A$178,0)),1),"")</f>
        <v>7904.7</v>
      </c>
      <c r="P129" s="16" t="str">
        <f aca="false">IFERROR(INDEX('Route of Administration'!$C$5:$C$155,MATCH(B129,'Route of Administration'!$A$5:$A$155,0)),"")</f>
        <v>SC</v>
      </c>
      <c r="Q129" s="15" t="str">
        <f aca="false">IFERROR(INDEX('Route of Administration'!$D$5:$D$155,MATCH(B129,'Route of Administration'!$A$5:$A$155,0)),"")</f>
        <v>Yes</v>
      </c>
      <c r="R129" s="16" t="s">
        <v>281</v>
      </c>
      <c r="S129" s="17" t="s">
        <v>544</v>
      </c>
      <c r="T129" s="16" t="s">
        <v>283</v>
      </c>
      <c r="U129" s="17" t="str">
        <f aca="false">""&amp;IF(AE129=0,"No price found","")&amp;IF(AND(AE129&gt;0,AF129=0,AG129=0),"Low price comes from another market – confirm with the company","")</f>
        <v/>
      </c>
      <c r="V129" s="17" t="s">
        <v>284</v>
      </c>
      <c r="W129" s="15" t="n">
        <v>1</v>
      </c>
      <c r="X129" s="17" t="s">
        <v>284</v>
      </c>
      <c r="Y129" s="17" t="s">
        <v>284</v>
      </c>
      <c r="Z129" s="17" t="s">
        <v>286</v>
      </c>
      <c r="AA129" s="16" t="s">
        <v>698</v>
      </c>
      <c r="AB129" s="78" t="s">
        <v>547</v>
      </c>
      <c r="AC129" s="20" t="n">
        <f aca="false">IF(AE129&gt;0,ROUND(AVERAGEIFS('Shortlisted Drugs X Company (7)'!$N$3:$N$698,'Shortlisted Drugs X Company (7)'!$C$3:$C$698,$B129,'Shortlisted Drugs X Company (7)'!$E$3:$E$698,$AA129,'Shortlisted Drugs X Company (7)'!$N$3:$N$698,"&gt;=0"),2),"")</f>
        <v>343.8</v>
      </c>
      <c r="AD129" s="79" t="str">
        <f aca="false">B129&amp;"|"&amp;AA129</f>
        <v>Plerixafor|Dr. Reddy's Laboratories</v>
      </c>
      <c r="AE129" s="22" t="n">
        <f aca="false">COUNTIFS('Shortlisted Drugs X Company (7)'!$C$3:$C$698,$B129,'Shortlisted Drugs X Company (7)'!$E$3:$E$698,$AA129,'Shortlisted Drugs X Company (7)'!$N$3:$N$698,"&gt;=0")</f>
        <v>1</v>
      </c>
      <c r="AF129" s="22" t="n">
        <f aca="false">COUNTIFS('Shortlisted Drugs X Company (7)'!$C$3:$C$698,$B129,'Shortlisted Drugs X Company (7)'!$E$3:$E$698,$AA129,'Shortlisted Drugs X Company (7)'!$N$3:$N$698,"&gt;5")</f>
        <v>1</v>
      </c>
      <c r="AG129" s="22" t="n">
        <f aca="false">COUNTIFS('Shortlisted Drugs X Company (7)'!$C$3:$C$698,$B129,'Shortlisted Drugs X Company (7)'!$E$3:$E$698,$AA129,'Shortlisted Drugs X Company (7)'!$P$3:$P$698,"Exact")+COUNTIFS('Shortlisted Drugs X Company (7)'!$C$3:$C$698,$B129,'Shortlisted Drugs X Company (7)'!$E$3:$E$698,$AA129,'Shortlisted Drugs X Company (7)'!$P$3:$P$698,"Same-market proxy")</f>
        <v>1</v>
      </c>
      <c r="AH129" s="22" t="n">
        <f aca="false">INDEX($G$7:$G$25,MATCH(A129,$A$7:$A$25,0))</f>
        <v>3</v>
      </c>
      <c r="AI129" s="79" t="n">
        <f aca="false">IF(OR(Q129="No",LEFT(H129,7)="IV only"),"",AH129*1000+IF(F129="",900+COUNTIFS($A$29:A129,A129,$H$29:H129,"Price*"),F129))</f>
        <v>3005</v>
      </c>
      <c r="AJ129" s="79" t="n">
        <f aca="false">IF(H129&lt;&gt;"","",(4-VALUE(RIGHT(E129,1)))*10^7+N(O129))</f>
        <v>20007904.7</v>
      </c>
      <c r="AK129" s="20" t="n">
        <f aca="false">IF(AND(H129="",ISNUMBER(I129)),I129,"")</f>
        <v>343.8</v>
      </c>
      <c r="AL129" s="21" t="n">
        <f aca="false">IF(H129="",M129,"")</f>
        <v>47</v>
      </c>
    </row>
    <row r="130" customFormat="false" ht="28.35" hidden="false" customHeight="false" outlineLevel="0" collapsed="false">
      <c r="A130" s="16" t="s">
        <v>231</v>
      </c>
      <c r="B130" s="16" t="s">
        <v>552</v>
      </c>
      <c r="C130" s="17" t="s">
        <v>552</v>
      </c>
      <c r="D130" s="17" t="s">
        <v>553</v>
      </c>
      <c r="E130" s="15" t="str">
        <f aca="false">IF(H130&lt;&gt;"",IF(LEFT(H130,5)="Price","Excluded – price ≤ USD 5","Excluded – IV only"),IF(ISNUMBER(I130),IF(AND(I130&gt;=$C$3,M130&gt;=$E$3),"Priority 1",IF(OR(I130&gt;=$C$3,M130&gt;=$E$3),"Priority 2","Priority 3")),IF(M130&gt;=$E$3,"Priority 2","Priority 3")))</f>
        <v>Excluded – IV only</v>
      </c>
      <c r="F130" s="15" t="str">
        <f aca="false">IF(H130&lt;&gt;"","",COUNTIFS($A$29:$A$361,A130,$H$29:$H$361,"",$AJ$29:$AJ$361,"&gt;"&amp;AJ130)+COUNTIFS($A$29:A130,A130,$H$29:H130,"",$AJ$29:AJ130,AJ130))</f>
        <v/>
      </c>
      <c r="G130" s="17" t="str">
        <f aca="false">IF(H130&lt;&gt;"","",IF(ISNUMBER(I130),IF(I130&gt;=$C$3,"High price","Lower price"),"No price")&amp;", "&amp;IF(M130&gt;=$E$3,"high volume","lower volume"))</f>
        <v/>
      </c>
      <c r="H130" s="17" t="str">
        <f aca="false">IF(Q130="No","IV only (no ID, IM or SC route)",IF(AND(AE130&gt;0,AF130=0),"Price ≤ USD 5",""))</f>
        <v>IV only (no ID, IM or SC route)</v>
      </c>
      <c r="I130" s="18" t="n">
        <f aca="false">IF(AF130&gt;0,ROUND(AVERAGEIFS('Shortlisted Drugs X Company (7)'!$N$3:$N$698,'Shortlisted Drugs X Company (7)'!$C$3:$C$698,$B130,'Shortlisted Drugs X Company (7)'!$E$3:$E$698,$AA130,'Shortlisted Drugs X Company (7)'!$N$3:$N$698,"&gt;5"),2),"")</f>
        <v>10.03</v>
      </c>
      <c r="J130" s="17" t="str">
        <f aca="false">IF(COUNTIFS('Shortlisted Drugs X Company (7)'!$C$3:$C$698,$B130,'Shortlisted Drugs X Company (7)'!$E$3:$E$698,$AA130,'Shortlisted Drugs X Company (7)'!$P$3:$P$698,"Exact")&gt;0,"Exact",IF(COUNTIFS('Shortlisted Drugs X Company (7)'!$C$3:$C$698,$B130,'Shortlisted Drugs X Company (7)'!$E$3:$E$698,$AA130,'Shortlisted Drugs X Company (7)'!$P$3:$P$698,"Same-market proxy")&gt;0,"Same-market proxy",IF(COUNTIFS('Shortlisted Drugs X Company (7)'!$C$3:$C$698,$B130,'Shortlisted Drugs X Company (7)'!$E$3:$E$698,$AA130,'Shortlisted Drugs X Company (7)'!$P$3:$P$698,"Cross-market proxy")&gt;0,"Cross-market proxy",IF(COUNTIFS('Shortlisted Drugs X Company (7)'!$C$3:$C$698,$B130,'Shortlisted Drugs X Company (7)'!$E$3:$E$698,$AA130,'Shortlisted Drugs X Company (7)'!$P$3:$P$698,"Source not found")&gt;0,"Source not found","No price found"))))</f>
        <v>Same-market proxy</v>
      </c>
      <c r="K130" s="19" t="n">
        <f aca="false">IFERROR(INDEX('Injectable Value'!$AB$28:$AB$178,MATCH(B130,'Injectable Value'!$A$28:$A$178,0)),"")</f>
        <v>9</v>
      </c>
      <c r="L130" s="77" t="n">
        <f aca="false">IFERROR(INDEX('Injectable Value'!$Z$28:$Z$178,MATCH(B130,'Injectable Value'!$A$28:$A$178,0)),"")</f>
        <v>1</v>
      </c>
      <c r="M130" s="19" t="n">
        <f aca="false">IFERROR(INDEX('Injectable Value'!$AC$28:$AC$178,MATCH(B130,'Injectable Value'!$A$28:$A$178,0)),"")</f>
        <v>9</v>
      </c>
      <c r="N130" s="19" t="n">
        <f aca="false">IFERROR(INDEX('Injectable Value'!$C$28:$C$178,MATCH(B130,'Injectable Value'!$A$28:$A$178,0)),"")</f>
        <v>1127.64</v>
      </c>
      <c r="O130" s="19" t="n">
        <f aca="false">IFERROR(ROUND(INDEX('Injectable Value'!$AA$28:$AA$178,MATCH(B130,'Injectable Value'!$A$28:$A$178,0)),1),"")</f>
        <v>1127.6</v>
      </c>
      <c r="P130" s="16" t="str">
        <f aca="false">IFERROR(INDEX('Route of Administration'!$C$5:$C$155,MATCH(B130,'Route of Administration'!$A$5:$A$155,0)),"")</f>
        <v>IV</v>
      </c>
      <c r="Q130" s="15" t="str">
        <f aca="false">IFERROR(INDEX('Route of Administration'!$D$5:$D$155,MATCH(B130,'Route of Administration'!$A$5:$A$155,0)),"")</f>
        <v>No</v>
      </c>
      <c r="R130" s="16" t="s">
        <v>291</v>
      </c>
      <c r="S130" s="17" t="s">
        <v>554</v>
      </c>
      <c r="T130" s="16" t="s">
        <v>283</v>
      </c>
      <c r="U130" s="17" t="str">
        <f aca="false">"Prefilled only"&amp;IF(AE130=0,"; No price found","")&amp;IF(AND(AE130&gt;0,AF130=0,AG130=0),"; Low price comes from another market – confirm with the company","")</f>
        <v>Prefilled only</v>
      </c>
      <c r="V130" s="17" t="s">
        <v>284</v>
      </c>
      <c r="W130" s="15" t="n">
        <v>1</v>
      </c>
      <c r="X130" s="17" t="s">
        <v>284</v>
      </c>
      <c r="Y130" s="17" t="s">
        <v>284</v>
      </c>
      <c r="Z130" s="17" t="s">
        <v>293</v>
      </c>
      <c r="AA130" s="16" t="s">
        <v>698</v>
      </c>
      <c r="AB130" s="78" t="s">
        <v>555</v>
      </c>
      <c r="AC130" s="20" t="n">
        <f aca="false">IF(AE130&gt;0,ROUND(AVERAGEIFS('Shortlisted Drugs X Company (7)'!$N$3:$N$698,'Shortlisted Drugs X Company (7)'!$C$3:$C$698,$B130,'Shortlisted Drugs X Company (7)'!$E$3:$E$698,$AA130,'Shortlisted Drugs X Company (7)'!$N$3:$N$698,"&gt;=0"),2),"")</f>
        <v>10.03</v>
      </c>
      <c r="AD130" s="79" t="str">
        <f aca="false">B130&amp;"|"&amp;AA130</f>
        <v>Regadenoson|Dr. Reddy's Laboratories</v>
      </c>
      <c r="AE130" s="22" t="n">
        <f aca="false">COUNTIFS('Shortlisted Drugs X Company (7)'!$C$3:$C$698,$B130,'Shortlisted Drugs X Company (7)'!$E$3:$E$698,$AA130,'Shortlisted Drugs X Company (7)'!$N$3:$N$698,"&gt;=0")</f>
        <v>1</v>
      </c>
      <c r="AF130" s="22" t="n">
        <f aca="false">COUNTIFS('Shortlisted Drugs X Company (7)'!$C$3:$C$698,$B130,'Shortlisted Drugs X Company (7)'!$E$3:$E$698,$AA130,'Shortlisted Drugs X Company (7)'!$N$3:$N$698,"&gt;5")</f>
        <v>1</v>
      </c>
      <c r="AG130" s="22" t="n">
        <f aca="false">COUNTIFS('Shortlisted Drugs X Company (7)'!$C$3:$C$698,$B130,'Shortlisted Drugs X Company (7)'!$E$3:$E$698,$AA130,'Shortlisted Drugs X Company (7)'!$P$3:$P$698,"Exact")+COUNTIFS('Shortlisted Drugs X Company (7)'!$C$3:$C$698,$B130,'Shortlisted Drugs X Company (7)'!$E$3:$E$698,$AA130,'Shortlisted Drugs X Company (7)'!$P$3:$P$698,"Same-market proxy")</f>
        <v>1</v>
      </c>
      <c r="AH130" s="22" t="n">
        <f aca="false">INDEX($G$7:$G$25,MATCH(A130,$A$7:$A$25,0))</f>
        <v>3</v>
      </c>
      <c r="AI130" s="79" t="str">
        <f aca="false">IF(OR(Q130="No",LEFT(H130,7)="IV only"),"",AH130*1000+IF(F130="",900+COUNTIFS($A$29:A130,A130,$H$29:H130,"Price*"),F130))</f>
        <v/>
      </c>
      <c r="AJ130" s="79" t="str">
        <f aca="false">IF(H130&lt;&gt;"","",(4-VALUE(RIGHT(E130,1)))*10^7+N(O130))</f>
        <v/>
      </c>
      <c r="AK130" s="79" t="str">
        <f aca="false">IF(AND(H130="",ISNUMBER(I130)),I130,"")</f>
        <v/>
      </c>
      <c r="AL130" s="79" t="str">
        <f aca="false">IF(H130="",M130,"")</f>
        <v/>
      </c>
    </row>
    <row r="131" customFormat="false" ht="28.35" hidden="false" customHeight="false" outlineLevel="0" collapsed="false">
      <c r="A131" s="16" t="s">
        <v>231</v>
      </c>
      <c r="B131" s="16" t="s">
        <v>754</v>
      </c>
      <c r="C131" s="17" t="s">
        <v>755</v>
      </c>
      <c r="D131" s="17" t="s">
        <v>756</v>
      </c>
      <c r="E131" s="15" t="str">
        <f aca="false">IF(H131&lt;&gt;"",IF(LEFT(H131,5)="Price","Excluded – price ≤ USD 5","Excluded – IV only"),IF(ISNUMBER(I131),IF(AND(I131&gt;=$C$3,M131&gt;=$E$3),"Priority 1",IF(OR(I131&gt;=$C$3,M131&gt;=$E$3),"Priority 2","Priority 3")),IF(M131&gt;=$E$3,"Priority 2","Priority 3")))</f>
        <v>Priority 2</v>
      </c>
      <c r="F131" s="15" t="n">
        <f aca="false">IF(H131&lt;&gt;"","",COUNTIFS($A$29:$A$361,A131,$H$29:$H$361,"",$AJ$29:$AJ$361,"&gt;"&amp;AJ131)+COUNTIFS($A$29:A131,A131,$H$29:H131,"",$AJ$29:AJ131,AJ131))</f>
        <v>7</v>
      </c>
      <c r="G131" s="17" t="str">
        <f aca="false">IF(H131&lt;&gt;"","",IF(ISNUMBER(I131),IF(I131&gt;=$C$3,"High price","Lower price"),"No price")&amp;", "&amp;IF(M131&gt;=$E$3,"high volume","lower volume"))</f>
        <v>Lower price, high volume</v>
      </c>
      <c r="H131" s="17" t="str">
        <f aca="false">IF(Q131="No","IV only (no ID, IM or SC route)",IF(AND(AE131&gt;0,AF131=0),"Price ≤ USD 5",""))</f>
        <v/>
      </c>
      <c r="I131" s="18" t="n">
        <f aca="false">IF(AF131&gt;0,ROUND(AVERAGEIFS('Shortlisted Drugs X Company (7)'!$N$3:$N$698,'Shortlisted Drugs X Company (7)'!$C$3:$C$698,$B131,'Shortlisted Drugs X Company (7)'!$E$3:$E$698,$AA131,'Shortlisted Drugs X Company (7)'!$N$3:$N$698,"&gt;5"),2),"")</f>
        <v>22.76</v>
      </c>
      <c r="J131" s="17" t="str">
        <f aca="false">IF(COUNTIFS('Shortlisted Drugs X Company (7)'!$C$3:$C$698,$B131,'Shortlisted Drugs X Company (7)'!$E$3:$E$698,$AA131,'Shortlisted Drugs X Company (7)'!$P$3:$P$698,"Exact")&gt;0,"Exact",IF(COUNTIFS('Shortlisted Drugs X Company (7)'!$C$3:$C$698,$B131,'Shortlisted Drugs X Company (7)'!$E$3:$E$698,$AA131,'Shortlisted Drugs X Company (7)'!$P$3:$P$698,"Same-market proxy")&gt;0,"Same-market proxy",IF(COUNTIFS('Shortlisted Drugs X Company (7)'!$C$3:$C$698,$B131,'Shortlisted Drugs X Company (7)'!$E$3:$E$698,$AA131,'Shortlisted Drugs X Company (7)'!$P$3:$P$698,"Cross-market proxy")&gt;0,"Cross-market proxy",IF(COUNTIFS('Shortlisted Drugs X Company (7)'!$C$3:$C$698,$B131,'Shortlisted Drugs X Company (7)'!$E$3:$E$698,$AA131,'Shortlisted Drugs X Company (7)'!$P$3:$P$698,"Source not found")&gt;0,"Source not found","No price found"))))</f>
        <v>Same-market proxy</v>
      </c>
      <c r="K131" s="19" t="n">
        <f aca="false">IFERROR(INDEX('Injectable Value'!$AB$28:$AB$178,MATCH(B131,'Injectable Value'!$A$28:$A$178,0)),"")</f>
        <v>286</v>
      </c>
      <c r="L131" s="77" t="n">
        <f aca="false">IFERROR(INDEX('Injectable Value'!$Z$28:$Z$178,MATCH(B131,'Injectable Value'!$A$28:$A$178,0)),"")</f>
        <v>1</v>
      </c>
      <c r="M131" s="19" t="n">
        <f aca="false">IFERROR(INDEX('Injectable Value'!$AC$28:$AC$178,MATCH(B131,'Injectable Value'!$A$28:$A$178,0)),"")</f>
        <v>286</v>
      </c>
      <c r="N131" s="19" t="n">
        <f aca="false">IFERROR(INDEX('Injectable Value'!$C$28:$C$178,MATCH(B131,'Injectable Value'!$A$28:$A$178,0)),"")</f>
        <v>3067.39</v>
      </c>
      <c r="O131" s="19" t="n">
        <f aca="false">IFERROR(ROUND(INDEX('Injectable Value'!$AA$28:$AA$178,MATCH(B131,'Injectable Value'!$A$28:$A$178,0)),1),"")</f>
        <v>3067.4</v>
      </c>
      <c r="P131" s="16" t="str">
        <f aca="false">IFERROR(INDEX('Route of Administration'!$C$5:$C$155,MATCH(B131,'Route of Administration'!$A$5:$A$155,0)),"")</f>
        <v>IV, IM</v>
      </c>
      <c r="Q131" s="15" t="str">
        <f aca="false">IFERROR(INDEX('Route of Administration'!$D$5:$D$155,MATCH(B131,'Route of Administration'!$A$5:$A$155,0)),"")</f>
        <v>Yes</v>
      </c>
      <c r="R131" s="16" t="s">
        <v>281</v>
      </c>
      <c r="S131" s="17" t="s">
        <v>757</v>
      </c>
      <c r="T131" s="16" t="s">
        <v>283</v>
      </c>
      <c r="U131" s="17" t="str">
        <f aca="false">""&amp;IF(AE131=0,"No price found","")&amp;IF(AND(AE131&gt;0,AF131=0,AG131=0),"Low price comes from another market – confirm with the company","")</f>
        <v/>
      </c>
      <c r="V131" s="17" t="s">
        <v>515</v>
      </c>
      <c r="W131" s="15" t="n">
        <v>2</v>
      </c>
      <c r="X131" s="17" t="s">
        <v>516</v>
      </c>
      <c r="Y131" s="17" t="s">
        <v>516</v>
      </c>
      <c r="Z131" s="17" t="s">
        <v>286</v>
      </c>
      <c r="AA131" s="16" t="s">
        <v>698</v>
      </c>
      <c r="AB131" s="78" t="s">
        <v>758</v>
      </c>
      <c r="AC131" s="20" t="n">
        <f aca="false">IF(AE131&gt;0,ROUND(AVERAGEIFS('Shortlisted Drugs X Company (7)'!$N$3:$N$698,'Shortlisted Drugs X Company (7)'!$C$3:$C$698,$B131,'Shortlisted Drugs X Company (7)'!$E$3:$E$698,$AA131,'Shortlisted Drugs X Company (7)'!$N$3:$N$698,"&gt;=0"),2),"")</f>
        <v>22.76</v>
      </c>
      <c r="AD131" s="79" t="str">
        <f aca="false">B131&amp;"|"&amp;AA131</f>
        <v>Succinylcholine (Suxamethonium)|Dr. Reddy's Laboratories</v>
      </c>
      <c r="AE131" s="22" t="n">
        <f aca="false">COUNTIFS('Shortlisted Drugs X Company (7)'!$C$3:$C$698,$B131,'Shortlisted Drugs X Company (7)'!$E$3:$E$698,$AA131,'Shortlisted Drugs X Company (7)'!$N$3:$N$698,"&gt;=0")</f>
        <v>1</v>
      </c>
      <c r="AF131" s="22" t="n">
        <f aca="false">COUNTIFS('Shortlisted Drugs X Company (7)'!$C$3:$C$698,$B131,'Shortlisted Drugs X Company (7)'!$E$3:$E$698,$AA131,'Shortlisted Drugs X Company (7)'!$N$3:$N$698,"&gt;5")</f>
        <v>1</v>
      </c>
      <c r="AG131" s="22" t="n">
        <f aca="false">COUNTIFS('Shortlisted Drugs X Company (7)'!$C$3:$C$698,$B131,'Shortlisted Drugs X Company (7)'!$E$3:$E$698,$AA131,'Shortlisted Drugs X Company (7)'!$P$3:$P$698,"Exact")+COUNTIFS('Shortlisted Drugs X Company (7)'!$C$3:$C$698,$B131,'Shortlisted Drugs X Company (7)'!$E$3:$E$698,$AA131,'Shortlisted Drugs X Company (7)'!$P$3:$P$698,"Same-market proxy")</f>
        <v>1</v>
      </c>
      <c r="AH131" s="22" t="n">
        <f aca="false">INDEX($G$7:$G$25,MATCH(A131,$A$7:$A$25,0))</f>
        <v>3</v>
      </c>
      <c r="AI131" s="79" t="n">
        <f aca="false">IF(OR(Q131="No",LEFT(H131,7)="IV only"),"",AH131*1000+IF(F131="",900+COUNTIFS($A$29:A131,A131,$H$29:H131,"Price*"),F131))</f>
        <v>3007</v>
      </c>
      <c r="AJ131" s="79" t="n">
        <f aca="false">IF(H131&lt;&gt;"","",(4-VALUE(RIGHT(E131,1)))*10^7+N(O131))</f>
        <v>20003067.4</v>
      </c>
      <c r="AK131" s="20" t="n">
        <f aca="false">IF(AND(H131="",ISNUMBER(I131)),I131,"")</f>
        <v>22.76</v>
      </c>
      <c r="AL131" s="21" t="n">
        <f aca="false">IF(H131="",M131,"")</f>
        <v>286</v>
      </c>
    </row>
    <row r="132" customFormat="false" ht="55.2" hidden="false" customHeight="false" outlineLevel="0" collapsed="false">
      <c r="A132" s="16" t="s">
        <v>231</v>
      </c>
      <c r="B132" s="16" t="s">
        <v>665</v>
      </c>
      <c r="C132" s="17" t="s">
        <v>759</v>
      </c>
      <c r="D132" s="17" t="s">
        <v>667</v>
      </c>
      <c r="E132" s="15" t="str">
        <f aca="false">IF(H132&lt;&gt;"",IF(LEFT(H132,5)="Price","Excluded – price ≤ USD 5","Excluded – IV only"),IF(ISNUMBER(I132),IF(AND(I132&gt;=$C$3,M132&gt;=$E$3),"Priority 1",IF(OR(I132&gt;=$C$3,M132&gt;=$E$3),"Priority 2","Priority 3")),IF(M132&gt;=$E$3,"Priority 2","Priority 3")))</f>
        <v>Excluded – IV only</v>
      </c>
      <c r="F132" s="15" t="str">
        <f aca="false">IF(H132&lt;&gt;"","",COUNTIFS($A$29:$A$361,A132,$H$29:$H$361,"",$AJ$29:$AJ$361,"&gt;"&amp;AJ132)+COUNTIFS($A$29:A132,A132,$H$29:H132,"",$AJ$29:AJ132,AJ132))</f>
        <v/>
      </c>
      <c r="G132" s="17" t="str">
        <f aca="false">IF(H132&lt;&gt;"","",IF(ISNUMBER(I132),IF(I132&gt;=$C$3,"High price","Lower price"),"No price")&amp;", "&amp;IF(M132&gt;=$E$3,"high volume","lower volume"))</f>
        <v/>
      </c>
      <c r="H132" s="17" t="str">
        <f aca="false">IF(Q132="No","IV only (no ID, IM or SC route)",IF(AND(AE132&gt;0,AF132=0),"Price ≤ USD 5",""))</f>
        <v>IV only (no ID, IM or SC route)</v>
      </c>
      <c r="I132" s="18" t="n">
        <f aca="false">IF(AF132&gt;0,ROUND(AVERAGEIFS('Shortlisted Drugs X Company (7)'!$N$3:$N$698,'Shortlisted Drugs X Company (7)'!$C$3:$C$698,$B132,'Shortlisted Drugs X Company (7)'!$E$3:$E$698,$AA132,'Shortlisted Drugs X Company (7)'!$N$3:$N$698,"&gt;5"),2),"")</f>
        <v>56.65</v>
      </c>
      <c r="J132" s="17" t="str">
        <f aca="false">IF(COUNTIFS('Shortlisted Drugs X Company (7)'!$C$3:$C$698,$B132,'Shortlisted Drugs X Company (7)'!$E$3:$E$698,$AA132,'Shortlisted Drugs X Company (7)'!$P$3:$P$698,"Exact")&gt;0,"Exact",IF(COUNTIFS('Shortlisted Drugs X Company (7)'!$C$3:$C$698,$B132,'Shortlisted Drugs X Company (7)'!$E$3:$E$698,$AA132,'Shortlisted Drugs X Company (7)'!$P$3:$P$698,"Same-market proxy")&gt;0,"Same-market proxy",IF(COUNTIFS('Shortlisted Drugs X Company (7)'!$C$3:$C$698,$B132,'Shortlisted Drugs X Company (7)'!$E$3:$E$698,$AA132,'Shortlisted Drugs X Company (7)'!$P$3:$P$698,"Cross-market proxy")&gt;0,"Cross-market proxy",IF(COUNTIFS('Shortlisted Drugs X Company (7)'!$C$3:$C$698,$B132,'Shortlisted Drugs X Company (7)'!$E$3:$E$698,$AA132,'Shortlisted Drugs X Company (7)'!$P$3:$P$698,"Source not found")&gt;0,"Source not found","No price found"))))</f>
        <v>Exact</v>
      </c>
      <c r="K132" s="19" t="n">
        <f aca="false">IFERROR(INDEX('Injectable Value'!$AB$28:$AB$178,MATCH(B132,'Injectable Value'!$A$28:$A$178,0)),"")</f>
        <v>346</v>
      </c>
      <c r="L132" s="77" t="n">
        <f aca="false">IFERROR(INDEX('Injectable Value'!$Z$28:$Z$178,MATCH(B132,'Injectable Value'!$A$28:$A$178,0)),"")</f>
        <v>1</v>
      </c>
      <c r="M132" s="19" t="n">
        <f aca="false">IFERROR(INDEX('Injectable Value'!$AC$28:$AC$178,MATCH(B132,'Injectable Value'!$A$28:$A$178,0)),"")</f>
        <v>346</v>
      </c>
      <c r="N132" s="19" t="n">
        <f aca="false">IFERROR(INDEX('Injectable Value'!$C$28:$C$178,MATCH(B132,'Injectable Value'!$A$28:$A$178,0)),"")</f>
        <v>32830.17</v>
      </c>
      <c r="O132" s="19" t="n">
        <f aca="false">IFERROR(ROUND(INDEX('Injectable Value'!$AA$28:$AA$178,MATCH(B132,'Injectable Value'!$A$28:$A$178,0)),1),"")</f>
        <v>32830.2</v>
      </c>
      <c r="P132" s="16" t="str">
        <f aca="false">IFERROR(INDEX('Route of Administration'!$C$5:$C$155,MATCH(B132,'Route of Administration'!$A$5:$A$155,0)),"")</f>
        <v>IV</v>
      </c>
      <c r="Q132" s="15" t="str">
        <f aca="false">IFERROR(INDEX('Route of Administration'!$D$5:$D$155,MATCH(B132,'Route of Administration'!$A$5:$A$155,0)),"")</f>
        <v>No</v>
      </c>
      <c r="R132" s="16" t="s">
        <v>281</v>
      </c>
      <c r="S132" s="17" t="s">
        <v>668</v>
      </c>
      <c r="T132" s="16" t="s">
        <v>283</v>
      </c>
      <c r="U132" s="17" t="str">
        <f aca="false">""&amp;IF(AE132=0,"No price found","")&amp;IF(AND(AE132&gt;0,AF132=0,AG132=0),"Low price comes from another market – confirm with the company","")</f>
        <v/>
      </c>
      <c r="V132" s="17" t="s">
        <v>760</v>
      </c>
      <c r="W132" s="15" t="n">
        <v>21</v>
      </c>
      <c r="X132" s="17" t="s">
        <v>761</v>
      </c>
      <c r="Y132" s="17" t="s">
        <v>762</v>
      </c>
      <c r="Z132" s="17" t="s">
        <v>286</v>
      </c>
      <c r="AA132" s="16" t="s">
        <v>698</v>
      </c>
      <c r="AB132" s="78" t="s">
        <v>670</v>
      </c>
      <c r="AC132" s="20" t="n">
        <f aca="false">IF(AE132&gt;0,ROUND(AVERAGEIFS('Shortlisted Drugs X Company (7)'!$N$3:$N$698,'Shortlisted Drugs X Company (7)'!$C$3:$C$698,$B132,'Shortlisted Drugs X Company (7)'!$E$3:$E$698,$AA132,'Shortlisted Drugs X Company (7)'!$N$3:$N$698,"&gt;=0"),2),"")</f>
        <v>56.65</v>
      </c>
      <c r="AD132" s="79" t="str">
        <f aca="false">B132&amp;"|"&amp;AA132</f>
        <v>Sugammadex|Dr. Reddy's Laboratories</v>
      </c>
      <c r="AE132" s="22" t="n">
        <f aca="false">COUNTIFS('Shortlisted Drugs X Company (7)'!$C$3:$C$698,$B132,'Shortlisted Drugs X Company (7)'!$E$3:$E$698,$AA132,'Shortlisted Drugs X Company (7)'!$N$3:$N$698,"&gt;=0")</f>
        <v>6</v>
      </c>
      <c r="AF132" s="22" t="n">
        <f aca="false">COUNTIFS('Shortlisted Drugs X Company (7)'!$C$3:$C$698,$B132,'Shortlisted Drugs X Company (7)'!$E$3:$E$698,$AA132,'Shortlisted Drugs X Company (7)'!$N$3:$N$698,"&gt;5")</f>
        <v>6</v>
      </c>
      <c r="AG132" s="22" t="n">
        <f aca="false">COUNTIFS('Shortlisted Drugs X Company (7)'!$C$3:$C$698,$B132,'Shortlisted Drugs X Company (7)'!$E$3:$E$698,$AA132,'Shortlisted Drugs X Company (7)'!$P$3:$P$698,"Exact")+COUNTIFS('Shortlisted Drugs X Company (7)'!$C$3:$C$698,$B132,'Shortlisted Drugs X Company (7)'!$E$3:$E$698,$AA132,'Shortlisted Drugs X Company (7)'!$P$3:$P$698,"Same-market proxy")</f>
        <v>6</v>
      </c>
      <c r="AH132" s="22" t="n">
        <f aca="false">INDEX($G$7:$G$25,MATCH(A132,$A$7:$A$25,0))</f>
        <v>3</v>
      </c>
      <c r="AI132" s="79" t="str">
        <f aca="false">IF(OR(Q132="No",LEFT(H132,7)="IV only"),"",AH132*1000+IF(F132="",900+COUNTIFS($A$29:A132,A132,$H$29:H132,"Price*"),F132))</f>
        <v/>
      </c>
      <c r="AJ132" s="79" t="str">
        <f aca="false">IF(H132&lt;&gt;"","",(4-VALUE(RIGHT(E132,1)))*10^7+N(O132))</f>
        <v/>
      </c>
      <c r="AK132" s="79" t="str">
        <f aca="false">IF(AND(H132="",ISNUMBER(I132)),I132,"")</f>
        <v/>
      </c>
      <c r="AL132" s="79" t="str">
        <f aca="false">IF(H132="",M132,"")</f>
        <v/>
      </c>
    </row>
    <row r="133" customFormat="false" ht="41.75" hidden="false" customHeight="false" outlineLevel="0" collapsed="false">
      <c r="A133" s="16" t="s">
        <v>231</v>
      </c>
      <c r="B133" s="16" t="s">
        <v>763</v>
      </c>
      <c r="C133" s="17" t="s">
        <v>763</v>
      </c>
      <c r="D133" s="17" t="s">
        <v>764</v>
      </c>
      <c r="E133" s="15" t="str">
        <f aca="false">IF(H133&lt;&gt;"",IF(LEFT(H133,5)="Price","Excluded – price ≤ USD 5","Excluded – IV only"),IF(ISNUMBER(I133),IF(AND(I133&gt;=$C$3,M133&gt;=$E$3),"Priority 1",IF(OR(I133&gt;=$C$3,M133&gt;=$E$3),"Priority 2","Priority 3")),IF(M133&gt;=$E$3,"Priority 2","Priority 3")))</f>
        <v>Excluded – IV only</v>
      </c>
      <c r="F133" s="15" t="str">
        <f aca="false">IF(H133&lt;&gt;"","",COUNTIFS($A$29:$A$361,A133,$H$29:$H$361,"",$AJ$29:$AJ$361,"&gt;"&amp;AJ133)+COUNTIFS($A$29:A133,A133,$H$29:H133,"",$AJ$29:AJ133,AJ133))</f>
        <v/>
      </c>
      <c r="G133" s="17" t="str">
        <f aca="false">IF(H133&lt;&gt;"","",IF(ISNUMBER(I133),IF(I133&gt;=$C$3,"High price","Lower price"),"No price")&amp;", "&amp;IF(M133&gt;=$E$3,"high volume","lower volume"))</f>
        <v/>
      </c>
      <c r="H133" s="17" t="str">
        <f aca="false">IF(Q133="No","IV only (no ID, IM or SC route)",IF(AND(AE133&gt;0,AF133=0),"Price ≤ USD 5",""))</f>
        <v>IV only (no ID, IM or SC route)</v>
      </c>
      <c r="I133" s="18" t="n">
        <f aca="false">IF(AF133&gt;0,ROUND(AVERAGEIFS('Shortlisted Drugs X Company (7)'!$N$3:$N$698,'Shortlisted Drugs X Company (7)'!$C$3:$C$698,$B133,'Shortlisted Drugs X Company (7)'!$E$3:$E$698,$AA133,'Shortlisted Drugs X Company (7)'!$N$3:$N$698,"&gt;5"),2),"")</f>
        <v>154.8</v>
      </c>
      <c r="J133" s="17" t="str">
        <f aca="false">IF(COUNTIFS('Shortlisted Drugs X Company (7)'!$C$3:$C$698,$B133,'Shortlisted Drugs X Company (7)'!$E$3:$E$698,$AA133,'Shortlisted Drugs X Company (7)'!$P$3:$P$698,"Exact")&gt;0,"Exact",IF(COUNTIFS('Shortlisted Drugs X Company (7)'!$C$3:$C$698,$B133,'Shortlisted Drugs X Company (7)'!$E$3:$E$698,$AA133,'Shortlisted Drugs X Company (7)'!$P$3:$P$698,"Same-market proxy")&gt;0,"Same-market proxy",IF(COUNTIFS('Shortlisted Drugs X Company (7)'!$C$3:$C$698,$B133,'Shortlisted Drugs X Company (7)'!$E$3:$E$698,$AA133,'Shortlisted Drugs X Company (7)'!$P$3:$P$698,"Cross-market proxy")&gt;0,"Cross-market proxy",IF(COUNTIFS('Shortlisted Drugs X Company (7)'!$C$3:$C$698,$B133,'Shortlisted Drugs X Company (7)'!$E$3:$E$698,$AA133,'Shortlisted Drugs X Company (7)'!$P$3:$P$698,"Source not found")&gt;0,"Source not found","No price found"))))</f>
        <v>Same-market proxy</v>
      </c>
      <c r="K133" s="19" t="n">
        <f aca="false">IFERROR(INDEX('Injectable Value'!$AB$28:$AB$178,MATCH(B133,'Injectable Value'!$A$28:$A$178,0)),"")</f>
        <v>147</v>
      </c>
      <c r="L133" s="77" t="n">
        <f aca="false">IFERROR(INDEX('Injectable Value'!$Z$28:$Z$178,MATCH(B133,'Injectable Value'!$A$28:$A$178,0)),"")</f>
        <v>1</v>
      </c>
      <c r="M133" s="19" t="n">
        <f aca="false">IFERROR(INDEX('Injectable Value'!$AC$28:$AC$178,MATCH(B133,'Injectable Value'!$A$28:$A$178,0)),"")</f>
        <v>147</v>
      </c>
      <c r="N133" s="19" t="n">
        <f aca="false">IFERROR(INDEX('Injectable Value'!$C$28:$C$178,MATCH(B133,'Injectable Value'!$A$28:$A$178,0)),"")</f>
        <v>11040.91</v>
      </c>
      <c r="O133" s="19" t="n">
        <f aca="false">IFERROR(ROUND(INDEX('Injectable Value'!$AA$28:$AA$178,MATCH(B133,'Injectable Value'!$A$28:$A$178,0)),1),"")</f>
        <v>11040.9</v>
      </c>
      <c r="P133" s="16" t="str">
        <f aca="false">IFERROR(INDEX('Route of Administration'!$C$5:$C$155,MATCH(B133,'Route of Administration'!$A$5:$A$155,0)),"")</f>
        <v>IV</v>
      </c>
      <c r="Q133" s="15" t="str">
        <f aca="false">IFERROR(INDEX('Route of Administration'!$D$5:$D$155,MATCH(B133,'Route of Administration'!$A$5:$A$155,0)),"")</f>
        <v>No</v>
      </c>
      <c r="R133" s="16" t="s">
        <v>281</v>
      </c>
      <c r="S133" s="17" t="s">
        <v>765</v>
      </c>
      <c r="T133" s="16" t="s">
        <v>333</v>
      </c>
      <c r="U133" s="17" t="str">
        <f aca="false">"Cancer drug (cytotoxic) – less relevant; Reconstitution"&amp;IF(AE133=0,"; No price found","")&amp;IF(AND(AE133&gt;0,AF133=0,AG133=0),"; Low price comes from another market – confirm with the company","")</f>
        <v>Cancer drug (cytotoxic) – less relevant; Reconstitution</v>
      </c>
      <c r="V133" s="17" t="s">
        <v>284</v>
      </c>
      <c r="W133" s="15" t="n">
        <v>1</v>
      </c>
      <c r="X133" s="17" t="s">
        <v>284</v>
      </c>
      <c r="Y133" s="17" t="s">
        <v>284</v>
      </c>
      <c r="Z133" s="17" t="s">
        <v>321</v>
      </c>
      <c r="AA133" s="16" t="s">
        <v>698</v>
      </c>
      <c r="AB133" s="78" t="s">
        <v>766</v>
      </c>
      <c r="AC133" s="20" t="n">
        <f aca="false">IF(AE133&gt;0,ROUND(AVERAGEIFS('Shortlisted Drugs X Company (7)'!$N$3:$N$698,'Shortlisted Drugs X Company (7)'!$C$3:$C$698,$B133,'Shortlisted Drugs X Company (7)'!$E$3:$E$698,$AA133,'Shortlisted Drugs X Company (7)'!$N$3:$N$698,"&gt;=0"),2),"")</f>
        <v>154.8</v>
      </c>
      <c r="AD133" s="79" t="str">
        <f aca="false">B133&amp;"|"&amp;AA133</f>
        <v>Thiotepa|Dr. Reddy's Laboratories</v>
      </c>
      <c r="AE133" s="22" t="n">
        <f aca="false">COUNTIFS('Shortlisted Drugs X Company (7)'!$C$3:$C$698,$B133,'Shortlisted Drugs X Company (7)'!$E$3:$E$698,$AA133,'Shortlisted Drugs X Company (7)'!$N$3:$N$698,"&gt;=0")</f>
        <v>1</v>
      </c>
      <c r="AF133" s="22" t="n">
        <f aca="false">COUNTIFS('Shortlisted Drugs X Company (7)'!$C$3:$C$698,$B133,'Shortlisted Drugs X Company (7)'!$E$3:$E$698,$AA133,'Shortlisted Drugs X Company (7)'!$N$3:$N$698,"&gt;5")</f>
        <v>1</v>
      </c>
      <c r="AG133" s="22" t="n">
        <f aca="false">COUNTIFS('Shortlisted Drugs X Company (7)'!$C$3:$C$698,$B133,'Shortlisted Drugs X Company (7)'!$E$3:$E$698,$AA133,'Shortlisted Drugs X Company (7)'!$P$3:$P$698,"Exact")+COUNTIFS('Shortlisted Drugs X Company (7)'!$C$3:$C$698,$B133,'Shortlisted Drugs X Company (7)'!$E$3:$E$698,$AA133,'Shortlisted Drugs X Company (7)'!$P$3:$P$698,"Same-market proxy")</f>
        <v>1</v>
      </c>
      <c r="AH133" s="22" t="n">
        <f aca="false">INDEX($G$7:$G$25,MATCH(A133,$A$7:$A$25,0))</f>
        <v>3</v>
      </c>
      <c r="AI133" s="79" t="str">
        <f aca="false">IF(OR(Q133="No",LEFT(H133,7)="IV only"),"",AH133*1000+IF(F133="",900+COUNTIFS($A$29:A133,A133,$H$29:H133,"Price*"),F133))</f>
        <v/>
      </c>
      <c r="AJ133" s="79" t="str">
        <f aca="false">IF(H133&lt;&gt;"","",(4-VALUE(RIGHT(E133,1)))*10^7+N(O133))</f>
        <v/>
      </c>
      <c r="AK133" s="79" t="str">
        <f aca="false">IF(AND(H133="",ISNUMBER(I133)),I133,"")</f>
        <v/>
      </c>
      <c r="AL133" s="79" t="str">
        <f aca="false">IF(H133="",M133,"")</f>
        <v/>
      </c>
    </row>
    <row r="134" customFormat="false" ht="41.75" hidden="false" customHeight="false" outlineLevel="0" collapsed="false">
      <c r="A134" s="16" t="s">
        <v>231</v>
      </c>
      <c r="B134" s="16" t="s">
        <v>308</v>
      </c>
      <c r="C134" s="17" t="s">
        <v>308</v>
      </c>
      <c r="D134" s="17" t="s">
        <v>309</v>
      </c>
      <c r="E134" s="15" t="str">
        <f aca="false">IF(H134&lt;&gt;"",IF(LEFT(H134,5)="Price","Excluded – price ≤ USD 5","Excluded – IV only"),IF(ISNUMBER(I134),IF(AND(I134&gt;=$C$3,M134&gt;=$E$3),"Priority 1",IF(OR(I134&gt;=$C$3,M134&gt;=$E$3),"Priority 2","Priority 3")),IF(M134&gt;=$E$3,"Priority 2","Priority 3")))</f>
        <v>Excluded – price ≤ USD 5</v>
      </c>
      <c r="F134" s="15" t="str">
        <f aca="false">IF(H134&lt;&gt;"","",COUNTIFS($A$29:$A$361,A134,$H$29:$H$361,"",$AJ$29:$AJ$361,"&gt;"&amp;AJ134)+COUNTIFS($A$29:A134,A134,$H$29:H134,"",$AJ$29:AJ134,AJ134))</f>
        <v/>
      </c>
      <c r="G134" s="17" t="str">
        <f aca="false">IF(H134&lt;&gt;"","",IF(ISNUMBER(I134),IF(I134&gt;=$C$3,"High price","Lower price"),"No price")&amp;", "&amp;IF(M134&gt;=$E$3,"high volume","lower volume"))</f>
        <v/>
      </c>
      <c r="H134" s="17" t="str">
        <f aca="false">IF(Q134="No","IV only (no ID, IM or SC route)",IF(AND(AE134&gt;0,AF134=0),"Price ≤ USD 5",""))</f>
        <v>Price ≤ USD 5</v>
      </c>
      <c r="I134" s="18" t="str">
        <f aca="false">IF(AF134&gt;0,ROUND(AVERAGEIFS('Shortlisted Drugs X Company (7)'!$N$3:$N$698,'Shortlisted Drugs X Company (7)'!$C$3:$C$698,$B134,'Shortlisted Drugs X Company (7)'!$E$3:$E$698,$AA134,'Shortlisted Drugs X Company (7)'!$N$3:$N$698,"&gt;5"),2),"")</f>
        <v/>
      </c>
      <c r="J134" s="17" t="str">
        <f aca="false">IF(COUNTIFS('Shortlisted Drugs X Company (7)'!$C$3:$C$698,$B134,'Shortlisted Drugs X Company (7)'!$E$3:$E$698,$AA134,'Shortlisted Drugs X Company (7)'!$P$3:$P$698,"Exact")&gt;0,"Exact",IF(COUNTIFS('Shortlisted Drugs X Company (7)'!$C$3:$C$698,$B134,'Shortlisted Drugs X Company (7)'!$E$3:$E$698,$AA134,'Shortlisted Drugs X Company (7)'!$P$3:$P$698,"Same-market proxy")&gt;0,"Same-market proxy",IF(COUNTIFS('Shortlisted Drugs X Company (7)'!$C$3:$C$698,$B134,'Shortlisted Drugs X Company (7)'!$E$3:$E$698,$AA134,'Shortlisted Drugs X Company (7)'!$P$3:$P$698,"Cross-market proxy")&gt;0,"Cross-market proxy",IF(COUNTIFS('Shortlisted Drugs X Company (7)'!$C$3:$C$698,$B134,'Shortlisted Drugs X Company (7)'!$E$3:$E$698,$AA134,'Shortlisted Drugs X Company (7)'!$P$3:$P$698,"Source not found")&gt;0,"Source not found","No price found"))))</f>
        <v>Same-market proxy</v>
      </c>
      <c r="K134" s="19" t="n">
        <f aca="false">IFERROR(INDEX('Injectable Value'!$AB$28:$AB$178,MATCH(B134,'Injectable Value'!$A$28:$A$178,0)),"")</f>
        <v>735</v>
      </c>
      <c r="L134" s="77" t="n">
        <f aca="false">IFERROR(INDEX('Injectable Value'!$Z$28:$Z$178,MATCH(B134,'Injectable Value'!$A$28:$A$178,0)),"")</f>
        <v>0.262678151411075</v>
      </c>
      <c r="M134" s="19" t="n">
        <f aca="false">IFERROR(INDEX('Injectable Value'!$AC$28:$AC$178,MATCH(B134,'Injectable Value'!$A$28:$A$178,0)),"")</f>
        <v>193</v>
      </c>
      <c r="N134" s="19" t="n">
        <f aca="false">IFERROR(INDEX('Injectable Value'!$C$28:$C$178,MATCH(B134,'Injectable Value'!$A$28:$A$178,0)),"")</f>
        <v>16205.48</v>
      </c>
      <c r="O134" s="19" t="n">
        <f aca="false">IFERROR(ROUND(INDEX('Injectable Value'!$AA$28:$AA$178,MATCH(B134,'Injectable Value'!$A$28:$A$178,0)),1),"")</f>
        <v>4256.8</v>
      </c>
      <c r="P134" s="16" t="str">
        <f aca="false">IFERROR(INDEX('Route of Administration'!$C$5:$C$155,MATCH(B134,'Route of Administration'!$A$5:$A$155,0)),"")</f>
        <v>IM</v>
      </c>
      <c r="Q134" s="15" t="str">
        <f aca="false">IFERROR(INDEX('Route of Administration'!$D$5:$D$155,MATCH(B134,'Route of Administration'!$A$5:$A$155,0)),"")</f>
        <v>Yes</v>
      </c>
      <c r="R134" s="16" t="s">
        <v>310</v>
      </c>
      <c r="S134" s="17" t="s">
        <v>767</v>
      </c>
      <c r="T134" s="16" t="s">
        <v>310</v>
      </c>
      <c r="U134" s="17" t="str">
        <f aca="false">""&amp;IF(AE134=0,"No price found","")&amp;IF(AND(AE134&gt;0,AF134=0,AG134=0),"Low price comes from another market – confirm with the company","")</f>
        <v/>
      </c>
      <c r="V134" s="17" t="s">
        <v>284</v>
      </c>
      <c r="W134" s="15" t="n">
        <v>1</v>
      </c>
      <c r="X134" s="17" t="s">
        <v>284</v>
      </c>
      <c r="Y134" s="17" t="s">
        <v>284</v>
      </c>
      <c r="Z134" s="17" t="s">
        <v>312</v>
      </c>
      <c r="AA134" s="16" t="s">
        <v>698</v>
      </c>
      <c r="AB134" s="78" t="s">
        <v>313</v>
      </c>
      <c r="AC134" s="20" t="n">
        <f aca="false">IF(AE134&gt;0,ROUND(AVERAGEIFS('Shortlisted Drugs X Company (7)'!$N$3:$N$698,'Shortlisted Drugs X Company (7)'!$C$3:$C$698,$B134,'Shortlisted Drugs X Company (7)'!$E$3:$E$698,$AA134,'Shortlisted Drugs X Company (7)'!$N$3:$N$698,"&gt;=0"),2),"")</f>
        <v>3.55</v>
      </c>
      <c r="AD134" s="79" t="str">
        <f aca="false">B134&amp;"|"&amp;AA134</f>
        <v>Triamcinolone Acetonide|Dr. Reddy's Laboratories</v>
      </c>
      <c r="AE134" s="22" t="n">
        <f aca="false">COUNTIFS('Shortlisted Drugs X Company (7)'!$C$3:$C$698,$B134,'Shortlisted Drugs X Company (7)'!$E$3:$E$698,$AA134,'Shortlisted Drugs X Company (7)'!$N$3:$N$698,"&gt;=0")</f>
        <v>2</v>
      </c>
      <c r="AF134" s="22" t="n">
        <f aca="false">COUNTIFS('Shortlisted Drugs X Company (7)'!$C$3:$C$698,$B134,'Shortlisted Drugs X Company (7)'!$E$3:$E$698,$AA134,'Shortlisted Drugs X Company (7)'!$N$3:$N$698,"&gt;5")</f>
        <v>0</v>
      </c>
      <c r="AG134" s="22" t="n">
        <f aca="false">COUNTIFS('Shortlisted Drugs X Company (7)'!$C$3:$C$698,$B134,'Shortlisted Drugs X Company (7)'!$E$3:$E$698,$AA134,'Shortlisted Drugs X Company (7)'!$P$3:$P$698,"Exact")+COUNTIFS('Shortlisted Drugs X Company (7)'!$C$3:$C$698,$B134,'Shortlisted Drugs X Company (7)'!$E$3:$E$698,$AA134,'Shortlisted Drugs X Company (7)'!$P$3:$P$698,"Same-market proxy")</f>
        <v>2</v>
      </c>
      <c r="AH134" s="22" t="n">
        <f aca="false">INDEX($G$7:$G$25,MATCH(A134,$A$7:$A$25,0))</f>
        <v>3</v>
      </c>
      <c r="AI134" s="79" t="n">
        <f aca="false">IF(OR(Q134="No",LEFT(H134,7)="IV only"),"",AH134*1000+IF(F134="",900+COUNTIFS($A$29:A134,A134,$H$29:H134,"Price*"),F134))</f>
        <v>3901</v>
      </c>
      <c r="AJ134" s="79" t="str">
        <f aca="false">IF(H134&lt;&gt;"","",(4-VALUE(RIGHT(E134,1)))*10^7+N(O134))</f>
        <v/>
      </c>
      <c r="AK134" s="79" t="str">
        <f aca="false">IF(AND(H134="",ISNUMBER(I134)),I134,"")</f>
        <v/>
      </c>
      <c r="AL134" s="79" t="str">
        <f aca="false">IF(H134="",M134,"")</f>
        <v/>
      </c>
    </row>
    <row r="135" customFormat="false" ht="41.75" hidden="false" customHeight="false" outlineLevel="0" collapsed="false">
      <c r="A135" s="16" t="s">
        <v>232</v>
      </c>
      <c r="B135" s="16" t="s">
        <v>768</v>
      </c>
      <c r="C135" s="17" t="s">
        <v>769</v>
      </c>
      <c r="D135" s="17" t="s">
        <v>770</v>
      </c>
      <c r="E135" s="15" t="str">
        <f aca="false">IF(H135&lt;&gt;"",IF(LEFT(H135,5)="Price","Excluded – price ≤ USD 5","Excluded – IV only"),IF(ISNUMBER(I135),IF(AND(I135&gt;=$C$3,M135&gt;=$E$3),"Priority 1",IF(OR(I135&gt;=$C$3,M135&gt;=$E$3),"Priority 2","Priority 3")),IF(M135&gt;=$E$3,"Priority 2","Priority 3")))</f>
        <v>Priority 3</v>
      </c>
      <c r="F135" s="15" t="n">
        <f aca="false">IF(H135&lt;&gt;"","",COUNTIFS($A$29:$A$361,A135,$H$29:$H$361,"",$AJ$29:$AJ$361,"&gt;"&amp;AJ135)+COUNTIFS($A$29:A135,A135,$H$29:H135,"",$AJ$29:AJ135,AJ135))</f>
        <v>9</v>
      </c>
      <c r="G135" s="17" t="str">
        <f aca="false">IF(H135&lt;&gt;"","",IF(ISNUMBER(I135),IF(I135&gt;=$C$3,"High price","Lower price"),"No price")&amp;", "&amp;IF(M135&gt;=$E$3,"high volume","lower volume"))</f>
        <v>Lower price, lower volume</v>
      </c>
      <c r="H135" s="17" t="str">
        <f aca="false">IF(Q135="No","IV only (no ID, IM or SC route)",IF(AND(AE135&gt;0,AF135=0),"Price ≤ USD 5",""))</f>
        <v/>
      </c>
      <c r="I135" s="18" t="n">
        <f aca="false">IF(AF135&gt;0,ROUND(AVERAGEIFS('Shortlisted Drugs X Company (7)'!$N$3:$N$698,'Shortlisted Drugs X Company (7)'!$C$3:$C$698,$B135,'Shortlisted Drugs X Company (7)'!$E$3:$E$698,$AA135,'Shortlisted Drugs X Company (7)'!$N$3:$N$698,"&gt;5"),2),"")</f>
        <v>17.81</v>
      </c>
      <c r="J135" s="17" t="str">
        <f aca="false">IF(COUNTIFS('Shortlisted Drugs X Company (7)'!$C$3:$C$698,$B135,'Shortlisted Drugs X Company (7)'!$E$3:$E$698,$AA135,'Shortlisted Drugs X Company (7)'!$P$3:$P$698,"Exact")&gt;0,"Exact",IF(COUNTIFS('Shortlisted Drugs X Company (7)'!$C$3:$C$698,$B135,'Shortlisted Drugs X Company (7)'!$E$3:$E$698,$AA135,'Shortlisted Drugs X Company (7)'!$P$3:$P$698,"Same-market proxy")&gt;0,"Same-market proxy",IF(COUNTIFS('Shortlisted Drugs X Company (7)'!$C$3:$C$698,$B135,'Shortlisted Drugs X Company (7)'!$E$3:$E$698,$AA135,'Shortlisted Drugs X Company (7)'!$P$3:$P$698,"Cross-market proxy")&gt;0,"Cross-market proxy",IF(COUNTIFS('Shortlisted Drugs X Company (7)'!$C$3:$C$698,$B135,'Shortlisted Drugs X Company (7)'!$E$3:$E$698,$AA135,'Shortlisted Drugs X Company (7)'!$P$3:$P$698,"Source not found")&gt;0,"Source not found","No price found"))))</f>
        <v>Same-market proxy</v>
      </c>
      <c r="K135" s="19" t="n">
        <f aca="false">IFERROR(INDEX('Injectable Value'!$AB$28:$AB$178,MATCH(B135,'Injectable Value'!$A$28:$A$178,0)),"")</f>
        <v>310</v>
      </c>
      <c r="L135" s="77" t="n">
        <f aca="false">IFERROR(INDEX('Injectable Value'!$Z$28:$Z$178,MATCH(B135,'Injectable Value'!$A$28:$A$178,0)),"")</f>
        <v>0.156211180124224</v>
      </c>
      <c r="M135" s="19" t="n">
        <f aca="false">IFERROR(INDEX('Injectable Value'!$AC$28:$AC$178,MATCH(B135,'Injectable Value'!$A$28:$A$178,0)),"")</f>
        <v>48</v>
      </c>
      <c r="N135" s="19" t="n">
        <f aca="false">IFERROR(INDEX('Injectable Value'!$C$28:$C$178,MATCH(B135,'Injectable Value'!$A$28:$A$178,0)),"")</f>
        <v>8995.42</v>
      </c>
      <c r="O135" s="19" t="n">
        <f aca="false">IFERROR(ROUND(INDEX('Injectable Value'!$AA$28:$AA$178,MATCH(B135,'Injectable Value'!$A$28:$A$178,0)),1),"")</f>
        <v>1405.2</v>
      </c>
      <c r="P135" s="16" t="str">
        <f aca="false">IFERROR(INDEX('Route of Administration'!$C$5:$C$155,MATCH(B135,'Route of Administration'!$A$5:$A$155,0)),"")</f>
        <v>IV, IM</v>
      </c>
      <c r="Q135" s="15" t="str">
        <f aca="false">IFERROR(INDEX('Route of Administration'!$D$5:$D$155,MATCH(B135,'Route of Administration'!$A$5:$A$155,0)),"")</f>
        <v>Yes</v>
      </c>
      <c r="R135" s="16" t="s">
        <v>281</v>
      </c>
      <c r="S135" s="17" t="s">
        <v>771</v>
      </c>
      <c r="T135" s="16" t="s">
        <v>333</v>
      </c>
      <c r="U135" s="17" t="str">
        <f aca="false">"Reconstitution"&amp;IF(AE135=0,"; No price found","")&amp;IF(AND(AE135&gt;0,AF135=0,AG135=0),"; Low price comes from another market – confirm with the company","")</f>
        <v>Reconstitution</v>
      </c>
      <c r="V135" s="17" t="s">
        <v>772</v>
      </c>
      <c r="W135" s="15" t="n">
        <v>2</v>
      </c>
      <c r="X135" s="17" t="s">
        <v>772</v>
      </c>
      <c r="Y135" s="17" t="s">
        <v>772</v>
      </c>
      <c r="Z135" s="17" t="s">
        <v>321</v>
      </c>
      <c r="AA135" s="16" t="s">
        <v>773</v>
      </c>
      <c r="AB135" s="78" t="s">
        <v>774</v>
      </c>
      <c r="AC135" s="20" t="n">
        <f aca="false">IF(AE135&gt;0,ROUND(AVERAGEIFS('Shortlisted Drugs X Company (7)'!$N$3:$N$698,'Shortlisted Drugs X Company (7)'!$C$3:$C$698,$B135,'Shortlisted Drugs X Company (7)'!$E$3:$E$698,$AA135,'Shortlisted Drugs X Company (7)'!$N$3:$N$698,"&gt;=0"),2),"")</f>
        <v>17.81</v>
      </c>
      <c r="AD135" s="79" t="str">
        <f aca="false">B135&amp;"|"&amp;AA135</f>
        <v>Acetazolamide|Emcure Pharmaceuticals</v>
      </c>
      <c r="AE135" s="22" t="n">
        <f aca="false">COUNTIFS('Shortlisted Drugs X Company (7)'!$C$3:$C$698,$B135,'Shortlisted Drugs X Company (7)'!$E$3:$E$698,$AA135,'Shortlisted Drugs X Company (7)'!$N$3:$N$698,"&gt;=0")</f>
        <v>2</v>
      </c>
      <c r="AF135" s="22" t="n">
        <f aca="false">COUNTIFS('Shortlisted Drugs X Company (7)'!$C$3:$C$698,$B135,'Shortlisted Drugs X Company (7)'!$E$3:$E$698,$AA135,'Shortlisted Drugs X Company (7)'!$N$3:$N$698,"&gt;5")</f>
        <v>2</v>
      </c>
      <c r="AG135" s="22" t="n">
        <f aca="false">COUNTIFS('Shortlisted Drugs X Company (7)'!$C$3:$C$698,$B135,'Shortlisted Drugs X Company (7)'!$E$3:$E$698,$AA135,'Shortlisted Drugs X Company (7)'!$P$3:$P$698,"Exact")+COUNTIFS('Shortlisted Drugs X Company (7)'!$C$3:$C$698,$B135,'Shortlisted Drugs X Company (7)'!$E$3:$E$698,$AA135,'Shortlisted Drugs X Company (7)'!$P$3:$P$698,"Same-market proxy")</f>
        <v>1</v>
      </c>
      <c r="AH135" s="22" t="n">
        <f aca="false">INDEX($G$7:$G$25,MATCH(A135,$A$7:$A$25,0))</f>
        <v>5</v>
      </c>
      <c r="AI135" s="79" t="n">
        <f aca="false">IF(OR(Q135="No",LEFT(H135,7)="IV only"),"",AH135*1000+IF(F135="",900+COUNTIFS($A$29:A135,A135,$H$29:H135,"Price*"),F135))</f>
        <v>5009</v>
      </c>
      <c r="AJ135" s="79" t="n">
        <f aca="false">IF(H135&lt;&gt;"","",(4-VALUE(RIGHT(E135,1)))*10^7+N(O135))</f>
        <v>10001405.2</v>
      </c>
      <c r="AK135" s="20" t="n">
        <f aca="false">IF(AND(H135="",ISNUMBER(I135)),I135,"")</f>
        <v>17.81</v>
      </c>
      <c r="AL135" s="21" t="n">
        <f aca="false">IF(H135="",M135,"")</f>
        <v>48</v>
      </c>
    </row>
    <row r="136" customFormat="false" ht="41.75" hidden="false" customHeight="false" outlineLevel="0" collapsed="false">
      <c r="A136" s="16" t="s">
        <v>232</v>
      </c>
      <c r="B136" s="16" t="s">
        <v>775</v>
      </c>
      <c r="C136" s="17" t="s">
        <v>776</v>
      </c>
      <c r="D136" s="17" t="s">
        <v>777</v>
      </c>
      <c r="E136" s="15" t="str">
        <f aca="false">IF(H136&lt;&gt;"",IF(LEFT(H136,5)="Price","Excluded – price ≤ USD 5","Excluded – IV only"),IF(ISNUMBER(I136),IF(AND(I136&gt;=$C$3,M136&gt;=$E$3),"Priority 1",IF(OR(I136&gt;=$C$3,M136&gt;=$E$3),"Priority 2","Priority 3")),IF(M136&gt;=$E$3,"Priority 2","Priority 3")))</f>
        <v>Priority 1</v>
      </c>
      <c r="F136" s="15" t="n">
        <f aca="false">IF(H136&lt;&gt;"","",COUNTIFS($A$29:$A$361,A136,$H$29:$H$361,"",$AJ$29:$AJ$361,"&gt;"&amp;AJ136)+COUNTIFS($A$29:A136,A136,$H$29:H136,"",$AJ$29:AJ136,AJ136))</f>
        <v>3</v>
      </c>
      <c r="G136" s="17" t="str">
        <f aca="false">IF(H136&lt;&gt;"","",IF(ISNUMBER(I136),IF(I136&gt;=$C$3,"High price","Lower price"),"No price")&amp;", "&amp;IF(M136&gt;=$E$3,"high volume","lower volume"))</f>
        <v>High price, high volume</v>
      </c>
      <c r="H136" s="17" t="str">
        <f aca="false">IF(Q136="No","IV only (no ID, IM or SC route)",IF(AND(AE136&gt;0,AF136=0),"Price ≤ USD 5",""))</f>
        <v/>
      </c>
      <c r="I136" s="18" t="n">
        <f aca="false">IF(AF136&gt;0,ROUND(AVERAGEIFS('Shortlisted Drugs X Company (7)'!$N$3:$N$698,'Shortlisted Drugs X Company (7)'!$C$3:$C$698,$B136,'Shortlisted Drugs X Company (7)'!$E$3:$E$698,$AA136,'Shortlisted Drugs X Company (7)'!$N$3:$N$698,"&gt;5"),2),"")</f>
        <v>27.98</v>
      </c>
      <c r="J136" s="17" t="str">
        <f aca="false">IF(COUNTIFS('Shortlisted Drugs X Company (7)'!$C$3:$C$698,$B136,'Shortlisted Drugs X Company (7)'!$E$3:$E$698,$AA136,'Shortlisted Drugs X Company (7)'!$P$3:$P$698,"Exact")&gt;0,"Exact",IF(COUNTIFS('Shortlisted Drugs X Company (7)'!$C$3:$C$698,$B136,'Shortlisted Drugs X Company (7)'!$E$3:$E$698,$AA136,'Shortlisted Drugs X Company (7)'!$P$3:$P$698,"Same-market proxy")&gt;0,"Same-market proxy",IF(COUNTIFS('Shortlisted Drugs X Company (7)'!$C$3:$C$698,$B136,'Shortlisted Drugs X Company (7)'!$E$3:$E$698,$AA136,'Shortlisted Drugs X Company (7)'!$P$3:$P$698,"Cross-market proxy")&gt;0,"Cross-market proxy",IF(COUNTIFS('Shortlisted Drugs X Company (7)'!$C$3:$C$698,$B136,'Shortlisted Drugs X Company (7)'!$E$3:$E$698,$AA136,'Shortlisted Drugs X Company (7)'!$P$3:$P$698,"Source not found")&gt;0,"Source not found","No price found"))))</f>
        <v>Exact</v>
      </c>
      <c r="K136" s="19" t="n">
        <f aca="false">IFERROR(INDEX('Injectable Value'!$AB$28:$AB$178,MATCH(B136,'Injectable Value'!$A$28:$A$178,0)),"")</f>
        <v>684</v>
      </c>
      <c r="L136" s="77" t="n">
        <f aca="false">IFERROR(INDEX('Injectable Value'!$Z$28:$Z$178,MATCH(B136,'Injectable Value'!$A$28:$A$178,0)),"")</f>
        <v>0.959959846916369</v>
      </c>
      <c r="M136" s="19" t="n">
        <f aca="false">IFERROR(INDEX('Injectable Value'!$AC$28:$AC$178,MATCH(B136,'Injectable Value'!$A$28:$A$178,0)),"")</f>
        <v>657</v>
      </c>
      <c r="N136" s="19" t="n">
        <f aca="false">IFERROR(INDEX('Injectable Value'!$C$28:$C$178,MATCH(B136,'Injectable Value'!$A$28:$A$178,0)),"")</f>
        <v>8785.35</v>
      </c>
      <c r="O136" s="19" t="n">
        <f aca="false">IFERROR(ROUND(INDEX('Injectable Value'!$AA$28:$AA$178,MATCH(B136,'Injectable Value'!$A$28:$A$178,0)),1),"")</f>
        <v>8433.6</v>
      </c>
      <c r="P136" s="16" t="str">
        <f aca="false">IFERROR(INDEX('Route of Administration'!$C$5:$C$155,MATCH(B136,'Route of Administration'!$A$5:$A$155,0)),"")</f>
        <v>IV, IM</v>
      </c>
      <c r="Q136" s="15" t="str">
        <f aca="false">IFERROR(INDEX('Route of Administration'!$D$5:$D$155,MATCH(B136,'Route of Administration'!$A$5:$A$155,0)),"")</f>
        <v>Yes</v>
      </c>
      <c r="R136" s="16" t="s">
        <v>281</v>
      </c>
      <c r="S136" s="17" t="s">
        <v>778</v>
      </c>
      <c r="T136" s="16" t="s">
        <v>283</v>
      </c>
      <c r="U136" s="17" t="str">
        <f aca="false">""&amp;IF(AE136=0,"No price found","")&amp;IF(AND(AE136&gt;0,AF136=0,AG136=0),"Low price comes from another market – confirm with the company","")</f>
        <v/>
      </c>
      <c r="V136" s="17" t="s">
        <v>779</v>
      </c>
      <c r="W136" s="15" t="n">
        <v>5</v>
      </c>
      <c r="X136" s="17" t="s">
        <v>780</v>
      </c>
      <c r="Y136" s="17" t="s">
        <v>780</v>
      </c>
      <c r="Z136" s="17" t="s">
        <v>321</v>
      </c>
      <c r="AA136" s="16" t="s">
        <v>773</v>
      </c>
      <c r="AB136" s="78" t="s">
        <v>781</v>
      </c>
      <c r="AC136" s="20" t="n">
        <f aca="false">IF(AE136&gt;0,ROUND(AVERAGEIFS('Shortlisted Drugs X Company (7)'!$N$3:$N$698,'Shortlisted Drugs X Company (7)'!$C$3:$C$698,$B136,'Shortlisted Drugs X Company (7)'!$E$3:$E$698,$AA136,'Shortlisted Drugs X Company (7)'!$N$3:$N$698,"&gt;=0"),2),"")</f>
        <v>27.98</v>
      </c>
      <c r="AD136" s="79" t="str">
        <f aca="false">B136&amp;"|"&amp;AA136</f>
        <v>Amikacin|Emcure Pharmaceuticals</v>
      </c>
      <c r="AE136" s="22" t="n">
        <f aca="false">COUNTIFS('Shortlisted Drugs X Company (7)'!$C$3:$C$698,$B136,'Shortlisted Drugs X Company (7)'!$E$3:$E$698,$AA136,'Shortlisted Drugs X Company (7)'!$N$3:$N$698,"&gt;=0")</f>
        <v>3</v>
      </c>
      <c r="AF136" s="22" t="n">
        <f aca="false">COUNTIFS('Shortlisted Drugs X Company (7)'!$C$3:$C$698,$B136,'Shortlisted Drugs X Company (7)'!$E$3:$E$698,$AA136,'Shortlisted Drugs X Company (7)'!$N$3:$N$698,"&gt;5")</f>
        <v>3</v>
      </c>
      <c r="AG136" s="22" t="n">
        <f aca="false">COUNTIFS('Shortlisted Drugs X Company (7)'!$C$3:$C$698,$B136,'Shortlisted Drugs X Company (7)'!$E$3:$E$698,$AA136,'Shortlisted Drugs X Company (7)'!$P$3:$P$698,"Exact")+COUNTIFS('Shortlisted Drugs X Company (7)'!$C$3:$C$698,$B136,'Shortlisted Drugs X Company (7)'!$E$3:$E$698,$AA136,'Shortlisted Drugs X Company (7)'!$P$3:$P$698,"Same-market proxy")</f>
        <v>2</v>
      </c>
      <c r="AH136" s="22" t="n">
        <f aca="false">INDEX($G$7:$G$25,MATCH(A136,$A$7:$A$25,0))</f>
        <v>5</v>
      </c>
      <c r="AI136" s="79" t="n">
        <f aca="false">IF(OR(Q136="No",LEFT(H136,7)="IV only"),"",AH136*1000+IF(F136="",900+COUNTIFS($A$29:A136,A136,$H$29:H136,"Price*"),F136))</f>
        <v>5003</v>
      </c>
      <c r="AJ136" s="79" t="n">
        <f aca="false">IF(H136&lt;&gt;"","",(4-VALUE(RIGHT(E136,1)))*10^7+N(O136))</f>
        <v>30008433.6</v>
      </c>
      <c r="AK136" s="20" t="n">
        <f aca="false">IF(AND(H136="",ISNUMBER(I136)),I136,"")</f>
        <v>27.98</v>
      </c>
      <c r="AL136" s="21" t="n">
        <f aca="false">IF(H136="",M136,"")</f>
        <v>657</v>
      </c>
    </row>
    <row r="137" customFormat="false" ht="28.35" hidden="false" customHeight="false" outlineLevel="0" collapsed="false">
      <c r="A137" s="16" t="s">
        <v>232</v>
      </c>
      <c r="B137" s="16" t="s">
        <v>314</v>
      </c>
      <c r="C137" s="17" t="s">
        <v>782</v>
      </c>
      <c r="D137" s="17" t="s">
        <v>316</v>
      </c>
      <c r="E137" s="15" t="str">
        <f aca="false">IF(H137&lt;&gt;"",IF(LEFT(H137,5)="Price","Excluded – price ≤ USD 5","Excluded – IV only"),IF(ISNUMBER(I137),IF(AND(I137&gt;=$C$3,M137&gt;=$E$3),"Priority 1",IF(OR(I137&gt;=$C$3,M137&gt;=$E$3),"Priority 2","Priority 3")),IF(M137&gt;=$E$3,"Priority 2","Priority 3")))</f>
        <v>Priority 2</v>
      </c>
      <c r="F137" s="15" t="n">
        <f aca="false">IF(H137&lt;&gt;"","",COUNTIFS($A$29:$A$361,A137,$H$29:$H$361,"",$AJ$29:$AJ$361,"&gt;"&amp;AJ137)+COUNTIFS($A$29:A137,A137,$H$29:H137,"",$AJ$29:AJ137,AJ137))</f>
        <v>4</v>
      </c>
      <c r="G137" s="17" t="str">
        <f aca="false">IF(H137&lt;&gt;"","",IF(ISNUMBER(I137),IF(I137&gt;=$C$3,"High price","Lower price"),"No price")&amp;", "&amp;IF(M137&gt;=$E$3,"high volume","lower volume"))</f>
        <v>Lower price, high volume</v>
      </c>
      <c r="H137" s="17" t="str">
        <f aca="false">IF(Q137="No","IV only (no ID, IM or SC route)",IF(AND(AE137&gt;0,AF137=0),"Price ≤ USD 5",""))</f>
        <v/>
      </c>
      <c r="I137" s="18" t="n">
        <f aca="false">IF(AF137&gt;0,ROUND(AVERAGEIFS('Shortlisted Drugs X Company (7)'!$N$3:$N$698,'Shortlisted Drugs X Company (7)'!$C$3:$C$698,$B137,'Shortlisted Drugs X Company (7)'!$E$3:$E$698,$AA137,'Shortlisted Drugs X Company (7)'!$N$3:$N$698,"&gt;5"),2),"")</f>
        <v>9.04</v>
      </c>
      <c r="J137" s="17" t="str">
        <f aca="false">IF(COUNTIFS('Shortlisted Drugs X Company (7)'!$C$3:$C$698,$B137,'Shortlisted Drugs X Company (7)'!$E$3:$E$698,$AA137,'Shortlisted Drugs X Company (7)'!$P$3:$P$698,"Exact")&gt;0,"Exact",IF(COUNTIFS('Shortlisted Drugs X Company (7)'!$C$3:$C$698,$B137,'Shortlisted Drugs X Company (7)'!$E$3:$E$698,$AA137,'Shortlisted Drugs X Company (7)'!$P$3:$P$698,"Same-market proxy")&gt;0,"Same-market proxy",IF(COUNTIFS('Shortlisted Drugs X Company (7)'!$C$3:$C$698,$B137,'Shortlisted Drugs X Company (7)'!$E$3:$E$698,$AA137,'Shortlisted Drugs X Company (7)'!$P$3:$P$698,"Cross-market proxy")&gt;0,"Cross-market proxy",IF(COUNTIFS('Shortlisted Drugs X Company (7)'!$C$3:$C$698,$B137,'Shortlisted Drugs X Company (7)'!$E$3:$E$698,$AA137,'Shortlisted Drugs X Company (7)'!$P$3:$P$698,"Source not found")&gt;0,"Source not found","No price found"))))</f>
        <v>Exact</v>
      </c>
      <c r="K137" s="19" t="n">
        <f aca="false">IFERROR(INDEX('Injectable Value'!$AB$28:$AB$178,MATCH(B137,'Injectable Value'!$A$28:$A$178,0)),"")</f>
        <v>1393</v>
      </c>
      <c r="L137" s="77" t="n">
        <f aca="false">IFERROR(INDEX('Injectable Value'!$Z$28:$Z$178,MATCH(B137,'Injectable Value'!$A$28:$A$178,0)),"")</f>
        <v>0.670397578386193</v>
      </c>
      <c r="M137" s="19" t="n">
        <f aca="false">IFERROR(INDEX('Injectable Value'!$AC$28:$AC$178,MATCH(B137,'Injectable Value'!$A$28:$A$178,0)),"")</f>
        <v>934</v>
      </c>
      <c r="N137" s="19" t="n">
        <f aca="false">IFERROR(INDEX('Injectable Value'!$C$28:$C$178,MATCH(B137,'Injectable Value'!$A$28:$A$178,0)),"")</f>
        <v>52401.4</v>
      </c>
      <c r="O137" s="19" t="n">
        <f aca="false">IFERROR(ROUND(INDEX('Injectable Value'!$AA$28:$AA$178,MATCH(B137,'Injectable Value'!$A$28:$A$178,0)),1),"")</f>
        <v>35129.8</v>
      </c>
      <c r="P137" s="16" t="str">
        <f aca="false">IFERROR(INDEX('Route of Administration'!$C$5:$C$155,MATCH(B137,'Route of Administration'!$A$5:$A$155,0)),"")</f>
        <v>IV, IM</v>
      </c>
      <c r="Q137" s="15" t="str">
        <f aca="false">IFERROR(INDEX('Route of Administration'!$D$5:$D$155,MATCH(B137,'Route of Administration'!$A$5:$A$155,0)),"")</f>
        <v>Yes</v>
      </c>
      <c r="R137" s="16" t="s">
        <v>281</v>
      </c>
      <c r="S137" s="17" t="s">
        <v>731</v>
      </c>
      <c r="T137" s="16" t="s">
        <v>310</v>
      </c>
      <c r="U137" s="17" t="str">
        <f aca="false">""&amp;IF(AE137=0,"No price found","")&amp;IF(AND(AE137&gt;0,AF137=0,AG137=0),"Low price comes from another market – confirm with the company","")</f>
        <v/>
      </c>
      <c r="V137" s="17" t="s">
        <v>112</v>
      </c>
      <c r="W137" s="15" t="n">
        <v>1</v>
      </c>
      <c r="X137" s="17" t="s">
        <v>783</v>
      </c>
      <c r="Y137" s="17" t="s">
        <v>783</v>
      </c>
      <c r="Z137" s="17" t="s">
        <v>321</v>
      </c>
      <c r="AA137" s="16" t="s">
        <v>773</v>
      </c>
      <c r="AB137" s="78" t="s">
        <v>323</v>
      </c>
      <c r="AC137" s="20" t="n">
        <f aca="false">IF(AE137&gt;0,ROUND(AVERAGEIFS('Shortlisted Drugs X Company (7)'!$N$3:$N$698,'Shortlisted Drugs X Company (7)'!$C$3:$C$698,$B137,'Shortlisted Drugs X Company (7)'!$E$3:$E$698,$AA137,'Shortlisted Drugs X Company (7)'!$N$3:$N$698,"&gt;=0"),2),"")</f>
        <v>9.04</v>
      </c>
      <c r="AD137" s="79" t="str">
        <f aca="false">B137&amp;"|"&amp;AA137</f>
        <v>Ampicillin|Emcure Pharmaceuticals</v>
      </c>
      <c r="AE137" s="22" t="n">
        <f aca="false">COUNTIFS('Shortlisted Drugs X Company (7)'!$C$3:$C$698,$B137,'Shortlisted Drugs X Company (7)'!$E$3:$E$698,$AA137,'Shortlisted Drugs X Company (7)'!$N$3:$N$698,"&gt;=0")</f>
        <v>1</v>
      </c>
      <c r="AF137" s="22" t="n">
        <f aca="false">COUNTIFS('Shortlisted Drugs X Company (7)'!$C$3:$C$698,$B137,'Shortlisted Drugs X Company (7)'!$E$3:$E$698,$AA137,'Shortlisted Drugs X Company (7)'!$N$3:$N$698,"&gt;5")</f>
        <v>1</v>
      </c>
      <c r="AG137" s="22" t="n">
        <f aca="false">COUNTIFS('Shortlisted Drugs X Company (7)'!$C$3:$C$698,$B137,'Shortlisted Drugs X Company (7)'!$E$3:$E$698,$AA137,'Shortlisted Drugs X Company (7)'!$P$3:$P$698,"Exact")+COUNTIFS('Shortlisted Drugs X Company (7)'!$C$3:$C$698,$B137,'Shortlisted Drugs X Company (7)'!$E$3:$E$698,$AA137,'Shortlisted Drugs X Company (7)'!$P$3:$P$698,"Same-market proxy")</f>
        <v>1</v>
      </c>
      <c r="AH137" s="22" t="n">
        <f aca="false">INDEX($G$7:$G$25,MATCH(A137,$A$7:$A$25,0))</f>
        <v>5</v>
      </c>
      <c r="AI137" s="79" t="n">
        <f aca="false">IF(OR(Q137="No",LEFT(H137,7)="IV only"),"",AH137*1000+IF(F137="",900+COUNTIFS($A$29:A137,A137,$H$29:H137,"Price*"),F137))</f>
        <v>5004</v>
      </c>
      <c r="AJ137" s="79" t="n">
        <f aca="false">IF(H137&lt;&gt;"","",(4-VALUE(RIGHT(E137,1)))*10^7+N(O137))</f>
        <v>20035129.8</v>
      </c>
      <c r="AK137" s="20" t="n">
        <f aca="false">IF(AND(H137="",ISNUMBER(I137)),I137,"")</f>
        <v>9.04</v>
      </c>
      <c r="AL137" s="21" t="n">
        <f aca="false">IF(H137="",M137,"")</f>
        <v>934</v>
      </c>
    </row>
    <row r="138" customFormat="false" ht="41.75" hidden="false" customHeight="false" outlineLevel="0" collapsed="false">
      <c r="A138" s="16" t="s">
        <v>232</v>
      </c>
      <c r="B138" s="16" t="s">
        <v>329</v>
      </c>
      <c r="C138" s="17" t="s">
        <v>784</v>
      </c>
      <c r="D138" s="17" t="s">
        <v>331</v>
      </c>
      <c r="E138" s="15" t="str">
        <f aca="false">IF(H138&lt;&gt;"",IF(LEFT(H138,5)="Price","Excluded – price ≤ USD 5","Excluded – IV only"),IF(ISNUMBER(I138),IF(AND(I138&gt;=$C$3,M138&gt;=$E$3),"Priority 1",IF(OR(I138&gt;=$C$3,M138&gt;=$E$3),"Priority 2","Priority 3")),IF(M138&gt;=$E$3,"Priority 2","Priority 3")))</f>
        <v>Priority 1</v>
      </c>
      <c r="F138" s="15" t="n">
        <f aca="false">IF(H138&lt;&gt;"","",COUNTIFS($A$29:$A$361,A138,$H$29:$H$361,"",$AJ$29:$AJ$361,"&gt;"&amp;AJ138)+COUNTIFS($A$29:A138,A138,$H$29:H138,"",$AJ$29:AJ138,AJ138))</f>
        <v>1</v>
      </c>
      <c r="G138" s="17" t="str">
        <f aca="false">IF(H138&lt;&gt;"","",IF(ISNUMBER(I138),IF(I138&gt;=$C$3,"High price","Lower price"),"No price")&amp;", "&amp;IF(M138&gt;=$E$3,"high volume","lower volume"))</f>
        <v>High price, high volume</v>
      </c>
      <c r="H138" s="17" t="str">
        <f aca="false">IF(Q138="No","IV only (no ID, IM or SC route)",IF(AND(AE138&gt;0,AF138=0),"Price ≤ USD 5",""))</f>
        <v/>
      </c>
      <c r="I138" s="18" t="n">
        <f aca="false">IF(AF138&gt;0,ROUND(AVERAGEIFS('Shortlisted Drugs X Company (7)'!$N$3:$N$698,'Shortlisted Drugs X Company (7)'!$C$3:$C$698,$B138,'Shortlisted Drugs X Company (7)'!$E$3:$E$698,$AA138,'Shortlisted Drugs X Company (7)'!$N$3:$N$698,"&gt;5"),2),"")</f>
        <v>410.89</v>
      </c>
      <c r="J138" s="17" t="str">
        <f aca="false">IF(COUNTIFS('Shortlisted Drugs X Company (7)'!$C$3:$C$698,$B138,'Shortlisted Drugs X Company (7)'!$E$3:$E$698,$AA138,'Shortlisted Drugs X Company (7)'!$P$3:$P$698,"Exact")&gt;0,"Exact",IF(COUNTIFS('Shortlisted Drugs X Company (7)'!$C$3:$C$698,$B138,'Shortlisted Drugs X Company (7)'!$E$3:$E$698,$AA138,'Shortlisted Drugs X Company (7)'!$P$3:$P$698,"Same-market proxy")&gt;0,"Same-market proxy",IF(COUNTIFS('Shortlisted Drugs X Company (7)'!$C$3:$C$698,$B138,'Shortlisted Drugs X Company (7)'!$E$3:$E$698,$AA138,'Shortlisted Drugs X Company (7)'!$P$3:$P$698,"Cross-market proxy")&gt;0,"Cross-market proxy",IF(COUNTIFS('Shortlisted Drugs X Company (7)'!$C$3:$C$698,$B138,'Shortlisted Drugs X Company (7)'!$E$3:$E$698,$AA138,'Shortlisted Drugs X Company (7)'!$P$3:$P$698,"Source not found")&gt;0,"Source not found","No price found"))))</f>
        <v>Exact</v>
      </c>
      <c r="K138" s="19" t="n">
        <f aca="false">IFERROR(INDEX('Injectable Value'!$AB$28:$AB$178,MATCH(B138,'Injectable Value'!$A$28:$A$178,0)),"")</f>
        <v>762</v>
      </c>
      <c r="L138" s="77" t="n">
        <f aca="false">IFERROR(INDEX('Injectable Value'!$Z$28:$Z$178,MATCH(B138,'Injectable Value'!$A$28:$A$178,0)),"")</f>
        <v>0.829278792417718</v>
      </c>
      <c r="M138" s="19" t="n">
        <f aca="false">IFERROR(INDEX('Injectable Value'!$AC$28:$AC$178,MATCH(B138,'Injectable Value'!$A$28:$A$178,0)),"")</f>
        <v>632</v>
      </c>
      <c r="N138" s="19" t="n">
        <f aca="false">IFERROR(INDEX('Injectable Value'!$C$28:$C$178,MATCH(B138,'Injectable Value'!$A$28:$A$178,0)),"")</f>
        <v>50865.56</v>
      </c>
      <c r="O138" s="19" t="n">
        <f aca="false">IFERROR(ROUND(INDEX('Injectable Value'!$AA$28:$AA$178,MATCH(B138,'Injectable Value'!$A$28:$A$178,0)),1),"")</f>
        <v>42181.7</v>
      </c>
      <c r="P138" s="16" t="str">
        <f aca="false">IFERROR(INDEX('Route of Administration'!$C$5:$C$155,MATCH(B138,'Route of Administration'!$A$5:$A$155,0)),"")</f>
        <v>IV, SC</v>
      </c>
      <c r="Q138" s="15" t="str">
        <f aca="false">IFERROR(INDEX('Route of Administration'!$D$5:$D$155,MATCH(B138,'Route of Administration'!$A$5:$A$155,0)),"")</f>
        <v>Yes</v>
      </c>
      <c r="R138" s="16" t="s">
        <v>281</v>
      </c>
      <c r="S138" s="17" t="s">
        <v>332</v>
      </c>
      <c r="T138" s="16" t="s">
        <v>333</v>
      </c>
      <c r="U138" s="17" t="str">
        <f aca="false">"Cancer drug (cytotoxic) – less relevant; Reconstitution"&amp;IF(AE138=0,"; No price found","")&amp;IF(AND(AE138&gt;0,AF138=0,AG138=0),"; Low price comes from another market – confirm with the company","")</f>
        <v>Cancer drug (cytotoxic) – less relevant; Reconstitution</v>
      </c>
      <c r="V138" s="17" t="s">
        <v>785</v>
      </c>
      <c r="W138" s="15" t="n">
        <v>11</v>
      </c>
      <c r="X138" s="17" t="s">
        <v>786</v>
      </c>
      <c r="Y138" s="17" t="s">
        <v>787</v>
      </c>
      <c r="Z138" s="17" t="s">
        <v>286</v>
      </c>
      <c r="AA138" s="16" t="s">
        <v>773</v>
      </c>
      <c r="AB138" s="78" t="s">
        <v>337</v>
      </c>
      <c r="AC138" s="20" t="n">
        <f aca="false">IF(AE138&gt;0,ROUND(AVERAGEIFS('Shortlisted Drugs X Company (7)'!$N$3:$N$698,'Shortlisted Drugs X Company (7)'!$C$3:$C$698,$B138,'Shortlisted Drugs X Company (7)'!$E$3:$E$698,$AA138,'Shortlisted Drugs X Company (7)'!$N$3:$N$698,"&gt;=0"),2),"")</f>
        <v>410.89</v>
      </c>
      <c r="AD138" s="79" t="str">
        <f aca="false">B138&amp;"|"&amp;AA138</f>
        <v>Azacitidine|Emcure Pharmaceuticals</v>
      </c>
      <c r="AE138" s="22" t="n">
        <f aca="false">COUNTIFS('Shortlisted Drugs X Company (7)'!$C$3:$C$698,$B138,'Shortlisted Drugs X Company (7)'!$E$3:$E$698,$AA138,'Shortlisted Drugs X Company (7)'!$N$3:$N$698,"&gt;=0")</f>
        <v>2</v>
      </c>
      <c r="AF138" s="22" t="n">
        <f aca="false">COUNTIFS('Shortlisted Drugs X Company (7)'!$C$3:$C$698,$B138,'Shortlisted Drugs X Company (7)'!$E$3:$E$698,$AA138,'Shortlisted Drugs X Company (7)'!$N$3:$N$698,"&gt;5")</f>
        <v>2</v>
      </c>
      <c r="AG138" s="22" t="n">
        <f aca="false">COUNTIFS('Shortlisted Drugs X Company (7)'!$C$3:$C$698,$B138,'Shortlisted Drugs X Company (7)'!$E$3:$E$698,$AA138,'Shortlisted Drugs X Company (7)'!$P$3:$P$698,"Exact")+COUNTIFS('Shortlisted Drugs X Company (7)'!$C$3:$C$698,$B138,'Shortlisted Drugs X Company (7)'!$E$3:$E$698,$AA138,'Shortlisted Drugs X Company (7)'!$P$3:$P$698,"Same-market proxy")</f>
        <v>2</v>
      </c>
      <c r="AH138" s="22" t="n">
        <f aca="false">INDEX($G$7:$G$25,MATCH(A138,$A$7:$A$25,0))</f>
        <v>5</v>
      </c>
      <c r="AI138" s="79" t="n">
        <f aca="false">IF(OR(Q138="No",LEFT(H138,7)="IV only"),"",AH138*1000+IF(F138="",900+COUNTIFS($A$29:A138,A138,$H$29:H138,"Price*"),F138))</f>
        <v>5001</v>
      </c>
      <c r="AJ138" s="79" t="n">
        <f aca="false">IF(H138&lt;&gt;"","",(4-VALUE(RIGHT(E138,1)))*10^7+N(O138))</f>
        <v>30042181.7</v>
      </c>
      <c r="AK138" s="20" t="n">
        <f aca="false">IF(AND(H138="",ISNUMBER(I138)),I138,"")</f>
        <v>410.89</v>
      </c>
      <c r="AL138" s="21" t="n">
        <f aca="false">IF(H138="",M138,"")</f>
        <v>632</v>
      </c>
    </row>
    <row r="139" customFormat="false" ht="28.35" hidden="false" customHeight="false" outlineLevel="0" collapsed="false">
      <c r="A139" s="16" t="s">
        <v>232</v>
      </c>
      <c r="B139" s="16" t="s">
        <v>338</v>
      </c>
      <c r="C139" s="17" t="s">
        <v>788</v>
      </c>
      <c r="D139" s="17" t="s">
        <v>340</v>
      </c>
      <c r="E139" s="15" t="str">
        <f aca="false">IF(H139&lt;&gt;"",IF(LEFT(H139,5)="Price","Excluded – price ≤ USD 5","Excluded – IV only"),IF(ISNUMBER(I139),IF(AND(I139&gt;=$C$3,M139&gt;=$E$3),"Priority 1",IF(OR(I139&gt;=$C$3,M139&gt;=$E$3),"Priority 2","Priority 3")),IF(M139&gt;=$E$3,"Priority 2","Priority 3")))</f>
        <v>Priority 1</v>
      </c>
      <c r="F139" s="15" t="n">
        <f aca="false">IF(H139&lt;&gt;"","",COUNTIFS($A$29:$A$361,A139,$H$29:$H$361,"",$AJ$29:$AJ$361,"&gt;"&amp;AJ139)+COUNTIFS($A$29:A139,A139,$H$29:H139,"",$AJ$29:AJ139,AJ139))</f>
        <v>2</v>
      </c>
      <c r="G139" s="17" t="str">
        <f aca="false">IF(H139&lt;&gt;"","",IF(ISNUMBER(I139),IF(I139&gt;=$C$3,"High price","Lower price"),"No price")&amp;", "&amp;IF(M139&gt;=$E$3,"high volume","lower volume"))</f>
        <v>High price, high volume</v>
      </c>
      <c r="H139" s="17" t="str">
        <f aca="false">IF(Q139="No","IV only (no ID, IM or SC route)",IF(AND(AE139&gt;0,AF139=0),"Price ≤ USD 5",""))</f>
        <v/>
      </c>
      <c r="I139" s="18" t="n">
        <f aca="false">IF(AF139&gt;0,ROUND(AVERAGEIFS('Shortlisted Drugs X Company (7)'!$N$3:$N$698,'Shortlisted Drugs X Company (7)'!$C$3:$C$698,$B139,'Shortlisted Drugs X Company (7)'!$E$3:$E$698,$AA139,'Shortlisted Drugs X Company (7)'!$N$3:$N$698,"&gt;5"),2),"")</f>
        <v>1212.91</v>
      </c>
      <c r="J139" s="17" t="str">
        <f aca="false">IF(COUNTIFS('Shortlisted Drugs X Company (7)'!$C$3:$C$698,$B139,'Shortlisted Drugs X Company (7)'!$E$3:$E$698,$AA139,'Shortlisted Drugs X Company (7)'!$P$3:$P$698,"Exact")&gt;0,"Exact",IF(COUNTIFS('Shortlisted Drugs X Company (7)'!$C$3:$C$698,$B139,'Shortlisted Drugs X Company (7)'!$E$3:$E$698,$AA139,'Shortlisted Drugs X Company (7)'!$P$3:$P$698,"Same-market proxy")&gt;0,"Same-market proxy",IF(COUNTIFS('Shortlisted Drugs X Company (7)'!$C$3:$C$698,$B139,'Shortlisted Drugs X Company (7)'!$E$3:$E$698,$AA139,'Shortlisted Drugs X Company (7)'!$P$3:$P$698,"Cross-market proxy")&gt;0,"Cross-market proxy",IF(COUNTIFS('Shortlisted Drugs X Company (7)'!$C$3:$C$698,$B139,'Shortlisted Drugs X Company (7)'!$E$3:$E$698,$AA139,'Shortlisted Drugs X Company (7)'!$P$3:$P$698,"Source not found")&gt;0,"Source not found","No price found"))))</f>
        <v>Same-market proxy</v>
      </c>
      <c r="K139" s="19" t="n">
        <f aca="false">IFERROR(INDEX('Injectable Value'!$AB$28:$AB$178,MATCH(B139,'Injectable Value'!$A$28:$A$178,0)),"")</f>
        <v>905</v>
      </c>
      <c r="L139" s="77" t="n">
        <f aca="false">IFERROR(INDEX('Injectable Value'!$Z$28:$Z$178,MATCH(B139,'Injectable Value'!$A$28:$A$178,0)),"")</f>
        <v>1</v>
      </c>
      <c r="M139" s="19" t="n">
        <f aca="false">IFERROR(INDEX('Injectable Value'!$AC$28:$AC$178,MATCH(B139,'Injectable Value'!$A$28:$A$178,0)),"")</f>
        <v>905</v>
      </c>
      <c r="N139" s="19" t="n">
        <f aca="false">IFERROR(INDEX('Injectable Value'!$C$28:$C$178,MATCH(B139,'Injectable Value'!$A$28:$A$178,0)),"")</f>
        <v>28093.38</v>
      </c>
      <c r="O139" s="19" t="n">
        <f aca="false">IFERROR(ROUND(INDEX('Injectable Value'!$AA$28:$AA$178,MATCH(B139,'Injectable Value'!$A$28:$A$178,0)),1),"")</f>
        <v>28093.4</v>
      </c>
      <c r="P139" s="16" t="str">
        <f aca="false">IFERROR(INDEX('Route of Administration'!$C$5:$C$155,MATCH(B139,'Route of Administration'!$A$5:$A$155,0)),"")</f>
        <v>IV, SC</v>
      </c>
      <c r="Q139" s="15" t="str">
        <f aca="false">IFERROR(INDEX('Route of Administration'!$D$5:$D$155,MATCH(B139,'Route of Administration'!$A$5:$A$155,0)),"")</f>
        <v>Yes</v>
      </c>
      <c r="R139" s="16" t="s">
        <v>281</v>
      </c>
      <c r="S139" s="17" t="s">
        <v>704</v>
      </c>
      <c r="T139" s="16" t="s">
        <v>283</v>
      </c>
      <c r="U139" s="17" t="str">
        <f aca="false">"Cancer drug (cytotoxic) – less relevant; Reconstitution"&amp;IF(AE139=0,"; No price found","")&amp;IF(AND(AE139&gt;0,AF139=0,AG139=0),"; Low price comes from another market – confirm with the company","")</f>
        <v>Cancer drug (cytotoxic) – less relevant; Reconstitution</v>
      </c>
      <c r="V139" s="17" t="s">
        <v>591</v>
      </c>
      <c r="W139" s="15" t="n">
        <v>4</v>
      </c>
      <c r="X139" s="17" t="s">
        <v>789</v>
      </c>
      <c r="Y139" s="17" t="s">
        <v>789</v>
      </c>
      <c r="Z139" s="17" t="s">
        <v>286</v>
      </c>
      <c r="AA139" s="16" t="s">
        <v>773</v>
      </c>
      <c r="AB139" s="78" t="s">
        <v>345</v>
      </c>
      <c r="AC139" s="20" t="n">
        <f aca="false">IF(AE139&gt;0,ROUND(AVERAGEIFS('Shortlisted Drugs X Company (7)'!$N$3:$N$698,'Shortlisted Drugs X Company (7)'!$C$3:$C$698,$B139,'Shortlisted Drugs X Company (7)'!$E$3:$E$698,$AA139,'Shortlisted Drugs X Company (7)'!$N$3:$N$698,"&gt;=0"),2),"")</f>
        <v>1212.91</v>
      </c>
      <c r="AD139" s="79" t="str">
        <f aca="false">B139&amp;"|"&amp;AA139</f>
        <v>Bortezomib|Emcure Pharmaceuticals</v>
      </c>
      <c r="AE139" s="22" t="n">
        <f aca="false">COUNTIFS('Shortlisted Drugs X Company (7)'!$C$3:$C$698,$B139,'Shortlisted Drugs X Company (7)'!$E$3:$E$698,$AA139,'Shortlisted Drugs X Company (7)'!$N$3:$N$698,"&gt;=0")</f>
        <v>2</v>
      </c>
      <c r="AF139" s="22" t="n">
        <f aca="false">COUNTIFS('Shortlisted Drugs X Company (7)'!$C$3:$C$698,$B139,'Shortlisted Drugs X Company (7)'!$E$3:$E$698,$AA139,'Shortlisted Drugs X Company (7)'!$N$3:$N$698,"&gt;5")</f>
        <v>2</v>
      </c>
      <c r="AG139" s="22" t="n">
        <f aca="false">COUNTIFS('Shortlisted Drugs X Company (7)'!$C$3:$C$698,$B139,'Shortlisted Drugs X Company (7)'!$E$3:$E$698,$AA139,'Shortlisted Drugs X Company (7)'!$P$3:$P$698,"Exact")+COUNTIFS('Shortlisted Drugs X Company (7)'!$C$3:$C$698,$B139,'Shortlisted Drugs X Company (7)'!$E$3:$E$698,$AA139,'Shortlisted Drugs X Company (7)'!$P$3:$P$698,"Same-market proxy")</f>
        <v>1</v>
      </c>
      <c r="AH139" s="22" t="n">
        <f aca="false">INDEX($G$7:$G$25,MATCH(A139,$A$7:$A$25,0))</f>
        <v>5</v>
      </c>
      <c r="AI139" s="79" t="n">
        <f aca="false">IF(OR(Q139="No",LEFT(H139,7)="IV only"),"",AH139*1000+IF(F139="",900+COUNTIFS($A$29:A139,A139,$H$29:H139,"Price*"),F139))</f>
        <v>5002</v>
      </c>
      <c r="AJ139" s="79" t="n">
        <f aca="false">IF(H139&lt;&gt;"","",(4-VALUE(RIGHT(E139,1)))*10^7+N(O139))</f>
        <v>30028093.4</v>
      </c>
      <c r="AK139" s="20" t="n">
        <f aca="false">IF(AND(H139="",ISNUMBER(I139)),I139,"")</f>
        <v>1212.91</v>
      </c>
      <c r="AL139" s="21" t="n">
        <f aca="false">IF(H139="",M139,"")</f>
        <v>905</v>
      </c>
    </row>
    <row r="140" customFormat="false" ht="41.75" hidden="false" customHeight="false" outlineLevel="0" collapsed="false">
      <c r="A140" s="16" t="s">
        <v>232</v>
      </c>
      <c r="B140" s="16" t="s">
        <v>790</v>
      </c>
      <c r="C140" s="17" t="s">
        <v>791</v>
      </c>
      <c r="D140" s="17" t="s">
        <v>792</v>
      </c>
      <c r="E140" s="15" t="str">
        <f aca="false">IF(H140&lt;&gt;"",IF(LEFT(H140,5)="Price","Excluded – price ≤ USD 5","Excluded – IV only"),IF(ISNUMBER(I140),IF(AND(I140&gt;=$C$3,M140&gt;=$E$3),"Priority 1",IF(OR(I140&gt;=$C$3,M140&gt;=$E$3),"Priority 2","Priority 3")),IF(M140&gt;=$E$3,"Priority 2","Priority 3")))</f>
        <v>Priority 3</v>
      </c>
      <c r="F140" s="15" t="n">
        <f aca="false">IF(H140&lt;&gt;"","",COUNTIFS($A$29:$A$361,A140,$H$29:$H$361,"",$AJ$29:$AJ$361,"&gt;"&amp;AJ140)+COUNTIFS($A$29:A140,A140,$H$29:H140,"",$AJ$29:AJ140,AJ140))</f>
        <v>8</v>
      </c>
      <c r="G140" s="17" t="str">
        <f aca="false">IF(H140&lt;&gt;"","",IF(ISNUMBER(I140),IF(I140&gt;=$C$3,"High price","Lower price"),"No price")&amp;", "&amp;IF(M140&gt;=$E$3,"high volume","lower volume"))</f>
        <v>Lower price, lower volume</v>
      </c>
      <c r="H140" s="17" t="str">
        <f aca="false">IF(Q140="No","IV only (no ID, IM or SC route)",IF(AND(AE140&gt;0,AF140=0),"Price ≤ USD 5",""))</f>
        <v/>
      </c>
      <c r="I140" s="18" t="n">
        <f aca="false">IF(AF140&gt;0,ROUND(AVERAGEIFS('Shortlisted Drugs X Company (7)'!$N$3:$N$698,'Shortlisted Drugs X Company (7)'!$C$3:$C$698,$B140,'Shortlisted Drugs X Company (7)'!$E$3:$E$698,$AA140,'Shortlisted Drugs X Company (7)'!$N$3:$N$698,"&gt;5"),2),"")</f>
        <v>23.98</v>
      </c>
      <c r="J140" s="17" t="str">
        <f aca="false">IF(COUNTIFS('Shortlisted Drugs X Company (7)'!$C$3:$C$698,$B140,'Shortlisted Drugs X Company (7)'!$E$3:$E$698,$AA140,'Shortlisted Drugs X Company (7)'!$P$3:$P$698,"Exact")&gt;0,"Exact",IF(COUNTIFS('Shortlisted Drugs X Company (7)'!$C$3:$C$698,$B140,'Shortlisted Drugs X Company (7)'!$E$3:$E$698,$AA140,'Shortlisted Drugs X Company (7)'!$P$3:$P$698,"Same-market proxy")&gt;0,"Same-market proxy",IF(COUNTIFS('Shortlisted Drugs X Company (7)'!$C$3:$C$698,$B140,'Shortlisted Drugs X Company (7)'!$E$3:$E$698,$AA140,'Shortlisted Drugs X Company (7)'!$P$3:$P$698,"Cross-market proxy")&gt;0,"Cross-market proxy",IF(COUNTIFS('Shortlisted Drugs X Company (7)'!$C$3:$C$698,$B140,'Shortlisted Drugs X Company (7)'!$E$3:$E$698,$AA140,'Shortlisted Drugs X Company (7)'!$P$3:$P$698,"Source not found")&gt;0,"Source not found","No price found"))))</f>
        <v>Same-market proxy</v>
      </c>
      <c r="K140" s="19" t="n">
        <f aca="false">IFERROR(INDEX('Injectable Value'!$AB$28:$AB$178,MATCH(B140,'Injectable Value'!$A$28:$A$178,0)),"")</f>
        <v>123</v>
      </c>
      <c r="L140" s="77" t="n">
        <f aca="false">IFERROR(INDEX('Injectable Value'!$Z$28:$Z$178,MATCH(B140,'Injectable Value'!$A$28:$A$178,0)),"")</f>
        <v>0.675601982054373</v>
      </c>
      <c r="M140" s="19" t="n">
        <f aca="false">IFERROR(INDEX('Injectable Value'!$AC$28:$AC$178,MATCH(B140,'Injectable Value'!$A$28:$A$178,0)),"")</f>
        <v>83</v>
      </c>
      <c r="N140" s="19" t="n">
        <f aca="false">IFERROR(INDEX('Injectable Value'!$C$28:$C$178,MATCH(B140,'Injectable Value'!$A$28:$A$178,0)),"")</f>
        <v>3010.2</v>
      </c>
      <c r="O140" s="19" t="n">
        <f aca="false">IFERROR(ROUND(INDEX('Injectable Value'!$AA$28:$AA$178,MATCH(B140,'Injectable Value'!$A$28:$A$178,0)),1),"")</f>
        <v>2033.7</v>
      </c>
      <c r="P140" s="16" t="str">
        <f aca="false">IFERROR(INDEX('Route of Administration'!$C$5:$C$155,MATCH(B140,'Route of Administration'!$A$5:$A$155,0)),"")</f>
        <v>IV, IM</v>
      </c>
      <c r="Q140" s="15" t="str">
        <f aca="false">IFERROR(INDEX('Route of Administration'!$D$5:$D$155,MATCH(B140,'Route of Administration'!$A$5:$A$155,0)),"")</f>
        <v>Yes</v>
      </c>
      <c r="R140" s="16" t="s">
        <v>281</v>
      </c>
      <c r="S140" s="17" t="s">
        <v>793</v>
      </c>
      <c r="T140" s="16" t="s">
        <v>283</v>
      </c>
      <c r="U140" s="17" t="str">
        <f aca="false">""&amp;IF(AE140=0,"No price found","")&amp;IF(AND(AE140&gt;0,AF140=0,AG140=0),"Low price comes from another market – confirm with the company","")</f>
        <v/>
      </c>
      <c r="V140" s="17" t="s">
        <v>463</v>
      </c>
      <c r="W140" s="15" t="n">
        <v>1</v>
      </c>
      <c r="X140" s="17" t="s">
        <v>464</v>
      </c>
      <c r="Y140" s="17" t="s">
        <v>464</v>
      </c>
      <c r="Z140" s="17" t="s">
        <v>321</v>
      </c>
      <c r="AA140" s="16" t="s">
        <v>773</v>
      </c>
      <c r="AB140" s="78" t="s">
        <v>794</v>
      </c>
      <c r="AC140" s="20" t="n">
        <f aca="false">IF(AE140&gt;0,ROUND(AVERAGEIFS('Shortlisted Drugs X Company (7)'!$N$3:$N$698,'Shortlisted Drugs X Company (7)'!$C$3:$C$698,$B140,'Shortlisted Drugs X Company (7)'!$E$3:$E$698,$AA140,'Shortlisted Drugs X Company (7)'!$N$3:$N$698,"&gt;=0"),2),"")</f>
        <v>23.98</v>
      </c>
      <c r="AD140" s="79" t="str">
        <f aca="false">B140&amp;"|"&amp;AA140</f>
        <v>Colistimethate Sodium|Emcure Pharmaceuticals</v>
      </c>
      <c r="AE140" s="22" t="n">
        <f aca="false">COUNTIFS('Shortlisted Drugs X Company (7)'!$C$3:$C$698,$B140,'Shortlisted Drugs X Company (7)'!$E$3:$E$698,$AA140,'Shortlisted Drugs X Company (7)'!$N$3:$N$698,"&gt;=0")</f>
        <v>1</v>
      </c>
      <c r="AF140" s="22" t="n">
        <f aca="false">COUNTIFS('Shortlisted Drugs X Company (7)'!$C$3:$C$698,$B140,'Shortlisted Drugs X Company (7)'!$E$3:$E$698,$AA140,'Shortlisted Drugs X Company (7)'!$N$3:$N$698,"&gt;5")</f>
        <v>1</v>
      </c>
      <c r="AG140" s="22" t="n">
        <f aca="false">COUNTIFS('Shortlisted Drugs X Company (7)'!$C$3:$C$698,$B140,'Shortlisted Drugs X Company (7)'!$E$3:$E$698,$AA140,'Shortlisted Drugs X Company (7)'!$P$3:$P$698,"Exact")+COUNTIFS('Shortlisted Drugs X Company (7)'!$C$3:$C$698,$B140,'Shortlisted Drugs X Company (7)'!$E$3:$E$698,$AA140,'Shortlisted Drugs X Company (7)'!$P$3:$P$698,"Same-market proxy")</f>
        <v>1</v>
      </c>
      <c r="AH140" s="22" t="n">
        <f aca="false">INDEX($G$7:$G$25,MATCH(A140,$A$7:$A$25,0))</f>
        <v>5</v>
      </c>
      <c r="AI140" s="79" t="n">
        <f aca="false">IF(OR(Q140="No",LEFT(H140,7)="IV only"),"",AH140*1000+IF(F140="",900+COUNTIFS($A$29:A140,A140,$H$29:H140,"Price*"),F140))</f>
        <v>5008</v>
      </c>
      <c r="AJ140" s="79" t="n">
        <f aca="false">IF(H140&lt;&gt;"","",(4-VALUE(RIGHT(E140,1)))*10^7+N(O140))</f>
        <v>10002033.7</v>
      </c>
      <c r="AK140" s="20" t="n">
        <f aca="false">IF(AND(H140="",ISNUMBER(I140)),I140,"")</f>
        <v>23.98</v>
      </c>
      <c r="AL140" s="21" t="n">
        <f aca="false">IF(H140="",M140,"")</f>
        <v>83</v>
      </c>
    </row>
    <row r="141" customFormat="false" ht="41.75" hidden="false" customHeight="false" outlineLevel="0" collapsed="false">
      <c r="A141" s="16" t="s">
        <v>232</v>
      </c>
      <c r="B141" s="16" t="s">
        <v>380</v>
      </c>
      <c r="C141" s="17" t="s">
        <v>380</v>
      </c>
      <c r="D141" s="17" t="s">
        <v>381</v>
      </c>
      <c r="E141" s="15" t="str">
        <f aca="false">IF(H141&lt;&gt;"",IF(LEFT(H141,5)="Price","Excluded – price ≤ USD 5","Excluded – IV only"),IF(ISNUMBER(I141),IF(AND(I141&gt;=$C$3,M141&gt;=$E$3),"Priority 1",IF(OR(I141&gt;=$C$3,M141&gt;=$E$3),"Priority 2","Priority 3")),IF(M141&gt;=$E$3,"Priority 2","Priority 3")))</f>
        <v>Excluded – IV only</v>
      </c>
      <c r="F141" s="15" t="str">
        <f aca="false">IF(H141&lt;&gt;"","",COUNTIFS($A$29:$A$361,A141,$H$29:$H$361,"",$AJ$29:$AJ$361,"&gt;"&amp;AJ141)+COUNTIFS($A$29:A141,A141,$H$29:H141,"",$AJ$29:AJ141,AJ141))</f>
        <v/>
      </c>
      <c r="G141" s="17" t="str">
        <f aca="false">IF(H141&lt;&gt;"","",IF(ISNUMBER(I141),IF(I141&gt;=$C$3,"High price","Lower price"),"No price")&amp;", "&amp;IF(M141&gt;=$E$3,"high volume","lower volume"))</f>
        <v/>
      </c>
      <c r="H141" s="17" t="str">
        <f aca="false">IF(Q141="No","IV only (no ID, IM or SC route)",IF(AND(AE141&gt;0,AF141=0),"Price ≤ USD 5",""))</f>
        <v>IV only (no ID, IM or SC route)</v>
      </c>
      <c r="I141" s="18" t="n">
        <f aca="false">IF(AF141&gt;0,ROUND(AVERAGEIFS('Shortlisted Drugs X Company (7)'!$N$3:$N$698,'Shortlisted Drugs X Company (7)'!$C$3:$C$698,$B141,'Shortlisted Drugs X Company (7)'!$E$3:$E$698,$AA141,'Shortlisted Drugs X Company (7)'!$N$3:$N$698,"&gt;5"),2),"")</f>
        <v>92.75</v>
      </c>
      <c r="J141" s="17" t="str">
        <f aca="false">IF(COUNTIFS('Shortlisted Drugs X Company (7)'!$C$3:$C$698,$B141,'Shortlisted Drugs X Company (7)'!$E$3:$E$698,$AA141,'Shortlisted Drugs X Company (7)'!$P$3:$P$698,"Exact")&gt;0,"Exact",IF(COUNTIFS('Shortlisted Drugs X Company (7)'!$C$3:$C$698,$B141,'Shortlisted Drugs X Company (7)'!$E$3:$E$698,$AA141,'Shortlisted Drugs X Company (7)'!$P$3:$P$698,"Same-market proxy")&gt;0,"Same-market proxy",IF(COUNTIFS('Shortlisted Drugs X Company (7)'!$C$3:$C$698,$B141,'Shortlisted Drugs X Company (7)'!$E$3:$E$698,$AA141,'Shortlisted Drugs X Company (7)'!$P$3:$P$698,"Cross-market proxy")&gt;0,"Cross-market proxy",IF(COUNTIFS('Shortlisted Drugs X Company (7)'!$C$3:$C$698,$B141,'Shortlisted Drugs X Company (7)'!$E$3:$E$698,$AA141,'Shortlisted Drugs X Company (7)'!$P$3:$P$698,"Source not found")&gt;0,"Source not found","No price found"))))</f>
        <v>Same-market proxy</v>
      </c>
      <c r="K141" s="19" t="n">
        <f aca="false">IFERROR(INDEX('Injectable Value'!$AB$28:$AB$178,MATCH(B141,'Injectable Value'!$A$28:$A$178,0)),"")</f>
        <v>843</v>
      </c>
      <c r="L141" s="77" t="n">
        <f aca="false">IFERROR(INDEX('Injectable Value'!$Z$28:$Z$178,MATCH(B141,'Injectable Value'!$A$28:$A$178,0)),"")</f>
        <v>0.858739397335643</v>
      </c>
      <c r="M141" s="19" t="n">
        <f aca="false">IFERROR(INDEX('Injectable Value'!$AC$28:$AC$178,MATCH(B141,'Injectable Value'!$A$28:$A$178,0)),"")</f>
        <v>724</v>
      </c>
      <c r="N141" s="19" t="n">
        <f aca="false">IFERROR(INDEX('Injectable Value'!$C$28:$C$178,MATCH(B141,'Injectable Value'!$A$28:$A$178,0)),"")</f>
        <v>4508</v>
      </c>
      <c r="O141" s="19" t="n">
        <f aca="false">IFERROR(ROUND(INDEX('Injectable Value'!$AA$28:$AA$178,MATCH(B141,'Injectable Value'!$A$28:$A$178,0)),1),"")</f>
        <v>3871.2</v>
      </c>
      <c r="P141" s="16" t="str">
        <f aca="false">IFERROR(INDEX('Route of Administration'!$C$5:$C$155,MATCH(B141,'Route of Administration'!$A$5:$A$155,0)),"")</f>
        <v>IV</v>
      </c>
      <c r="Q141" s="15" t="str">
        <f aca="false">IFERROR(INDEX('Route of Administration'!$D$5:$D$155,MATCH(B141,'Route of Administration'!$A$5:$A$155,0)),"")</f>
        <v>No</v>
      </c>
      <c r="R141" s="16" t="s">
        <v>281</v>
      </c>
      <c r="S141" s="17" t="s">
        <v>795</v>
      </c>
      <c r="T141" s="16" t="s">
        <v>318</v>
      </c>
      <c r="U141" s="17" t="str">
        <f aca="false">"Cancer drug (cytotoxic) – less relevant"&amp;IF(AE141=0,"; No price found","")&amp;IF(AND(AE141&gt;0,AF141=0,AG141=0),"; Low price comes from another market – confirm with the company","")</f>
        <v>Cancer drug (cytotoxic) – less relevant</v>
      </c>
      <c r="V141" s="17" t="s">
        <v>463</v>
      </c>
      <c r="W141" s="15" t="n">
        <v>1</v>
      </c>
      <c r="X141" s="17" t="s">
        <v>464</v>
      </c>
      <c r="Y141" s="17" t="s">
        <v>464</v>
      </c>
      <c r="Z141" s="17" t="s">
        <v>286</v>
      </c>
      <c r="AA141" s="16" t="s">
        <v>773</v>
      </c>
      <c r="AB141" s="78" t="s">
        <v>383</v>
      </c>
      <c r="AC141" s="20" t="n">
        <f aca="false">IF(AE141&gt;0,ROUND(AVERAGEIFS('Shortlisted Drugs X Company (7)'!$N$3:$N$698,'Shortlisted Drugs X Company (7)'!$C$3:$C$698,$B141,'Shortlisted Drugs X Company (7)'!$E$3:$E$698,$AA141,'Shortlisted Drugs X Company (7)'!$N$3:$N$698,"&gt;=0"),2),"")</f>
        <v>92.75</v>
      </c>
      <c r="AD141" s="79" t="str">
        <f aca="false">B141&amp;"|"&amp;AA141</f>
        <v>Cyclophosphamide|Emcure Pharmaceuticals</v>
      </c>
      <c r="AE141" s="22" t="n">
        <f aca="false">COUNTIFS('Shortlisted Drugs X Company (7)'!$C$3:$C$698,$B141,'Shortlisted Drugs X Company (7)'!$E$3:$E$698,$AA141,'Shortlisted Drugs X Company (7)'!$N$3:$N$698,"&gt;=0")</f>
        <v>2</v>
      </c>
      <c r="AF141" s="22" t="n">
        <f aca="false">COUNTIFS('Shortlisted Drugs X Company (7)'!$C$3:$C$698,$B141,'Shortlisted Drugs X Company (7)'!$E$3:$E$698,$AA141,'Shortlisted Drugs X Company (7)'!$N$3:$N$698,"&gt;5")</f>
        <v>2</v>
      </c>
      <c r="AG141" s="22" t="n">
        <f aca="false">COUNTIFS('Shortlisted Drugs X Company (7)'!$C$3:$C$698,$B141,'Shortlisted Drugs X Company (7)'!$E$3:$E$698,$AA141,'Shortlisted Drugs X Company (7)'!$P$3:$P$698,"Exact")+COUNTIFS('Shortlisted Drugs X Company (7)'!$C$3:$C$698,$B141,'Shortlisted Drugs X Company (7)'!$E$3:$E$698,$AA141,'Shortlisted Drugs X Company (7)'!$P$3:$P$698,"Same-market proxy")</f>
        <v>2</v>
      </c>
      <c r="AH141" s="22" t="n">
        <f aca="false">INDEX($G$7:$G$25,MATCH(A141,$A$7:$A$25,0))</f>
        <v>5</v>
      </c>
      <c r="AI141" s="79" t="str">
        <f aca="false">IF(OR(Q141="No",LEFT(H141,7)="IV only"),"",AH141*1000+IF(F141="",900+COUNTIFS($A$29:A141,A141,$H$29:H141,"Price*"),F141))</f>
        <v/>
      </c>
      <c r="AJ141" s="79" t="str">
        <f aca="false">IF(H141&lt;&gt;"","",(4-VALUE(RIGHT(E141,1)))*10^7+N(O141))</f>
        <v/>
      </c>
      <c r="AK141" s="79" t="str">
        <f aca="false">IF(AND(H141="",ISNUMBER(I141)),I141,"")</f>
        <v/>
      </c>
      <c r="AL141" s="79" t="str">
        <f aca="false">IF(H141="",M141,"")</f>
        <v/>
      </c>
    </row>
    <row r="142" customFormat="false" ht="41.75" hidden="false" customHeight="false" outlineLevel="0" collapsed="false">
      <c r="A142" s="16" t="s">
        <v>232</v>
      </c>
      <c r="B142" s="16" t="s">
        <v>388</v>
      </c>
      <c r="C142" s="17" t="s">
        <v>796</v>
      </c>
      <c r="D142" s="17" t="s">
        <v>390</v>
      </c>
      <c r="E142" s="15" t="str">
        <f aca="false">IF(H142&lt;&gt;"",IF(LEFT(H142,5)="Price","Excluded – price ≤ USD 5","Excluded – IV only"),IF(ISNUMBER(I142),IF(AND(I142&gt;=$C$3,M142&gt;=$E$3),"Priority 1",IF(OR(I142&gt;=$C$3,M142&gt;=$E$3),"Priority 2","Priority 3")),IF(M142&gt;=$E$3,"Priority 2","Priority 3")))</f>
        <v>Excluded – IV only</v>
      </c>
      <c r="F142" s="15" t="str">
        <f aca="false">IF(H142&lt;&gt;"","",COUNTIFS($A$29:$A$361,A142,$H$29:$H$361,"",$AJ$29:$AJ$361,"&gt;"&amp;AJ142)+COUNTIFS($A$29:A142,A142,$H$29:H142,"",$AJ$29:AJ142,AJ142))</f>
        <v/>
      </c>
      <c r="G142" s="17" t="str">
        <f aca="false">IF(H142&lt;&gt;"","",IF(ISNUMBER(I142),IF(I142&gt;=$C$3,"High price","Lower price"),"No price")&amp;", "&amp;IF(M142&gt;=$E$3,"high volume","lower volume"))</f>
        <v/>
      </c>
      <c r="H142" s="17" t="str">
        <f aca="false">IF(Q142="No","IV only (no ID, IM or SC route)",IF(AND(AE142&gt;0,AF142=0),"Price ≤ USD 5",""))</f>
        <v>IV only (no ID, IM or SC route)</v>
      </c>
      <c r="I142" s="18" t="n">
        <f aca="false">IF(AF142&gt;0,ROUND(AVERAGEIFS('Shortlisted Drugs X Company (7)'!$N$3:$N$698,'Shortlisted Drugs X Company (7)'!$C$3:$C$698,$B142,'Shortlisted Drugs X Company (7)'!$E$3:$E$698,$AA142,'Shortlisted Drugs X Company (7)'!$N$3:$N$698,"&gt;5"),2),"")</f>
        <v>87.85</v>
      </c>
      <c r="J142" s="17" t="str">
        <f aca="false">IF(COUNTIFS('Shortlisted Drugs X Company (7)'!$C$3:$C$698,$B142,'Shortlisted Drugs X Company (7)'!$E$3:$E$698,$AA142,'Shortlisted Drugs X Company (7)'!$P$3:$P$698,"Exact")&gt;0,"Exact",IF(COUNTIFS('Shortlisted Drugs X Company (7)'!$C$3:$C$698,$B142,'Shortlisted Drugs X Company (7)'!$E$3:$E$698,$AA142,'Shortlisted Drugs X Company (7)'!$P$3:$P$698,"Same-market proxy")&gt;0,"Same-market proxy",IF(COUNTIFS('Shortlisted Drugs X Company (7)'!$C$3:$C$698,$B142,'Shortlisted Drugs X Company (7)'!$E$3:$E$698,$AA142,'Shortlisted Drugs X Company (7)'!$P$3:$P$698,"Cross-market proxy")&gt;0,"Cross-market proxy",IF(COUNTIFS('Shortlisted Drugs X Company (7)'!$C$3:$C$698,$B142,'Shortlisted Drugs X Company (7)'!$E$3:$E$698,$AA142,'Shortlisted Drugs X Company (7)'!$P$3:$P$698,"Source not found")&gt;0,"Source not found","No price found"))))</f>
        <v>Exact</v>
      </c>
      <c r="K142" s="19" t="n">
        <f aca="false">IFERROR(INDEX('Injectable Value'!$AB$28:$AB$178,MATCH(B142,'Injectable Value'!$A$28:$A$178,0)),"")</f>
        <v>312</v>
      </c>
      <c r="L142" s="77" t="n">
        <f aca="false">IFERROR(INDEX('Injectable Value'!$Z$28:$Z$178,MATCH(B142,'Injectable Value'!$A$28:$A$178,0)),"")</f>
        <v>1</v>
      </c>
      <c r="M142" s="19" t="n">
        <f aca="false">IFERROR(INDEX('Injectable Value'!$AC$28:$AC$178,MATCH(B142,'Injectable Value'!$A$28:$A$178,0)),"")</f>
        <v>312</v>
      </c>
      <c r="N142" s="19" t="n">
        <f aca="false">IFERROR(INDEX('Injectable Value'!$C$28:$C$178,MATCH(B142,'Injectable Value'!$A$28:$A$178,0)),"")</f>
        <v>59827.18</v>
      </c>
      <c r="O142" s="19" t="n">
        <f aca="false">IFERROR(ROUND(INDEX('Injectable Value'!$AA$28:$AA$178,MATCH(B142,'Injectable Value'!$A$28:$A$178,0)),1),"")</f>
        <v>59827.2</v>
      </c>
      <c r="P142" s="16" t="str">
        <f aca="false">IFERROR(INDEX('Route of Administration'!$C$5:$C$155,MATCH(B142,'Route of Administration'!$A$5:$A$155,0)),"")</f>
        <v>IV</v>
      </c>
      <c r="Q142" s="15" t="str">
        <f aca="false">IFERROR(INDEX('Route of Administration'!$D$5:$D$155,MATCH(B142,'Route of Administration'!$A$5:$A$155,0)),"")</f>
        <v>No</v>
      </c>
      <c r="R142" s="16" t="s">
        <v>281</v>
      </c>
      <c r="S142" s="17" t="s">
        <v>391</v>
      </c>
      <c r="T142" s="16" t="s">
        <v>333</v>
      </c>
      <c r="U142" s="17" t="str">
        <f aca="false">"Reconstitution"&amp;IF(AE142=0,"; No price found","")&amp;IF(AND(AE142&gt;0,AF142=0,AG142=0),"; Low price comes from another market – confirm with the company","")</f>
        <v>Reconstitution</v>
      </c>
      <c r="V142" s="17" t="s">
        <v>797</v>
      </c>
      <c r="W142" s="15" t="n">
        <v>5</v>
      </c>
      <c r="X142" s="17" t="s">
        <v>798</v>
      </c>
      <c r="Y142" s="17" t="s">
        <v>798</v>
      </c>
      <c r="Z142" s="17" t="s">
        <v>286</v>
      </c>
      <c r="AA142" s="16" t="s">
        <v>773</v>
      </c>
      <c r="AB142" s="78" t="s">
        <v>393</v>
      </c>
      <c r="AC142" s="20" t="n">
        <f aca="false">IF(AE142&gt;0,ROUND(AVERAGEIFS('Shortlisted Drugs X Company (7)'!$N$3:$N$698,'Shortlisted Drugs X Company (7)'!$C$3:$C$698,$B142,'Shortlisted Drugs X Company (7)'!$E$3:$E$698,$AA142,'Shortlisted Drugs X Company (7)'!$N$3:$N$698,"&gt;=0"),2),"")</f>
        <v>87.85</v>
      </c>
      <c r="AD142" s="79" t="str">
        <f aca="false">B142&amp;"|"&amp;AA142</f>
        <v>Daptomycin|Emcure Pharmaceuticals</v>
      </c>
      <c r="AE142" s="22" t="n">
        <f aca="false">COUNTIFS('Shortlisted Drugs X Company (7)'!$C$3:$C$698,$B142,'Shortlisted Drugs X Company (7)'!$E$3:$E$698,$AA142,'Shortlisted Drugs X Company (7)'!$N$3:$N$698,"&gt;=0")</f>
        <v>2</v>
      </c>
      <c r="AF142" s="22" t="n">
        <f aca="false">COUNTIFS('Shortlisted Drugs X Company (7)'!$C$3:$C$698,$B142,'Shortlisted Drugs X Company (7)'!$E$3:$E$698,$AA142,'Shortlisted Drugs X Company (7)'!$N$3:$N$698,"&gt;5")</f>
        <v>2</v>
      </c>
      <c r="AG142" s="22" t="n">
        <f aca="false">COUNTIFS('Shortlisted Drugs X Company (7)'!$C$3:$C$698,$B142,'Shortlisted Drugs X Company (7)'!$E$3:$E$698,$AA142,'Shortlisted Drugs X Company (7)'!$P$3:$P$698,"Exact")+COUNTIFS('Shortlisted Drugs X Company (7)'!$C$3:$C$698,$B142,'Shortlisted Drugs X Company (7)'!$E$3:$E$698,$AA142,'Shortlisted Drugs X Company (7)'!$P$3:$P$698,"Same-market proxy")</f>
        <v>2</v>
      </c>
      <c r="AH142" s="22" t="n">
        <f aca="false">INDEX($G$7:$G$25,MATCH(A142,$A$7:$A$25,0))</f>
        <v>5</v>
      </c>
      <c r="AI142" s="79" t="str">
        <f aca="false">IF(OR(Q142="No",LEFT(H142,7)="IV only"),"",AH142*1000+IF(F142="",900+COUNTIFS($A$29:A142,A142,$H$29:H142,"Price*"),F142))</f>
        <v/>
      </c>
      <c r="AJ142" s="79" t="str">
        <f aca="false">IF(H142&lt;&gt;"","",(4-VALUE(RIGHT(E142,1)))*10^7+N(O142))</f>
        <v/>
      </c>
      <c r="AK142" s="79" t="str">
        <f aca="false">IF(AND(H142="",ISNUMBER(I142)),I142,"")</f>
        <v/>
      </c>
      <c r="AL142" s="79" t="str">
        <f aca="false">IF(H142="",M142,"")</f>
        <v/>
      </c>
    </row>
    <row r="143" customFormat="false" ht="28.35" hidden="false" customHeight="false" outlineLevel="0" collapsed="false">
      <c r="A143" s="16" t="s">
        <v>232</v>
      </c>
      <c r="B143" s="16" t="s">
        <v>724</v>
      </c>
      <c r="C143" s="17" t="s">
        <v>799</v>
      </c>
      <c r="D143" s="17" t="s">
        <v>726</v>
      </c>
      <c r="E143" s="15" t="str">
        <f aca="false">IF(H143&lt;&gt;"",IF(LEFT(H143,5)="Price","Excluded – price ≤ USD 5","Excluded – IV only"),IF(ISNUMBER(I143),IF(AND(I143&gt;=$C$3,M143&gt;=$E$3),"Priority 1",IF(OR(I143&gt;=$C$3,M143&gt;=$E$3),"Priority 2","Priority 3")),IF(M143&gt;=$E$3,"Priority 2","Priority 3")))</f>
        <v>Excluded – IV only</v>
      </c>
      <c r="F143" s="15" t="str">
        <f aca="false">IF(H143&lt;&gt;"","",COUNTIFS($A$29:$A$361,A143,$H$29:$H$361,"",$AJ$29:$AJ$361,"&gt;"&amp;AJ143)+COUNTIFS($A$29:A143,A143,$H$29:H143,"",$AJ$29:AJ143,AJ143))</f>
        <v/>
      </c>
      <c r="G143" s="17" t="str">
        <f aca="false">IF(H143&lt;&gt;"","",IF(ISNUMBER(I143),IF(I143&gt;=$C$3,"High price","Lower price"),"No price")&amp;", "&amp;IF(M143&gt;=$E$3,"high volume","lower volume"))</f>
        <v/>
      </c>
      <c r="H143" s="17" t="str">
        <f aca="false">IF(Q143="No","IV only (no ID, IM or SC route)",IF(AND(AE143&gt;0,AF143=0),"Price ≤ USD 5",""))</f>
        <v>IV only (no ID, IM or SC route)</v>
      </c>
      <c r="I143" s="18" t="n">
        <f aca="false">IF(AF143&gt;0,ROUND(AVERAGEIFS('Shortlisted Drugs X Company (7)'!$N$3:$N$698,'Shortlisted Drugs X Company (7)'!$C$3:$C$698,$B143,'Shortlisted Drugs X Company (7)'!$E$3:$E$698,$AA143,'Shortlisted Drugs X Company (7)'!$N$3:$N$698,"&gt;5"),2),"")</f>
        <v>404.59</v>
      </c>
      <c r="J143" s="17" t="str">
        <f aca="false">IF(COUNTIFS('Shortlisted Drugs X Company (7)'!$C$3:$C$698,$B143,'Shortlisted Drugs X Company (7)'!$E$3:$E$698,$AA143,'Shortlisted Drugs X Company (7)'!$P$3:$P$698,"Exact")&gt;0,"Exact",IF(COUNTIFS('Shortlisted Drugs X Company (7)'!$C$3:$C$698,$B143,'Shortlisted Drugs X Company (7)'!$E$3:$E$698,$AA143,'Shortlisted Drugs X Company (7)'!$P$3:$P$698,"Same-market proxy")&gt;0,"Same-market proxy",IF(COUNTIFS('Shortlisted Drugs X Company (7)'!$C$3:$C$698,$B143,'Shortlisted Drugs X Company (7)'!$E$3:$E$698,$AA143,'Shortlisted Drugs X Company (7)'!$P$3:$P$698,"Cross-market proxy")&gt;0,"Cross-market proxy",IF(COUNTIFS('Shortlisted Drugs X Company (7)'!$C$3:$C$698,$B143,'Shortlisted Drugs X Company (7)'!$E$3:$E$698,$AA143,'Shortlisted Drugs X Company (7)'!$P$3:$P$698,"Source not found")&gt;0,"Source not found","No price found"))))</f>
        <v>Same-market proxy</v>
      </c>
      <c r="K143" s="19" t="n">
        <f aca="false">IFERROR(INDEX('Injectable Value'!$AB$28:$AB$178,MATCH(B143,'Injectable Value'!$A$28:$A$178,0)),"")</f>
        <v>42</v>
      </c>
      <c r="L143" s="77" t="n">
        <f aca="false">IFERROR(INDEX('Injectable Value'!$Z$28:$Z$178,MATCH(B143,'Injectable Value'!$A$28:$A$178,0)),"")</f>
        <v>1</v>
      </c>
      <c r="M143" s="19" t="n">
        <f aca="false">IFERROR(INDEX('Injectable Value'!$AC$28:$AC$178,MATCH(B143,'Injectable Value'!$A$28:$A$178,0)),"")</f>
        <v>42</v>
      </c>
      <c r="N143" s="19" t="n">
        <f aca="false">IFERROR(INDEX('Injectable Value'!$C$28:$C$178,MATCH(B143,'Injectable Value'!$A$28:$A$178,0)),"")</f>
        <v>1874.63</v>
      </c>
      <c r="O143" s="19" t="n">
        <f aca="false">IFERROR(ROUND(INDEX('Injectable Value'!$AA$28:$AA$178,MATCH(B143,'Injectable Value'!$A$28:$A$178,0)),1),"")</f>
        <v>1874.6</v>
      </c>
      <c r="P143" s="16" t="str">
        <f aca="false">IFERROR(INDEX('Route of Administration'!$C$5:$C$155,MATCH(B143,'Route of Administration'!$A$5:$A$155,0)),"")</f>
        <v>IV</v>
      </c>
      <c r="Q143" s="15" t="str">
        <f aca="false">IFERROR(INDEX('Route of Administration'!$D$5:$D$155,MATCH(B143,'Route of Administration'!$A$5:$A$155,0)),"")</f>
        <v>No</v>
      </c>
      <c r="R143" s="16" t="s">
        <v>281</v>
      </c>
      <c r="S143" s="17" t="s">
        <v>800</v>
      </c>
      <c r="T143" s="16" t="s">
        <v>283</v>
      </c>
      <c r="U143" s="17" t="str">
        <f aca="false">"Cancer drug (cytotoxic) – less relevant"&amp;IF(AE143=0,"; No price found","")&amp;IF(AND(AE143&gt;0,AF143=0,AG143=0),"; Low price comes from another market – confirm with the company","")</f>
        <v>Cancer drug (cytotoxic) – less relevant</v>
      </c>
      <c r="V143" s="17" t="s">
        <v>801</v>
      </c>
      <c r="W143" s="15" t="n">
        <v>7</v>
      </c>
      <c r="X143" s="17" t="s">
        <v>802</v>
      </c>
      <c r="Y143" s="17" t="s">
        <v>803</v>
      </c>
      <c r="Z143" s="17" t="s">
        <v>286</v>
      </c>
      <c r="AA143" s="16" t="s">
        <v>773</v>
      </c>
      <c r="AB143" s="78" t="s">
        <v>730</v>
      </c>
      <c r="AC143" s="20" t="n">
        <f aca="false">IF(AE143&gt;0,ROUND(AVERAGEIFS('Shortlisted Drugs X Company (7)'!$N$3:$N$698,'Shortlisted Drugs X Company (7)'!$C$3:$C$698,$B143,'Shortlisted Drugs X Company (7)'!$E$3:$E$698,$AA143,'Shortlisted Drugs X Company (7)'!$N$3:$N$698,"&gt;=0"),2),"")</f>
        <v>404.59</v>
      </c>
      <c r="AD143" s="79" t="str">
        <f aca="false">B143&amp;"|"&amp;AA143</f>
        <v>Eribulin|Emcure Pharmaceuticals</v>
      </c>
      <c r="AE143" s="22" t="n">
        <f aca="false">COUNTIFS('Shortlisted Drugs X Company (7)'!$C$3:$C$698,$B143,'Shortlisted Drugs X Company (7)'!$E$3:$E$698,$AA143,'Shortlisted Drugs X Company (7)'!$N$3:$N$698,"&gt;=0")</f>
        <v>1</v>
      </c>
      <c r="AF143" s="22" t="n">
        <f aca="false">COUNTIFS('Shortlisted Drugs X Company (7)'!$C$3:$C$698,$B143,'Shortlisted Drugs X Company (7)'!$E$3:$E$698,$AA143,'Shortlisted Drugs X Company (7)'!$N$3:$N$698,"&gt;5")</f>
        <v>1</v>
      </c>
      <c r="AG143" s="22" t="n">
        <f aca="false">COUNTIFS('Shortlisted Drugs X Company (7)'!$C$3:$C$698,$B143,'Shortlisted Drugs X Company (7)'!$E$3:$E$698,$AA143,'Shortlisted Drugs X Company (7)'!$P$3:$P$698,"Exact")+COUNTIFS('Shortlisted Drugs X Company (7)'!$C$3:$C$698,$B143,'Shortlisted Drugs X Company (7)'!$E$3:$E$698,$AA143,'Shortlisted Drugs X Company (7)'!$P$3:$P$698,"Same-market proxy")</f>
        <v>1</v>
      </c>
      <c r="AH143" s="22" t="n">
        <f aca="false">INDEX($G$7:$G$25,MATCH(A143,$A$7:$A$25,0))</f>
        <v>5</v>
      </c>
      <c r="AI143" s="79" t="str">
        <f aca="false">IF(OR(Q143="No",LEFT(H143,7)="IV only"),"",AH143*1000+IF(F143="",900+COUNTIFS($A$29:A143,A143,$H$29:H143,"Price*"),F143))</f>
        <v/>
      </c>
      <c r="AJ143" s="79" t="str">
        <f aca="false">IF(H143&lt;&gt;"","",(4-VALUE(RIGHT(E143,1)))*10^7+N(O143))</f>
        <v/>
      </c>
      <c r="AK143" s="79" t="str">
        <f aca="false">IF(AND(H143="",ISNUMBER(I143)),I143,"")</f>
        <v/>
      </c>
      <c r="AL143" s="79" t="str">
        <f aca="false">IF(H143="",M143,"")</f>
        <v/>
      </c>
    </row>
    <row r="144" customFormat="false" ht="41.75" hidden="false" customHeight="false" outlineLevel="0" collapsed="false">
      <c r="A144" s="16" t="s">
        <v>232</v>
      </c>
      <c r="B144" s="16" t="s">
        <v>804</v>
      </c>
      <c r="C144" s="17" t="s">
        <v>805</v>
      </c>
      <c r="D144" s="17" t="s">
        <v>806</v>
      </c>
      <c r="E144" s="15" t="str">
        <f aca="false">IF(H144&lt;&gt;"",IF(LEFT(H144,5)="Price","Excluded – price ≤ USD 5","Excluded – IV only"),IF(ISNUMBER(I144),IF(AND(I144&gt;=$C$3,M144&gt;=$E$3),"Priority 1",IF(OR(I144&gt;=$C$3,M144&gt;=$E$3),"Priority 2","Priority 3")),IF(M144&gt;=$E$3,"Priority 2","Priority 3")))</f>
        <v>Excluded – IV only</v>
      </c>
      <c r="F144" s="15" t="str">
        <f aca="false">IF(H144&lt;&gt;"","",COUNTIFS($A$29:$A$361,A144,$H$29:$H$361,"",$AJ$29:$AJ$361,"&gt;"&amp;AJ144)+COUNTIFS($A$29:A144,A144,$H$29:H144,"",$AJ$29:AJ144,AJ144))</f>
        <v/>
      </c>
      <c r="G144" s="17" t="str">
        <f aca="false">IF(H144&lt;&gt;"","",IF(ISNUMBER(I144),IF(I144&gt;=$C$3,"High price","Lower price"),"No price")&amp;", "&amp;IF(M144&gt;=$E$3,"high volume","lower volume"))</f>
        <v/>
      </c>
      <c r="H144" s="17" t="str">
        <f aca="false">IF(Q144="No","IV only (no ID, IM or SC route)",IF(AND(AE144&gt;0,AF144=0),"Price ≤ USD 5",""))</f>
        <v>IV only (no ID, IM or SC route)</v>
      </c>
      <c r="I144" s="18" t="n">
        <f aca="false">IF(AF144&gt;0,ROUND(AVERAGEIFS('Shortlisted Drugs X Company (7)'!$N$3:$N$698,'Shortlisted Drugs X Company (7)'!$C$3:$C$698,$B144,'Shortlisted Drugs X Company (7)'!$E$3:$E$698,$AA144,'Shortlisted Drugs X Company (7)'!$N$3:$N$698,"&gt;5"),2),"")</f>
        <v>7.28</v>
      </c>
      <c r="J144" s="17" t="str">
        <f aca="false">IF(COUNTIFS('Shortlisted Drugs X Company (7)'!$C$3:$C$698,$B144,'Shortlisted Drugs X Company (7)'!$E$3:$E$698,$AA144,'Shortlisted Drugs X Company (7)'!$P$3:$P$698,"Exact")&gt;0,"Exact",IF(COUNTIFS('Shortlisted Drugs X Company (7)'!$C$3:$C$698,$B144,'Shortlisted Drugs X Company (7)'!$E$3:$E$698,$AA144,'Shortlisted Drugs X Company (7)'!$P$3:$P$698,"Same-market proxy")&gt;0,"Same-market proxy",IF(COUNTIFS('Shortlisted Drugs X Company (7)'!$C$3:$C$698,$B144,'Shortlisted Drugs X Company (7)'!$E$3:$E$698,$AA144,'Shortlisted Drugs X Company (7)'!$P$3:$P$698,"Cross-market proxy")&gt;0,"Cross-market proxy",IF(COUNTIFS('Shortlisted Drugs X Company (7)'!$C$3:$C$698,$B144,'Shortlisted Drugs X Company (7)'!$E$3:$E$698,$AA144,'Shortlisted Drugs X Company (7)'!$P$3:$P$698,"Source not found")&gt;0,"Source not found","No price found"))))</f>
        <v>Exact</v>
      </c>
      <c r="K144" s="19" t="n">
        <f aca="false">IFERROR(INDEX('Injectable Value'!$AB$28:$AB$178,MATCH(B144,'Injectable Value'!$A$28:$A$178,0)),"")</f>
        <v>3168</v>
      </c>
      <c r="L144" s="77" t="n">
        <f aca="false">IFERROR(INDEX('Injectable Value'!$Z$28:$Z$178,MATCH(B144,'Injectable Value'!$A$28:$A$178,0)),"")</f>
        <v>0.103608949323645</v>
      </c>
      <c r="M144" s="19" t="n">
        <f aca="false">IFERROR(INDEX('Injectable Value'!$AC$28:$AC$178,MATCH(B144,'Injectable Value'!$A$28:$A$178,0)),"")</f>
        <v>328</v>
      </c>
      <c r="N144" s="19" t="n">
        <f aca="false">IFERROR(INDEX('Injectable Value'!$C$28:$C$178,MATCH(B144,'Injectable Value'!$A$28:$A$178,0)),"")</f>
        <v>130453.11</v>
      </c>
      <c r="O144" s="19" t="n">
        <f aca="false">IFERROR(ROUND(INDEX('Injectable Value'!$AA$28:$AA$178,MATCH(B144,'Injectable Value'!$A$28:$A$178,0)),1),"")</f>
        <v>13516.1</v>
      </c>
      <c r="P144" s="16" t="str">
        <f aca="false">IFERROR(INDEX('Route of Administration'!$C$5:$C$155,MATCH(B144,'Route of Administration'!$A$5:$A$155,0)),"")</f>
        <v>IV</v>
      </c>
      <c r="Q144" s="15" t="str">
        <f aca="false">IFERROR(INDEX('Route of Administration'!$D$5:$D$155,MATCH(B144,'Route of Administration'!$A$5:$A$155,0)),"")</f>
        <v>No</v>
      </c>
      <c r="R144" s="16" t="s">
        <v>281</v>
      </c>
      <c r="S144" s="17" t="s">
        <v>807</v>
      </c>
      <c r="T144" s="16" t="s">
        <v>333</v>
      </c>
      <c r="U144" s="17" t="str">
        <f aca="false">"Reconstitution"&amp;IF(AE144=0,"; No price found","")&amp;IF(AND(AE144&gt;0,AF144=0,AG144=0),"; Low price comes from another market – confirm with the company","")</f>
        <v>Reconstitution</v>
      </c>
      <c r="V144" s="17" t="s">
        <v>808</v>
      </c>
      <c r="W144" s="15" t="n">
        <v>8</v>
      </c>
      <c r="X144" s="17" t="s">
        <v>809</v>
      </c>
      <c r="Y144" s="17" t="s">
        <v>810</v>
      </c>
      <c r="Z144" s="17" t="s">
        <v>286</v>
      </c>
      <c r="AA144" s="16" t="s">
        <v>773</v>
      </c>
      <c r="AB144" s="78" t="s">
        <v>811</v>
      </c>
      <c r="AC144" s="20" t="n">
        <f aca="false">IF(AE144&gt;0,ROUND(AVERAGEIFS('Shortlisted Drugs X Company (7)'!$N$3:$N$698,'Shortlisted Drugs X Company (7)'!$C$3:$C$698,$B144,'Shortlisted Drugs X Company (7)'!$E$3:$E$698,$AA144,'Shortlisted Drugs X Company (7)'!$N$3:$N$698,"&gt;=0"),2),"")</f>
        <v>7.28</v>
      </c>
      <c r="AD144" s="79" t="str">
        <f aca="false">B144&amp;"|"&amp;AA144</f>
        <v>Esomeprazole|Emcure Pharmaceuticals</v>
      </c>
      <c r="AE144" s="22" t="n">
        <f aca="false">COUNTIFS('Shortlisted Drugs X Company (7)'!$C$3:$C$698,$B144,'Shortlisted Drugs X Company (7)'!$E$3:$E$698,$AA144,'Shortlisted Drugs X Company (7)'!$N$3:$N$698,"&gt;=0")</f>
        <v>1</v>
      </c>
      <c r="AF144" s="22" t="n">
        <f aca="false">COUNTIFS('Shortlisted Drugs X Company (7)'!$C$3:$C$698,$B144,'Shortlisted Drugs X Company (7)'!$E$3:$E$698,$AA144,'Shortlisted Drugs X Company (7)'!$N$3:$N$698,"&gt;5")</f>
        <v>1</v>
      </c>
      <c r="AG144" s="22" t="n">
        <f aca="false">COUNTIFS('Shortlisted Drugs X Company (7)'!$C$3:$C$698,$B144,'Shortlisted Drugs X Company (7)'!$E$3:$E$698,$AA144,'Shortlisted Drugs X Company (7)'!$P$3:$P$698,"Exact")+COUNTIFS('Shortlisted Drugs X Company (7)'!$C$3:$C$698,$B144,'Shortlisted Drugs X Company (7)'!$E$3:$E$698,$AA144,'Shortlisted Drugs X Company (7)'!$P$3:$P$698,"Same-market proxy")</f>
        <v>1</v>
      </c>
      <c r="AH144" s="22" t="n">
        <f aca="false">INDEX($G$7:$G$25,MATCH(A144,$A$7:$A$25,0))</f>
        <v>5</v>
      </c>
      <c r="AI144" s="79" t="str">
        <f aca="false">IF(OR(Q144="No",LEFT(H144,7)="IV only"),"",AH144*1000+IF(F144="",900+COUNTIFS($A$29:A144,A144,$H$29:H144,"Price*"),F144))</f>
        <v/>
      </c>
      <c r="AJ144" s="79" t="str">
        <f aca="false">IF(H144&lt;&gt;"","",(4-VALUE(RIGHT(E144,1)))*10^7+N(O144))</f>
        <v/>
      </c>
      <c r="AK144" s="79" t="str">
        <f aca="false">IF(AND(H144="",ISNUMBER(I144)),I144,"")</f>
        <v/>
      </c>
      <c r="AL144" s="79" t="str">
        <f aca="false">IF(H144="",M144,"")</f>
        <v/>
      </c>
    </row>
    <row r="145" customFormat="false" ht="68.65" hidden="false" customHeight="false" outlineLevel="0" collapsed="false">
      <c r="A145" s="16" t="s">
        <v>232</v>
      </c>
      <c r="B145" s="16" t="s">
        <v>637</v>
      </c>
      <c r="C145" s="17" t="s">
        <v>812</v>
      </c>
      <c r="D145" s="17" t="s">
        <v>639</v>
      </c>
      <c r="E145" s="15" t="str">
        <f aca="false">IF(H145&lt;&gt;"",IF(LEFT(H145,5)="Price","Excluded – price ≤ USD 5","Excluded – IV only"),IF(ISNUMBER(I145),IF(AND(I145&gt;=$C$3,M145&gt;=$E$3),"Priority 1",IF(OR(I145&gt;=$C$3,M145&gt;=$E$3),"Priority 2","Priority 3")),IF(M145&gt;=$E$3,"Priority 2","Priority 3")))</f>
        <v>Excluded – IV only</v>
      </c>
      <c r="F145" s="15" t="str">
        <f aca="false">IF(H145&lt;&gt;"","",COUNTIFS($A$29:$A$361,A145,$H$29:$H$361,"",$AJ$29:$AJ$361,"&gt;"&amp;AJ145)+COUNTIFS($A$29:A145,A145,$H$29:H145,"",$AJ$29:AJ145,AJ145))</f>
        <v/>
      </c>
      <c r="G145" s="17" t="str">
        <f aca="false">IF(H145&lt;&gt;"","",IF(ISNUMBER(I145),IF(I145&gt;=$C$3,"High price","Lower price"),"No price")&amp;", "&amp;IF(M145&gt;=$E$3,"high volume","lower volume"))</f>
        <v/>
      </c>
      <c r="H145" s="17" t="str">
        <f aca="false">IF(Q145="No","IV only (no ID, IM or SC route)","IV only – the company's product (see Route of Administration, step 2)")</f>
        <v>IV only – the company's product (see Route of Administration, step 2)</v>
      </c>
      <c r="I145" s="18" t="n">
        <f aca="false">IF(AF145&gt;0,ROUND(AVERAGEIFS('Shortlisted Drugs X Company (7)'!$N$3:$N$698,'Shortlisted Drugs X Company (7)'!$C$3:$C$698,$B145,'Shortlisted Drugs X Company (7)'!$E$3:$E$698,$AA145,'Shortlisted Drugs X Company (7)'!$N$3:$N$698,"&gt;5"),2),"")</f>
        <v>25.24</v>
      </c>
      <c r="J145" s="17" t="str">
        <f aca="false">IF(COUNTIFS('Shortlisted Drugs X Company (7)'!$C$3:$C$698,$B145,'Shortlisted Drugs X Company (7)'!$E$3:$E$698,$AA145,'Shortlisted Drugs X Company (7)'!$P$3:$P$698,"Exact")&gt;0,"Exact",IF(COUNTIFS('Shortlisted Drugs X Company (7)'!$C$3:$C$698,$B145,'Shortlisted Drugs X Company (7)'!$E$3:$E$698,$AA145,'Shortlisted Drugs X Company (7)'!$P$3:$P$698,"Same-market proxy")&gt;0,"Same-market proxy",IF(COUNTIFS('Shortlisted Drugs X Company (7)'!$C$3:$C$698,$B145,'Shortlisted Drugs X Company (7)'!$E$3:$E$698,$AA145,'Shortlisted Drugs X Company (7)'!$P$3:$P$698,"Cross-market proxy")&gt;0,"Cross-market proxy",IF(COUNTIFS('Shortlisted Drugs X Company (7)'!$C$3:$C$698,$B145,'Shortlisted Drugs X Company (7)'!$E$3:$E$698,$AA145,'Shortlisted Drugs X Company (7)'!$P$3:$P$698,"Source not found")&gt;0,"Source not found","No price found"))))</f>
        <v>Source not found</v>
      </c>
      <c r="K145" s="19" t="n">
        <f aca="false">IFERROR(INDEX('Injectable Value'!$AB$28:$AB$178,MATCH(B145,'Injectable Value'!$A$28:$A$178,0)),"")</f>
        <v>87</v>
      </c>
      <c r="L145" s="77" t="n">
        <f aca="false">IFERROR(INDEX('Injectable Value'!$Z$28:$Z$178,MATCH(B145,'Injectable Value'!$A$28:$A$178,0)),"")</f>
        <v>1</v>
      </c>
      <c r="M145" s="19" t="n">
        <f aca="false">IFERROR(INDEX('Injectable Value'!$AC$28:$AC$178,MATCH(B145,'Injectable Value'!$A$28:$A$178,0)),"")</f>
        <v>87</v>
      </c>
      <c r="N145" s="19" t="n">
        <f aca="false">IFERROR(INDEX('Injectable Value'!$C$28:$C$178,MATCH(B145,'Injectable Value'!$A$28:$A$178,0)),"")</f>
        <v>2931.42</v>
      </c>
      <c r="O145" s="19" t="n">
        <f aca="false">IFERROR(ROUND(INDEX('Injectable Value'!$AA$28:$AA$178,MATCH(B145,'Injectable Value'!$A$28:$A$178,0)),1),"")</f>
        <v>2931.4</v>
      </c>
      <c r="P145" s="16" t="str">
        <f aca="false">IFERROR(INDEX('Route of Administration'!$C$5:$C$155,MATCH(B145,'Route of Administration'!$A$5:$A$155,0)),"")</f>
        <v>IV, IM, SC</v>
      </c>
      <c r="Q145" s="15" t="str">
        <f aca="false">IFERROR(INDEX('Route of Administration'!$D$5:$D$155,MATCH(B145,'Route of Administration'!$A$5:$A$155,0)),"")</f>
        <v>Yes</v>
      </c>
      <c r="R145" s="16" t="s">
        <v>281</v>
      </c>
      <c r="S145" s="17" t="s">
        <v>813</v>
      </c>
      <c r="T145" s="16" t="s">
        <v>283</v>
      </c>
      <c r="U145" s="17" t="str">
        <f aca="false">""&amp;IF(AE145=0,"No price found","")&amp;IF(AND(AE145&gt;0,AF145=0,AG145=0),"Low price comes from another market – confirm with the company","")</f>
        <v/>
      </c>
      <c r="V145" s="17" t="s">
        <v>814</v>
      </c>
      <c r="W145" s="15" t="n">
        <v>3</v>
      </c>
      <c r="X145" s="17" t="s">
        <v>815</v>
      </c>
      <c r="Y145" s="17" t="s">
        <v>815</v>
      </c>
      <c r="Z145" s="17" t="s">
        <v>286</v>
      </c>
      <c r="AA145" s="16" t="s">
        <v>773</v>
      </c>
      <c r="AB145" s="78" t="s">
        <v>641</v>
      </c>
      <c r="AC145" s="20" t="n">
        <f aca="false">IF(AE145&gt;0,ROUND(AVERAGEIFS('Shortlisted Drugs X Company (7)'!$N$3:$N$698,'Shortlisted Drugs X Company (7)'!$C$3:$C$698,$B145,'Shortlisted Drugs X Company (7)'!$E$3:$E$698,$AA145,'Shortlisted Drugs X Company (7)'!$N$3:$N$698,"&gt;=0"),2),"")</f>
        <v>25.24</v>
      </c>
      <c r="AD145" s="79" t="str">
        <f aca="false">B145&amp;"|"&amp;AA145</f>
        <v>Isoprenaline (Isoproterenol)|Emcure Pharmaceuticals</v>
      </c>
      <c r="AE145" s="22" t="n">
        <f aca="false">COUNTIFS('Shortlisted Drugs X Company (7)'!$C$3:$C$698,$B145,'Shortlisted Drugs X Company (7)'!$E$3:$E$698,$AA145,'Shortlisted Drugs X Company (7)'!$N$3:$N$698,"&gt;=0")</f>
        <v>2</v>
      </c>
      <c r="AF145" s="22" t="n">
        <f aca="false">COUNTIFS('Shortlisted Drugs X Company (7)'!$C$3:$C$698,$B145,'Shortlisted Drugs X Company (7)'!$E$3:$E$698,$AA145,'Shortlisted Drugs X Company (7)'!$N$3:$N$698,"&gt;5")</f>
        <v>2</v>
      </c>
      <c r="AG145" s="22" t="n">
        <f aca="false">COUNTIFS('Shortlisted Drugs X Company (7)'!$C$3:$C$698,$B145,'Shortlisted Drugs X Company (7)'!$E$3:$E$698,$AA145,'Shortlisted Drugs X Company (7)'!$P$3:$P$698,"Exact")+COUNTIFS('Shortlisted Drugs X Company (7)'!$C$3:$C$698,$B145,'Shortlisted Drugs X Company (7)'!$E$3:$E$698,$AA145,'Shortlisted Drugs X Company (7)'!$P$3:$P$698,"Same-market proxy")</f>
        <v>0</v>
      </c>
      <c r="AH145" s="22" t="n">
        <f aca="false">INDEX($G$7:$G$25,MATCH(A145,$A$7:$A$25,0))</f>
        <v>5</v>
      </c>
      <c r="AI145" s="79" t="str">
        <f aca="false">IF(OR(Q145="No",LEFT(H145,7)="IV only"),"",AH145*1000+IF(F145="",900+COUNTIFS($A$29:A145,A145,$H$29:H145,"Price*"),F145))</f>
        <v/>
      </c>
      <c r="AJ145" s="79" t="str">
        <f aca="false">IF(H145&lt;&gt;"","",(4-VALUE(RIGHT(E145,1)))*10^7+N(O145))</f>
        <v/>
      </c>
      <c r="AK145" s="79" t="str">
        <f aca="false">IF(AND(H145="",ISNUMBER(I145)),I145,"")</f>
        <v/>
      </c>
      <c r="AL145" s="79" t="str">
        <f aca="false">IF(H145="",M145,"")</f>
        <v/>
      </c>
    </row>
    <row r="146" customFormat="false" ht="55.2" hidden="false" customHeight="false" outlineLevel="0" collapsed="false">
      <c r="A146" s="16" t="s">
        <v>232</v>
      </c>
      <c r="B146" s="16" t="s">
        <v>476</v>
      </c>
      <c r="C146" s="17" t="s">
        <v>816</v>
      </c>
      <c r="D146" s="17" t="s">
        <v>478</v>
      </c>
      <c r="E146" s="15" t="str">
        <f aca="false">IF(H146&lt;&gt;"",IF(LEFT(H146,5)="Price","Excluded – price ≤ USD 5","Excluded – IV only"),IF(ISNUMBER(I146),IF(AND(I146&gt;=$C$3,M146&gt;=$E$3),"Priority 1",IF(OR(I146&gt;=$C$3,M146&gt;=$E$3),"Priority 2","Priority 3")),IF(M146&gt;=$E$3,"Priority 2","Priority 3")))</f>
        <v>Excluded – IV only</v>
      </c>
      <c r="F146" s="15" t="str">
        <f aca="false">IF(H146&lt;&gt;"","",COUNTIFS($A$29:$A$361,A146,$H$29:$H$361,"",$AJ$29:$AJ$361,"&gt;"&amp;AJ146)+COUNTIFS($A$29:A146,A146,$H$29:H146,"",$AJ$29:AJ146,AJ146))</f>
        <v/>
      </c>
      <c r="G146" s="17" t="str">
        <f aca="false">IF(H146&lt;&gt;"","",IF(ISNUMBER(I146),IF(I146&gt;=$C$3,"High price","Lower price"),"No price")&amp;", "&amp;IF(M146&gt;=$E$3,"high volume","lower volume"))</f>
        <v/>
      </c>
      <c r="H146" s="17" t="str">
        <f aca="false">IF(Q146="No","IV only (no ID, IM or SC route)",IF(AND(AE146&gt;0,AF146=0),"Price ≤ USD 5",""))</f>
        <v>IV only (no ID, IM or SC route)</v>
      </c>
      <c r="I146" s="18" t="n">
        <f aca="false">IF(AF146&gt;0,ROUND(AVERAGEIFS('Shortlisted Drugs X Company (7)'!$N$3:$N$698,'Shortlisted Drugs X Company (7)'!$C$3:$C$698,$B146,'Shortlisted Drugs X Company (7)'!$E$3:$E$698,$AA146,'Shortlisted Drugs X Company (7)'!$N$3:$N$698,"&gt;5"),2),"")</f>
        <v>195.71</v>
      </c>
      <c r="J146" s="17" t="str">
        <f aca="false">IF(COUNTIFS('Shortlisted Drugs X Company (7)'!$C$3:$C$698,$B146,'Shortlisted Drugs X Company (7)'!$E$3:$E$698,$AA146,'Shortlisted Drugs X Company (7)'!$P$3:$P$698,"Exact")&gt;0,"Exact",IF(COUNTIFS('Shortlisted Drugs X Company (7)'!$C$3:$C$698,$B146,'Shortlisted Drugs X Company (7)'!$E$3:$E$698,$AA146,'Shortlisted Drugs X Company (7)'!$P$3:$P$698,"Same-market proxy")&gt;0,"Same-market proxy",IF(COUNTIFS('Shortlisted Drugs X Company (7)'!$C$3:$C$698,$B146,'Shortlisted Drugs X Company (7)'!$E$3:$E$698,$AA146,'Shortlisted Drugs X Company (7)'!$P$3:$P$698,"Cross-market proxy")&gt;0,"Cross-market proxy",IF(COUNTIFS('Shortlisted Drugs X Company (7)'!$C$3:$C$698,$B146,'Shortlisted Drugs X Company (7)'!$E$3:$E$698,$AA146,'Shortlisted Drugs X Company (7)'!$P$3:$P$698,"Source not found")&gt;0,"Source not found","No price found"))))</f>
        <v>Exact</v>
      </c>
      <c r="K146" s="19" t="n">
        <f aca="false">IFERROR(INDEX('Injectable Value'!$AB$28:$AB$178,MATCH(B146,'Injectable Value'!$A$28:$A$178,0)),"")</f>
        <v>257</v>
      </c>
      <c r="L146" s="77" t="n">
        <f aca="false">IFERROR(INDEX('Injectable Value'!$Z$28:$Z$178,MATCH(B146,'Injectable Value'!$A$28:$A$178,0)),"")</f>
        <v>0.689888576486515</v>
      </c>
      <c r="M146" s="19" t="n">
        <f aca="false">IFERROR(INDEX('Injectable Value'!$AC$28:$AC$178,MATCH(B146,'Injectable Value'!$A$28:$A$178,0)),"")</f>
        <v>177</v>
      </c>
      <c r="N146" s="19" t="n">
        <f aca="false">IFERROR(INDEX('Injectable Value'!$C$28:$C$178,MATCH(B146,'Injectable Value'!$A$28:$A$178,0)),"")</f>
        <v>4183.29</v>
      </c>
      <c r="O146" s="19" t="n">
        <f aca="false">IFERROR(ROUND(INDEX('Injectable Value'!$AA$28:$AA$178,MATCH(B146,'Injectable Value'!$A$28:$A$178,0)),1),"")</f>
        <v>2886</v>
      </c>
      <c r="P146" s="16" t="str">
        <f aca="false">IFERROR(INDEX('Route of Administration'!$C$5:$C$155,MATCH(B146,'Route of Administration'!$A$5:$A$155,0)),"")</f>
        <v>IV</v>
      </c>
      <c r="Q146" s="15" t="str">
        <f aca="false">IFERROR(INDEX('Route of Administration'!$D$5:$D$155,MATCH(B146,'Route of Administration'!$A$5:$A$155,0)),"")</f>
        <v>No</v>
      </c>
      <c r="R146" s="16" t="s">
        <v>281</v>
      </c>
      <c r="S146" s="17" t="s">
        <v>479</v>
      </c>
      <c r="T146" s="16" t="s">
        <v>283</v>
      </c>
      <c r="U146" s="17" t="str">
        <f aca="false">"Cancer drug (cytotoxic) – less relevant; Reconstitution"&amp;IF(AE146=0,"; No price found","")&amp;IF(AND(AE146&gt;0,AF146=0,AG146=0),"; Low price comes from another market – confirm with the company","")</f>
        <v>Cancer drug (cytotoxic) – less relevant; Reconstitution</v>
      </c>
      <c r="V146" s="17" t="s">
        <v>537</v>
      </c>
      <c r="W146" s="15" t="n">
        <v>18</v>
      </c>
      <c r="X146" s="17" t="s">
        <v>817</v>
      </c>
      <c r="Y146" s="17" t="s">
        <v>818</v>
      </c>
      <c r="Z146" s="17" t="s">
        <v>286</v>
      </c>
      <c r="AA146" s="16" t="s">
        <v>773</v>
      </c>
      <c r="AB146" s="78" t="s">
        <v>482</v>
      </c>
      <c r="AC146" s="20" t="n">
        <f aca="false">IF(AE146&gt;0,ROUND(AVERAGEIFS('Shortlisted Drugs X Company (7)'!$N$3:$N$698,'Shortlisted Drugs X Company (7)'!$C$3:$C$698,$B146,'Shortlisted Drugs X Company (7)'!$E$3:$E$698,$AA146,'Shortlisted Drugs X Company (7)'!$N$3:$N$698,"&gt;=0"),2),"")</f>
        <v>195.71</v>
      </c>
      <c r="AD146" s="79" t="str">
        <f aca="false">B146&amp;"|"&amp;AA146</f>
        <v>Melphalan|Emcure Pharmaceuticals</v>
      </c>
      <c r="AE146" s="22" t="n">
        <f aca="false">COUNTIFS('Shortlisted Drugs X Company (7)'!$C$3:$C$698,$B146,'Shortlisted Drugs X Company (7)'!$E$3:$E$698,$AA146,'Shortlisted Drugs X Company (7)'!$N$3:$N$698,"&gt;=0")</f>
        <v>4</v>
      </c>
      <c r="AF146" s="22" t="n">
        <f aca="false">COUNTIFS('Shortlisted Drugs X Company (7)'!$C$3:$C$698,$B146,'Shortlisted Drugs X Company (7)'!$E$3:$E$698,$AA146,'Shortlisted Drugs X Company (7)'!$N$3:$N$698,"&gt;5")</f>
        <v>4</v>
      </c>
      <c r="AG146" s="22" t="n">
        <f aca="false">COUNTIFS('Shortlisted Drugs X Company (7)'!$C$3:$C$698,$B146,'Shortlisted Drugs X Company (7)'!$E$3:$E$698,$AA146,'Shortlisted Drugs X Company (7)'!$P$3:$P$698,"Exact")+COUNTIFS('Shortlisted Drugs X Company (7)'!$C$3:$C$698,$B146,'Shortlisted Drugs X Company (7)'!$E$3:$E$698,$AA146,'Shortlisted Drugs X Company (7)'!$P$3:$P$698,"Same-market proxy")</f>
        <v>4</v>
      </c>
      <c r="AH146" s="22" t="n">
        <f aca="false">INDEX($G$7:$G$25,MATCH(A146,$A$7:$A$25,0))</f>
        <v>5</v>
      </c>
      <c r="AI146" s="79" t="str">
        <f aca="false">IF(OR(Q146="No",LEFT(H146,7)="IV only"),"",AH146*1000+IF(F146="",900+COUNTIFS($A$29:A146,A146,$H$29:H146,"Price*"),F146))</f>
        <v/>
      </c>
      <c r="AJ146" s="79" t="str">
        <f aca="false">IF(H146&lt;&gt;"","",(4-VALUE(RIGHT(E146,1)))*10^7+N(O146))</f>
        <v/>
      </c>
      <c r="AK146" s="79" t="str">
        <f aca="false">IF(AND(H146="",ISNUMBER(I146)),I146,"")</f>
        <v/>
      </c>
      <c r="AL146" s="79" t="str">
        <f aca="false">IF(H146="",M146,"")</f>
        <v/>
      </c>
    </row>
    <row r="147" customFormat="false" ht="41.75" hidden="false" customHeight="false" outlineLevel="0" collapsed="false">
      <c r="A147" s="16" t="s">
        <v>232</v>
      </c>
      <c r="B147" s="16" t="s">
        <v>819</v>
      </c>
      <c r="C147" s="17" t="s">
        <v>820</v>
      </c>
      <c r="D147" s="17" t="s">
        <v>821</v>
      </c>
      <c r="E147" s="15" t="str">
        <f aca="false">IF(H147&lt;&gt;"",IF(LEFT(H147,5)="Price","Excluded – price ≤ USD 5","Excluded – IV only"),IF(ISNUMBER(I147),IF(AND(I147&gt;=$C$3,M147&gt;=$E$3),"Priority 1",IF(OR(I147&gt;=$C$3,M147&gt;=$E$3),"Priority 2","Priority 3")),IF(M147&gt;=$E$3,"Priority 2","Priority 3")))</f>
        <v>Excluded – IV only</v>
      </c>
      <c r="F147" s="15" t="str">
        <f aca="false">IF(H147&lt;&gt;"","",COUNTIFS($A$29:$A$361,A147,$H$29:$H$361,"",$AJ$29:$AJ$361,"&gt;"&amp;AJ147)+COUNTIFS($A$29:A147,A147,$H$29:H147,"",$AJ$29:AJ147,AJ147))</f>
        <v/>
      </c>
      <c r="G147" s="17" t="str">
        <f aca="false">IF(H147&lt;&gt;"","",IF(ISNUMBER(I147),IF(I147&gt;=$C$3,"High price","Lower price"),"No price")&amp;", "&amp;IF(M147&gt;=$E$3,"high volume","lower volume"))</f>
        <v/>
      </c>
      <c r="H147" s="17" t="str">
        <f aca="false">IF(Q147="No","IV only (no ID, IM or SC route)",IF(AND(AE147&gt;0,AF147=0),"Price ≤ USD 5",""))</f>
        <v>IV only (no ID, IM or SC route)</v>
      </c>
      <c r="I147" s="18" t="n">
        <f aca="false">IF(AF147&gt;0,ROUND(AVERAGEIFS('Shortlisted Drugs X Company (7)'!$N$3:$N$698,'Shortlisted Drugs X Company (7)'!$C$3:$C$698,$B147,'Shortlisted Drugs X Company (7)'!$E$3:$E$698,$AA147,'Shortlisted Drugs X Company (7)'!$N$3:$N$698,"&gt;5"),2),"")</f>
        <v>22.38</v>
      </c>
      <c r="J147" s="17" t="str">
        <f aca="false">IF(COUNTIFS('Shortlisted Drugs X Company (7)'!$C$3:$C$698,$B147,'Shortlisted Drugs X Company (7)'!$E$3:$E$698,$AA147,'Shortlisted Drugs X Company (7)'!$P$3:$P$698,"Exact")&gt;0,"Exact",IF(COUNTIFS('Shortlisted Drugs X Company (7)'!$C$3:$C$698,$B147,'Shortlisted Drugs X Company (7)'!$E$3:$E$698,$AA147,'Shortlisted Drugs X Company (7)'!$P$3:$P$698,"Same-market proxy")&gt;0,"Same-market proxy",IF(COUNTIFS('Shortlisted Drugs X Company (7)'!$C$3:$C$698,$B147,'Shortlisted Drugs X Company (7)'!$E$3:$E$698,$AA147,'Shortlisted Drugs X Company (7)'!$P$3:$P$698,"Cross-market proxy")&gt;0,"Cross-market proxy",IF(COUNTIFS('Shortlisted Drugs X Company (7)'!$C$3:$C$698,$B147,'Shortlisted Drugs X Company (7)'!$E$3:$E$698,$AA147,'Shortlisted Drugs X Company (7)'!$P$3:$P$698,"Source not found")&gt;0,"Source not found","No price found"))))</f>
        <v>Exact</v>
      </c>
      <c r="K147" s="19" t="n">
        <f aca="false">IFERROR(INDEX('Injectable Value'!$AB$28:$AB$178,MATCH(B147,'Injectable Value'!$A$28:$A$178,0)),"")</f>
        <v>133</v>
      </c>
      <c r="L147" s="77" t="n">
        <f aca="false">IFERROR(INDEX('Injectable Value'!$Z$28:$Z$178,MATCH(B147,'Injectable Value'!$A$28:$A$178,0)),"")</f>
        <v>1</v>
      </c>
      <c r="M147" s="19" t="n">
        <f aca="false">IFERROR(INDEX('Injectable Value'!$AC$28:$AC$178,MATCH(B147,'Injectable Value'!$A$28:$A$178,0)),"")</f>
        <v>133</v>
      </c>
      <c r="N147" s="19" t="n">
        <f aca="false">IFERROR(INDEX('Injectable Value'!$C$28:$C$178,MATCH(B147,'Injectable Value'!$A$28:$A$178,0)),"")</f>
        <v>4036.55</v>
      </c>
      <c r="O147" s="19" t="n">
        <f aca="false">IFERROR(ROUND(INDEX('Injectable Value'!$AA$28:$AA$178,MATCH(B147,'Injectable Value'!$A$28:$A$178,0)),1),"")</f>
        <v>4036.6</v>
      </c>
      <c r="P147" s="16" t="str">
        <f aca="false">IFERROR(INDEX('Route of Administration'!$C$5:$C$155,MATCH(B147,'Route of Administration'!$A$5:$A$155,0)),"")</f>
        <v>IV</v>
      </c>
      <c r="Q147" s="15" t="str">
        <f aca="false">IFERROR(INDEX('Route of Administration'!$D$5:$D$155,MATCH(B147,'Route of Administration'!$A$5:$A$155,0)),"")</f>
        <v>No</v>
      </c>
      <c r="R147" s="16" t="s">
        <v>281</v>
      </c>
      <c r="S147" s="17" t="s">
        <v>689</v>
      </c>
      <c r="T147" s="16" t="s">
        <v>283</v>
      </c>
      <c r="U147" s="17" t="str">
        <f aca="false">""&amp;IF(AE147=0,"No price found","")&amp;IF(AND(AE147&gt;0,AF147=0,AG147=0),"Low price comes from another market – confirm with the company","")</f>
        <v/>
      </c>
      <c r="V147" s="17" t="s">
        <v>785</v>
      </c>
      <c r="W147" s="15" t="n">
        <v>7</v>
      </c>
      <c r="X147" s="17" t="s">
        <v>822</v>
      </c>
      <c r="Y147" s="17" t="s">
        <v>822</v>
      </c>
      <c r="Z147" s="17" t="s">
        <v>286</v>
      </c>
      <c r="AA147" s="16" t="s">
        <v>773</v>
      </c>
      <c r="AB147" s="78" t="s">
        <v>823</v>
      </c>
      <c r="AC147" s="20" t="n">
        <f aca="false">IF(AE147&gt;0,ROUND(AVERAGEIFS('Shortlisted Drugs X Company (7)'!$N$3:$N$698,'Shortlisted Drugs X Company (7)'!$C$3:$C$698,$B147,'Shortlisted Drugs X Company (7)'!$E$3:$E$698,$AA147,'Shortlisted Drugs X Company (7)'!$N$3:$N$698,"&gt;=0"),2),"")</f>
        <v>22.38</v>
      </c>
      <c r="AD147" s="79" t="str">
        <f aca="false">B147&amp;"|"&amp;AA147</f>
        <v>Milrinone|Emcure Pharmaceuticals</v>
      </c>
      <c r="AE147" s="22" t="n">
        <f aca="false">COUNTIFS('Shortlisted Drugs X Company (7)'!$C$3:$C$698,$B147,'Shortlisted Drugs X Company (7)'!$E$3:$E$698,$AA147,'Shortlisted Drugs X Company (7)'!$N$3:$N$698,"&gt;=0")</f>
        <v>2</v>
      </c>
      <c r="AF147" s="22" t="n">
        <f aca="false">COUNTIFS('Shortlisted Drugs X Company (7)'!$C$3:$C$698,$B147,'Shortlisted Drugs X Company (7)'!$E$3:$E$698,$AA147,'Shortlisted Drugs X Company (7)'!$N$3:$N$698,"&gt;5")</f>
        <v>2</v>
      </c>
      <c r="AG147" s="22" t="n">
        <f aca="false">COUNTIFS('Shortlisted Drugs X Company (7)'!$C$3:$C$698,$B147,'Shortlisted Drugs X Company (7)'!$E$3:$E$698,$AA147,'Shortlisted Drugs X Company (7)'!$P$3:$P$698,"Exact")+COUNTIFS('Shortlisted Drugs X Company (7)'!$C$3:$C$698,$B147,'Shortlisted Drugs X Company (7)'!$E$3:$E$698,$AA147,'Shortlisted Drugs X Company (7)'!$P$3:$P$698,"Same-market proxy")</f>
        <v>2</v>
      </c>
      <c r="AH147" s="22" t="n">
        <f aca="false">INDEX($G$7:$G$25,MATCH(A147,$A$7:$A$25,0))</f>
        <v>5</v>
      </c>
      <c r="AI147" s="79" t="str">
        <f aca="false">IF(OR(Q147="No",LEFT(H147,7)="IV only"),"",AH147*1000+IF(F147="",900+COUNTIFS($A$29:A147,A147,$H$29:H147,"Price*"),F147))</f>
        <v/>
      </c>
      <c r="AJ147" s="79" t="str">
        <f aca="false">IF(H147&lt;&gt;"","",(4-VALUE(RIGHT(E147,1)))*10^7+N(O147))</f>
        <v/>
      </c>
      <c r="AK147" s="79" t="str">
        <f aca="false">IF(AND(H147="",ISNUMBER(I147)),I147,"")</f>
        <v/>
      </c>
      <c r="AL147" s="79" t="str">
        <f aca="false">IF(H147="",M147,"")</f>
        <v/>
      </c>
    </row>
    <row r="148" customFormat="false" ht="68.65" hidden="false" customHeight="false" outlineLevel="0" collapsed="false">
      <c r="A148" s="16" t="s">
        <v>232</v>
      </c>
      <c r="B148" s="16" t="s">
        <v>744</v>
      </c>
      <c r="C148" s="17" t="s">
        <v>745</v>
      </c>
      <c r="D148" s="17" t="s">
        <v>746</v>
      </c>
      <c r="E148" s="15" t="str">
        <f aca="false">IF(H148&lt;&gt;"",IF(LEFT(H148,5)="Price","Excluded – price ≤ USD 5","Excluded – IV only"),IF(ISNUMBER(I148),IF(AND(I148&gt;=$C$3,M148&gt;=$E$3),"Priority 1",IF(OR(I148&gt;=$C$3,M148&gt;=$E$3),"Priority 2","Priority 3")),IF(M148&gt;=$E$3,"Priority 2","Priority 3")))</f>
        <v>Excluded – IV only</v>
      </c>
      <c r="F148" s="15" t="str">
        <f aca="false">IF(H148&lt;&gt;"","",COUNTIFS($A$29:$A$361,A148,$H$29:$H$361,"",$AJ$29:$AJ$361,"&gt;"&amp;AJ148)+COUNTIFS($A$29:A148,A148,$H$29:H148,"",$AJ$29:AJ148,AJ148))</f>
        <v/>
      </c>
      <c r="G148" s="17" t="str">
        <f aca="false">IF(H148&lt;&gt;"","",IF(ISNUMBER(I148),IF(I148&gt;=$C$3,"High price","Lower price"),"No price")&amp;", "&amp;IF(M148&gt;=$E$3,"high volume","lower volume"))</f>
        <v/>
      </c>
      <c r="H148" s="17" t="str">
        <f aca="false">IF(Q148="No","IV only (no ID, IM or SC route)","IV only – the company's product (see Route of Administration, step 2)")</f>
        <v>IV only – the company's product (see Route of Administration, step 2)</v>
      </c>
      <c r="I148" s="18" t="n">
        <f aca="false">IF(AF148&gt;0,ROUND(AVERAGEIFS('Shortlisted Drugs X Company (7)'!$N$3:$N$698,'Shortlisted Drugs X Company (7)'!$C$3:$C$698,$B148,'Shortlisted Drugs X Company (7)'!$E$3:$E$698,$AA148,'Shortlisted Drugs X Company (7)'!$N$3:$N$698,"&gt;5"),2),"")</f>
        <v>7.98</v>
      </c>
      <c r="J148" s="17" t="str">
        <f aca="false">IF(COUNTIFS('Shortlisted Drugs X Company (7)'!$C$3:$C$698,$B148,'Shortlisted Drugs X Company (7)'!$E$3:$E$698,$AA148,'Shortlisted Drugs X Company (7)'!$P$3:$P$698,"Exact")&gt;0,"Exact",IF(COUNTIFS('Shortlisted Drugs X Company (7)'!$C$3:$C$698,$B148,'Shortlisted Drugs X Company (7)'!$E$3:$E$698,$AA148,'Shortlisted Drugs X Company (7)'!$P$3:$P$698,"Same-market proxy")&gt;0,"Same-market proxy",IF(COUNTIFS('Shortlisted Drugs X Company (7)'!$C$3:$C$698,$B148,'Shortlisted Drugs X Company (7)'!$E$3:$E$698,$AA148,'Shortlisted Drugs X Company (7)'!$P$3:$P$698,"Cross-market proxy")&gt;0,"Cross-market proxy",IF(COUNTIFS('Shortlisted Drugs X Company (7)'!$C$3:$C$698,$B148,'Shortlisted Drugs X Company (7)'!$E$3:$E$698,$AA148,'Shortlisted Drugs X Company (7)'!$P$3:$P$698,"Source not found")&gt;0,"Source not found","No price found"))))</f>
        <v>Same-market proxy</v>
      </c>
      <c r="K148" s="19" t="n">
        <f aca="false">IFERROR(INDEX('Injectable Value'!$AB$28:$AB$178,MATCH(B148,'Injectable Value'!$A$28:$A$178,0)),"")</f>
        <v>236</v>
      </c>
      <c r="L148" s="77" t="n">
        <f aca="false">IFERROR(INDEX('Injectable Value'!$Z$28:$Z$178,MATCH(B148,'Injectable Value'!$A$28:$A$178,0)),"")</f>
        <v>0.991758241758242</v>
      </c>
      <c r="M148" s="19" t="n">
        <f aca="false">IFERROR(INDEX('Injectable Value'!$AC$28:$AC$178,MATCH(B148,'Injectable Value'!$A$28:$A$178,0)),"")</f>
        <v>234</v>
      </c>
      <c r="N148" s="19" t="n">
        <f aca="false">IFERROR(INDEX('Injectable Value'!$C$28:$C$178,MATCH(B148,'Injectable Value'!$A$28:$A$178,0)),"")</f>
        <v>1845.67</v>
      </c>
      <c r="O148" s="19" t="n">
        <f aca="false">IFERROR(ROUND(INDEX('Injectable Value'!$AA$28:$AA$178,MATCH(B148,'Injectable Value'!$A$28:$A$178,0)),1),"")</f>
        <v>1830.5</v>
      </c>
      <c r="P148" s="16" t="str">
        <f aca="false">IFERROR(INDEX('Route of Administration'!$C$5:$C$155,MATCH(B148,'Route of Administration'!$A$5:$A$155,0)),"")</f>
        <v>IV, SC, IM</v>
      </c>
      <c r="Q148" s="15" t="str">
        <f aca="false">IFERROR(INDEX('Route of Administration'!$D$5:$D$155,MATCH(B148,'Route of Administration'!$A$5:$A$155,0)),"")</f>
        <v>Yes</v>
      </c>
      <c r="R148" s="16" t="s">
        <v>281</v>
      </c>
      <c r="S148" s="17" t="s">
        <v>824</v>
      </c>
      <c r="T148" s="16" t="s">
        <v>283</v>
      </c>
      <c r="U148" s="17" t="str">
        <f aca="false">""&amp;IF(AE148=0,"No price found","")&amp;IF(AND(AE148&gt;0,AF148=0,AG148=0),"Low price comes from another market – confirm with the company","")</f>
        <v/>
      </c>
      <c r="V148" s="17" t="s">
        <v>463</v>
      </c>
      <c r="W148" s="15" t="n">
        <v>1</v>
      </c>
      <c r="X148" s="17" t="s">
        <v>464</v>
      </c>
      <c r="Y148" s="17" t="s">
        <v>464</v>
      </c>
      <c r="Z148" s="17" t="s">
        <v>321</v>
      </c>
      <c r="AA148" s="16" t="s">
        <v>773</v>
      </c>
      <c r="AB148" s="78" t="s">
        <v>748</v>
      </c>
      <c r="AC148" s="20" t="n">
        <f aca="false">IF(AE148&gt;0,ROUND(AVERAGEIFS('Shortlisted Drugs X Company (7)'!$N$3:$N$698,'Shortlisted Drugs X Company (7)'!$C$3:$C$698,$B148,'Shortlisted Drugs X Company (7)'!$E$3:$E$698,$AA148,'Shortlisted Drugs X Company (7)'!$N$3:$N$698,"&gt;=0"),2),"")</f>
        <v>7.98</v>
      </c>
      <c r="AD148" s="79" t="str">
        <f aca="false">B148&amp;"|"&amp;AA148</f>
        <v>Neostigmine|Emcure Pharmaceuticals</v>
      </c>
      <c r="AE148" s="22" t="n">
        <f aca="false">COUNTIFS('Shortlisted Drugs X Company (7)'!$C$3:$C$698,$B148,'Shortlisted Drugs X Company (7)'!$E$3:$E$698,$AA148,'Shortlisted Drugs X Company (7)'!$N$3:$N$698,"&gt;=0")</f>
        <v>2</v>
      </c>
      <c r="AF148" s="22" t="n">
        <f aca="false">COUNTIFS('Shortlisted Drugs X Company (7)'!$C$3:$C$698,$B148,'Shortlisted Drugs X Company (7)'!$E$3:$E$698,$AA148,'Shortlisted Drugs X Company (7)'!$N$3:$N$698,"&gt;5")</f>
        <v>2</v>
      </c>
      <c r="AG148" s="22" t="n">
        <f aca="false">COUNTIFS('Shortlisted Drugs X Company (7)'!$C$3:$C$698,$B148,'Shortlisted Drugs X Company (7)'!$E$3:$E$698,$AA148,'Shortlisted Drugs X Company (7)'!$P$3:$P$698,"Exact")+COUNTIFS('Shortlisted Drugs X Company (7)'!$C$3:$C$698,$B148,'Shortlisted Drugs X Company (7)'!$E$3:$E$698,$AA148,'Shortlisted Drugs X Company (7)'!$P$3:$P$698,"Same-market proxy")</f>
        <v>2</v>
      </c>
      <c r="AH148" s="22" t="n">
        <f aca="false">INDEX($G$7:$G$25,MATCH(A148,$A$7:$A$25,0))</f>
        <v>5</v>
      </c>
      <c r="AI148" s="79" t="str">
        <f aca="false">IF(OR(Q148="No",LEFT(H148,7)="IV only"),"",AH148*1000+IF(F148="",900+COUNTIFS($A$29:A148,A148,$H$29:H148,"Price*"),F148))</f>
        <v/>
      </c>
      <c r="AJ148" s="79" t="str">
        <f aca="false">IF(H148&lt;&gt;"","",(4-VALUE(RIGHT(E148,1)))*10^7+N(O148))</f>
        <v/>
      </c>
      <c r="AK148" s="79" t="str">
        <f aca="false">IF(AND(H148="",ISNUMBER(I148)),I148,"")</f>
        <v/>
      </c>
      <c r="AL148" s="79" t="str">
        <f aca="false">IF(H148="",M148,"")</f>
        <v/>
      </c>
    </row>
    <row r="149" customFormat="false" ht="41.75" hidden="false" customHeight="false" outlineLevel="0" collapsed="false">
      <c r="A149" s="16" t="s">
        <v>232</v>
      </c>
      <c r="B149" s="16" t="s">
        <v>518</v>
      </c>
      <c r="C149" s="17" t="s">
        <v>825</v>
      </c>
      <c r="D149" s="17" t="s">
        <v>520</v>
      </c>
      <c r="E149" s="15" t="str">
        <f aca="false">IF(H149&lt;&gt;"",IF(LEFT(H149,5)="Price","Excluded – price ≤ USD 5","Excluded – IV only"),IF(ISNUMBER(I149),IF(AND(I149&gt;=$C$3,M149&gt;=$E$3),"Priority 1",IF(OR(I149&gt;=$C$3,M149&gt;=$E$3),"Priority 2","Priority 3")),IF(M149&gt;=$E$3,"Priority 2","Priority 3")))</f>
        <v>Priority 2</v>
      </c>
      <c r="F149" s="15" t="n">
        <f aca="false">IF(H149&lt;&gt;"","",COUNTIFS($A$29:$A$361,A149,$H$29:$H$361,"",$AJ$29:$AJ$361,"&gt;"&amp;AJ149)+COUNTIFS($A$29:A149,A149,$H$29:H149,"",$AJ$29:AJ149,AJ149))</f>
        <v>5</v>
      </c>
      <c r="G149" s="17" t="str">
        <f aca="false">IF(H149&lt;&gt;"","",IF(ISNUMBER(I149),IF(I149&gt;=$C$3,"High price","Lower price"),"No price")&amp;", "&amp;IF(M149&gt;=$E$3,"high volume","lower volume"))</f>
        <v>Lower price, high volume</v>
      </c>
      <c r="H149" s="17" t="str">
        <f aca="false">IF(Q149="No","IV only (no ID, IM or SC route)",IF(AND(AE149&gt;0,AF149=0),"Price ≤ USD 5",""))</f>
        <v/>
      </c>
      <c r="I149" s="18" t="n">
        <f aca="false">IF(AF149&gt;0,ROUND(AVERAGEIFS('Shortlisted Drugs X Company (7)'!$N$3:$N$698,'Shortlisted Drugs X Company (7)'!$C$3:$C$698,$B149,'Shortlisted Drugs X Company (7)'!$E$3:$E$698,$AA149,'Shortlisted Drugs X Company (7)'!$N$3:$N$698,"&gt;5"),2),"")</f>
        <v>5.32</v>
      </c>
      <c r="J149" s="17" t="str">
        <f aca="false">IF(COUNTIFS('Shortlisted Drugs X Company (7)'!$C$3:$C$698,$B149,'Shortlisted Drugs X Company (7)'!$E$3:$E$698,$AA149,'Shortlisted Drugs X Company (7)'!$P$3:$P$698,"Exact")&gt;0,"Exact",IF(COUNTIFS('Shortlisted Drugs X Company (7)'!$C$3:$C$698,$B149,'Shortlisted Drugs X Company (7)'!$E$3:$E$698,$AA149,'Shortlisted Drugs X Company (7)'!$P$3:$P$698,"Same-market proxy")&gt;0,"Same-market proxy",IF(COUNTIFS('Shortlisted Drugs X Company (7)'!$C$3:$C$698,$B149,'Shortlisted Drugs X Company (7)'!$E$3:$E$698,$AA149,'Shortlisted Drugs X Company (7)'!$P$3:$P$698,"Cross-market proxy")&gt;0,"Cross-market proxy",IF(COUNTIFS('Shortlisted Drugs X Company (7)'!$C$3:$C$698,$B149,'Shortlisted Drugs X Company (7)'!$E$3:$E$698,$AA149,'Shortlisted Drugs X Company (7)'!$P$3:$P$698,"Source not found")&gt;0,"Source not found","No price found"))))</f>
        <v>Cross-market proxy</v>
      </c>
      <c r="K149" s="19" t="n">
        <f aca="false">IFERROR(INDEX('Injectable Value'!$AB$28:$AB$178,MATCH(B149,'Injectable Value'!$A$28:$A$178,0)),"")</f>
        <v>2546</v>
      </c>
      <c r="L149" s="77" t="n">
        <f aca="false">IFERROR(INDEX('Injectable Value'!$Z$28:$Z$178,MATCH(B149,'Injectable Value'!$A$28:$A$178,0)),"")</f>
        <v>0.378228374732698</v>
      </c>
      <c r="M149" s="19" t="n">
        <f aca="false">IFERROR(INDEX('Injectable Value'!$AC$28:$AC$178,MATCH(B149,'Injectable Value'!$A$28:$A$178,0)),"")</f>
        <v>963</v>
      </c>
      <c r="N149" s="19" t="n">
        <f aca="false">IFERROR(INDEX('Injectable Value'!$C$28:$C$178,MATCH(B149,'Injectable Value'!$A$28:$A$178,0)),"")</f>
        <v>46507.62</v>
      </c>
      <c r="O149" s="19" t="n">
        <f aca="false">IFERROR(ROUND(INDEX('Injectable Value'!$AA$28:$AA$178,MATCH(B149,'Injectable Value'!$A$28:$A$178,0)),1),"")</f>
        <v>17590.5</v>
      </c>
      <c r="P149" s="16" t="str">
        <f aca="false">IFERROR(INDEX('Route of Administration'!$C$5:$C$155,MATCH(B149,'Route of Administration'!$A$5:$A$155,0)),"")</f>
        <v>IV, IM</v>
      </c>
      <c r="Q149" s="15" t="str">
        <f aca="false">IFERROR(INDEX('Route of Administration'!$D$5:$D$155,MATCH(B149,'Route of Administration'!$A$5:$A$155,0)),"")</f>
        <v>Yes</v>
      </c>
      <c r="R149" s="16" t="s">
        <v>349</v>
      </c>
      <c r="S149" s="17" t="s">
        <v>826</v>
      </c>
      <c r="T149" s="16" t="s">
        <v>283</v>
      </c>
      <c r="U149" s="17" t="str">
        <f aca="false">""&amp;IF(AE149=0,"No price found","")&amp;IF(AND(AE149&gt;0,AF149=0,AG149=0),"Low price comes from another market – confirm with the company","")</f>
        <v/>
      </c>
      <c r="V149" s="17" t="s">
        <v>452</v>
      </c>
      <c r="W149" s="15" t="n">
        <v>1</v>
      </c>
      <c r="X149" s="17" t="s">
        <v>453</v>
      </c>
      <c r="Y149" s="17" t="s">
        <v>453</v>
      </c>
      <c r="Z149" s="17" t="s">
        <v>286</v>
      </c>
      <c r="AA149" s="16" t="s">
        <v>773</v>
      </c>
      <c r="AB149" s="78" t="s">
        <v>525</v>
      </c>
      <c r="AC149" s="20" t="n">
        <f aca="false">IF(AE149&gt;0,ROUND(AVERAGEIFS('Shortlisted Drugs X Company (7)'!$N$3:$N$698,'Shortlisted Drugs X Company (7)'!$C$3:$C$698,$B149,'Shortlisted Drugs X Company (7)'!$E$3:$E$698,$AA149,'Shortlisted Drugs X Company (7)'!$N$3:$N$698,"&gt;=0"),2),"")</f>
        <v>5.32</v>
      </c>
      <c r="AD149" s="79" t="str">
        <f aca="false">B149&amp;"|"&amp;AA149</f>
        <v>Ondansetron|Emcure Pharmaceuticals</v>
      </c>
      <c r="AE149" s="22" t="n">
        <f aca="false">COUNTIFS('Shortlisted Drugs X Company (7)'!$C$3:$C$698,$B149,'Shortlisted Drugs X Company (7)'!$E$3:$E$698,$AA149,'Shortlisted Drugs X Company (7)'!$N$3:$N$698,"&gt;=0")</f>
        <v>1</v>
      </c>
      <c r="AF149" s="22" t="n">
        <f aca="false">COUNTIFS('Shortlisted Drugs X Company (7)'!$C$3:$C$698,$B149,'Shortlisted Drugs X Company (7)'!$E$3:$E$698,$AA149,'Shortlisted Drugs X Company (7)'!$N$3:$N$698,"&gt;5")</f>
        <v>1</v>
      </c>
      <c r="AG149" s="22" t="n">
        <f aca="false">COUNTIFS('Shortlisted Drugs X Company (7)'!$C$3:$C$698,$B149,'Shortlisted Drugs X Company (7)'!$E$3:$E$698,$AA149,'Shortlisted Drugs X Company (7)'!$P$3:$P$698,"Exact")+COUNTIFS('Shortlisted Drugs X Company (7)'!$C$3:$C$698,$B149,'Shortlisted Drugs X Company (7)'!$E$3:$E$698,$AA149,'Shortlisted Drugs X Company (7)'!$P$3:$P$698,"Same-market proxy")</f>
        <v>0</v>
      </c>
      <c r="AH149" s="22" t="n">
        <f aca="false">INDEX($G$7:$G$25,MATCH(A149,$A$7:$A$25,0))</f>
        <v>5</v>
      </c>
      <c r="AI149" s="79" t="n">
        <f aca="false">IF(OR(Q149="No",LEFT(H149,7)="IV only"),"",AH149*1000+IF(F149="",900+COUNTIFS($A$29:A149,A149,$H$29:H149,"Price*"),F149))</f>
        <v>5005</v>
      </c>
      <c r="AJ149" s="79" t="n">
        <f aca="false">IF(H149&lt;&gt;"","",(4-VALUE(RIGHT(E149,1)))*10^7+N(O149))</f>
        <v>20017590.5</v>
      </c>
      <c r="AK149" s="20" t="n">
        <f aca="false">IF(AND(H149="",ISNUMBER(I149)),I149,"")</f>
        <v>5.32</v>
      </c>
      <c r="AL149" s="21" t="n">
        <f aca="false">IF(H149="",M149,"")</f>
        <v>963</v>
      </c>
    </row>
    <row r="150" customFormat="false" ht="41.75" hidden="false" customHeight="false" outlineLevel="0" collapsed="false">
      <c r="A150" s="16" t="s">
        <v>232</v>
      </c>
      <c r="B150" s="16" t="s">
        <v>534</v>
      </c>
      <c r="C150" s="17" t="s">
        <v>534</v>
      </c>
      <c r="D150" s="17" t="s">
        <v>535</v>
      </c>
      <c r="E150" s="15" t="str">
        <f aca="false">IF(H150&lt;&gt;"",IF(LEFT(H150,5)="Price","Excluded – price ≤ USD 5","Excluded – IV only"),IF(ISNUMBER(I150),IF(AND(I150&gt;=$C$3,M150&gt;=$E$3),"Priority 1",IF(OR(I150&gt;=$C$3,M150&gt;=$E$3),"Priority 2","Priority 3")),IF(M150&gt;=$E$3,"Priority 2","Priority 3")))</f>
        <v>Excluded – IV only</v>
      </c>
      <c r="F150" s="15" t="str">
        <f aca="false">IF(H150&lt;&gt;"","",COUNTIFS($A$29:$A$361,A150,$H$29:$H$361,"",$AJ$29:$AJ$361,"&gt;"&amp;AJ150)+COUNTIFS($A$29:A150,A150,$H$29:H150,"",$AJ$29:AJ150,AJ150))</f>
        <v/>
      </c>
      <c r="G150" s="17" t="str">
        <f aca="false">IF(H150&lt;&gt;"","",IF(ISNUMBER(I150),IF(I150&gt;=$C$3,"High price","Lower price"),"No price")&amp;", "&amp;IF(M150&gt;=$E$3,"high volume","lower volume"))</f>
        <v/>
      </c>
      <c r="H150" s="17" t="str">
        <f aca="false">IF(Q150="No","IV only (no ID, IM or SC route)",IF(AND(AE150&gt;0,AF150=0),"Price ≤ USD 5",""))</f>
        <v>IV only (no ID, IM or SC route)</v>
      </c>
      <c r="I150" s="18" t="n">
        <f aca="false">IF(AF150&gt;0,ROUND(AVERAGEIFS('Shortlisted Drugs X Company (7)'!$N$3:$N$698,'Shortlisted Drugs X Company (7)'!$C$3:$C$698,$B150,'Shortlisted Drugs X Company (7)'!$E$3:$E$698,$AA150,'Shortlisted Drugs X Company (7)'!$N$3:$N$698,"&gt;5"),2),"")</f>
        <v>6.61</v>
      </c>
      <c r="J150" s="17" t="str">
        <f aca="false">IF(COUNTIFS('Shortlisted Drugs X Company (7)'!$C$3:$C$698,$B150,'Shortlisted Drugs X Company (7)'!$E$3:$E$698,$AA150,'Shortlisted Drugs X Company (7)'!$P$3:$P$698,"Exact")&gt;0,"Exact",IF(COUNTIFS('Shortlisted Drugs X Company (7)'!$C$3:$C$698,$B150,'Shortlisted Drugs X Company (7)'!$E$3:$E$698,$AA150,'Shortlisted Drugs X Company (7)'!$P$3:$P$698,"Same-market proxy")&gt;0,"Same-market proxy",IF(COUNTIFS('Shortlisted Drugs X Company (7)'!$C$3:$C$698,$B150,'Shortlisted Drugs X Company (7)'!$E$3:$E$698,$AA150,'Shortlisted Drugs X Company (7)'!$P$3:$P$698,"Cross-market proxy")&gt;0,"Cross-market proxy",IF(COUNTIFS('Shortlisted Drugs X Company (7)'!$C$3:$C$698,$B150,'Shortlisted Drugs X Company (7)'!$E$3:$E$698,$AA150,'Shortlisted Drugs X Company (7)'!$P$3:$P$698,"Source not found")&gt;0,"Source not found","No price found"))))</f>
        <v>Exact</v>
      </c>
      <c r="K150" s="19" t="n">
        <f aca="false">IFERROR(INDEX('Injectable Value'!$AB$28:$AB$178,MATCH(B150,'Injectable Value'!$A$28:$A$178,0)),"")</f>
        <v>3515</v>
      </c>
      <c r="L150" s="77" t="n">
        <f aca="false">IFERROR(INDEX('Injectable Value'!$Z$28:$Z$178,MATCH(B150,'Injectable Value'!$A$28:$A$178,0)),"")</f>
        <v>0.251824206147514</v>
      </c>
      <c r="M150" s="19" t="n">
        <f aca="false">IFERROR(INDEX('Injectable Value'!$AC$28:$AC$178,MATCH(B150,'Injectable Value'!$A$28:$A$178,0)),"")</f>
        <v>885</v>
      </c>
      <c r="N150" s="19" t="n">
        <f aca="false">IFERROR(INDEX('Injectable Value'!$C$28:$C$178,MATCH(B150,'Injectable Value'!$A$28:$A$178,0)),"")</f>
        <v>140084.73</v>
      </c>
      <c r="O150" s="19" t="n">
        <f aca="false">IFERROR(ROUND(INDEX('Injectable Value'!$AA$28:$AA$178,MATCH(B150,'Injectable Value'!$A$28:$A$178,0)),1),"")</f>
        <v>35276.7</v>
      </c>
      <c r="P150" s="16" t="str">
        <f aca="false">IFERROR(INDEX('Route of Administration'!$C$5:$C$155,MATCH(B150,'Route of Administration'!$A$5:$A$155,0)),"")</f>
        <v>IV</v>
      </c>
      <c r="Q150" s="15" t="str">
        <f aca="false">IFERROR(INDEX('Route of Administration'!$D$5:$D$155,MATCH(B150,'Route of Administration'!$A$5:$A$155,0)),"")</f>
        <v>No</v>
      </c>
      <c r="R150" s="16" t="s">
        <v>281</v>
      </c>
      <c r="S150" s="17" t="s">
        <v>807</v>
      </c>
      <c r="T150" s="16" t="s">
        <v>333</v>
      </c>
      <c r="U150" s="17" t="str">
        <f aca="false">"Reconstitution"&amp;IF(AE150=0,"; No price found","")&amp;IF(AND(AE150&gt;0,AF150=0,AG150=0),"; Low price comes from another market – confirm with the company","")</f>
        <v>Reconstitution</v>
      </c>
      <c r="V150" s="17" t="s">
        <v>827</v>
      </c>
      <c r="W150" s="15" t="n">
        <v>5</v>
      </c>
      <c r="X150" s="17" t="s">
        <v>828</v>
      </c>
      <c r="Y150" s="17" t="s">
        <v>828</v>
      </c>
      <c r="Z150" s="17" t="s">
        <v>286</v>
      </c>
      <c r="AA150" s="16" t="s">
        <v>773</v>
      </c>
      <c r="AB150" s="78" t="s">
        <v>540</v>
      </c>
      <c r="AC150" s="20" t="n">
        <f aca="false">IF(AE150&gt;0,ROUND(AVERAGEIFS('Shortlisted Drugs X Company (7)'!$N$3:$N$698,'Shortlisted Drugs X Company (7)'!$C$3:$C$698,$B150,'Shortlisted Drugs X Company (7)'!$E$3:$E$698,$AA150,'Shortlisted Drugs X Company (7)'!$N$3:$N$698,"&gt;=0"),2),"")</f>
        <v>6.61</v>
      </c>
      <c r="AD150" s="79" t="str">
        <f aca="false">B150&amp;"|"&amp;AA150</f>
        <v>Pantoprazole|Emcure Pharmaceuticals</v>
      </c>
      <c r="AE150" s="22" t="n">
        <f aca="false">COUNTIFS('Shortlisted Drugs X Company (7)'!$C$3:$C$698,$B150,'Shortlisted Drugs X Company (7)'!$E$3:$E$698,$AA150,'Shortlisted Drugs X Company (7)'!$N$3:$N$698,"&gt;=0")</f>
        <v>1</v>
      </c>
      <c r="AF150" s="22" t="n">
        <f aca="false">COUNTIFS('Shortlisted Drugs X Company (7)'!$C$3:$C$698,$B150,'Shortlisted Drugs X Company (7)'!$E$3:$E$698,$AA150,'Shortlisted Drugs X Company (7)'!$N$3:$N$698,"&gt;5")</f>
        <v>1</v>
      </c>
      <c r="AG150" s="22" t="n">
        <f aca="false">COUNTIFS('Shortlisted Drugs X Company (7)'!$C$3:$C$698,$B150,'Shortlisted Drugs X Company (7)'!$E$3:$E$698,$AA150,'Shortlisted Drugs X Company (7)'!$P$3:$P$698,"Exact")+COUNTIFS('Shortlisted Drugs X Company (7)'!$C$3:$C$698,$B150,'Shortlisted Drugs X Company (7)'!$E$3:$E$698,$AA150,'Shortlisted Drugs X Company (7)'!$P$3:$P$698,"Same-market proxy")</f>
        <v>1</v>
      </c>
      <c r="AH150" s="22" t="n">
        <f aca="false">INDEX($G$7:$G$25,MATCH(A150,$A$7:$A$25,0))</f>
        <v>5</v>
      </c>
      <c r="AI150" s="79" t="str">
        <f aca="false">IF(OR(Q150="No",LEFT(H150,7)="IV only"),"",AH150*1000+IF(F150="",900+COUNTIFS($A$29:A150,A150,$H$29:H150,"Price*"),F150))</f>
        <v/>
      </c>
      <c r="AJ150" s="79" t="str">
        <f aca="false">IF(H150&lt;&gt;"","",(4-VALUE(RIGHT(E150,1)))*10^7+N(O150))</f>
        <v/>
      </c>
      <c r="AK150" s="79" t="str">
        <f aca="false">IF(AND(H150="",ISNUMBER(I150)),I150,"")</f>
        <v/>
      </c>
      <c r="AL150" s="79" t="str">
        <f aca="false">IF(H150="",M150,"")</f>
        <v/>
      </c>
    </row>
    <row r="151" customFormat="false" ht="55.2" hidden="false" customHeight="false" outlineLevel="0" collapsed="false">
      <c r="A151" s="16" t="s">
        <v>232</v>
      </c>
      <c r="B151" s="16" t="s">
        <v>829</v>
      </c>
      <c r="C151" s="17" t="s">
        <v>830</v>
      </c>
      <c r="D151" s="17" t="s">
        <v>831</v>
      </c>
      <c r="E151" s="15" t="str">
        <f aca="false">IF(H151&lt;&gt;"",IF(LEFT(H151,5)="Price","Excluded – price ≤ USD 5","Excluded – IV only"),IF(ISNUMBER(I151),IF(AND(I151&gt;=$C$3,M151&gt;=$E$3),"Priority 1",IF(OR(I151&gt;=$C$3,M151&gt;=$E$3),"Priority 2","Priority 3")),IF(M151&gt;=$E$3,"Priority 2","Priority 3")))</f>
        <v>Priority 2</v>
      </c>
      <c r="F151" s="15" t="n">
        <f aca="false">IF(H151&lt;&gt;"","",COUNTIFS($A$29:$A$361,A151,$H$29:$H$361,"",$AJ$29:$AJ$361,"&gt;"&amp;AJ151)+COUNTIFS($A$29:A151,A151,$H$29:H151,"",$AJ$29:AJ151,AJ151))</f>
        <v>7</v>
      </c>
      <c r="G151" s="17" t="str">
        <f aca="false">IF(H151&lt;&gt;"","",IF(ISNUMBER(I151),IF(I151&gt;=$C$3,"High price","Lower price"),"No price")&amp;", "&amp;IF(M151&gt;=$E$3,"high volume","lower volume"))</f>
        <v>High price, lower volume</v>
      </c>
      <c r="H151" s="17" t="str">
        <f aca="false">IF(Q151="No","IV only (no ID, IM or SC route)",IF(AND(AE151&gt;0,AF151=0),"Price ≤ USD 5",""))</f>
        <v/>
      </c>
      <c r="I151" s="18" t="n">
        <f aca="false">IF(AF151&gt;0,ROUND(AVERAGEIFS('Shortlisted Drugs X Company (7)'!$N$3:$N$698,'Shortlisted Drugs X Company (7)'!$C$3:$C$698,$B151,'Shortlisted Drugs X Company (7)'!$E$3:$E$698,$AA151,'Shortlisted Drugs X Company (7)'!$N$3:$N$698,"&gt;5"),2),"")</f>
        <v>186.04</v>
      </c>
      <c r="J151" s="17" t="str">
        <f aca="false">IF(COUNTIFS('Shortlisted Drugs X Company (7)'!$C$3:$C$698,$B151,'Shortlisted Drugs X Company (7)'!$E$3:$E$698,$AA151,'Shortlisted Drugs X Company (7)'!$P$3:$P$698,"Exact")&gt;0,"Exact",IF(COUNTIFS('Shortlisted Drugs X Company (7)'!$C$3:$C$698,$B151,'Shortlisted Drugs X Company (7)'!$E$3:$E$698,$AA151,'Shortlisted Drugs X Company (7)'!$P$3:$P$698,"Same-market proxy")&gt;0,"Same-market proxy",IF(COUNTIFS('Shortlisted Drugs X Company (7)'!$C$3:$C$698,$B151,'Shortlisted Drugs X Company (7)'!$E$3:$E$698,$AA151,'Shortlisted Drugs X Company (7)'!$P$3:$P$698,"Cross-market proxy")&gt;0,"Cross-market proxy",IF(COUNTIFS('Shortlisted Drugs X Company (7)'!$C$3:$C$698,$B151,'Shortlisted Drugs X Company (7)'!$E$3:$E$698,$AA151,'Shortlisted Drugs X Company (7)'!$P$3:$P$698,"Source not found")&gt;0,"Source not found","No price found"))))</f>
        <v>Exact</v>
      </c>
      <c r="K151" s="19" t="n">
        <f aca="false">IFERROR(INDEX('Injectable Value'!$AB$28:$AB$178,MATCH(B151,'Injectable Value'!$A$28:$A$178,0)),"")</f>
        <v>12</v>
      </c>
      <c r="L151" s="77" t="n">
        <f aca="false">IFERROR(INDEX('Injectable Value'!$Z$28:$Z$178,MATCH(B151,'Injectable Value'!$A$28:$A$178,0)),"")</f>
        <v>0.75</v>
      </c>
      <c r="M151" s="19" t="n">
        <f aca="false">IFERROR(INDEX('Injectable Value'!$AC$28:$AC$178,MATCH(B151,'Injectable Value'!$A$28:$A$178,0)),"")</f>
        <v>9</v>
      </c>
      <c r="N151" s="19" t="n">
        <f aca="false">IFERROR(INDEX('Injectable Value'!$C$28:$C$178,MATCH(B151,'Injectable Value'!$A$28:$A$178,0)),"")</f>
        <v>2202.64</v>
      </c>
      <c r="O151" s="19" t="n">
        <f aca="false">IFERROR(ROUND(INDEX('Injectable Value'!$AA$28:$AA$178,MATCH(B151,'Injectable Value'!$A$28:$A$178,0)),1),"")</f>
        <v>1652</v>
      </c>
      <c r="P151" s="16" t="str">
        <f aca="false">IFERROR(INDEX('Route of Administration'!$C$5:$C$155,MATCH(B151,'Route of Administration'!$A$5:$A$155,0)),"")</f>
        <v>IV, IM</v>
      </c>
      <c r="Q151" s="15" t="str">
        <f aca="false">IFERROR(INDEX('Route of Administration'!$D$5:$D$155,MATCH(B151,'Route of Administration'!$A$5:$A$155,0)),"")</f>
        <v>Yes</v>
      </c>
      <c r="R151" s="16" t="s">
        <v>281</v>
      </c>
      <c r="S151" s="17" t="s">
        <v>832</v>
      </c>
      <c r="T151" s="16" t="s">
        <v>359</v>
      </c>
      <c r="U151" s="17" t="str">
        <f aca="false">"Reconstitution"&amp;IF(AE151=0,"; No price found","")&amp;IF(AND(AE151&gt;0,AF151=0,AG151=0),"; Low price comes from another market – confirm with the company","")</f>
        <v>Reconstitution</v>
      </c>
      <c r="V151" s="17" t="s">
        <v>833</v>
      </c>
      <c r="W151" s="15" t="n">
        <v>12</v>
      </c>
      <c r="X151" s="17" t="s">
        <v>834</v>
      </c>
      <c r="Y151" s="17" t="s">
        <v>835</v>
      </c>
      <c r="Z151" s="17" t="s">
        <v>321</v>
      </c>
      <c r="AA151" s="16" t="s">
        <v>773</v>
      </c>
      <c r="AB151" s="78" t="s">
        <v>836</v>
      </c>
      <c r="AC151" s="20" t="n">
        <f aca="false">IF(AE151&gt;0,ROUND(AVERAGEIFS('Shortlisted Drugs X Company (7)'!$N$3:$N$698,'Shortlisted Drugs X Company (7)'!$C$3:$C$698,$B151,'Shortlisted Drugs X Company (7)'!$E$3:$E$698,$AA151,'Shortlisted Drugs X Company (7)'!$N$3:$N$698,"&gt;=0"),2),"")</f>
        <v>186.04</v>
      </c>
      <c r="AD151" s="79" t="str">
        <f aca="false">B151&amp;"|"&amp;AA151</f>
        <v>Pentamidine|Emcure Pharmaceuticals</v>
      </c>
      <c r="AE151" s="22" t="n">
        <f aca="false">COUNTIFS('Shortlisted Drugs X Company (7)'!$C$3:$C$698,$B151,'Shortlisted Drugs X Company (7)'!$E$3:$E$698,$AA151,'Shortlisted Drugs X Company (7)'!$N$3:$N$698,"&gt;=0")</f>
        <v>3</v>
      </c>
      <c r="AF151" s="22" t="n">
        <f aca="false">COUNTIFS('Shortlisted Drugs X Company (7)'!$C$3:$C$698,$B151,'Shortlisted Drugs X Company (7)'!$E$3:$E$698,$AA151,'Shortlisted Drugs X Company (7)'!$N$3:$N$698,"&gt;5")</f>
        <v>3</v>
      </c>
      <c r="AG151" s="22" t="n">
        <f aca="false">COUNTIFS('Shortlisted Drugs X Company (7)'!$C$3:$C$698,$B151,'Shortlisted Drugs X Company (7)'!$E$3:$E$698,$AA151,'Shortlisted Drugs X Company (7)'!$P$3:$P$698,"Exact")+COUNTIFS('Shortlisted Drugs X Company (7)'!$C$3:$C$698,$B151,'Shortlisted Drugs X Company (7)'!$E$3:$E$698,$AA151,'Shortlisted Drugs X Company (7)'!$P$3:$P$698,"Same-market proxy")</f>
        <v>3</v>
      </c>
      <c r="AH151" s="22" t="n">
        <f aca="false">INDEX($G$7:$G$25,MATCH(A151,$A$7:$A$25,0))</f>
        <v>5</v>
      </c>
      <c r="AI151" s="79" t="n">
        <f aca="false">IF(OR(Q151="No",LEFT(H151,7)="IV only"),"",AH151*1000+IF(F151="",900+COUNTIFS($A$29:A151,A151,$H$29:H151,"Price*"),F151))</f>
        <v>5007</v>
      </c>
      <c r="AJ151" s="79" t="n">
        <f aca="false">IF(H151&lt;&gt;"","",(4-VALUE(RIGHT(E151,1)))*10^7+N(O151))</f>
        <v>20001652</v>
      </c>
      <c r="AK151" s="20" t="n">
        <f aca="false">IF(AND(H151="",ISNUMBER(I151)),I151,"")</f>
        <v>186.04</v>
      </c>
      <c r="AL151" s="21" t="n">
        <f aca="false">IF(H151="",M151,"")</f>
        <v>9</v>
      </c>
    </row>
    <row r="152" customFormat="false" ht="41.75" hidden="false" customHeight="false" outlineLevel="0" collapsed="false">
      <c r="A152" s="16" t="s">
        <v>232</v>
      </c>
      <c r="B152" s="16" t="s">
        <v>541</v>
      </c>
      <c r="C152" s="17" t="s">
        <v>837</v>
      </c>
      <c r="D152" s="17" t="s">
        <v>543</v>
      </c>
      <c r="E152" s="15" t="str">
        <f aca="false">IF(H152&lt;&gt;"",IF(LEFT(H152,5)="Price","Excluded – price ≤ USD 5","Excluded – IV only"),IF(ISNUMBER(I152),IF(AND(I152&gt;=$C$3,M152&gt;=$E$3),"Priority 1",IF(OR(I152&gt;=$C$3,M152&gt;=$E$3),"Priority 2","Priority 3")),IF(M152&gt;=$E$3,"Priority 2","Priority 3")))</f>
        <v>Priority 2</v>
      </c>
      <c r="F152" s="15" t="n">
        <f aca="false">IF(H152&lt;&gt;"","",COUNTIFS($A$29:$A$361,A152,$H$29:$H$361,"",$AJ$29:$AJ$361,"&gt;"&amp;AJ152)+COUNTIFS($A$29:A152,A152,$H$29:H152,"",$AJ$29:AJ152,AJ152))</f>
        <v>6</v>
      </c>
      <c r="G152" s="17" t="str">
        <f aca="false">IF(H152&lt;&gt;"","",IF(ISNUMBER(I152),IF(I152&gt;=$C$3,"High price","Lower price"),"No price")&amp;", "&amp;IF(M152&gt;=$E$3,"high volume","lower volume"))</f>
        <v>High price, lower volume</v>
      </c>
      <c r="H152" s="17" t="str">
        <f aca="false">IF(Q152="No","IV only (no ID, IM or SC route)",IF(AND(AE152&gt;0,AF152=0),"Price ≤ USD 5",""))</f>
        <v/>
      </c>
      <c r="I152" s="18" t="n">
        <f aca="false">IF(AF152&gt;0,ROUND(AVERAGEIFS('Shortlisted Drugs X Company (7)'!$N$3:$N$698,'Shortlisted Drugs X Company (7)'!$C$3:$C$698,$B152,'Shortlisted Drugs X Company (7)'!$E$3:$E$698,$AA152,'Shortlisted Drugs X Company (7)'!$N$3:$N$698,"&gt;5"),2),"")</f>
        <v>6173.01</v>
      </c>
      <c r="J152" s="17" t="str">
        <f aca="false">IF(COUNTIFS('Shortlisted Drugs X Company (7)'!$C$3:$C$698,$B152,'Shortlisted Drugs X Company (7)'!$E$3:$E$698,$AA152,'Shortlisted Drugs X Company (7)'!$P$3:$P$698,"Exact")&gt;0,"Exact",IF(COUNTIFS('Shortlisted Drugs X Company (7)'!$C$3:$C$698,$B152,'Shortlisted Drugs X Company (7)'!$E$3:$E$698,$AA152,'Shortlisted Drugs X Company (7)'!$P$3:$P$698,"Same-market proxy")&gt;0,"Same-market proxy",IF(COUNTIFS('Shortlisted Drugs X Company (7)'!$C$3:$C$698,$B152,'Shortlisted Drugs X Company (7)'!$E$3:$E$698,$AA152,'Shortlisted Drugs X Company (7)'!$P$3:$P$698,"Cross-market proxy")&gt;0,"Cross-market proxy",IF(COUNTIFS('Shortlisted Drugs X Company (7)'!$C$3:$C$698,$B152,'Shortlisted Drugs X Company (7)'!$E$3:$E$698,$AA152,'Shortlisted Drugs X Company (7)'!$P$3:$P$698,"Source not found")&gt;0,"Source not found","No price found"))))</f>
        <v>Exact</v>
      </c>
      <c r="K152" s="19" t="n">
        <f aca="false">IFERROR(INDEX('Injectable Value'!$AB$28:$AB$178,MATCH(B152,'Injectable Value'!$A$28:$A$178,0)),"")</f>
        <v>47</v>
      </c>
      <c r="L152" s="77" t="n">
        <f aca="false">IFERROR(INDEX('Injectable Value'!$Z$28:$Z$178,MATCH(B152,'Injectable Value'!$A$28:$A$178,0)),"")</f>
        <v>1</v>
      </c>
      <c r="M152" s="19" t="n">
        <f aca="false">IFERROR(INDEX('Injectable Value'!$AC$28:$AC$178,MATCH(B152,'Injectable Value'!$A$28:$A$178,0)),"")</f>
        <v>47</v>
      </c>
      <c r="N152" s="19" t="n">
        <f aca="false">IFERROR(INDEX('Injectable Value'!$C$28:$C$178,MATCH(B152,'Injectable Value'!$A$28:$A$178,0)),"")</f>
        <v>7904.67</v>
      </c>
      <c r="O152" s="19" t="n">
        <f aca="false">IFERROR(ROUND(INDEX('Injectable Value'!$AA$28:$AA$178,MATCH(B152,'Injectable Value'!$A$28:$A$178,0)),1),"")</f>
        <v>7904.7</v>
      </c>
      <c r="P152" s="16" t="str">
        <f aca="false">IFERROR(INDEX('Route of Administration'!$C$5:$C$155,MATCH(B152,'Route of Administration'!$A$5:$A$155,0)),"")</f>
        <v>SC</v>
      </c>
      <c r="Q152" s="15" t="str">
        <f aca="false">IFERROR(INDEX('Route of Administration'!$D$5:$D$155,MATCH(B152,'Route of Administration'!$A$5:$A$155,0)),"")</f>
        <v>Yes</v>
      </c>
      <c r="R152" s="16" t="s">
        <v>281</v>
      </c>
      <c r="S152" s="17" t="s">
        <v>544</v>
      </c>
      <c r="T152" s="16" t="s">
        <v>283</v>
      </c>
      <c r="U152" s="17" t="str">
        <f aca="false">""&amp;IF(AE152=0,"No price found","")&amp;IF(AND(AE152&gt;0,AF152=0,AG152=0),"Low price comes from another market – confirm with the company","")</f>
        <v/>
      </c>
      <c r="V152" s="17" t="s">
        <v>797</v>
      </c>
      <c r="W152" s="15" t="n">
        <v>4</v>
      </c>
      <c r="X152" s="17" t="s">
        <v>838</v>
      </c>
      <c r="Y152" s="17" t="s">
        <v>838</v>
      </c>
      <c r="Z152" s="17" t="s">
        <v>286</v>
      </c>
      <c r="AA152" s="16" t="s">
        <v>773</v>
      </c>
      <c r="AB152" s="78" t="s">
        <v>547</v>
      </c>
      <c r="AC152" s="20" t="n">
        <f aca="false">IF(AE152&gt;0,ROUND(AVERAGEIFS('Shortlisted Drugs X Company (7)'!$N$3:$N$698,'Shortlisted Drugs X Company (7)'!$C$3:$C$698,$B152,'Shortlisted Drugs X Company (7)'!$E$3:$E$698,$AA152,'Shortlisted Drugs X Company (7)'!$N$3:$N$698,"&gt;=0"),2),"")</f>
        <v>6173.01</v>
      </c>
      <c r="AD152" s="79" t="str">
        <f aca="false">B152&amp;"|"&amp;AA152</f>
        <v>Plerixafor|Emcure Pharmaceuticals</v>
      </c>
      <c r="AE152" s="22" t="n">
        <f aca="false">COUNTIFS('Shortlisted Drugs X Company (7)'!$C$3:$C$698,$B152,'Shortlisted Drugs X Company (7)'!$E$3:$E$698,$AA152,'Shortlisted Drugs X Company (7)'!$N$3:$N$698,"&gt;=0")</f>
        <v>2</v>
      </c>
      <c r="AF152" s="22" t="n">
        <f aca="false">COUNTIFS('Shortlisted Drugs X Company (7)'!$C$3:$C$698,$B152,'Shortlisted Drugs X Company (7)'!$E$3:$E$698,$AA152,'Shortlisted Drugs X Company (7)'!$N$3:$N$698,"&gt;5")</f>
        <v>2</v>
      </c>
      <c r="AG152" s="22" t="n">
        <f aca="false">COUNTIFS('Shortlisted Drugs X Company (7)'!$C$3:$C$698,$B152,'Shortlisted Drugs X Company (7)'!$E$3:$E$698,$AA152,'Shortlisted Drugs X Company (7)'!$P$3:$P$698,"Exact")+COUNTIFS('Shortlisted Drugs X Company (7)'!$C$3:$C$698,$B152,'Shortlisted Drugs X Company (7)'!$E$3:$E$698,$AA152,'Shortlisted Drugs X Company (7)'!$P$3:$P$698,"Same-market proxy")</f>
        <v>2</v>
      </c>
      <c r="AH152" s="22" t="n">
        <f aca="false">INDEX($G$7:$G$25,MATCH(A152,$A$7:$A$25,0))</f>
        <v>5</v>
      </c>
      <c r="AI152" s="79" t="n">
        <f aca="false">IF(OR(Q152="No",LEFT(H152,7)="IV only"),"",AH152*1000+IF(F152="",900+COUNTIFS($A$29:A152,A152,$H$29:H152,"Price*"),F152))</f>
        <v>5006</v>
      </c>
      <c r="AJ152" s="79" t="n">
        <f aca="false">IF(H152&lt;&gt;"","",(4-VALUE(RIGHT(E152,1)))*10^7+N(O152))</f>
        <v>20007904.7</v>
      </c>
      <c r="AK152" s="20" t="n">
        <f aca="false">IF(AND(H152="",ISNUMBER(I152)),I152,"")</f>
        <v>6173.01</v>
      </c>
      <c r="AL152" s="21" t="n">
        <f aca="false">IF(H152="",M152,"")</f>
        <v>47</v>
      </c>
    </row>
    <row r="153" customFormat="false" ht="28.35" hidden="false" customHeight="false" outlineLevel="0" collapsed="false">
      <c r="A153" s="16" t="s">
        <v>232</v>
      </c>
      <c r="B153" s="16" t="s">
        <v>839</v>
      </c>
      <c r="C153" s="17" t="s">
        <v>839</v>
      </c>
      <c r="D153" s="17" t="s">
        <v>840</v>
      </c>
      <c r="E153" s="15" t="str">
        <f aca="false">IF(H153&lt;&gt;"",IF(LEFT(H153,5)="Price","Excluded – price ≤ USD 5","Excluded – IV only"),IF(ISNUMBER(I153),IF(AND(I153&gt;=$C$3,M153&gt;=$E$3),"Priority 1",IF(OR(I153&gt;=$C$3,M153&gt;=$E$3),"Priority 2","Priority 3")),IF(M153&gt;=$E$3,"Priority 2","Priority 3")))</f>
        <v>Excluded – IV only</v>
      </c>
      <c r="F153" s="15" t="str">
        <f aca="false">IF(H153&lt;&gt;"","",COUNTIFS($A$29:$A$361,A153,$H$29:$H$361,"",$AJ$29:$AJ$361,"&gt;"&amp;AJ153)+COUNTIFS($A$29:A153,A153,$H$29:H153,"",$AJ$29:AJ153,AJ153))</f>
        <v/>
      </c>
      <c r="G153" s="17" t="str">
        <f aca="false">IF(H153&lt;&gt;"","",IF(ISNUMBER(I153),IF(I153&gt;=$C$3,"High price","Lower price"),"No price")&amp;", "&amp;IF(M153&gt;=$E$3,"high volume","lower volume"))</f>
        <v/>
      </c>
      <c r="H153" s="17" t="str">
        <f aca="false">IF(Q153="No","IV only (no ID, IM or SC route)",IF(AND(AE153&gt;0,AF153=0),"Price ≤ USD 5",""))</f>
        <v>IV only (no ID, IM or SC route)</v>
      </c>
      <c r="I153" s="18" t="n">
        <f aca="false">IF(AF153&gt;0,ROUND(AVERAGEIFS('Shortlisted Drugs X Company (7)'!$N$3:$N$698,'Shortlisted Drugs X Company (7)'!$C$3:$C$698,$B153,'Shortlisted Drugs X Company (7)'!$E$3:$E$698,$AA153,'Shortlisted Drugs X Company (7)'!$N$3:$N$698,"&gt;5"),2),"")</f>
        <v>6.44</v>
      </c>
      <c r="J153" s="17" t="str">
        <f aca="false">IF(COUNTIFS('Shortlisted Drugs X Company (7)'!$C$3:$C$698,$B153,'Shortlisted Drugs X Company (7)'!$E$3:$E$698,$AA153,'Shortlisted Drugs X Company (7)'!$P$3:$P$698,"Exact")&gt;0,"Exact",IF(COUNTIFS('Shortlisted Drugs X Company (7)'!$C$3:$C$698,$B153,'Shortlisted Drugs X Company (7)'!$E$3:$E$698,$AA153,'Shortlisted Drugs X Company (7)'!$P$3:$P$698,"Same-market proxy")&gt;0,"Same-market proxy",IF(COUNTIFS('Shortlisted Drugs X Company (7)'!$C$3:$C$698,$B153,'Shortlisted Drugs X Company (7)'!$E$3:$E$698,$AA153,'Shortlisted Drugs X Company (7)'!$P$3:$P$698,"Cross-market proxy")&gt;0,"Cross-market proxy",IF(COUNTIFS('Shortlisted Drugs X Company (7)'!$C$3:$C$698,$B153,'Shortlisted Drugs X Company (7)'!$E$3:$E$698,$AA153,'Shortlisted Drugs X Company (7)'!$P$3:$P$698,"Source not found")&gt;0,"Source not found","No price found"))))</f>
        <v>Same-market proxy</v>
      </c>
      <c r="K153" s="19" t="n">
        <f aca="false">IFERROR(INDEX('Injectable Value'!$AB$28:$AB$178,MATCH(B153,'Injectable Value'!$A$28:$A$178,0)),"")</f>
        <v>615</v>
      </c>
      <c r="L153" s="77" t="n">
        <f aca="false">IFERROR(INDEX('Injectable Value'!$Z$28:$Z$178,MATCH(B153,'Injectable Value'!$A$28:$A$178,0)),"")</f>
        <v>0.998949579831933</v>
      </c>
      <c r="M153" s="19" t="n">
        <f aca="false">IFERROR(INDEX('Injectable Value'!$AC$28:$AC$178,MATCH(B153,'Injectable Value'!$A$28:$A$178,0)),"")</f>
        <v>614</v>
      </c>
      <c r="N153" s="19" t="n">
        <f aca="false">IFERROR(INDEX('Injectable Value'!$C$28:$C$178,MATCH(B153,'Injectable Value'!$A$28:$A$178,0)),"")</f>
        <v>54682.27</v>
      </c>
      <c r="O153" s="19" t="n">
        <f aca="false">IFERROR(ROUND(INDEX('Injectable Value'!$AA$28:$AA$178,MATCH(B153,'Injectable Value'!$A$28:$A$178,0)),1),"")</f>
        <v>54624.8</v>
      </c>
      <c r="P153" s="16" t="str">
        <f aca="false">IFERROR(INDEX('Route of Administration'!$C$5:$C$155,MATCH(B153,'Route of Administration'!$A$5:$A$155,0)),"")</f>
        <v>IV</v>
      </c>
      <c r="Q153" s="15" t="str">
        <f aca="false">IFERROR(INDEX('Route of Administration'!$D$5:$D$155,MATCH(B153,'Route of Administration'!$A$5:$A$155,0)),"")</f>
        <v>No</v>
      </c>
      <c r="R153" s="16" t="s">
        <v>281</v>
      </c>
      <c r="S153" s="17" t="s">
        <v>841</v>
      </c>
      <c r="T153" s="16" t="s">
        <v>318</v>
      </c>
      <c r="U153" s="17" t="str">
        <f aca="false">""&amp;IF(AE153=0,"No price found","")&amp;IF(AND(AE153&gt;0,AF153=0,AG153=0),"Low price comes from another market – confirm with the company","")</f>
        <v/>
      </c>
      <c r="V153" s="17" t="s">
        <v>463</v>
      </c>
      <c r="W153" s="15" t="n">
        <v>1</v>
      </c>
      <c r="X153" s="17" t="s">
        <v>464</v>
      </c>
      <c r="Y153" s="17" t="s">
        <v>464</v>
      </c>
      <c r="Z153" s="17" t="s">
        <v>321</v>
      </c>
      <c r="AA153" s="16" t="s">
        <v>773</v>
      </c>
      <c r="AB153" s="78" t="s">
        <v>842</v>
      </c>
      <c r="AC153" s="20" t="n">
        <f aca="false">IF(AE153&gt;0,ROUND(AVERAGEIFS('Shortlisted Drugs X Company (7)'!$N$3:$N$698,'Shortlisted Drugs X Company (7)'!$C$3:$C$698,$B153,'Shortlisted Drugs X Company (7)'!$E$3:$E$698,$AA153,'Shortlisted Drugs X Company (7)'!$N$3:$N$698,"&gt;=0"),2),"")</f>
        <v>6.44</v>
      </c>
      <c r="AD153" s="79" t="str">
        <f aca="false">B153&amp;"|"&amp;AA153</f>
        <v>Propofol|Emcure Pharmaceuticals</v>
      </c>
      <c r="AE153" s="22" t="n">
        <f aca="false">COUNTIFS('Shortlisted Drugs X Company (7)'!$C$3:$C$698,$B153,'Shortlisted Drugs X Company (7)'!$E$3:$E$698,$AA153,'Shortlisted Drugs X Company (7)'!$N$3:$N$698,"&gt;=0")</f>
        <v>1</v>
      </c>
      <c r="AF153" s="22" t="n">
        <f aca="false">COUNTIFS('Shortlisted Drugs X Company (7)'!$C$3:$C$698,$B153,'Shortlisted Drugs X Company (7)'!$E$3:$E$698,$AA153,'Shortlisted Drugs X Company (7)'!$N$3:$N$698,"&gt;5")</f>
        <v>1</v>
      </c>
      <c r="AG153" s="22" t="n">
        <f aca="false">COUNTIFS('Shortlisted Drugs X Company (7)'!$C$3:$C$698,$B153,'Shortlisted Drugs X Company (7)'!$E$3:$E$698,$AA153,'Shortlisted Drugs X Company (7)'!$P$3:$P$698,"Exact")+COUNTIFS('Shortlisted Drugs X Company (7)'!$C$3:$C$698,$B153,'Shortlisted Drugs X Company (7)'!$E$3:$E$698,$AA153,'Shortlisted Drugs X Company (7)'!$P$3:$P$698,"Same-market proxy")</f>
        <v>1</v>
      </c>
      <c r="AH153" s="22" t="n">
        <f aca="false">INDEX($G$7:$G$25,MATCH(A153,$A$7:$A$25,0))</f>
        <v>5</v>
      </c>
      <c r="AI153" s="79" t="str">
        <f aca="false">IF(OR(Q153="No",LEFT(H153,7)="IV only"),"",AH153*1000+IF(F153="",900+COUNTIFS($A$29:A153,A153,$H$29:H153,"Price*"),F153))</f>
        <v/>
      </c>
      <c r="AJ153" s="79" t="str">
        <f aca="false">IF(H153&lt;&gt;"","",(4-VALUE(RIGHT(E153,1)))*10^7+N(O153))</f>
        <v/>
      </c>
      <c r="AK153" s="79" t="str">
        <f aca="false">IF(AND(H153="",ISNUMBER(I153)),I153,"")</f>
        <v/>
      </c>
      <c r="AL153" s="79" t="str">
        <f aca="false">IF(H153="",M153,"")</f>
        <v/>
      </c>
    </row>
    <row r="154" customFormat="false" ht="28.35" hidden="false" customHeight="false" outlineLevel="0" collapsed="false">
      <c r="A154" s="16" t="s">
        <v>232</v>
      </c>
      <c r="B154" s="16" t="s">
        <v>665</v>
      </c>
      <c r="C154" s="17" t="s">
        <v>843</v>
      </c>
      <c r="D154" s="17" t="s">
        <v>667</v>
      </c>
      <c r="E154" s="15" t="str">
        <f aca="false">IF(H154&lt;&gt;"",IF(LEFT(H154,5)="Price","Excluded – price ≤ USD 5","Excluded – IV only"),IF(ISNUMBER(I154),IF(AND(I154&gt;=$C$3,M154&gt;=$E$3),"Priority 1",IF(OR(I154&gt;=$C$3,M154&gt;=$E$3),"Priority 2","Priority 3")),IF(M154&gt;=$E$3,"Priority 2","Priority 3")))</f>
        <v>Excluded – IV only</v>
      </c>
      <c r="F154" s="15" t="str">
        <f aca="false">IF(H154&lt;&gt;"","",COUNTIFS($A$29:$A$361,A154,$H$29:$H$361,"",$AJ$29:$AJ$361,"&gt;"&amp;AJ154)+COUNTIFS($A$29:A154,A154,$H$29:H154,"",$AJ$29:AJ154,AJ154))</f>
        <v/>
      </c>
      <c r="G154" s="17" t="str">
        <f aca="false">IF(H154&lt;&gt;"","",IF(ISNUMBER(I154),IF(I154&gt;=$C$3,"High price","Lower price"),"No price")&amp;", "&amp;IF(M154&gt;=$E$3,"high volume","lower volume"))</f>
        <v/>
      </c>
      <c r="H154" s="17" t="str">
        <f aca="false">IF(Q154="No","IV only (no ID, IM or SC route)",IF(AND(AE154&gt;0,AF154=0),"Price ≤ USD 5",""))</f>
        <v>IV only (no ID, IM or SC route)</v>
      </c>
      <c r="I154" s="18" t="n">
        <f aca="false">IF(AF154&gt;0,ROUND(AVERAGEIFS('Shortlisted Drugs X Company (7)'!$N$3:$N$698,'Shortlisted Drugs X Company (7)'!$C$3:$C$698,$B154,'Shortlisted Drugs X Company (7)'!$E$3:$E$698,$AA154,'Shortlisted Drugs X Company (7)'!$N$3:$N$698,"&gt;5"),2),"")</f>
        <v>74.41</v>
      </c>
      <c r="J154" s="17" t="str">
        <f aca="false">IF(COUNTIFS('Shortlisted Drugs X Company (7)'!$C$3:$C$698,$B154,'Shortlisted Drugs X Company (7)'!$E$3:$E$698,$AA154,'Shortlisted Drugs X Company (7)'!$P$3:$P$698,"Exact")&gt;0,"Exact",IF(COUNTIFS('Shortlisted Drugs X Company (7)'!$C$3:$C$698,$B154,'Shortlisted Drugs X Company (7)'!$E$3:$E$698,$AA154,'Shortlisted Drugs X Company (7)'!$P$3:$P$698,"Same-market proxy")&gt;0,"Same-market proxy",IF(COUNTIFS('Shortlisted Drugs X Company (7)'!$C$3:$C$698,$B154,'Shortlisted Drugs X Company (7)'!$E$3:$E$698,$AA154,'Shortlisted Drugs X Company (7)'!$P$3:$P$698,"Cross-market proxy")&gt;0,"Cross-market proxy",IF(COUNTIFS('Shortlisted Drugs X Company (7)'!$C$3:$C$698,$B154,'Shortlisted Drugs X Company (7)'!$E$3:$E$698,$AA154,'Shortlisted Drugs X Company (7)'!$P$3:$P$698,"Source not found")&gt;0,"Source not found","No price found"))))</f>
        <v>Exact</v>
      </c>
      <c r="K154" s="19" t="n">
        <f aca="false">IFERROR(INDEX('Injectable Value'!$AB$28:$AB$178,MATCH(B154,'Injectable Value'!$A$28:$A$178,0)),"")</f>
        <v>346</v>
      </c>
      <c r="L154" s="77" t="n">
        <f aca="false">IFERROR(INDEX('Injectable Value'!$Z$28:$Z$178,MATCH(B154,'Injectable Value'!$A$28:$A$178,0)),"")</f>
        <v>1</v>
      </c>
      <c r="M154" s="19" t="n">
        <f aca="false">IFERROR(INDEX('Injectable Value'!$AC$28:$AC$178,MATCH(B154,'Injectable Value'!$A$28:$A$178,0)),"")</f>
        <v>346</v>
      </c>
      <c r="N154" s="19" t="n">
        <f aca="false">IFERROR(INDEX('Injectable Value'!$C$28:$C$178,MATCH(B154,'Injectable Value'!$A$28:$A$178,0)),"")</f>
        <v>32830.17</v>
      </c>
      <c r="O154" s="19" t="n">
        <f aca="false">IFERROR(ROUND(INDEX('Injectable Value'!$AA$28:$AA$178,MATCH(B154,'Injectable Value'!$A$28:$A$178,0)),1),"")</f>
        <v>32830.2</v>
      </c>
      <c r="P154" s="16" t="str">
        <f aca="false">IFERROR(INDEX('Route of Administration'!$C$5:$C$155,MATCH(B154,'Route of Administration'!$A$5:$A$155,0)),"")</f>
        <v>IV</v>
      </c>
      <c r="Q154" s="15" t="str">
        <f aca="false">IFERROR(INDEX('Route of Administration'!$D$5:$D$155,MATCH(B154,'Route of Administration'!$A$5:$A$155,0)),"")</f>
        <v>No</v>
      </c>
      <c r="R154" s="16" t="s">
        <v>281</v>
      </c>
      <c r="S154" s="17" t="s">
        <v>844</v>
      </c>
      <c r="T154" s="16" t="s">
        <v>283</v>
      </c>
      <c r="U154" s="17" t="str">
        <f aca="false">""&amp;IF(AE154=0,"No price found","")&amp;IF(AND(AE154&gt;0,AF154=0,AG154=0),"Low price comes from another market – confirm with the company","")</f>
        <v/>
      </c>
      <c r="V154" s="17" t="s">
        <v>785</v>
      </c>
      <c r="W154" s="15" t="n">
        <v>7</v>
      </c>
      <c r="X154" s="17" t="s">
        <v>845</v>
      </c>
      <c r="Y154" s="17" t="s">
        <v>845</v>
      </c>
      <c r="Z154" s="17" t="s">
        <v>286</v>
      </c>
      <c r="AA154" s="16" t="s">
        <v>773</v>
      </c>
      <c r="AB154" s="78" t="s">
        <v>670</v>
      </c>
      <c r="AC154" s="20" t="n">
        <f aca="false">IF(AE154&gt;0,ROUND(AVERAGEIFS('Shortlisted Drugs X Company (7)'!$N$3:$N$698,'Shortlisted Drugs X Company (7)'!$C$3:$C$698,$B154,'Shortlisted Drugs X Company (7)'!$E$3:$E$698,$AA154,'Shortlisted Drugs X Company (7)'!$N$3:$N$698,"&gt;=0"),2),"")</f>
        <v>74.41</v>
      </c>
      <c r="AD154" s="79" t="str">
        <f aca="false">B154&amp;"|"&amp;AA154</f>
        <v>Sugammadex|Emcure Pharmaceuticals</v>
      </c>
      <c r="AE154" s="22" t="n">
        <f aca="false">COUNTIFS('Shortlisted Drugs X Company (7)'!$C$3:$C$698,$B154,'Shortlisted Drugs X Company (7)'!$E$3:$E$698,$AA154,'Shortlisted Drugs X Company (7)'!$N$3:$N$698,"&gt;=0")</f>
        <v>2</v>
      </c>
      <c r="AF154" s="22" t="n">
        <f aca="false">COUNTIFS('Shortlisted Drugs X Company (7)'!$C$3:$C$698,$B154,'Shortlisted Drugs X Company (7)'!$E$3:$E$698,$AA154,'Shortlisted Drugs X Company (7)'!$N$3:$N$698,"&gt;5")</f>
        <v>2</v>
      </c>
      <c r="AG154" s="22" t="n">
        <f aca="false">COUNTIFS('Shortlisted Drugs X Company (7)'!$C$3:$C$698,$B154,'Shortlisted Drugs X Company (7)'!$E$3:$E$698,$AA154,'Shortlisted Drugs X Company (7)'!$P$3:$P$698,"Exact")+COUNTIFS('Shortlisted Drugs X Company (7)'!$C$3:$C$698,$B154,'Shortlisted Drugs X Company (7)'!$E$3:$E$698,$AA154,'Shortlisted Drugs X Company (7)'!$P$3:$P$698,"Same-market proxy")</f>
        <v>2</v>
      </c>
      <c r="AH154" s="22" t="n">
        <f aca="false">INDEX($G$7:$G$25,MATCH(A154,$A$7:$A$25,0))</f>
        <v>5</v>
      </c>
      <c r="AI154" s="79" t="str">
        <f aca="false">IF(OR(Q154="No",LEFT(H154,7)="IV only"),"",AH154*1000+IF(F154="",900+COUNTIFS($A$29:A154,A154,$H$29:H154,"Price*"),F154))</f>
        <v/>
      </c>
      <c r="AJ154" s="79" t="str">
        <f aca="false">IF(H154&lt;&gt;"","",(4-VALUE(RIGHT(E154,1)))*10^7+N(O154))</f>
        <v/>
      </c>
      <c r="AK154" s="79" t="str">
        <f aca="false">IF(AND(H154="",ISNUMBER(I154)),I154,"")</f>
        <v/>
      </c>
      <c r="AL154" s="79" t="str">
        <f aca="false">IF(H154="",M154,"")</f>
        <v/>
      </c>
    </row>
    <row r="155" customFormat="false" ht="41.75" hidden="false" customHeight="false" outlineLevel="0" collapsed="false">
      <c r="A155" s="16" t="s">
        <v>233</v>
      </c>
      <c r="B155" s="16" t="s">
        <v>329</v>
      </c>
      <c r="C155" s="17" t="s">
        <v>846</v>
      </c>
      <c r="D155" s="17" t="s">
        <v>331</v>
      </c>
      <c r="E155" s="15" t="str">
        <f aca="false">IF(H155&lt;&gt;"",IF(LEFT(H155,5)="Price","Excluded – price ≤ USD 5","Excluded – IV only"),IF(ISNUMBER(I155),IF(AND(I155&gt;=$C$3,M155&gt;=$E$3),"Priority 1",IF(OR(I155&gt;=$C$3,M155&gt;=$E$3),"Priority 2","Priority 3")),IF(M155&gt;=$E$3,"Priority 2","Priority 3")))</f>
        <v>Priority 1</v>
      </c>
      <c r="F155" s="15" t="n">
        <f aca="false">IF(H155&lt;&gt;"","",COUNTIFS($A$29:$A$361,A155,$H$29:$H$361,"",$AJ$29:$AJ$361,"&gt;"&amp;AJ155)+COUNTIFS($A$29:A155,A155,$H$29:H155,"",$AJ$29:AJ155,AJ155))</f>
        <v>1</v>
      </c>
      <c r="G155" s="17" t="str">
        <f aca="false">IF(H155&lt;&gt;"","",IF(ISNUMBER(I155),IF(I155&gt;=$C$3,"High price","Lower price"),"No price")&amp;", "&amp;IF(M155&gt;=$E$3,"high volume","lower volume"))</f>
        <v>High price, high volume</v>
      </c>
      <c r="H155" s="17" t="str">
        <f aca="false">IF(Q155="No","IV only (no ID, IM or SC route)",IF(AND(AE155&gt;0,AF155=0),"Price ≤ USD 5",""))</f>
        <v/>
      </c>
      <c r="I155" s="18" t="n">
        <f aca="false">IF(AF155&gt;0,ROUND(AVERAGEIFS('Shortlisted Drugs X Company (7)'!$N$3:$N$698,'Shortlisted Drugs X Company (7)'!$C$3:$C$698,$B155,'Shortlisted Drugs X Company (7)'!$E$3:$E$698,$AA155,'Shortlisted Drugs X Company (7)'!$N$3:$N$698,"&gt;5"),2),"")</f>
        <v>400.02</v>
      </c>
      <c r="J155" s="17" t="str">
        <f aca="false">IF(COUNTIFS('Shortlisted Drugs X Company (7)'!$C$3:$C$698,$B155,'Shortlisted Drugs X Company (7)'!$E$3:$E$698,$AA155,'Shortlisted Drugs X Company (7)'!$P$3:$P$698,"Exact")&gt;0,"Exact",IF(COUNTIFS('Shortlisted Drugs X Company (7)'!$C$3:$C$698,$B155,'Shortlisted Drugs X Company (7)'!$E$3:$E$698,$AA155,'Shortlisted Drugs X Company (7)'!$P$3:$P$698,"Same-market proxy")&gt;0,"Same-market proxy",IF(COUNTIFS('Shortlisted Drugs X Company (7)'!$C$3:$C$698,$B155,'Shortlisted Drugs X Company (7)'!$E$3:$E$698,$AA155,'Shortlisted Drugs X Company (7)'!$P$3:$P$698,"Cross-market proxy")&gt;0,"Cross-market proxy",IF(COUNTIFS('Shortlisted Drugs X Company (7)'!$C$3:$C$698,$B155,'Shortlisted Drugs X Company (7)'!$E$3:$E$698,$AA155,'Shortlisted Drugs X Company (7)'!$P$3:$P$698,"Source not found")&gt;0,"Source not found","No price found"))))</f>
        <v>Exact</v>
      </c>
      <c r="K155" s="19" t="n">
        <f aca="false">IFERROR(INDEX('Injectable Value'!$AB$28:$AB$178,MATCH(B155,'Injectable Value'!$A$28:$A$178,0)),"")</f>
        <v>762</v>
      </c>
      <c r="L155" s="77" t="n">
        <f aca="false">IFERROR(INDEX('Injectable Value'!$Z$28:$Z$178,MATCH(B155,'Injectable Value'!$A$28:$A$178,0)),"")</f>
        <v>0.829278792417718</v>
      </c>
      <c r="M155" s="19" t="n">
        <f aca="false">IFERROR(INDEX('Injectable Value'!$AC$28:$AC$178,MATCH(B155,'Injectable Value'!$A$28:$A$178,0)),"")</f>
        <v>632</v>
      </c>
      <c r="N155" s="19" t="n">
        <f aca="false">IFERROR(INDEX('Injectable Value'!$C$28:$C$178,MATCH(B155,'Injectable Value'!$A$28:$A$178,0)),"")</f>
        <v>50865.56</v>
      </c>
      <c r="O155" s="19" t="n">
        <f aca="false">IFERROR(ROUND(INDEX('Injectable Value'!$AA$28:$AA$178,MATCH(B155,'Injectable Value'!$A$28:$A$178,0)),1),"")</f>
        <v>42181.7</v>
      </c>
      <c r="P155" s="16" t="str">
        <f aca="false">IFERROR(INDEX('Route of Administration'!$C$5:$C$155,MATCH(B155,'Route of Administration'!$A$5:$A$155,0)),"")</f>
        <v>IV, SC</v>
      </c>
      <c r="Q155" s="15" t="str">
        <f aca="false">IFERROR(INDEX('Route of Administration'!$D$5:$D$155,MATCH(B155,'Route of Administration'!$A$5:$A$155,0)),"")</f>
        <v>Yes</v>
      </c>
      <c r="R155" s="16" t="s">
        <v>281</v>
      </c>
      <c r="S155" s="17" t="s">
        <v>613</v>
      </c>
      <c r="T155" s="16" t="s">
        <v>333</v>
      </c>
      <c r="U155" s="17" t="str">
        <f aca="false">"Cancer drug (cytotoxic) – less relevant; Reconstitution"&amp;IF(AE155=0,"; No price found","")&amp;IF(AND(AE155&gt;0,AF155=0,AG155=0),"; Low price comes from another market – confirm with the company","")</f>
        <v>Cancer drug (cytotoxic) – less relevant; Reconstitution</v>
      </c>
      <c r="V155" s="17" t="s">
        <v>112</v>
      </c>
      <c r="W155" s="15" t="n">
        <v>3</v>
      </c>
      <c r="X155" s="17" t="s">
        <v>847</v>
      </c>
      <c r="Y155" s="17" t="s">
        <v>847</v>
      </c>
      <c r="Z155" s="17" t="s">
        <v>286</v>
      </c>
      <c r="AA155" s="16" t="s">
        <v>848</v>
      </c>
      <c r="AB155" s="78" t="s">
        <v>337</v>
      </c>
      <c r="AC155" s="20" t="n">
        <f aca="false">IF(AE155&gt;0,ROUND(AVERAGEIFS('Shortlisted Drugs X Company (7)'!$N$3:$N$698,'Shortlisted Drugs X Company (7)'!$C$3:$C$698,$B155,'Shortlisted Drugs X Company (7)'!$E$3:$E$698,$AA155,'Shortlisted Drugs X Company (7)'!$N$3:$N$698,"&gt;=0"),2),"")</f>
        <v>400.02</v>
      </c>
      <c r="AD155" s="79" t="str">
        <f aca="false">B155&amp;"|"&amp;AA155</f>
        <v>Azacitidine|Glenmark Pharmaceuticals</v>
      </c>
      <c r="AE155" s="22" t="n">
        <f aca="false">COUNTIFS('Shortlisted Drugs X Company (7)'!$C$3:$C$698,$B155,'Shortlisted Drugs X Company (7)'!$E$3:$E$698,$AA155,'Shortlisted Drugs X Company (7)'!$N$3:$N$698,"&gt;=0")</f>
        <v>1</v>
      </c>
      <c r="AF155" s="22" t="n">
        <f aca="false">COUNTIFS('Shortlisted Drugs X Company (7)'!$C$3:$C$698,$B155,'Shortlisted Drugs X Company (7)'!$E$3:$E$698,$AA155,'Shortlisted Drugs X Company (7)'!$N$3:$N$698,"&gt;5")</f>
        <v>1</v>
      </c>
      <c r="AG155" s="22" t="n">
        <f aca="false">COUNTIFS('Shortlisted Drugs X Company (7)'!$C$3:$C$698,$B155,'Shortlisted Drugs X Company (7)'!$E$3:$E$698,$AA155,'Shortlisted Drugs X Company (7)'!$P$3:$P$698,"Exact")+COUNTIFS('Shortlisted Drugs X Company (7)'!$C$3:$C$698,$B155,'Shortlisted Drugs X Company (7)'!$E$3:$E$698,$AA155,'Shortlisted Drugs X Company (7)'!$P$3:$P$698,"Same-market proxy")</f>
        <v>1</v>
      </c>
      <c r="AH155" s="22" t="n">
        <f aca="false">INDEX($G$7:$G$25,MATCH(A155,$A$7:$A$25,0))</f>
        <v>6</v>
      </c>
      <c r="AI155" s="79" t="n">
        <f aca="false">IF(OR(Q155="No",LEFT(H155,7)="IV only"),"",AH155*1000+IF(F155="",900+COUNTIFS($A$29:A155,A155,$H$29:H155,"Price*"),F155))</f>
        <v>6001</v>
      </c>
      <c r="AJ155" s="79" t="n">
        <f aca="false">IF(H155&lt;&gt;"","",(4-VALUE(RIGHT(E155,1)))*10^7+N(O155))</f>
        <v>30042181.7</v>
      </c>
      <c r="AK155" s="20" t="n">
        <f aca="false">IF(AND(H155="",ISNUMBER(I155)),I155,"")</f>
        <v>400.02</v>
      </c>
      <c r="AL155" s="21" t="n">
        <f aca="false">IF(H155="",M155,"")</f>
        <v>632</v>
      </c>
    </row>
    <row r="156" customFormat="false" ht="41.75" hidden="false" customHeight="false" outlineLevel="0" collapsed="false">
      <c r="A156" s="16" t="s">
        <v>233</v>
      </c>
      <c r="B156" s="16" t="s">
        <v>338</v>
      </c>
      <c r="C156" s="17" t="s">
        <v>849</v>
      </c>
      <c r="D156" s="17" t="s">
        <v>340</v>
      </c>
      <c r="E156" s="15" t="str">
        <f aca="false">IF(H156&lt;&gt;"",IF(LEFT(H156,5)="Price","Excluded – price ≤ USD 5","Excluded – IV only"),IF(ISNUMBER(I156),IF(AND(I156&gt;=$C$3,M156&gt;=$E$3),"Priority 1",IF(OR(I156&gt;=$C$3,M156&gt;=$E$3),"Priority 2","Priority 3")),IF(M156&gt;=$E$3,"Priority 2","Priority 3")))</f>
        <v>Priority 1</v>
      </c>
      <c r="F156" s="15" t="n">
        <f aca="false">IF(H156&lt;&gt;"","",COUNTIFS($A$29:$A$361,A156,$H$29:$H$361,"",$AJ$29:$AJ$361,"&gt;"&amp;AJ156)+COUNTIFS($A$29:A156,A156,$H$29:H156,"",$AJ$29:AJ156,AJ156))</f>
        <v>2</v>
      </c>
      <c r="G156" s="17" t="str">
        <f aca="false">IF(H156&lt;&gt;"","",IF(ISNUMBER(I156),IF(I156&gt;=$C$3,"High price","Lower price"),"No price")&amp;", "&amp;IF(M156&gt;=$E$3,"high volume","lower volume"))</f>
        <v>High price, high volume</v>
      </c>
      <c r="H156" s="17" t="str">
        <f aca="false">IF(Q156="No","IV only (no ID, IM or SC route)",IF(AND(AE156&gt;0,AF156=0),"Price ≤ USD 5",""))</f>
        <v/>
      </c>
      <c r="I156" s="18" t="n">
        <f aca="false">IF(AF156&gt;0,ROUND(AVERAGEIFS('Shortlisted Drugs X Company (7)'!$N$3:$N$698,'Shortlisted Drugs X Company (7)'!$C$3:$C$698,$B156,'Shortlisted Drugs X Company (7)'!$E$3:$E$698,$AA156,'Shortlisted Drugs X Company (7)'!$N$3:$N$698,"&gt;5"),2),"")</f>
        <v>64.91</v>
      </c>
      <c r="J156" s="17" t="str">
        <f aca="false">IF(COUNTIFS('Shortlisted Drugs X Company (7)'!$C$3:$C$698,$B156,'Shortlisted Drugs X Company (7)'!$E$3:$E$698,$AA156,'Shortlisted Drugs X Company (7)'!$P$3:$P$698,"Exact")&gt;0,"Exact",IF(COUNTIFS('Shortlisted Drugs X Company (7)'!$C$3:$C$698,$B156,'Shortlisted Drugs X Company (7)'!$E$3:$E$698,$AA156,'Shortlisted Drugs X Company (7)'!$P$3:$P$698,"Same-market proxy")&gt;0,"Same-market proxy",IF(COUNTIFS('Shortlisted Drugs X Company (7)'!$C$3:$C$698,$B156,'Shortlisted Drugs X Company (7)'!$E$3:$E$698,$AA156,'Shortlisted Drugs X Company (7)'!$P$3:$P$698,"Cross-market proxy")&gt;0,"Cross-market proxy",IF(COUNTIFS('Shortlisted Drugs X Company (7)'!$C$3:$C$698,$B156,'Shortlisted Drugs X Company (7)'!$E$3:$E$698,$AA156,'Shortlisted Drugs X Company (7)'!$P$3:$P$698,"Source not found")&gt;0,"Source not found","No price found"))))</f>
        <v>Exact</v>
      </c>
      <c r="K156" s="19" t="n">
        <f aca="false">IFERROR(INDEX('Injectable Value'!$AB$28:$AB$178,MATCH(B156,'Injectable Value'!$A$28:$A$178,0)),"")</f>
        <v>905</v>
      </c>
      <c r="L156" s="77" t="n">
        <f aca="false">IFERROR(INDEX('Injectable Value'!$Z$28:$Z$178,MATCH(B156,'Injectable Value'!$A$28:$A$178,0)),"")</f>
        <v>1</v>
      </c>
      <c r="M156" s="19" t="n">
        <f aca="false">IFERROR(INDEX('Injectable Value'!$AC$28:$AC$178,MATCH(B156,'Injectable Value'!$A$28:$A$178,0)),"")</f>
        <v>905</v>
      </c>
      <c r="N156" s="19" t="n">
        <f aca="false">IFERROR(INDEX('Injectable Value'!$C$28:$C$178,MATCH(B156,'Injectable Value'!$A$28:$A$178,0)),"")</f>
        <v>28093.38</v>
      </c>
      <c r="O156" s="19" t="n">
        <f aca="false">IFERROR(ROUND(INDEX('Injectable Value'!$AA$28:$AA$178,MATCH(B156,'Injectable Value'!$A$28:$A$178,0)),1),"")</f>
        <v>28093.4</v>
      </c>
      <c r="P156" s="16" t="str">
        <f aca="false">IFERROR(INDEX('Route of Administration'!$C$5:$C$155,MATCH(B156,'Route of Administration'!$A$5:$A$155,0)),"")</f>
        <v>IV, SC</v>
      </c>
      <c r="Q156" s="15" t="str">
        <f aca="false">IFERROR(INDEX('Route of Administration'!$D$5:$D$155,MATCH(B156,'Route of Administration'!$A$5:$A$155,0)),"")</f>
        <v>Yes</v>
      </c>
      <c r="R156" s="16" t="s">
        <v>281</v>
      </c>
      <c r="S156" s="17" t="s">
        <v>850</v>
      </c>
      <c r="T156" s="16" t="s">
        <v>283</v>
      </c>
      <c r="U156" s="17" t="str">
        <f aca="false">"Cancer drug (cytotoxic) – less relevant; Reconstitution"&amp;IF(AE156=0,"; No price found","")&amp;IF(AND(AE156&gt;0,AF156=0,AG156=0),"; Low price comes from another market – confirm with the company","")</f>
        <v>Cancer drug (cytotoxic) – less relevant; Reconstitution</v>
      </c>
      <c r="V156" s="17" t="s">
        <v>398</v>
      </c>
      <c r="W156" s="15" t="n">
        <v>12</v>
      </c>
      <c r="X156" s="17" t="s">
        <v>851</v>
      </c>
      <c r="Y156" s="17" t="s">
        <v>852</v>
      </c>
      <c r="Z156" s="17" t="s">
        <v>286</v>
      </c>
      <c r="AA156" s="16" t="s">
        <v>848</v>
      </c>
      <c r="AB156" s="78" t="s">
        <v>345</v>
      </c>
      <c r="AC156" s="20" t="n">
        <f aca="false">IF(AE156&gt;0,ROUND(AVERAGEIFS('Shortlisted Drugs X Company (7)'!$N$3:$N$698,'Shortlisted Drugs X Company (7)'!$C$3:$C$698,$B156,'Shortlisted Drugs X Company (7)'!$E$3:$E$698,$AA156,'Shortlisted Drugs X Company (7)'!$N$3:$N$698,"&gt;=0"),2),"")</f>
        <v>64.91</v>
      </c>
      <c r="AD156" s="79" t="str">
        <f aca="false">B156&amp;"|"&amp;AA156</f>
        <v>Bortezomib|Glenmark Pharmaceuticals</v>
      </c>
      <c r="AE156" s="22" t="n">
        <f aca="false">COUNTIFS('Shortlisted Drugs X Company (7)'!$C$3:$C$698,$B156,'Shortlisted Drugs X Company (7)'!$E$3:$E$698,$AA156,'Shortlisted Drugs X Company (7)'!$N$3:$N$698,"&gt;=0")</f>
        <v>3</v>
      </c>
      <c r="AF156" s="22" t="n">
        <f aca="false">COUNTIFS('Shortlisted Drugs X Company (7)'!$C$3:$C$698,$B156,'Shortlisted Drugs X Company (7)'!$E$3:$E$698,$AA156,'Shortlisted Drugs X Company (7)'!$N$3:$N$698,"&gt;5")</f>
        <v>3</v>
      </c>
      <c r="AG156" s="22" t="n">
        <f aca="false">COUNTIFS('Shortlisted Drugs X Company (7)'!$C$3:$C$698,$B156,'Shortlisted Drugs X Company (7)'!$E$3:$E$698,$AA156,'Shortlisted Drugs X Company (7)'!$P$3:$P$698,"Exact")+COUNTIFS('Shortlisted Drugs X Company (7)'!$C$3:$C$698,$B156,'Shortlisted Drugs X Company (7)'!$E$3:$E$698,$AA156,'Shortlisted Drugs X Company (7)'!$P$3:$P$698,"Same-market proxy")</f>
        <v>3</v>
      </c>
      <c r="AH156" s="22" t="n">
        <f aca="false">INDEX($G$7:$G$25,MATCH(A156,$A$7:$A$25,0))</f>
        <v>6</v>
      </c>
      <c r="AI156" s="79" t="n">
        <f aca="false">IF(OR(Q156="No",LEFT(H156,7)="IV only"),"",AH156*1000+IF(F156="",900+COUNTIFS($A$29:A156,A156,$H$29:H156,"Price*"),F156))</f>
        <v>6002</v>
      </c>
      <c r="AJ156" s="79" t="n">
        <f aca="false">IF(H156&lt;&gt;"","",(4-VALUE(RIGHT(E156,1)))*10^7+N(O156))</f>
        <v>30028093.4</v>
      </c>
      <c r="AK156" s="20" t="n">
        <f aca="false">IF(AND(H156="",ISNUMBER(I156)),I156,"")</f>
        <v>64.91</v>
      </c>
      <c r="AL156" s="21" t="n">
        <f aca="false">IF(H156="",M156,"")</f>
        <v>905</v>
      </c>
    </row>
    <row r="157" customFormat="false" ht="41.75" hidden="false" customHeight="false" outlineLevel="0" collapsed="false">
      <c r="A157" s="16" t="s">
        <v>233</v>
      </c>
      <c r="B157" s="16" t="s">
        <v>724</v>
      </c>
      <c r="C157" s="17" t="s">
        <v>853</v>
      </c>
      <c r="D157" s="17" t="s">
        <v>726</v>
      </c>
      <c r="E157" s="15" t="str">
        <f aca="false">IF(H157&lt;&gt;"",IF(LEFT(H157,5)="Price","Excluded – price ≤ USD 5","Excluded – IV only"),IF(ISNUMBER(I157),IF(AND(I157&gt;=$C$3,M157&gt;=$E$3),"Priority 1",IF(OR(I157&gt;=$C$3,M157&gt;=$E$3),"Priority 2","Priority 3")),IF(M157&gt;=$E$3,"Priority 2","Priority 3")))</f>
        <v>Excluded – IV only</v>
      </c>
      <c r="F157" s="15" t="str">
        <f aca="false">IF(H157&lt;&gt;"","",COUNTIFS($A$29:$A$361,A157,$H$29:$H$361,"",$AJ$29:$AJ$361,"&gt;"&amp;AJ157)+COUNTIFS($A$29:A157,A157,$H$29:H157,"",$AJ$29:AJ157,AJ157))</f>
        <v/>
      </c>
      <c r="G157" s="17" t="str">
        <f aca="false">IF(H157&lt;&gt;"","",IF(ISNUMBER(I157),IF(I157&gt;=$C$3,"High price","Lower price"),"No price")&amp;", "&amp;IF(M157&gt;=$E$3,"high volume","lower volume"))</f>
        <v/>
      </c>
      <c r="H157" s="17" t="str">
        <f aca="false">IF(Q157="No","IV only (no ID, IM or SC route)",IF(AND(AE157&gt;0,AF157=0),"Price ≤ USD 5",""))</f>
        <v>IV only (no ID, IM or SC route)</v>
      </c>
      <c r="I157" s="18" t="n">
        <f aca="false">IF(AF157&gt;0,ROUND(AVERAGEIFS('Shortlisted Drugs X Company (7)'!$N$3:$N$698,'Shortlisted Drugs X Company (7)'!$C$3:$C$698,$B157,'Shortlisted Drugs X Company (7)'!$E$3:$E$698,$AA157,'Shortlisted Drugs X Company (7)'!$N$3:$N$698,"&gt;5"),2),"")</f>
        <v>400.86</v>
      </c>
      <c r="J157" s="17" t="str">
        <f aca="false">IF(COUNTIFS('Shortlisted Drugs X Company (7)'!$C$3:$C$698,$B157,'Shortlisted Drugs X Company (7)'!$E$3:$E$698,$AA157,'Shortlisted Drugs X Company (7)'!$P$3:$P$698,"Exact")&gt;0,"Exact",IF(COUNTIFS('Shortlisted Drugs X Company (7)'!$C$3:$C$698,$B157,'Shortlisted Drugs X Company (7)'!$E$3:$E$698,$AA157,'Shortlisted Drugs X Company (7)'!$P$3:$P$698,"Same-market proxy")&gt;0,"Same-market proxy",IF(COUNTIFS('Shortlisted Drugs X Company (7)'!$C$3:$C$698,$B157,'Shortlisted Drugs X Company (7)'!$E$3:$E$698,$AA157,'Shortlisted Drugs X Company (7)'!$P$3:$P$698,"Cross-market proxy")&gt;0,"Cross-market proxy",IF(COUNTIFS('Shortlisted Drugs X Company (7)'!$C$3:$C$698,$B157,'Shortlisted Drugs X Company (7)'!$E$3:$E$698,$AA157,'Shortlisted Drugs X Company (7)'!$P$3:$P$698,"Source not found")&gt;0,"Source not found","No price found"))))</f>
        <v>Exact</v>
      </c>
      <c r="K157" s="19" t="n">
        <f aca="false">IFERROR(INDEX('Injectable Value'!$AB$28:$AB$178,MATCH(B157,'Injectable Value'!$A$28:$A$178,0)),"")</f>
        <v>42</v>
      </c>
      <c r="L157" s="77" t="n">
        <f aca="false">IFERROR(INDEX('Injectable Value'!$Z$28:$Z$178,MATCH(B157,'Injectable Value'!$A$28:$A$178,0)),"")</f>
        <v>1</v>
      </c>
      <c r="M157" s="19" t="n">
        <f aca="false">IFERROR(INDEX('Injectable Value'!$AC$28:$AC$178,MATCH(B157,'Injectable Value'!$A$28:$A$178,0)),"")</f>
        <v>42</v>
      </c>
      <c r="N157" s="19" t="n">
        <f aca="false">IFERROR(INDEX('Injectable Value'!$C$28:$C$178,MATCH(B157,'Injectable Value'!$A$28:$A$178,0)),"")</f>
        <v>1874.63</v>
      </c>
      <c r="O157" s="19" t="n">
        <f aca="false">IFERROR(ROUND(INDEX('Injectable Value'!$AA$28:$AA$178,MATCH(B157,'Injectable Value'!$A$28:$A$178,0)),1),"")</f>
        <v>1874.6</v>
      </c>
      <c r="P157" s="16" t="str">
        <f aca="false">IFERROR(INDEX('Route of Administration'!$C$5:$C$155,MATCH(B157,'Route of Administration'!$A$5:$A$155,0)),"")</f>
        <v>IV</v>
      </c>
      <c r="Q157" s="15" t="str">
        <f aca="false">IFERROR(INDEX('Route of Administration'!$D$5:$D$155,MATCH(B157,'Route of Administration'!$A$5:$A$155,0)),"")</f>
        <v>No</v>
      </c>
      <c r="R157" s="16" t="s">
        <v>281</v>
      </c>
      <c r="S157" s="17" t="s">
        <v>854</v>
      </c>
      <c r="T157" s="16" t="s">
        <v>283</v>
      </c>
      <c r="U157" s="17" t="str">
        <f aca="false">"Cancer drug (cytotoxic) – less relevant"&amp;IF(AE157=0,"; No price found","")&amp;IF(AND(AE157&gt;0,AF157=0,AG157=0),"; Low price comes from another market – confirm with the company","")</f>
        <v>Cancer drug (cytotoxic) – less relevant</v>
      </c>
      <c r="V157" s="17" t="s">
        <v>855</v>
      </c>
      <c r="W157" s="15" t="n">
        <v>9</v>
      </c>
      <c r="X157" s="17" t="s">
        <v>856</v>
      </c>
      <c r="Y157" s="17" t="s">
        <v>856</v>
      </c>
      <c r="Z157" s="17" t="s">
        <v>286</v>
      </c>
      <c r="AA157" s="16" t="s">
        <v>848</v>
      </c>
      <c r="AB157" s="78" t="s">
        <v>730</v>
      </c>
      <c r="AC157" s="20" t="n">
        <f aca="false">IF(AE157&gt;0,ROUND(AVERAGEIFS('Shortlisted Drugs X Company (7)'!$N$3:$N$698,'Shortlisted Drugs X Company (7)'!$C$3:$C$698,$B157,'Shortlisted Drugs X Company (7)'!$E$3:$E$698,$AA157,'Shortlisted Drugs X Company (7)'!$N$3:$N$698,"&gt;=0"),2),"")</f>
        <v>400.86</v>
      </c>
      <c r="AD157" s="79" t="str">
        <f aca="false">B157&amp;"|"&amp;AA157</f>
        <v>Eribulin|Glenmark Pharmaceuticals</v>
      </c>
      <c r="AE157" s="22" t="n">
        <f aca="false">COUNTIFS('Shortlisted Drugs X Company (7)'!$C$3:$C$698,$B157,'Shortlisted Drugs X Company (7)'!$E$3:$E$698,$AA157,'Shortlisted Drugs X Company (7)'!$N$3:$N$698,"&gt;=0")</f>
        <v>3</v>
      </c>
      <c r="AF157" s="22" t="n">
        <f aca="false">COUNTIFS('Shortlisted Drugs X Company (7)'!$C$3:$C$698,$B157,'Shortlisted Drugs X Company (7)'!$E$3:$E$698,$AA157,'Shortlisted Drugs X Company (7)'!$N$3:$N$698,"&gt;5")</f>
        <v>3</v>
      </c>
      <c r="AG157" s="22" t="n">
        <f aca="false">COUNTIFS('Shortlisted Drugs X Company (7)'!$C$3:$C$698,$B157,'Shortlisted Drugs X Company (7)'!$E$3:$E$698,$AA157,'Shortlisted Drugs X Company (7)'!$P$3:$P$698,"Exact")+COUNTIFS('Shortlisted Drugs X Company (7)'!$C$3:$C$698,$B157,'Shortlisted Drugs X Company (7)'!$E$3:$E$698,$AA157,'Shortlisted Drugs X Company (7)'!$P$3:$P$698,"Same-market proxy")</f>
        <v>3</v>
      </c>
      <c r="AH157" s="22" t="n">
        <f aca="false">INDEX($G$7:$G$25,MATCH(A157,$A$7:$A$25,0))</f>
        <v>6</v>
      </c>
      <c r="AI157" s="79" t="str">
        <f aca="false">IF(OR(Q157="No",LEFT(H157,7)="IV only"),"",AH157*1000+IF(F157="",900+COUNTIFS($A$29:A157,A157,$H$29:H157,"Price*"),F157))</f>
        <v/>
      </c>
      <c r="AJ157" s="79" t="str">
        <f aca="false">IF(H157&lt;&gt;"","",(4-VALUE(RIGHT(E157,1)))*10^7+N(O157))</f>
        <v/>
      </c>
      <c r="AK157" s="79" t="str">
        <f aca="false">IF(AND(H157="",ISNUMBER(I157)),I157,"")</f>
        <v/>
      </c>
      <c r="AL157" s="79" t="str">
        <f aca="false">IF(H157="",M157,"")</f>
        <v/>
      </c>
    </row>
    <row r="158" customFormat="false" ht="41.75" hidden="false" customHeight="false" outlineLevel="0" collapsed="false">
      <c r="A158" s="16" t="s">
        <v>233</v>
      </c>
      <c r="B158" s="16" t="s">
        <v>295</v>
      </c>
      <c r="C158" s="17" t="s">
        <v>857</v>
      </c>
      <c r="D158" s="17" t="s">
        <v>296</v>
      </c>
      <c r="E158" s="15" t="str">
        <f aca="false">IF(H158&lt;&gt;"",IF(LEFT(H158,5)="Price","Excluded – price ≤ USD 5","Excluded – IV only"),IF(ISNUMBER(I158),IF(AND(I158&gt;=$C$3,M158&gt;=$E$3),"Priority 1",IF(OR(I158&gt;=$C$3,M158&gt;=$E$3),"Priority 2","Priority 3")),IF(M158&gt;=$E$3,"Priority 2","Priority 3")))</f>
        <v>Priority 1</v>
      </c>
      <c r="F158" s="15" t="n">
        <f aca="false">IF(H158&lt;&gt;"","",COUNTIFS($A$29:$A$361,A158,$H$29:$H$361,"",$AJ$29:$AJ$361,"&gt;"&amp;AJ158)+COUNTIFS($A$29:A158,A158,$H$29:H158,"",$AJ$29:AJ158,AJ158))</f>
        <v>3</v>
      </c>
      <c r="G158" s="17" t="str">
        <f aca="false">IF(H158&lt;&gt;"","",IF(ISNUMBER(I158),IF(I158&gt;=$C$3,"High price","Lower price"),"No price")&amp;", "&amp;IF(M158&gt;=$E$3,"high volume","lower volume"))</f>
        <v>High price, high volume</v>
      </c>
      <c r="H158" s="17" t="str">
        <f aca="false">IF(Q158="No","IV only (no ID, IM or SC route)",IF(AND(AE158&gt;0,AF158=0),"Price ≤ USD 5",""))</f>
        <v/>
      </c>
      <c r="I158" s="18" t="n">
        <f aca="false">IF(AF158&gt;0,ROUND(AVERAGEIFS('Shortlisted Drugs X Company (7)'!$N$3:$N$698,'Shortlisted Drugs X Company (7)'!$C$3:$C$698,$B158,'Shortlisted Drugs X Company (7)'!$E$3:$E$698,$AA158,'Shortlisted Drugs X Company (7)'!$N$3:$N$698,"&gt;5"),2),"")</f>
        <v>302.38</v>
      </c>
      <c r="J158" s="17" t="str">
        <f aca="false">IF(COUNTIFS('Shortlisted Drugs X Company (7)'!$C$3:$C$698,$B158,'Shortlisted Drugs X Company (7)'!$E$3:$E$698,$AA158,'Shortlisted Drugs X Company (7)'!$P$3:$P$698,"Exact")&gt;0,"Exact",IF(COUNTIFS('Shortlisted Drugs X Company (7)'!$C$3:$C$698,$B158,'Shortlisted Drugs X Company (7)'!$E$3:$E$698,$AA158,'Shortlisted Drugs X Company (7)'!$P$3:$P$698,"Same-market proxy")&gt;0,"Same-market proxy",IF(COUNTIFS('Shortlisted Drugs X Company (7)'!$C$3:$C$698,$B158,'Shortlisted Drugs X Company (7)'!$E$3:$E$698,$AA158,'Shortlisted Drugs X Company (7)'!$P$3:$P$698,"Cross-market proxy")&gt;0,"Cross-market proxy",IF(COUNTIFS('Shortlisted Drugs X Company (7)'!$C$3:$C$698,$B158,'Shortlisted Drugs X Company (7)'!$E$3:$E$698,$AA158,'Shortlisted Drugs X Company (7)'!$P$3:$P$698,"Source not found")&gt;0,"Source not found","No price found"))))</f>
        <v>Same-market proxy</v>
      </c>
      <c r="K158" s="19" t="n">
        <f aca="false">IFERROR(INDEX('Injectable Value'!$AB$28:$AB$178,MATCH(B158,'Injectable Value'!$A$28:$A$178,0)),"")</f>
        <v>146</v>
      </c>
      <c r="L158" s="77" t="n">
        <f aca="false">IFERROR(INDEX('Injectable Value'!$Z$28:$Z$178,MATCH(B158,'Injectable Value'!$A$28:$A$178,0)),"")</f>
        <v>1</v>
      </c>
      <c r="M158" s="19" t="n">
        <f aca="false">IFERROR(INDEX('Injectable Value'!$AC$28:$AC$178,MATCH(B158,'Injectable Value'!$A$28:$A$178,0)),"")</f>
        <v>146</v>
      </c>
      <c r="N158" s="19" t="n">
        <f aca="false">IFERROR(INDEX('Injectable Value'!$C$28:$C$178,MATCH(B158,'Injectable Value'!$A$28:$A$178,0)),"")</f>
        <v>11366.06</v>
      </c>
      <c r="O158" s="19" t="n">
        <f aca="false">IFERROR(ROUND(INDEX('Injectable Value'!$AA$28:$AA$178,MATCH(B158,'Injectable Value'!$A$28:$A$178,0)),1),"")</f>
        <v>11366.1</v>
      </c>
      <c r="P158" s="16" t="str">
        <f aca="false">IFERROR(INDEX('Route of Administration'!$C$5:$C$155,MATCH(B158,'Route of Administration'!$A$5:$A$155,0)),"")</f>
        <v>IM</v>
      </c>
      <c r="Q158" s="15" t="str">
        <f aca="false">IFERROR(INDEX('Route of Administration'!$D$5:$D$155,MATCH(B158,'Route of Administration'!$A$5:$A$155,0)),"")</f>
        <v>Yes</v>
      </c>
      <c r="R158" s="16" t="s">
        <v>291</v>
      </c>
      <c r="S158" s="17" t="s">
        <v>858</v>
      </c>
      <c r="T158" s="16" t="s">
        <v>283</v>
      </c>
      <c r="U158" s="17" t="str">
        <f aca="false">"Prefilled only"&amp;IF(AE158=0,"; No price found","")&amp;IF(AND(AE158&gt;0,AF158=0,AG158=0),"; Low price comes from another market – confirm with the company","")</f>
        <v>Prefilled only</v>
      </c>
      <c r="V158" s="17" t="s">
        <v>859</v>
      </c>
      <c r="W158" s="15" t="n">
        <v>8</v>
      </c>
      <c r="X158" s="17" t="s">
        <v>860</v>
      </c>
      <c r="Y158" s="17" t="s">
        <v>860</v>
      </c>
      <c r="Z158" s="17" t="s">
        <v>293</v>
      </c>
      <c r="AA158" s="16" t="s">
        <v>848</v>
      </c>
      <c r="AB158" s="78" t="s">
        <v>298</v>
      </c>
      <c r="AC158" s="20" t="n">
        <f aca="false">IF(AE158&gt;0,ROUND(AVERAGEIFS('Shortlisted Drugs X Company (7)'!$N$3:$N$698,'Shortlisted Drugs X Company (7)'!$C$3:$C$698,$B158,'Shortlisted Drugs X Company (7)'!$E$3:$E$698,$AA158,'Shortlisted Drugs X Company (7)'!$N$3:$N$698,"&gt;=0"),2),"")</f>
        <v>302.38</v>
      </c>
      <c r="AD158" s="79" t="str">
        <f aca="false">B158&amp;"|"&amp;AA158</f>
        <v>Fulvestrant|Glenmark Pharmaceuticals</v>
      </c>
      <c r="AE158" s="22" t="n">
        <f aca="false">COUNTIFS('Shortlisted Drugs X Company (7)'!$C$3:$C$698,$B158,'Shortlisted Drugs X Company (7)'!$E$3:$E$698,$AA158,'Shortlisted Drugs X Company (7)'!$N$3:$N$698,"&gt;=0")</f>
        <v>3</v>
      </c>
      <c r="AF158" s="22" t="n">
        <f aca="false">COUNTIFS('Shortlisted Drugs X Company (7)'!$C$3:$C$698,$B158,'Shortlisted Drugs X Company (7)'!$E$3:$E$698,$AA158,'Shortlisted Drugs X Company (7)'!$N$3:$N$698,"&gt;5")</f>
        <v>3</v>
      </c>
      <c r="AG158" s="22" t="n">
        <f aca="false">COUNTIFS('Shortlisted Drugs X Company (7)'!$C$3:$C$698,$B158,'Shortlisted Drugs X Company (7)'!$E$3:$E$698,$AA158,'Shortlisted Drugs X Company (7)'!$P$3:$P$698,"Exact")+COUNTIFS('Shortlisted Drugs X Company (7)'!$C$3:$C$698,$B158,'Shortlisted Drugs X Company (7)'!$E$3:$E$698,$AA158,'Shortlisted Drugs X Company (7)'!$P$3:$P$698,"Same-market proxy")</f>
        <v>2</v>
      </c>
      <c r="AH158" s="22" t="n">
        <f aca="false">INDEX($G$7:$G$25,MATCH(A158,$A$7:$A$25,0))</f>
        <v>6</v>
      </c>
      <c r="AI158" s="79" t="n">
        <f aca="false">IF(OR(Q158="No",LEFT(H158,7)="IV only"),"",AH158*1000+IF(F158="",900+COUNTIFS($A$29:A158,A158,$H$29:H158,"Price*"),F158))</f>
        <v>6003</v>
      </c>
      <c r="AJ158" s="79" t="n">
        <f aca="false">IF(H158&lt;&gt;"","",(4-VALUE(RIGHT(E158,1)))*10^7+N(O158))</f>
        <v>30011366.1</v>
      </c>
      <c r="AK158" s="20" t="n">
        <f aca="false">IF(AND(H158="",ISNUMBER(I158)),I158,"")</f>
        <v>302.38</v>
      </c>
      <c r="AL158" s="21" t="n">
        <f aca="false">IF(H158="",M158,"")</f>
        <v>146</v>
      </c>
    </row>
    <row r="159" customFormat="false" ht="41.75" hidden="false" customHeight="false" outlineLevel="0" collapsed="false">
      <c r="A159" s="16" t="s">
        <v>233</v>
      </c>
      <c r="B159" s="16" t="s">
        <v>541</v>
      </c>
      <c r="C159" s="17" t="s">
        <v>861</v>
      </c>
      <c r="D159" s="17" t="s">
        <v>543</v>
      </c>
      <c r="E159" s="15" t="str">
        <f aca="false">IF(H159&lt;&gt;"",IF(LEFT(H159,5)="Price","Excluded – price ≤ USD 5","Excluded – IV only"),IF(ISNUMBER(I159),IF(AND(I159&gt;=$C$3,M159&gt;=$E$3),"Priority 1",IF(OR(I159&gt;=$C$3,M159&gt;=$E$3),"Priority 2","Priority 3")),IF(M159&gt;=$E$3,"Priority 2","Priority 3")))</f>
        <v>Priority 2</v>
      </c>
      <c r="F159" s="15" t="n">
        <f aca="false">IF(H159&lt;&gt;"","",COUNTIFS($A$29:$A$361,A159,$H$29:$H$361,"",$AJ$29:$AJ$361,"&gt;"&amp;AJ159)+COUNTIFS($A$29:A159,A159,$H$29:H159,"",$AJ$29:AJ159,AJ159))</f>
        <v>4</v>
      </c>
      <c r="G159" s="17" t="str">
        <f aca="false">IF(H159&lt;&gt;"","",IF(ISNUMBER(I159),IF(I159&gt;=$C$3,"High price","Lower price"),"No price")&amp;", "&amp;IF(M159&gt;=$E$3,"high volume","lower volume"))</f>
        <v>High price, lower volume</v>
      </c>
      <c r="H159" s="17" t="str">
        <f aca="false">IF(Q159="No","IV only (no ID, IM or SC route)",IF(AND(AE159&gt;0,AF159=0),"Price ≤ USD 5",""))</f>
        <v/>
      </c>
      <c r="I159" s="18" t="n">
        <f aca="false">IF(AF159&gt;0,ROUND(AVERAGEIFS('Shortlisted Drugs X Company (7)'!$N$3:$N$698,'Shortlisted Drugs X Company (7)'!$C$3:$C$698,$B159,'Shortlisted Drugs X Company (7)'!$E$3:$E$698,$AA159,'Shortlisted Drugs X Company (7)'!$N$3:$N$698,"&gt;5"),2),"")</f>
        <v>7322.42</v>
      </c>
      <c r="J159" s="17" t="str">
        <f aca="false">IF(COUNTIFS('Shortlisted Drugs X Company (7)'!$C$3:$C$698,$B159,'Shortlisted Drugs X Company (7)'!$E$3:$E$698,$AA159,'Shortlisted Drugs X Company (7)'!$P$3:$P$698,"Exact")&gt;0,"Exact",IF(COUNTIFS('Shortlisted Drugs X Company (7)'!$C$3:$C$698,$B159,'Shortlisted Drugs X Company (7)'!$E$3:$E$698,$AA159,'Shortlisted Drugs X Company (7)'!$P$3:$P$698,"Same-market proxy")&gt;0,"Same-market proxy",IF(COUNTIFS('Shortlisted Drugs X Company (7)'!$C$3:$C$698,$B159,'Shortlisted Drugs X Company (7)'!$E$3:$E$698,$AA159,'Shortlisted Drugs X Company (7)'!$P$3:$P$698,"Cross-market proxy")&gt;0,"Cross-market proxy",IF(COUNTIFS('Shortlisted Drugs X Company (7)'!$C$3:$C$698,$B159,'Shortlisted Drugs X Company (7)'!$E$3:$E$698,$AA159,'Shortlisted Drugs X Company (7)'!$P$3:$P$698,"Source not found")&gt;0,"Source not found","No price found"))))</f>
        <v>Cross-market proxy</v>
      </c>
      <c r="K159" s="19" t="n">
        <f aca="false">IFERROR(INDEX('Injectable Value'!$AB$28:$AB$178,MATCH(B159,'Injectable Value'!$A$28:$A$178,0)),"")</f>
        <v>47</v>
      </c>
      <c r="L159" s="77" t="n">
        <f aca="false">IFERROR(INDEX('Injectable Value'!$Z$28:$Z$178,MATCH(B159,'Injectable Value'!$A$28:$A$178,0)),"")</f>
        <v>1</v>
      </c>
      <c r="M159" s="19" t="n">
        <f aca="false">IFERROR(INDEX('Injectable Value'!$AC$28:$AC$178,MATCH(B159,'Injectable Value'!$A$28:$A$178,0)),"")</f>
        <v>47</v>
      </c>
      <c r="N159" s="19" t="n">
        <f aca="false">IFERROR(INDEX('Injectable Value'!$C$28:$C$178,MATCH(B159,'Injectable Value'!$A$28:$A$178,0)),"")</f>
        <v>7904.67</v>
      </c>
      <c r="O159" s="19" t="n">
        <f aca="false">IFERROR(ROUND(INDEX('Injectable Value'!$AA$28:$AA$178,MATCH(B159,'Injectable Value'!$A$28:$A$178,0)),1),"")</f>
        <v>7904.7</v>
      </c>
      <c r="P159" s="16" t="str">
        <f aca="false">IFERROR(INDEX('Route of Administration'!$C$5:$C$155,MATCH(B159,'Route of Administration'!$A$5:$A$155,0)),"")</f>
        <v>SC</v>
      </c>
      <c r="Q159" s="15" t="str">
        <f aca="false">IFERROR(INDEX('Route of Administration'!$D$5:$D$155,MATCH(B159,'Route of Administration'!$A$5:$A$155,0)),"")</f>
        <v>Yes</v>
      </c>
      <c r="R159" s="16" t="s">
        <v>281</v>
      </c>
      <c r="S159" s="17" t="s">
        <v>544</v>
      </c>
      <c r="T159" s="16" t="s">
        <v>283</v>
      </c>
      <c r="U159" s="17" t="str">
        <f aca="false">""&amp;IF(AE159=0,"No price found","")&amp;IF(AND(AE159&gt;0,AF159=0,AG159=0),"Low price comes from another market – confirm with the company","")</f>
        <v/>
      </c>
      <c r="V159" s="17" t="s">
        <v>112</v>
      </c>
      <c r="W159" s="15" t="n">
        <v>1</v>
      </c>
      <c r="X159" s="17" t="s">
        <v>862</v>
      </c>
      <c r="Y159" s="17" t="s">
        <v>862</v>
      </c>
      <c r="Z159" s="17" t="s">
        <v>286</v>
      </c>
      <c r="AA159" s="16" t="s">
        <v>848</v>
      </c>
      <c r="AB159" s="78" t="s">
        <v>547</v>
      </c>
      <c r="AC159" s="20" t="n">
        <f aca="false">IF(AE159&gt;0,ROUND(AVERAGEIFS('Shortlisted Drugs X Company (7)'!$N$3:$N$698,'Shortlisted Drugs X Company (7)'!$C$3:$C$698,$B159,'Shortlisted Drugs X Company (7)'!$E$3:$E$698,$AA159,'Shortlisted Drugs X Company (7)'!$N$3:$N$698,"&gt;=0"),2),"")</f>
        <v>7322.42</v>
      </c>
      <c r="AD159" s="79" t="str">
        <f aca="false">B159&amp;"|"&amp;AA159</f>
        <v>Plerixafor|Glenmark Pharmaceuticals</v>
      </c>
      <c r="AE159" s="22" t="n">
        <f aca="false">COUNTIFS('Shortlisted Drugs X Company (7)'!$C$3:$C$698,$B159,'Shortlisted Drugs X Company (7)'!$E$3:$E$698,$AA159,'Shortlisted Drugs X Company (7)'!$N$3:$N$698,"&gt;=0")</f>
        <v>1</v>
      </c>
      <c r="AF159" s="22" t="n">
        <f aca="false">COUNTIFS('Shortlisted Drugs X Company (7)'!$C$3:$C$698,$B159,'Shortlisted Drugs X Company (7)'!$E$3:$E$698,$AA159,'Shortlisted Drugs X Company (7)'!$N$3:$N$698,"&gt;5")</f>
        <v>1</v>
      </c>
      <c r="AG159" s="22" t="n">
        <f aca="false">COUNTIFS('Shortlisted Drugs X Company (7)'!$C$3:$C$698,$B159,'Shortlisted Drugs X Company (7)'!$E$3:$E$698,$AA159,'Shortlisted Drugs X Company (7)'!$P$3:$P$698,"Exact")+COUNTIFS('Shortlisted Drugs X Company (7)'!$C$3:$C$698,$B159,'Shortlisted Drugs X Company (7)'!$E$3:$E$698,$AA159,'Shortlisted Drugs X Company (7)'!$P$3:$P$698,"Same-market proxy")</f>
        <v>0</v>
      </c>
      <c r="AH159" s="22" t="n">
        <f aca="false">INDEX($G$7:$G$25,MATCH(A159,$A$7:$A$25,0))</f>
        <v>6</v>
      </c>
      <c r="AI159" s="79" t="n">
        <f aca="false">IF(OR(Q159="No",LEFT(H159,7)="IV only"),"",AH159*1000+IF(F159="",900+COUNTIFS($A$29:A159,A159,$H$29:H159,"Price*"),F159))</f>
        <v>6004</v>
      </c>
      <c r="AJ159" s="79" t="n">
        <f aca="false">IF(H159&lt;&gt;"","",(4-VALUE(RIGHT(E159,1)))*10^7+N(O159))</f>
        <v>20007904.7</v>
      </c>
      <c r="AK159" s="20" t="n">
        <f aca="false">IF(AND(H159="",ISNUMBER(I159)),I159,"")</f>
        <v>7322.42</v>
      </c>
      <c r="AL159" s="21" t="n">
        <f aca="false">IF(H159="",M159,"")</f>
        <v>47</v>
      </c>
    </row>
    <row r="160" customFormat="false" ht="28.35" hidden="false" customHeight="false" outlineLevel="0" collapsed="false">
      <c r="A160" s="16" t="s">
        <v>233</v>
      </c>
      <c r="B160" s="16" t="s">
        <v>665</v>
      </c>
      <c r="C160" s="17" t="s">
        <v>863</v>
      </c>
      <c r="D160" s="17" t="s">
        <v>667</v>
      </c>
      <c r="E160" s="15" t="str">
        <f aca="false">IF(H160&lt;&gt;"",IF(LEFT(H160,5)="Price","Excluded – price ≤ USD 5","Excluded – IV only"),IF(ISNUMBER(I160),IF(AND(I160&gt;=$C$3,M160&gt;=$E$3),"Priority 1",IF(OR(I160&gt;=$C$3,M160&gt;=$E$3),"Priority 2","Priority 3")),IF(M160&gt;=$E$3,"Priority 2","Priority 3")))</f>
        <v>Excluded – IV only</v>
      </c>
      <c r="F160" s="15" t="str">
        <f aca="false">IF(H160&lt;&gt;"","",COUNTIFS($A$29:$A$361,A160,$H$29:$H$361,"",$AJ$29:$AJ$361,"&gt;"&amp;AJ160)+COUNTIFS($A$29:A160,A160,$H$29:H160,"",$AJ$29:AJ160,AJ160))</f>
        <v/>
      </c>
      <c r="G160" s="17" t="str">
        <f aca="false">IF(H160&lt;&gt;"","",IF(ISNUMBER(I160),IF(I160&gt;=$C$3,"High price","Lower price"),"No price")&amp;", "&amp;IF(M160&gt;=$E$3,"high volume","lower volume"))</f>
        <v/>
      </c>
      <c r="H160" s="17" t="str">
        <f aca="false">IF(Q160="No","IV only (no ID, IM or SC route)",IF(AND(AE160&gt;0,AF160=0),"Price ≤ USD 5",""))</f>
        <v>IV only (no ID, IM or SC route)</v>
      </c>
      <c r="I160" s="18" t="n">
        <f aca="false">IF(AF160&gt;0,ROUND(AVERAGEIFS('Shortlisted Drugs X Company (7)'!$N$3:$N$698,'Shortlisted Drugs X Company (7)'!$C$3:$C$698,$B160,'Shortlisted Drugs X Company (7)'!$E$3:$E$698,$AA160,'Shortlisted Drugs X Company (7)'!$N$3:$N$698,"&gt;5"),2),"")</f>
        <v>79.53</v>
      </c>
      <c r="J160" s="17" t="str">
        <f aca="false">IF(COUNTIFS('Shortlisted Drugs X Company (7)'!$C$3:$C$698,$B160,'Shortlisted Drugs X Company (7)'!$E$3:$E$698,$AA160,'Shortlisted Drugs X Company (7)'!$P$3:$P$698,"Exact")&gt;0,"Exact",IF(COUNTIFS('Shortlisted Drugs X Company (7)'!$C$3:$C$698,$B160,'Shortlisted Drugs X Company (7)'!$E$3:$E$698,$AA160,'Shortlisted Drugs X Company (7)'!$P$3:$P$698,"Same-market proxy")&gt;0,"Same-market proxy",IF(COUNTIFS('Shortlisted Drugs X Company (7)'!$C$3:$C$698,$B160,'Shortlisted Drugs X Company (7)'!$E$3:$E$698,$AA160,'Shortlisted Drugs X Company (7)'!$P$3:$P$698,"Cross-market proxy")&gt;0,"Cross-market proxy",IF(COUNTIFS('Shortlisted Drugs X Company (7)'!$C$3:$C$698,$B160,'Shortlisted Drugs X Company (7)'!$E$3:$E$698,$AA160,'Shortlisted Drugs X Company (7)'!$P$3:$P$698,"Source not found")&gt;0,"Source not found","No price found"))))</f>
        <v>Same-market proxy</v>
      </c>
      <c r="K160" s="19" t="n">
        <f aca="false">IFERROR(INDEX('Injectable Value'!$AB$28:$AB$178,MATCH(B160,'Injectable Value'!$A$28:$A$178,0)),"")</f>
        <v>346</v>
      </c>
      <c r="L160" s="77" t="n">
        <f aca="false">IFERROR(INDEX('Injectable Value'!$Z$28:$Z$178,MATCH(B160,'Injectable Value'!$A$28:$A$178,0)),"")</f>
        <v>1</v>
      </c>
      <c r="M160" s="19" t="n">
        <f aca="false">IFERROR(INDEX('Injectable Value'!$AC$28:$AC$178,MATCH(B160,'Injectable Value'!$A$28:$A$178,0)),"")</f>
        <v>346</v>
      </c>
      <c r="N160" s="19" t="n">
        <f aca="false">IFERROR(INDEX('Injectable Value'!$C$28:$C$178,MATCH(B160,'Injectable Value'!$A$28:$A$178,0)),"")</f>
        <v>32830.17</v>
      </c>
      <c r="O160" s="19" t="n">
        <f aca="false">IFERROR(ROUND(INDEX('Injectable Value'!$AA$28:$AA$178,MATCH(B160,'Injectable Value'!$A$28:$A$178,0)),1),"")</f>
        <v>32830.2</v>
      </c>
      <c r="P160" s="16" t="str">
        <f aca="false">IFERROR(INDEX('Route of Administration'!$C$5:$C$155,MATCH(B160,'Route of Administration'!$A$5:$A$155,0)),"")</f>
        <v>IV</v>
      </c>
      <c r="Q160" s="15" t="str">
        <f aca="false">IFERROR(INDEX('Route of Administration'!$D$5:$D$155,MATCH(B160,'Route of Administration'!$A$5:$A$155,0)),"")</f>
        <v>No</v>
      </c>
      <c r="R160" s="16" t="s">
        <v>281</v>
      </c>
      <c r="S160" s="17" t="s">
        <v>864</v>
      </c>
      <c r="T160" s="16" t="s">
        <v>283</v>
      </c>
      <c r="U160" s="17" t="str">
        <f aca="false">""&amp;IF(AE160=0,"No price found","")&amp;IF(AND(AE160&gt;0,AF160=0,AG160=0),"Low price comes from another market – confirm with the company","")</f>
        <v/>
      </c>
      <c r="V160" s="17" t="s">
        <v>865</v>
      </c>
      <c r="W160" s="15" t="n">
        <v>9</v>
      </c>
      <c r="X160" s="17" t="s">
        <v>866</v>
      </c>
      <c r="Y160" s="17" t="s">
        <v>867</v>
      </c>
      <c r="Z160" s="17" t="s">
        <v>286</v>
      </c>
      <c r="AA160" s="16" t="s">
        <v>848</v>
      </c>
      <c r="AB160" s="78" t="s">
        <v>670</v>
      </c>
      <c r="AC160" s="20" t="n">
        <f aca="false">IF(AE160&gt;0,ROUND(AVERAGEIFS('Shortlisted Drugs X Company (7)'!$N$3:$N$698,'Shortlisted Drugs X Company (7)'!$C$3:$C$698,$B160,'Shortlisted Drugs X Company (7)'!$E$3:$E$698,$AA160,'Shortlisted Drugs X Company (7)'!$N$3:$N$698,"&gt;=0"),2),"")</f>
        <v>79.53</v>
      </c>
      <c r="AD160" s="79" t="str">
        <f aca="false">B160&amp;"|"&amp;AA160</f>
        <v>Sugammadex|Glenmark Pharmaceuticals</v>
      </c>
      <c r="AE160" s="22" t="n">
        <f aca="false">COUNTIFS('Shortlisted Drugs X Company (7)'!$C$3:$C$698,$B160,'Shortlisted Drugs X Company (7)'!$E$3:$E$698,$AA160,'Shortlisted Drugs X Company (7)'!$N$3:$N$698,"&gt;=0")</f>
        <v>2</v>
      </c>
      <c r="AF160" s="22" t="n">
        <f aca="false">COUNTIFS('Shortlisted Drugs X Company (7)'!$C$3:$C$698,$B160,'Shortlisted Drugs X Company (7)'!$E$3:$E$698,$AA160,'Shortlisted Drugs X Company (7)'!$N$3:$N$698,"&gt;5")</f>
        <v>2</v>
      </c>
      <c r="AG160" s="22" t="n">
        <f aca="false">COUNTIFS('Shortlisted Drugs X Company (7)'!$C$3:$C$698,$B160,'Shortlisted Drugs X Company (7)'!$E$3:$E$698,$AA160,'Shortlisted Drugs X Company (7)'!$P$3:$P$698,"Exact")+COUNTIFS('Shortlisted Drugs X Company (7)'!$C$3:$C$698,$B160,'Shortlisted Drugs X Company (7)'!$E$3:$E$698,$AA160,'Shortlisted Drugs X Company (7)'!$P$3:$P$698,"Same-market proxy")</f>
        <v>2</v>
      </c>
      <c r="AH160" s="22" t="n">
        <f aca="false">INDEX($G$7:$G$25,MATCH(A160,$A$7:$A$25,0))</f>
        <v>6</v>
      </c>
      <c r="AI160" s="79" t="str">
        <f aca="false">IF(OR(Q160="No",LEFT(H160,7)="IV only"),"",AH160*1000+IF(F160="",900+COUNTIFS($A$29:A160,A160,$H$29:H160,"Price*"),F160))</f>
        <v/>
      </c>
      <c r="AJ160" s="79" t="str">
        <f aca="false">IF(H160&lt;&gt;"","",(4-VALUE(RIGHT(E160,1)))*10^7+N(O160))</f>
        <v/>
      </c>
      <c r="AK160" s="79" t="str">
        <f aca="false">IF(AND(H160="",ISNUMBER(I160)),I160,"")</f>
        <v/>
      </c>
      <c r="AL160" s="79" t="str">
        <f aca="false">IF(H160="",M160,"")</f>
        <v/>
      </c>
    </row>
    <row r="161" customFormat="false" ht="41.75" hidden="false" customHeight="false" outlineLevel="0" collapsed="false">
      <c r="A161" s="16" t="s">
        <v>234</v>
      </c>
      <c r="B161" s="16" t="s">
        <v>329</v>
      </c>
      <c r="C161" s="17" t="s">
        <v>868</v>
      </c>
      <c r="D161" s="17" t="s">
        <v>331</v>
      </c>
      <c r="E161" s="15" t="str">
        <f aca="false">IF(H161&lt;&gt;"",IF(LEFT(H161,5)="Price","Excluded – price ≤ USD 5","Excluded – IV only"),IF(ISNUMBER(I161),IF(AND(I161&gt;=$C$3,M161&gt;=$E$3),"Priority 1",IF(OR(I161&gt;=$C$3,M161&gt;=$E$3),"Priority 2","Priority 3")),IF(M161&gt;=$E$3,"Priority 2","Priority 3")))</f>
        <v>Priority 1</v>
      </c>
      <c r="F161" s="15" t="n">
        <f aca="false">IF(H161&lt;&gt;"","",COUNTIFS($A$29:$A$361,A161,$H$29:$H$361,"",$AJ$29:$AJ$361,"&gt;"&amp;AJ161)+COUNTIFS($A$29:A161,A161,$H$29:H161,"",$AJ$29:AJ161,AJ161))</f>
        <v>1</v>
      </c>
      <c r="G161" s="17" t="str">
        <f aca="false">IF(H161&lt;&gt;"","",IF(ISNUMBER(I161),IF(I161&gt;=$C$3,"High price","Lower price"),"No price")&amp;", "&amp;IF(M161&gt;=$E$3,"high volume","lower volume"))</f>
        <v>High price, high volume</v>
      </c>
      <c r="H161" s="17" t="str">
        <f aca="false">IF(Q161="No","IV only (no ID, IM or SC route)",IF(AND(AE161&gt;0,AF161=0),"Price ≤ USD 5",""))</f>
        <v/>
      </c>
      <c r="I161" s="18" t="n">
        <f aca="false">IF(AF161&gt;0,ROUND(AVERAGEIFS('Shortlisted Drugs X Company (7)'!$N$3:$N$698,'Shortlisted Drugs X Company (7)'!$C$3:$C$698,$B161,'Shortlisted Drugs X Company (7)'!$E$3:$E$698,$AA161,'Shortlisted Drugs X Company (7)'!$N$3:$N$698,"&gt;5"),2),"")</f>
        <v>360.71</v>
      </c>
      <c r="J161" s="17" t="str">
        <f aca="false">IF(COUNTIFS('Shortlisted Drugs X Company (7)'!$C$3:$C$698,$B161,'Shortlisted Drugs X Company (7)'!$E$3:$E$698,$AA161,'Shortlisted Drugs X Company (7)'!$P$3:$P$698,"Exact")&gt;0,"Exact",IF(COUNTIFS('Shortlisted Drugs X Company (7)'!$C$3:$C$698,$B161,'Shortlisted Drugs X Company (7)'!$E$3:$E$698,$AA161,'Shortlisted Drugs X Company (7)'!$P$3:$P$698,"Same-market proxy")&gt;0,"Same-market proxy",IF(COUNTIFS('Shortlisted Drugs X Company (7)'!$C$3:$C$698,$B161,'Shortlisted Drugs X Company (7)'!$E$3:$E$698,$AA161,'Shortlisted Drugs X Company (7)'!$P$3:$P$698,"Cross-market proxy")&gt;0,"Cross-market proxy",IF(COUNTIFS('Shortlisted Drugs X Company (7)'!$C$3:$C$698,$B161,'Shortlisted Drugs X Company (7)'!$E$3:$E$698,$AA161,'Shortlisted Drugs X Company (7)'!$P$3:$P$698,"Source not found")&gt;0,"Source not found","No price found"))))</f>
        <v>Same-market proxy</v>
      </c>
      <c r="K161" s="19" t="n">
        <f aca="false">IFERROR(INDEX('Injectable Value'!$AB$28:$AB$178,MATCH(B161,'Injectable Value'!$A$28:$A$178,0)),"")</f>
        <v>762</v>
      </c>
      <c r="L161" s="77" t="n">
        <f aca="false">IFERROR(INDEX('Injectable Value'!$Z$28:$Z$178,MATCH(B161,'Injectable Value'!$A$28:$A$178,0)),"")</f>
        <v>0.829278792417718</v>
      </c>
      <c r="M161" s="19" t="n">
        <f aca="false">IFERROR(INDEX('Injectable Value'!$AC$28:$AC$178,MATCH(B161,'Injectable Value'!$A$28:$A$178,0)),"")</f>
        <v>632</v>
      </c>
      <c r="N161" s="19" t="n">
        <f aca="false">IFERROR(INDEX('Injectable Value'!$C$28:$C$178,MATCH(B161,'Injectable Value'!$A$28:$A$178,0)),"")</f>
        <v>50865.56</v>
      </c>
      <c r="O161" s="19" t="n">
        <f aca="false">IFERROR(ROUND(INDEX('Injectable Value'!$AA$28:$AA$178,MATCH(B161,'Injectable Value'!$A$28:$A$178,0)),1),"")</f>
        <v>42181.7</v>
      </c>
      <c r="P161" s="16" t="str">
        <f aca="false">IFERROR(INDEX('Route of Administration'!$C$5:$C$155,MATCH(B161,'Route of Administration'!$A$5:$A$155,0)),"")</f>
        <v>IV, SC</v>
      </c>
      <c r="Q161" s="15" t="str">
        <f aca="false">IFERROR(INDEX('Route of Administration'!$D$5:$D$155,MATCH(B161,'Route of Administration'!$A$5:$A$155,0)),"")</f>
        <v>Yes</v>
      </c>
      <c r="R161" s="16" t="s">
        <v>281</v>
      </c>
      <c r="S161" s="17" t="s">
        <v>869</v>
      </c>
      <c r="T161" s="16" t="s">
        <v>333</v>
      </c>
      <c r="U161" s="17" t="str">
        <f aca="false">"Cancer drug (cytotoxic) – less relevant; Reconstitution"&amp;IF(AE161=0,"; No price found","")&amp;IF(AND(AE161&gt;0,AF161=0,AG161=0),"; Low price comes from another market – confirm with the company","")</f>
        <v>Cancer drug (cytotoxic) – less relevant; Reconstitution</v>
      </c>
      <c r="V161" s="17" t="s">
        <v>772</v>
      </c>
      <c r="W161" s="15" t="n">
        <v>2</v>
      </c>
      <c r="X161" s="17" t="s">
        <v>772</v>
      </c>
      <c r="Y161" s="17" t="s">
        <v>772</v>
      </c>
      <c r="Z161" s="17" t="s">
        <v>286</v>
      </c>
      <c r="AA161" s="16" t="s">
        <v>870</v>
      </c>
      <c r="AB161" s="78" t="s">
        <v>337</v>
      </c>
      <c r="AC161" s="20" t="n">
        <f aca="false">IF(AE161&gt;0,ROUND(AVERAGEIFS('Shortlisted Drugs X Company (7)'!$N$3:$N$698,'Shortlisted Drugs X Company (7)'!$C$3:$C$698,$B161,'Shortlisted Drugs X Company (7)'!$E$3:$E$698,$AA161,'Shortlisted Drugs X Company (7)'!$N$3:$N$698,"&gt;=0"),2),"")</f>
        <v>360.71</v>
      </c>
      <c r="AD161" s="79" t="str">
        <f aca="false">B161&amp;"|"&amp;AA161</f>
        <v>Azacitidine|Hetero Labs</v>
      </c>
      <c r="AE161" s="22" t="n">
        <f aca="false">COUNTIFS('Shortlisted Drugs X Company (7)'!$C$3:$C$698,$B161,'Shortlisted Drugs X Company (7)'!$E$3:$E$698,$AA161,'Shortlisted Drugs X Company (7)'!$N$3:$N$698,"&gt;=0")</f>
        <v>1</v>
      </c>
      <c r="AF161" s="22" t="n">
        <f aca="false">COUNTIFS('Shortlisted Drugs X Company (7)'!$C$3:$C$698,$B161,'Shortlisted Drugs X Company (7)'!$E$3:$E$698,$AA161,'Shortlisted Drugs X Company (7)'!$N$3:$N$698,"&gt;5")</f>
        <v>1</v>
      </c>
      <c r="AG161" s="22" t="n">
        <f aca="false">COUNTIFS('Shortlisted Drugs X Company (7)'!$C$3:$C$698,$B161,'Shortlisted Drugs X Company (7)'!$E$3:$E$698,$AA161,'Shortlisted Drugs X Company (7)'!$P$3:$P$698,"Exact")+COUNTIFS('Shortlisted Drugs X Company (7)'!$C$3:$C$698,$B161,'Shortlisted Drugs X Company (7)'!$E$3:$E$698,$AA161,'Shortlisted Drugs X Company (7)'!$P$3:$P$698,"Same-market proxy")</f>
        <v>1</v>
      </c>
      <c r="AH161" s="22" t="n">
        <f aca="false">INDEX($G$7:$G$25,MATCH(A161,$A$7:$A$25,0))</f>
        <v>8</v>
      </c>
      <c r="AI161" s="79" t="n">
        <f aca="false">IF(OR(Q161="No",LEFT(H161,7)="IV only"),"",AH161*1000+IF(F161="",900+COUNTIFS($A$29:A161,A161,$H$29:H161,"Price*"),F161))</f>
        <v>8001</v>
      </c>
      <c r="AJ161" s="79" t="n">
        <f aca="false">IF(H161&lt;&gt;"","",(4-VALUE(RIGHT(E161,1)))*10^7+N(O161))</f>
        <v>30042181.7</v>
      </c>
      <c r="AK161" s="20" t="n">
        <f aca="false">IF(AND(H161="",ISNUMBER(I161)),I161,"")</f>
        <v>360.71</v>
      </c>
      <c r="AL161" s="21" t="n">
        <f aca="false">IF(H161="",M161,"")</f>
        <v>632</v>
      </c>
    </row>
    <row r="162" customFormat="false" ht="41.75" hidden="false" customHeight="false" outlineLevel="0" collapsed="false">
      <c r="A162" s="16" t="s">
        <v>234</v>
      </c>
      <c r="B162" s="16" t="s">
        <v>338</v>
      </c>
      <c r="C162" s="17" t="s">
        <v>871</v>
      </c>
      <c r="D162" s="17" t="s">
        <v>340</v>
      </c>
      <c r="E162" s="15" t="str">
        <f aca="false">IF(H162&lt;&gt;"",IF(LEFT(H162,5)="Price","Excluded – price ≤ USD 5","Excluded – IV only"),IF(ISNUMBER(I162),IF(AND(I162&gt;=$C$3,M162&gt;=$E$3),"Priority 1",IF(OR(I162&gt;=$C$3,M162&gt;=$E$3),"Priority 2","Priority 3")),IF(M162&gt;=$E$3,"Priority 2","Priority 3")))</f>
        <v>Priority 1</v>
      </c>
      <c r="F162" s="15" t="n">
        <f aca="false">IF(H162&lt;&gt;"","",COUNTIFS($A$29:$A$361,A162,$H$29:$H$361,"",$AJ$29:$AJ$361,"&gt;"&amp;AJ162)+COUNTIFS($A$29:A162,A162,$H$29:H162,"",$AJ$29:AJ162,AJ162))</f>
        <v>2</v>
      </c>
      <c r="G162" s="17" t="str">
        <f aca="false">IF(H162&lt;&gt;"","",IF(ISNUMBER(I162),IF(I162&gt;=$C$3,"High price","Lower price"),"No price")&amp;", "&amp;IF(M162&gt;=$E$3,"high volume","lower volume"))</f>
        <v>High price, high volume</v>
      </c>
      <c r="H162" s="17" t="str">
        <f aca="false">IF(Q162="No","IV only (no ID, IM or SC route)",IF(AND(AE162&gt;0,AF162=0),"Price ≤ USD 5",""))</f>
        <v/>
      </c>
      <c r="I162" s="18" t="n">
        <f aca="false">IF(AF162&gt;0,ROUND(AVERAGEIFS('Shortlisted Drugs X Company (7)'!$N$3:$N$698,'Shortlisted Drugs X Company (7)'!$C$3:$C$698,$B162,'Shortlisted Drugs X Company (7)'!$E$3:$E$698,$AA162,'Shortlisted Drugs X Company (7)'!$N$3:$N$698,"&gt;5"),2),"")</f>
        <v>295.75</v>
      </c>
      <c r="J162" s="17" t="str">
        <f aca="false">IF(COUNTIFS('Shortlisted Drugs X Company (7)'!$C$3:$C$698,$B162,'Shortlisted Drugs X Company (7)'!$E$3:$E$698,$AA162,'Shortlisted Drugs X Company (7)'!$P$3:$P$698,"Exact")&gt;0,"Exact",IF(COUNTIFS('Shortlisted Drugs X Company (7)'!$C$3:$C$698,$B162,'Shortlisted Drugs X Company (7)'!$E$3:$E$698,$AA162,'Shortlisted Drugs X Company (7)'!$P$3:$P$698,"Same-market proxy")&gt;0,"Same-market proxy",IF(COUNTIFS('Shortlisted Drugs X Company (7)'!$C$3:$C$698,$B162,'Shortlisted Drugs X Company (7)'!$E$3:$E$698,$AA162,'Shortlisted Drugs X Company (7)'!$P$3:$P$698,"Cross-market proxy")&gt;0,"Cross-market proxy",IF(COUNTIFS('Shortlisted Drugs X Company (7)'!$C$3:$C$698,$B162,'Shortlisted Drugs X Company (7)'!$E$3:$E$698,$AA162,'Shortlisted Drugs X Company (7)'!$P$3:$P$698,"Source not found")&gt;0,"Source not found","No price found"))))</f>
        <v>Exact</v>
      </c>
      <c r="K162" s="19" t="n">
        <f aca="false">IFERROR(INDEX('Injectable Value'!$AB$28:$AB$178,MATCH(B162,'Injectable Value'!$A$28:$A$178,0)),"")</f>
        <v>905</v>
      </c>
      <c r="L162" s="77" t="n">
        <f aca="false">IFERROR(INDEX('Injectable Value'!$Z$28:$Z$178,MATCH(B162,'Injectable Value'!$A$28:$A$178,0)),"")</f>
        <v>1</v>
      </c>
      <c r="M162" s="19" t="n">
        <f aca="false">IFERROR(INDEX('Injectable Value'!$AC$28:$AC$178,MATCH(B162,'Injectable Value'!$A$28:$A$178,0)),"")</f>
        <v>905</v>
      </c>
      <c r="N162" s="19" t="n">
        <f aca="false">IFERROR(INDEX('Injectable Value'!$C$28:$C$178,MATCH(B162,'Injectable Value'!$A$28:$A$178,0)),"")</f>
        <v>28093.38</v>
      </c>
      <c r="O162" s="19" t="n">
        <f aca="false">IFERROR(ROUND(INDEX('Injectable Value'!$AA$28:$AA$178,MATCH(B162,'Injectable Value'!$A$28:$A$178,0)),1),"")</f>
        <v>28093.4</v>
      </c>
      <c r="P162" s="16" t="str">
        <f aca="false">IFERROR(INDEX('Route of Administration'!$C$5:$C$155,MATCH(B162,'Route of Administration'!$A$5:$A$155,0)),"")</f>
        <v>IV, SC</v>
      </c>
      <c r="Q162" s="15" t="str">
        <f aca="false">IFERROR(INDEX('Route of Administration'!$D$5:$D$155,MATCH(B162,'Route of Administration'!$A$5:$A$155,0)),"")</f>
        <v>Yes</v>
      </c>
      <c r="R162" s="16" t="s">
        <v>281</v>
      </c>
      <c r="S162" s="17" t="s">
        <v>872</v>
      </c>
      <c r="T162" s="16" t="s">
        <v>283</v>
      </c>
      <c r="U162" s="17" t="str">
        <f aca="false">"Cancer drug (cytotoxic) – less relevant; Reconstitution"&amp;IF(AE162=0,"; No price found","")&amp;IF(AND(AE162&gt;0,AF162=0,AG162=0),"; Low price comes from another market – confirm with the company","")</f>
        <v>Cancer drug (cytotoxic) – less relevant; Reconstitution</v>
      </c>
      <c r="V162" s="17" t="s">
        <v>859</v>
      </c>
      <c r="W162" s="15" t="n">
        <v>8</v>
      </c>
      <c r="X162" s="17" t="s">
        <v>873</v>
      </c>
      <c r="Y162" s="17" t="s">
        <v>873</v>
      </c>
      <c r="Z162" s="17" t="s">
        <v>286</v>
      </c>
      <c r="AA162" s="16" t="s">
        <v>870</v>
      </c>
      <c r="AB162" s="78" t="s">
        <v>345</v>
      </c>
      <c r="AC162" s="20" t="n">
        <f aca="false">IF(AE162&gt;0,ROUND(AVERAGEIFS('Shortlisted Drugs X Company (7)'!$N$3:$N$698,'Shortlisted Drugs X Company (7)'!$C$3:$C$698,$B162,'Shortlisted Drugs X Company (7)'!$E$3:$E$698,$AA162,'Shortlisted Drugs X Company (7)'!$N$3:$N$698,"&gt;=0"),2),"")</f>
        <v>295.75</v>
      </c>
      <c r="AD162" s="79" t="str">
        <f aca="false">B162&amp;"|"&amp;AA162</f>
        <v>Bortezomib|Hetero Labs</v>
      </c>
      <c r="AE162" s="22" t="n">
        <f aca="false">COUNTIFS('Shortlisted Drugs X Company (7)'!$C$3:$C$698,$B162,'Shortlisted Drugs X Company (7)'!$E$3:$E$698,$AA162,'Shortlisted Drugs X Company (7)'!$N$3:$N$698,"&gt;=0")</f>
        <v>7</v>
      </c>
      <c r="AF162" s="22" t="n">
        <f aca="false">COUNTIFS('Shortlisted Drugs X Company (7)'!$C$3:$C$698,$B162,'Shortlisted Drugs X Company (7)'!$E$3:$E$698,$AA162,'Shortlisted Drugs X Company (7)'!$N$3:$N$698,"&gt;5")</f>
        <v>7</v>
      </c>
      <c r="AG162" s="22" t="n">
        <f aca="false">COUNTIFS('Shortlisted Drugs X Company (7)'!$C$3:$C$698,$B162,'Shortlisted Drugs X Company (7)'!$E$3:$E$698,$AA162,'Shortlisted Drugs X Company (7)'!$P$3:$P$698,"Exact")+COUNTIFS('Shortlisted Drugs X Company (7)'!$C$3:$C$698,$B162,'Shortlisted Drugs X Company (7)'!$E$3:$E$698,$AA162,'Shortlisted Drugs X Company (7)'!$P$3:$P$698,"Same-market proxy")</f>
        <v>6</v>
      </c>
      <c r="AH162" s="22" t="n">
        <f aca="false">INDEX($G$7:$G$25,MATCH(A162,$A$7:$A$25,0))</f>
        <v>8</v>
      </c>
      <c r="AI162" s="79" t="n">
        <f aca="false">IF(OR(Q162="No",LEFT(H162,7)="IV only"),"",AH162*1000+IF(F162="",900+COUNTIFS($A$29:A162,A162,$H$29:H162,"Price*"),F162))</f>
        <v>8002</v>
      </c>
      <c r="AJ162" s="79" t="n">
        <f aca="false">IF(H162&lt;&gt;"","",(4-VALUE(RIGHT(E162,1)))*10^7+N(O162))</f>
        <v>30028093.4</v>
      </c>
      <c r="AK162" s="20" t="n">
        <f aca="false">IF(AND(H162="",ISNUMBER(I162)),I162,"")</f>
        <v>295.75</v>
      </c>
      <c r="AL162" s="21" t="n">
        <f aca="false">IF(H162="",M162,"")</f>
        <v>905</v>
      </c>
    </row>
    <row r="163" customFormat="false" ht="28.35" hidden="false" customHeight="false" outlineLevel="0" collapsed="false">
      <c r="A163" s="16" t="s">
        <v>234</v>
      </c>
      <c r="B163" s="16" t="s">
        <v>874</v>
      </c>
      <c r="C163" s="17" t="s">
        <v>875</v>
      </c>
      <c r="D163" s="17" t="s">
        <v>876</v>
      </c>
      <c r="E163" s="15" t="str">
        <f aca="false">IF(H163&lt;&gt;"",IF(LEFT(H163,5)="Price","Excluded – price ≤ USD 5","Excluded – IV only"),IF(ISNUMBER(I163),IF(AND(I163&gt;=$C$3,M163&gt;=$E$3),"Priority 1",IF(OR(I163&gt;=$C$3,M163&gt;=$E$3),"Priority 2","Priority 3")),IF(M163&gt;=$E$3,"Priority 2","Priority 3")))</f>
        <v>Excluded – IV only</v>
      </c>
      <c r="F163" s="15" t="str">
        <f aca="false">IF(H163&lt;&gt;"","",COUNTIFS($A$29:$A$361,A163,$H$29:$H$361,"",$AJ$29:$AJ$361,"&gt;"&amp;AJ163)+COUNTIFS($A$29:A163,A163,$H$29:H163,"",$AJ$29:AJ163,AJ163))</f>
        <v/>
      </c>
      <c r="G163" s="17" t="str">
        <f aca="false">IF(H163&lt;&gt;"","",IF(ISNUMBER(I163),IF(I163&gt;=$C$3,"High price","Lower price"),"No price")&amp;", "&amp;IF(M163&gt;=$E$3,"high volume","lower volume"))</f>
        <v/>
      </c>
      <c r="H163" s="17" t="str">
        <f aca="false">IF(Q163="No","IV only (no ID, IM or SC route)",IF(AND(AE163&gt;0,AF163=0),"Price ≤ USD 5",""))</f>
        <v>IV only (no ID, IM or SC route)</v>
      </c>
      <c r="I163" s="18" t="n">
        <f aca="false">IF(AF163&gt;0,ROUND(AVERAGEIFS('Shortlisted Drugs X Company (7)'!$N$3:$N$698,'Shortlisted Drugs X Company (7)'!$C$3:$C$698,$B163,'Shortlisted Drugs X Company (7)'!$E$3:$E$698,$AA163,'Shortlisted Drugs X Company (7)'!$N$3:$N$698,"&gt;5"),2),"")</f>
        <v>38.92</v>
      </c>
      <c r="J163" s="17" t="str">
        <f aca="false">IF(COUNTIFS('Shortlisted Drugs X Company (7)'!$C$3:$C$698,$B163,'Shortlisted Drugs X Company (7)'!$E$3:$E$698,$AA163,'Shortlisted Drugs X Company (7)'!$P$3:$P$698,"Exact")&gt;0,"Exact",IF(COUNTIFS('Shortlisted Drugs X Company (7)'!$C$3:$C$698,$B163,'Shortlisted Drugs X Company (7)'!$E$3:$E$698,$AA163,'Shortlisted Drugs X Company (7)'!$P$3:$P$698,"Same-market proxy")&gt;0,"Same-market proxy",IF(COUNTIFS('Shortlisted Drugs X Company (7)'!$C$3:$C$698,$B163,'Shortlisted Drugs X Company (7)'!$E$3:$E$698,$AA163,'Shortlisted Drugs X Company (7)'!$P$3:$P$698,"Cross-market proxy")&gt;0,"Cross-market proxy",IF(COUNTIFS('Shortlisted Drugs X Company (7)'!$C$3:$C$698,$B163,'Shortlisted Drugs X Company (7)'!$E$3:$E$698,$AA163,'Shortlisted Drugs X Company (7)'!$P$3:$P$698,"Source not found")&gt;0,"Source not found","No price found"))))</f>
        <v>Same-market proxy</v>
      </c>
      <c r="K163" s="19" t="n">
        <f aca="false">IFERROR(INDEX('Injectable Value'!$AB$28:$AB$178,MATCH(B163,'Injectable Value'!$A$28:$A$178,0)),"")</f>
        <v>45</v>
      </c>
      <c r="L163" s="77" t="n">
        <f aca="false">IFERROR(INDEX('Injectable Value'!$Z$28:$Z$178,MATCH(B163,'Injectable Value'!$A$28:$A$178,0)),"")</f>
        <v>0.0828659263441872</v>
      </c>
      <c r="M163" s="19" t="n">
        <f aca="false">IFERROR(INDEX('Injectable Value'!$AC$28:$AC$178,MATCH(B163,'Injectable Value'!$A$28:$A$178,0)),"")</f>
        <v>4</v>
      </c>
      <c r="N163" s="19" t="n">
        <f aca="false">IFERROR(INDEX('Injectable Value'!$C$28:$C$178,MATCH(B163,'Injectable Value'!$A$28:$A$178,0)),"")</f>
        <v>263.65</v>
      </c>
      <c r="O163" s="19" t="n">
        <f aca="false">IFERROR(ROUND(INDEX('Injectable Value'!$AA$28:$AA$178,MATCH(B163,'Injectable Value'!$A$28:$A$178,0)),1),"")</f>
        <v>21.8</v>
      </c>
      <c r="P163" s="16" t="str">
        <f aca="false">IFERROR(INDEX('Route of Administration'!$C$5:$C$155,MATCH(B163,'Route of Administration'!$A$5:$A$155,0)),"")</f>
        <v>IV</v>
      </c>
      <c r="Q163" s="15" t="str">
        <f aca="false">IFERROR(INDEX('Route of Administration'!$D$5:$D$155,MATCH(B163,'Route of Administration'!$A$5:$A$155,0)),"")</f>
        <v>No</v>
      </c>
      <c r="R163" s="16" t="s">
        <v>281</v>
      </c>
      <c r="S163" s="17" t="s">
        <v>877</v>
      </c>
      <c r="T163" s="16" t="s">
        <v>283</v>
      </c>
      <c r="U163" s="17" t="str">
        <f aca="false">""&amp;IF(AE163=0,"No price found","")&amp;IF(AND(AE163&gt;0,AF163=0,AG163=0),"Low price comes from another market – confirm with the company","")</f>
        <v/>
      </c>
      <c r="V163" s="17" t="s">
        <v>865</v>
      </c>
      <c r="W163" s="15" t="n">
        <v>5</v>
      </c>
      <c r="X163" s="17" t="s">
        <v>878</v>
      </c>
      <c r="Y163" s="17" t="s">
        <v>878</v>
      </c>
      <c r="Z163" s="17" t="s">
        <v>286</v>
      </c>
      <c r="AA163" s="16" t="s">
        <v>870</v>
      </c>
      <c r="AB163" s="78" t="s">
        <v>879</v>
      </c>
      <c r="AC163" s="20" t="n">
        <f aca="false">IF(AE163&gt;0,ROUND(AVERAGEIFS('Shortlisted Drugs X Company (7)'!$N$3:$N$698,'Shortlisted Drugs X Company (7)'!$C$3:$C$698,$B163,'Shortlisted Drugs X Company (7)'!$E$3:$E$698,$AA163,'Shortlisted Drugs X Company (7)'!$N$3:$N$698,"&gt;=0"),2),"")</f>
        <v>38.92</v>
      </c>
      <c r="AD163" s="79" t="str">
        <f aca="false">B163&amp;"|"&amp;AA163</f>
        <v>Brivaracetam|Hetero Labs</v>
      </c>
      <c r="AE163" s="22" t="n">
        <f aca="false">COUNTIFS('Shortlisted Drugs X Company (7)'!$C$3:$C$698,$B163,'Shortlisted Drugs X Company (7)'!$E$3:$E$698,$AA163,'Shortlisted Drugs X Company (7)'!$N$3:$N$698,"&gt;=0")</f>
        <v>2</v>
      </c>
      <c r="AF163" s="22" t="n">
        <f aca="false">COUNTIFS('Shortlisted Drugs X Company (7)'!$C$3:$C$698,$B163,'Shortlisted Drugs X Company (7)'!$E$3:$E$698,$AA163,'Shortlisted Drugs X Company (7)'!$N$3:$N$698,"&gt;5")</f>
        <v>2</v>
      </c>
      <c r="AG163" s="22" t="n">
        <f aca="false">COUNTIFS('Shortlisted Drugs X Company (7)'!$C$3:$C$698,$B163,'Shortlisted Drugs X Company (7)'!$E$3:$E$698,$AA163,'Shortlisted Drugs X Company (7)'!$P$3:$P$698,"Exact")+COUNTIFS('Shortlisted Drugs X Company (7)'!$C$3:$C$698,$B163,'Shortlisted Drugs X Company (7)'!$E$3:$E$698,$AA163,'Shortlisted Drugs X Company (7)'!$P$3:$P$698,"Same-market proxy")</f>
        <v>1</v>
      </c>
      <c r="AH163" s="22" t="n">
        <f aca="false">INDEX($G$7:$G$25,MATCH(A163,$A$7:$A$25,0))</f>
        <v>8</v>
      </c>
      <c r="AI163" s="79" t="str">
        <f aca="false">IF(OR(Q163="No",LEFT(H163,7)="IV only"),"",AH163*1000+IF(F163="",900+COUNTIFS($A$29:A163,A163,$H$29:H163,"Price*"),F163))</f>
        <v/>
      </c>
      <c r="AJ163" s="79" t="str">
        <f aca="false">IF(H163&lt;&gt;"","",(4-VALUE(RIGHT(E163,1)))*10^7+N(O163))</f>
        <v/>
      </c>
      <c r="AK163" s="79" t="str">
        <f aca="false">IF(AND(H163="",ISNUMBER(I163)),I163,"")</f>
        <v/>
      </c>
      <c r="AL163" s="79" t="str">
        <f aca="false">IF(H163="",M163,"")</f>
        <v/>
      </c>
    </row>
    <row r="164" customFormat="false" ht="41.75" hidden="false" customHeight="false" outlineLevel="0" collapsed="false">
      <c r="A164" s="16" t="s">
        <v>234</v>
      </c>
      <c r="B164" s="16" t="s">
        <v>375</v>
      </c>
      <c r="C164" s="17" t="s">
        <v>376</v>
      </c>
      <c r="D164" s="17" t="s">
        <v>377</v>
      </c>
      <c r="E164" s="15" t="str">
        <f aca="false">IF(H164&lt;&gt;"",IF(LEFT(H164,5)="Price","Excluded – price ≤ USD 5","Excluded – IV only"),IF(ISNUMBER(I164),IF(AND(I164&gt;=$C$3,M164&gt;=$E$3),"Priority 1",IF(OR(I164&gt;=$C$3,M164&gt;=$E$3),"Priority 2","Priority 3")),IF(M164&gt;=$E$3,"Priority 2","Priority 3")))</f>
        <v>Priority 3</v>
      </c>
      <c r="F164" s="15" t="n">
        <f aca="false">IF(H164&lt;&gt;"","",COUNTIFS($A$29:$A$361,A164,$H$29:$H$361,"",$AJ$29:$AJ$361,"&gt;"&amp;AJ164)+COUNTIFS($A$29:A164,A164,$H$29:H164,"",$AJ$29:AJ164,AJ164))</f>
        <v>10</v>
      </c>
      <c r="G164" s="17" t="str">
        <f aca="false">IF(H164&lt;&gt;"","",IF(ISNUMBER(I164),IF(I164&gt;=$C$3,"High price","Lower price"),"No price")&amp;", "&amp;IF(M164&gt;=$E$3,"high volume","lower volume"))</f>
        <v>Lower price, lower volume</v>
      </c>
      <c r="H164" s="17" t="str">
        <f aca="false">IF(Q164="No","IV only (no ID, IM or SC route)",IF(AND(AE164&gt;0,AF164=0),"Price ≤ USD 5",""))</f>
        <v/>
      </c>
      <c r="I164" s="18" t="n">
        <f aca="false">IF(AF164&gt;0,ROUND(AVERAGEIFS('Shortlisted Drugs X Company (7)'!$N$3:$N$698,'Shortlisted Drugs X Company (7)'!$C$3:$C$698,$B164,'Shortlisted Drugs X Company (7)'!$E$3:$E$698,$AA164,'Shortlisted Drugs X Company (7)'!$N$3:$N$698,"&gt;5"),2),"")</f>
        <v>14.96</v>
      </c>
      <c r="J164" s="17" t="str">
        <f aca="false">IF(COUNTIFS('Shortlisted Drugs X Company (7)'!$C$3:$C$698,$B164,'Shortlisted Drugs X Company (7)'!$E$3:$E$698,$AA164,'Shortlisted Drugs X Company (7)'!$P$3:$P$698,"Exact")&gt;0,"Exact",IF(COUNTIFS('Shortlisted Drugs X Company (7)'!$C$3:$C$698,$B164,'Shortlisted Drugs X Company (7)'!$E$3:$E$698,$AA164,'Shortlisted Drugs X Company (7)'!$P$3:$P$698,"Same-market proxy")&gt;0,"Same-market proxy",IF(COUNTIFS('Shortlisted Drugs X Company (7)'!$C$3:$C$698,$B164,'Shortlisted Drugs X Company (7)'!$E$3:$E$698,$AA164,'Shortlisted Drugs X Company (7)'!$P$3:$P$698,"Cross-market proxy")&gt;0,"Cross-market proxy",IF(COUNTIFS('Shortlisted Drugs X Company (7)'!$C$3:$C$698,$B164,'Shortlisted Drugs X Company (7)'!$E$3:$E$698,$AA164,'Shortlisted Drugs X Company (7)'!$P$3:$P$698,"Source not found")&gt;0,"Source not found","No price found"))))</f>
        <v>Same-market proxy</v>
      </c>
      <c r="K164" s="19" t="n">
        <f aca="false">IFERROR(INDEX('Injectable Value'!$AB$28:$AB$178,MATCH(B164,'Injectable Value'!$A$28:$A$178,0)),"")</f>
        <v>472</v>
      </c>
      <c r="L164" s="77" t="n">
        <f aca="false">IFERROR(INDEX('Injectable Value'!$Z$28:$Z$178,MATCH(B164,'Injectable Value'!$A$28:$A$178,0)),"")</f>
        <v>0.1734375</v>
      </c>
      <c r="M164" s="19" t="n">
        <f aca="false">IFERROR(INDEX('Injectable Value'!$AC$28:$AC$178,MATCH(B164,'Injectable Value'!$A$28:$A$178,0)),"")</f>
        <v>82</v>
      </c>
      <c r="N164" s="19" t="n">
        <f aca="false">IFERROR(INDEX('Injectable Value'!$C$28:$C$178,MATCH(B164,'Injectable Value'!$A$28:$A$178,0)),"")</f>
        <v>7831.08</v>
      </c>
      <c r="O164" s="19" t="n">
        <f aca="false">IFERROR(ROUND(INDEX('Injectable Value'!$AA$28:$AA$178,MATCH(B164,'Injectable Value'!$A$28:$A$178,0)),1),"")</f>
        <v>1358.2</v>
      </c>
      <c r="P164" s="16" t="str">
        <f aca="false">IFERROR(INDEX('Route of Administration'!$C$5:$C$155,MATCH(B164,'Route of Administration'!$A$5:$A$155,0)),"")</f>
        <v>IM</v>
      </c>
      <c r="Q164" s="15" t="str">
        <f aca="false">IFERROR(INDEX('Route of Administration'!$D$5:$D$155,MATCH(B164,'Route of Administration'!$A$5:$A$155,0)),"")</f>
        <v>Yes</v>
      </c>
      <c r="R164" s="16" t="s">
        <v>281</v>
      </c>
      <c r="S164" s="17" t="s">
        <v>880</v>
      </c>
      <c r="T164" s="16" t="s">
        <v>283</v>
      </c>
      <c r="U164" s="17" t="str">
        <f aca="false">""&amp;IF(AE164=0,"No price found","")&amp;IF(AND(AE164&gt;0,AF164=0,AG164=0),"Low price comes from another market – confirm with the company","")</f>
        <v/>
      </c>
      <c r="V164" s="17" t="s">
        <v>284</v>
      </c>
      <c r="W164" s="15" t="n">
        <v>1</v>
      </c>
      <c r="X164" s="17" t="s">
        <v>284</v>
      </c>
      <c r="Y164" s="17" t="s">
        <v>284</v>
      </c>
      <c r="Z164" s="17" t="s">
        <v>286</v>
      </c>
      <c r="AA164" s="16" t="s">
        <v>870</v>
      </c>
      <c r="AB164" s="78" t="s">
        <v>379</v>
      </c>
      <c r="AC164" s="20" t="n">
        <f aca="false">IF(AE164&gt;0,ROUND(AVERAGEIFS('Shortlisted Drugs X Company (7)'!$N$3:$N$698,'Shortlisted Drugs X Company (7)'!$C$3:$C$698,$B164,'Shortlisted Drugs X Company (7)'!$E$3:$E$698,$AA164,'Shortlisted Drugs X Company (7)'!$N$3:$N$698,"&gt;=0"),2),"")</f>
        <v>14.96</v>
      </c>
      <c r="AD164" s="79" t="str">
        <f aca="false">B164&amp;"|"&amp;AA164</f>
        <v>Chlorpromazine|Hetero Labs</v>
      </c>
      <c r="AE164" s="22" t="n">
        <f aca="false">COUNTIFS('Shortlisted Drugs X Company (7)'!$C$3:$C$698,$B164,'Shortlisted Drugs X Company (7)'!$E$3:$E$698,$AA164,'Shortlisted Drugs X Company (7)'!$N$3:$N$698,"&gt;=0")</f>
        <v>1</v>
      </c>
      <c r="AF164" s="22" t="n">
        <f aca="false">COUNTIFS('Shortlisted Drugs X Company (7)'!$C$3:$C$698,$B164,'Shortlisted Drugs X Company (7)'!$E$3:$E$698,$AA164,'Shortlisted Drugs X Company (7)'!$N$3:$N$698,"&gt;5")</f>
        <v>1</v>
      </c>
      <c r="AG164" s="22" t="n">
        <f aca="false">COUNTIFS('Shortlisted Drugs X Company (7)'!$C$3:$C$698,$B164,'Shortlisted Drugs X Company (7)'!$E$3:$E$698,$AA164,'Shortlisted Drugs X Company (7)'!$P$3:$P$698,"Exact")+COUNTIFS('Shortlisted Drugs X Company (7)'!$C$3:$C$698,$B164,'Shortlisted Drugs X Company (7)'!$E$3:$E$698,$AA164,'Shortlisted Drugs X Company (7)'!$P$3:$P$698,"Same-market proxy")</f>
        <v>1</v>
      </c>
      <c r="AH164" s="22" t="n">
        <f aca="false">INDEX($G$7:$G$25,MATCH(A164,$A$7:$A$25,0))</f>
        <v>8</v>
      </c>
      <c r="AI164" s="79" t="n">
        <f aca="false">IF(OR(Q164="No",LEFT(H164,7)="IV only"),"",AH164*1000+IF(F164="",900+COUNTIFS($A$29:A164,A164,$H$29:H164,"Price*"),F164))</f>
        <v>8010</v>
      </c>
      <c r="AJ164" s="79" t="n">
        <f aca="false">IF(H164&lt;&gt;"","",(4-VALUE(RIGHT(E164,1)))*10^7+N(O164))</f>
        <v>10001358.2</v>
      </c>
      <c r="AK164" s="20" t="n">
        <f aca="false">IF(AND(H164="",ISNUMBER(I164)),I164,"")</f>
        <v>14.96</v>
      </c>
      <c r="AL164" s="21" t="n">
        <f aca="false">IF(H164="",M164,"")</f>
        <v>82</v>
      </c>
    </row>
    <row r="165" customFormat="false" ht="28.35" hidden="false" customHeight="false" outlineLevel="0" collapsed="false">
      <c r="A165" s="16" t="s">
        <v>234</v>
      </c>
      <c r="B165" s="16" t="s">
        <v>881</v>
      </c>
      <c r="C165" s="17" t="s">
        <v>881</v>
      </c>
      <c r="D165" s="17" t="s">
        <v>882</v>
      </c>
      <c r="E165" s="15" t="str">
        <f aca="false">IF(H165&lt;&gt;"",IF(LEFT(H165,5)="Price","Excluded – price ≤ USD 5","Excluded – IV only"),IF(ISNUMBER(I165),IF(AND(I165&gt;=$C$3,M165&gt;=$E$3),"Priority 1",IF(OR(I165&gt;=$C$3,M165&gt;=$E$3),"Priority 2","Priority 3")),IF(M165&gt;=$E$3,"Priority 2","Priority 3")))</f>
        <v>Excluded – price ≤ USD 5</v>
      </c>
      <c r="F165" s="15" t="str">
        <f aca="false">IF(H165&lt;&gt;"","",COUNTIFS($A$29:$A$361,A165,$H$29:$H$361,"",$AJ$29:$AJ$361,"&gt;"&amp;AJ165)+COUNTIFS($A$29:A165,A165,$H$29:H165,"",$AJ$29:AJ165,AJ165))</f>
        <v/>
      </c>
      <c r="G165" s="17" t="str">
        <f aca="false">IF(H165&lt;&gt;"","",IF(ISNUMBER(I165),IF(I165&gt;=$C$3,"High price","Lower price"),"No price")&amp;", "&amp;IF(M165&gt;=$E$3,"high volume","lower volume"))</f>
        <v/>
      </c>
      <c r="H165" s="17" t="str">
        <f aca="false">IF(Q165="No","IV only (no ID, IM or SC route)",IF(AND(AE165&gt;0,AF165=0),"Price ≤ USD 5",""))</f>
        <v>Price ≤ USD 5</v>
      </c>
      <c r="I165" s="18" t="str">
        <f aca="false">IF(AF165&gt;0,ROUND(AVERAGEIFS('Shortlisted Drugs X Company (7)'!$N$3:$N$698,'Shortlisted Drugs X Company (7)'!$C$3:$C$698,$B165,'Shortlisted Drugs X Company (7)'!$E$3:$E$698,$AA165,'Shortlisted Drugs X Company (7)'!$N$3:$N$698,"&gt;5"),2),"")</f>
        <v/>
      </c>
      <c r="J165" s="17" t="str">
        <f aca="false">IF(COUNTIFS('Shortlisted Drugs X Company (7)'!$C$3:$C$698,$B165,'Shortlisted Drugs X Company (7)'!$E$3:$E$698,$AA165,'Shortlisted Drugs X Company (7)'!$P$3:$P$698,"Exact")&gt;0,"Exact",IF(COUNTIFS('Shortlisted Drugs X Company (7)'!$C$3:$C$698,$B165,'Shortlisted Drugs X Company (7)'!$E$3:$E$698,$AA165,'Shortlisted Drugs X Company (7)'!$P$3:$P$698,"Same-market proxy")&gt;0,"Same-market proxy",IF(COUNTIFS('Shortlisted Drugs X Company (7)'!$C$3:$C$698,$B165,'Shortlisted Drugs X Company (7)'!$E$3:$E$698,$AA165,'Shortlisted Drugs X Company (7)'!$P$3:$P$698,"Cross-market proxy")&gt;0,"Cross-market proxy",IF(COUNTIFS('Shortlisted Drugs X Company (7)'!$C$3:$C$698,$B165,'Shortlisted Drugs X Company (7)'!$E$3:$E$698,$AA165,'Shortlisted Drugs X Company (7)'!$P$3:$P$698,"Source not found")&gt;0,"Source not found","No price found"))))</f>
        <v>Same-market proxy</v>
      </c>
      <c r="K165" s="19" t="n">
        <f aca="false">IFERROR(INDEX('Injectable Value'!$AB$28:$AB$178,MATCH(B165,'Injectable Value'!$A$28:$A$178,0)),"")</f>
        <v>445</v>
      </c>
      <c r="L165" s="77" t="n">
        <f aca="false">IFERROR(INDEX('Injectable Value'!$Z$28:$Z$178,MATCH(B165,'Injectable Value'!$A$28:$A$178,0)),"")</f>
        <v>0.274306714947369</v>
      </c>
      <c r="M165" s="19" t="n">
        <f aca="false">IFERROR(INDEX('Injectable Value'!$AC$28:$AC$178,MATCH(B165,'Injectable Value'!$A$28:$A$178,0)),"")</f>
        <v>122</v>
      </c>
      <c r="N165" s="19" t="n">
        <f aca="false">IFERROR(INDEX('Injectable Value'!$C$28:$C$178,MATCH(B165,'Injectable Value'!$A$28:$A$178,0)),"")</f>
        <v>8796.85</v>
      </c>
      <c r="O165" s="19" t="n">
        <f aca="false">IFERROR(ROUND(INDEX('Injectable Value'!$AA$28:$AA$178,MATCH(B165,'Injectable Value'!$A$28:$A$178,0)),1),"")</f>
        <v>2413</v>
      </c>
      <c r="P165" s="16" t="str">
        <f aca="false">IFERROR(INDEX('Route of Administration'!$C$5:$C$155,MATCH(B165,'Route of Administration'!$A$5:$A$155,0)),"")</f>
        <v>IM, SC</v>
      </c>
      <c r="Q165" s="15" t="str">
        <f aca="false">IFERROR(INDEX('Route of Administration'!$D$5:$D$155,MATCH(B165,'Route of Administration'!$A$5:$A$155,0)),"")</f>
        <v>Yes</v>
      </c>
      <c r="R165" s="16" t="s">
        <v>310</v>
      </c>
      <c r="S165" s="17" t="s">
        <v>883</v>
      </c>
      <c r="T165" s="16" t="s">
        <v>310</v>
      </c>
      <c r="U165" s="17" t="str">
        <f aca="false">""&amp;IF(AE165=0,"No price found","")&amp;IF(AND(AE165&gt;0,AF165=0,AG165=0),"Low price comes from another market – confirm with the company","")</f>
        <v/>
      </c>
      <c r="V165" s="17" t="s">
        <v>284</v>
      </c>
      <c r="W165" s="15" t="n">
        <v>1</v>
      </c>
      <c r="X165" s="17" t="s">
        <v>284</v>
      </c>
      <c r="Y165" s="17" t="s">
        <v>284</v>
      </c>
      <c r="Z165" s="17" t="s">
        <v>312</v>
      </c>
      <c r="AA165" s="16" t="s">
        <v>870</v>
      </c>
      <c r="AB165" s="78" t="s">
        <v>884</v>
      </c>
      <c r="AC165" s="20" t="n">
        <f aca="false">IF(AE165&gt;0,ROUND(AVERAGEIFS('Shortlisted Drugs X Company (7)'!$N$3:$N$698,'Shortlisted Drugs X Company (7)'!$C$3:$C$698,$B165,'Shortlisted Drugs X Company (7)'!$E$3:$E$698,$AA165,'Shortlisted Drugs X Company (7)'!$N$3:$N$698,"&gt;=0"),2),"")</f>
        <v>0.65</v>
      </c>
      <c r="AD165" s="79" t="str">
        <f aca="false">B165&amp;"|"&amp;AA165</f>
        <v>Cyanocobalamin|Hetero Labs</v>
      </c>
      <c r="AE165" s="22" t="n">
        <f aca="false">COUNTIFS('Shortlisted Drugs X Company (7)'!$C$3:$C$698,$B165,'Shortlisted Drugs X Company (7)'!$E$3:$E$698,$AA165,'Shortlisted Drugs X Company (7)'!$N$3:$N$698,"&gt;=0")</f>
        <v>1</v>
      </c>
      <c r="AF165" s="22" t="n">
        <f aca="false">COUNTIFS('Shortlisted Drugs X Company (7)'!$C$3:$C$698,$B165,'Shortlisted Drugs X Company (7)'!$E$3:$E$698,$AA165,'Shortlisted Drugs X Company (7)'!$N$3:$N$698,"&gt;5")</f>
        <v>0</v>
      </c>
      <c r="AG165" s="22" t="n">
        <f aca="false">COUNTIFS('Shortlisted Drugs X Company (7)'!$C$3:$C$698,$B165,'Shortlisted Drugs X Company (7)'!$E$3:$E$698,$AA165,'Shortlisted Drugs X Company (7)'!$P$3:$P$698,"Exact")+COUNTIFS('Shortlisted Drugs X Company (7)'!$C$3:$C$698,$B165,'Shortlisted Drugs X Company (7)'!$E$3:$E$698,$AA165,'Shortlisted Drugs X Company (7)'!$P$3:$P$698,"Same-market proxy")</f>
        <v>1</v>
      </c>
      <c r="AH165" s="22" t="n">
        <f aca="false">INDEX($G$7:$G$25,MATCH(A165,$A$7:$A$25,0))</f>
        <v>8</v>
      </c>
      <c r="AI165" s="79" t="n">
        <f aca="false">IF(OR(Q165="No",LEFT(H165,7)="IV only"),"",AH165*1000+IF(F165="",900+COUNTIFS($A$29:A165,A165,$H$29:H165,"Price*"),F165))</f>
        <v>8901</v>
      </c>
      <c r="AJ165" s="79" t="str">
        <f aca="false">IF(H165&lt;&gt;"","",(4-VALUE(RIGHT(E165,1)))*10^7+N(O165))</f>
        <v/>
      </c>
      <c r="AK165" s="79" t="str">
        <f aca="false">IF(AND(H165="",ISNUMBER(I165)),I165,"")</f>
        <v/>
      </c>
      <c r="AL165" s="79" t="str">
        <f aca="false">IF(H165="",M165,"")</f>
        <v/>
      </c>
    </row>
    <row r="166" customFormat="false" ht="41.75" hidden="false" customHeight="false" outlineLevel="0" collapsed="false">
      <c r="A166" s="16" t="s">
        <v>234</v>
      </c>
      <c r="B166" s="16" t="s">
        <v>388</v>
      </c>
      <c r="C166" s="17" t="s">
        <v>885</v>
      </c>
      <c r="D166" s="17" t="s">
        <v>390</v>
      </c>
      <c r="E166" s="15" t="str">
        <f aca="false">IF(H166&lt;&gt;"",IF(LEFT(H166,5)="Price","Excluded – price ≤ USD 5","Excluded – IV only"),IF(ISNUMBER(I166),IF(AND(I166&gt;=$C$3,M166&gt;=$E$3),"Priority 1",IF(OR(I166&gt;=$C$3,M166&gt;=$E$3),"Priority 2","Priority 3")),IF(M166&gt;=$E$3,"Priority 2","Priority 3")))</f>
        <v>Excluded – IV only</v>
      </c>
      <c r="F166" s="15" t="str">
        <f aca="false">IF(H166&lt;&gt;"","",COUNTIFS($A$29:$A$361,A166,$H$29:$H$361,"",$AJ$29:$AJ$361,"&gt;"&amp;AJ166)+COUNTIFS($A$29:A166,A166,$H$29:H166,"",$AJ$29:AJ166,AJ166))</f>
        <v/>
      </c>
      <c r="G166" s="17" t="str">
        <f aca="false">IF(H166&lt;&gt;"","",IF(ISNUMBER(I166),IF(I166&gt;=$C$3,"High price","Lower price"),"No price")&amp;", "&amp;IF(M166&gt;=$E$3,"high volume","lower volume"))</f>
        <v/>
      </c>
      <c r="H166" s="17" t="str">
        <f aca="false">IF(Q166="No","IV only (no ID, IM or SC route)",IF(AND(AE166&gt;0,AF166=0),"Price ≤ USD 5",""))</f>
        <v>IV only (no ID, IM or SC route)</v>
      </c>
      <c r="I166" s="18" t="n">
        <f aca="false">IF(AF166&gt;0,ROUND(AVERAGEIFS('Shortlisted Drugs X Company (7)'!$N$3:$N$698,'Shortlisted Drugs X Company (7)'!$C$3:$C$698,$B166,'Shortlisted Drugs X Company (7)'!$E$3:$E$698,$AA166,'Shortlisted Drugs X Company (7)'!$N$3:$N$698,"&gt;5"),2),"")</f>
        <v>83.75</v>
      </c>
      <c r="J166" s="17" t="str">
        <f aca="false">IF(COUNTIFS('Shortlisted Drugs X Company (7)'!$C$3:$C$698,$B166,'Shortlisted Drugs X Company (7)'!$E$3:$E$698,$AA166,'Shortlisted Drugs X Company (7)'!$P$3:$P$698,"Exact")&gt;0,"Exact",IF(COUNTIFS('Shortlisted Drugs X Company (7)'!$C$3:$C$698,$B166,'Shortlisted Drugs X Company (7)'!$E$3:$E$698,$AA166,'Shortlisted Drugs X Company (7)'!$P$3:$P$698,"Same-market proxy")&gt;0,"Same-market proxy",IF(COUNTIFS('Shortlisted Drugs X Company (7)'!$C$3:$C$698,$B166,'Shortlisted Drugs X Company (7)'!$E$3:$E$698,$AA166,'Shortlisted Drugs X Company (7)'!$P$3:$P$698,"Cross-market proxy")&gt;0,"Cross-market proxy",IF(COUNTIFS('Shortlisted Drugs X Company (7)'!$C$3:$C$698,$B166,'Shortlisted Drugs X Company (7)'!$E$3:$E$698,$AA166,'Shortlisted Drugs X Company (7)'!$P$3:$P$698,"Source not found")&gt;0,"Source not found","No price found"))))</f>
        <v>Same-market proxy</v>
      </c>
      <c r="K166" s="19" t="n">
        <f aca="false">IFERROR(INDEX('Injectable Value'!$AB$28:$AB$178,MATCH(B166,'Injectable Value'!$A$28:$A$178,0)),"")</f>
        <v>312</v>
      </c>
      <c r="L166" s="77" t="n">
        <f aca="false">IFERROR(INDEX('Injectable Value'!$Z$28:$Z$178,MATCH(B166,'Injectable Value'!$A$28:$A$178,0)),"")</f>
        <v>1</v>
      </c>
      <c r="M166" s="19" t="n">
        <f aca="false">IFERROR(INDEX('Injectable Value'!$AC$28:$AC$178,MATCH(B166,'Injectable Value'!$A$28:$A$178,0)),"")</f>
        <v>312</v>
      </c>
      <c r="N166" s="19" t="n">
        <f aca="false">IFERROR(INDEX('Injectable Value'!$C$28:$C$178,MATCH(B166,'Injectable Value'!$A$28:$A$178,0)),"")</f>
        <v>59827.18</v>
      </c>
      <c r="O166" s="19" t="n">
        <f aca="false">IFERROR(ROUND(INDEX('Injectable Value'!$AA$28:$AA$178,MATCH(B166,'Injectable Value'!$A$28:$A$178,0)),1),"")</f>
        <v>59827.2</v>
      </c>
      <c r="P166" s="16" t="str">
        <f aca="false">IFERROR(INDEX('Route of Administration'!$C$5:$C$155,MATCH(B166,'Route of Administration'!$A$5:$A$155,0)),"")</f>
        <v>IV</v>
      </c>
      <c r="Q166" s="15" t="str">
        <f aca="false">IFERROR(INDEX('Route of Administration'!$D$5:$D$155,MATCH(B166,'Route of Administration'!$A$5:$A$155,0)),"")</f>
        <v>No</v>
      </c>
      <c r="R166" s="16" t="s">
        <v>281</v>
      </c>
      <c r="S166" s="17" t="s">
        <v>391</v>
      </c>
      <c r="T166" s="16" t="s">
        <v>333</v>
      </c>
      <c r="U166" s="17" t="str">
        <f aca="false">"Reconstitution"&amp;IF(AE166=0,"; No price found","")&amp;IF(AND(AE166&gt;0,AF166=0,AG166=0),"; Low price comes from another market – confirm with the company","")</f>
        <v>Reconstitution</v>
      </c>
      <c r="V166" s="17" t="s">
        <v>886</v>
      </c>
      <c r="W166" s="15" t="n">
        <v>5</v>
      </c>
      <c r="X166" s="17" t="s">
        <v>887</v>
      </c>
      <c r="Y166" s="17" t="s">
        <v>887</v>
      </c>
      <c r="Z166" s="17" t="s">
        <v>286</v>
      </c>
      <c r="AA166" s="16" t="s">
        <v>870</v>
      </c>
      <c r="AB166" s="78" t="s">
        <v>393</v>
      </c>
      <c r="AC166" s="20" t="n">
        <f aca="false">IF(AE166&gt;0,ROUND(AVERAGEIFS('Shortlisted Drugs X Company (7)'!$N$3:$N$698,'Shortlisted Drugs X Company (7)'!$C$3:$C$698,$B166,'Shortlisted Drugs X Company (7)'!$E$3:$E$698,$AA166,'Shortlisted Drugs X Company (7)'!$N$3:$N$698,"&gt;=0"),2),"")</f>
        <v>83.75</v>
      </c>
      <c r="AD166" s="79" t="str">
        <f aca="false">B166&amp;"|"&amp;AA166</f>
        <v>Daptomycin|Hetero Labs</v>
      </c>
      <c r="AE166" s="22" t="n">
        <f aca="false">COUNTIFS('Shortlisted Drugs X Company (7)'!$C$3:$C$698,$B166,'Shortlisted Drugs X Company (7)'!$E$3:$E$698,$AA166,'Shortlisted Drugs X Company (7)'!$N$3:$N$698,"&gt;=0")</f>
        <v>2</v>
      </c>
      <c r="AF166" s="22" t="n">
        <f aca="false">COUNTIFS('Shortlisted Drugs X Company (7)'!$C$3:$C$698,$B166,'Shortlisted Drugs X Company (7)'!$E$3:$E$698,$AA166,'Shortlisted Drugs X Company (7)'!$N$3:$N$698,"&gt;5")</f>
        <v>2</v>
      </c>
      <c r="AG166" s="22" t="n">
        <f aca="false">COUNTIFS('Shortlisted Drugs X Company (7)'!$C$3:$C$698,$B166,'Shortlisted Drugs X Company (7)'!$E$3:$E$698,$AA166,'Shortlisted Drugs X Company (7)'!$P$3:$P$698,"Exact")+COUNTIFS('Shortlisted Drugs X Company (7)'!$C$3:$C$698,$B166,'Shortlisted Drugs X Company (7)'!$E$3:$E$698,$AA166,'Shortlisted Drugs X Company (7)'!$P$3:$P$698,"Same-market proxy")</f>
        <v>1</v>
      </c>
      <c r="AH166" s="22" t="n">
        <f aca="false">INDEX($G$7:$G$25,MATCH(A166,$A$7:$A$25,0))</f>
        <v>8</v>
      </c>
      <c r="AI166" s="79" t="str">
        <f aca="false">IF(OR(Q166="No",LEFT(H166,7)="IV only"),"",AH166*1000+IF(F166="",900+COUNTIFS($A$29:A166,A166,$H$29:H166,"Price*"),F166))</f>
        <v/>
      </c>
      <c r="AJ166" s="79" t="str">
        <f aca="false">IF(H166&lt;&gt;"","",(4-VALUE(RIGHT(E166,1)))*10^7+N(O166))</f>
        <v/>
      </c>
      <c r="AK166" s="79" t="str">
        <f aca="false">IF(AND(H166="",ISNUMBER(I166)),I166,"")</f>
        <v/>
      </c>
      <c r="AL166" s="79" t="str">
        <f aca="false">IF(H166="",M166,"")</f>
        <v/>
      </c>
    </row>
    <row r="167" customFormat="false" ht="28.35" hidden="false" customHeight="false" outlineLevel="0" collapsed="false">
      <c r="A167" s="16" t="s">
        <v>234</v>
      </c>
      <c r="B167" s="16" t="s">
        <v>888</v>
      </c>
      <c r="C167" s="17" t="s">
        <v>889</v>
      </c>
      <c r="D167" s="17" t="s">
        <v>890</v>
      </c>
      <c r="E167" s="15" t="str">
        <f aca="false">IF(H167&lt;&gt;"",IF(LEFT(H167,5)="Price","Excluded – price ≤ USD 5","Excluded – IV only"),IF(ISNUMBER(I167),IF(AND(I167&gt;=$C$3,M167&gt;=$E$3),"Priority 1",IF(OR(I167&gt;=$C$3,M167&gt;=$E$3),"Priority 2","Priority 3")),IF(M167&gt;=$E$3,"Priority 2","Priority 3")))</f>
        <v>Priority 2</v>
      </c>
      <c r="F167" s="15" t="n">
        <f aca="false">IF(H167&lt;&gt;"","",COUNTIFS($A$29:$A$361,A167,$H$29:$H$361,"",$AJ$29:$AJ$361,"&gt;"&amp;AJ167)+COUNTIFS($A$29:A167,A167,$H$29:H167,"",$AJ$29:AJ167,AJ167))</f>
        <v>8</v>
      </c>
      <c r="G167" s="17" t="str">
        <f aca="false">IF(H167&lt;&gt;"","",IF(ISNUMBER(I167),IF(I167&gt;=$C$3,"High price","Lower price"),"No price")&amp;", "&amp;IF(M167&gt;=$E$3,"high volume","lower volume"))</f>
        <v>High price, lower volume</v>
      </c>
      <c r="H167" s="17" t="str">
        <f aca="false">IF(Q167="No","IV only (no ID, IM or SC route)",IF(AND(AE167&gt;0,AF167=0),"Price ≤ USD 5",""))</f>
        <v/>
      </c>
      <c r="I167" s="18" t="n">
        <f aca="false">IF(AF167&gt;0,ROUND(AVERAGEIFS('Shortlisted Drugs X Company (7)'!$N$3:$N$698,'Shortlisted Drugs X Company (7)'!$C$3:$C$698,$B167,'Shortlisted Drugs X Company (7)'!$E$3:$E$698,$AA167,'Shortlisted Drugs X Company (7)'!$N$3:$N$698,"&gt;5"),2),"")</f>
        <v>30.23</v>
      </c>
      <c r="J167" s="17" t="str">
        <f aca="false">IF(COUNTIFS('Shortlisted Drugs X Company (7)'!$C$3:$C$698,$B167,'Shortlisted Drugs X Company (7)'!$E$3:$E$698,$AA167,'Shortlisted Drugs X Company (7)'!$P$3:$P$698,"Exact")&gt;0,"Exact",IF(COUNTIFS('Shortlisted Drugs X Company (7)'!$C$3:$C$698,$B167,'Shortlisted Drugs X Company (7)'!$E$3:$E$698,$AA167,'Shortlisted Drugs X Company (7)'!$P$3:$P$698,"Same-market proxy")&gt;0,"Same-market proxy",IF(COUNTIFS('Shortlisted Drugs X Company (7)'!$C$3:$C$698,$B167,'Shortlisted Drugs X Company (7)'!$E$3:$E$698,$AA167,'Shortlisted Drugs X Company (7)'!$P$3:$P$698,"Cross-market proxy")&gt;0,"Cross-market proxy",IF(COUNTIFS('Shortlisted Drugs X Company (7)'!$C$3:$C$698,$B167,'Shortlisted Drugs X Company (7)'!$E$3:$E$698,$AA167,'Shortlisted Drugs X Company (7)'!$P$3:$P$698,"Source not found")&gt;0,"Source not found","No price found"))))</f>
        <v>Exact</v>
      </c>
      <c r="K167" s="19" t="n">
        <f aca="false">IFERROR(INDEX('Injectable Value'!$AB$28:$AB$178,MATCH(B167,'Injectable Value'!$A$28:$A$178,0)),"")</f>
        <v>286</v>
      </c>
      <c r="L167" s="77" t="n">
        <f aca="false">IFERROR(INDEX('Injectable Value'!$Z$28:$Z$178,MATCH(B167,'Injectable Value'!$A$28:$A$178,0)),"")</f>
        <v>0.4171983066393</v>
      </c>
      <c r="M167" s="19" t="n">
        <f aca="false">IFERROR(INDEX('Injectable Value'!$AC$28:$AC$178,MATCH(B167,'Injectable Value'!$A$28:$A$178,0)),"")</f>
        <v>119</v>
      </c>
      <c r="N167" s="19" t="n">
        <f aca="false">IFERROR(INDEX('Injectable Value'!$C$28:$C$178,MATCH(B167,'Injectable Value'!$A$28:$A$178,0)),"")</f>
        <v>3193.58</v>
      </c>
      <c r="O167" s="19" t="n">
        <f aca="false">IFERROR(ROUND(INDEX('Injectable Value'!$AA$28:$AA$178,MATCH(B167,'Injectable Value'!$A$28:$A$178,0)),1),"")</f>
        <v>1332.4</v>
      </c>
      <c r="P167" s="16" t="str">
        <f aca="false">IFERROR(INDEX('Route of Administration'!$C$5:$C$155,MATCH(B167,'Route of Administration'!$A$5:$A$155,0)),"")</f>
        <v>IV, IM</v>
      </c>
      <c r="Q167" s="15" t="str">
        <f aca="false">IFERROR(INDEX('Route of Administration'!$D$5:$D$155,MATCH(B167,'Route of Administration'!$A$5:$A$155,0)),"")</f>
        <v>Yes</v>
      </c>
      <c r="R167" s="16" t="s">
        <v>281</v>
      </c>
      <c r="S167" s="17" t="s">
        <v>891</v>
      </c>
      <c r="T167" s="16" t="s">
        <v>283</v>
      </c>
      <c r="U167" s="17" t="str">
        <f aca="false">""&amp;IF(AE167=0,"No price found","")&amp;IF(AND(AE167&gt;0,AF167=0,AG167=0),"Low price comes from another market – confirm with the company","")</f>
        <v/>
      </c>
      <c r="V167" s="17" t="s">
        <v>112</v>
      </c>
      <c r="W167" s="15" t="n">
        <v>1</v>
      </c>
      <c r="X167" s="17" t="s">
        <v>360</v>
      </c>
      <c r="Y167" s="17" t="s">
        <v>360</v>
      </c>
      <c r="Z167" s="17" t="s">
        <v>321</v>
      </c>
      <c r="AA167" s="16" t="s">
        <v>870</v>
      </c>
      <c r="AB167" s="78" t="s">
        <v>892</v>
      </c>
      <c r="AC167" s="20" t="n">
        <f aca="false">IF(AE167&gt;0,ROUND(AVERAGEIFS('Shortlisted Drugs X Company (7)'!$N$3:$N$698,'Shortlisted Drugs X Company (7)'!$C$3:$C$698,$B167,'Shortlisted Drugs X Company (7)'!$E$3:$E$698,$AA167,'Shortlisted Drugs X Company (7)'!$N$3:$N$698,"&gt;=0"),2),"")</f>
        <v>30.23</v>
      </c>
      <c r="AD167" s="79" t="str">
        <f aca="false">B167&amp;"|"&amp;AA167</f>
        <v>Glycopyrrolate|Hetero Labs</v>
      </c>
      <c r="AE167" s="22" t="n">
        <f aca="false">COUNTIFS('Shortlisted Drugs X Company (7)'!$C$3:$C$698,$B167,'Shortlisted Drugs X Company (7)'!$E$3:$E$698,$AA167,'Shortlisted Drugs X Company (7)'!$N$3:$N$698,"&gt;=0")</f>
        <v>1</v>
      </c>
      <c r="AF167" s="22" t="n">
        <f aca="false">COUNTIFS('Shortlisted Drugs X Company (7)'!$C$3:$C$698,$B167,'Shortlisted Drugs X Company (7)'!$E$3:$E$698,$AA167,'Shortlisted Drugs X Company (7)'!$N$3:$N$698,"&gt;5")</f>
        <v>1</v>
      </c>
      <c r="AG167" s="22" t="n">
        <f aca="false">COUNTIFS('Shortlisted Drugs X Company (7)'!$C$3:$C$698,$B167,'Shortlisted Drugs X Company (7)'!$E$3:$E$698,$AA167,'Shortlisted Drugs X Company (7)'!$P$3:$P$698,"Exact")+COUNTIFS('Shortlisted Drugs X Company (7)'!$C$3:$C$698,$B167,'Shortlisted Drugs X Company (7)'!$E$3:$E$698,$AA167,'Shortlisted Drugs X Company (7)'!$P$3:$P$698,"Same-market proxy")</f>
        <v>1</v>
      </c>
      <c r="AH167" s="22" t="n">
        <f aca="false">INDEX($G$7:$G$25,MATCH(A167,$A$7:$A$25,0))</f>
        <v>8</v>
      </c>
      <c r="AI167" s="79" t="n">
        <f aca="false">IF(OR(Q167="No",LEFT(H167,7)="IV only"),"",AH167*1000+IF(F167="",900+COUNTIFS($A$29:A167,A167,$H$29:H167,"Price*"),F167))</f>
        <v>8008</v>
      </c>
      <c r="AJ167" s="79" t="n">
        <f aca="false">IF(H167&lt;&gt;"","",(4-VALUE(RIGHT(E167,1)))*10^7+N(O167))</f>
        <v>20001332.4</v>
      </c>
      <c r="AK167" s="20" t="n">
        <f aca="false">IF(AND(H167="",ISNUMBER(I167)),I167,"")</f>
        <v>30.23</v>
      </c>
      <c r="AL167" s="21" t="n">
        <f aca="false">IF(H167="",M167,"")</f>
        <v>119</v>
      </c>
    </row>
    <row r="168" customFormat="false" ht="28.35" hidden="false" customHeight="false" outlineLevel="0" collapsed="false">
      <c r="A168" s="16" t="s">
        <v>234</v>
      </c>
      <c r="B168" s="16" t="s">
        <v>637</v>
      </c>
      <c r="C168" s="17" t="s">
        <v>812</v>
      </c>
      <c r="D168" s="17" t="s">
        <v>639</v>
      </c>
      <c r="E168" s="15" t="str">
        <f aca="false">IF(H168&lt;&gt;"",IF(LEFT(H168,5)="Price","Excluded – price ≤ USD 5","Excluded – IV only"),IF(ISNUMBER(I168),IF(AND(I168&gt;=$C$3,M168&gt;=$E$3),"Priority 1",IF(OR(I168&gt;=$C$3,M168&gt;=$E$3),"Priority 2","Priority 3")),IF(M168&gt;=$E$3,"Priority 2","Priority 3")))</f>
        <v>Priority 2</v>
      </c>
      <c r="F168" s="15" t="n">
        <f aca="false">IF(H168&lt;&gt;"","",COUNTIFS($A$29:$A$361,A168,$H$29:$H$361,"",$AJ$29:$AJ$361,"&gt;"&amp;AJ168)+COUNTIFS($A$29:A168,A168,$H$29:H168,"",$AJ$29:AJ168,AJ168))</f>
        <v>7</v>
      </c>
      <c r="G168" s="17" t="str">
        <f aca="false">IF(H168&lt;&gt;"","",IF(ISNUMBER(I168),IF(I168&gt;=$C$3,"High price","Lower price"),"No price")&amp;", "&amp;IF(M168&gt;=$E$3,"high volume","lower volume"))</f>
        <v>High price, lower volume</v>
      </c>
      <c r="H168" s="17" t="str">
        <f aca="false">IF(Q168="No","IV only (no ID, IM or SC route)",IF(AND(AE168&gt;0,AF168=0),"Price ≤ USD 5",""))</f>
        <v/>
      </c>
      <c r="I168" s="18" t="n">
        <f aca="false">IF(AF168&gt;0,ROUND(AVERAGEIFS('Shortlisted Drugs X Company (7)'!$N$3:$N$698,'Shortlisted Drugs X Company (7)'!$C$3:$C$698,$B168,'Shortlisted Drugs X Company (7)'!$E$3:$E$698,$AA168,'Shortlisted Drugs X Company (7)'!$N$3:$N$698,"&gt;5"),2),"")</f>
        <v>69.18</v>
      </c>
      <c r="J168" s="17" t="str">
        <f aca="false">IF(COUNTIFS('Shortlisted Drugs X Company (7)'!$C$3:$C$698,$B168,'Shortlisted Drugs X Company (7)'!$E$3:$E$698,$AA168,'Shortlisted Drugs X Company (7)'!$P$3:$P$698,"Exact")&gt;0,"Exact",IF(COUNTIFS('Shortlisted Drugs X Company (7)'!$C$3:$C$698,$B168,'Shortlisted Drugs X Company (7)'!$E$3:$E$698,$AA168,'Shortlisted Drugs X Company (7)'!$P$3:$P$698,"Same-market proxy")&gt;0,"Same-market proxy",IF(COUNTIFS('Shortlisted Drugs X Company (7)'!$C$3:$C$698,$B168,'Shortlisted Drugs X Company (7)'!$E$3:$E$698,$AA168,'Shortlisted Drugs X Company (7)'!$P$3:$P$698,"Cross-market proxy")&gt;0,"Cross-market proxy",IF(COUNTIFS('Shortlisted Drugs X Company (7)'!$C$3:$C$698,$B168,'Shortlisted Drugs X Company (7)'!$E$3:$E$698,$AA168,'Shortlisted Drugs X Company (7)'!$P$3:$P$698,"Source not found")&gt;0,"Source not found","No price found"))))</f>
        <v>Same-market proxy</v>
      </c>
      <c r="K168" s="19" t="n">
        <f aca="false">IFERROR(INDEX('Injectable Value'!$AB$28:$AB$178,MATCH(B168,'Injectable Value'!$A$28:$A$178,0)),"")</f>
        <v>87</v>
      </c>
      <c r="L168" s="77" t="n">
        <f aca="false">IFERROR(INDEX('Injectable Value'!$Z$28:$Z$178,MATCH(B168,'Injectable Value'!$A$28:$A$178,0)),"")</f>
        <v>1</v>
      </c>
      <c r="M168" s="19" t="n">
        <f aca="false">IFERROR(INDEX('Injectable Value'!$AC$28:$AC$178,MATCH(B168,'Injectable Value'!$A$28:$A$178,0)),"")</f>
        <v>87</v>
      </c>
      <c r="N168" s="19" t="n">
        <f aca="false">IFERROR(INDEX('Injectable Value'!$C$28:$C$178,MATCH(B168,'Injectable Value'!$A$28:$A$178,0)),"")</f>
        <v>2931.42</v>
      </c>
      <c r="O168" s="19" t="n">
        <f aca="false">IFERROR(ROUND(INDEX('Injectable Value'!$AA$28:$AA$178,MATCH(B168,'Injectable Value'!$A$28:$A$178,0)),1),"")</f>
        <v>2931.4</v>
      </c>
      <c r="P168" s="16" t="str">
        <f aca="false">IFERROR(INDEX('Route of Administration'!$C$5:$C$155,MATCH(B168,'Route of Administration'!$A$5:$A$155,0)),"")</f>
        <v>IV, IM, SC</v>
      </c>
      <c r="Q168" s="15" t="str">
        <f aca="false">IFERROR(INDEX('Route of Administration'!$D$5:$D$155,MATCH(B168,'Route of Administration'!$A$5:$A$155,0)),"")</f>
        <v>Yes</v>
      </c>
      <c r="R168" s="16" t="s">
        <v>310</v>
      </c>
      <c r="S168" s="17" t="s">
        <v>893</v>
      </c>
      <c r="T168" s="16" t="s">
        <v>310</v>
      </c>
      <c r="U168" s="17" t="str">
        <f aca="false">""&amp;IF(AE168=0,"No price found","")&amp;IF(AND(AE168&gt;0,AF168=0,AG168=0),"Low price comes from another market – confirm with the company","")</f>
        <v/>
      </c>
      <c r="V168" s="17" t="s">
        <v>284</v>
      </c>
      <c r="W168" s="15" t="n">
        <v>1</v>
      </c>
      <c r="X168" s="17" t="s">
        <v>284</v>
      </c>
      <c r="Y168" s="17" t="s">
        <v>284</v>
      </c>
      <c r="Z168" s="17" t="s">
        <v>312</v>
      </c>
      <c r="AA168" s="16" t="s">
        <v>870</v>
      </c>
      <c r="AB168" s="78" t="s">
        <v>641</v>
      </c>
      <c r="AC168" s="20" t="n">
        <f aca="false">IF(AE168&gt;0,ROUND(AVERAGEIFS('Shortlisted Drugs X Company (7)'!$N$3:$N$698,'Shortlisted Drugs X Company (7)'!$C$3:$C$698,$B168,'Shortlisted Drugs X Company (7)'!$E$3:$E$698,$AA168,'Shortlisted Drugs X Company (7)'!$N$3:$N$698,"&gt;=0"),2),"")</f>
        <v>69.18</v>
      </c>
      <c r="AD168" s="79" t="str">
        <f aca="false">B168&amp;"|"&amp;AA168</f>
        <v>Isoprenaline (Isoproterenol)|Hetero Labs</v>
      </c>
      <c r="AE168" s="22" t="n">
        <f aca="false">COUNTIFS('Shortlisted Drugs X Company (7)'!$C$3:$C$698,$B168,'Shortlisted Drugs X Company (7)'!$E$3:$E$698,$AA168,'Shortlisted Drugs X Company (7)'!$N$3:$N$698,"&gt;=0")</f>
        <v>1</v>
      </c>
      <c r="AF168" s="22" t="n">
        <f aca="false">COUNTIFS('Shortlisted Drugs X Company (7)'!$C$3:$C$698,$B168,'Shortlisted Drugs X Company (7)'!$E$3:$E$698,$AA168,'Shortlisted Drugs X Company (7)'!$N$3:$N$698,"&gt;5")</f>
        <v>1</v>
      </c>
      <c r="AG168" s="22" t="n">
        <f aca="false">COUNTIFS('Shortlisted Drugs X Company (7)'!$C$3:$C$698,$B168,'Shortlisted Drugs X Company (7)'!$E$3:$E$698,$AA168,'Shortlisted Drugs X Company (7)'!$P$3:$P$698,"Exact")+COUNTIFS('Shortlisted Drugs X Company (7)'!$C$3:$C$698,$B168,'Shortlisted Drugs X Company (7)'!$E$3:$E$698,$AA168,'Shortlisted Drugs X Company (7)'!$P$3:$P$698,"Same-market proxy")</f>
        <v>1</v>
      </c>
      <c r="AH168" s="22" t="n">
        <f aca="false">INDEX($G$7:$G$25,MATCH(A168,$A$7:$A$25,0))</f>
        <v>8</v>
      </c>
      <c r="AI168" s="79" t="n">
        <f aca="false">IF(OR(Q168="No",LEFT(H168,7)="IV only"),"",AH168*1000+IF(F168="",900+COUNTIFS($A$29:A168,A168,$H$29:H168,"Price*"),F168))</f>
        <v>8007</v>
      </c>
      <c r="AJ168" s="79" t="n">
        <f aca="false">IF(H168&lt;&gt;"","",(4-VALUE(RIGHT(E168,1)))*10^7+N(O168))</f>
        <v>20002931.4</v>
      </c>
      <c r="AK168" s="20" t="n">
        <f aca="false">IF(AND(H168="",ISNUMBER(I168)),I168,"")</f>
        <v>69.18</v>
      </c>
      <c r="AL168" s="21" t="n">
        <f aca="false">IF(H168="",M168,"")</f>
        <v>87</v>
      </c>
    </row>
    <row r="169" customFormat="false" ht="28.35" hidden="false" customHeight="false" outlineLevel="0" collapsed="false">
      <c r="A169" s="16" t="s">
        <v>234</v>
      </c>
      <c r="B169" s="16" t="s">
        <v>894</v>
      </c>
      <c r="C169" s="17" t="s">
        <v>895</v>
      </c>
      <c r="D169" s="17" t="s">
        <v>896</v>
      </c>
      <c r="E169" s="15" t="str">
        <f aca="false">IF(H169&lt;&gt;"",IF(LEFT(H169,5)="Price","Excluded – price ≤ USD 5","Excluded – IV only"),IF(ISNUMBER(I169),IF(AND(I169&gt;=$C$3,M169&gt;=$E$3),"Priority 1",IF(OR(I169&gt;=$C$3,M169&gt;=$E$3),"Priority 2","Priority 3")),IF(M169&gt;=$E$3,"Priority 2","Priority 3")))</f>
        <v>Excluded – price ≤ USD 5</v>
      </c>
      <c r="F169" s="15" t="str">
        <f aca="false">IF(H169&lt;&gt;"","",COUNTIFS($A$29:$A$361,A169,$H$29:$H$361,"",$AJ$29:$AJ$361,"&gt;"&amp;AJ169)+COUNTIFS($A$29:A169,A169,$H$29:H169,"",$AJ$29:AJ169,AJ169))</f>
        <v/>
      </c>
      <c r="G169" s="17" t="str">
        <f aca="false">IF(H169&lt;&gt;"","",IF(ISNUMBER(I169),IF(I169&gt;=$C$3,"High price","Lower price"),"No price")&amp;", "&amp;IF(M169&gt;=$E$3,"high volume","lower volume"))</f>
        <v/>
      </c>
      <c r="H169" s="17" t="str">
        <f aca="false">IF(Q169="No","IV only (no ID, IM or SC route)",IF(AND(AE169&gt;0,AF169=0),"Price ≤ USD 5",""))</f>
        <v>Price ≤ USD 5</v>
      </c>
      <c r="I169" s="18" t="str">
        <f aca="false">IF(AF169&gt;0,ROUND(AVERAGEIFS('Shortlisted Drugs X Company (7)'!$N$3:$N$698,'Shortlisted Drugs X Company (7)'!$C$3:$C$698,$B169,'Shortlisted Drugs X Company (7)'!$E$3:$E$698,$AA169,'Shortlisted Drugs X Company (7)'!$N$3:$N$698,"&gt;5"),2),"")</f>
        <v/>
      </c>
      <c r="J169" s="17" t="str">
        <f aca="false">IF(COUNTIFS('Shortlisted Drugs X Company (7)'!$C$3:$C$698,$B169,'Shortlisted Drugs X Company (7)'!$E$3:$E$698,$AA169,'Shortlisted Drugs X Company (7)'!$P$3:$P$698,"Exact")&gt;0,"Exact",IF(COUNTIFS('Shortlisted Drugs X Company (7)'!$C$3:$C$698,$B169,'Shortlisted Drugs X Company (7)'!$E$3:$E$698,$AA169,'Shortlisted Drugs X Company (7)'!$P$3:$P$698,"Same-market proxy")&gt;0,"Same-market proxy",IF(COUNTIFS('Shortlisted Drugs X Company (7)'!$C$3:$C$698,$B169,'Shortlisted Drugs X Company (7)'!$E$3:$E$698,$AA169,'Shortlisted Drugs X Company (7)'!$P$3:$P$698,"Cross-market proxy")&gt;0,"Cross-market proxy",IF(COUNTIFS('Shortlisted Drugs X Company (7)'!$C$3:$C$698,$B169,'Shortlisted Drugs X Company (7)'!$E$3:$E$698,$AA169,'Shortlisted Drugs X Company (7)'!$P$3:$P$698,"Source not found")&gt;0,"Source not found","No price found"))))</f>
        <v>Same-market proxy</v>
      </c>
      <c r="K169" s="19" t="n">
        <f aca="false">IFERROR(INDEX('Injectable Value'!$AB$28:$AB$178,MATCH(B169,'Injectable Value'!$A$28:$A$178,0)),"")</f>
        <v>1683</v>
      </c>
      <c r="L169" s="77" t="n">
        <f aca="false">IFERROR(INDEX('Injectable Value'!$Z$28:$Z$178,MATCH(B169,'Injectable Value'!$A$28:$A$178,0)),"")</f>
        <v>0.398200810013986</v>
      </c>
      <c r="M169" s="19" t="n">
        <f aca="false">IFERROR(INDEX('Injectable Value'!$AC$28:$AC$178,MATCH(B169,'Injectable Value'!$A$28:$A$178,0)),"")</f>
        <v>670</v>
      </c>
      <c r="N169" s="19" t="n">
        <f aca="false">IFERROR(INDEX('Injectable Value'!$C$28:$C$178,MATCH(B169,'Injectable Value'!$A$28:$A$178,0)),"")</f>
        <v>46739.27</v>
      </c>
      <c r="O169" s="19" t="n">
        <f aca="false">IFERROR(ROUND(INDEX('Injectable Value'!$AA$28:$AA$178,MATCH(B169,'Injectable Value'!$A$28:$A$178,0)),1),"")</f>
        <v>18611.6</v>
      </c>
      <c r="P169" s="16" t="str">
        <f aca="false">IFERROR(INDEX('Route of Administration'!$C$5:$C$155,MATCH(B169,'Route of Administration'!$A$5:$A$155,0)),"")</f>
        <v>IV, infiltration (ID, SC), perineural</v>
      </c>
      <c r="Q169" s="15" t="str">
        <f aca="false">IFERROR(INDEX('Route of Administration'!$D$5:$D$155,MATCH(B169,'Route of Administration'!$A$5:$A$155,0)),"")</f>
        <v>Yes</v>
      </c>
      <c r="R169" s="16" t="s">
        <v>281</v>
      </c>
      <c r="S169" s="17" t="s">
        <v>897</v>
      </c>
      <c r="T169" s="16" t="s">
        <v>318</v>
      </c>
      <c r="U169" s="17" t="str">
        <f aca="false">""&amp;IF(AE169=0,"No price found","")&amp;IF(AND(AE169&gt;0,AF169=0,AG169=0),"Low price comes from another market – confirm with the company","")</f>
        <v/>
      </c>
      <c r="V169" s="17" t="s">
        <v>284</v>
      </c>
      <c r="W169" s="15" t="n">
        <v>1</v>
      </c>
      <c r="X169" s="17" t="s">
        <v>284</v>
      </c>
      <c r="Y169" s="17" t="s">
        <v>284</v>
      </c>
      <c r="Z169" s="17" t="s">
        <v>321</v>
      </c>
      <c r="AA169" s="16" t="s">
        <v>870</v>
      </c>
      <c r="AB169" s="78" t="s">
        <v>898</v>
      </c>
      <c r="AC169" s="20" t="n">
        <f aca="false">IF(AE169&gt;0,ROUND(AVERAGEIFS('Shortlisted Drugs X Company (7)'!$N$3:$N$698,'Shortlisted Drugs X Company (7)'!$C$3:$C$698,$B169,'Shortlisted Drugs X Company (7)'!$E$3:$E$698,$AA169,'Shortlisted Drugs X Company (7)'!$N$3:$N$698,"&gt;=0"),2),"")</f>
        <v>1.91</v>
      </c>
      <c r="AD169" s="79" t="str">
        <f aca="false">B169&amp;"|"&amp;AA169</f>
        <v>Lidocaine|Hetero Labs</v>
      </c>
      <c r="AE169" s="22" t="n">
        <f aca="false">COUNTIFS('Shortlisted Drugs X Company (7)'!$C$3:$C$698,$B169,'Shortlisted Drugs X Company (7)'!$E$3:$E$698,$AA169,'Shortlisted Drugs X Company (7)'!$N$3:$N$698,"&gt;=0")</f>
        <v>1</v>
      </c>
      <c r="AF169" s="22" t="n">
        <f aca="false">COUNTIFS('Shortlisted Drugs X Company (7)'!$C$3:$C$698,$B169,'Shortlisted Drugs X Company (7)'!$E$3:$E$698,$AA169,'Shortlisted Drugs X Company (7)'!$N$3:$N$698,"&gt;5")</f>
        <v>0</v>
      </c>
      <c r="AG169" s="22" t="n">
        <f aca="false">COUNTIFS('Shortlisted Drugs X Company (7)'!$C$3:$C$698,$B169,'Shortlisted Drugs X Company (7)'!$E$3:$E$698,$AA169,'Shortlisted Drugs X Company (7)'!$P$3:$P$698,"Exact")+COUNTIFS('Shortlisted Drugs X Company (7)'!$C$3:$C$698,$B169,'Shortlisted Drugs X Company (7)'!$E$3:$E$698,$AA169,'Shortlisted Drugs X Company (7)'!$P$3:$P$698,"Same-market proxy")</f>
        <v>1</v>
      </c>
      <c r="AH169" s="22" t="n">
        <f aca="false">INDEX($G$7:$G$25,MATCH(A169,$A$7:$A$25,0))</f>
        <v>8</v>
      </c>
      <c r="AI169" s="79" t="n">
        <f aca="false">IF(OR(Q169="No",LEFT(H169,7)="IV only"),"",AH169*1000+IF(F169="",900+COUNTIFS($A$29:A169,A169,$H$29:H169,"Price*"),F169))</f>
        <v>8902</v>
      </c>
      <c r="AJ169" s="79" t="str">
        <f aca="false">IF(H169&lt;&gt;"","",(4-VALUE(RIGHT(E169,1)))*10^7+N(O169))</f>
        <v/>
      </c>
      <c r="AK169" s="79" t="str">
        <f aca="false">IF(AND(H169="",ISNUMBER(I169)),I169,"")</f>
        <v/>
      </c>
      <c r="AL169" s="79" t="str">
        <f aca="false">IF(H169="",M169,"")</f>
        <v/>
      </c>
    </row>
    <row r="170" customFormat="false" ht="41.75" hidden="false" customHeight="false" outlineLevel="0" collapsed="false">
      <c r="A170" s="16" t="s">
        <v>234</v>
      </c>
      <c r="B170" s="16" t="s">
        <v>899</v>
      </c>
      <c r="C170" s="17" t="s">
        <v>899</v>
      </c>
      <c r="D170" s="17" t="s">
        <v>900</v>
      </c>
      <c r="E170" s="15" t="str">
        <f aca="false">IF(H170&lt;&gt;"",IF(LEFT(H170,5)="Price","Excluded – price ≤ USD 5","Excluded – IV only"),IF(ISNUMBER(I170),IF(AND(I170&gt;=$C$3,M170&gt;=$E$3),"Priority 1",IF(OR(I170&gt;=$C$3,M170&gt;=$E$3),"Priority 2","Priority 3")),IF(M170&gt;=$E$3,"Priority 2","Priority 3")))</f>
        <v>Priority 3</v>
      </c>
      <c r="F170" s="15" t="n">
        <f aca="false">IF(H170&lt;&gt;"","",COUNTIFS($A$29:$A$361,A170,$H$29:$H$361,"",$AJ$29:$AJ$361,"&gt;"&amp;AJ170)+COUNTIFS($A$29:A170,A170,$H$29:H170,"",$AJ$29:AJ170,AJ170))</f>
        <v>9</v>
      </c>
      <c r="G170" s="17" t="str">
        <f aca="false">IF(H170&lt;&gt;"","",IF(ISNUMBER(I170),IF(I170&gt;=$C$3,"High price","Lower price"),"No price")&amp;", "&amp;IF(M170&gt;=$E$3,"high volume","lower volume"))</f>
        <v>Lower price, lower volume</v>
      </c>
      <c r="H170" s="17" t="str">
        <f aca="false">IF(Q170="No","IV only (no ID, IM or SC route)",IF(AND(AE170&gt;0,AF170=0),"Price ≤ USD 5",""))</f>
        <v/>
      </c>
      <c r="I170" s="18" t="n">
        <f aca="false">IF(AF170&gt;0,ROUND(AVERAGEIFS('Shortlisted Drugs X Company (7)'!$N$3:$N$698,'Shortlisted Drugs X Company (7)'!$C$3:$C$698,$B170,'Shortlisted Drugs X Company (7)'!$E$3:$E$698,$AA170,'Shortlisted Drugs X Company (7)'!$N$3:$N$698,"&gt;5"),2),"")</f>
        <v>9.12</v>
      </c>
      <c r="J170" s="17" t="str">
        <f aca="false">IF(COUNTIFS('Shortlisted Drugs X Company (7)'!$C$3:$C$698,$B170,'Shortlisted Drugs X Company (7)'!$E$3:$E$698,$AA170,'Shortlisted Drugs X Company (7)'!$P$3:$P$698,"Exact")&gt;0,"Exact",IF(COUNTIFS('Shortlisted Drugs X Company (7)'!$C$3:$C$698,$B170,'Shortlisted Drugs X Company (7)'!$E$3:$E$698,$AA170,'Shortlisted Drugs X Company (7)'!$P$3:$P$698,"Same-market proxy")&gt;0,"Same-market proxy",IF(COUNTIFS('Shortlisted Drugs X Company (7)'!$C$3:$C$698,$B170,'Shortlisted Drugs X Company (7)'!$E$3:$E$698,$AA170,'Shortlisted Drugs X Company (7)'!$P$3:$P$698,"Cross-market proxy")&gt;0,"Cross-market proxy",IF(COUNTIFS('Shortlisted Drugs X Company (7)'!$C$3:$C$698,$B170,'Shortlisted Drugs X Company (7)'!$E$3:$E$698,$AA170,'Shortlisted Drugs X Company (7)'!$P$3:$P$698,"Source not found")&gt;0,"Source not found","No price found"))))</f>
        <v>Same-market proxy</v>
      </c>
      <c r="K170" s="19" t="n">
        <f aca="false">IFERROR(INDEX('Injectable Value'!$AB$28:$AB$178,MATCH(B170,'Injectable Value'!$A$28:$A$178,0)),"")</f>
        <v>160</v>
      </c>
      <c r="L170" s="77" t="n">
        <f aca="false">IFERROR(INDEX('Injectable Value'!$Z$28:$Z$178,MATCH(B170,'Injectable Value'!$A$28:$A$178,0)),"")</f>
        <v>0.727614400337057</v>
      </c>
      <c r="M170" s="19" t="n">
        <f aca="false">IFERROR(INDEX('Injectable Value'!$AC$28:$AC$178,MATCH(B170,'Injectable Value'!$A$28:$A$178,0)),"")</f>
        <v>116</v>
      </c>
      <c r="N170" s="19" t="n">
        <f aca="false">IFERROR(INDEX('Injectable Value'!$C$28:$C$178,MATCH(B170,'Injectable Value'!$A$28:$A$178,0)),"")</f>
        <v>16781.35</v>
      </c>
      <c r="O170" s="19" t="n">
        <f aca="false">IFERROR(ROUND(INDEX('Injectable Value'!$AA$28:$AA$178,MATCH(B170,'Injectable Value'!$A$28:$A$178,0)),1),"")</f>
        <v>12210.4</v>
      </c>
      <c r="P170" s="16" t="str">
        <f aca="false">IFERROR(INDEX('Route of Administration'!$C$5:$C$155,MATCH(B170,'Route of Administration'!$A$5:$A$155,0)),"")</f>
        <v>IV, IM</v>
      </c>
      <c r="Q170" s="15" t="str">
        <f aca="false">IFERROR(INDEX('Route of Administration'!$D$5:$D$155,MATCH(B170,'Route of Administration'!$A$5:$A$155,0)),"")</f>
        <v>Yes</v>
      </c>
      <c r="R170" s="16" t="s">
        <v>281</v>
      </c>
      <c r="S170" s="17" t="s">
        <v>901</v>
      </c>
      <c r="T170" s="16" t="s">
        <v>318</v>
      </c>
      <c r="U170" s="17" t="str">
        <f aca="false">""&amp;IF(AE170=0,"No price found","")&amp;IF(AND(AE170&gt;0,AF170=0,AG170=0),"Low price comes from another market – confirm with the company","")</f>
        <v/>
      </c>
      <c r="V170" s="17" t="s">
        <v>284</v>
      </c>
      <c r="W170" s="15" t="n">
        <v>1</v>
      </c>
      <c r="X170" s="17" t="s">
        <v>284</v>
      </c>
      <c r="Y170" s="17" t="s">
        <v>284</v>
      </c>
      <c r="Z170" s="17" t="s">
        <v>321</v>
      </c>
      <c r="AA170" s="16" t="s">
        <v>870</v>
      </c>
      <c r="AB170" s="78" t="s">
        <v>902</v>
      </c>
      <c r="AC170" s="20" t="n">
        <f aca="false">IF(AE170&gt;0,ROUND(AVERAGEIFS('Shortlisted Drugs X Company (7)'!$N$3:$N$698,'Shortlisted Drugs X Company (7)'!$C$3:$C$698,$B170,'Shortlisted Drugs X Company (7)'!$E$3:$E$698,$AA170,'Shortlisted Drugs X Company (7)'!$N$3:$N$698,"&gt;=0"),2),"")</f>
        <v>9.12</v>
      </c>
      <c r="AD170" s="79" t="str">
        <f aca="false">B170&amp;"|"&amp;AA170</f>
        <v>Magnesium Sulfate|Hetero Labs</v>
      </c>
      <c r="AE170" s="22" t="n">
        <f aca="false">COUNTIFS('Shortlisted Drugs X Company (7)'!$C$3:$C$698,$B170,'Shortlisted Drugs X Company (7)'!$E$3:$E$698,$AA170,'Shortlisted Drugs X Company (7)'!$N$3:$N$698,"&gt;=0")</f>
        <v>1</v>
      </c>
      <c r="AF170" s="22" t="n">
        <f aca="false">COUNTIFS('Shortlisted Drugs X Company (7)'!$C$3:$C$698,$B170,'Shortlisted Drugs X Company (7)'!$E$3:$E$698,$AA170,'Shortlisted Drugs X Company (7)'!$N$3:$N$698,"&gt;5")</f>
        <v>1</v>
      </c>
      <c r="AG170" s="22" t="n">
        <f aca="false">COUNTIFS('Shortlisted Drugs X Company (7)'!$C$3:$C$698,$B170,'Shortlisted Drugs X Company (7)'!$E$3:$E$698,$AA170,'Shortlisted Drugs X Company (7)'!$P$3:$P$698,"Exact")+COUNTIFS('Shortlisted Drugs X Company (7)'!$C$3:$C$698,$B170,'Shortlisted Drugs X Company (7)'!$E$3:$E$698,$AA170,'Shortlisted Drugs X Company (7)'!$P$3:$P$698,"Same-market proxy")</f>
        <v>1</v>
      </c>
      <c r="AH170" s="22" t="n">
        <f aca="false">INDEX($G$7:$G$25,MATCH(A170,$A$7:$A$25,0))</f>
        <v>8</v>
      </c>
      <c r="AI170" s="79" t="n">
        <f aca="false">IF(OR(Q170="No",LEFT(H170,7)="IV only"),"",AH170*1000+IF(F170="",900+COUNTIFS($A$29:A170,A170,$H$29:H170,"Price*"),F170))</f>
        <v>8009</v>
      </c>
      <c r="AJ170" s="79" t="n">
        <f aca="false">IF(H170&lt;&gt;"","",(4-VALUE(RIGHT(E170,1)))*10^7+N(O170))</f>
        <v>10012210.4</v>
      </c>
      <c r="AK170" s="20" t="n">
        <f aca="false">IF(AND(H170="",ISNUMBER(I170)),I170,"")</f>
        <v>9.12</v>
      </c>
      <c r="AL170" s="21" t="n">
        <f aca="false">IF(H170="",M170,"")</f>
        <v>116</v>
      </c>
    </row>
    <row r="171" customFormat="false" ht="28.35" hidden="false" customHeight="false" outlineLevel="0" collapsed="false">
      <c r="A171" s="16" t="s">
        <v>234</v>
      </c>
      <c r="B171" s="16" t="s">
        <v>476</v>
      </c>
      <c r="C171" s="17" t="s">
        <v>903</v>
      </c>
      <c r="D171" s="17" t="s">
        <v>478</v>
      </c>
      <c r="E171" s="15" t="str">
        <f aca="false">IF(H171&lt;&gt;"",IF(LEFT(H171,5)="Price","Excluded – price ≤ USD 5","Excluded – IV only"),IF(ISNUMBER(I171),IF(AND(I171&gt;=$C$3,M171&gt;=$E$3),"Priority 1",IF(OR(I171&gt;=$C$3,M171&gt;=$E$3),"Priority 2","Priority 3")),IF(M171&gt;=$E$3,"Priority 2","Priority 3")))</f>
        <v>Excluded – IV only</v>
      </c>
      <c r="F171" s="15" t="str">
        <f aca="false">IF(H171&lt;&gt;"","",COUNTIFS($A$29:$A$361,A171,$H$29:$H$361,"",$AJ$29:$AJ$361,"&gt;"&amp;AJ171)+COUNTIFS($A$29:A171,A171,$H$29:H171,"",$AJ$29:AJ171,AJ171))</f>
        <v/>
      </c>
      <c r="G171" s="17" t="str">
        <f aca="false">IF(H171&lt;&gt;"","",IF(ISNUMBER(I171),IF(I171&gt;=$C$3,"High price","Lower price"),"No price")&amp;", "&amp;IF(M171&gt;=$E$3,"high volume","lower volume"))</f>
        <v/>
      </c>
      <c r="H171" s="17" t="str">
        <f aca="false">IF(Q171="No","IV only (no ID, IM or SC route)",IF(AND(AE171&gt;0,AF171=0),"Price ≤ USD 5",""))</f>
        <v>IV only (no ID, IM or SC route)</v>
      </c>
      <c r="I171" s="18" t="n">
        <f aca="false">IF(AF171&gt;0,ROUND(AVERAGEIFS('Shortlisted Drugs X Company (7)'!$N$3:$N$698,'Shortlisted Drugs X Company (7)'!$C$3:$C$698,$B171,'Shortlisted Drugs X Company (7)'!$E$3:$E$698,$AA171,'Shortlisted Drugs X Company (7)'!$N$3:$N$698,"&gt;5"),2),"")</f>
        <v>92.74</v>
      </c>
      <c r="J171" s="17" t="str">
        <f aca="false">IF(COUNTIFS('Shortlisted Drugs X Company (7)'!$C$3:$C$698,$B171,'Shortlisted Drugs X Company (7)'!$E$3:$E$698,$AA171,'Shortlisted Drugs X Company (7)'!$P$3:$P$698,"Exact")&gt;0,"Exact",IF(COUNTIFS('Shortlisted Drugs X Company (7)'!$C$3:$C$698,$B171,'Shortlisted Drugs X Company (7)'!$E$3:$E$698,$AA171,'Shortlisted Drugs X Company (7)'!$P$3:$P$698,"Same-market proxy")&gt;0,"Same-market proxy",IF(COUNTIFS('Shortlisted Drugs X Company (7)'!$C$3:$C$698,$B171,'Shortlisted Drugs X Company (7)'!$E$3:$E$698,$AA171,'Shortlisted Drugs X Company (7)'!$P$3:$P$698,"Cross-market proxy")&gt;0,"Cross-market proxy",IF(COUNTIFS('Shortlisted Drugs X Company (7)'!$C$3:$C$698,$B171,'Shortlisted Drugs X Company (7)'!$E$3:$E$698,$AA171,'Shortlisted Drugs X Company (7)'!$P$3:$P$698,"Source not found")&gt;0,"Source not found","No price found"))))</f>
        <v>Exact</v>
      </c>
      <c r="K171" s="19" t="n">
        <f aca="false">IFERROR(INDEX('Injectable Value'!$AB$28:$AB$178,MATCH(B171,'Injectable Value'!$A$28:$A$178,0)),"")</f>
        <v>257</v>
      </c>
      <c r="L171" s="77" t="n">
        <f aca="false">IFERROR(INDEX('Injectable Value'!$Z$28:$Z$178,MATCH(B171,'Injectable Value'!$A$28:$A$178,0)),"")</f>
        <v>0.689888576486515</v>
      </c>
      <c r="M171" s="19" t="n">
        <f aca="false">IFERROR(INDEX('Injectable Value'!$AC$28:$AC$178,MATCH(B171,'Injectable Value'!$A$28:$A$178,0)),"")</f>
        <v>177</v>
      </c>
      <c r="N171" s="19" t="n">
        <f aca="false">IFERROR(INDEX('Injectable Value'!$C$28:$C$178,MATCH(B171,'Injectable Value'!$A$28:$A$178,0)),"")</f>
        <v>4183.29</v>
      </c>
      <c r="O171" s="19" t="n">
        <f aca="false">IFERROR(ROUND(INDEX('Injectable Value'!$AA$28:$AA$178,MATCH(B171,'Injectable Value'!$A$28:$A$178,0)),1),"")</f>
        <v>2886</v>
      </c>
      <c r="P171" s="16" t="str">
        <f aca="false">IFERROR(INDEX('Route of Administration'!$C$5:$C$155,MATCH(B171,'Route of Administration'!$A$5:$A$155,0)),"")</f>
        <v>IV</v>
      </c>
      <c r="Q171" s="15" t="str">
        <f aca="false">IFERROR(INDEX('Route of Administration'!$D$5:$D$155,MATCH(B171,'Route of Administration'!$A$5:$A$155,0)),"")</f>
        <v>No</v>
      </c>
      <c r="R171" s="16" t="s">
        <v>281</v>
      </c>
      <c r="S171" s="17" t="s">
        <v>479</v>
      </c>
      <c r="T171" s="16" t="s">
        <v>283</v>
      </c>
      <c r="U171" s="17" t="str">
        <f aca="false">"Cancer drug (cytotoxic) – less relevant; Reconstitution"&amp;IF(AE171=0,"; No price found","")&amp;IF(AND(AE171&gt;0,AF171=0,AG171=0),"; Low price comes from another market – confirm with the company","")</f>
        <v>Cancer drug (cytotoxic) – less relevant; Reconstitution</v>
      </c>
      <c r="V171" s="17" t="s">
        <v>886</v>
      </c>
      <c r="W171" s="15" t="n">
        <v>5</v>
      </c>
      <c r="X171" s="17" t="s">
        <v>887</v>
      </c>
      <c r="Y171" s="17" t="s">
        <v>887</v>
      </c>
      <c r="Z171" s="17" t="s">
        <v>286</v>
      </c>
      <c r="AA171" s="16" t="s">
        <v>870</v>
      </c>
      <c r="AB171" s="78" t="s">
        <v>482</v>
      </c>
      <c r="AC171" s="20" t="n">
        <f aca="false">IF(AE171&gt;0,ROUND(AVERAGEIFS('Shortlisted Drugs X Company (7)'!$N$3:$N$698,'Shortlisted Drugs X Company (7)'!$C$3:$C$698,$B171,'Shortlisted Drugs X Company (7)'!$E$3:$E$698,$AA171,'Shortlisted Drugs X Company (7)'!$N$3:$N$698,"&gt;=0"),2),"")</f>
        <v>92.74</v>
      </c>
      <c r="AD171" s="79" t="str">
        <f aca="false">B171&amp;"|"&amp;AA171</f>
        <v>Melphalan|Hetero Labs</v>
      </c>
      <c r="AE171" s="22" t="n">
        <f aca="false">COUNTIFS('Shortlisted Drugs X Company (7)'!$C$3:$C$698,$B171,'Shortlisted Drugs X Company (7)'!$E$3:$E$698,$AA171,'Shortlisted Drugs X Company (7)'!$N$3:$N$698,"&gt;=0")</f>
        <v>3</v>
      </c>
      <c r="AF171" s="22" t="n">
        <f aca="false">COUNTIFS('Shortlisted Drugs X Company (7)'!$C$3:$C$698,$B171,'Shortlisted Drugs X Company (7)'!$E$3:$E$698,$AA171,'Shortlisted Drugs X Company (7)'!$N$3:$N$698,"&gt;5")</f>
        <v>3</v>
      </c>
      <c r="AG171" s="22" t="n">
        <f aca="false">COUNTIFS('Shortlisted Drugs X Company (7)'!$C$3:$C$698,$B171,'Shortlisted Drugs X Company (7)'!$E$3:$E$698,$AA171,'Shortlisted Drugs X Company (7)'!$P$3:$P$698,"Exact")+COUNTIFS('Shortlisted Drugs X Company (7)'!$C$3:$C$698,$B171,'Shortlisted Drugs X Company (7)'!$E$3:$E$698,$AA171,'Shortlisted Drugs X Company (7)'!$P$3:$P$698,"Same-market proxy")</f>
        <v>2</v>
      </c>
      <c r="AH171" s="22" t="n">
        <f aca="false">INDEX($G$7:$G$25,MATCH(A171,$A$7:$A$25,0))</f>
        <v>8</v>
      </c>
      <c r="AI171" s="79" t="str">
        <f aca="false">IF(OR(Q171="No",LEFT(H171,7)="IV only"),"",AH171*1000+IF(F171="",900+COUNTIFS($A$29:A171,A171,$H$29:H171,"Price*"),F171))</f>
        <v/>
      </c>
      <c r="AJ171" s="79" t="str">
        <f aca="false">IF(H171&lt;&gt;"","",(4-VALUE(RIGHT(E171,1)))*10^7+N(O171))</f>
        <v/>
      </c>
      <c r="AK171" s="79" t="str">
        <f aca="false">IF(AND(H171="",ISNUMBER(I171)),I171,"")</f>
        <v/>
      </c>
      <c r="AL171" s="79" t="str">
        <f aca="false">IF(H171="",M171,"")</f>
        <v/>
      </c>
    </row>
    <row r="172" customFormat="false" ht="55.2" hidden="false" customHeight="false" outlineLevel="0" collapsed="false">
      <c r="A172" s="16" t="s">
        <v>234</v>
      </c>
      <c r="B172" s="16" t="s">
        <v>299</v>
      </c>
      <c r="C172" s="17" t="s">
        <v>300</v>
      </c>
      <c r="D172" s="17" t="s">
        <v>301</v>
      </c>
      <c r="E172" s="15" t="str">
        <f aca="false">IF(H172&lt;&gt;"",IF(LEFT(H172,5)="Price","Excluded – price ≤ USD 5","Excluded – IV only"),IF(ISNUMBER(I172),IF(AND(I172&gt;=$C$3,M172&gt;=$E$3),"Priority 1",IF(OR(I172&gt;=$C$3,M172&gt;=$E$3),"Priority 2","Priority 3")),IF(M172&gt;=$E$3,"Priority 2","Priority 3")))</f>
        <v>Priority 2</v>
      </c>
      <c r="F172" s="15" t="n">
        <f aca="false">IF(H172&lt;&gt;"","",COUNTIFS($A$29:$A$361,A172,$H$29:$H$361,"",$AJ$29:$AJ$361,"&gt;"&amp;AJ172)+COUNTIFS($A$29:A172,A172,$H$29:H172,"",$AJ$29:AJ172,AJ172))</f>
        <v>3</v>
      </c>
      <c r="G172" s="17" t="str">
        <f aca="false">IF(H172&lt;&gt;"","",IF(ISNUMBER(I172),IF(I172&gt;=$C$3,"High price","Lower price"),"No price")&amp;", "&amp;IF(M172&gt;=$E$3,"high volume","lower volume"))</f>
        <v>Lower price, high volume</v>
      </c>
      <c r="H172" s="17" t="str">
        <f aca="false">IF(Q172="No","IV only (no ID, IM or SC route)",IF(AND(AE172&gt;0,AF172=0),"Price ≤ USD 5",""))</f>
        <v/>
      </c>
      <c r="I172" s="18" t="n">
        <f aca="false">IF(AF172&gt;0,ROUND(AVERAGEIFS('Shortlisted Drugs X Company (7)'!$N$3:$N$698,'Shortlisted Drugs X Company (7)'!$C$3:$C$698,$B172,'Shortlisted Drugs X Company (7)'!$E$3:$E$698,$AA172,'Shortlisted Drugs X Company (7)'!$N$3:$N$698,"&gt;5"),2),"")</f>
        <v>7.15</v>
      </c>
      <c r="J172" s="17" t="str">
        <f aca="false">IF(COUNTIFS('Shortlisted Drugs X Company (7)'!$C$3:$C$698,$B172,'Shortlisted Drugs X Company (7)'!$E$3:$E$698,$AA172,'Shortlisted Drugs X Company (7)'!$P$3:$P$698,"Exact")&gt;0,"Exact",IF(COUNTIFS('Shortlisted Drugs X Company (7)'!$C$3:$C$698,$B172,'Shortlisted Drugs X Company (7)'!$E$3:$E$698,$AA172,'Shortlisted Drugs X Company (7)'!$P$3:$P$698,"Same-market proxy")&gt;0,"Same-market proxy",IF(COUNTIFS('Shortlisted Drugs X Company (7)'!$C$3:$C$698,$B172,'Shortlisted Drugs X Company (7)'!$E$3:$E$698,$AA172,'Shortlisted Drugs X Company (7)'!$P$3:$P$698,"Cross-market proxy")&gt;0,"Cross-market proxy",IF(COUNTIFS('Shortlisted Drugs X Company (7)'!$C$3:$C$698,$B172,'Shortlisted Drugs X Company (7)'!$E$3:$E$698,$AA172,'Shortlisted Drugs X Company (7)'!$P$3:$P$698,"Source not found")&gt;0,"Source not found","No price found"))))</f>
        <v>Same-market proxy</v>
      </c>
      <c r="K172" s="19" t="n">
        <f aca="false">IFERROR(INDEX('Injectable Value'!$AB$28:$AB$178,MATCH(B172,'Injectable Value'!$A$28:$A$178,0)),"")</f>
        <v>1282</v>
      </c>
      <c r="L172" s="77" t="n">
        <f aca="false">IFERROR(INDEX('Injectable Value'!$Z$28:$Z$178,MATCH(B172,'Injectable Value'!$A$28:$A$178,0)),"")</f>
        <v>0.776857437207773</v>
      </c>
      <c r="M172" s="19" t="n">
        <f aca="false">IFERROR(INDEX('Injectable Value'!$AC$28:$AC$178,MATCH(B172,'Injectable Value'!$A$28:$A$178,0)),"")</f>
        <v>996</v>
      </c>
      <c r="N172" s="19" t="n">
        <f aca="false">IFERROR(INDEX('Injectable Value'!$C$28:$C$178,MATCH(B172,'Injectable Value'!$A$28:$A$178,0)),"")</f>
        <v>16792.84</v>
      </c>
      <c r="O172" s="19" t="n">
        <f aca="false">IFERROR(ROUND(INDEX('Injectable Value'!$AA$28:$AA$178,MATCH(B172,'Injectable Value'!$A$28:$A$178,0)),1),"")</f>
        <v>13045.6</v>
      </c>
      <c r="P172" s="16" t="str">
        <f aca="false">IFERROR(INDEX('Route of Administration'!$C$5:$C$155,MATCH(B172,'Route of Administration'!$A$5:$A$155,0)),"")</f>
        <v>IV, IM, SC</v>
      </c>
      <c r="Q172" s="15" t="str">
        <f aca="false">IFERROR(INDEX('Route of Administration'!$D$5:$D$155,MATCH(B172,'Route of Administration'!$A$5:$A$155,0)),"")</f>
        <v>Yes</v>
      </c>
      <c r="R172" s="16" t="s">
        <v>310</v>
      </c>
      <c r="S172" s="17" t="s">
        <v>904</v>
      </c>
      <c r="T172" s="16" t="s">
        <v>283</v>
      </c>
      <c r="U172" s="17" t="str">
        <f aca="false">"Cancer drug (cytotoxic) – less relevant"&amp;IF(AE172=0,"; No price found","")&amp;IF(AND(AE172&gt;0,AF172=0,AG172=0),"; Low price comes from another market – confirm with the company","")</f>
        <v>Cancer drug (cytotoxic) – less relevant</v>
      </c>
      <c r="V172" s="17" t="s">
        <v>284</v>
      </c>
      <c r="W172" s="15" t="n">
        <v>1</v>
      </c>
      <c r="X172" s="17" t="s">
        <v>284</v>
      </c>
      <c r="Y172" s="17" t="s">
        <v>284</v>
      </c>
      <c r="Z172" s="17" t="s">
        <v>312</v>
      </c>
      <c r="AA172" s="16" t="s">
        <v>870</v>
      </c>
      <c r="AB172" s="78" t="s">
        <v>303</v>
      </c>
      <c r="AC172" s="20" t="n">
        <f aca="false">IF(AE172&gt;0,ROUND(AVERAGEIFS('Shortlisted Drugs X Company (7)'!$N$3:$N$698,'Shortlisted Drugs X Company (7)'!$C$3:$C$698,$B172,'Shortlisted Drugs X Company (7)'!$E$3:$E$698,$AA172,'Shortlisted Drugs X Company (7)'!$N$3:$N$698,"&gt;=0"),2),"")</f>
        <v>7.15</v>
      </c>
      <c r="AD172" s="79" t="str">
        <f aca="false">B172&amp;"|"&amp;AA172</f>
        <v>Methotrexate|Hetero Labs</v>
      </c>
      <c r="AE172" s="22" t="n">
        <f aca="false">COUNTIFS('Shortlisted Drugs X Company (7)'!$C$3:$C$698,$B172,'Shortlisted Drugs X Company (7)'!$E$3:$E$698,$AA172,'Shortlisted Drugs X Company (7)'!$N$3:$N$698,"&gt;=0")</f>
        <v>1</v>
      </c>
      <c r="AF172" s="22" t="n">
        <f aca="false">COUNTIFS('Shortlisted Drugs X Company (7)'!$C$3:$C$698,$B172,'Shortlisted Drugs X Company (7)'!$E$3:$E$698,$AA172,'Shortlisted Drugs X Company (7)'!$N$3:$N$698,"&gt;5")</f>
        <v>1</v>
      </c>
      <c r="AG172" s="22" t="n">
        <f aca="false">COUNTIFS('Shortlisted Drugs X Company (7)'!$C$3:$C$698,$B172,'Shortlisted Drugs X Company (7)'!$E$3:$E$698,$AA172,'Shortlisted Drugs X Company (7)'!$P$3:$P$698,"Exact")+COUNTIFS('Shortlisted Drugs X Company (7)'!$C$3:$C$698,$B172,'Shortlisted Drugs X Company (7)'!$E$3:$E$698,$AA172,'Shortlisted Drugs X Company (7)'!$P$3:$P$698,"Same-market proxy")</f>
        <v>1</v>
      </c>
      <c r="AH172" s="22" t="n">
        <f aca="false">INDEX($G$7:$G$25,MATCH(A172,$A$7:$A$25,0))</f>
        <v>8</v>
      </c>
      <c r="AI172" s="79" t="n">
        <f aca="false">IF(OR(Q172="No",LEFT(H172,7)="IV only"),"",AH172*1000+IF(F172="",900+COUNTIFS($A$29:A172,A172,$H$29:H172,"Price*"),F172))</f>
        <v>8003</v>
      </c>
      <c r="AJ172" s="79" t="n">
        <f aca="false">IF(H172&lt;&gt;"","",(4-VALUE(RIGHT(E172,1)))*10^7+N(O172))</f>
        <v>20013045.6</v>
      </c>
      <c r="AK172" s="20" t="n">
        <f aca="false">IF(AND(H172="",ISNUMBER(I172)),I172,"")</f>
        <v>7.15</v>
      </c>
      <c r="AL172" s="21" t="n">
        <f aca="false">IF(H172="",M172,"")</f>
        <v>996</v>
      </c>
    </row>
    <row r="173" customFormat="false" ht="28.35" hidden="false" customHeight="false" outlineLevel="0" collapsed="false">
      <c r="A173" s="16" t="s">
        <v>234</v>
      </c>
      <c r="B173" s="16" t="s">
        <v>529</v>
      </c>
      <c r="C173" s="17" t="s">
        <v>905</v>
      </c>
      <c r="D173" s="17" t="s">
        <v>531</v>
      </c>
      <c r="E173" s="15" t="str">
        <f aca="false">IF(H173&lt;&gt;"",IF(LEFT(H173,5)="Price","Excluded – price ≤ USD 5","Excluded – IV only"),IF(ISNUMBER(I173),IF(AND(I173&gt;=$C$3,M173&gt;=$E$3),"Priority 1",IF(OR(I173&gt;=$C$3,M173&gt;=$E$3),"Priority 2","Priority 3")),IF(M173&gt;=$E$3,"Priority 2","Priority 3")))</f>
        <v>Excluded – IV only</v>
      </c>
      <c r="F173" s="15" t="str">
        <f aca="false">IF(H173&lt;&gt;"","",COUNTIFS($A$29:$A$361,A173,$H$29:$H$361,"",$AJ$29:$AJ$361,"&gt;"&amp;AJ173)+COUNTIFS($A$29:A173,A173,$H$29:H173,"",$AJ$29:AJ173,AJ173))</f>
        <v/>
      </c>
      <c r="G173" s="17" t="str">
        <f aca="false">IF(H173&lt;&gt;"","",IF(ISNUMBER(I173),IF(I173&gt;=$C$3,"High price","Lower price"),"No price")&amp;", "&amp;IF(M173&gt;=$E$3,"high volume","lower volume"))</f>
        <v/>
      </c>
      <c r="H173" s="17" t="str">
        <f aca="false">IF(Q173="No","IV only (no ID, IM or SC route)",IF(AND(AE173&gt;0,AF173=0),"Price ≤ USD 5",""))</f>
        <v>IV only (no ID, IM or SC route)</v>
      </c>
      <c r="I173" s="18" t="n">
        <f aca="false">IF(AF173&gt;0,ROUND(AVERAGEIFS('Shortlisted Drugs X Company (7)'!$N$3:$N$698,'Shortlisted Drugs X Company (7)'!$C$3:$C$698,$B173,'Shortlisted Drugs X Company (7)'!$E$3:$E$698,$AA173,'Shortlisted Drugs X Company (7)'!$N$3:$N$698,"&gt;5"),2),"")</f>
        <v>13.99</v>
      </c>
      <c r="J173" s="17" t="str">
        <f aca="false">IF(COUNTIFS('Shortlisted Drugs X Company (7)'!$C$3:$C$698,$B173,'Shortlisted Drugs X Company (7)'!$E$3:$E$698,$AA173,'Shortlisted Drugs X Company (7)'!$P$3:$P$698,"Exact")&gt;0,"Exact",IF(COUNTIFS('Shortlisted Drugs X Company (7)'!$C$3:$C$698,$B173,'Shortlisted Drugs X Company (7)'!$E$3:$E$698,$AA173,'Shortlisted Drugs X Company (7)'!$P$3:$P$698,"Same-market proxy")&gt;0,"Same-market proxy",IF(COUNTIFS('Shortlisted Drugs X Company (7)'!$C$3:$C$698,$B173,'Shortlisted Drugs X Company (7)'!$E$3:$E$698,$AA173,'Shortlisted Drugs X Company (7)'!$P$3:$P$698,"Cross-market proxy")&gt;0,"Cross-market proxy",IF(COUNTIFS('Shortlisted Drugs X Company (7)'!$C$3:$C$698,$B173,'Shortlisted Drugs X Company (7)'!$E$3:$E$698,$AA173,'Shortlisted Drugs X Company (7)'!$P$3:$P$698,"Source not found")&gt;0,"Source not found","No price found"))))</f>
        <v>Exact</v>
      </c>
      <c r="K173" s="19" t="n">
        <f aca="false">IFERROR(INDEX('Injectable Value'!$AB$28:$AB$178,MATCH(B173,'Injectable Value'!$A$28:$A$178,0)),"")</f>
        <v>119</v>
      </c>
      <c r="L173" s="77" t="n">
        <f aca="false">IFERROR(INDEX('Injectable Value'!$Z$28:$Z$178,MATCH(B173,'Injectable Value'!$A$28:$A$178,0)),"")</f>
        <v>0.899884259259259</v>
      </c>
      <c r="M173" s="19" t="n">
        <f aca="false">IFERROR(INDEX('Injectable Value'!$AC$28:$AC$178,MATCH(B173,'Injectable Value'!$A$28:$A$178,0)),"")</f>
        <v>107</v>
      </c>
      <c r="N173" s="19" t="n">
        <f aca="false">IFERROR(INDEX('Injectable Value'!$C$28:$C$178,MATCH(B173,'Injectable Value'!$A$28:$A$178,0)),"")</f>
        <v>3113.83</v>
      </c>
      <c r="O173" s="19" t="n">
        <f aca="false">IFERROR(ROUND(INDEX('Injectable Value'!$AA$28:$AA$178,MATCH(B173,'Injectable Value'!$A$28:$A$178,0)),1),"")</f>
        <v>2802.1</v>
      </c>
      <c r="P173" s="16" t="str">
        <f aca="false">IFERROR(INDEX('Route of Administration'!$C$5:$C$155,MATCH(B173,'Route of Administration'!$A$5:$A$155,0)),"")</f>
        <v>IV</v>
      </c>
      <c r="Q173" s="15" t="str">
        <f aca="false">IFERROR(INDEX('Route of Administration'!$D$5:$D$155,MATCH(B173,'Route of Administration'!$A$5:$A$155,0)),"")</f>
        <v>No</v>
      </c>
      <c r="R173" s="16" t="s">
        <v>281</v>
      </c>
      <c r="S173" s="17" t="s">
        <v>532</v>
      </c>
      <c r="T173" s="16" t="s">
        <v>283</v>
      </c>
      <c r="U173" s="17" t="str">
        <f aca="false">""&amp;IF(AE173=0,"No price found","")&amp;IF(AND(AE173&gt;0,AF173=0,AG173=0),"Low price comes from another market – confirm with the company","")</f>
        <v/>
      </c>
      <c r="V173" s="17" t="s">
        <v>112</v>
      </c>
      <c r="W173" s="15" t="n">
        <v>1</v>
      </c>
      <c r="X173" s="17" t="s">
        <v>360</v>
      </c>
      <c r="Y173" s="17" t="s">
        <v>360</v>
      </c>
      <c r="Z173" s="17" t="s">
        <v>286</v>
      </c>
      <c r="AA173" s="16" t="s">
        <v>870</v>
      </c>
      <c r="AB173" s="78" t="s">
        <v>533</v>
      </c>
      <c r="AC173" s="20" t="n">
        <f aca="false">IF(AE173&gt;0,ROUND(AVERAGEIFS('Shortlisted Drugs X Company (7)'!$N$3:$N$698,'Shortlisted Drugs X Company (7)'!$C$3:$C$698,$B173,'Shortlisted Drugs X Company (7)'!$E$3:$E$698,$AA173,'Shortlisted Drugs X Company (7)'!$N$3:$N$698,"&gt;=0"),2),"")</f>
        <v>13.99</v>
      </c>
      <c r="AD173" s="79" t="str">
        <f aca="false">B173&amp;"|"&amp;AA173</f>
        <v>Palonosetron|Hetero Labs</v>
      </c>
      <c r="AE173" s="22" t="n">
        <f aca="false">COUNTIFS('Shortlisted Drugs X Company (7)'!$C$3:$C$698,$B173,'Shortlisted Drugs X Company (7)'!$E$3:$E$698,$AA173,'Shortlisted Drugs X Company (7)'!$N$3:$N$698,"&gt;=0")</f>
        <v>1</v>
      </c>
      <c r="AF173" s="22" t="n">
        <f aca="false">COUNTIFS('Shortlisted Drugs X Company (7)'!$C$3:$C$698,$B173,'Shortlisted Drugs X Company (7)'!$E$3:$E$698,$AA173,'Shortlisted Drugs X Company (7)'!$N$3:$N$698,"&gt;5")</f>
        <v>1</v>
      </c>
      <c r="AG173" s="22" t="n">
        <f aca="false">COUNTIFS('Shortlisted Drugs X Company (7)'!$C$3:$C$698,$B173,'Shortlisted Drugs X Company (7)'!$E$3:$E$698,$AA173,'Shortlisted Drugs X Company (7)'!$P$3:$P$698,"Exact")+COUNTIFS('Shortlisted Drugs X Company (7)'!$C$3:$C$698,$B173,'Shortlisted Drugs X Company (7)'!$E$3:$E$698,$AA173,'Shortlisted Drugs X Company (7)'!$P$3:$P$698,"Same-market proxy")</f>
        <v>1</v>
      </c>
      <c r="AH173" s="22" t="n">
        <f aca="false">INDEX($G$7:$G$25,MATCH(A173,$A$7:$A$25,0))</f>
        <v>8</v>
      </c>
      <c r="AI173" s="79" t="str">
        <f aca="false">IF(OR(Q173="No",LEFT(H173,7)="IV only"),"",AH173*1000+IF(F173="",900+COUNTIFS($A$29:A173,A173,$H$29:H173,"Price*"),F173))</f>
        <v/>
      </c>
      <c r="AJ173" s="79" t="str">
        <f aca="false">IF(H173&lt;&gt;"","",(4-VALUE(RIGHT(E173,1)))*10^7+N(O173))</f>
        <v/>
      </c>
      <c r="AK173" s="79" t="str">
        <f aca="false">IF(AND(H173="",ISNUMBER(I173)),I173,"")</f>
        <v/>
      </c>
      <c r="AL173" s="79" t="str">
        <f aca="false">IF(H173="",M173,"")</f>
        <v/>
      </c>
    </row>
    <row r="174" customFormat="false" ht="41.75" hidden="false" customHeight="false" outlineLevel="0" collapsed="false">
      <c r="A174" s="16" t="s">
        <v>234</v>
      </c>
      <c r="B174" s="16" t="s">
        <v>534</v>
      </c>
      <c r="C174" s="17" t="s">
        <v>906</v>
      </c>
      <c r="D174" s="17" t="s">
        <v>535</v>
      </c>
      <c r="E174" s="15" t="str">
        <f aca="false">IF(H174&lt;&gt;"",IF(LEFT(H174,5)="Price","Excluded – price ≤ USD 5","Excluded – IV only"),IF(ISNUMBER(I174),IF(AND(I174&gt;=$C$3,M174&gt;=$E$3),"Priority 1",IF(OR(I174&gt;=$C$3,M174&gt;=$E$3),"Priority 2","Priority 3")),IF(M174&gt;=$E$3,"Priority 2","Priority 3")))</f>
        <v>Excluded – IV only</v>
      </c>
      <c r="F174" s="15" t="str">
        <f aca="false">IF(H174&lt;&gt;"","",COUNTIFS($A$29:$A$361,A174,$H$29:$H$361,"",$AJ$29:$AJ$361,"&gt;"&amp;AJ174)+COUNTIFS($A$29:A174,A174,$H$29:H174,"",$AJ$29:AJ174,AJ174))</f>
        <v/>
      </c>
      <c r="G174" s="17" t="str">
        <f aca="false">IF(H174&lt;&gt;"","",IF(ISNUMBER(I174),IF(I174&gt;=$C$3,"High price","Lower price"),"No price")&amp;", "&amp;IF(M174&gt;=$E$3,"high volume","lower volume"))</f>
        <v/>
      </c>
      <c r="H174" s="17" t="str">
        <f aca="false">IF(Q174="No","IV only (no ID, IM or SC route)",IF(AND(AE174&gt;0,AF174=0),"Price ≤ USD 5",""))</f>
        <v>IV only (no ID, IM or SC route)</v>
      </c>
      <c r="I174" s="18" t="n">
        <f aca="false">IF(AF174&gt;0,ROUND(AVERAGEIFS('Shortlisted Drugs X Company (7)'!$N$3:$N$698,'Shortlisted Drugs X Company (7)'!$C$3:$C$698,$B174,'Shortlisted Drugs X Company (7)'!$E$3:$E$698,$AA174,'Shortlisted Drugs X Company (7)'!$N$3:$N$698,"&gt;5"),2),"")</f>
        <v>6.08</v>
      </c>
      <c r="J174" s="17" t="str">
        <f aca="false">IF(COUNTIFS('Shortlisted Drugs X Company (7)'!$C$3:$C$698,$B174,'Shortlisted Drugs X Company (7)'!$E$3:$E$698,$AA174,'Shortlisted Drugs X Company (7)'!$P$3:$P$698,"Exact")&gt;0,"Exact",IF(COUNTIFS('Shortlisted Drugs X Company (7)'!$C$3:$C$698,$B174,'Shortlisted Drugs X Company (7)'!$E$3:$E$698,$AA174,'Shortlisted Drugs X Company (7)'!$P$3:$P$698,"Same-market proxy")&gt;0,"Same-market proxy",IF(COUNTIFS('Shortlisted Drugs X Company (7)'!$C$3:$C$698,$B174,'Shortlisted Drugs X Company (7)'!$E$3:$E$698,$AA174,'Shortlisted Drugs X Company (7)'!$P$3:$P$698,"Cross-market proxy")&gt;0,"Cross-market proxy",IF(COUNTIFS('Shortlisted Drugs X Company (7)'!$C$3:$C$698,$B174,'Shortlisted Drugs X Company (7)'!$E$3:$E$698,$AA174,'Shortlisted Drugs X Company (7)'!$P$3:$P$698,"Source not found")&gt;0,"Source not found","No price found"))))</f>
        <v>Same-market proxy</v>
      </c>
      <c r="K174" s="19" t="n">
        <f aca="false">IFERROR(INDEX('Injectable Value'!$AB$28:$AB$178,MATCH(B174,'Injectable Value'!$A$28:$A$178,0)),"")</f>
        <v>3515</v>
      </c>
      <c r="L174" s="77" t="n">
        <f aca="false">IFERROR(INDEX('Injectable Value'!$Z$28:$Z$178,MATCH(B174,'Injectable Value'!$A$28:$A$178,0)),"")</f>
        <v>0.251824206147514</v>
      </c>
      <c r="M174" s="19" t="n">
        <f aca="false">IFERROR(INDEX('Injectable Value'!$AC$28:$AC$178,MATCH(B174,'Injectable Value'!$A$28:$A$178,0)),"")</f>
        <v>885</v>
      </c>
      <c r="N174" s="19" t="n">
        <f aca="false">IFERROR(INDEX('Injectable Value'!$C$28:$C$178,MATCH(B174,'Injectable Value'!$A$28:$A$178,0)),"")</f>
        <v>140084.73</v>
      </c>
      <c r="O174" s="19" t="n">
        <f aca="false">IFERROR(ROUND(INDEX('Injectable Value'!$AA$28:$AA$178,MATCH(B174,'Injectable Value'!$A$28:$A$178,0)),1),"")</f>
        <v>35276.7</v>
      </c>
      <c r="P174" s="16" t="str">
        <f aca="false">IFERROR(INDEX('Route of Administration'!$C$5:$C$155,MATCH(B174,'Route of Administration'!$A$5:$A$155,0)),"")</f>
        <v>IV</v>
      </c>
      <c r="Q174" s="15" t="str">
        <f aca="false">IFERROR(INDEX('Route of Administration'!$D$5:$D$155,MATCH(B174,'Route of Administration'!$A$5:$A$155,0)),"")</f>
        <v>No</v>
      </c>
      <c r="R174" s="16" t="s">
        <v>281</v>
      </c>
      <c r="S174" s="17" t="s">
        <v>807</v>
      </c>
      <c r="T174" s="16" t="s">
        <v>333</v>
      </c>
      <c r="U174" s="17" t="str">
        <f aca="false">"Reconstitution"&amp;IF(AE174=0,"; No price found","")&amp;IF(AND(AE174&gt;0,AF174=0,AG174=0),"; Low price comes from another market – confirm with the company","")</f>
        <v>Reconstitution</v>
      </c>
      <c r="V174" s="17" t="s">
        <v>886</v>
      </c>
      <c r="W174" s="15" t="n">
        <v>5</v>
      </c>
      <c r="X174" s="17" t="s">
        <v>887</v>
      </c>
      <c r="Y174" s="17" t="s">
        <v>887</v>
      </c>
      <c r="Z174" s="17" t="s">
        <v>286</v>
      </c>
      <c r="AA174" s="16" t="s">
        <v>870</v>
      </c>
      <c r="AB174" s="78" t="s">
        <v>540</v>
      </c>
      <c r="AC174" s="20" t="n">
        <f aca="false">IF(AE174&gt;0,ROUND(AVERAGEIFS('Shortlisted Drugs X Company (7)'!$N$3:$N$698,'Shortlisted Drugs X Company (7)'!$C$3:$C$698,$B174,'Shortlisted Drugs X Company (7)'!$E$3:$E$698,$AA174,'Shortlisted Drugs X Company (7)'!$N$3:$N$698,"&gt;=0"),2),"")</f>
        <v>6.08</v>
      </c>
      <c r="AD174" s="79" t="str">
        <f aca="false">B174&amp;"|"&amp;AA174</f>
        <v>Pantoprazole|Hetero Labs</v>
      </c>
      <c r="AE174" s="22" t="n">
        <f aca="false">COUNTIFS('Shortlisted Drugs X Company (7)'!$C$3:$C$698,$B174,'Shortlisted Drugs X Company (7)'!$E$3:$E$698,$AA174,'Shortlisted Drugs X Company (7)'!$N$3:$N$698,"&gt;=0")</f>
        <v>2</v>
      </c>
      <c r="AF174" s="22" t="n">
        <f aca="false">COUNTIFS('Shortlisted Drugs X Company (7)'!$C$3:$C$698,$B174,'Shortlisted Drugs X Company (7)'!$E$3:$E$698,$AA174,'Shortlisted Drugs X Company (7)'!$N$3:$N$698,"&gt;5")</f>
        <v>2</v>
      </c>
      <c r="AG174" s="22" t="n">
        <f aca="false">COUNTIFS('Shortlisted Drugs X Company (7)'!$C$3:$C$698,$B174,'Shortlisted Drugs X Company (7)'!$E$3:$E$698,$AA174,'Shortlisted Drugs X Company (7)'!$P$3:$P$698,"Exact")+COUNTIFS('Shortlisted Drugs X Company (7)'!$C$3:$C$698,$B174,'Shortlisted Drugs X Company (7)'!$E$3:$E$698,$AA174,'Shortlisted Drugs X Company (7)'!$P$3:$P$698,"Same-market proxy")</f>
        <v>1</v>
      </c>
      <c r="AH174" s="22" t="n">
        <f aca="false">INDEX($G$7:$G$25,MATCH(A174,$A$7:$A$25,0))</f>
        <v>8</v>
      </c>
      <c r="AI174" s="79" t="str">
        <f aca="false">IF(OR(Q174="No",LEFT(H174,7)="IV only"),"",AH174*1000+IF(F174="",900+COUNTIFS($A$29:A174,A174,$H$29:H174,"Price*"),F174))</f>
        <v/>
      </c>
      <c r="AJ174" s="79" t="str">
        <f aca="false">IF(H174&lt;&gt;"","",(4-VALUE(RIGHT(E174,1)))*10^7+N(O174))</f>
        <v/>
      </c>
      <c r="AK174" s="79" t="str">
        <f aca="false">IF(AND(H174="",ISNUMBER(I174)),I174,"")</f>
        <v/>
      </c>
      <c r="AL174" s="79" t="str">
        <f aca="false">IF(H174="",M174,"")</f>
        <v/>
      </c>
    </row>
    <row r="175" customFormat="false" ht="41.75" hidden="false" customHeight="false" outlineLevel="0" collapsed="false">
      <c r="A175" s="16" t="s">
        <v>234</v>
      </c>
      <c r="B175" s="16" t="s">
        <v>541</v>
      </c>
      <c r="C175" s="17" t="s">
        <v>907</v>
      </c>
      <c r="D175" s="17" t="s">
        <v>543</v>
      </c>
      <c r="E175" s="15" t="str">
        <f aca="false">IF(H175&lt;&gt;"",IF(LEFT(H175,5)="Price","Excluded – price ≤ USD 5","Excluded – IV only"),IF(ISNUMBER(I175),IF(AND(I175&gt;=$C$3,M175&gt;=$E$3),"Priority 1",IF(OR(I175&gt;=$C$3,M175&gt;=$E$3),"Priority 2","Priority 3")),IF(M175&gt;=$E$3,"Priority 2","Priority 3")))</f>
        <v>Priority 2</v>
      </c>
      <c r="F175" s="15" t="n">
        <f aca="false">IF(H175&lt;&gt;"","",COUNTIFS($A$29:$A$361,A175,$H$29:$H$361,"",$AJ$29:$AJ$361,"&gt;"&amp;AJ175)+COUNTIFS($A$29:A175,A175,$H$29:H175,"",$AJ$29:AJ175,AJ175))</f>
        <v>4</v>
      </c>
      <c r="G175" s="17" t="str">
        <f aca="false">IF(H175&lt;&gt;"","",IF(ISNUMBER(I175),IF(I175&gt;=$C$3,"High price","Lower price"),"No price")&amp;", "&amp;IF(M175&gt;=$E$3,"high volume","lower volume"))</f>
        <v>High price, lower volume</v>
      </c>
      <c r="H175" s="17" t="str">
        <f aca="false">IF(Q175="No","IV only (no ID, IM or SC route)",IF(AND(AE175&gt;0,AF175=0),"Price ≤ USD 5",""))</f>
        <v/>
      </c>
      <c r="I175" s="18" t="n">
        <f aca="false">IF(AF175&gt;0,ROUND(AVERAGEIFS('Shortlisted Drugs X Company (7)'!$N$3:$N$698,'Shortlisted Drugs X Company (7)'!$C$3:$C$698,$B175,'Shortlisted Drugs X Company (7)'!$E$3:$E$698,$AA175,'Shortlisted Drugs X Company (7)'!$N$3:$N$698,"&gt;5"),2),"")</f>
        <v>4289.93</v>
      </c>
      <c r="J175" s="17" t="str">
        <f aca="false">IF(COUNTIFS('Shortlisted Drugs X Company (7)'!$C$3:$C$698,$B175,'Shortlisted Drugs X Company (7)'!$E$3:$E$698,$AA175,'Shortlisted Drugs X Company (7)'!$P$3:$P$698,"Exact")&gt;0,"Exact",IF(COUNTIFS('Shortlisted Drugs X Company (7)'!$C$3:$C$698,$B175,'Shortlisted Drugs X Company (7)'!$E$3:$E$698,$AA175,'Shortlisted Drugs X Company (7)'!$P$3:$P$698,"Same-market proxy")&gt;0,"Same-market proxy",IF(COUNTIFS('Shortlisted Drugs X Company (7)'!$C$3:$C$698,$B175,'Shortlisted Drugs X Company (7)'!$E$3:$E$698,$AA175,'Shortlisted Drugs X Company (7)'!$P$3:$P$698,"Cross-market proxy")&gt;0,"Cross-market proxy",IF(COUNTIFS('Shortlisted Drugs X Company (7)'!$C$3:$C$698,$B175,'Shortlisted Drugs X Company (7)'!$E$3:$E$698,$AA175,'Shortlisted Drugs X Company (7)'!$P$3:$P$698,"Source not found")&gt;0,"Source not found","No price found"))))</f>
        <v>Exact</v>
      </c>
      <c r="K175" s="19" t="n">
        <f aca="false">IFERROR(INDEX('Injectable Value'!$AB$28:$AB$178,MATCH(B175,'Injectable Value'!$A$28:$A$178,0)),"")</f>
        <v>47</v>
      </c>
      <c r="L175" s="77" t="n">
        <f aca="false">IFERROR(INDEX('Injectable Value'!$Z$28:$Z$178,MATCH(B175,'Injectable Value'!$A$28:$A$178,0)),"")</f>
        <v>1</v>
      </c>
      <c r="M175" s="19" t="n">
        <f aca="false">IFERROR(INDEX('Injectable Value'!$AC$28:$AC$178,MATCH(B175,'Injectable Value'!$A$28:$A$178,0)),"")</f>
        <v>47</v>
      </c>
      <c r="N175" s="19" t="n">
        <f aca="false">IFERROR(INDEX('Injectable Value'!$C$28:$C$178,MATCH(B175,'Injectable Value'!$A$28:$A$178,0)),"")</f>
        <v>7904.67</v>
      </c>
      <c r="O175" s="19" t="n">
        <f aca="false">IFERROR(ROUND(INDEX('Injectable Value'!$AA$28:$AA$178,MATCH(B175,'Injectable Value'!$A$28:$A$178,0)),1),"")</f>
        <v>7904.7</v>
      </c>
      <c r="P175" s="16" t="str">
        <f aca="false">IFERROR(INDEX('Route of Administration'!$C$5:$C$155,MATCH(B175,'Route of Administration'!$A$5:$A$155,0)),"")</f>
        <v>SC</v>
      </c>
      <c r="Q175" s="15" t="str">
        <f aca="false">IFERROR(INDEX('Route of Administration'!$D$5:$D$155,MATCH(B175,'Route of Administration'!$A$5:$A$155,0)),"")</f>
        <v>Yes</v>
      </c>
      <c r="R175" s="16" t="s">
        <v>281</v>
      </c>
      <c r="S175" s="17" t="s">
        <v>544</v>
      </c>
      <c r="T175" s="16" t="s">
        <v>283</v>
      </c>
      <c r="U175" s="17" t="str">
        <f aca="false">""&amp;IF(AE175=0,"No price found","")&amp;IF(AND(AE175&gt;0,AF175=0,AG175=0),"Low price comes from another market – confirm with the company","")</f>
        <v/>
      </c>
      <c r="V175" s="17" t="s">
        <v>859</v>
      </c>
      <c r="W175" s="15" t="n">
        <v>7</v>
      </c>
      <c r="X175" s="17" t="s">
        <v>908</v>
      </c>
      <c r="Y175" s="17" t="s">
        <v>908</v>
      </c>
      <c r="Z175" s="17" t="s">
        <v>286</v>
      </c>
      <c r="AA175" s="16" t="s">
        <v>870</v>
      </c>
      <c r="AB175" s="78" t="s">
        <v>547</v>
      </c>
      <c r="AC175" s="20" t="n">
        <f aca="false">IF(AE175&gt;0,ROUND(AVERAGEIFS('Shortlisted Drugs X Company (7)'!$N$3:$N$698,'Shortlisted Drugs X Company (7)'!$C$3:$C$698,$B175,'Shortlisted Drugs X Company (7)'!$E$3:$E$698,$AA175,'Shortlisted Drugs X Company (7)'!$N$3:$N$698,"&gt;=0"),2),"")</f>
        <v>4289.93</v>
      </c>
      <c r="AD175" s="79" t="str">
        <f aca="false">B175&amp;"|"&amp;AA175</f>
        <v>Plerixafor|Hetero Labs</v>
      </c>
      <c r="AE175" s="22" t="n">
        <f aca="false">COUNTIFS('Shortlisted Drugs X Company (7)'!$C$3:$C$698,$B175,'Shortlisted Drugs X Company (7)'!$E$3:$E$698,$AA175,'Shortlisted Drugs X Company (7)'!$N$3:$N$698,"&gt;=0")</f>
        <v>4</v>
      </c>
      <c r="AF175" s="22" t="n">
        <f aca="false">COUNTIFS('Shortlisted Drugs X Company (7)'!$C$3:$C$698,$B175,'Shortlisted Drugs X Company (7)'!$E$3:$E$698,$AA175,'Shortlisted Drugs X Company (7)'!$N$3:$N$698,"&gt;5")</f>
        <v>4</v>
      </c>
      <c r="AG175" s="22" t="n">
        <f aca="false">COUNTIFS('Shortlisted Drugs X Company (7)'!$C$3:$C$698,$B175,'Shortlisted Drugs X Company (7)'!$E$3:$E$698,$AA175,'Shortlisted Drugs X Company (7)'!$P$3:$P$698,"Exact")+COUNTIFS('Shortlisted Drugs X Company (7)'!$C$3:$C$698,$B175,'Shortlisted Drugs X Company (7)'!$E$3:$E$698,$AA175,'Shortlisted Drugs X Company (7)'!$P$3:$P$698,"Same-market proxy")</f>
        <v>3</v>
      </c>
      <c r="AH175" s="22" t="n">
        <f aca="false">INDEX($G$7:$G$25,MATCH(A175,$A$7:$A$25,0))</f>
        <v>8</v>
      </c>
      <c r="AI175" s="79" t="n">
        <f aca="false">IF(OR(Q175="No",LEFT(H175,7)="IV only"),"",AH175*1000+IF(F175="",900+COUNTIFS($A$29:A175,A175,$H$29:H175,"Price*"),F175))</f>
        <v>8004</v>
      </c>
      <c r="AJ175" s="79" t="n">
        <f aca="false">IF(H175&lt;&gt;"","",(4-VALUE(RIGHT(E175,1)))*10^7+N(O175))</f>
        <v>20007904.7</v>
      </c>
      <c r="AK175" s="20" t="n">
        <f aca="false">IF(AND(H175="",ISNUMBER(I175)),I175,"")</f>
        <v>4289.93</v>
      </c>
      <c r="AL175" s="21" t="n">
        <f aca="false">IF(H175="",M175,"")</f>
        <v>47</v>
      </c>
    </row>
    <row r="176" customFormat="false" ht="28.35" hidden="false" customHeight="false" outlineLevel="0" collapsed="false">
      <c r="A176" s="16" t="s">
        <v>234</v>
      </c>
      <c r="B176" s="16" t="s">
        <v>839</v>
      </c>
      <c r="C176" s="17" t="s">
        <v>839</v>
      </c>
      <c r="D176" s="17" t="s">
        <v>840</v>
      </c>
      <c r="E176" s="15" t="str">
        <f aca="false">IF(H176&lt;&gt;"",IF(LEFT(H176,5)="Price","Excluded – price ≤ USD 5","Excluded – IV only"),IF(ISNUMBER(I176),IF(AND(I176&gt;=$C$3,M176&gt;=$E$3),"Priority 1",IF(OR(I176&gt;=$C$3,M176&gt;=$E$3),"Priority 2","Priority 3")),IF(M176&gt;=$E$3,"Priority 2","Priority 3")))</f>
        <v>Excluded – IV only</v>
      </c>
      <c r="F176" s="15" t="str">
        <f aca="false">IF(H176&lt;&gt;"","",COUNTIFS($A$29:$A$361,A176,$H$29:$H$361,"",$AJ$29:$AJ$361,"&gt;"&amp;AJ176)+COUNTIFS($A$29:A176,A176,$H$29:H176,"",$AJ$29:AJ176,AJ176))</f>
        <v/>
      </c>
      <c r="G176" s="17" t="str">
        <f aca="false">IF(H176&lt;&gt;"","",IF(ISNUMBER(I176),IF(I176&gt;=$C$3,"High price","Lower price"),"No price")&amp;", "&amp;IF(M176&gt;=$E$3,"high volume","lower volume"))</f>
        <v/>
      </c>
      <c r="H176" s="17" t="str">
        <f aca="false">IF(Q176="No","IV only (no ID, IM or SC route)",IF(AND(AE176&gt;0,AF176=0),"Price ≤ USD 5",""))</f>
        <v>IV only (no ID, IM or SC route)</v>
      </c>
      <c r="I176" s="18" t="str">
        <f aca="false">IF(AF176&gt;0,ROUND(AVERAGEIFS('Shortlisted Drugs X Company (7)'!$N$3:$N$698,'Shortlisted Drugs X Company (7)'!$C$3:$C$698,$B176,'Shortlisted Drugs X Company (7)'!$E$3:$E$698,$AA176,'Shortlisted Drugs X Company (7)'!$N$3:$N$698,"&gt;5"),2),"")</f>
        <v/>
      </c>
      <c r="J176" s="17" t="str">
        <f aca="false">IF(COUNTIFS('Shortlisted Drugs X Company (7)'!$C$3:$C$698,$B176,'Shortlisted Drugs X Company (7)'!$E$3:$E$698,$AA176,'Shortlisted Drugs X Company (7)'!$P$3:$P$698,"Exact")&gt;0,"Exact",IF(COUNTIFS('Shortlisted Drugs X Company (7)'!$C$3:$C$698,$B176,'Shortlisted Drugs X Company (7)'!$E$3:$E$698,$AA176,'Shortlisted Drugs X Company (7)'!$P$3:$P$698,"Same-market proxy")&gt;0,"Same-market proxy",IF(COUNTIFS('Shortlisted Drugs X Company (7)'!$C$3:$C$698,$B176,'Shortlisted Drugs X Company (7)'!$E$3:$E$698,$AA176,'Shortlisted Drugs X Company (7)'!$P$3:$P$698,"Cross-market proxy")&gt;0,"Cross-market proxy",IF(COUNTIFS('Shortlisted Drugs X Company (7)'!$C$3:$C$698,$B176,'Shortlisted Drugs X Company (7)'!$E$3:$E$698,$AA176,'Shortlisted Drugs X Company (7)'!$P$3:$P$698,"Source not found")&gt;0,"Source not found","No price found"))))</f>
        <v>Same-market proxy</v>
      </c>
      <c r="K176" s="19" t="n">
        <f aca="false">IFERROR(INDEX('Injectable Value'!$AB$28:$AB$178,MATCH(B176,'Injectable Value'!$A$28:$A$178,0)),"")</f>
        <v>615</v>
      </c>
      <c r="L176" s="77" t="n">
        <f aca="false">IFERROR(INDEX('Injectable Value'!$Z$28:$Z$178,MATCH(B176,'Injectable Value'!$A$28:$A$178,0)),"")</f>
        <v>0.998949579831933</v>
      </c>
      <c r="M176" s="19" t="n">
        <f aca="false">IFERROR(INDEX('Injectable Value'!$AC$28:$AC$178,MATCH(B176,'Injectable Value'!$A$28:$A$178,0)),"")</f>
        <v>614</v>
      </c>
      <c r="N176" s="19" t="n">
        <f aca="false">IFERROR(INDEX('Injectable Value'!$C$28:$C$178,MATCH(B176,'Injectable Value'!$A$28:$A$178,0)),"")</f>
        <v>54682.27</v>
      </c>
      <c r="O176" s="19" t="n">
        <f aca="false">IFERROR(ROUND(INDEX('Injectable Value'!$AA$28:$AA$178,MATCH(B176,'Injectable Value'!$A$28:$A$178,0)),1),"")</f>
        <v>54624.8</v>
      </c>
      <c r="P176" s="16" t="str">
        <f aca="false">IFERROR(INDEX('Route of Administration'!$C$5:$C$155,MATCH(B176,'Route of Administration'!$A$5:$A$155,0)),"")</f>
        <v>IV</v>
      </c>
      <c r="Q176" s="15" t="str">
        <f aca="false">IFERROR(INDEX('Route of Administration'!$D$5:$D$155,MATCH(B176,'Route of Administration'!$A$5:$A$155,0)),"")</f>
        <v>No</v>
      </c>
      <c r="R176" s="16" t="s">
        <v>310</v>
      </c>
      <c r="S176" s="17" t="s">
        <v>909</v>
      </c>
      <c r="T176" s="16" t="s">
        <v>310</v>
      </c>
      <c r="U176" s="17" t="str">
        <f aca="false">""&amp;IF(AE176=0,"No price found","")&amp;IF(AND(AE176&gt;0,AF176=0,AG176=0),"Low price comes from another market – confirm with the company","")</f>
        <v/>
      </c>
      <c r="V176" s="17" t="s">
        <v>284</v>
      </c>
      <c r="W176" s="15" t="n">
        <v>1</v>
      </c>
      <c r="X176" s="17" t="s">
        <v>284</v>
      </c>
      <c r="Y176" s="17" t="s">
        <v>284</v>
      </c>
      <c r="Z176" s="17" t="s">
        <v>312</v>
      </c>
      <c r="AA176" s="16" t="s">
        <v>870</v>
      </c>
      <c r="AB176" s="78" t="s">
        <v>842</v>
      </c>
      <c r="AC176" s="20" t="n">
        <f aca="false">IF(AE176&gt;0,ROUND(AVERAGEIFS('Shortlisted Drugs X Company (7)'!$N$3:$N$698,'Shortlisted Drugs X Company (7)'!$C$3:$C$698,$B176,'Shortlisted Drugs X Company (7)'!$E$3:$E$698,$AA176,'Shortlisted Drugs X Company (7)'!$N$3:$N$698,"&gt;=0"),2),"")</f>
        <v>1.86</v>
      </c>
      <c r="AD176" s="79" t="str">
        <f aca="false">B176&amp;"|"&amp;AA176</f>
        <v>Propofol|Hetero Labs</v>
      </c>
      <c r="AE176" s="22" t="n">
        <f aca="false">COUNTIFS('Shortlisted Drugs X Company (7)'!$C$3:$C$698,$B176,'Shortlisted Drugs X Company (7)'!$E$3:$E$698,$AA176,'Shortlisted Drugs X Company (7)'!$N$3:$N$698,"&gt;=0")</f>
        <v>1</v>
      </c>
      <c r="AF176" s="22" t="n">
        <f aca="false">COUNTIFS('Shortlisted Drugs X Company (7)'!$C$3:$C$698,$B176,'Shortlisted Drugs X Company (7)'!$E$3:$E$698,$AA176,'Shortlisted Drugs X Company (7)'!$N$3:$N$698,"&gt;5")</f>
        <v>0</v>
      </c>
      <c r="AG176" s="22" t="n">
        <f aca="false">COUNTIFS('Shortlisted Drugs X Company (7)'!$C$3:$C$698,$B176,'Shortlisted Drugs X Company (7)'!$E$3:$E$698,$AA176,'Shortlisted Drugs X Company (7)'!$P$3:$P$698,"Exact")+COUNTIFS('Shortlisted Drugs X Company (7)'!$C$3:$C$698,$B176,'Shortlisted Drugs X Company (7)'!$E$3:$E$698,$AA176,'Shortlisted Drugs X Company (7)'!$P$3:$P$698,"Same-market proxy")</f>
        <v>1</v>
      </c>
      <c r="AH176" s="22" t="n">
        <f aca="false">INDEX($G$7:$G$25,MATCH(A176,$A$7:$A$25,0))</f>
        <v>8</v>
      </c>
      <c r="AI176" s="79" t="str">
        <f aca="false">IF(OR(Q176="No",LEFT(H176,7)="IV only"),"",AH176*1000+IF(F176="",900+COUNTIFS($A$29:A176,A176,$H$29:H176,"Price*"),F176))</f>
        <v/>
      </c>
      <c r="AJ176" s="79" t="str">
        <f aca="false">IF(H176&lt;&gt;"","",(4-VALUE(RIGHT(E176,1)))*10^7+N(O176))</f>
        <v/>
      </c>
      <c r="AK176" s="79" t="str">
        <f aca="false">IF(AND(H176="",ISNUMBER(I176)),I176,"")</f>
        <v/>
      </c>
      <c r="AL176" s="79" t="str">
        <f aca="false">IF(H176="",M176,"")</f>
        <v/>
      </c>
    </row>
    <row r="177" customFormat="false" ht="28.35" hidden="false" customHeight="false" outlineLevel="0" collapsed="false">
      <c r="A177" s="16" t="s">
        <v>234</v>
      </c>
      <c r="B177" s="16" t="s">
        <v>910</v>
      </c>
      <c r="C177" s="17" t="s">
        <v>911</v>
      </c>
      <c r="D177" s="17" t="s">
        <v>596</v>
      </c>
      <c r="E177" s="15" t="str">
        <f aca="false">IF(H177&lt;&gt;"",IF(LEFT(H177,5)="Price","Excluded – price ≤ USD 5","Excluded – IV only"),IF(ISNUMBER(I177),IF(AND(I177&gt;=$C$3,M177&gt;=$E$3),"Priority 1",IF(OR(I177&gt;=$C$3,M177&gt;=$E$3),"Priority 2","Priority 3")),IF(M177&gt;=$E$3,"Priority 2","Priority 3")))</f>
        <v>Excluded – IV only</v>
      </c>
      <c r="F177" s="15" t="str">
        <f aca="false">IF(H177&lt;&gt;"","",COUNTIFS($A$29:$A$361,A177,$H$29:$H$361,"",$AJ$29:$AJ$361,"&gt;"&amp;AJ177)+COUNTIFS($A$29:A177,A177,$H$29:H177,"",$AJ$29:AJ177,AJ177))</f>
        <v/>
      </c>
      <c r="G177" s="17" t="str">
        <f aca="false">IF(H177&lt;&gt;"","",IF(ISNUMBER(I177),IF(I177&gt;=$C$3,"High price","Lower price"),"No price")&amp;", "&amp;IF(M177&gt;=$E$3,"high volume","lower volume"))</f>
        <v/>
      </c>
      <c r="H177" s="17" t="str">
        <f aca="false">IF(Q177="No","IV only (no ID, IM or SC route)",IF(AND(AE177&gt;0,AF177=0),"Price ≤ USD 5",""))</f>
        <v>IV only (no ID, IM or SC route)</v>
      </c>
      <c r="I177" s="18" t="n">
        <f aca="false">IF(AF177&gt;0,ROUND(AVERAGEIFS('Shortlisted Drugs X Company (7)'!$N$3:$N$698,'Shortlisted Drugs X Company (7)'!$C$3:$C$698,$B177,'Shortlisted Drugs X Company (7)'!$E$3:$E$698,$AA177,'Shortlisted Drugs X Company (7)'!$N$3:$N$698,"&gt;5"),2),"")</f>
        <v>6.17</v>
      </c>
      <c r="J177" s="17" t="str">
        <f aca="false">IF(COUNTIFS('Shortlisted Drugs X Company (7)'!$C$3:$C$698,$B177,'Shortlisted Drugs X Company (7)'!$E$3:$E$698,$AA177,'Shortlisted Drugs X Company (7)'!$P$3:$P$698,"Exact")&gt;0,"Exact",IF(COUNTIFS('Shortlisted Drugs X Company (7)'!$C$3:$C$698,$B177,'Shortlisted Drugs X Company (7)'!$E$3:$E$698,$AA177,'Shortlisted Drugs X Company (7)'!$P$3:$P$698,"Same-market proxy")&gt;0,"Same-market proxy",IF(COUNTIFS('Shortlisted Drugs X Company (7)'!$C$3:$C$698,$B177,'Shortlisted Drugs X Company (7)'!$E$3:$E$698,$AA177,'Shortlisted Drugs X Company (7)'!$P$3:$P$698,"Cross-market proxy")&gt;0,"Cross-market proxy",IF(COUNTIFS('Shortlisted Drugs X Company (7)'!$C$3:$C$698,$B177,'Shortlisted Drugs X Company (7)'!$E$3:$E$698,$AA177,'Shortlisted Drugs X Company (7)'!$P$3:$P$698,"Source not found")&gt;0,"Source not found","No price found"))))</f>
        <v>Cross-market proxy</v>
      </c>
      <c r="K177" s="19" t="n">
        <f aca="false">IFERROR(INDEX('Injectable Value'!$AB$28:$AB$178,MATCH(B177,'Injectable Value'!$A$28:$A$178,0)),"")</f>
        <v>264</v>
      </c>
      <c r="L177" s="77" t="n">
        <f aca="false">IFERROR(INDEX('Injectable Value'!$Z$28:$Z$178,MATCH(B177,'Injectable Value'!$A$28:$A$178,0)),"")</f>
        <v>0.989010989010989</v>
      </c>
      <c r="M177" s="19" t="n">
        <f aca="false">IFERROR(INDEX('Injectable Value'!$AC$28:$AC$178,MATCH(B177,'Injectable Value'!$A$28:$A$178,0)),"")</f>
        <v>261</v>
      </c>
      <c r="N177" s="19" t="n">
        <f aca="false">IFERROR(INDEX('Injectable Value'!$C$28:$C$178,MATCH(B177,'Injectable Value'!$A$28:$A$178,0)),"")</f>
        <v>20408.58</v>
      </c>
      <c r="O177" s="19" t="n">
        <f aca="false">IFERROR(ROUND(INDEX('Injectable Value'!$AA$28:$AA$178,MATCH(B177,'Injectable Value'!$A$28:$A$178,0)),1),"")</f>
        <v>20184.3</v>
      </c>
      <c r="P177" s="16" t="str">
        <f aca="false">IFERROR(INDEX('Route of Administration'!$C$5:$C$155,MATCH(B177,'Route of Administration'!$A$5:$A$155,0)),"")</f>
        <v>IV</v>
      </c>
      <c r="Q177" s="15" t="str">
        <f aca="false">IFERROR(INDEX('Route of Administration'!$D$5:$D$155,MATCH(B177,'Route of Administration'!$A$5:$A$155,0)),"")</f>
        <v>No</v>
      </c>
      <c r="R177" s="16" t="s">
        <v>281</v>
      </c>
      <c r="S177" s="17" t="s">
        <v>877</v>
      </c>
      <c r="T177" s="16" t="s">
        <v>283</v>
      </c>
      <c r="U177" s="17" t="str">
        <f aca="false">""&amp;IF(AE177=0,"No price found","")&amp;IF(AND(AE177&gt;0,AF177=0,AG177=0),"Low price comes from another market – confirm with the company","")</f>
        <v/>
      </c>
      <c r="V177" s="17" t="s">
        <v>912</v>
      </c>
      <c r="W177" s="15" t="n">
        <v>1</v>
      </c>
      <c r="X177" s="17" t="s">
        <v>912</v>
      </c>
      <c r="Y177" s="17" t="s">
        <v>912</v>
      </c>
      <c r="Z177" s="17" t="s">
        <v>286</v>
      </c>
      <c r="AA177" s="16" t="s">
        <v>870</v>
      </c>
      <c r="AB177" s="78" t="s">
        <v>913</v>
      </c>
      <c r="AC177" s="20" t="n">
        <f aca="false">IF(AE177&gt;0,ROUND(AVERAGEIFS('Shortlisted Drugs X Company (7)'!$N$3:$N$698,'Shortlisted Drugs X Company (7)'!$C$3:$C$698,$B177,'Shortlisted Drugs X Company (7)'!$E$3:$E$698,$AA177,'Shortlisted Drugs X Company (7)'!$N$3:$N$698,"&gt;=0"),2),"")</f>
        <v>6.17</v>
      </c>
      <c r="AD177" s="79" t="str">
        <f aca="false">B177&amp;"|"&amp;AA177</f>
        <v>Rocuronium|Hetero Labs</v>
      </c>
      <c r="AE177" s="22" t="n">
        <f aca="false">COUNTIFS('Shortlisted Drugs X Company (7)'!$C$3:$C$698,$B177,'Shortlisted Drugs X Company (7)'!$E$3:$E$698,$AA177,'Shortlisted Drugs X Company (7)'!$N$3:$N$698,"&gt;=0")</f>
        <v>1</v>
      </c>
      <c r="AF177" s="22" t="n">
        <f aca="false">COUNTIFS('Shortlisted Drugs X Company (7)'!$C$3:$C$698,$B177,'Shortlisted Drugs X Company (7)'!$E$3:$E$698,$AA177,'Shortlisted Drugs X Company (7)'!$N$3:$N$698,"&gt;5")</f>
        <v>1</v>
      </c>
      <c r="AG177" s="22" t="n">
        <f aca="false">COUNTIFS('Shortlisted Drugs X Company (7)'!$C$3:$C$698,$B177,'Shortlisted Drugs X Company (7)'!$E$3:$E$698,$AA177,'Shortlisted Drugs X Company (7)'!$P$3:$P$698,"Exact")+COUNTIFS('Shortlisted Drugs X Company (7)'!$C$3:$C$698,$B177,'Shortlisted Drugs X Company (7)'!$E$3:$E$698,$AA177,'Shortlisted Drugs X Company (7)'!$P$3:$P$698,"Same-market proxy")</f>
        <v>0</v>
      </c>
      <c r="AH177" s="22" t="n">
        <f aca="false">INDEX($G$7:$G$25,MATCH(A177,$A$7:$A$25,0))</f>
        <v>8</v>
      </c>
      <c r="AI177" s="79" t="str">
        <f aca="false">IF(OR(Q177="No",LEFT(H177,7)="IV only"),"",AH177*1000+IF(F177="",900+COUNTIFS($A$29:A177,A177,$H$29:H177,"Price*"),F177))</f>
        <v/>
      </c>
      <c r="AJ177" s="79" t="str">
        <f aca="false">IF(H177&lt;&gt;"","",(4-VALUE(RIGHT(E177,1)))*10^7+N(O177))</f>
        <v/>
      </c>
      <c r="AK177" s="79" t="str">
        <f aca="false">IF(AND(H177="",ISNUMBER(I177)),I177,"")</f>
        <v/>
      </c>
      <c r="AL177" s="79" t="str">
        <f aca="false">IF(H177="",M177,"")</f>
        <v/>
      </c>
    </row>
    <row r="178" customFormat="false" ht="28.35" hidden="false" customHeight="false" outlineLevel="0" collapsed="false">
      <c r="A178" s="16" t="s">
        <v>234</v>
      </c>
      <c r="B178" s="16" t="s">
        <v>914</v>
      </c>
      <c r="C178" s="17" t="s">
        <v>914</v>
      </c>
      <c r="D178" s="17" t="s">
        <v>915</v>
      </c>
      <c r="E178" s="15" t="str">
        <f aca="false">IF(H178&lt;&gt;"",IF(LEFT(H178,5)="Price","Excluded – price ≤ USD 5","Excluded – IV only"),IF(ISNUMBER(I178),IF(AND(I178&gt;=$C$3,M178&gt;=$E$3),"Priority 1",IF(OR(I178&gt;=$C$3,M178&gt;=$E$3),"Priority 2","Priority 3")),IF(M178&gt;=$E$3,"Priority 2","Priority 3")))</f>
        <v>Excluded – IV only</v>
      </c>
      <c r="F178" s="15" t="str">
        <f aca="false">IF(H178&lt;&gt;"","",COUNTIFS($A$29:$A$361,A178,$H$29:$H$361,"",$AJ$29:$AJ$361,"&gt;"&amp;AJ178)+COUNTIFS($A$29:A178,A178,$H$29:H178,"",$AJ$29:AJ178,AJ178))</f>
        <v/>
      </c>
      <c r="G178" s="17" t="str">
        <f aca="false">IF(H178&lt;&gt;"","",IF(ISNUMBER(I178),IF(I178&gt;=$C$3,"High price","Lower price"),"No price")&amp;", "&amp;IF(M178&gt;=$E$3,"high volume","lower volume"))</f>
        <v/>
      </c>
      <c r="H178" s="17" t="str">
        <f aca="false">IF(Q178="No","IV only (no ID, IM or SC route)",IF(AND(AE178&gt;0,AF178=0),"Price ≤ USD 5",""))</f>
        <v>IV only (no ID, IM or SC route)</v>
      </c>
      <c r="I178" s="18" t="n">
        <f aca="false">IF(AF178&gt;0,ROUND(AVERAGEIFS('Shortlisted Drugs X Company (7)'!$N$3:$N$698,'Shortlisted Drugs X Company (7)'!$C$3:$C$698,$B178,'Shortlisted Drugs X Company (7)'!$E$3:$E$698,$AA178,'Shortlisted Drugs X Company (7)'!$N$3:$N$698,"&gt;5"),2),"")</f>
        <v>6.53</v>
      </c>
      <c r="J178" s="17" t="str">
        <f aca="false">IF(COUNTIFS('Shortlisted Drugs X Company (7)'!$C$3:$C$698,$B178,'Shortlisted Drugs X Company (7)'!$E$3:$E$698,$AA178,'Shortlisted Drugs X Company (7)'!$P$3:$P$698,"Exact")&gt;0,"Exact",IF(COUNTIFS('Shortlisted Drugs X Company (7)'!$C$3:$C$698,$B178,'Shortlisted Drugs X Company (7)'!$E$3:$E$698,$AA178,'Shortlisted Drugs X Company (7)'!$P$3:$P$698,"Same-market proxy")&gt;0,"Same-market proxy",IF(COUNTIFS('Shortlisted Drugs X Company (7)'!$C$3:$C$698,$B178,'Shortlisted Drugs X Company (7)'!$E$3:$E$698,$AA178,'Shortlisted Drugs X Company (7)'!$P$3:$P$698,"Cross-market proxy")&gt;0,"Cross-market proxy",IF(COUNTIFS('Shortlisted Drugs X Company (7)'!$C$3:$C$698,$B178,'Shortlisted Drugs X Company (7)'!$E$3:$E$698,$AA178,'Shortlisted Drugs X Company (7)'!$P$3:$P$698,"Source not found")&gt;0,"Source not found","No price found"))))</f>
        <v>Same-market proxy</v>
      </c>
      <c r="K178" s="19" t="n">
        <f aca="false">IFERROR(INDEX('Injectable Value'!$AB$28:$AB$178,MATCH(B178,'Injectable Value'!$A$28:$A$178,0)),"")</f>
        <v>1011</v>
      </c>
      <c r="L178" s="77" t="n">
        <f aca="false">IFERROR(INDEX('Injectable Value'!$Z$28:$Z$178,MATCH(B178,'Injectable Value'!$A$28:$A$178,0)),"")</f>
        <v>0.185632969158154</v>
      </c>
      <c r="M178" s="19" t="n">
        <f aca="false">IFERROR(INDEX('Injectable Value'!$AC$28:$AC$178,MATCH(B178,'Injectable Value'!$A$28:$A$178,0)),"")</f>
        <v>188</v>
      </c>
      <c r="N178" s="19" t="n">
        <f aca="false">IFERROR(INDEX('Injectable Value'!$C$28:$C$178,MATCH(B178,'Injectable Value'!$A$28:$A$178,0)),"")</f>
        <v>19666.38</v>
      </c>
      <c r="O178" s="19" t="n">
        <f aca="false">IFERROR(ROUND(INDEX('Injectable Value'!$AA$28:$AA$178,MATCH(B178,'Injectable Value'!$A$28:$A$178,0)),1),"")</f>
        <v>3650.7</v>
      </c>
      <c r="P178" s="16" t="str">
        <f aca="false">IFERROR(INDEX('Route of Administration'!$C$5:$C$155,MATCH(B178,'Route of Administration'!$A$5:$A$155,0)),"")</f>
        <v>IV</v>
      </c>
      <c r="Q178" s="15" t="str">
        <f aca="false">IFERROR(INDEX('Route of Administration'!$D$5:$D$155,MATCH(B178,'Route of Administration'!$A$5:$A$155,0)),"")</f>
        <v>No</v>
      </c>
      <c r="R178" s="16" t="s">
        <v>281</v>
      </c>
      <c r="S178" s="17" t="s">
        <v>916</v>
      </c>
      <c r="T178" s="16" t="s">
        <v>283</v>
      </c>
      <c r="U178" s="17" t="str">
        <f aca="false">""&amp;IF(AE178=0,"No price found","")&amp;IF(AND(AE178&gt;0,AF178=0,AG178=0),"Low price comes from another market – confirm with the company","")</f>
        <v/>
      </c>
      <c r="V178" s="17" t="s">
        <v>284</v>
      </c>
      <c r="W178" s="15" t="n">
        <v>1</v>
      </c>
      <c r="X178" s="17" t="s">
        <v>284</v>
      </c>
      <c r="Y178" s="17" t="s">
        <v>284</v>
      </c>
      <c r="Z178" s="17" t="s">
        <v>321</v>
      </c>
      <c r="AA178" s="16" t="s">
        <v>870</v>
      </c>
      <c r="AB178" s="78" t="s">
        <v>917</v>
      </c>
      <c r="AC178" s="20" t="n">
        <f aca="false">IF(AE178&gt;0,ROUND(AVERAGEIFS('Shortlisted Drugs X Company (7)'!$N$3:$N$698,'Shortlisted Drugs X Company (7)'!$C$3:$C$698,$B178,'Shortlisted Drugs X Company (7)'!$E$3:$E$698,$AA178,'Shortlisted Drugs X Company (7)'!$N$3:$N$698,"&gt;=0"),2),"")</f>
        <v>6.53</v>
      </c>
      <c r="AD178" s="79" t="str">
        <f aca="false">B178&amp;"|"&amp;AA178</f>
        <v>Sodium Bicarbonate|Hetero Labs</v>
      </c>
      <c r="AE178" s="22" t="n">
        <f aca="false">COUNTIFS('Shortlisted Drugs X Company (7)'!$C$3:$C$698,$B178,'Shortlisted Drugs X Company (7)'!$E$3:$E$698,$AA178,'Shortlisted Drugs X Company (7)'!$N$3:$N$698,"&gt;=0")</f>
        <v>1</v>
      </c>
      <c r="AF178" s="22" t="n">
        <f aca="false">COUNTIFS('Shortlisted Drugs X Company (7)'!$C$3:$C$698,$B178,'Shortlisted Drugs X Company (7)'!$E$3:$E$698,$AA178,'Shortlisted Drugs X Company (7)'!$N$3:$N$698,"&gt;5")</f>
        <v>1</v>
      </c>
      <c r="AG178" s="22" t="n">
        <f aca="false">COUNTIFS('Shortlisted Drugs X Company (7)'!$C$3:$C$698,$B178,'Shortlisted Drugs X Company (7)'!$E$3:$E$698,$AA178,'Shortlisted Drugs X Company (7)'!$P$3:$P$698,"Exact")+COUNTIFS('Shortlisted Drugs X Company (7)'!$C$3:$C$698,$B178,'Shortlisted Drugs X Company (7)'!$E$3:$E$698,$AA178,'Shortlisted Drugs X Company (7)'!$P$3:$P$698,"Same-market proxy")</f>
        <v>1</v>
      </c>
      <c r="AH178" s="22" t="n">
        <f aca="false">INDEX($G$7:$G$25,MATCH(A178,$A$7:$A$25,0))</f>
        <v>8</v>
      </c>
      <c r="AI178" s="79" t="str">
        <f aca="false">IF(OR(Q178="No",LEFT(H178,7)="IV only"),"",AH178*1000+IF(F178="",900+COUNTIFS($A$29:A178,A178,$H$29:H178,"Price*"),F178))</f>
        <v/>
      </c>
      <c r="AJ178" s="79" t="str">
        <f aca="false">IF(H178&lt;&gt;"","",(4-VALUE(RIGHT(E178,1)))*10^7+N(O178))</f>
        <v/>
      </c>
      <c r="AK178" s="79" t="str">
        <f aca="false">IF(AND(H178="",ISNUMBER(I178)),I178,"")</f>
        <v/>
      </c>
      <c r="AL178" s="79" t="str">
        <f aca="false">IF(H178="",M178,"")</f>
        <v/>
      </c>
    </row>
    <row r="179" customFormat="false" ht="28.35" hidden="false" customHeight="false" outlineLevel="0" collapsed="false">
      <c r="A179" s="16" t="s">
        <v>234</v>
      </c>
      <c r="B179" s="16" t="s">
        <v>754</v>
      </c>
      <c r="C179" s="17" t="s">
        <v>755</v>
      </c>
      <c r="D179" s="17" t="s">
        <v>756</v>
      </c>
      <c r="E179" s="15" t="str">
        <f aca="false">IF(H179&lt;&gt;"",IF(LEFT(H179,5)="Price","Excluded – price ≤ USD 5","Excluded – IV only"),IF(ISNUMBER(I179),IF(AND(I179&gt;=$C$3,M179&gt;=$E$3),"Priority 1",IF(OR(I179&gt;=$C$3,M179&gt;=$E$3),"Priority 2","Priority 3")),IF(M179&gt;=$E$3,"Priority 2","Priority 3")))</f>
        <v>Priority 2</v>
      </c>
      <c r="F179" s="15" t="n">
        <f aca="false">IF(H179&lt;&gt;"","",COUNTIFS($A$29:$A$361,A179,$H$29:$H$361,"",$AJ$29:$AJ$361,"&gt;"&amp;AJ179)+COUNTIFS($A$29:A179,A179,$H$29:H179,"",$AJ$29:AJ179,AJ179))</f>
        <v>6</v>
      </c>
      <c r="G179" s="17" t="str">
        <f aca="false">IF(H179&lt;&gt;"","",IF(ISNUMBER(I179),IF(I179&gt;=$C$3,"High price","Lower price"),"No price")&amp;", "&amp;IF(M179&gt;=$E$3,"high volume","lower volume"))</f>
        <v>Lower price, high volume</v>
      </c>
      <c r="H179" s="17" t="str">
        <f aca="false">IF(Q179="No","IV only (no ID, IM or SC route)",IF(AND(AE179&gt;0,AF179=0),"Price ≤ USD 5",""))</f>
        <v/>
      </c>
      <c r="I179" s="18" t="n">
        <f aca="false">IF(AF179&gt;0,ROUND(AVERAGEIFS('Shortlisted Drugs X Company (7)'!$N$3:$N$698,'Shortlisted Drugs X Company (7)'!$C$3:$C$698,$B179,'Shortlisted Drugs X Company (7)'!$E$3:$E$698,$AA179,'Shortlisted Drugs X Company (7)'!$N$3:$N$698,"&gt;5"),2),"")</f>
        <v>5.03</v>
      </c>
      <c r="J179" s="17" t="str">
        <f aca="false">IF(COUNTIFS('Shortlisted Drugs X Company (7)'!$C$3:$C$698,$B179,'Shortlisted Drugs X Company (7)'!$E$3:$E$698,$AA179,'Shortlisted Drugs X Company (7)'!$P$3:$P$698,"Exact")&gt;0,"Exact",IF(COUNTIFS('Shortlisted Drugs X Company (7)'!$C$3:$C$698,$B179,'Shortlisted Drugs X Company (7)'!$E$3:$E$698,$AA179,'Shortlisted Drugs X Company (7)'!$P$3:$P$698,"Same-market proxy")&gt;0,"Same-market proxy",IF(COUNTIFS('Shortlisted Drugs X Company (7)'!$C$3:$C$698,$B179,'Shortlisted Drugs X Company (7)'!$E$3:$E$698,$AA179,'Shortlisted Drugs X Company (7)'!$P$3:$P$698,"Cross-market proxy")&gt;0,"Cross-market proxy",IF(COUNTIFS('Shortlisted Drugs X Company (7)'!$C$3:$C$698,$B179,'Shortlisted Drugs X Company (7)'!$E$3:$E$698,$AA179,'Shortlisted Drugs X Company (7)'!$P$3:$P$698,"Source not found")&gt;0,"Source not found","No price found"))))</f>
        <v>Same-market proxy</v>
      </c>
      <c r="K179" s="19" t="n">
        <f aca="false">IFERROR(INDEX('Injectable Value'!$AB$28:$AB$178,MATCH(B179,'Injectable Value'!$A$28:$A$178,0)),"")</f>
        <v>286</v>
      </c>
      <c r="L179" s="77" t="n">
        <f aca="false">IFERROR(INDEX('Injectable Value'!$Z$28:$Z$178,MATCH(B179,'Injectable Value'!$A$28:$A$178,0)),"")</f>
        <v>1</v>
      </c>
      <c r="M179" s="19" t="n">
        <f aca="false">IFERROR(INDEX('Injectable Value'!$AC$28:$AC$178,MATCH(B179,'Injectable Value'!$A$28:$A$178,0)),"")</f>
        <v>286</v>
      </c>
      <c r="N179" s="19" t="n">
        <f aca="false">IFERROR(INDEX('Injectable Value'!$C$28:$C$178,MATCH(B179,'Injectable Value'!$A$28:$A$178,0)),"")</f>
        <v>3067.39</v>
      </c>
      <c r="O179" s="19" t="n">
        <f aca="false">IFERROR(ROUND(INDEX('Injectable Value'!$AA$28:$AA$178,MATCH(B179,'Injectable Value'!$A$28:$A$178,0)),1),"")</f>
        <v>3067.4</v>
      </c>
      <c r="P179" s="16" t="str">
        <f aca="false">IFERROR(INDEX('Route of Administration'!$C$5:$C$155,MATCH(B179,'Route of Administration'!$A$5:$A$155,0)),"")</f>
        <v>IV, IM</v>
      </c>
      <c r="Q179" s="15" t="str">
        <f aca="false">IFERROR(INDEX('Route of Administration'!$D$5:$D$155,MATCH(B179,'Route of Administration'!$A$5:$A$155,0)),"")</f>
        <v>Yes</v>
      </c>
      <c r="R179" s="16" t="s">
        <v>281</v>
      </c>
      <c r="S179" s="17" t="s">
        <v>757</v>
      </c>
      <c r="T179" s="16" t="s">
        <v>283</v>
      </c>
      <c r="U179" s="17" t="str">
        <f aca="false">""&amp;IF(AE179=0,"No price found","")&amp;IF(AND(AE179&gt;0,AF179=0,AG179=0),"Low price comes from another market – confirm with the company","")</f>
        <v/>
      </c>
      <c r="V179" s="17" t="s">
        <v>284</v>
      </c>
      <c r="W179" s="15" t="n">
        <v>1</v>
      </c>
      <c r="X179" s="17" t="s">
        <v>284</v>
      </c>
      <c r="Y179" s="17" t="s">
        <v>284</v>
      </c>
      <c r="Z179" s="17" t="s">
        <v>286</v>
      </c>
      <c r="AA179" s="16" t="s">
        <v>870</v>
      </c>
      <c r="AB179" s="78" t="s">
        <v>758</v>
      </c>
      <c r="AC179" s="20" t="n">
        <f aca="false">IF(AE179&gt;0,ROUND(AVERAGEIFS('Shortlisted Drugs X Company (7)'!$N$3:$N$698,'Shortlisted Drugs X Company (7)'!$C$3:$C$698,$B179,'Shortlisted Drugs X Company (7)'!$E$3:$E$698,$AA179,'Shortlisted Drugs X Company (7)'!$N$3:$N$698,"&gt;=0"),2),"")</f>
        <v>5.03</v>
      </c>
      <c r="AD179" s="79" t="str">
        <f aca="false">B179&amp;"|"&amp;AA179</f>
        <v>Succinylcholine (Suxamethonium)|Hetero Labs</v>
      </c>
      <c r="AE179" s="22" t="n">
        <f aca="false">COUNTIFS('Shortlisted Drugs X Company (7)'!$C$3:$C$698,$B179,'Shortlisted Drugs X Company (7)'!$E$3:$E$698,$AA179,'Shortlisted Drugs X Company (7)'!$N$3:$N$698,"&gt;=0")</f>
        <v>1</v>
      </c>
      <c r="AF179" s="22" t="n">
        <f aca="false">COUNTIFS('Shortlisted Drugs X Company (7)'!$C$3:$C$698,$B179,'Shortlisted Drugs X Company (7)'!$E$3:$E$698,$AA179,'Shortlisted Drugs X Company (7)'!$N$3:$N$698,"&gt;5")</f>
        <v>1</v>
      </c>
      <c r="AG179" s="22" t="n">
        <f aca="false">COUNTIFS('Shortlisted Drugs X Company (7)'!$C$3:$C$698,$B179,'Shortlisted Drugs X Company (7)'!$E$3:$E$698,$AA179,'Shortlisted Drugs X Company (7)'!$P$3:$P$698,"Exact")+COUNTIFS('Shortlisted Drugs X Company (7)'!$C$3:$C$698,$B179,'Shortlisted Drugs X Company (7)'!$E$3:$E$698,$AA179,'Shortlisted Drugs X Company (7)'!$P$3:$P$698,"Same-market proxy")</f>
        <v>1</v>
      </c>
      <c r="AH179" s="22" t="n">
        <f aca="false">INDEX($G$7:$G$25,MATCH(A179,$A$7:$A$25,0))</f>
        <v>8</v>
      </c>
      <c r="AI179" s="79" t="n">
        <f aca="false">IF(OR(Q179="No",LEFT(H179,7)="IV only"),"",AH179*1000+IF(F179="",900+COUNTIFS($A$29:A179,A179,$H$29:H179,"Price*"),F179))</f>
        <v>8006</v>
      </c>
      <c r="AJ179" s="79" t="n">
        <f aca="false">IF(H179&lt;&gt;"","",(4-VALUE(RIGHT(E179,1)))*10^7+N(O179))</f>
        <v>20003067.4</v>
      </c>
      <c r="AK179" s="20" t="n">
        <f aca="false">IF(AND(H179="",ISNUMBER(I179)),I179,"")</f>
        <v>5.03</v>
      </c>
      <c r="AL179" s="21" t="n">
        <f aca="false">IF(H179="",M179,"")</f>
        <v>286</v>
      </c>
    </row>
    <row r="180" customFormat="false" ht="41.75" hidden="false" customHeight="false" outlineLevel="0" collapsed="false">
      <c r="A180" s="16" t="s">
        <v>234</v>
      </c>
      <c r="B180" s="16" t="s">
        <v>665</v>
      </c>
      <c r="C180" s="17" t="s">
        <v>918</v>
      </c>
      <c r="D180" s="17" t="s">
        <v>667</v>
      </c>
      <c r="E180" s="15" t="str">
        <f aca="false">IF(H180&lt;&gt;"",IF(LEFT(H180,5)="Price","Excluded – price ≤ USD 5","Excluded – IV only"),IF(ISNUMBER(I180),IF(AND(I180&gt;=$C$3,M180&gt;=$E$3),"Priority 1",IF(OR(I180&gt;=$C$3,M180&gt;=$E$3),"Priority 2","Priority 3")),IF(M180&gt;=$E$3,"Priority 2","Priority 3")))</f>
        <v>Excluded – IV only</v>
      </c>
      <c r="F180" s="15" t="str">
        <f aca="false">IF(H180&lt;&gt;"","",COUNTIFS($A$29:$A$361,A180,$H$29:$H$361,"",$AJ$29:$AJ$361,"&gt;"&amp;AJ180)+COUNTIFS($A$29:A180,A180,$H$29:H180,"",$AJ$29:AJ180,AJ180))</f>
        <v/>
      </c>
      <c r="G180" s="17" t="str">
        <f aca="false">IF(H180&lt;&gt;"","",IF(ISNUMBER(I180),IF(I180&gt;=$C$3,"High price","Lower price"),"No price")&amp;", "&amp;IF(M180&gt;=$E$3,"high volume","lower volume"))</f>
        <v/>
      </c>
      <c r="H180" s="17" t="str">
        <f aca="false">IF(Q180="No","IV only (no ID, IM or SC route)",IF(AND(AE180&gt;0,AF180=0),"Price ≤ USD 5",""))</f>
        <v>IV only (no ID, IM or SC route)</v>
      </c>
      <c r="I180" s="18" t="n">
        <f aca="false">IF(AF180&gt;0,ROUND(AVERAGEIFS('Shortlisted Drugs X Company (7)'!$N$3:$N$698,'Shortlisted Drugs X Company (7)'!$C$3:$C$698,$B180,'Shortlisted Drugs X Company (7)'!$E$3:$E$698,$AA180,'Shortlisted Drugs X Company (7)'!$N$3:$N$698,"&gt;5"),2),"")</f>
        <v>42.15</v>
      </c>
      <c r="J180" s="17" t="str">
        <f aca="false">IF(COUNTIFS('Shortlisted Drugs X Company (7)'!$C$3:$C$698,$B180,'Shortlisted Drugs X Company (7)'!$E$3:$E$698,$AA180,'Shortlisted Drugs X Company (7)'!$P$3:$P$698,"Exact")&gt;0,"Exact",IF(COUNTIFS('Shortlisted Drugs X Company (7)'!$C$3:$C$698,$B180,'Shortlisted Drugs X Company (7)'!$E$3:$E$698,$AA180,'Shortlisted Drugs X Company (7)'!$P$3:$P$698,"Same-market proxy")&gt;0,"Same-market proxy",IF(COUNTIFS('Shortlisted Drugs X Company (7)'!$C$3:$C$698,$B180,'Shortlisted Drugs X Company (7)'!$E$3:$E$698,$AA180,'Shortlisted Drugs X Company (7)'!$P$3:$P$698,"Cross-market proxy")&gt;0,"Cross-market proxy",IF(COUNTIFS('Shortlisted Drugs X Company (7)'!$C$3:$C$698,$B180,'Shortlisted Drugs X Company (7)'!$E$3:$E$698,$AA180,'Shortlisted Drugs X Company (7)'!$P$3:$P$698,"Source not found")&gt;0,"Source not found","No price found"))))</f>
        <v>Exact</v>
      </c>
      <c r="K180" s="19" t="n">
        <f aca="false">IFERROR(INDEX('Injectable Value'!$AB$28:$AB$178,MATCH(B180,'Injectable Value'!$A$28:$A$178,0)),"")</f>
        <v>346</v>
      </c>
      <c r="L180" s="77" t="n">
        <f aca="false">IFERROR(INDEX('Injectable Value'!$Z$28:$Z$178,MATCH(B180,'Injectable Value'!$A$28:$A$178,0)),"")</f>
        <v>1</v>
      </c>
      <c r="M180" s="19" t="n">
        <f aca="false">IFERROR(INDEX('Injectable Value'!$AC$28:$AC$178,MATCH(B180,'Injectable Value'!$A$28:$A$178,0)),"")</f>
        <v>346</v>
      </c>
      <c r="N180" s="19" t="n">
        <f aca="false">IFERROR(INDEX('Injectable Value'!$C$28:$C$178,MATCH(B180,'Injectable Value'!$A$28:$A$178,0)),"")</f>
        <v>32830.17</v>
      </c>
      <c r="O180" s="19" t="n">
        <f aca="false">IFERROR(ROUND(INDEX('Injectable Value'!$AA$28:$AA$178,MATCH(B180,'Injectable Value'!$A$28:$A$178,0)),1),"")</f>
        <v>32830.2</v>
      </c>
      <c r="P180" s="16" t="str">
        <f aca="false">IFERROR(INDEX('Route of Administration'!$C$5:$C$155,MATCH(B180,'Route of Administration'!$A$5:$A$155,0)),"")</f>
        <v>IV</v>
      </c>
      <c r="Q180" s="15" t="str">
        <f aca="false">IFERROR(INDEX('Route of Administration'!$D$5:$D$155,MATCH(B180,'Route of Administration'!$A$5:$A$155,0)),"")</f>
        <v>No</v>
      </c>
      <c r="R180" s="16" t="s">
        <v>281</v>
      </c>
      <c r="S180" s="17" t="s">
        <v>668</v>
      </c>
      <c r="T180" s="16" t="s">
        <v>283</v>
      </c>
      <c r="U180" s="17" t="str">
        <f aca="false">""&amp;IF(AE180=0,"No price found","")&amp;IF(AND(AE180&gt;0,AF180=0,AG180=0),"Low price comes from another market – confirm with the company","")</f>
        <v/>
      </c>
      <c r="V180" s="17" t="s">
        <v>859</v>
      </c>
      <c r="W180" s="15" t="n">
        <v>7</v>
      </c>
      <c r="X180" s="17" t="s">
        <v>908</v>
      </c>
      <c r="Y180" s="17" t="s">
        <v>908</v>
      </c>
      <c r="Z180" s="17" t="s">
        <v>286</v>
      </c>
      <c r="AA180" s="16" t="s">
        <v>870</v>
      </c>
      <c r="AB180" s="78" t="s">
        <v>670</v>
      </c>
      <c r="AC180" s="20" t="n">
        <f aca="false">IF(AE180&gt;0,ROUND(AVERAGEIFS('Shortlisted Drugs X Company (7)'!$N$3:$N$698,'Shortlisted Drugs X Company (7)'!$C$3:$C$698,$B180,'Shortlisted Drugs X Company (7)'!$E$3:$E$698,$AA180,'Shortlisted Drugs X Company (7)'!$N$3:$N$698,"&gt;=0"),2),"")</f>
        <v>42.15</v>
      </c>
      <c r="AD180" s="79" t="str">
        <f aca="false">B180&amp;"|"&amp;AA180</f>
        <v>Sugammadex|Hetero Labs</v>
      </c>
      <c r="AE180" s="22" t="n">
        <f aca="false">COUNTIFS('Shortlisted Drugs X Company (7)'!$C$3:$C$698,$B180,'Shortlisted Drugs X Company (7)'!$E$3:$E$698,$AA180,'Shortlisted Drugs X Company (7)'!$N$3:$N$698,"&gt;=0")</f>
        <v>5</v>
      </c>
      <c r="AF180" s="22" t="n">
        <f aca="false">COUNTIFS('Shortlisted Drugs X Company (7)'!$C$3:$C$698,$B180,'Shortlisted Drugs X Company (7)'!$E$3:$E$698,$AA180,'Shortlisted Drugs X Company (7)'!$N$3:$N$698,"&gt;5")</f>
        <v>5</v>
      </c>
      <c r="AG180" s="22" t="n">
        <f aca="false">COUNTIFS('Shortlisted Drugs X Company (7)'!$C$3:$C$698,$B180,'Shortlisted Drugs X Company (7)'!$E$3:$E$698,$AA180,'Shortlisted Drugs X Company (7)'!$P$3:$P$698,"Exact")+COUNTIFS('Shortlisted Drugs X Company (7)'!$C$3:$C$698,$B180,'Shortlisted Drugs X Company (7)'!$E$3:$E$698,$AA180,'Shortlisted Drugs X Company (7)'!$P$3:$P$698,"Same-market proxy")</f>
        <v>5</v>
      </c>
      <c r="AH180" s="22" t="n">
        <f aca="false">INDEX($G$7:$G$25,MATCH(A180,$A$7:$A$25,0))</f>
        <v>8</v>
      </c>
      <c r="AI180" s="79" t="str">
        <f aca="false">IF(OR(Q180="No",LEFT(H180,7)="IV only"),"",AH180*1000+IF(F180="",900+COUNTIFS($A$29:A180,A180,$H$29:H180,"Price*"),F180))</f>
        <v/>
      </c>
      <c r="AJ180" s="79" t="str">
        <f aca="false">IF(H180&lt;&gt;"","",(4-VALUE(RIGHT(E180,1)))*10^7+N(O180))</f>
        <v/>
      </c>
      <c r="AK180" s="79" t="str">
        <f aca="false">IF(AND(H180="",ISNUMBER(I180)),I180,"")</f>
        <v/>
      </c>
      <c r="AL180" s="79" t="str">
        <f aca="false">IF(H180="",M180,"")</f>
        <v/>
      </c>
    </row>
    <row r="181" customFormat="false" ht="28.35" hidden="false" customHeight="false" outlineLevel="0" collapsed="false">
      <c r="A181" s="16" t="s">
        <v>234</v>
      </c>
      <c r="B181" s="16" t="s">
        <v>671</v>
      </c>
      <c r="C181" s="17" t="s">
        <v>919</v>
      </c>
      <c r="D181" s="17" t="s">
        <v>673</v>
      </c>
      <c r="E181" s="15" t="str">
        <f aca="false">IF(H181&lt;&gt;"",IF(LEFT(H181,5)="Price","Excluded – price ≤ USD 5","Excluded – IV only"),IF(ISNUMBER(I181),IF(AND(I181&gt;=$C$3,M181&gt;=$E$3),"Priority 1",IF(OR(I181&gt;=$C$3,M181&gt;=$E$3),"Priority 2","Priority 3")),IF(M181&gt;=$E$3,"Priority 2","Priority 3")))</f>
        <v>Priority 2</v>
      </c>
      <c r="F181" s="15" t="n">
        <f aca="false">IF(H181&lt;&gt;"","",COUNTIFS($A$29:$A$361,A181,$H$29:$H$361,"",$AJ$29:$AJ$361,"&gt;"&amp;AJ181)+COUNTIFS($A$29:A181,A181,$H$29:H181,"",$AJ$29:AJ181,AJ181))</f>
        <v>5</v>
      </c>
      <c r="G181" s="17" t="str">
        <f aca="false">IF(H181&lt;&gt;"","",IF(ISNUMBER(I181),IF(I181&gt;=$C$3,"High price","Lower price"),"No price")&amp;", "&amp;IF(M181&gt;=$E$3,"high volume","lower volume"))</f>
        <v>High price, lower volume</v>
      </c>
      <c r="H181" s="17" t="str">
        <f aca="false">IF(Q181="No","IV only (no ID, IM or SC route)",IF(AND(AE181&gt;0,AF181=0),"Price ≤ USD 5",""))</f>
        <v/>
      </c>
      <c r="I181" s="18" t="n">
        <f aca="false">IF(AF181&gt;0,ROUND(AVERAGEIFS('Shortlisted Drugs X Company (7)'!$N$3:$N$698,'Shortlisted Drugs X Company (7)'!$C$3:$C$698,$B181,'Shortlisted Drugs X Company (7)'!$E$3:$E$698,$AA181,'Shortlisted Drugs X Company (7)'!$N$3:$N$698,"&gt;5"),2),"")</f>
        <v>36.53</v>
      </c>
      <c r="J181" s="17" t="str">
        <f aca="false">IF(COUNTIFS('Shortlisted Drugs X Company (7)'!$C$3:$C$698,$B181,'Shortlisted Drugs X Company (7)'!$E$3:$E$698,$AA181,'Shortlisted Drugs X Company (7)'!$P$3:$P$698,"Exact")&gt;0,"Exact",IF(COUNTIFS('Shortlisted Drugs X Company (7)'!$C$3:$C$698,$B181,'Shortlisted Drugs X Company (7)'!$E$3:$E$698,$AA181,'Shortlisted Drugs X Company (7)'!$P$3:$P$698,"Same-market proxy")&gt;0,"Same-market proxy",IF(COUNTIFS('Shortlisted Drugs X Company (7)'!$C$3:$C$698,$B181,'Shortlisted Drugs X Company (7)'!$E$3:$E$698,$AA181,'Shortlisted Drugs X Company (7)'!$P$3:$P$698,"Cross-market proxy")&gt;0,"Cross-market proxy",IF(COUNTIFS('Shortlisted Drugs X Company (7)'!$C$3:$C$698,$B181,'Shortlisted Drugs X Company (7)'!$E$3:$E$698,$AA181,'Shortlisted Drugs X Company (7)'!$P$3:$P$698,"Source not found")&gt;0,"Source not found","No price found"))))</f>
        <v>Same-market proxy</v>
      </c>
      <c r="K181" s="19" t="n">
        <f aca="false">IFERROR(INDEX('Injectable Value'!$AB$28:$AB$178,MATCH(B181,'Injectable Value'!$A$28:$A$178,0)),"")</f>
        <v>106</v>
      </c>
      <c r="L181" s="77" t="n">
        <f aca="false">IFERROR(INDEX('Injectable Value'!$Z$28:$Z$178,MATCH(B181,'Injectable Value'!$A$28:$A$178,0)),"")</f>
        <v>0.9375</v>
      </c>
      <c r="M181" s="19" t="n">
        <f aca="false">IFERROR(INDEX('Injectable Value'!$AC$28:$AC$178,MATCH(B181,'Injectable Value'!$A$28:$A$178,0)),"")</f>
        <v>99</v>
      </c>
      <c r="N181" s="19" t="n">
        <f aca="false">IFERROR(INDEX('Injectable Value'!$C$28:$C$178,MATCH(B181,'Injectable Value'!$A$28:$A$178,0)),"")</f>
        <v>7074.72</v>
      </c>
      <c r="O181" s="19" t="n">
        <f aca="false">IFERROR(ROUND(INDEX('Injectable Value'!$AA$28:$AA$178,MATCH(B181,'Injectable Value'!$A$28:$A$178,0)),1),"")</f>
        <v>6632.6</v>
      </c>
      <c r="P181" s="16" t="str">
        <f aca="false">IFERROR(INDEX('Route of Administration'!$C$5:$C$155,MATCH(B181,'Route of Administration'!$A$5:$A$155,0)),"")</f>
        <v>IV, IM</v>
      </c>
      <c r="Q181" s="15" t="str">
        <f aca="false">IFERROR(INDEX('Route of Administration'!$D$5:$D$155,MATCH(B181,'Route of Administration'!$A$5:$A$155,0)),"")</f>
        <v>Yes</v>
      </c>
      <c r="R181" s="16" t="s">
        <v>281</v>
      </c>
      <c r="S181" s="17" t="s">
        <v>920</v>
      </c>
      <c r="T181" s="16" t="s">
        <v>283</v>
      </c>
      <c r="U181" s="17" t="str">
        <f aca="false">"Reconstitution"&amp;IF(AE181=0,"; No price found","")&amp;IF(AND(AE181&gt;0,AF181=0,AG181=0),"; Low price comes from another market – confirm with the company","")</f>
        <v>Reconstitution</v>
      </c>
      <c r="V181" s="17" t="s">
        <v>772</v>
      </c>
      <c r="W181" s="15" t="n">
        <v>2</v>
      </c>
      <c r="X181" s="17" t="s">
        <v>772</v>
      </c>
      <c r="Y181" s="17" t="s">
        <v>772</v>
      </c>
      <c r="Z181" s="17" t="s">
        <v>286</v>
      </c>
      <c r="AA181" s="16" t="s">
        <v>870</v>
      </c>
      <c r="AB181" s="78" t="s">
        <v>675</v>
      </c>
      <c r="AC181" s="20" t="n">
        <f aca="false">IF(AE181&gt;0,ROUND(AVERAGEIFS('Shortlisted Drugs X Company (7)'!$N$3:$N$698,'Shortlisted Drugs X Company (7)'!$C$3:$C$698,$B181,'Shortlisted Drugs X Company (7)'!$E$3:$E$698,$AA181,'Shortlisted Drugs X Company (7)'!$N$3:$N$698,"&gt;=0"),2),"")</f>
        <v>36.53</v>
      </c>
      <c r="AD181" s="79" t="str">
        <f aca="false">B181&amp;"|"&amp;AA181</f>
        <v>Teicoplanin|Hetero Labs</v>
      </c>
      <c r="AE181" s="22" t="n">
        <f aca="false">COUNTIFS('Shortlisted Drugs X Company (7)'!$C$3:$C$698,$B181,'Shortlisted Drugs X Company (7)'!$E$3:$E$698,$AA181,'Shortlisted Drugs X Company (7)'!$N$3:$N$698,"&gt;=0")</f>
        <v>2</v>
      </c>
      <c r="AF181" s="22" t="n">
        <f aca="false">COUNTIFS('Shortlisted Drugs X Company (7)'!$C$3:$C$698,$B181,'Shortlisted Drugs X Company (7)'!$E$3:$E$698,$AA181,'Shortlisted Drugs X Company (7)'!$N$3:$N$698,"&gt;5")</f>
        <v>2</v>
      </c>
      <c r="AG181" s="22" t="n">
        <f aca="false">COUNTIFS('Shortlisted Drugs X Company (7)'!$C$3:$C$698,$B181,'Shortlisted Drugs X Company (7)'!$E$3:$E$698,$AA181,'Shortlisted Drugs X Company (7)'!$P$3:$P$698,"Exact")+COUNTIFS('Shortlisted Drugs X Company (7)'!$C$3:$C$698,$B181,'Shortlisted Drugs X Company (7)'!$E$3:$E$698,$AA181,'Shortlisted Drugs X Company (7)'!$P$3:$P$698,"Same-market proxy")</f>
        <v>1</v>
      </c>
      <c r="AH181" s="22" t="n">
        <f aca="false">INDEX($G$7:$G$25,MATCH(A181,$A$7:$A$25,0))</f>
        <v>8</v>
      </c>
      <c r="AI181" s="79" t="n">
        <f aca="false">IF(OR(Q181="No",LEFT(H181,7)="IV only"),"",AH181*1000+IF(F181="",900+COUNTIFS($A$29:A181,A181,$H$29:H181,"Price*"),F181))</f>
        <v>8005</v>
      </c>
      <c r="AJ181" s="79" t="n">
        <f aca="false">IF(H181&lt;&gt;"","",(4-VALUE(RIGHT(E181,1)))*10^7+N(O181))</f>
        <v>20006632.6</v>
      </c>
      <c r="AK181" s="20" t="n">
        <f aca="false">IF(AND(H181="",ISNUMBER(I181)),I181,"")</f>
        <v>36.53</v>
      </c>
      <c r="AL181" s="21" t="n">
        <f aca="false">IF(H181="",M181,"")</f>
        <v>99</v>
      </c>
    </row>
    <row r="182" customFormat="false" ht="41.75" hidden="false" customHeight="false" outlineLevel="0" collapsed="false">
      <c r="A182" s="16" t="s">
        <v>234</v>
      </c>
      <c r="B182" s="16" t="s">
        <v>599</v>
      </c>
      <c r="C182" s="17" t="s">
        <v>600</v>
      </c>
      <c r="D182" s="17" t="s">
        <v>601</v>
      </c>
      <c r="E182" s="15" t="str">
        <f aca="false">IF(H182&lt;&gt;"",IF(LEFT(H182,5)="Price","Excluded – price ≤ USD 5","Excluded – IV only"),IF(ISNUMBER(I182),IF(AND(I182&gt;=$C$3,M182&gt;=$E$3),"Priority 1",IF(OR(I182&gt;=$C$3,M182&gt;=$E$3),"Priority 2","Priority 3")),IF(M182&gt;=$E$3,"Priority 2","Priority 3")))</f>
        <v>Excluded – IV only</v>
      </c>
      <c r="F182" s="15" t="str">
        <f aca="false">IF(H182&lt;&gt;"","",COUNTIFS($A$29:$A$361,A182,$H$29:$H$361,"",$AJ$29:$AJ$361,"&gt;"&amp;AJ182)+COUNTIFS($A$29:A182,A182,$H$29:H182,"",$AJ$29:AJ182,AJ182))</f>
        <v/>
      </c>
      <c r="G182" s="17" t="str">
        <f aca="false">IF(H182&lt;&gt;"","",IF(ISNUMBER(I182),IF(I182&gt;=$C$3,"High price","Lower price"),"No price")&amp;", "&amp;IF(M182&gt;=$E$3,"high volume","lower volume"))</f>
        <v/>
      </c>
      <c r="H182" s="17" t="str">
        <f aca="false">IF(Q182="No","IV only (no ID, IM or SC route)",IF(AND(AE182&gt;0,AF182=0),"Price ≤ USD 5",""))</f>
        <v>IV only (no ID, IM or SC route)</v>
      </c>
      <c r="I182" s="18" t="str">
        <f aca="false">IF(AF182&gt;0,ROUND(AVERAGEIFS('Shortlisted Drugs X Company (7)'!$N$3:$N$698,'Shortlisted Drugs X Company (7)'!$C$3:$C$698,$B182,'Shortlisted Drugs X Company (7)'!$E$3:$E$698,$AA182,'Shortlisted Drugs X Company (7)'!$N$3:$N$698,"&gt;5"),2),"")</f>
        <v/>
      </c>
      <c r="J182" s="17" t="str">
        <f aca="false">IF(COUNTIFS('Shortlisted Drugs X Company (7)'!$C$3:$C$698,$B182,'Shortlisted Drugs X Company (7)'!$E$3:$E$698,$AA182,'Shortlisted Drugs X Company (7)'!$P$3:$P$698,"Exact")&gt;0,"Exact",IF(COUNTIFS('Shortlisted Drugs X Company (7)'!$C$3:$C$698,$B182,'Shortlisted Drugs X Company (7)'!$E$3:$E$698,$AA182,'Shortlisted Drugs X Company (7)'!$P$3:$P$698,"Same-market proxy")&gt;0,"Same-market proxy",IF(COUNTIFS('Shortlisted Drugs X Company (7)'!$C$3:$C$698,$B182,'Shortlisted Drugs X Company (7)'!$E$3:$E$698,$AA182,'Shortlisted Drugs X Company (7)'!$P$3:$P$698,"Cross-market proxy")&gt;0,"Cross-market proxy",IF(COUNTIFS('Shortlisted Drugs X Company (7)'!$C$3:$C$698,$B182,'Shortlisted Drugs X Company (7)'!$E$3:$E$698,$AA182,'Shortlisted Drugs X Company (7)'!$P$3:$P$698,"Source not found")&gt;0,"Source not found","No price found"))))</f>
        <v>Same-market proxy</v>
      </c>
      <c r="K182" s="19" t="n">
        <f aca="false">IFERROR(INDEX('Injectable Value'!$AB$28:$AB$178,MATCH(B182,'Injectable Value'!$A$28:$A$178,0)),"")</f>
        <v>374</v>
      </c>
      <c r="L182" s="77" t="n">
        <f aca="false">IFERROR(INDEX('Injectable Value'!$Z$28:$Z$178,MATCH(B182,'Injectable Value'!$A$28:$A$178,0)),"")</f>
        <v>0.18191811645244</v>
      </c>
      <c r="M182" s="19" t="n">
        <f aca="false">IFERROR(INDEX('Injectable Value'!$AC$28:$AC$178,MATCH(B182,'Injectable Value'!$A$28:$A$178,0)),"")</f>
        <v>68</v>
      </c>
      <c r="N182" s="19" t="n">
        <f aca="false">IFERROR(INDEX('Injectable Value'!$C$28:$C$178,MATCH(B182,'Injectable Value'!$A$28:$A$178,0)),"")</f>
        <v>13615.47</v>
      </c>
      <c r="O182" s="19" t="n">
        <f aca="false">IFERROR(ROUND(INDEX('Injectable Value'!$AA$28:$AA$178,MATCH(B182,'Injectable Value'!$A$28:$A$178,0)),1),"")</f>
        <v>2476.9</v>
      </c>
      <c r="P182" s="16" t="str">
        <f aca="false">IFERROR(INDEX('Route of Administration'!$C$5:$C$155,MATCH(B182,'Route of Administration'!$A$5:$A$155,0)),"")</f>
        <v>IV</v>
      </c>
      <c r="Q182" s="15" t="str">
        <f aca="false">IFERROR(INDEX('Route of Administration'!$D$5:$D$155,MATCH(B182,'Route of Administration'!$A$5:$A$155,0)),"")</f>
        <v>No</v>
      </c>
      <c r="R182" s="16" t="s">
        <v>310</v>
      </c>
      <c r="S182" s="17" t="s">
        <v>921</v>
      </c>
      <c r="T182" s="16" t="s">
        <v>310</v>
      </c>
      <c r="U182" s="17" t="str">
        <f aca="false">""&amp;IF(AE182=0,"No price found","")&amp;IF(AND(AE182&gt;0,AF182=0,AG182=0),"Low price comes from another market – confirm with the company","")</f>
        <v/>
      </c>
      <c r="V182" s="17" t="s">
        <v>284</v>
      </c>
      <c r="W182" s="15" t="n">
        <v>1</v>
      </c>
      <c r="X182" s="17" t="s">
        <v>284</v>
      </c>
      <c r="Y182" s="17" t="s">
        <v>284</v>
      </c>
      <c r="Z182" s="17" t="s">
        <v>312</v>
      </c>
      <c r="AA182" s="16" t="s">
        <v>870</v>
      </c>
      <c r="AB182" s="78" t="s">
        <v>603</v>
      </c>
      <c r="AC182" s="20" t="n">
        <f aca="false">IF(AE182&gt;0,ROUND(AVERAGEIFS('Shortlisted Drugs X Company (7)'!$N$3:$N$698,'Shortlisted Drugs X Company (7)'!$C$3:$C$698,$B182,'Shortlisted Drugs X Company (7)'!$E$3:$E$698,$AA182,'Shortlisted Drugs X Company (7)'!$N$3:$N$698,"&gt;=0"),2),"")</f>
        <v>2.67</v>
      </c>
      <c r="AD182" s="79" t="str">
        <f aca="false">B182&amp;"|"&amp;AA182</f>
        <v>Verapamil|Hetero Labs</v>
      </c>
      <c r="AE182" s="22" t="n">
        <f aca="false">COUNTIFS('Shortlisted Drugs X Company (7)'!$C$3:$C$698,$B182,'Shortlisted Drugs X Company (7)'!$E$3:$E$698,$AA182,'Shortlisted Drugs X Company (7)'!$N$3:$N$698,"&gt;=0")</f>
        <v>1</v>
      </c>
      <c r="AF182" s="22" t="n">
        <f aca="false">COUNTIFS('Shortlisted Drugs X Company (7)'!$C$3:$C$698,$B182,'Shortlisted Drugs X Company (7)'!$E$3:$E$698,$AA182,'Shortlisted Drugs X Company (7)'!$N$3:$N$698,"&gt;5")</f>
        <v>0</v>
      </c>
      <c r="AG182" s="22" t="n">
        <f aca="false">COUNTIFS('Shortlisted Drugs X Company (7)'!$C$3:$C$698,$B182,'Shortlisted Drugs X Company (7)'!$E$3:$E$698,$AA182,'Shortlisted Drugs X Company (7)'!$P$3:$P$698,"Exact")+COUNTIFS('Shortlisted Drugs X Company (7)'!$C$3:$C$698,$B182,'Shortlisted Drugs X Company (7)'!$E$3:$E$698,$AA182,'Shortlisted Drugs X Company (7)'!$P$3:$P$698,"Same-market proxy")</f>
        <v>1</v>
      </c>
      <c r="AH182" s="22" t="n">
        <f aca="false">INDEX($G$7:$G$25,MATCH(A182,$A$7:$A$25,0))</f>
        <v>8</v>
      </c>
      <c r="AI182" s="79" t="str">
        <f aca="false">IF(OR(Q182="No",LEFT(H182,7)="IV only"),"",AH182*1000+IF(F182="",900+COUNTIFS($A$29:A182,A182,$H$29:H182,"Price*"),F182))</f>
        <v/>
      </c>
      <c r="AJ182" s="79" t="str">
        <f aca="false">IF(H182&lt;&gt;"","",(4-VALUE(RIGHT(E182,1)))*10^7+N(O182))</f>
        <v/>
      </c>
      <c r="AK182" s="79" t="str">
        <f aca="false">IF(AND(H182="",ISNUMBER(I182)),I182,"")</f>
        <v/>
      </c>
      <c r="AL182" s="79" t="str">
        <f aca="false">IF(H182="",M182,"")</f>
        <v/>
      </c>
    </row>
    <row r="183" customFormat="false" ht="41.75" hidden="false" customHeight="false" outlineLevel="0" collapsed="false">
      <c r="A183" s="16" t="s">
        <v>21</v>
      </c>
      <c r="B183" s="16" t="s">
        <v>922</v>
      </c>
      <c r="C183" s="17" t="s">
        <v>923</v>
      </c>
      <c r="D183" s="17" t="s">
        <v>924</v>
      </c>
      <c r="E183" s="15" t="str">
        <f aca="false">IF(H183&lt;&gt;"",IF(LEFT(H183,5)="Price","Excluded – price ≤ USD 5","Excluded – IV only"),IF(ISNUMBER(I183),IF(AND(I183&gt;=$C$3,M183&gt;=$E$3),"Priority 1",IF(OR(I183&gt;=$C$3,M183&gt;=$E$3),"Priority 2","Priority 3")),IF(M183&gt;=$E$3,"Priority 2","Priority 3")))</f>
        <v>Excluded – IV only</v>
      </c>
      <c r="F183" s="15" t="str">
        <f aca="false">IF(H183&lt;&gt;"","",COUNTIFS($A$29:$A$361,A183,$H$29:$H$361,"",$AJ$29:$AJ$361,"&gt;"&amp;AJ183)+COUNTIFS($A$29:A183,A183,$H$29:H183,"",$AJ$29:AJ183,AJ183))</f>
        <v/>
      </c>
      <c r="G183" s="17" t="str">
        <f aca="false">IF(H183&lt;&gt;"","",IF(ISNUMBER(I183),IF(I183&gt;=$C$3,"High price","Lower price"),"No price")&amp;", "&amp;IF(M183&gt;=$E$3,"high volume","lower volume"))</f>
        <v/>
      </c>
      <c r="H183" s="17" t="str">
        <f aca="false">IF(Q183="No","IV only (no ID, IM or SC route)",IF(AND(AE183&gt;0,AF183=0),"Price ≤ USD 5",""))</f>
        <v>IV only (no ID, IM or SC route)</v>
      </c>
      <c r="I183" s="18" t="n">
        <f aca="false">IF(AF183&gt;0,ROUND(AVERAGEIFS('Shortlisted Drugs X Company (7)'!$N$3:$N$698,'Shortlisted Drugs X Company (7)'!$C$3:$C$698,$B183,'Shortlisted Drugs X Company (7)'!$E$3:$E$698,$AA183,'Shortlisted Drugs X Company (7)'!$N$3:$N$698,"&gt;5"),2),"")</f>
        <v>14.69</v>
      </c>
      <c r="J183" s="17" t="str">
        <f aca="false">IF(COUNTIFS('Shortlisted Drugs X Company (7)'!$C$3:$C$698,$B183,'Shortlisted Drugs X Company (7)'!$E$3:$E$698,$AA183,'Shortlisted Drugs X Company (7)'!$P$3:$P$698,"Exact")&gt;0,"Exact",IF(COUNTIFS('Shortlisted Drugs X Company (7)'!$C$3:$C$698,$B183,'Shortlisted Drugs X Company (7)'!$E$3:$E$698,$AA183,'Shortlisted Drugs X Company (7)'!$P$3:$P$698,"Same-market proxy")&gt;0,"Same-market proxy",IF(COUNTIFS('Shortlisted Drugs X Company (7)'!$C$3:$C$698,$B183,'Shortlisted Drugs X Company (7)'!$E$3:$E$698,$AA183,'Shortlisted Drugs X Company (7)'!$P$3:$P$698,"Cross-market proxy")&gt;0,"Cross-market proxy",IF(COUNTIFS('Shortlisted Drugs X Company (7)'!$C$3:$C$698,$B183,'Shortlisted Drugs X Company (7)'!$E$3:$E$698,$AA183,'Shortlisted Drugs X Company (7)'!$P$3:$P$698,"Source not found")&gt;0,"Source not found","No price found"))))</f>
        <v>Exact</v>
      </c>
      <c r="K183" s="19" t="n">
        <f aca="false">IFERROR(INDEX('Injectable Value'!$AB$28:$AB$178,MATCH(B183,'Injectable Value'!$A$28:$A$178,0)),"")</f>
        <v>646</v>
      </c>
      <c r="L183" s="77" t="n">
        <f aca="false">IFERROR(INDEX('Injectable Value'!$Z$28:$Z$178,MATCH(B183,'Injectable Value'!$A$28:$A$178,0)),"")</f>
        <v>0.295137394358018</v>
      </c>
      <c r="M183" s="19" t="n">
        <f aca="false">IFERROR(INDEX('Injectable Value'!$AC$28:$AC$178,MATCH(B183,'Injectable Value'!$A$28:$A$178,0)),"")</f>
        <v>191</v>
      </c>
      <c r="N183" s="19" t="n">
        <f aca="false">IFERROR(INDEX('Injectable Value'!$C$28:$C$178,MATCH(B183,'Injectable Value'!$A$28:$A$178,0)),"")</f>
        <v>19089.13</v>
      </c>
      <c r="O183" s="19" t="n">
        <f aca="false">IFERROR(ROUND(INDEX('Injectable Value'!$AA$28:$AA$178,MATCH(B183,'Injectable Value'!$A$28:$A$178,0)),1),"")</f>
        <v>5633.9</v>
      </c>
      <c r="P183" s="16" t="str">
        <f aca="false">IFERROR(INDEX('Route of Administration'!$C$5:$C$155,MATCH(B183,'Route of Administration'!$A$5:$A$155,0)),"")</f>
        <v>IV</v>
      </c>
      <c r="Q183" s="15" t="str">
        <f aca="false">IFERROR(INDEX('Route of Administration'!$D$5:$D$155,MATCH(B183,'Route of Administration'!$A$5:$A$155,0)),"")</f>
        <v>No</v>
      </c>
      <c r="R183" s="16" t="s">
        <v>291</v>
      </c>
      <c r="S183" s="17" t="s">
        <v>925</v>
      </c>
      <c r="T183" s="16" t="s">
        <v>283</v>
      </c>
      <c r="U183" s="17" t="str">
        <f aca="false">"Prefilled only"&amp;IF(AE183=0,"; No price found","")&amp;IF(AND(AE183&gt;0,AF183=0,AG183=0),"; Low price comes from another market – confirm with the company","")</f>
        <v>Prefilled only</v>
      </c>
      <c r="V183" s="17" t="s">
        <v>912</v>
      </c>
      <c r="W183" s="15" t="n">
        <v>2</v>
      </c>
      <c r="X183" s="17" t="s">
        <v>926</v>
      </c>
      <c r="Y183" s="17" t="s">
        <v>926</v>
      </c>
      <c r="Z183" s="17" t="s">
        <v>293</v>
      </c>
      <c r="AA183" s="16" t="s">
        <v>927</v>
      </c>
      <c r="AB183" s="78" t="s">
        <v>928</v>
      </c>
      <c r="AC183" s="20" t="n">
        <f aca="false">IF(AE183&gt;0,ROUND(AVERAGEIFS('Shortlisted Drugs X Company (7)'!$N$3:$N$698,'Shortlisted Drugs X Company (7)'!$C$3:$C$698,$B183,'Shortlisted Drugs X Company (7)'!$E$3:$E$698,$AA183,'Shortlisted Drugs X Company (7)'!$N$3:$N$698,"&gt;=0"),2),"")</f>
        <v>14.69</v>
      </c>
      <c r="AD183" s="79" t="str">
        <f aca="false">B183&amp;"|"&amp;AA183</f>
        <v>Amiodarone|Intas Pharmaceuticals</v>
      </c>
      <c r="AE183" s="22" t="n">
        <f aca="false">COUNTIFS('Shortlisted Drugs X Company (7)'!$C$3:$C$698,$B183,'Shortlisted Drugs X Company (7)'!$E$3:$E$698,$AA183,'Shortlisted Drugs X Company (7)'!$N$3:$N$698,"&gt;=0")</f>
        <v>1</v>
      </c>
      <c r="AF183" s="22" t="n">
        <f aca="false">COUNTIFS('Shortlisted Drugs X Company (7)'!$C$3:$C$698,$B183,'Shortlisted Drugs X Company (7)'!$E$3:$E$698,$AA183,'Shortlisted Drugs X Company (7)'!$N$3:$N$698,"&gt;5")</f>
        <v>1</v>
      </c>
      <c r="AG183" s="22" t="n">
        <f aca="false">COUNTIFS('Shortlisted Drugs X Company (7)'!$C$3:$C$698,$B183,'Shortlisted Drugs X Company (7)'!$E$3:$E$698,$AA183,'Shortlisted Drugs X Company (7)'!$P$3:$P$698,"Exact")+COUNTIFS('Shortlisted Drugs X Company (7)'!$C$3:$C$698,$B183,'Shortlisted Drugs X Company (7)'!$E$3:$E$698,$AA183,'Shortlisted Drugs X Company (7)'!$P$3:$P$698,"Same-market proxy")</f>
        <v>1</v>
      </c>
      <c r="AH183" s="22" t="n">
        <f aca="false">INDEX($G$7:$G$25,MATCH(A183,$A$7:$A$25,0))</f>
        <v>1</v>
      </c>
      <c r="AI183" s="79" t="str">
        <f aca="false">IF(OR(Q183="No",LEFT(H183,7)="IV only"),"",AH183*1000+IF(F183="",900+COUNTIFS($A$29:A183,A183,$H$29:H183,"Price*"),F183))</f>
        <v/>
      </c>
      <c r="AJ183" s="79" t="str">
        <f aca="false">IF(H183&lt;&gt;"","",(4-VALUE(RIGHT(E183,1)))*10^7+N(O183))</f>
        <v/>
      </c>
      <c r="AK183" s="79" t="str">
        <f aca="false">IF(AND(H183="",ISNUMBER(I183)),I183,"")</f>
        <v/>
      </c>
      <c r="AL183" s="79" t="str">
        <f aca="false">IF(H183="",M183,"")</f>
        <v/>
      </c>
    </row>
    <row r="184" customFormat="false" ht="41.75" hidden="false" customHeight="false" outlineLevel="0" collapsed="false">
      <c r="A184" s="16" t="s">
        <v>21</v>
      </c>
      <c r="B184" s="16" t="s">
        <v>929</v>
      </c>
      <c r="C184" s="17" t="s">
        <v>930</v>
      </c>
      <c r="D184" s="17" t="s">
        <v>931</v>
      </c>
      <c r="E184" s="15" t="str">
        <f aca="false">IF(H184&lt;&gt;"",IF(LEFT(H184,5)="Price","Excluded – price ≤ USD 5","Excluded – IV only"),IF(ISNUMBER(I184),IF(AND(I184&gt;=$C$3,M184&gt;=$E$3),"Priority 1",IF(OR(I184&gt;=$C$3,M184&gt;=$E$3),"Priority 2","Priority 3")),IF(M184&gt;=$E$3,"Priority 2","Priority 3")))</f>
        <v>Excluded – price ≤ USD 5</v>
      </c>
      <c r="F184" s="15" t="str">
        <f aca="false">IF(H184&lt;&gt;"","",COUNTIFS($A$29:$A$361,A184,$H$29:$H$361,"",$AJ$29:$AJ$361,"&gt;"&amp;AJ184)+COUNTIFS($A$29:A184,A184,$H$29:H184,"",$AJ$29:AJ184,AJ184))</f>
        <v/>
      </c>
      <c r="G184" s="17" t="str">
        <f aca="false">IF(H184&lt;&gt;"","",IF(ISNUMBER(I184),IF(I184&gt;=$C$3,"High price","Lower price"),"No price")&amp;", "&amp;IF(M184&gt;=$E$3,"high volume","lower volume"))</f>
        <v/>
      </c>
      <c r="H184" s="17" t="str">
        <f aca="false">IF(Q184="No","IV only (no ID, IM or SC route)",IF(AND(AE184&gt;0,AF184=0),"Price ≤ USD 5",""))</f>
        <v>Price ≤ USD 5</v>
      </c>
      <c r="I184" s="18" t="str">
        <f aca="false">IF(AF184&gt;0,ROUND(AVERAGEIFS('Shortlisted Drugs X Company (7)'!$N$3:$N$698,'Shortlisted Drugs X Company (7)'!$C$3:$C$698,$B184,'Shortlisted Drugs X Company (7)'!$E$3:$E$698,$AA184,'Shortlisted Drugs X Company (7)'!$N$3:$N$698,"&gt;5"),2),"")</f>
        <v/>
      </c>
      <c r="J184" s="17" t="str">
        <f aca="false">IF(COUNTIFS('Shortlisted Drugs X Company (7)'!$C$3:$C$698,$B184,'Shortlisted Drugs X Company (7)'!$E$3:$E$698,$AA184,'Shortlisted Drugs X Company (7)'!$P$3:$P$698,"Exact")&gt;0,"Exact",IF(COUNTIFS('Shortlisted Drugs X Company (7)'!$C$3:$C$698,$B184,'Shortlisted Drugs X Company (7)'!$E$3:$E$698,$AA184,'Shortlisted Drugs X Company (7)'!$P$3:$P$698,"Same-market proxy")&gt;0,"Same-market proxy",IF(COUNTIFS('Shortlisted Drugs X Company (7)'!$C$3:$C$698,$B184,'Shortlisted Drugs X Company (7)'!$E$3:$E$698,$AA184,'Shortlisted Drugs X Company (7)'!$P$3:$P$698,"Cross-market proxy")&gt;0,"Cross-market proxy",IF(COUNTIFS('Shortlisted Drugs X Company (7)'!$C$3:$C$698,$B184,'Shortlisted Drugs X Company (7)'!$E$3:$E$698,$AA184,'Shortlisted Drugs X Company (7)'!$P$3:$P$698,"Source not found")&gt;0,"Source not found","No price found"))))</f>
        <v>Same-market proxy</v>
      </c>
      <c r="K184" s="19" t="n">
        <f aca="false">IFERROR(INDEX('Injectable Value'!$AB$28:$AB$178,MATCH(B184,'Injectable Value'!$A$28:$A$178,0)),"")</f>
        <v>9172</v>
      </c>
      <c r="L184" s="77" t="n">
        <f aca="false">IFERROR(INDEX('Injectable Value'!$Z$28:$Z$178,MATCH(B184,'Injectable Value'!$A$28:$A$178,0)),"")</f>
        <v>0.0779425190719572</v>
      </c>
      <c r="M184" s="19" t="n">
        <f aca="false">IFERROR(INDEX('Injectable Value'!$AC$28:$AC$178,MATCH(B184,'Injectable Value'!$A$28:$A$178,0)),"")</f>
        <v>715</v>
      </c>
      <c r="N184" s="19" t="n">
        <f aca="false">IFERROR(INDEX('Injectable Value'!$C$28:$C$178,MATCH(B184,'Injectable Value'!$A$28:$A$178,0)),"")</f>
        <v>433588.09</v>
      </c>
      <c r="O184" s="19" t="n">
        <f aca="false">IFERROR(ROUND(INDEX('Injectable Value'!$AA$28:$AA$178,MATCH(B184,'Injectable Value'!$A$28:$A$178,0)),1),"")</f>
        <v>33794.9</v>
      </c>
      <c r="P184" s="16" t="str">
        <f aca="false">IFERROR(INDEX('Route of Administration'!$C$5:$C$155,MATCH(B184,'Route of Administration'!$A$5:$A$155,0)),"")</f>
        <v>IV, IM</v>
      </c>
      <c r="Q184" s="15" t="str">
        <f aca="false">IFERROR(INDEX('Route of Administration'!$D$5:$D$155,MATCH(B184,'Route of Administration'!$A$5:$A$155,0)),"")</f>
        <v>Yes</v>
      </c>
      <c r="R184" s="16" t="s">
        <v>310</v>
      </c>
      <c r="S184" s="17" t="s">
        <v>932</v>
      </c>
      <c r="T184" s="16" t="s">
        <v>310</v>
      </c>
      <c r="U184" s="17" t="str">
        <f aca="false">""&amp;IF(AE184=0,"No price found","")&amp;IF(AND(AE184&gt;0,AF184=0,AG184=0),"Low price comes from another market – confirm with the company","")</f>
        <v/>
      </c>
      <c r="V184" s="17" t="s">
        <v>912</v>
      </c>
      <c r="W184" s="15" t="n">
        <v>2</v>
      </c>
      <c r="X184" s="17" t="s">
        <v>933</v>
      </c>
      <c r="Y184" s="17" t="s">
        <v>933</v>
      </c>
      <c r="Z184" s="17" t="s">
        <v>312</v>
      </c>
      <c r="AA184" s="16" t="s">
        <v>927</v>
      </c>
      <c r="AB184" s="78" t="s">
        <v>934</v>
      </c>
      <c r="AC184" s="20" t="n">
        <f aca="false">IF(AE184&gt;0,ROUND(AVERAGEIFS('Shortlisted Drugs X Company (7)'!$N$3:$N$698,'Shortlisted Drugs X Company (7)'!$C$3:$C$698,$B184,'Shortlisted Drugs X Company (7)'!$E$3:$E$698,$AA184,'Shortlisted Drugs X Company (7)'!$N$3:$N$698,"&gt;=0"),2),"")</f>
        <v>1.59</v>
      </c>
      <c r="AD184" s="79" t="str">
        <f aca="false">B184&amp;"|"&amp;AA184</f>
        <v>Amoxicillin|Intas Pharmaceuticals</v>
      </c>
      <c r="AE184" s="22" t="n">
        <f aca="false">COUNTIFS('Shortlisted Drugs X Company (7)'!$C$3:$C$698,$B184,'Shortlisted Drugs X Company (7)'!$E$3:$E$698,$AA184,'Shortlisted Drugs X Company (7)'!$N$3:$N$698,"&gt;=0")</f>
        <v>1</v>
      </c>
      <c r="AF184" s="22" t="n">
        <f aca="false">COUNTIFS('Shortlisted Drugs X Company (7)'!$C$3:$C$698,$B184,'Shortlisted Drugs X Company (7)'!$E$3:$E$698,$AA184,'Shortlisted Drugs X Company (7)'!$N$3:$N$698,"&gt;5")</f>
        <v>0</v>
      </c>
      <c r="AG184" s="22" t="n">
        <f aca="false">COUNTIFS('Shortlisted Drugs X Company (7)'!$C$3:$C$698,$B184,'Shortlisted Drugs X Company (7)'!$E$3:$E$698,$AA184,'Shortlisted Drugs X Company (7)'!$P$3:$P$698,"Exact")+COUNTIFS('Shortlisted Drugs X Company (7)'!$C$3:$C$698,$B184,'Shortlisted Drugs X Company (7)'!$E$3:$E$698,$AA184,'Shortlisted Drugs X Company (7)'!$P$3:$P$698,"Same-market proxy")</f>
        <v>1</v>
      </c>
      <c r="AH184" s="22" t="n">
        <f aca="false">INDEX($G$7:$G$25,MATCH(A184,$A$7:$A$25,0))</f>
        <v>1</v>
      </c>
      <c r="AI184" s="79" t="n">
        <f aca="false">IF(OR(Q184="No",LEFT(H184,7)="IV only"),"",AH184*1000+IF(F184="",900+COUNTIFS($A$29:A184,A184,$H$29:H184,"Price*"),F184))</f>
        <v>1901</v>
      </c>
      <c r="AJ184" s="79" t="str">
        <f aca="false">IF(H184&lt;&gt;"","",(4-VALUE(RIGHT(E184,1)))*10^7+N(O184))</f>
        <v/>
      </c>
      <c r="AK184" s="79" t="str">
        <f aca="false">IF(AND(H184="",ISNUMBER(I184)),I184,"")</f>
        <v/>
      </c>
      <c r="AL184" s="79" t="str">
        <f aca="false">IF(H184="",M184,"")</f>
        <v/>
      </c>
    </row>
    <row r="185" customFormat="false" ht="41.75" hidden="false" customHeight="false" outlineLevel="0" collapsed="false">
      <c r="A185" s="16" t="s">
        <v>21</v>
      </c>
      <c r="B185" s="16" t="s">
        <v>324</v>
      </c>
      <c r="C185" s="17" t="s">
        <v>325</v>
      </c>
      <c r="D185" s="17" t="s">
        <v>326</v>
      </c>
      <c r="E185" s="15" t="str">
        <f aca="false">IF(H185&lt;&gt;"",IF(LEFT(H185,5)="Price","Excluded – price ≤ USD 5","Excluded – IV only"),IF(ISNUMBER(I185),IF(AND(I185&gt;=$C$3,M185&gt;=$E$3),"Priority 1",IF(OR(I185&gt;=$C$3,M185&gt;=$E$3),"Priority 2","Priority 3")),IF(M185&gt;=$E$3,"Priority 2","Priority 3")))</f>
        <v>Excluded – IV only</v>
      </c>
      <c r="F185" s="15" t="str">
        <f aca="false">IF(H185&lt;&gt;"","",COUNTIFS($A$29:$A$361,A185,$H$29:$H$361,"",$AJ$29:$AJ$361,"&gt;"&amp;AJ185)+COUNTIFS($A$29:A185,A185,$H$29:H185,"",$AJ$29:AJ185,AJ185))</f>
        <v/>
      </c>
      <c r="G185" s="17" t="str">
        <f aca="false">IF(H185&lt;&gt;"","",IF(ISNUMBER(I185),IF(I185&gt;=$C$3,"High price","Lower price"),"No price")&amp;", "&amp;IF(M185&gt;=$E$3,"high volume","lower volume"))</f>
        <v/>
      </c>
      <c r="H185" s="17" t="str">
        <f aca="false">IF(Q185="No","IV only (no ID, IM or SC route)",IF(AND(AE185&gt;0,AF185=0),"Price ≤ USD 5",""))</f>
        <v>IV only (no ID, IM or SC route)</v>
      </c>
      <c r="I185" s="18" t="n">
        <f aca="false">IF(AF185&gt;0,ROUND(AVERAGEIFS('Shortlisted Drugs X Company (7)'!$N$3:$N$698,'Shortlisted Drugs X Company (7)'!$C$3:$C$698,$B185,'Shortlisted Drugs X Company (7)'!$E$3:$E$698,$AA185,'Shortlisted Drugs X Company (7)'!$N$3:$N$698,"&gt;5"),2),"")</f>
        <v>90.4</v>
      </c>
      <c r="J185" s="17" t="str">
        <f aca="false">IF(COUNTIFS('Shortlisted Drugs X Company (7)'!$C$3:$C$698,$B185,'Shortlisted Drugs X Company (7)'!$E$3:$E$698,$AA185,'Shortlisted Drugs X Company (7)'!$P$3:$P$698,"Exact")&gt;0,"Exact",IF(COUNTIFS('Shortlisted Drugs X Company (7)'!$C$3:$C$698,$B185,'Shortlisted Drugs X Company (7)'!$E$3:$E$698,$AA185,'Shortlisted Drugs X Company (7)'!$P$3:$P$698,"Same-market proxy")&gt;0,"Same-market proxy",IF(COUNTIFS('Shortlisted Drugs X Company (7)'!$C$3:$C$698,$B185,'Shortlisted Drugs X Company (7)'!$E$3:$E$698,$AA185,'Shortlisted Drugs X Company (7)'!$P$3:$P$698,"Cross-market proxy")&gt;0,"Cross-market proxy",IF(COUNTIFS('Shortlisted Drugs X Company (7)'!$C$3:$C$698,$B185,'Shortlisted Drugs X Company (7)'!$E$3:$E$698,$AA185,'Shortlisted Drugs X Company (7)'!$P$3:$P$698,"Source not found")&gt;0,"Source not found","No price found"))))</f>
        <v>Same-market proxy</v>
      </c>
      <c r="K185" s="19" t="n">
        <f aca="false">IFERROR(INDEX('Injectable Value'!$AB$28:$AB$178,MATCH(B185,'Injectable Value'!$A$28:$A$178,0)),"")</f>
        <v>22</v>
      </c>
      <c r="L185" s="77" t="n">
        <f aca="false">IFERROR(INDEX('Injectable Value'!$Z$28:$Z$178,MATCH(B185,'Injectable Value'!$A$28:$A$178,0)),"")</f>
        <v>1</v>
      </c>
      <c r="M185" s="19" t="n">
        <f aca="false">IFERROR(INDEX('Injectable Value'!$AC$28:$AC$178,MATCH(B185,'Injectable Value'!$A$28:$A$178,0)),"")</f>
        <v>22</v>
      </c>
      <c r="N185" s="19" t="n">
        <f aca="false">IFERROR(INDEX('Injectable Value'!$C$28:$C$178,MATCH(B185,'Injectable Value'!$A$28:$A$178,0)),"")</f>
        <v>2127.31</v>
      </c>
      <c r="O185" s="19" t="n">
        <f aca="false">IFERROR(ROUND(INDEX('Injectable Value'!$AA$28:$AA$178,MATCH(B185,'Injectable Value'!$A$28:$A$178,0)),1),"")</f>
        <v>2127.3</v>
      </c>
      <c r="P185" s="16" t="str">
        <f aca="false">IFERROR(INDEX('Route of Administration'!$C$5:$C$155,MATCH(B185,'Route of Administration'!$A$5:$A$155,0)),"")</f>
        <v>IV</v>
      </c>
      <c r="Q185" s="15" t="str">
        <f aca="false">IFERROR(INDEX('Route of Administration'!$D$5:$D$155,MATCH(B185,'Route of Administration'!$A$5:$A$155,0)),"")</f>
        <v>No</v>
      </c>
      <c r="R185" s="16" t="s">
        <v>281</v>
      </c>
      <c r="S185" s="17" t="s">
        <v>327</v>
      </c>
      <c r="T185" s="16" t="s">
        <v>318</v>
      </c>
      <c r="U185" s="17" t="str">
        <f aca="false">""&amp;IF(AE185=0,"No price found","")&amp;IF(AND(AE185&gt;0,AF185=0,AG185=0),"Low price comes from another market – confirm with the company","")</f>
        <v/>
      </c>
      <c r="V185" s="17" t="s">
        <v>935</v>
      </c>
      <c r="W185" s="15" t="n">
        <v>5</v>
      </c>
      <c r="X185" s="17" t="s">
        <v>936</v>
      </c>
      <c r="Y185" s="17" t="s">
        <v>936</v>
      </c>
      <c r="Z185" s="17" t="s">
        <v>321</v>
      </c>
      <c r="AA185" s="16" t="s">
        <v>927</v>
      </c>
      <c r="AB185" s="78" t="s">
        <v>328</v>
      </c>
      <c r="AC185" s="20" t="n">
        <f aca="false">IF(AE185&gt;0,ROUND(AVERAGEIFS('Shortlisted Drugs X Company (7)'!$N$3:$N$698,'Shortlisted Drugs X Company (7)'!$C$3:$C$698,$B185,'Shortlisted Drugs X Company (7)'!$E$3:$E$698,$AA185,'Shortlisted Drugs X Company (7)'!$N$3:$N$698,"&gt;=0"),2),"")</f>
        <v>90.4</v>
      </c>
      <c r="AD185" s="79" t="str">
        <f aca="false">B185&amp;"|"&amp;AA185</f>
        <v>Argatroban|Intas Pharmaceuticals</v>
      </c>
      <c r="AE185" s="22" t="n">
        <f aca="false">COUNTIFS('Shortlisted Drugs X Company (7)'!$C$3:$C$698,$B185,'Shortlisted Drugs X Company (7)'!$E$3:$E$698,$AA185,'Shortlisted Drugs X Company (7)'!$N$3:$N$698,"&gt;=0")</f>
        <v>1</v>
      </c>
      <c r="AF185" s="22" t="n">
        <f aca="false">COUNTIFS('Shortlisted Drugs X Company (7)'!$C$3:$C$698,$B185,'Shortlisted Drugs X Company (7)'!$E$3:$E$698,$AA185,'Shortlisted Drugs X Company (7)'!$N$3:$N$698,"&gt;5")</f>
        <v>1</v>
      </c>
      <c r="AG185" s="22" t="n">
        <f aca="false">COUNTIFS('Shortlisted Drugs X Company (7)'!$C$3:$C$698,$B185,'Shortlisted Drugs X Company (7)'!$E$3:$E$698,$AA185,'Shortlisted Drugs X Company (7)'!$P$3:$P$698,"Exact")+COUNTIFS('Shortlisted Drugs X Company (7)'!$C$3:$C$698,$B185,'Shortlisted Drugs X Company (7)'!$E$3:$E$698,$AA185,'Shortlisted Drugs X Company (7)'!$P$3:$P$698,"Same-market proxy")</f>
        <v>1</v>
      </c>
      <c r="AH185" s="22" t="n">
        <f aca="false">INDEX($G$7:$G$25,MATCH(A185,$A$7:$A$25,0))</f>
        <v>1</v>
      </c>
      <c r="AI185" s="79" t="str">
        <f aca="false">IF(OR(Q185="No",LEFT(H185,7)="IV only"),"",AH185*1000+IF(F185="",900+COUNTIFS($A$29:A185,A185,$H$29:H185,"Price*"),F185))</f>
        <v/>
      </c>
      <c r="AJ185" s="79" t="str">
        <f aca="false">IF(H185&lt;&gt;"","",(4-VALUE(RIGHT(E185,1)))*10^7+N(O185))</f>
        <v/>
      </c>
      <c r="AK185" s="79" t="str">
        <f aca="false">IF(AND(H185="",ISNUMBER(I185)),I185,"")</f>
        <v/>
      </c>
      <c r="AL185" s="79" t="str">
        <f aca="false">IF(H185="",M185,"")</f>
        <v/>
      </c>
    </row>
    <row r="186" customFormat="false" ht="28.35" hidden="false" customHeight="false" outlineLevel="0" collapsed="false">
      <c r="A186" s="16" t="s">
        <v>21</v>
      </c>
      <c r="B186" s="16" t="s">
        <v>937</v>
      </c>
      <c r="C186" s="17" t="s">
        <v>938</v>
      </c>
      <c r="D186" s="17" t="s">
        <v>596</v>
      </c>
      <c r="E186" s="15" t="str">
        <f aca="false">IF(H186&lt;&gt;"",IF(LEFT(H186,5)="Price","Excluded – price ≤ USD 5","Excluded – IV only"),IF(ISNUMBER(I186),IF(AND(I186&gt;=$C$3,M186&gt;=$E$3),"Priority 1",IF(OR(I186&gt;=$C$3,M186&gt;=$E$3),"Priority 2","Priority 3")),IF(M186&gt;=$E$3,"Priority 2","Priority 3")))</f>
        <v>Excluded – IV only</v>
      </c>
      <c r="F186" s="15" t="str">
        <f aca="false">IF(H186&lt;&gt;"","",COUNTIFS($A$29:$A$361,A186,$H$29:$H$361,"",$AJ$29:$AJ$361,"&gt;"&amp;AJ186)+COUNTIFS($A$29:A186,A186,$H$29:H186,"",$AJ$29:AJ186,AJ186))</f>
        <v/>
      </c>
      <c r="G186" s="17" t="str">
        <f aca="false">IF(H186&lt;&gt;"","",IF(ISNUMBER(I186),IF(I186&gt;=$C$3,"High price","Lower price"),"No price")&amp;", "&amp;IF(M186&gt;=$E$3,"high volume","lower volume"))</f>
        <v/>
      </c>
      <c r="H186" s="17" t="str">
        <f aca="false">IF(Q186="No","IV only (no ID, IM or SC route)",IF(AND(AE186&gt;0,AF186=0),"Price ≤ USD 5",""))</f>
        <v>IV only (no ID, IM or SC route)</v>
      </c>
      <c r="I186" s="18" t="n">
        <f aca="false">IF(AF186&gt;0,ROUND(AVERAGEIFS('Shortlisted Drugs X Company (7)'!$N$3:$N$698,'Shortlisted Drugs X Company (7)'!$C$3:$C$698,$B186,'Shortlisted Drugs X Company (7)'!$E$3:$E$698,$AA186,'Shortlisted Drugs X Company (7)'!$N$3:$N$698,"&gt;5"),2),"")</f>
        <v>5.48</v>
      </c>
      <c r="J186" s="17" t="str">
        <f aca="false">IF(COUNTIFS('Shortlisted Drugs X Company (7)'!$C$3:$C$698,$B186,'Shortlisted Drugs X Company (7)'!$E$3:$E$698,$AA186,'Shortlisted Drugs X Company (7)'!$P$3:$P$698,"Exact")&gt;0,"Exact",IF(COUNTIFS('Shortlisted Drugs X Company (7)'!$C$3:$C$698,$B186,'Shortlisted Drugs X Company (7)'!$E$3:$E$698,$AA186,'Shortlisted Drugs X Company (7)'!$P$3:$P$698,"Same-market proxy")&gt;0,"Same-market proxy",IF(COUNTIFS('Shortlisted Drugs X Company (7)'!$C$3:$C$698,$B186,'Shortlisted Drugs X Company (7)'!$E$3:$E$698,$AA186,'Shortlisted Drugs X Company (7)'!$P$3:$P$698,"Cross-market proxy")&gt;0,"Cross-market proxy",IF(COUNTIFS('Shortlisted Drugs X Company (7)'!$C$3:$C$698,$B186,'Shortlisted Drugs X Company (7)'!$E$3:$E$698,$AA186,'Shortlisted Drugs X Company (7)'!$P$3:$P$698,"Source not found")&gt;0,"Source not found","No price found"))))</f>
        <v>Cross-market proxy</v>
      </c>
      <c r="K186" s="19" t="n">
        <f aca="false">IFERROR(INDEX('Injectable Value'!$AB$28:$AB$178,MATCH(B186,'Injectable Value'!$A$28:$A$178,0)),"")</f>
        <v>252</v>
      </c>
      <c r="L186" s="77" t="n">
        <f aca="false">IFERROR(INDEX('Injectable Value'!$Z$28:$Z$178,MATCH(B186,'Injectable Value'!$A$28:$A$178,0)),"")</f>
        <v>1</v>
      </c>
      <c r="M186" s="19" t="n">
        <f aca="false">IFERROR(INDEX('Injectable Value'!$AC$28:$AC$178,MATCH(B186,'Injectable Value'!$A$28:$A$178,0)),"")</f>
        <v>252</v>
      </c>
      <c r="N186" s="19" t="n">
        <f aca="false">IFERROR(INDEX('Injectable Value'!$C$28:$C$178,MATCH(B186,'Injectable Value'!$A$28:$A$178,0)),"")</f>
        <v>3257.58</v>
      </c>
      <c r="O186" s="19" t="n">
        <f aca="false">IFERROR(ROUND(INDEX('Injectable Value'!$AA$28:$AA$178,MATCH(B186,'Injectable Value'!$A$28:$A$178,0)),1),"")</f>
        <v>3257.6</v>
      </c>
      <c r="P186" s="16" t="str">
        <f aca="false">IFERROR(INDEX('Route of Administration'!$C$5:$C$155,MATCH(B186,'Route of Administration'!$A$5:$A$155,0)),"")</f>
        <v>IV</v>
      </c>
      <c r="Q186" s="15" t="str">
        <f aca="false">IFERROR(INDEX('Route of Administration'!$D$5:$D$155,MATCH(B186,'Route of Administration'!$A$5:$A$155,0)),"")</f>
        <v>No</v>
      </c>
      <c r="R186" s="16" t="s">
        <v>310</v>
      </c>
      <c r="S186" s="17" t="s">
        <v>909</v>
      </c>
      <c r="T186" s="16" t="s">
        <v>310</v>
      </c>
      <c r="U186" s="17" t="str">
        <f aca="false">""&amp;IF(AE186=0,"No price found","")&amp;IF(AND(AE186&gt;0,AF186=0,AG186=0),"Low price comes from another market – confirm with the company","")</f>
        <v/>
      </c>
      <c r="V186" s="17" t="s">
        <v>912</v>
      </c>
      <c r="W186" s="15" t="n">
        <v>1</v>
      </c>
      <c r="X186" s="17" t="s">
        <v>912</v>
      </c>
      <c r="Y186" s="17" t="s">
        <v>912</v>
      </c>
      <c r="Z186" s="17" t="s">
        <v>312</v>
      </c>
      <c r="AA186" s="16" t="s">
        <v>927</v>
      </c>
      <c r="AB186" s="78" t="s">
        <v>939</v>
      </c>
      <c r="AC186" s="20" t="n">
        <f aca="false">IF(AE186&gt;0,ROUND(AVERAGEIFS('Shortlisted Drugs X Company (7)'!$N$3:$N$698,'Shortlisted Drugs X Company (7)'!$C$3:$C$698,$B186,'Shortlisted Drugs X Company (7)'!$E$3:$E$698,$AA186,'Shortlisted Drugs X Company (7)'!$N$3:$N$698,"&gt;=0"),2),"")</f>
        <v>5.48</v>
      </c>
      <c r="AD186" s="79" t="str">
        <f aca="false">B186&amp;"|"&amp;AA186</f>
        <v>Atracurium|Intas Pharmaceuticals</v>
      </c>
      <c r="AE186" s="22" t="n">
        <f aca="false">COUNTIFS('Shortlisted Drugs X Company (7)'!$C$3:$C$698,$B186,'Shortlisted Drugs X Company (7)'!$E$3:$E$698,$AA186,'Shortlisted Drugs X Company (7)'!$N$3:$N$698,"&gt;=0")</f>
        <v>1</v>
      </c>
      <c r="AF186" s="22" t="n">
        <f aca="false">COUNTIFS('Shortlisted Drugs X Company (7)'!$C$3:$C$698,$B186,'Shortlisted Drugs X Company (7)'!$E$3:$E$698,$AA186,'Shortlisted Drugs X Company (7)'!$N$3:$N$698,"&gt;5")</f>
        <v>1</v>
      </c>
      <c r="AG186" s="22" t="n">
        <f aca="false">COUNTIFS('Shortlisted Drugs X Company (7)'!$C$3:$C$698,$B186,'Shortlisted Drugs X Company (7)'!$E$3:$E$698,$AA186,'Shortlisted Drugs X Company (7)'!$P$3:$P$698,"Exact")+COUNTIFS('Shortlisted Drugs X Company (7)'!$C$3:$C$698,$B186,'Shortlisted Drugs X Company (7)'!$E$3:$E$698,$AA186,'Shortlisted Drugs X Company (7)'!$P$3:$P$698,"Same-market proxy")</f>
        <v>0</v>
      </c>
      <c r="AH186" s="22" t="n">
        <f aca="false">INDEX($G$7:$G$25,MATCH(A186,$A$7:$A$25,0))</f>
        <v>1</v>
      </c>
      <c r="AI186" s="79" t="str">
        <f aca="false">IF(OR(Q186="No",LEFT(H186,7)="IV only"),"",AH186*1000+IF(F186="",900+COUNTIFS($A$29:A186,A186,$H$29:H186,"Price*"),F186))</f>
        <v/>
      </c>
      <c r="AJ186" s="79" t="str">
        <f aca="false">IF(H186&lt;&gt;"","",(4-VALUE(RIGHT(E186,1)))*10^7+N(O186))</f>
        <v/>
      </c>
      <c r="AK186" s="79" t="str">
        <f aca="false">IF(AND(H186="",ISNUMBER(I186)),I186,"")</f>
        <v/>
      </c>
      <c r="AL186" s="79" t="str">
        <f aca="false">IF(H186="",M186,"")</f>
        <v/>
      </c>
    </row>
    <row r="187" customFormat="false" ht="55.2" hidden="false" customHeight="false" outlineLevel="0" collapsed="false">
      <c r="A187" s="16" t="s">
        <v>21</v>
      </c>
      <c r="B187" s="16" t="s">
        <v>940</v>
      </c>
      <c r="C187" s="17" t="s">
        <v>941</v>
      </c>
      <c r="D187" s="17" t="s">
        <v>942</v>
      </c>
      <c r="E187" s="15" t="str">
        <f aca="false">IF(H187&lt;&gt;"",IF(LEFT(H187,5)="Price","Excluded – price ≤ USD 5","Excluded – IV only"),IF(ISNUMBER(I187),IF(AND(I187&gt;=$C$3,M187&gt;=$E$3),"Priority 1",IF(OR(I187&gt;=$C$3,M187&gt;=$E$3),"Priority 2","Priority 3")),IF(M187&gt;=$E$3,"Priority 2","Priority 3")))</f>
        <v>Priority 2</v>
      </c>
      <c r="F187" s="15" t="n">
        <f aca="false">IF(H187&lt;&gt;"","",COUNTIFS($A$29:$A$361,A187,$H$29:$H$361,"",$AJ$29:$AJ$361,"&gt;"&amp;AJ187)+COUNTIFS($A$29:A187,A187,$H$29:H187,"",$AJ$29:AJ187,AJ187))</f>
        <v>13</v>
      </c>
      <c r="G187" s="17" t="str">
        <f aca="false">IF(H187&lt;&gt;"","",IF(ISNUMBER(I187),IF(I187&gt;=$C$3,"High price","Lower price"),"No price")&amp;", "&amp;IF(M187&gt;=$E$3,"high volume","lower volume"))</f>
        <v>Lower price, high volume</v>
      </c>
      <c r="H187" s="17" t="str">
        <f aca="false">IF(Q187="No","IV only (no ID, IM or SC route)",IF(AND(AE187&gt;0,AF187=0),"Price ≤ USD 5",""))</f>
        <v/>
      </c>
      <c r="I187" s="18" t="n">
        <f aca="false">IF(AF187&gt;0,ROUND(AVERAGEIFS('Shortlisted Drugs X Company (7)'!$N$3:$N$698,'Shortlisted Drugs X Company (7)'!$C$3:$C$698,$B187,'Shortlisted Drugs X Company (7)'!$E$3:$E$698,$AA187,'Shortlisted Drugs X Company (7)'!$N$3:$N$698,"&gt;5"),2),"")</f>
        <v>16.48</v>
      </c>
      <c r="J187" s="17" t="str">
        <f aca="false">IF(COUNTIFS('Shortlisted Drugs X Company (7)'!$C$3:$C$698,$B187,'Shortlisted Drugs X Company (7)'!$E$3:$E$698,$AA187,'Shortlisted Drugs X Company (7)'!$P$3:$P$698,"Exact")&gt;0,"Exact",IF(COUNTIFS('Shortlisted Drugs X Company (7)'!$C$3:$C$698,$B187,'Shortlisted Drugs X Company (7)'!$E$3:$E$698,$AA187,'Shortlisted Drugs X Company (7)'!$P$3:$P$698,"Same-market proxy")&gt;0,"Same-market proxy",IF(COUNTIFS('Shortlisted Drugs X Company (7)'!$C$3:$C$698,$B187,'Shortlisted Drugs X Company (7)'!$E$3:$E$698,$AA187,'Shortlisted Drugs X Company (7)'!$P$3:$P$698,"Cross-market proxy")&gt;0,"Cross-market proxy",IF(COUNTIFS('Shortlisted Drugs X Company (7)'!$C$3:$C$698,$B187,'Shortlisted Drugs X Company (7)'!$E$3:$E$698,$AA187,'Shortlisted Drugs X Company (7)'!$P$3:$P$698,"Source not found")&gt;0,"Source not found","No price found"))))</f>
        <v>Exact</v>
      </c>
      <c r="K187" s="19" t="n">
        <f aca="false">IFERROR(INDEX('Injectable Value'!$AB$28:$AB$178,MATCH(B187,'Injectable Value'!$A$28:$A$178,0)),"")</f>
        <v>976</v>
      </c>
      <c r="L187" s="77" t="n">
        <f aca="false">IFERROR(INDEX('Injectable Value'!$Z$28:$Z$178,MATCH(B187,'Injectable Value'!$A$28:$A$178,0)),"")</f>
        <v>0.732106666907168</v>
      </c>
      <c r="M187" s="19" t="n">
        <f aca="false">IFERROR(INDEX('Injectable Value'!$AC$28:$AC$178,MATCH(B187,'Injectable Value'!$A$28:$A$178,0)),"")</f>
        <v>715</v>
      </c>
      <c r="N187" s="19" t="n">
        <f aca="false">IFERROR(INDEX('Injectable Value'!$C$28:$C$178,MATCH(B187,'Injectable Value'!$A$28:$A$178,0)),"")</f>
        <v>9295.14</v>
      </c>
      <c r="O187" s="19" t="n">
        <f aca="false">IFERROR(ROUND(INDEX('Injectable Value'!$AA$28:$AA$178,MATCH(B187,'Injectable Value'!$A$28:$A$178,0)),1),"")</f>
        <v>6805</v>
      </c>
      <c r="P187" s="16" t="str">
        <f aca="false">IFERROR(INDEX('Route of Administration'!$C$5:$C$155,MATCH(B187,'Route of Administration'!$A$5:$A$155,0)),"")</f>
        <v>IV, IM, SC</v>
      </c>
      <c r="Q187" s="15" t="str">
        <f aca="false">IFERROR(INDEX('Route of Administration'!$D$5:$D$155,MATCH(B187,'Route of Administration'!$A$5:$A$155,0)),"")</f>
        <v>Yes</v>
      </c>
      <c r="R187" s="16" t="s">
        <v>473</v>
      </c>
      <c r="S187" s="17" t="s">
        <v>943</v>
      </c>
      <c r="T187" s="16" t="s">
        <v>283</v>
      </c>
      <c r="U187" s="17" t="str">
        <f aca="false">""&amp;IF(AE187=0,"No price found","")&amp;IF(AND(AE187&gt;0,AF187=0,AG187=0),"Low price comes from another market – confirm with the company","")</f>
        <v/>
      </c>
      <c r="V187" s="17" t="s">
        <v>760</v>
      </c>
      <c r="W187" s="15" t="n">
        <v>16</v>
      </c>
      <c r="X187" s="17" t="s">
        <v>944</v>
      </c>
      <c r="Y187" s="17" t="s">
        <v>945</v>
      </c>
      <c r="Z187" s="17" t="s">
        <v>321</v>
      </c>
      <c r="AA187" s="16" t="s">
        <v>927</v>
      </c>
      <c r="AB187" s="78" t="s">
        <v>946</v>
      </c>
      <c r="AC187" s="20" t="n">
        <f aca="false">IF(AE187&gt;0,ROUND(AVERAGEIFS('Shortlisted Drugs X Company (7)'!$N$3:$N$698,'Shortlisted Drugs X Company (7)'!$C$3:$C$698,$B187,'Shortlisted Drugs X Company (7)'!$E$3:$E$698,$AA187,'Shortlisted Drugs X Company (7)'!$N$3:$N$698,"&gt;=0"),2),"")</f>
        <v>16.48</v>
      </c>
      <c r="AD187" s="79" t="str">
        <f aca="false">B187&amp;"|"&amp;AA187</f>
        <v>Atropine|Intas Pharmaceuticals</v>
      </c>
      <c r="AE187" s="22" t="n">
        <f aca="false">COUNTIFS('Shortlisted Drugs X Company (7)'!$C$3:$C$698,$B187,'Shortlisted Drugs X Company (7)'!$E$3:$E$698,$AA187,'Shortlisted Drugs X Company (7)'!$N$3:$N$698,"&gt;=0")</f>
        <v>8</v>
      </c>
      <c r="AF187" s="22" t="n">
        <f aca="false">COUNTIFS('Shortlisted Drugs X Company (7)'!$C$3:$C$698,$B187,'Shortlisted Drugs X Company (7)'!$E$3:$E$698,$AA187,'Shortlisted Drugs X Company (7)'!$N$3:$N$698,"&gt;5")</f>
        <v>8</v>
      </c>
      <c r="AG187" s="22" t="n">
        <f aca="false">COUNTIFS('Shortlisted Drugs X Company (7)'!$C$3:$C$698,$B187,'Shortlisted Drugs X Company (7)'!$E$3:$E$698,$AA187,'Shortlisted Drugs X Company (7)'!$P$3:$P$698,"Exact")+COUNTIFS('Shortlisted Drugs X Company (7)'!$C$3:$C$698,$B187,'Shortlisted Drugs X Company (7)'!$E$3:$E$698,$AA187,'Shortlisted Drugs X Company (7)'!$P$3:$P$698,"Same-market proxy")</f>
        <v>8</v>
      </c>
      <c r="AH187" s="22" t="n">
        <f aca="false">INDEX($G$7:$G$25,MATCH(A187,$A$7:$A$25,0))</f>
        <v>1</v>
      </c>
      <c r="AI187" s="79" t="n">
        <f aca="false">IF(OR(Q187="No",LEFT(H187,7)="IV only"),"",AH187*1000+IF(F187="",900+COUNTIFS($A$29:A187,A187,$H$29:H187,"Price*"),F187))</f>
        <v>1013</v>
      </c>
      <c r="AJ187" s="79" t="n">
        <f aca="false">IF(H187&lt;&gt;"","",(4-VALUE(RIGHT(E187,1)))*10^7+N(O187))</f>
        <v>20006805</v>
      </c>
      <c r="AK187" s="20" t="n">
        <f aca="false">IF(AND(H187="",ISNUMBER(I187)),I187,"")</f>
        <v>16.48</v>
      </c>
      <c r="AL187" s="21" t="n">
        <f aca="false">IF(H187="",M187,"")</f>
        <v>715</v>
      </c>
    </row>
    <row r="188" customFormat="false" ht="95.5" hidden="false" customHeight="false" outlineLevel="0" collapsed="false">
      <c r="A188" s="16" t="s">
        <v>21</v>
      </c>
      <c r="B188" s="16" t="s">
        <v>329</v>
      </c>
      <c r="C188" s="17" t="s">
        <v>947</v>
      </c>
      <c r="D188" s="17" t="s">
        <v>331</v>
      </c>
      <c r="E188" s="15" t="str">
        <f aca="false">IF(H188&lt;&gt;"",IF(LEFT(H188,5)="Price","Excluded – price ≤ USD 5","Excluded – IV only"),IF(ISNUMBER(I188),IF(AND(I188&gt;=$C$3,M188&gt;=$E$3),"Priority 1",IF(OR(I188&gt;=$C$3,M188&gt;=$E$3),"Priority 2","Priority 3")),IF(M188&gt;=$E$3,"Priority 2","Priority 3")))</f>
        <v>Priority 1</v>
      </c>
      <c r="F188" s="15" t="n">
        <f aca="false">IF(H188&lt;&gt;"","",COUNTIFS($A$29:$A$361,A188,$H$29:$H$361,"",$AJ$29:$AJ$361,"&gt;"&amp;AJ188)+COUNTIFS($A$29:A188,A188,$H$29:H188,"",$AJ$29:AJ188,AJ188))</f>
        <v>1</v>
      </c>
      <c r="G188" s="17" t="str">
        <f aca="false">IF(H188&lt;&gt;"","",IF(ISNUMBER(I188),IF(I188&gt;=$C$3,"High price","Lower price"),"No price")&amp;", "&amp;IF(M188&gt;=$E$3,"high volume","lower volume"))</f>
        <v>High price, high volume</v>
      </c>
      <c r="H188" s="17" t="str">
        <f aca="false">IF(Q188="No","IV only (no ID, IM or SC route)",IF(AND(AE188&gt;0,AF188=0),"Price ≤ USD 5",""))</f>
        <v/>
      </c>
      <c r="I188" s="18" t="n">
        <f aca="false">IF(AF188&gt;0,ROUND(AVERAGEIFS('Shortlisted Drugs X Company (7)'!$N$3:$N$698,'Shortlisted Drugs X Company (7)'!$C$3:$C$698,$B188,'Shortlisted Drugs X Company (7)'!$E$3:$E$698,$AA188,'Shortlisted Drugs X Company (7)'!$N$3:$N$698,"&gt;5"),2),"")</f>
        <v>256.12</v>
      </c>
      <c r="J188" s="17" t="str">
        <f aca="false">IF(COUNTIFS('Shortlisted Drugs X Company (7)'!$C$3:$C$698,$B188,'Shortlisted Drugs X Company (7)'!$E$3:$E$698,$AA188,'Shortlisted Drugs X Company (7)'!$P$3:$P$698,"Exact")&gt;0,"Exact",IF(COUNTIFS('Shortlisted Drugs X Company (7)'!$C$3:$C$698,$B188,'Shortlisted Drugs X Company (7)'!$E$3:$E$698,$AA188,'Shortlisted Drugs X Company (7)'!$P$3:$P$698,"Same-market proxy")&gt;0,"Same-market proxy",IF(COUNTIFS('Shortlisted Drugs X Company (7)'!$C$3:$C$698,$B188,'Shortlisted Drugs X Company (7)'!$E$3:$E$698,$AA188,'Shortlisted Drugs X Company (7)'!$P$3:$P$698,"Cross-market proxy")&gt;0,"Cross-market proxy",IF(COUNTIFS('Shortlisted Drugs X Company (7)'!$C$3:$C$698,$B188,'Shortlisted Drugs X Company (7)'!$E$3:$E$698,$AA188,'Shortlisted Drugs X Company (7)'!$P$3:$P$698,"Source not found")&gt;0,"Source not found","No price found"))))</f>
        <v>Exact</v>
      </c>
      <c r="K188" s="19" t="n">
        <f aca="false">IFERROR(INDEX('Injectable Value'!$AB$28:$AB$178,MATCH(B188,'Injectable Value'!$A$28:$A$178,0)),"")</f>
        <v>762</v>
      </c>
      <c r="L188" s="77" t="n">
        <f aca="false">IFERROR(INDEX('Injectable Value'!$Z$28:$Z$178,MATCH(B188,'Injectable Value'!$A$28:$A$178,0)),"")</f>
        <v>0.829278792417718</v>
      </c>
      <c r="M188" s="19" t="n">
        <f aca="false">IFERROR(INDEX('Injectable Value'!$AC$28:$AC$178,MATCH(B188,'Injectable Value'!$A$28:$A$178,0)),"")</f>
        <v>632</v>
      </c>
      <c r="N188" s="19" t="n">
        <f aca="false">IFERROR(INDEX('Injectable Value'!$C$28:$C$178,MATCH(B188,'Injectable Value'!$A$28:$A$178,0)),"")</f>
        <v>50865.56</v>
      </c>
      <c r="O188" s="19" t="n">
        <f aca="false">IFERROR(ROUND(INDEX('Injectable Value'!$AA$28:$AA$178,MATCH(B188,'Injectable Value'!$A$28:$A$178,0)),1),"")</f>
        <v>42181.7</v>
      </c>
      <c r="P188" s="16" t="str">
        <f aca="false">IFERROR(INDEX('Route of Administration'!$C$5:$C$155,MATCH(B188,'Route of Administration'!$A$5:$A$155,0)),"")</f>
        <v>IV, SC</v>
      </c>
      <c r="Q188" s="15" t="str">
        <f aca="false">IFERROR(INDEX('Route of Administration'!$D$5:$D$155,MATCH(B188,'Route of Administration'!$A$5:$A$155,0)),"")</f>
        <v>Yes</v>
      </c>
      <c r="R188" s="16" t="s">
        <v>281</v>
      </c>
      <c r="S188" s="17" t="s">
        <v>948</v>
      </c>
      <c r="T188" s="16" t="s">
        <v>333</v>
      </c>
      <c r="U188" s="17" t="str">
        <f aca="false">"Cancer drug (cytotoxic) – less relevant; Reconstitution"&amp;IF(AE188=0,"; No price found","")&amp;IF(AND(AE188&gt;0,AF188=0,AG188=0),"; Low price comes from another market – confirm with the company","")</f>
        <v>Cancer drug (cytotoxic) – less relevant; Reconstitution</v>
      </c>
      <c r="V188" s="17" t="s">
        <v>456</v>
      </c>
      <c r="W188" s="15" t="n">
        <v>32</v>
      </c>
      <c r="X188" s="17" t="s">
        <v>949</v>
      </c>
      <c r="Y188" s="17" t="s">
        <v>950</v>
      </c>
      <c r="Z188" s="17" t="s">
        <v>286</v>
      </c>
      <c r="AA188" s="16" t="s">
        <v>927</v>
      </c>
      <c r="AB188" s="78" t="s">
        <v>337</v>
      </c>
      <c r="AC188" s="20" t="n">
        <f aca="false">IF(AE188&gt;0,ROUND(AVERAGEIFS('Shortlisted Drugs X Company (7)'!$N$3:$N$698,'Shortlisted Drugs X Company (7)'!$C$3:$C$698,$B188,'Shortlisted Drugs X Company (7)'!$E$3:$E$698,$AA188,'Shortlisted Drugs X Company (7)'!$N$3:$N$698,"&gt;=0"),2),"")</f>
        <v>256.12</v>
      </c>
      <c r="AD188" s="79" t="str">
        <f aca="false">B188&amp;"|"&amp;AA188</f>
        <v>Azacitidine|Intas Pharmaceuticals</v>
      </c>
      <c r="AE188" s="22" t="n">
        <f aca="false">COUNTIFS('Shortlisted Drugs X Company (7)'!$C$3:$C$698,$B188,'Shortlisted Drugs X Company (7)'!$E$3:$E$698,$AA188,'Shortlisted Drugs X Company (7)'!$N$3:$N$698,"&gt;=0")</f>
        <v>3</v>
      </c>
      <c r="AF188" s="22" t="n">
        <f aca="false">COUNTIFS('Shortlisted Drugs X Company (7)'!$C$3:$C$698,$B188,'Shortlisted Drugs X Company (7)'!$E$3:$E$698,$AA188,'Shortlisted Drugs X Company (7)'!$N$3:$N$698,"&gt;5")</f>
        <v>3</v>
      </c>
      <c r="AG188" s="22" t="n">
        <f aca="false">COUNTIFS('Shortlisted Drugs X Company (7)'!$C$3:$C$698,$B188,'Shortlisted Drugs X Company (7)'!$E$3:$E$698,$AA188,'Shortlisted Drugs X Company (7)'!$P$3:$P$698,"Exact")+COUNTIFS('Shortlisted Drugs X Company (7)'!$C$3:$C$698,$B188,'Shortlisted Drugs X Company (7)'!$E$3:$E$698,$AA188,'Shortlisted Drugs X Company (7)'!$P$3:$P$698,"Same-market proxy")</f>
        <v>3</v>
      </c>
      <c r="AH188" s="22" t="n">
        <f aca="false">INDEX($G$7:$G$25,MATCH(A188,$A$7:$A$25,0))</f>
        <v>1</v>
      </c>
      <c r="AI188" s="79" t="n">
        <f aca="false">IF(OR(Q188="No",LEFT(H188,7)="IV only"),"",AH188*1000+IF(F188="",900+COUNTIFS($A$29:A188,A188,$H$29:H188,"Price*"),F188))</f>
        <v>1001</v>
      </c>
      <c r="AJ188" s="79" t="n">
        <f aca="false">IF(H188&lt;&gt;"","",(4-VALUE(RIGHT(E188,1)))*10^7+N(O188))</f>
        <v>30042181.7</v>
      </c>
      <c r="AK188" s="20" t="n">
        <f aca="false">IF(AND(H188="",ISNUMBER(I188)),I188,"")</f>
        <v>256.12</v>
      </c>
      <c r="AL188" s="21" t="n">
        <f aca="false">IF(H188="",M188,"")</f>
        <v>632</v>
      </c>
    </row>
    <row r="189" customFormat="false" ht="41.75" hidden="false" customHeight="false" outlineLevel="0" collapsed="false">
      <c r="A189" s="16" t="s">
        <v>21</v>
      </c>
      <c r="B189" s="16" t="s">
        <v>699</v>
      </c>
      <c r="C189" s="17" t="s">
        <v>951</v>
      </c>
      <c r="D189" s="17" t="s">
        <v>700</v>
      </c>
      <c r="E189" s="15" t="str">
        <f aca="false">IF(H189&lt;&gt;"",IF(LEFT(H189,5)="Price","Excluded – price ≤ USD 5","Excluded – IV only"),IF(ISNUMBER(I189),IF(AND(I189&gt;=$C$3,M189&gt;=$E$3),"Priority 1",IF(OR(I189&gt;=$C$3,M189&gt;=$E$3),"Priority 2","Priority 3")),IF(M189&gt;=$E$3,"Priority 2","Priority 3")))</f>
        <v>Excluded – IV only</v>
      </c>
      <c r="F189" s="15" t="str">
        <f aca="false">IF(H189&lt;&gt;"","",COUNTIFS($A$29:$A$361,A189,$H$29:$H$361,"",$AJ$29:$AJ$361,"&gt;"&amp;AJ189)+COUNTIFS($A$29:A189,A189,$H$29:H189,"",$AJ$29:AJ189,AJ189))</f>
        <v/>
      </c>
      <c r="G189" s="17" t="str">
        <f aca="false">IF(H189&lt;&gt;"","",IF(ISNUMBER(I189),IF(I189&gt;=$C$3,"High price","Lower price"),"No price")&amp;", "&amp;IF(M189&gt;=$E$3,"high volume","lower volume"))</f>
        <v/>
      </c>
      <c r="H189" s="17" t="str">
        <f aca="false">IF(Q189="No","IV only (no ID, IM or SC route)",IF(AND(AE189&gt;0,AF189=0),"Price ≤ USD 5",""))</f>
        <v>IV only (no ID, IM or SC route)</v>
      </c>
      <c r="I189" s="18" t="n">
        <f aca="false">IF(AF189&gt;0,ROUND(AVERAGEIFS('Shortlisted Drugs X Company (7)'!$N$3:$N$698,'Shortlisted Drugs X Company (7)'!$C$3:$C$698,$B189,'Shortlisted Drugs X Company (7)'!$E$3:$E$698,$AA189,'Shortlisted Drugs X Company (7)'!$N$3:$N$698,"&gt;5"),2),"")</f>
        <v>255.35</v>
      </c>
      <c r="J189" s="17" t="str">
        <f aca="false">IF(COUNTIFS('Shortlisted Drugs X Company (7)'!$C$3:$C$698,$B189,'Shortlisted Drugs X Company (7)'!$E$3:$E$698,$AA189,'Shortlisted Drugs X Company (7)'!$P$3:$P$698,"Exact")&gt;0,"Exact",IF(COUNTIFS('Shortlisted Drugs X Company (7)'!$C$3:$C$698,$B189,'Shortlisted Drugs X Company (7)'!$E$3:$E$698,$AA189,'Shortlisted Drugs X Company (7)'!$P$3:$P$698,"Same-market proxy")&gt;0,"Same-market proxy",IF(COUNTIFS('Shortlisted Drugs X Company (7)'!$C$3:$C$698,$B189,'Shortlisted Drugs X Company (7)'!$E$3:$E$698,$AA189,'Shortlisted Drugs X Company (7)'!$P$3:$P$698,"Cross-market proxy")&gt;0,"Cross-market proxy",IF(COUNTIFS('Shortlisted Drugs X Company (7)'!$C$3:$C$698,$B189,'Shortlisted Drugs X Company (7)'!$E$3:$E$698,$AA189,'Shortlisted Drugs X Company (7)'!$P$3:$P$698,"Source not found")&gt;0,"Source not found","No price found"))))</f>
        <v>Exact</v>
      </c>
      <c r="K189" s="19" t="n">
        <f aca="false">IFERROR(INDEX('Injectable Value'!$AB$28:$AB$178,MATCH(B189,'Injectable Value'!$A$28:$A$178,0)),"")</f>
        <v>5</v>
      </c>
      <c r="L189" s="77" t="n">
        <f aca="false">IFERROR(INDEX('Injectable Value'!$Z$28:$Z$178,MATCH(B189,'Injectable Value'!$A$28:$A$178,0)),"")</f>
        <v>1</v>
      </c>
      <c r="M189" s="19" t="n">
        <f aca="false">IFERROR(INDEX('Injectable Value'!$AC$28:$AC$178,MATCH(B189,'Injectable Value'!$A$28:$A$178,0)),"")</f>
        <v>5</v>
      </c>
      <c r="N189" s="19" t="n">
        <f aca="false">IFERROR(INDEX('Injectable Value'!$C$28:$C$178,MATCH(B189,'Injectable Value'!$A$28:$A$178,0)),"")</f>
        <v>806.34</v>
      </c>
      <c r="O189" s="19" t="n">
        <f aca="false">IFERROR(ROUND(INDEX('Injectable Value'!$AA$28:$AA$178,MATCH(B189,'Injectable Value'!$A$28:$A$178,0)),1),"")</f>
        <v>806.3</v>
      </c>
      <c r="P189" s="16" t="str">
        <f aca="false">IFERROR(INDEX('Route of Administration'!$C$5:$C$155,MATCH(B189,'Route of Administration'!$A$5:$A$155,0)),"")</f>
        <v>IV</v>
      </c>
      <c r="Q189" s="15" t="str">
        <f aca="false">IFERROR(INDEX('Route of Administration'!$D$5:$D$155,MATCH(B189,'Route of Administration'!$A$5:$A$155,0)),"")</f>
        <v>No</v>
      </c>
      <c r="R189" s="16" t="s">
        <v>281</v>
      </c>
      <c r="S189" s="17" t="s">
        <v>952</v>
      </c>
      <c r="T189" s="16" t="s">
        <v>333</v>
      </c>
      <c r="U189" s="17" t="str">
        <f aca="false">"Reconstitution"&amp;IF(AE189=0,"; No price found","")&amp;IF(AND(AE189&gt;0,AF189=0,AG189=0),"; Low price comes from another market – confirm with the company","")</f>
        <v>Reconstitution</v>
      </c>
      <c r="V189" s="17" t="s">
        <v>342</v>
      </c>
      <c r="W189" s="15" t="n">
        <v>12</v>
      </c>
      <c r="X189" s="17" t="s">
        <v>953</v>
      </c>
      <c r="Y189" s="17" t="s">
        <v>954</v>
      </c>
      <c r="Z189" s="17" t="s">
        <v>321</v>
      </c>
      <c r="AA189" s="16" t="s">
        <v>927</v>
      </c>
      <c r="AB189" s="78" t="s">
        <v>702</v>
      </c>
      <c r="AC189" s="20" t="n">
        <f aca="false">IF(AE189&gt;0,ROUND(AVERAGEIFS('Shortlisted Drugs X Company (7)'!$N$3:$N$698,'Shortlisted Drugs X Company (7)'!$C$3:$C$698,$B189,'Shortlisted Drugs X Company (7)'!$E$3:$E$698,$AA189,'Shortlisted Drugs X Company (7)'!$N$3:$N$698,"&gt;=0"),2),"")</f>
        <v>255.35</v>
      </c>
      <c r="AD189" s="79" t="str">
        <f aca="false">B189&amp;"|"&amp;AA189</f>
        <v>Bivalirudin|Intas Pharmaceuticals</v>
      </c>
      <c r="AE189" s="22" t="n">
        <f aca="false">COUNTIFS('Shortlisted Drugs X Company (7)'!$C$3:$C$698,$B189,'Shortlisted Drugs X Company (7)'!$E$3:$E$698,$AA189,'Shortlisted Drugs X Company (7)'!$N$3:$N$698,"&gt;=0")</f>
        <v>3</v>
      </c>
      <c r="AF189" s="22" t="n">
        <f aca="false">COUNTIFS('Shortlisted Drugs X Company (7)'!$C$3:$C$698,$B189,'Shortlisted Drugs X Company (7)'!$E$3:$E$698,$AA189,'Shortlisted Drugs X Company (7)'!$N$3:$N$698,"&gt;5")</f>
        <v>3</v>
      </c>
      <c r="AG189" s="22" t="n">
        <f aca="false">COUNTIFS('Shortlisted Drugs X Company (7)'!$C$3:$C$698,$B189,'Shortlisted Drugs X Company (7)'!$E$3:$E$698,$AA189,'Shortlisted Drugs X Company (7)'!$P$3:$P$698,"Exact")+COUNTIFS('Shortlisted Drugs X Company (7)'!$C$3:$C$698,$B189,'Shortlisted Drugs X Company (7)'!$E$3:$E$698,$AA189,'Shortlisted Drugs X Company (7)'!$P$3:$P$698,"Same-market proxy")</f>
        <v>3</v>
      </c>
      <c r="AH189" s="22" t="n">
        <f aca="false">INDEX($G$7:$G$25,MATCH(A189,$A$7:$A$25,0))</f>
        <v>1</v>
      </c>
      <c r="AI189" s="79" t="str">
        <f aca="false">IF(OR(Q189="No",LEFT(H189,7)="IV only"),"",AH189*1000+IF(F189="",900+COUNTIFS($A$29:A189,A189,$H$29:H189,"Price*"),F189))</f>
        <v/>
      </c>
      <c r="AJ189" s="79" t="str">
        <f aca="false">IF(H189&lt;&gt;"","",(4-VALUE(RIGHT(E189,1)))*10^7+N(O189))</f>
        <v/>
      </c>
      <c r="AK189" s="79" t="str">
        <f aca="false">IF(AND(H189="",ISNUMBER(I189)),I189,"")</f>
        <v/>
      </c>
      <c r="AL189" s="79" t="str">
        <f aca="false">IF(H189="",M189,"")</f>
        <v/>
      </c>
    </row>
    <row r="190" customFormat="false" ht="55.2" hidden="false" customHeight="false" outlineLevel="0" collapsed="false">
      <c r="A190" s="16" t="s">
        <v>21</v>
      </c>
      <c r="B190" s="16" t="s">
        <v>615</v>
      </c>
      <c r="C190" s="17" t="s">
        <v>955</v>
      </c>
      <c r="D190" s="17" t="s">
        <v>617</v>
      </c>
      <c r="E190" s="15" t="str">
        <f aca="false">IF(H190&lt;&gt;"",IF(LEFT(H190,5)="Price","Excluded – price ≤ USD 5","Excluded – IV only"),IF(ISNUMBER(I190),IF(AND(I190&gt;=$C$3,M190&gt;=$E$3),"Priority 1",IF(OR(I190&gt;=$C$3,M190&gt;=$E$3),"Priority 2","Priority 3")),IF(M190&gt;=$E$3,"Priority 2","Priority 3")))</f>
        <v>Priority 1</v>
      </c>
      <c r="F190" s="15" t="n">
        <f aca="false">IF(H190&lt;&gt;"","",COUNTIFS($A$29:$A$361,A190,$H$29:$H$361,"",$AJ$29:$AJ$361,"&gt;"&amp;AJ190)+COUNTIFS($A$29:A190,A190,$H$29:H190,"",$AJ$29:AJ190,AJ190))</f>
        <v>7</v>
      </c>
      <c r="G190" s="17" t="str">
        <f aca="false">IF(H190&lt;&gt;"","",IF(ISNUMBER(I190),IF(I190&gt;=$C$3,"High price","Lower price"),"No price")&amp;", "&amp;IF(M190&gt;=$E$3,"high volume","lower volume"))</f>
        <v>High price, high volume</v>
      </c>
      <c r="H190" s="17" t="str">
        <f aca="false">IF(Q190="No","IV only (no ID, IM or SC route)",IF(AND(AE190&gt;0,AF190=0),"Price ≤ USD 5",""))</f>
        <v/>
      </c>
      <c r="I190" s="18" t="n">
        <f aca="false">IF(AF190&gt;0,ROUND(AVERAGEIFS('Shortlisted Drugs X Company (7)'!$N$3:$N$698,'Shortlisted Drugs X Company (7)'!$C$3:$C$698,$B190,'Shortlisted Drugs X Company (7)'!$E$3:$E$698,$AA190,'Shortlisted Drugs X Company (7)'!$N$3:$N$698,"&gt;5"),2),"")</f>
        <v>50.27</v>
      </c>
      <c r="J190" s="17" t="str">
        <f aca="false">IF(COUNTIFS('Shortlisted Drugs X Company (7)'!$C$3:$C$698,$B190,'Shortlisted Drugs X Company (7)'!$E$3:$E$698,$AA190,'Shortlisted Drugs X Company (7)'!$P$3:$P$698,"Exact")&gt;0,"Exact",IF(COUNTIFS('Shortlisted Drugs X Company (7)'!$C$3:$C$698,$B190,'Shortlisted Drugs X Company (7)'!$E$3:$E$698,$AA190,'Shortlisted Drugs X Company (7)'!$P$3:$P$698,"Same-market proxy")&gt;0,"Same-market proxy",IF(COUNTIFS('Shortlisted Drugs X Company (7)'!$C$3:$C$698,$B190,'Shortlisted Drugs X Company (7)'!$E$3:$E$698,$AA190,'Shortlisted Drugs X Company (7)'!$P$3:$P$698,"Cross-market proxy")&gt;0,"Cross-market proxy",IF(COUNTIFS('Shortlisted Drugs X Company (7)'!$C$3:$C$698,$B190,'Shortlisted Drugs X Company (7)'!$E$3:$E$698,$AA190,'Shortlisted Drugs X Company (7)'!$P$3:$P$698,"Source not found")&gt;0,"Source not found","No price found"))))</f>
        <v>Exact</v>
      </c>
      <c r="K190" s="19" t="n">
        <f aca="false">IFERROR(INDEX('Injectable Value'!$AB$28:$AB$178,MATCH(B190,'Injectable Value'!$A$28:$A$178,0)),"")</f>
        <v>441</v>
      </c>
      <c r="L190" s="77" t="n">
        <f aca="false">IFERROR(INDEX('Injectable Value'!$Z$28:$Z$178,MATCH(B190,'Injectable Value'!$A$28:$A$178,0)),"")</f>
        <v>1</v>
      </c>
      <c r="M190" s="19" t="n">
        <f aca="false">IFERROR(INDEX('Injectable Value'!$AC$28:$AC$178,MATCH(B190,'Injectable Value'!$A$28:$A$178,0)),"")</f>
        <v>441</v>
      </c>
      <c r="N190" s="19" t="n">
        <f aca="false">IFERROR(INDEX('Injectable Value'!$C$28:$C$178,MATCH(B190,'Injectable Value'!$A$28:$A$178,0)),"")</f>
        <v>3973.65</v>
      </c>
      <c r="O190" s="19" t="n">
        <f aca="false">IFERROR(ROUND(INDEX('Injectable Value'!$AA$28:$AA$178,MATCH(B190,'Injectable Value'!$A$28:$A$178,0)),1),"")</f>
        <v>3973.7</v>
      </c>
      <c r="P190" s="16" t="str">
        <f aca="false">IFERROR(INDEX('Route of Administration'!$C$5:$C$155,MATCH(B190,'Route of Administration'!$A$5:$A$155,0)),"")</f>
        <v>IV, IM, SC</v>
      </c>
      <c r="Q190" s="15" t="str">
        <f aca="false">IFERROR(INDEX('Route of Administration'!$D$5:$D$155,MATCH(B190,'Route of Administration'!$A$5:$A$155,0)),"")</f>
        <v>Yes</v>
      </c>
      <c r="R190" s="16" t="s">
        <v>281</v>
      </c>
      <c r="S190" s="17" t="s">
        <v>956</v>
      </c>
      <c r="T190" s="16" t="s">
        <v>333</v>
      </c>
      <c r="U190" s="17" t="str">
        <f aca="false">"Cancer drug (cytotoxic) – less relevant; Reconstitution"&amp;IF(AE190=0,"; No price found","")&amp;IF(AND(AE190&gt;0,AF190=0,AG190=0),"; Low price comes from another market – confirm with the company","")</f>
        <v>Cancer drug (cytotoxic) – less relevant; Reconstitution</v>
      </c>
      <c r="V190" s="17" t="s">
        <v>334</v>
      </c>
      <c r="W190" s="15" t="n">
        <v>17</v>
      </c>
      <c r="X190" s="17" t="s">
        <v>957</v>
      </c>
      <c r="Y190" s="17" t="s">
        <v>958</v>
      </c>
      <c r="Z190" s="17" t="s">
        <v>286</v>
      </c>
      <c r="AA190" s="16" t="s">
        <v>927</v>
      </c>
      <c r="AB190" s="78" t="s">
        <v>620</v>
      </c>
      <c r="AC190" s="20" t="n">
        <f aca="false">IF(AE190&gt;0,ROUND(AVERAGEIFS('Shortlisted Drugs X Company (7)'!$N$3:$N$698,'Shortlisted Drugs X Company (7)'!$C$3:$C$698,$B190,'Shortlisted Drugs X Company (7)'!$E$3:$E$698,$AA190,'Shortlisted Drugs X Company (7)'!$N$3:$N$698,"&gt;=0"),2),"")</f>
        <v>50.27</v>
      </c>
      <c r="AD190" s="79" t="str">
        <f aca="false">B190&amp;"|"&amp;AA190</f>
        <v>Bleomycin|Intas Pharmaceuticals</v>
      </c>
      <c r="AE190" s="22" t="n">
        <f aca="false">COUNTIFS('Shortlisted Drugs X Company (7)'!$C$3:$C$698,$B190,'Shortlisted Drugs X Company (7)'!$E$3:$E$698,$AA190,'Shortlisted Drugs X Company (7)'!$N$3:$N$698,"&gt;=0")</f>
        <v>3</v>
      </c>
      <c r="AF190" s="22" t="n">
        <f aca="false">COUNTIFS('Shortlisted Drugs X Company (7)'!$C$3:$C$698,$B190,'Shortlisted Drugs X Company (7)'!$E$3:$E$698,$AA190,'Shortlisted Drugs X Company (7)'!$N$3:$N$698,"&gt;5")</f>
        <v>3</v>
      </c>
      <c r="AG190" s="22" t="n">
        <f aca="false">COUNTIFS('Shortlisted Drugs X Company (7)'!$C$3:$C$698,$B190,'Shortlisted Drugs X Company (7)'!$E$3:$E$698,$AA190,'Shortlisted Drugs X Company (7)'!$P$3:$P$698,"Exact")+COUNTIFS('Shortlisted Drugs X Company (7)'!$C$3:$C$698,$B190,'Shortlisted Drugs X Company (7)'!$E$3:$E$698,$AA190,'Shortlisted Drugs X Company (7)'!$P$3:$P$698,"Same-market proxy")</f>
        <v>3</v>
      </c>
      <c r="AH190" s="22" t="n">
        <f aca="false">INDEX($G$7:$G$25,MATCH(A190,$A$7:$A$25,0))</f>
        <v>1</v>
      </c>
      <c r="AI190" s="79" t="n">
        <f aca="false">IF(OR(Q190="No",LEFT(H190,7)="IV only"),"",AH190*1000+IF(F190="",900+COUNTIFS($A$29:A190,A190,$H$29:H190,"Price*"),F190))</f>
        <v>1007</v>
      </c>
      <c r="AJ190" s="79" t="n">
        <f aca="false">IF(H190&lt;&gt;"","",(4-VALUE(RIGHT(E190,1)))*10^7+N(O190))</f>
        <v>30003973.7</v>
      </c>
      <c r="AK190" s="20" t="n">
        <f aca="false">IF(AND(H190="",ISNUMBER(I190)),I190,"")</f>
        <v>50.27</v>
      </c>
      <c r="AL190" s="21" t="n">
        <f aca="false">IF(H190="",M190,"")</f>
        <v>441</v>
      </c>
    </row>
    <row r="191" customFormat="false" ht="95.5" hidden="false" customHeight="false" outlineLevel="0" collapsed="false">
      <c r="A191" s="16" t="s">
        <v>21</v>
      </c>
      <c r="B191" s="16" t="s">
        <v>338</v>
      </c>
      <c r="C191" s="17" t="s">
        <v>959</v>
      </c>
      <c r="D191" s="17" t="s">
        <v>340</v>
      </c>
      <c r="E191" s="15" t="str">
        <f aca="false">IF(H191&lt;&gt;"",IF(LEFT(H191,5)="Price","Excluded – price ≤ USD 5","Excluded – IV only"),IF(ISNUMBER(I191),IF(AND(I191&gt;=$C$3,M191&gt;=$E$3),"Priority 1",IF(OR(I191&gt;=$C$3,M191&gt;=$E$3),"Priority 2","Priority 3")),IF(M191&gt;=$E$3,"Priority 2","Priority 3")))</f>
        <v>Priority 1</v>
      </c>
      <c r="F191" s="15" t="n">
        <f aca="false">IF(H191&lt;&gt;"","",COUNTIFS($A$29:$A$361,A191,$H$29:$H$361,"",$AJ$29:$AJ$361,"&gt;"&amp;AJ191)+COUNTIFS($A$29:A191,A191,$H$29:H191,"",$AJ$29:AJ191,AJ191))</f>
        <v>2</v>
      </c>
      <c r="G191" s="17" t="str">
        <f aca="false">IF(H191&lt;&gt;"","",IF(ISNUMBER(I191),IF(I191&gt;=$C$3,"High price","Lower price"),"No price")&amp;", "&amp;IF(M191&gt;=$E$3,"high volume","lower volume"))</f>
        <v>High price, high volume</v>
      </c>
      <c r="H191" s="17" t="str">
        <f aca="false">IF(Q191="No","IV only (no ID, IM or SC route)",IF(AND(AE191&gt;0,AF191=0),"Price ≤ USD 5",""))</f>
        <v/>
      </c>
      <c r="I191" s="18" t="n">
        <f aca="false">IF(AF191&gt;0,ROUND(AVERAGEIFS('Shortlisted Drugs X Company (7)'!$N$3:$N$698,'Shortlisted Drugs X Company (7)'!$C$3:$C$698,$B191,'Shortlisted Drugs X Company (7)'!$E$3:$E$698,$AA191,'Shortlisted Drugs X Company (7)'!$N$3:$N$698,"&gt;5"),2),"")</f>
        <v>569.27</v>
      </c>
      <c r="J191" s="17" t="str">
        <f aca="false">IF(COUNTIFS('Shortlisted Drugs X Company (7)'!$C$3:$C$698,$B191,'Shortlisted Drugs X Company (7)'!$E$3:$E$698,$AA191,'Shortlisted Drugs X Company (7)'!$P$3:$P$698,"Exact")&gt;0,"Exact",IF(COUNTIFS('Shortlisted Drugs X Company (7)'!$C$3:$C$698,$B191,'Shortlisted Drugs X Company (7)'!$E$3:$E$698,$AA191,'Shortlisted Drugs X Company (7)'!$P$3:$P$698,"Same-market proxy")&gt;0,"Same-market proxy",IF(COUNTIFS('Shortlisted Drugs X Company (7)'!$C$3:$C$698,$B191,'Shortlisted Drugs X Company (7)'!$E$3:$E$698,$AA191,'Shortlisted Drugs X Company (7)'!$P$3:$P$698,"Cross-market proxy")&gt;0,"Cross-market proxy",IF(COUNTIFS('Shortlisted Drugs X Company (7)'!$C$3:$C$698,$B191,'Shortlisted Drugs X Company (7)'!$E$3:$E$698,$AA191,'Shortlisted Drugs X Company (7)'!$P$3:$P$698,"Source not found")&gt;0,"Source not found","No price found"))))</f>
        <v>Exact</v>
      </c>
      <c r="K191" s="19" t="n">
        <f aca="false">IFERROR(INDEX('Injectable Value'!$AB$28:$AB$178,MATCH(B191,'Injectable Value'!$A$28:$A$178,0)),"")</f>
        <v>905</v>
      </c>
      <c r="L191" s="77" t="n">
        <f aca="false">IFERROR(INDEX('Injectable Value'!$Z$28:$Z$178,MATCH(B191,'Injectable Value'!$A$28:$A$178,0)),"")</f>
        <v>1</v>
      </c>
      <c r="M191" s="19" t="n">
        <f aca="false">IFERROR(INDEX('Injectable Value'!$AC$28:$AC$178,MATCH(B191,'Injectable Value'!$A$28:$A$178,0)),"")</f>
        <v>905</v>
      </c>
      <c r="N191" s="19" t="n">
        <f aca="false">IFERROR(INDEX('Injectable Value'!$C$28:$C$178,MATCH(B191,'Injectable Value'!$A$28:$A$178,0)),"")</f>
        <v>28093.38</v>
      </c>
      <c r="O191" s="19" t="n">
        <f aca="false">IFERROR(ROUND(INDEX('Injectable Value'!$AA$28:$AA$178,MATCH(B191,'Injectable Value'!$A$28:$A$178,0)),1),"")</f>
        <v>28093.4</v>
      </c>
      <c r="P191" s="16" t="str">
        <f aca="false">IFERROR(INDEX('Route of Administration'!$C$5:$C$155,MATCH(B191,'Route of Administration'!$A$5:$A$155,0)),"")</f>
        <v>IV, SC</v>
      </c>
      <c r="Q191" s="15" t="str">
        <f aca="false">IFERROR(INDEX('Route of Administration'!$D$5:$D$155,MATCH(B191,'Route of Administration'!$A$5:$A$155,0)),"")</f>
        <v>Yes</v>
      </c>
      <c r="R191" s="16" t="s">
        <v>473</v>
      </c>
      <c r="S191" s="17" t="s">
        <v>960</v>
      </c>
      <c r="T191" s="16" t="s">
        <v>283</v>
      </c>
      <c r="U191" s="17" t="str">
        <f aca="false">"Cancer drug (cytotoxic) – less relevant; Reconstitution"&amp;IF(AE191=0,"; No price found","")&amp;IF(AND(AE191&gt;0,AF191=0,AG191=0),"; Low price comes from another market – confirm with the company","")</f>
        <v>Cancer drug (cytotoxic) – less relevant; Reconstitution</v>
      </c>
      <c r="V191" s="17" t="s">
        <v>334</v>
      </c>
      <c r="W191" s="15" t="n">
        <v>34</v>
      </c>
      <c r="X191" s="17" t="s">
        <v>961</v>
      </c>
      <c r="Y191" s="17" t="s">
        <v>962</v>
      </c>
      <c r="Z191" s="17" t="s">
        <v>286</v>
      </c>
      <c r="AA191" s="16" t="s">
        <v>927</v>
      </c>
      <c r="AB191" s="78" t="s">
        <v>345</v>
      </c>
      <c r="AC191" s="20" t="n">
        <f aca="false">IF(AE191&gt;0,ROUND(AVERAGEIFS('Shortlisted Drugs X Company (7)'!$N$3:$N$698,'Shortlisted Drugs X Company (7)'!$C$3:$C$698,$B191,'Shortlisted Drugs X Company (7)'!$E$3:$E$698,$AA191,'Shortlisted Drugs X Company (7)'!$N$3:$N$698,"&gt;=0"),2),"")</f>
        <v>569.27</v>
      </c>
      <c r="AD191" s="79" t="str">
        <f aca="false">B191&amp;"|"&amp;AA191</f>
        <v>Bortezomib|Intas Pharmaceuticals</v>
      </c>
      <c r="AE191" s="22" t="n">
        <f aca="false">COUNTIFS('Shortlisted Drugs X Company (7)'!$C$3:$C$698,$B191,'Shortlisted Drugs X Company (7)'!$E$3:$E$698,$AA191,'Shortlisted Drugs X Company (7)'!$N$3:$N$698,"&gt;=0")</f>
        <v>3</v>
      </c>
      <c r="AF191" s="22" t="n">
        <f aca="false">COUNTIFS('Shortlisted Drugs X Company (7)'!$C$3:$C$698,$B191,'Shortlisted Drugs X Company (7)'!$E$3:$E$698,$AA191,'Shortlisted Drugs X Company (7)'!$N$3:$N$698,"&gt;5")</f>
        <v>3</v>
      </c>
      <c r="AG191" s="22" t="n">
        <f aca="false">COUNTIFS('Shortlisted Drugs X Company (7)'!$C$3:$C$698,$B191,'Shortlisted Drugs X Company (7)'!$E$3:$E$698,$AA191,'Shortlisted Drugs X Company (7)'!$P$3:$P$698,"Exact")+COUNTIFS('Shortlisted Drugs X Company (7)'!$C$3:$C$698,$B191,'Shortlisted Drugs X Company (7)'!$E$3:$E$698,$AA191,'Shortlisted Drugs X Company (7)'!$P$3:$P$698,"Same-market proxy")</f>
        <v>3</v>
      </c>
      <c r="AH191" s="22" t="n">
        <f aca="false">INDEX($G$7:$G$25,MATCH(A191,$A$7:$A$25,0))</f>
        <v>1</v>
      </c>
      <c r="AI191" s="79" t="n">
        <f aca="false">IF(OR(Q191="No",LEFT(H191,7)="IV only"),"",AH191*1000+IF(F191="",900+COUNTIFS($A$29:A191,A191,$H$29:H191,"Price*"),F191))</f>
        <v>1002</v>
      </c>
      <c r="AJ191" s="79" t="n">
        <f aca="false">IF(H191&lt;&gt;"","",(4-VALUE(RIGHT(E191,1)))*10^7+N(O191))</f>
        <v>30028093.4</v>
      </c>
      <c r="AK191" s="20" t="n">
        <f aca="false">IF(AND(H191="",ISNUMBER(I191)),I191,"")</f>
        <v>569.27</v>
      </c>
      <c r="AL191" s="21" t="n">
        <f aca="false">IF(H191="",M191,"")</f>
        <v>905</v>
      </c>
    </row>
    <row r="192" customFormat="false" ht="41.75" hidden="false" customHeight="false" outlineLevel="0" collapsed="false">
      <c r="A192" s="16" t="s">
        <v>21</v>
      </c>
      <c r="B192" s="16" t="s">
        <v>355</v>
      </c>
      <c r="C192" s="17" t="s">
        <v>963</v>
      </c>
      <c r="D192" s="17" t="s">
        <v>357</v>
      </c>
      <c r="E192" s="15" t="str">
        <f aca="false">IF(H192&lt;&gt;"",IF(LEFT(H192,5)="Price","Excluded – price ≤ USD 5","Excluded – IV only"),IF(ISNUMBER(I192),IF(AND(I192&gt;=$C$3,M192&gt;=$E$3),"Priority 1",IF(OR(I192&gt;=$C$3,M192&gt;=$E$3),"Priority 2","Priority 3")),IF(M192&gt;=$E$3,"Priority 2","Priority 3")))</f>
        <v>Priority 2</v>
      </c>
      <c r="F192" s="15" t="n">
        <f aca="false">IF(H192&lt;&gt;"","",COUNTIFS($A$29:$A$361,A192,$H$29:$H$361,"",$AJ$29:$AJ$361,"&gt;"&amp;AJ192)+COUNTIFS($A$29:A192,A192,$H$29:H192,"",$AJ$29:AJ192,AJ192))</f>
        <v>15</v>
      </c>
      <c r="G192" s="17" t="str">
        <f aca="false">IF(H192&lt;&gt;"","",IF(ISNUMBER(I192),IF(I192&gt;=$C$3,"High price","Lower price"),"No price")&amp;", "&amp;IF(M192&gt;=$E$3,"high volume","lower volume"))</f>
        <v>Lower price, high volume</v>
      </c>
      <c r="H192" s="17" t="str">
        <f aca="false">IF(Q192="No","IV only (no ID, IM or SC route)",IF(AND(AE192&gt;0,AF192=0),"Price ≤ USD 5",""))</f>
        <v/>
      </c>
      <c r="I192" s="18" t="n">
        <f aca="false">IF(AF192&gt;0,ROUND(AVERAGEIFS('Shortlisted Drugs X Company (7)'!$N$3:$N$698,'Shortlisted Drugs X Company (7)'!$C$3:$C$698,$B192,'Shortlisted Drugs X Company (7)'!$E$3:$E$698,$AA192,'Shortlisted Drugs X Company (7)'!$N$3:$N$698,"&gt;5"),2),"")</f>
        <v>9.65</v>
      </c>
      <c r="J192" s="17" t="str">
        <f aca="false">IF(COUNTIFS('Shortlisted Drugs X Company (7)'!$C$3:$C$698,$B192,'Shortlisted Drugs X Company (7)'!$E$3:$E$698,$AA192,'Shortlisted Drugs X Company (7)'!$P$3:$P$698,"Exact")&gt;0,"Exact",IF(COUNTIFS('Shortlisted Drugs X Company (7)'!$C$3:$C$698,$B192,'Shortlisted Drugs X Company (7)'!$E$3:$E$698,$AA192,'Shortlisted Drugs X Company (7)'!$P$3:$P$698,"Same-market proxy")&gt;0,"Same-market proxy",IF(COUNTIFS('Shortlisted Drugs X Company (7)'!$C$3:$C$698,$B192,'Shortlisted Drugs X Company (7)'!$E$3:$E$698,$AA192,'Shortlisted Drugs X Company (7)'!$P$3:$P$698,"Cross-market proxy")&gt;0,"Cross-market proxy",IF(COUNTIFS('Shortlisted Drugs X Company (7)'!$C$3:$C$698,$B192,'Shortlisted Drugs X Company (7)'!$E$3:$E$698,$AA192,'Shortlisted Drugs X Company (7)'!$P$3:$P$698,"Source not found")&gt;0,"Source not found","No price found"))))</f>
        <v>Cross-market proxy</v>
      </c>
      <c r="K192" s="19" t="n">
        <f aca="false">IFERROR(INDEX('Injectable Value'!$AB$28:$AB$178,MATCH(B192,'Injectable Value'!$A$28:$A$178,0)),"")</f>
        <v>290</v>
      </c>
      <c r="L192" s="77" t="n">
        <f aca="false">IFERROR(INDEX('Injectable Value'!$Z$28:$Z$178,MATCH(B192,'Injectable Value'!$A$28:$A$178,0)),"")</f>
        <v>0.991596638655462</v>
      </c>
      <c r="M192" s="19" t="n">
        <f aca="false">IFERROR(INDEX('Injectable Value'!$AC$28:$AC$178,MATCH(B192,'Injectable Value'!$A$28:$A$178,0)),"")</f>
        <v>288</v>
      </c>
      <c r="N192" s="19" t="n">
        <f aca="false">IFERROR(INDEX('Injectable Value'!$C$28:$C$178,MATCH(B192,'Injectable Value'!$A$28:$A$178,0)),"")</f>
        <v>6348.25</v>
      </c>
      <c r="O192" s="19" t="n">
        <f aca="false">IFERROR(ROUND(INDEX('Injectable Value'!$AA$28:$AA$178,MATCH(B192,'Injectable Value'!$A$28:$A$178,0)),1),"")</f>
        <v>6294.9</v>
      </c>
      <c r="P192" s="16" t="str">
        <f aca="false">IFERROR(INDEX('Route of Administration'!$C$5:$C$155,MATCH(B192,'Route of Administration'!$A$5:$A$155,0)),"")</f>
        <v>IV, IM</v>
      </c>
      <c r="Q192" s="15" t="str">
        <f aca="false">IFERROR(INDEX('Route of Administration'!$D$5:$D$155,MATCH(B192,'Route of Administration'!$A$5:$A$155,0)),"")</f>
        <v>Yes</v>
      </c>
      <c r="R192" s="16" t="s">
        <v>281</v>
      </c>
      <c r="S192" s="17" t="s">
        <v>365</v>
      </c>
      <c r="T192" s="16" t="s">
        <v>333</v>
      </c>
      <c r="U192" s="17" t="str">
        <f aca="false">"Reconstitution"&amp;IF(AE192=0,"; No price found","")&amp;IF(AND(AE192&gt;0,AF192=0,AG192=0),"; Low price comes from another market – confirm with the company","")</f>
        <v>Reconstitution</v>
      </c>
      <c r="V192" s="17" t="s">
        <v>372</v>
      </c>
      <c r="W192" s="15" t="n">
        <v>4</v>
      </c>
      <c r="X192" s="17" t="s">
        <v>964</v>
      </c>
      <c r="Y192" s="17" t="s">
        <v>964</v>
      </c>
      <c r="Z192" s="17" t="s">
        <v>286</v>
      </c>
      <c r="AA192" s="16" t="s">
        <v>927</v>
      </c>
      <c r="AB192" s="78" t="s">
        <v>361</v>
      </c>
      <c r="AC192" s="20" t="n">
        <f aca="false">IF(AE192&gt;0,ROUND(AVERAGEIFS('Shortlisted Drugs X Company (7)'!$N$3:$N$698,'Shortlisted Drugs X Company (7)'!$C$3:$C$698,$B192,'Shortlisted Drugs X Company (7)'!$E$3:$E$698,$AA192,'Shortlisted Drugs X Company (7)'!$N$3:$N$698,"&gt;=0"),2),"")</f>
        <v>9.65</v>
      </c>
      <c r="AD192" s="79" t="str">
        <f aca="false">B192&amp;"|"&amp;AA192</f>
        <v>Cefepime|Intas Pharmaceuticals</v>
      </c>
      <c r="AE192" s="22" t="n">
        <f aca="false">COUNTIFS('Shortlisted Drugs X Company (7)'!$C$3:$C$698,$B192,'Shortlisted Drugs X Company (7)'!$E$3:$E$698,$AA192,'Shortlisted Drugs X Company (7)'!$N$3:$N$698,"&gt;=0")</f>
        <v>2</v>
      </c>
      <c r="AF192" s="22" t="n">
        <f aca="false">COUNTIFS('Shortlisted Drugs X Company (7)'!$C$3:$C$698,$B192,'Shortlisted Drugs X Company (7)'!$E$3:$E$698,$AA192,'Shortlisted Drugs X Company (7)'!$N$3:$N$698,"&gt;5")</f>
        <v>2</v>
      </c>
      <c r="AG192" s="22" t="n">
        <f aca="false">COUNTIFS('Shortlisted Drugs X Company (7)'!$C$3:$C$698,$B192,'Shortlisted Drugs X Company (7)'!$E$3:$E$698,$AA192,'Shortlisted Drugs X Company (7)'!$P$3:$P$698,"Exact")+COUNTIFS('Shortlisted Drugs X Company (7)'!$C$3:$C$698,$B192,'Shortlisted Drugs X Company (7)'!$E$3:$E$698,$AA192,'Shortlisted Drugs X Company (7)'!$P$3:$P$698,"Same-market proxy")</f>
        <v>0</v>
      </c>
      <c r="AH192" s="22" t="n">
        <f aca="false">INDEX($G$7:$G$25,MATCH(A192,$A$7:$A$25,0))</f>
        <v>1</v>
      </c>
      <c r="AI192" s="79" t="n">
        <f aca="false">IF(OR(Q192="No",LEFT(H192,7)="IV only"),"",AH192*1000+IF(F192="",900+COUNTIFS($A$29:A192,A192,$H$29:H192,"Price*"),F192))</f>
        <v>1015</v>
      </c>
      <c r="AJ192" s="79" t="n">
        <f aca="false">IF(H192&lt;&gt;"","",(4-VALUE(RIGHT(E192,1)))*10^7+N(O192))</f>
        <v>20006294.9</v>
      </c>
      <c r="AK192" s="20" t="n">
        <f aca="false">IF(AND(H192="",ISNUMBER(I192)),I192,"")</f>
        <v>9.65</v>
      </c>
      <c r="AL192" s="21" t="n">
        <f aca="false">IF(H192="",M192,"")</f>
        <v>288</v>
      </c>
    </row>
    <row r="193" customFormat="false" ht="41.75" hidden="false" customHeight="false" outlineLevel="0" collapsed="false">
      <c r="A193" s="16" t="s">
        <v>21</v>
      </c>
      <c r="B193" s="16" t="s">
        <v>76</v>
      </c>
      <c r="C193" s="17" t="s">
        <v>965</v>
      </c>
      <c r="D193" s="17" t="s">
        <v>370</v>
      </c>
      <c r="E193" s="15" t="str">
        <f aca="false">IF(H193&lt;&gt;"",IF(LEFT(H193,5)="Price","Excluded – price ≤ USD 5","Excluded – IV only"),IF(ISNUMBER(I193),IF(AND(I193&gt;=$C$3,M193&gt;=$E$3),"Priority 1",IF(OR(I193&gt;=$C$3,M193&gt;=$E$3),"Priority 2","Priority 3")),IF(M193&gt;=$E$3,"Priority 2","Priority 3")))</f>
        <v>Priority 2</v>
      </c>
      <c r="F193" s="15" t="n">
        <f aca="false">IF(H193&lt;&gt;"","",COUNTIFS($A$29:$A$361,A193,$H$29:$H$361,"",$AJ$29:$AJ$361,"&gt;"&amp;AJ193)+COUNTIFS($A$29:A193,A193,$H$29:H193,"",$AJ$29:AJ193,AJ193))</f>
        <v>9</v>
      </c>
      <c r="G193" s="17" t="str">
        <f aca="false">IF(H193&lt;&gt;"","",IF(ISNUMBER(I193),IF(I193&gt;=$C$3,"High price","Lower price"),"No price")&amp;", "&amp;IF(M193&gt;=$E$3,"high volume","lower volume"))</f>
        <v>Lower price, high volume</v>
      </c>
      <c r="H193" s="17" t="str">
        <f aca="false">IF(Q193="No","IV only (no ID, IM or SC route)",IF(AND(AE193&gt;0,AF193=0),"Price ≤ USD 5",""))</f>
        <v/>
      </c>
      <c r="I193" s="18" t="n">
        <f aca="false">IF(AF193&gt;0,ROUND(AVERAGEIFS('Shortlisted Drugs X Company (7)'!$N$3:$N$698,'Shortlisted Drugs X Company (7)'!$C$3:$C$698,$B193,'Shortlisted Drugs X Company (7)'!$E$3:$E$698,$AA193,'Shortlisted Drugs X Company (7)'!$N$3:$N$698,"&gt;5"),2),"")</f>
        <v>5.6</v>
      </c>
      <c r="J193" s="17" t="str">
        <f aca="false">IF(COUNTIFS('Shortlisted Drugs X Company (7)'!$C$3:$C$698,$B193,'Shortlisted Drugs X Company (7)'!$E$3:$E$698,$AA193,'Shortlisted Drugs X Company (7)'!$P$3:$P$698,"Exact")&gt;0,"Exact",IF(COUNTIFS('Shortlisted Drugs X Company (7)'!$C$3:$C$698,$B193,'Shortlisted Drugs X Company (7)'!$E$3:$E$698,$AA193,'Shortlisted Drugs X Company (7)'!$P$3:$P$698,"Same-market proxy")&gt;0,"Same-market proxy",IF(COUNTIFS('Shortlisted Drugs X Company (7)'!$C$3:$C$698,$B193,'Shortlisted Drugs X Company (7)'!$E$3:$E$698,$AA193,'Shortlisted Drugs X Company (7)'!$P$3:$P$698,"Cross-market proxy")&gt;0,"Cross-market proxy",IF(COUNTIFS('Shortlisted Drugs X Company (7)'!$C$3:$C$698,$B193,'Shortlisted Drugs X Company (7)'!$E$3:$E$698,$AA193,'Shortlisted Drugs X Company (7)'!$P$3:$P$698,"Source not found")&gt;0,"Source not found","No price found"))))</f>
        <v>Same-market proxy</v>
      </c>
      <c r="K193" s="19" t="n">
        <f aca="false">IFERROR(INDEX('Injectable Value'!$AB$28:$AB$178,MATCH(B193,'Injectable Value'!$A$28:$A$178,0)),"")</f>
        <v>3110</v>
      </c>
      <c r="L193" s="77" t="n">
        <f aca="false">IFERROR(INDEX('Injectable Value'!$Z$28:$Z$178,MATCH(B193,'Injectable Value'!$A$28:$A$178,0)),"")</f>
        <v>1</v>
      </c>
      <c r="M193" s="19" t="n">
        <f aca="false">IFERROR(INDEX('Injectable Value'!$AC$28:$AC$178,MATCH(B193,'Injectable Value'!$A$28:$A$178,0)),"")</f>
        <v>3110</v>
      </c>
      <c r="N193" s="19" t="n">
        <f aca="false">IFERROR(INDEX('Injectable Value'!$C$28:$C$178,MATCH(B193,'Injectable Value'!$A$28:$A$178,0)),"")</f>
        <v>93119.22</v>
      </c>
      <c r="O193" s="19" t="n">
        <f aca="false">IFERROR(ROUND(INDEX('Injectable Value'!$AA$28:$AA$178,MATCH(B193,'Injectable Value'!$A$28:$A$178,0)),1),"")</f>
        <v>93119.2</v>
      </c>
      <c r="P193" s="16" t="str">
        <f aca="false">IFERROR(INDEX('Route of Administration'!$C$5:$C$155,MATCH(B193,'Route of Administration'!$A$5:$A$155,0)),"")</f>
        <v>IV, IM</v>
      </c>
      <c r="Q193" s="15" t="str">
        <f aca="false">IFERROR(INDEX('Route of Administration'!$D$5:$D$155,MATCH(B193,'Route of Administration'!$A$5:$A$155,0)),"")</f>
        <v>Yes</v>
      </c>
      <c r="R193" s="16" t="s">
        <v>310</v>
      </c>
      <c r="S193" s="17" t="s">
        <v>966</v>
      </c>
      <c r="T193" s="16" t="s">
        <v>310</v>
      </c>
      <c r="U193" s="17" t="str">
        <f aca="false">""&amp;IF(AE193=0,"No price found","")&amp;IF(AND(AE193&gt;0,AF193=0,AG193=0),"Low price comes from another market – confirm with the company","")</f>
        <v/>
      </c>
      <c r="V193" s="17" t="s">
        <v>112</v>
      </c>
      <c r="W193" s="15" t="n">
        <v>1</v>
      </c>
      <c r="X193" s="17" t="s">
        <v>783</v>
      </c>
      <c r="Y193" s="17" t="s">
        <v>783</v>
      </c>
      <c r="Z193" s="17" t="s">
        <v>312</v>
      </c>
      <c r="AA193" s="16" t="s">
        <v>927</v>
      </c>
      <c r="AB193" s="78" t="s">
        <v>374</v>
      </c>
      <c r="AC193" s="20" t="n">
        <f aca="false">IF(AE193&gt;0,ROUND(AVERAGEIFS('Shortlisted Drugs X Company (7)'!$N$3:$N$698,'Shortlisted Drugs X Company (7)'!$C$3:$C$698,$B193,'Shortlisted Drugs X Company (7)'!$E$3:$E$698,$AA193,'Shortlisted Drugs X Company (7)'!$N$3:$N$698,"&gt;=0"),2),"")</f>
        <v>5.6</v>
      </c>
      <c r="AD193" s="79" t="str">
        <f aca="false">B193&amp;"|"&amp;AA193</f>
        <v>Ceftriaxone|Intas Pharmaceuticals</v>
      </c>
      <c r="AE193" s="22" t="n">
        <f aca="false">COUNTIFS('Shortlisted Drugs X Company (7)'!$C$3:$C$698,$B193,'Shortlisted Drugs X Company (7)'!$E$3:$E$698,$AA193,'Shortlisted Drugs X Company (7)'!$N$3:$N$698,"&gt;=0")</f>
        <v>1</v>
      </c>
      <c r="AF193" s="22" t="n">
        <f aca="false">COUNTIFS('Shortlisted Drugs X Company (7)'!$C$3:$C$698,$B193,'Shortlisted Drugs X Company (7)'!$E$3:$E$698,$AA193,'Shortlisted Drugs X Company (7)'!$N$3:$N$698,"&gt;5")</f>
        <v>1</v>
      </c>
      <c r="AG193" s="22" t="n">
        <f aca="false">COUNTIFS('Shortlisted Drugs X Company (7)'!$C$3:$C$698,$B193,'Shortlisted Drugs X Company (7)'!$E$3:$E$698,$AA193,'Shortlisted Drugs X Company (7)'!$P$3:$P$698,"Exact")+COUNTIFS('Shortlisted Drugs X Company (7)'!$C$3:$C$698,$B193,'Shortlisted Drugs X Company (7)'!$E$3:$E$698,$AA193,'Shortlisted Drugs X Company (7)'!$P$3:$P$698,"Same-market proxy")</f>
        <v>1</v>
      </c>
      <c r="AH193" s="22" t="n">
        <f aca="false">INDEX($G$7:$G$25,MATCH(A193,$A$7:$A$25,0))</f>
        <v>1</v>
      </c>
      <c r="AI193" s="79" t="n">
        <f aca="false">IF(OR(Q193="No",LEFT(H193,7)="IV only"),"",AH193*1000+IF(F193="",900+COUNTIFS($A$29:A193,A193,$H$29:H193,"Price*"),F193))</f>
        <v>1009</v>
      </c>
      <c r="AJ193" s="79" t="n">
        <f aca="false">IF(H193&lt;&gt;"","",(4-VALUE(RIGHT(E193,1)))*10^7+N(O193))</f>
        <v>20093119.2</v>
      </c>
      <c r="AK193" s="20" t="n">
        <f aca="false">IF(AND(H193="",ISNUMBER(I193)),I193,"")</f>
        <v>5.6</v>
      </c>
      <c r="AL193" s="21" t="n">
        <f aca="false">IF(H193="",M193,"")</f>
        <v>3110</v>
      </c>
    </row>
    <row r="194" customFormat="false" ht="41.75" hidden="false" customHeight="false" outlineLevel="0" collapsed="false">
      <c r="A194" s="16" t="s">
        <v>21</v>
      </c>
      <c r="B194" s="16" t="s">
        <v>967</v>
      </c>
      <c r="C194" s="17" t="s">
        <v>968</v>
      </c>
      <c r="D194" s="17" t="s">
        <v>969</v>
      </c>
      <c r="E194" s="15" t="str">
        <f aca="false">IF(H194&lt;&gt;"",IF(LEFT(H194,5)="Price","Excluded – price ≤ USD 5","Excluded – IV only"),IF(ISNUMBER(I194),IF(AND(I194&gt;=$C$3,M194&gt;=$E$3),"Priority 1",IF(OR(I194&gt;=$C$3,M194&gt;=$E$3),"Priority 2","Priority 3")),IF(M194&gt;=$E$3,"Priority 2","Priority 3")))</f>
        <v>Excluded – IV only</v>
      </c>
      <c r="F194" s="15" t="str">
        <f aca="false">IF(H194&lt;&gt;"","",COUNTIFS($A$29:$A$361,A194,$H$29:$H$361,"",$AJ$29:$AJ$361,"&gt;"&amp;AJ194)+COUNTIFS($A$29:A194,A194,$H$29:H194,"",$AJ$29:AJ194,AJ194))</f>
        <v/>
      </c>
      <c r="G194" s="17" t="str">
        <f aca="false">IF(H194&lt;&gt;"","",IF(ISNUMBER(I194),IF(I194&gt;=$C$3,"High price","Lower price"),"No price")&amp;", "&amp;IF(M194&gt;=$E$3,"high volume","lower volume"))</f>
        <v/>
      </c>
      <c r="H194" s="17" t="str">
        <f aca="false">IF(Q194="No","IV only (no ID, IM or SC route)",IF(AND(AE194&gt;0,AF194=0),"Price ≤ USD 5",""))</f>
        <v>IV only (no ID, IM or SC route)</v>
      </c>
      <c r="I194" s="18" t="n">
        <f aca="false">IF(AF194&gt;0,ROUND(AVERAGEIFS('Shortlisted Drugs X Company (7)'!$N$3:$N$698,'Shortlisted Drugs X Company (7)'!$C$3:$C$698,$B194,'Shortlisted Drugs X Company (7)'!$E$3:$E$698,$AA194,'Shortlisted Drugs X Company (7)'!$N$3:$N$698,"&gt;5"),2),"")</f>
        <v>39.05</v>
      </c>
      <c r="J194" s="17" t="str">
        <f aca="false">IF(COUNTIFS('Shortlisted Drugs X Company (7)'!$C$3:$C$698,$B194,'Shortlisted Drugs X Company (7)'!$E$3:$E$698,$AA194,'Shortlisted Drugs X Company (7)'!$P$3:$P$698,"Exact")&gt;0,"Exact",IF(COUNTIFS('Shortlisted Drugs X Company (7)'!$C$3:$C$698,$B194,'Shortlisted Drugs X Company (7)'!$E$3:$E$698,$AA194,'Shortlisted Drugs X Company (7)'!$P$3:$P$698,"Same-market proxy")&gt;0,"Same-market proxy",IF(COUNTIFS('Shortlisted Drugs X Company (7)'!$C$3:$C$698,$B194,'Shortlisted Drugs X Company (7)'!$E$3:$E$698,$AA194,'Shortlisted Drugs X Company (7)'!$P$3:$P$698,"Cross-market proxy")&gt;0,"Cross-market proxy",IF(COUNTIFS('Shortlisted Drugs X Company (7)'!$C$3:$C$698,$B194,'Shortlisted Drugs X Company (7)'!$E$3:$E$698,$AA194,'Shortlisted Drugs X Company (7)'!$P$3:$P$698,"Source not found")&gt;0,"Source not found","No price found"))))</f>
        <v>Exact</v>
      </c>
      <c r="K194" s="19" t="n">
        <f aca="false">IFERROR(INDEX('Injectable Value'!$AB$28:$AB$178,MATCH(B194,'Injectable Value'!$A$28:$A$178,0)),"")</f>
        <v>117</v>
      </c>
      <c r="L194" s="77" t="n">
        <f aca="false">IFERROR(INDEX('Injectable Value'!$Z$28:$Z$178,MATCH(B194,'Injectable Value'!$A$28:$A$178,0)),"")</f>
        <v>1</v>
      </c>
      <c r="M194" s="19" t="n">
        <f aca="false">IFERROR(INDEX('Injectable Value'!$AC$28:$AC$178,MATCH(B194,'Injectable Value'!$A$28:$A$178,0)),"")</f>
        <v>117</v>
      </c>
      <c r="N194" s="19" t="n">
        <f aca="false">IFERROR(INDEX('Injectable Value'!$C$28:$C$178,MATCH(B194,'Injectable Value'!$A$28:$A$178,0)),"")</f>
        <v>2508.09</v>
      </c>
      <c r="O194" s="19" t="n">
        <f aca="false">IFERROR(ROUND(INDEX('Injectable Value'!$AA$28:$AA$178,MATCH(B194,'Injectable Value'!$A$28:$A$178,0)),1),"")</f>
        <v>2508.1</v>
      </c>
      <c r="P194" s="16" t="str">
        <f aca="false">IFERROR(INDEX('Route of Administration'!$C$5:$C$155,MATCH(B194,'Route of Administration'!$A$5:$A$155,0)),"")</f>
        <v>IV</v>
      </c>
      <c r="Q194" s="15" t="str">
        <f aca="false">IFERROR(INDEX('Route of Administration'!$D$5:$D$155,MATCH(B194,'Route of Administration'!$A$5:$A$155,0)),"")</f>
        <v>No</v>
      </c>
      <c r="R194" s="16" t="s">
        <v>281</v>
      </c>
      <c r="S194" s="17" t="s">
        <v>970</v>
      </c>
      <c r="T194" s="16" t="s">
        <v>283</v>
      </c>
      <c r="U194" s="17" t="str">
        <f aca="false">""&amp;IF(AE194=0,"No price found","")&amp;IF(AND(AE194&gt;0,AF194=0,AG194=0),"Low price comes from another market – confirm with the company","")</f>
        <v/>
      </c>
      <c r="V194" s="17" t="s">
        <v>971</v>
      </c>
      <c r="W194" s="15" t="n">
        <v>15</v>
      </c>
      <c r="X194" s="17" t="s">
        <v>972</v>
      </c>
      <c r="Y194" s="17" t="s">
        <v>973</v>
      </c>
      <c r="Z194" s="17" t="s">
        <v>286</v>
      </c>
      <c r="AA194" s="16" t="s">
        <v>927</v>
      </c>
      <c r="AB194" s="78" t="s">
        <v>974</v>
      </c>
      <c r="AC194" s="20" t="n">
        <f aca="false">IF(AE194&gt;0,ROUND(AVERAGEIFS('Shortlisted Drugs X Company (7)'!$N$3:$N$698,'Shortlisted Drugs X Company (7)'!$C$3:$C$698,$B194,'Shortlisted Drugs X Company (7)'!$E$3:$E$698,$AA194,'Shortlisted Drugs X Company (7)'!$N$3:$N$698,"&gt;=0"),2),"")</f>
        <v>39.05</v>
      </c>
      <c r="AD194" s="79" t="str">
        <f aca="false">B194&amp;"|"&amp;AA194</f>
        <v>Cisatracurium|Intas Pharmaceuticals</v>
      </c>
      <c r="AE194" s="22" t="n">
        <f aca="false">COUNTIFS('Shortlisted Drugs X Company (7)'!$C$3:$C$698,$B194,'Shortlisted Drugs X Company (7)'!$E$3:$E$698,$AA194,'Shortlisted Drugs X Company (7)'!$N$3:$N$698,"&gt;=0")</f>
        <v>1</v>
      </c>
      <c r="AF194" s="22" t="n">
        <f aca="false">COUNTIFS('Shortlisted Drugs X Company (7)'!$C$3:$C$698,$B194,'Shortlisted Drugs X Company (7)'!$E$3:$E$698,$AA194,'Shortlisted Drugs X Company (7)'!$N$3:$N$698,"&gt;5")</f>
        <v>1</v>
      </c>
      <c r="AG194" s="22" t="n">
        <f aca="false">COUNTIFS('Shortlisted Drugs X Company (7)'!$C$3:$C$698,$B194,'Shortlisted Drugs X Company (7)'!$E$3:$E$698,$AA194,'Shortlisted Drugs X Company (7)'!$P$3:$P$698,"Exact")+COUNTIFS('Shortlisted Drugs X Company (7)'!$C$3:$C$698,$B194,'Shortlisted Drugs X Company (7)'!$E$3:$E$698,$AA194,'Shortlisted Drugs X Company (7)'!$P$3:$P$698,"Same-market proxy")</f>
        <v>1</v>
      </c>
      <c r="AH194" s="22" t="n">
        <f aca="false">INDEX($G$7:$G$25,MATCH(A194,$A$7:$A$25,0))</f>
        <v>1</v>
      </c>
      <c r="AI194" s="79" t="str">
        <f aca="false">IF(OR(Q194="No",LEFT(H194,7)="IV only"),"",AH194*1000+IF(F194="",900+COUNTIFS($A$29:A194,A194,$H$29:H194,"Price*"),F194))</f>
        <v/>
      </c>
      <c r="AJ194" s="79" t="str">
        <f aca="false">IF(H194&lt;&gt;"","",(4-VALUE(RIGHT(E194,1)))*10^7+N(O194))</f>
        <v/>
      </c>
      <c r="AK194" s="79" t="str">
        <f aca="false">IF(AND(H194="",ISNUMBER(I194)),I194,"")</f>
        <v/>
      </c>
      <c r="AL194" s="79" t="str">
        <f aca="false">IF(H194="",M194,"")</f>
        <v/>
      </c>
    </row>
    <row r="195" customFormat="false" ht="68.65" hidden="false" customHeight="false" outlineLevel="0" collapsed="false">
      <c r="A195" s="16" t="s">
        <v>21</v>
      </c>
      <c r="B195" s="16" t="s">
        <v>790</v>
      </c>
      <c r="C195" s="17" t="s">
        <v>975</v>
      </c>
      <c r="D195" s="17" t="s">
        <v>792</v>
      </c>
      <c r="E195" s="15" t="str">
        <f aca="false">IF(H195&lt;&gt;"",IF(LEFT(H195,5)="Price","Excluded – price ≤ USD 5","Excluded – IV only"),IF(ISNUMBER(I195),IF(AND(I195&gt;=$C$3,M195&gt;=$E$3),"Priority 1",IF(OR(I195&gt;=$C$3,M195&gt;=$E$3),"Priority 2","Priority 3")),IF(M195&gt;=$E$3,"Priority 2","Priority 3")))</f>
        <v>Excluded – IV only</v>
      </c>
      <c r="F195" s="15" t="str">
        <f aca="false">IF(H195&lt;&gt;"","",COUNTIFS($A$29:$A$361,A195,$H$29:$H$361,"",$AJ$29:$AJ$361,"&gt;"&amp;AJ195)+COUNTIFS($A$29:A195,A195,$H$29:H195,"",$AJ$29:AJ195,AJ195))</f>
        <v/>
      </c>
      <c r="G195" s="17" t="str">
        <f aca="false">IF(H195&lt;&gt;"","",IF(ISNUMBER(I195),IF(I195&gt;=$C$3,"High price","Lower price"),"No price")&amp;", "&amp;IF(M195&gt;=$E$3,"high volume","lower volume"))</f>
        <v/>
      </c>
      <c r="H195" s="17" t="str">
        <f aca="false">IF(Q195="No","IV only (no ID, IM or SC route)","IV only – the company's product (see Route of Administration, step 2)")</f>
        <v>IV only – the company's product (see Route of Administration, step 2)</v>
      </c>
      <c r="I195" s="18" t="n">
        <f aca="false">IF(AF195&gt;0,ROUND(AVERAGEIFS('Shortlisted Drugs X Company (7)'!$N$3:$N$698,'Shortlisted Drugs X Company (7)'!$C$3:$C$698,$B195,'Shortlisted Drugs X Company (7)'!$E$3:$E$698,$AA195,'Shortlisted Drugs X Company (7)'!$N$3:$N$698,"&gt;5"),2),"")</f>
        <v>9.75</v>
      </c>
      <c r="J195" s="17" t="str">
        <f aca="false">IF(COUNTIFS('Shortlisted Drugs X Company (7)'!$C$3:$C$698,$B195,'Shortlisted Drugs X Company (7)'!$E$3:$E$698,$AA195,'Shortlisted Drugs X Company (7)'!$P$3:$P$698,"Exact")&gt;0,"Exact",IF(COUNTIFS('Shortlisted Drugs X Company (7)'!$C$3:$C$698,$B195,'Shortlisted Drugs X Company (7)'!$E$3:$E$698,$AA195,'Shortlisted Drugs X Company (7)'!$P$3:$P$698,"Same-market proxy")&gt;0,"Same-market proxy",IF(COUNTIFS('Shortlisted Drugs X Company (7)'!$C$3:$C$698,$B195,'Shortlisted Drugs X Company (7)'!$E$3:$E$698,$AA195,'Shortlisted Drugs X Company (7)'!$P$3:$P$698,"Cross-market proxy")&gt;0,"Cross-market proxy",IF(COUNTIFS('Shortlisted Drugs X Company (7)'!$C$3:$C$698,$B195,'Shortlisted Drugs X Company (7)'!$E$3:$E$698,$AA195,'Shortlisted Drugs X Company (7)'!$P$3:$P$698,"Source not found")&gt;0,"Source not found","No price found"))))</f>
        <v>Exact</v>
      </c>
      <c r="K195" s="19" t="n">
        <f aca="false">IFERROR(INDEX('Injectable Value'!$AB$28:$AB$178,MATCH(B195,'Injectable Value'!$A$28:$A$178,0)),"")</f>
        <v>123</v>
      </c>
      <c r="L195" s="77" t="n">
        <f aca="false">IFERROR(INDEX('Injectable Value'!$Z$28:$Z$178,MATCH(B195,'Injectable Value'!$A$28:$A$178,0)),"")</f>
        <v>0.675601982054373</v>
      </c>
      <c r="M195" s="19" t="n">
        <f aca="false">IFERROR(INDEX('Injectable Value'!$AC$28:$AC$178,MATCH(B195,'Injectable Value'!$A$28:$A$178,0)),"")</f>
        <v>83</v>
      </c>
      <c r="N195" s="19" t="n">
        <f aca="false">IFERROR(INDEX('Injectable Value'!$C$28:$C$178,MATCH(B195,'Injectable Value'!$A$28:$A$178,0)),"")</f>
        <v>3010.2</v>
      </c>
      <c r="O195" s="19" t="n">
        <f aca="false">IFERROR(ROUND(INDEX('Injectable Value'!$AA$28:$AA$178,MATCH(B195,'Injectable Value'!$A$28:$A$178,0)),1),"")</f>
        <v>2033.7</v>
      </c>
      <c r="P195" s="16" t="str">
        <f aca="false">IFERROR(INDEX('Route of Administration'!$C$5:$C$155,MATCH(B195,'Route of Administration'!$A$5:$A$155,0)),"")</f>
        <v>IV, IM</v>
      </c>
      <c r="Q195" s="15" t="str">
        <f aca="false">IFERROR(INDEX('Route of Administration'!$D$5:$D$155,MATCH(B195,'Route of Administration'!$A$5:$A$155,0)),"")</f>
        <v>Yes</v>
      </c>
      <c r="R195" s="16" t="s">
        <v>281</v>
      </c>
      <c r="S195" s="17" t="s">
        <v>976</v>
      </c>
      <c r="T195" s="16" t="s">
        <v>333</v>
      </c>
      <c r="U195" s="17" t="str">
        <f aca="false">"Reconstitution"&amp;IF(AE195=0,"; No price found","")&amp;IF(AND(AE195&gt;0,AF195=0,AG195=0),"; Low price comes from another market – confirm with the company","")</f>
        <v>Reconstitution</v>
      </c>
      <c r="V195" s="17" t="s">
        <v>977</v>
      </c>
      <c r="W195" s="15" t="n">
        <v>22</v>
      </c>
      <c r="X195" s="17" t="s">
        <v>978</v>
      </c>
      <c r="Y195" s="17" t="s">
        <v>979</v>
      </c>
      <c r="Z195" s="17" t="s">
        <v>321</v>
      </c>
      <c r="AA195" s="16" t="s">
        <v>927</v>
      </c>
      <c r="AB195" s="78" t="s">
        <v>794</v>
      </c>
      <c r="AC195" s="20" t="n">
        <f aca="false">IF(AE195&gt;0,ROUND(AVERAGEIFS('Shortlisted Drugs X Company (7)'!$N$3:$N$698,'Shortlisted Drugs X Company (7)'!$C$3:$C$698,$B195,'Shortlisted Drugs X Company (7)'!$E$3:$E$698,$AA195,'Shortlisted Drugs X Company (7)'!$N$3:$N$698,"&gt;=0"),2),"")</f>
        <v>9.75</v>
      </c>
      <c r="AD195" s="79" t="str">
        <f aca="false">B195&amp;"|"&amp;AA195</f>
        <v>Colistimethate Sodium|Intas Pharmaceuticals</v>
      </c>
      <c r="AE195" s="22" t="n">
        <f aca="false">COUNTIFS('Shortlisted Drugs X Company (7)'!$C$3:$C$698,$B195,'Shortlisted Drugs X Company (7)'!$E$3:$E$698,$AA195,'Shortlisted Drugs X Company (7)'!$N$3:$N$698,"&gt;=0")</f>
        <v>2</v>
      </c>
      <c r="AF195" s="22" t="n">
        <f aca="false">COUNTIFS('Shortlisted Drugs X Company (7)'!$C$3:$C$698,$B195,'Shortlisted Drugs X Company (7)'!$E$3:$E$698,$AA195,'Shortlisted Drugs X Company (7)'!$N$3:$N$698,"&gt;5")</f>
        <v>2</v>
      </c>
      <c r="AG195" s="22" t="n">
        <f aca="false">COUNTIFS('Shortlisted Drugs X Company (7)'!$C$3:$C$698,$B195,'Shortlisted Drugs X Company (7)'!$E$3:$E$698,$AA195,'Shortlisted Drugs X Company (7)'!$P$3:$P$698,"Exact")+COUNTIFS('Shortlisted Drugs X Company (7)'!$C$3:$C$698,$B195,'Shortlisted Drugs X Company (7)'!$E$3:$E$698,$AA195,'Shortlisted Drugs X Company (7)'!$P$3:$P$698,"Same-market proxy")</f>
        <v>2</v>
      </c>
      <c r="AH195" s="22" t="n">
        <f aca="false">INDEX($G$7:$G$25,MATCH(A195,$A$7:$A$25,0))</f>
        <v>1</v>
      </c>
      <c r="AI195" s="79" t="str">
        <f aca="false">IF(OR(Q195="No",LEFT(H195,7)="IV only"),"",AH195*1000+IF(F195="",900+COUNTIFS($A$29:A195,A195,$H$29:H195,"Price*"),F195))</f>
        <v/>
      </c>
      <c r="AJ195" s="79" t="str">
        <f aca="false">IF(H195&lt;&gt;"","",(4-VALUE(RIGHT(E195,1)))*10^7+N(O195))</f>
        <v/>
      </c>
      <c r="AK195" s="79" t="str">
        <f aca="false">IF(AND(H195="",ISNUMBER(I195)),I195,"")</f>
        <v/>
      </c>
      <c r="AL195" s="79" t="str">
        <f aca="false">IF(H195="",M195,"")</f>
        <v/>
      </c>
    </row>
    <row r="196" customFormat="false" ht="68.65" hidden="false" customHeight="false" outlineLevel="0" collapsed="false">
      <c r="A196" s="16" t="s">
        <v>21</v>
      </c>
      <c r="B196" s="16" t="s">
        <v>380</v>
      </c>
      <c r="C196" s="17" t="s">
        <v>980</v>
      </c>
      <c r="D196" s="17" t="s">
        <v>381</v>
      </c>
      <c r="E196" s="15" t="str">
        <f aca="false">IF(H196&lt;&gt;"",IF(LEFT(H196,5)="Price","Excluded – price ≤ USD 5","Excluded – IV only"),IF(ISNUMBER(I196),IF(AND(I196&gt;=$C$3,M196&gt;=$E$3),"Priority 1",IF(OR(I196&gt;=$C$3,M196&gt;=$E$3),"Priority 2","Priority 3")),IF(M196&gt;=$E$3,"Priority 2","Priority 3")))</f>
        <v>Excluded – IV only</v>
      </c>
      <c r="F196" s="15" t="str">
        <f aca="false">IF(H196&lt;&gt;"","",COUNTIFS($A$29:$A$361,A196,$H$29:$H$361,"",$AJ$29:$AJ$361,"&gt;"&amp;AJ196)+COUNTIFS($A$29:A196,A196,$H$29:H196,"",$AJ$29:AJ196,AJ196))</f>
        <v/>
      </c>
      <c r="G196" s="17" t="str">
        <f aca="false">IF(H196&lt;&gt;"","",IF(ISNUMBER(I196),IF(I196&gt;=$C$3,"High price","Lower price"),"No price")&amp;", "&amp;IF(M196&gt;=$E$3,"high volume","lower volume"))</f>
        <v/>
      </c>
      <c r="H196" s="17" t="str">
        <f aca="false">IF(Q196="No","IV only (no ID, IM or SC route)",IF(AND(AE196&gt;0,AF196=0),"Price ≤ USD 5",""))</f>
        <v>IV only (no ID, IM or SC route)</v>
      </c>
      <c r="I196" s="18" t="n">
        <f aca="false">IF(AF196&gt;0,ROUND(AVERAGEIFS('Shortlisted Drugs X Company (7)'!$N$3:$N$698,'Shortlisted Drugs X Company (7)'!$C$3:$C$698,$B196,'Shortlisted Drugs X Company (7)'!$E$3:$E$698,$AA196,'Shortlisted Drugs X Company (7)'!$N$3:$N$698,"&gt;5"),2),"")</f>
        <v>56.21</v>
      </c>
      <c r="J196" s="17" t="str">
        <f aca="false">IF(COUNTIFS('Shortlisted Drugs X Company (7)'!$C$3:$C$698,$B196,'Shortlisted Drugs X Company (7)'!$E$3:$E$698,$AA196,'Shortlisted Drugs X Company (7)'!$P$3:$P$698,"Exact")&gt;0,"Exact",IF(COUNTIFS('Shortlisted Drugs X Company (7)'!$C$3:$C$698,$B196,'Shortlisted Drugs X Company (7)'!$E$3:$E$698,$AA196,'Shortlisted Drugs X Company (7)'!$P$3:$P$698,"Same-market proxy")&gt;0,"Same-market proxy",IF(COUNTIFS('Shortlisted Drugs X Company (7)'!$C$3:$C$698,$B196,'Shortlisted Drugs X Company (7)'!$E$3:$E$698,$AA196,'Shortlisted Drugs X Company (7)'!$P$3:$P$698,"Cross-market proxy")&gt;0,"Cross-market proxy",IF(COUNTIFS('Shortlisted Drugs X Company (7)'!$C$3:$C$698,$B196,'Shortlisted Drugs X Company (7)'!$E$3:$E$698,$AA196,'Shortlisted Drugs X Company (7)'!$P$3:$P$698,"Source not found")&gt;0,"Source not found","No price found"))))</f>
        <v>Same-market proxy</v>
      </c>
      <c r="K196" s="19" t="n">
        <f aca="false">IFERROR(INDEX('Injectable Value'!$AB$28:$AB$178,MATCH(B196,'Injectable Value'!$A$28:$A$178,0)),"")</f>
        <v>843</v>
      </c>
      <c r="L196" s="77" t="n">
        <f aca="false">IFERROR(INDEX('Injectable Value'!$Z$28:$Z$178,MATCH(B196,'Injectable Value'!$A$28:$A$178,0)),"")</f>
        <v>0.858739397335643</v>
      </c>
      <c r="M196" s="19" t="n">
        <f aca="false">IFERROR(INDEX('Injectable Value'!$AC$28:$AC$178,MATCH(B196,'Injectable Value'!$A$28:$A$178,0)),"")</f>
        <v>724</v>
      </c>
      <c r="N196" s="19" t="n">
        <f aca="false">IFERROR(INDEX('Injectable Value'!$C$28:$C$178,MATCH(B196,'Injectable Value'!$A$28:$A$178,0)),"")</f>
        <v>4508</v>
      </c>
      <c r="O196" s="19" t="n">
        <f aca="false">IFERROR(ROUND(INDEX('Injectable Value'!$AA$28:$AA$178,MATCH(B196,'Injectable Value'!$A$28:$A$178,0)),1),"")</f>
        <v>3871.2</v>
      </c>
      <c r="P196" s="16" t="str">
        <f aca="false">IFERROR(INDEX('Route of Administration'!$C$5:$C$155,MATCH(B196,'Route of Administration'!$A$5:$A$155,0)),"")</f>
        <v>IV</v>
      </c>
      <c r="Q196" s="15" t="str">
        <f aca="false">IFERROR(INDEX('Route of Administration'!$D$5:$D$155,MATCH(B196,'Route of Administration'!$A$5:$A$155,0)),"")</f>
        <v>No</v>
      </c>
      <c r="R196" s="16" t="s">
        <v>281</v>
      </c>
      <c r="S196" s="17" t="s">
        <v>981</v>
      </c>
      <c r="T196" s="16" t="s">
        <v>333</v>
      </c>
      <c r="U196" s="17" t="str">
        <f aca="false">"Cancer drug (cytotoxic) – less relevant; Reconstitution"&amp;IF(AE196=0,"; No price found","")&amp;IF(AND(AE196&gt;0,AF196=0,AG196=0),"; Low price comes from another market – confirm with the company","")</f>
        <v>Cancer drug (cytotoxic) – less relevant; Reconstitution</v>
      </c>
      <c r="V196" s="17" t="s">
        <v>334</v>
      </c>
      <c r="W196" s="15" t="n">
        <v>23</v>
      </c>
      <c r="X196" s="17" t="s">
        <v>982</v>
      </c>
      <c r="Y196" s="17" t="s">
        <v>983</v>
      </c>
      <c r="Z196" s="17" t="s">
        <v>286</v>
      </c>
      <c r="AA196" s="16" t="s">
        <v>927</v>
      </c>
      <c r="AB196" s="78" t="s">
        <v>383</v>
      </c>
      <c r="AC196" s="20" t="n">
        <f aca="false">IF(AE196&gt;0,ROUND(AVERAGEIFS('Shortlisted Drugs X Company (7)'!$N$3:$N$698,'Shortlisted Drugs X Company (7)'!$C$3:$C$698,$B196,'Shortlisted Drugs X Company (7)'!$E$3:$E$698,$AA196,'Shortlisted Drugs X Company (7)'!$N$3:$N$698,"&gt;=0"),2),"")</f>
        <v>56.21</v>
      </c>
      <c r="AD196" s="79" t="str">
        <f aca="false">B196&amp;"|"&amp;AA196</f>
        <v>Cyclophosphamide|Intas Pharmaceuticals</v>
      </c>
      <c r="AE196" s="22" t="n">
        <f aca="false">COUNTIFS('Shortlisted Drugs X Company (7)'!$C$3:$C$698,$B196,'Shortlisted Drugs X Company (7)'!$E$3:$E$698,$AA196,'Shortlisted Drugs X Company (7)'!$N$3:$N$698,"&gt;=0")</f>
        <v>1</v>
      </c>
      <c r="AF196" s="22" t="n">
        <f aca="false">COUNTIFS('Shortlisted Drugs X Company (7)'!$C$3:$C$698,$B196,'Shortlisted Drugs X Company (7)'!$E$3:$E$698,$AA196,'Shortlisted Drugs X Company (7)'!$N$3:$N$698,"&gt;5")</f>
        <v>1</v>
      </c>
      <c r="AG196" s="22" t="n">
        <f aca="false">COUNTIFS('Shortlisted Drugs X Company (7)'!$C$3:$C$698,$B196,'Shortlisted Drugs X Company (7)'!$E$3:$E$698,$AA196,'Shortlisted Drugs X Company (7)'!$P$3:$P$698,"Exact")+COUNTIFS('Shortlisted Drugs X Company (7)'!$C$3:$C$698,$B196,'Shortlisted Drugs X Company (7)'!$E$3:$E$698,$AA196,'Shortlisted Drugs X Company (7)'!$P$3:$P$698,"Same-market proxy")</f>
        <v>1</v>
      </c>
      <c r="AH196" s="22" t="n">
        <f aca="false">INDEX($G$7:$G$25,MATCH(A196,$A$7:$A$25,0))</f>
        <v>1</v>
      </c>
      <c r="AI196" s="79" t="str">
        <f aca="false">IF(OR(Q196="No",LEFT(H196,7)="IV only"),"",AH196*1000+IF(F196="",900+COUNTIFS($A$29:A196,A196,$H$29:H196,"Price*"),F196))</f>
        <v/>
      </c>
      <c r="AJ196" s="79" t="str">
        <f aca="false">IF(H196&lt;&gt;"","",(4-VALUE(RIGHT(E196,1)))*10^7+N(O196))</f>
        <v/>
      </c>
      <c r="AK196" s="79" t="str">
        <f aca="false">IF(AND(H196="",ISNUMBER(I196)),I196,"")</f>
        <v/>
      </c>
      <c r="AL196" s="79" t="str">
        <f aca="false">IF(H196="",M196,"")</f>
        <v/>
      </c>
    </row>
    <row r="197" customFormat="false" ht="82.05" hidden="false" customHeight="false" outlineLevel="0" collapsed="false">
      <c r="A197" s="16" t="s">
        <v>21</v>
      </c>
      <c r="B197" s="16" t="s">
        <v>984</v>
      </c>
      <c r="C197" s="17" t="s">
        <v>985</v>
      </c>
      <c r="D197" s="17" t="s">
        <v>986</v>
      </c>
      <c r="E197" s="15" t="str">
        <f aca="false">IF(H197&lt;&gt;"",IF(LEFT(H197,5)="Price","Excluded – price ≤ USD 5","Excluded – IV only"),IF(ISNUMBER(I197),IF(AND(I197&gt;=$C$3,M197&gt;=$E$3),"Priority 1",IF(OR(I197&gt;=$C$3,M197&gt;=$E$3),"Priority 2","Priority 3")),IF(M197&gt;=$E$3,"Priority 2","Priority 3")))</f>
        <v>Priority 2</v>
      </c>
      <c r="F197" s="15" t="n">
        <f aca="false">IF(H197&lt;&gt;"","",COUNTIFS($A$29:$A$361,A197,$H$29:$H$361,"",$AJ$29:$AJ$361,"&gt;"&amp;AJ197)+COUNTIFS($A$29:A197,A197,$H$29:H197,"",$AJ$29:AJ197,AJ197))</f>
        <v>12</v>
      </c>
      <c r="G197" s="17" t="str">
        <f aca="false">IF(H197&lt;&gt;"","",IF(ISNUMBER(I197),IF(I197&gt;=$C$3,"High price","Lower price"),"No price")&amp;", "&amp;IF(M197&gt;=$E$3,"high volume","lower volume"))</f>
        <v>Lower price, high volume</v>
      </c>
      <c r="H197" s="17" t="str">
        <f aca="false">IF(Q197="No","IV only (no ID, IM or SC route)",IF(AND(AE197&gt;0,AF197=0),"Price ≤ USD 5",""))</f>
        <v/>
      </c>
      <c r="I197" s="18" t="n">
        <f aca="false">IF(AF197&gt;0,ROUND(AVERAGEIFS('Shortlisted Drugs X Company (7)'!$N$3:$N$698,'Shortlisted Drugs X Company (7)'!$C$3:$C$698,$B197,'Shortlisted Drugs X Company (7)'!$E$3:$E$698,$AA197,'Shortlisted Drugs X Company (7)'!$N$3:$N$698,"&gt;5"),2),"")</f>
        <v>6.7</v>
      </c>
      <c r="J197" s="17" t="str">
        <f aca="false">IF(COUNTIFS('Shortlisted Drugs X Company (7)'!$C$3:$C$698,$B197,'Shortlisted Drugs X Company (7)'!$E$3:$E$698,$AA197,'Shortlisted Drugs X Company (7)'!$P$3:$P$698,"Exact")&gt;0,"Exact",IF(COUNTIFS('Shortlisted Drugs X Company (7)'!$C$3:$C$698,$B197,'Shortlisted Drugs X Company (7)'!$E$3:$E$698,$AA197,'Shortlisted Drugs X Company (7)'!$P$3:$P$698,"Same-market proxy")&gt;0,"Same-market proxy",IF(COUNTIFS('Shortlisted Drugs X Company (7)'!$C$3:$C$698,$B197,'Shortlisted Drugs X Company (7)'!$E$3:$E$698,$AA197,'Shortlisted Drugs X Company (7)'!$P$3:$P$698,"Cross-market proxy")&gt;0,"Cross-market proxy",IF(COUNTIFS('Shortlisted Drugs X Company (7)'!$C$3:$C$698,$B197,'Shortlisted Drugs X Company (7)'!$E$3:$E$698,$AA197,'Shortlisted Drugs X Company (7)'!$P$3:$P$698,"Source not found")&gt;0,"Source not found","No price found"))))</f>
        <v>Exact</v>
      </c>
      <c r="K197" s="19" t="n">
        <f aca="false">IFERROR(INDEX('Injectable Value'!$AB$28:$AB$178,MATCH(B197,'Injectable Value'!$A$28:$A$178,0)),"")</f>
        <v>799</v>
      </c>
      <c r="L197" s="77" t="n">
        <f aca="false">IFERROR(INDEX('Injectable Value'!$Z$28:$Z$178,MATCH(B197,'Injectable Value'!$A$28:$A$178,0)),"")</f>
        <v>1</v>
      </c>
      <c r="M197" s="19" t="n">
        <f aca="false">IFERROR(INDEX('Injectable Value'!$AC$28:$AC$178,MATCH(B197,'Injectable Value'!$A$28:$A$178,0)),"")</f>
        <v>799</v>
      </c>
      <c r="N197" s="19" t="n">
        <f aca="false">IFERROR(INDEX('Injectable Value'!$C$28:$C$178,MATCH(B197,'Injectable Value'!$A$28:$A$178,0)),"")</f>
        <v>7738.99</v>
      </c>
      <c r="O197" s="19" t="n">
        <f aca="false">IFERROR(ROUND(INDEX('Injectable Value'!$AA$28:$AA$178,MATCH(B197,'Injectable Value'!$A$28:$A$178,0)),1),"")</f>
        <v>7739</v>
      </c>
      <c r="P197" s="16" t="str">
        <f aca="false">IFERROR(INDEX('Route of Administration'!$C$5:$C$155,MATCH(B197,'Route of Administration'!$A$5:$A$155,0)),"")</f>
        <v>IV, SC</v>
      </c>
      <c r="Q197" s="15" t="str">
        <f aca="false">IFERROR(INDEX('Route of Administration'!$D$5:$D$155,MATCH(B197,'Route of Administration'!$A$5:$A$155,0)),"")</f>
        <v>Yes</v>
      </c>
      <c r="R197" s="16" t="s">
        <v>281</v>
      </c>
      <c r="S197" s="17" t="s">
        <v>987</v>
      </c>
      <c r="T197" s="16" t="s">
        <v>283</v>
      </c>
      <c r="U197" s="17" t="str">
        <f aca="false">"Cancer drug (cytotoxic) – less relevant"&amp;IF(AE197=0,"; No price found","")&amp;IF(AND(AE197&gt;0,AF197=0,AG197=0),"; Low price comes from another market – confirm with the company","")</f>
        <v>Cancer drug (cytotoxic) – less relevant</v>
      </c>
      <c r="V197" s="17" t="s">
        <v>334</v>
      </c>
      <c r="W197" s="15" t="n">
        <v>28</v>
      </c>
      <c r="X197" s="17" t="s">
        <v>988</v>
      </c>
      <c r="Y197" s="17" t="s">
        <v>989</v>
      </c>
      <c r="Z197" s="17" t="s">
        <v>321</v>
      </c>
      <c r="AA197" s="16" t="s">
        <v>927</v>
      </c>
      <c r="AB197" s="78" t="s">
        <v>990</v>
      </c>
      <c r="AC197" s="20" t="n">
        <f aca="false">IF(AE197&gt;0,ROUND(AVERAGEIFS('Shortlisted Drugs X Company (7)'!$N$3:$N$698,'Shortlisted Drugs X Company (7)'!$C$3:$C$698,$B197,'Shortlisted Drugs X Company (7)'!$E$3:$E$698,$AA197,'Shortlisted Drugs X Company (7)'!$N$3:$N$698,"&gt;=0"),2),"")</f>
        <v>6.7</v>
      </c>
      <c r="AD197" s="79" t="str">
        <f aca="false">B197&amp;"|"&amp;AA197</f>
        <v>Cytarabine|Intas Pharmaceuticals</v>
      </c>
      <c r="AE197" s="22" t="n">
        <f aca="false">COUNTIFS('Shortlisted Drugs X Company (7)'!$C$3:$C$698,$B197,'Shortlisted Drugs X Company (7)'!$E$3:$E$698,$AA197,'Shortlisted Drugs X Company (7)'!$N$3:$N$698,"&gt;=0")</f>
        <v>2</v>
      </c>
      <c r="AF197" s="22" t="n">
        <f aca="false">COUNTIFS('Shortlisted Drugs X Company (7)'!$C$3:$C$698,$B197,'Shortlisted Drugs X Company (7)'!$E$3:$E$698,$AA197,'Shortlisted Drugs X Company (7)'!$N$3:$N$698,"&gt;5")</f>
        <v>2</v>
      </c>
      <c r="AG197" s="22" t="n">
        <f aca="false">COUNTIFS('Shortlisted Drugs X Company (7)'!$C$3:$C$698,$B197,'Shortlisted Drugs X Company (7)'!$E$3:$E$698,$AA197,'Shortlisted Drugs X Company (7)'!$P$3:$P$698,"Exact")+COUNTIFS('Shortlisted Drugs X Company (7)'!$C$3:$C$698,$B197,'Shortlisted Drugs X Company (7)'!$E$3:$E$698,$AA197,'Shortlisted Drugs X Company (7)'!$P$3:$P$698,"Same-market proxy")</f>
        <v>2</v>
      </c>
      <c r="AH197" s="22" t="n">
        <f aca="false">INDEX($G$7:$G$25,MATCH(A197,$A$7:$A$25,0))</f>
        <v>1</v>
      </c>
      <c r="AI197" s="79" t="n">
        <f aca="false">IF(OR(Q197="No",LEFT(H197,7)="IV only"),"",AH197*1000+IF(F197="",900+COUNTIFS($A$29:A197,A197,$H$29:H197,"Price*"),F197))</f>
        <v>1012</v>
      </c>
      <c r="AJ197" s="79" t="n">
        <f aca="false">IF(H197&lt;&gt;"","",(4-VALUE(RIGHT(E197,1)))*10^7+N(O197))</f>
        <v>20007739</v>
      </c>
      <c r="AK197" s="20" t="n">
        <f aca="false">IF(AND(H197="",ISNUMBER(I197)),I197,"")</f>
        <v>6.7</v>
      </c>
      <c r="AL197" s="21" t="n">
        <f aca="false">IF(H197="",M197,"")</f>
        <v>799</v>
      </c>
    </row>
    <row r="198" customFormat="false" ht="68.65" hidden="false" customHeight="false" outlineLevel="0" collapsed="false">
      <c r="A198" s="16" t="s">
        <v>21</v>
      </c>
      <c r="B198" s="16" t="s">
        <v>388</v>
      </c>
      <c r="C198" s="17" t="s">
        <v>991</v>
      </c>
      <c r="D198" s="17" t="s">
        <v>390</v>
      </c>
      <c r="E198" s="15" t="str">
        <f aca="false">IF(H198&lt;&gt;"",IF(LEFT(H198,5)="Price","Excluded – price ≤ USD 5","Excluded – IV only"),IF(ISNUMBER(I198),IF(AND(I198&gt;=$C$3,M198&gt;=$E$3),"Priority 1",IF(OR(I198&gt;=$C$3,M198&gt;=$E$3),"Priority 2","Priority 3")),IF(M198&gt;=$E$3,"Priority 2","Priority 3")))</f>
        <v>Excluded – IV only</v>
      </c>
      <c r="F198" s="15" t="str">
        <f aca="false">IF(H198&lt;&gt;"","",COUNTIFS($A$29:$A$361,A198,$H$29:$H$361,"",$AJ$29:$AJ$361,"&gt;"&amp;AJ198)+COUNTIFS($A$29:A198,A198,$H$29:H198,"",$AJ$29:AJ198,AJ198))</f>
        <v/>
      </c>
      <c r="G198" s="17" t="str">
        <f aca="false">IF(H198&lt;&gt;"","",IF(ISNUMBER(I198),IF(I198&gt;=$C$3,"High price","Lower price"),"No price")&amp;", "&amp;IF(M198&gt;=$E$3,"high volume","lower volume"))</f>
        <v/>
      </c>
      <c r="H198" s="17" t="str">
        <f aca="false">IF(Q198="No","IV only (no ID, IM or SC route)",IF(AND(AE198&gt;0,AF198=0),"Price ≤ USD 5",""))</f>
        <v>IV only (no ID, IM or SC route)</v>
      </c>
      <c r="I198" s="18" t="n">
        <f aca="false">IF(AF198&gt;0,ROUND(AVERAGEIFS('Shortlisted Drugs X Company (7)'!$N$3:$N$698,'Shortlisted Drugs X Company (7)'!$C$3:$C$698,$B198,'Shortlisted Drugs X Company (7)'!$E$3:$E$698,$AA198,'Shortlisted Drugs X Company (7)'!$N$3:$N$698,"&gt;5"),2),"")</f>
        <v>66.76</v>
      </c>
      <c r="J198" s="17" t="str">
        <f aca="false">IF(COUNTIFS('Shortlisted Drugs X Company (7)'!$C$3:$C$698,$B198,'Shortlisted Drugs X Company (7)'!$E$3:$E$698,$AA198,'Shortlisted Drugs X Company (7)'!$P$3:$P$698,"Exact")&gt;0,"Exact",IF(COUNTIFS('Shortlisted Drugs X Company (7)'!$C$3:$C$698,$B198,'Shortlisted Drugs X Company (7)'!$E$3:$E$698,$AA198,'Shortlisted Drugs X Company (7)'!$P$3:$P$698,"Same-market proxy")&gt;0,"Same-market proxy",IF(COUNTIFS('Shortlisted Drugs X Company (7)'!$C$3:$C$698,$B198,'Shortlisted Drugs X Company (7)'!$E$3:$E$698,$AA198,'Shortlisted Drugs X Company (7)'!$P$3:$P$698,"Cross-market proxy")&gt;0,"Cross-market proxy",IF(COUNTIFS('Shortlisted Drugs X Company (7)'!$C$3:$C$698,$B198,'Shortlisted Drugs X Company (7)'!$E$3:$E$698,$AA198,'Shortlisted Drugs X Company (7)'!$P$3:$P$698,"Source not found")&gt;0,"Source not found","No price found"))))</f>
        <v>Exact</v>
      </c>
      <c r="K198" s="19" t="n">
        <f aca="false">IFERROR(INDEX('Injectable Value'!$AB$28:$AB$178,MATCH(B198,'Injectable Value'!$A$28:$A$178,0)),"")</f>
        <v>312</v>
      </c>
      <c r="L198" s="77" t="n">
        <f aca="false">IFERROR(INDEX('Injectable Value'!$Z$28:$Z$178,MATCH(B198,'Injectable Value'!$A$28:$A$178,0)),"")</f>
        <v>1</v>
      </c>
      <c r="M198" s="19" t="n">
        <f aca="false">IFERROR(INDEX('Injectable Value'!$AC$28:$AC$178,MATCH(B198,'Injectable Value'!$A$28:$A$178,0)),"")</f>
        <v>312</v>
      </c>
      <c r="N198" s="19" t="n">
        <f aca="false">IFERROR(INDEX('Injectable Value'!$C$28:$C$178,MATCH(B198,'Injectable Value'!$A$28:$A$178,0)),"")</f>
        <v>59827.18</v>
      </c>
      <c r="O198" s="19" t="n">
        <f aca="false">IFERROR(ROUND(INDEX('Injectable Value'!$AA$28:$AA$178,MATCH(B198,'Injectable Value'!$A$28:$A$178,0)),1),"")</f>
        <v>59827.2</v>
      </c>
      <c r="P198" s="16" t="str">
        <f aca="false">IFERROR(INDEX('Route of Administration'!$C$5:$C$155,MATCH(B198,'Route of Administration'!$A$5:$A$155,0)),"")</f>
        <v>IV</v>
      </c>
      <c r="Q198" s="15" t="str">
        <f aca="false">IFERROR(INDEX('Route of Administration'!$D$5:$D$155,MATCH(B198,'Route of Administration'!$A$5:$A$155,0)),"")</f>
        <v>No</v>
      </c>
      <c r="R198" s="16" t="s">
        <v>281</v>
      </c>
      <c r="S198" s="17" t="s">
        <v>992</v>
      </c>
      <c r="T198" s="16" t="s">
        <v>359</v>
      </c>
      <c r="U198" s="17" t="str">
        <f aca="false">"Reconstitution"&amp;IF(AE198=0,"; No price found","")&amp;IF(AND(AE198&gt;0,AF198=0,AG198=0),"; Low price comes from another market – confirm with the company","")</f>
        <v>Reconstitution</v>
      </c>
      <c r="V198" s="17" t="s">
        <v>785</v>
      </c>
      <c r="W198" s="15" t="n">
        <v>21</v>
      </c>
      <c r="X198" s="17" t="s">
        <v>993</v>
      </c>
      <c r="Y198" s="17" t="s">
        <v>994</v>
      </c>
      <c r="Z198" s="17" t="s">
        <v>286</v>
      </c>
      <c r="AA198" s="16" t="s">
        <v>927</v>
      </c>
      <c r="AB198" s="78" t="s">
        <v>393</v>
      </c>
      <c r="AC198" s="20" t="n">
        <f aca="false">IF(AE198&gt;0,ROUND(AVERAGEIFS('Shortlisted Drugs X Company (7)'!$N$3:$N$698,'Shortlisted Drugs X Company (7)'!$C$3:$C$698,$B198,'Shortlisted Drugs X Company (7)'!$E$3:$E$698,$AA198,'Shortlisted Drugs X Company (7)'!$N$3:$N$698,"&gt;=0"),2),"")</f>
        <v>66.76</v>
      </c>
      <c r="AD198" s="79" t="str">
        <f aca="false">B198&amp;"|"&amp;AA198</f>
        <v>Daptomycin|Intas Pharmaceuticals</v>
      </c>
      <c r="AE198" s="22" t="n">
        <f aca="false">COUNTIFS('Shortlisted Drugs X Company (7)'!$C$3:$C$698,$B198,'Shortlisted Drugs X Company (7)'!$E$3:$E$698,$AA198,'Shortlisted Drugs X Company (7)'!$N$3:$N$698,"&gt;=0")</f>
        <v>3</v>
      </c>
      <c r="AF198" s="22" t="n">
        <f aca="false">COUNTIFS('Shortlisted Drugs X Company (7)'!$C$3:$C$698,$B198,'Shortlisted Drugs X Company (7)'!$E$3:$E$698,$AA198,'Shortlisted Drugs X Company (7)'!$N$3:$N$698,"&gt;5")</f>
        <v>3</v>
      </c>
      <c r="AG198" s="22" t="n">
        <f aca="false">COUNTIFS('Shortlisted Drugs X Company (7)'!$C$3:$C$698,$B198,'Shortlisted Drugs X Company (7)'!$E$3:$E$698,$AA198,'Shortlisted Drugs X Company (7)'!$P$3:$P$698,"Exact")+COUNTIFS('Shortlisted Drugs X Company (7)'!$C$3:$C$698,$B198,'Shortlisted Drugs X Company (7)'!$E$3:$E$698,$AA198,'Shortlisted Drugs X Company (7)'!$P$3:$P$698,"Same-market proxy")</f>
        <v>3</v>
      </c>
      <c r="AH198" s="22" t="n">
        <f aca="false">INDEX($G$7:$G$25,MATCH(A198,$A$7:$A$25,0))</f>
        <v>1</v>
      </c>
      <c r="AI198" s="79" t="str">
        <f aca="false">IF(OR(Q198="No",LEFT(H198,7)="IV only"),"",AH198*1000+IF(F198="",900+COUNTIFS($A$29:A198,A198,$H$29:H198,"Price*"),F198))</f>
        <v/>
      </c>
      <c r="AJ198" s="79" t="str">
        <f aca="false">IF(H198&lt;&gt;"","",(4-VALUE(RIGHT(E198,1)))*10^7+N(O198))</f>
        <v/>
      </c>
      <c r="AK198" s="79" t="str">
        <f aca="false">IF(AND(H198="",ISNUMBER(I198)),I198,"")</f>
        <v/>
      </c>
      <c r="AL198" s="79" t="str">
        <f aca="false">IF(H198="",M198,"")</f>
        <v/>
      </c>
    </row>
    <row r="199" customFormat="false" ht="95.5" hidden="false" customHeight="false" outlineLevel="0" collapsed="false">
      <c r="A199" s="16" t="s">
        <v>21</v>
      </c>
      <c r="B199" s="16" t="s">
        <v>995</v>
      </c>
      <c r="C199" s="17" t="s">
        <v>996</v>
      </c>
      <c r="D199" s="17" t="s">
        <v>997</v>
      </c>
      <c r="E199" s="15" t="str">
        <f aca="false">IF(H199&lt;&gt;"",IF(LEFT(H199,5)="Price","Excluded – price ≤ USD 5","Excluded – IV only"),IF(ISNUMBER(I199),IF(AND(I199&gt;=$C$3,M199&gt;=$E$3),"Priority 1",IF(OR(I199&gt;=$C$3,M199&gt;=$E$3),"Priority 2","Priority 3")),IF(M199&gt;=$E$3,"Priority 2","Priority 3")))</f>
        <v>Priority 2</v>
      </c>
      <c r="F199" s="15" t="n">
        <f aca="false">IF(H199&lt;&gt;"","",COUNTIFS($A$29:$A$361,A199,$H$29:$H$361,"",$AJ$29:$AJ$361,"&gt;"&amp;AJ199)+COUNTIFS($A$29:A199,A199,$H$29:H199,"",$AJ$29:AJ199,AJ199))</f>
        <v>20</v>
      </c>
      <c r="G199" s="17" t="str">
        <f aca="false">IF(H199&lt;&gt;"","",IF(ISNUMBER(I199),IF(I199&gt;=$C$3,"High price","Lower price"),"No price")&amp;", "&amp;IF(M199&gt;=$E$3,"high volume","lower volume"))</f>
        <v>High price, lower volume</v>
      </c>
      <c r="H199" s="17" t="str">
        <f aca="false">IF(Q199="No","IV only (no ID, IM or SC route)",IF(AND(AE199&gt;0,AF199=0),"Price ≤ USD 5",""))</f>
        <v/>
      </c>
      <c r="I199" s="18" t="n">
        <f aca="false">IF(AF199&gt;0,ROUND(AVERAGEIFS('Shortlisted Drugs X Company (7)'!$N$3:$N$698,'Shortlisted Drugs X Company (7)'!$C$3:$C$698,$B199,'Shortlisted Drugs X Company (7)'!$E$3:$E$698,$AA199,'Shortlisted Drugs X Company (7)'!$N$3:$N$698,"&gt;5"),2),"")</f>
        <v>92.62</v>
      </c>
      <c r="J199" s="17" t="str">
        <f aca="false">IF(COUNTIFS('Shortlisted Drugs X Company (7)'!$C$3:$C$698,$B199,'Shortlisted Drugs X Company (7)'!$E$3:$E$698,$AA199,'Shortlisted Drugs X Company (7)'!$P$3:$P$698,"Exact")&gt;0,"Exact",IF(COUNTIFS('Shortlisted Drugs X Company (7)'!$C$3:$C$698,$B199,'Shortlisted Drugs X Company (7)'!$E$3:$E$698,$AA199,'Shortlisted Drugs X Company (7)'!$P$3:$P$698,"Same-market proxy")&gt;0,"Same-market proxy",IF(COUNTIFS('Shortlisted Drugs X Company (7)'!$C$3:$C$698,$B199,'Shortlisted Drugs X Company (7)'!$E$3:$E$698,$AA199,'Shortlisted Drugs X Company (7)'!$P$3:$P$698,"Cross-market proxy")&gt;0,"Cross-market proxy",IF(COUNTIFS('Shortlisted Drugs X Company (7)'!$C$3:$C$698,$B199,'Shortlisted Drugs X Company (7)'!$E$3:$E$698,$AA199,'Shortlisted Drugs X Company (7)'!$P$3:$P$698,"Source not found")&gt;0,"Source not found","No price found"))))</f>
        <v>Exact</v>
      </c>
      <c r="K199" s="19" t="n">
        <f aca="false">IFERROR(INDEX('Injectable Value'!$AB$28:$AB$178,MATCH(B199,'Injectable Value'!$A$28:$A$178,0)),"")</f>
        <v>26</v>
      </c>
      <c r="L199" s="77" t="n">
        <f aca="false">IFERROR(INDEX('Injectable Value'!$Z$28:$Z$178,MATCH(B199,'Injectable Value'!$A$28:$A$178,0)),"")</f>
        <v>1</v>
      </c>
      <c r="M199" s="19" t="n">
        <f aca="false">IFERROR(INDEX('Injectable Value'!$AC$28:$AC$178,MATCH(B199,'Injectable Value'!$A$28:$A$178,0)),"")</f>
        <v>26</v>
      </c>
      <c r="N199" s="19" t="n">
        <f aca="false">IFERROR(INDEX('Injectable Value'!$C$28:$C$178,MATCH(B199,'Injectable Value'!$A$28:$A$178,0)),"")</f>
        <v>140.86</v>
      </c>
      <c r="O199" s="19" t="n">
        <f aca="false">IFERROR(ROUND(INDEX('Injectable Value'!$AA$28:$AA$178,MATCH(B199,'Injectable Value'!$A$28:$A$178,0)),1),"")</f>
        <v>140.9</v>
      </c>
      <c r="P199" s="16" t="str">
        <f aca="false">IFERROR(INDEX('Route of Administration'!$C$5:$C$155,MATCH(B199,'Route of Administration'!$A$5:$A$155,0)),"")</f>
        <v>SC</v>
      </c>
      <c r="Q199" s="15" t="str">
        <f aca="false">IFERROR(INDEX('Route of Administration'!$D$5:$D$155,MATCH(B199,'Route of Administration'!$A$5:$A$155,0)),"")</f>
        <v>Yes</v>
      </c>
      <c r="R199" s="16" t="s">
        <v>281</v>
      </c>
      <c r="S199" s="17" t="s">
        <v>998</v>
      </c>
      <c r="T199" s="16" t="s">
        <v>283</v>
      </c>
      <c r="U199" s="17" t="str">
        <f aca="false">"Reconstitution"&amp;IF(AE199=0,"; No price found","")&amp;IF(AND(AE199&gt;0,AF199=0,AG199=0),"; Low price comes from another market – confirm with the company","")</f>
        <v>Reconstitution</v>
      </c>
      <c r="V199" s="17" t="s">
        <v>456</v>
      </c>
      <c r="W199" s="15" t="n">
        <v>31</v>
      </c>
      <c r="X199" s="17" t="s">
        <v>999</v>
      </c>
      <c r="Y199" s="17" t="s">
        <v>1000</v>
      </c>
      <c r="Z199" s="17" t="s">
        <v>321</v>
      </c>
      <c r="AA199" s="16" t="s">
        <v>927</v>
      </c>
      <c r="AB199" s="78" t="s">
        <v>1001</v>
      </c>
      <c r="AC199" s="20" t="n">
        <f aca="false">IF(AE199&gt;0,ROUND(AVERAGEIFS('Shortlisted Drugs X Company (7)'!$N$3:$N$698,'Shortlisted Drugs X Company (7)'!$C$3:$C$698,$B199,'Shortlisted Drugs X Company (7)'!$E$3:$E$698,$AA199,'Shortlisted Drugs X Company (7)'!$N$3:$N$698,"&gt;=0"),2),"")</f>
        <v>92.62</v>
      </c>
      <c r="AD199" s="79" t="str">
        <f aca="false">B199&amp;"|"&amp;AA199</f>
        <v>Degarelix|Intas Pharmaceuticals</v>
      </c>
      <c r="AE199" s="22" t="n">
        <f aca="false">COUNTIFS('Shortlisted Drugs X Company (7)'!$C$3:$C$698,$B199,'Shortlisted Drugs X Company (7)'!$E$3:$E$698,$AA199,'Shortlisted Drugs X Company (7)'!$N$3:$N$698,"&gt;=0")</f>
        <v>2</v>
      </c>
      <c r="AF199" s="22" t="n">
        <f aca="false">COUNTIFS('Shortlisted Drugs X Company (7)'!$C$3:$C$698,$B199,'Shortlisted Drugs X Company (7)'!$E$3:$E$698,$AA199,'Shortlisted Drugs X Company (7)'!$N$3:$N$698,"&gt;5")</f>
        <v>2</v>
      </c>
      <c r="AG199" s="22" t="n">
        <f aca="false">COUNTIFS('Shortlisted Drugs X Company (7)'!$C$3:$C$698,$B199,'Shortlisted Drugs X Company (7)'!$E$3:$E$698,$AA199,'Shortlisted Drugs X Company (7)'!$P$3:$P$698,"Exact")+COUNTIFS('Shortlisted Drugs X Company (7)'!$C$3:$C$698,$B199,'Shortlisted Drugs X Company (7)'!$E$3:$E$698,$AA199,'Shortlisted Drugs X Company (7)'!$P$3:$P$698,"Same-market proxy")</f>
        <v>2</v>
      </c>
      <c r="AH199" s="22" t="n">
        <f aca="false">INDEX($G$7:$G$25,MATCH(A199,$A$7:$A$25,0))</f>
        <v>1</v>
      </c>
      <c r="AI199" s="79" t="n">
        <f aca="false">IF(OR(Q199="No",LEFT(H199,7)="IV only"),"",AH199*1000+IF(F199="",900+COUNTIFS($A$29:A199,A199,$H$29:H199,"Price*"),F199))</f>
        <v>1020</v>
      </c>
      <c r="AJ199" s="79" t="n">
        <f aca="false">IF(H199&lt;&gt;"","",(4-VALUE(RIGHT(E199,1)))*10^7+N(O199))</f>
        <v>20000140.9</v>
      </c>
      <c r="AK199" s="20" t="n">
        <f aca="false">IF(AND(H199="",ISNUMBER(I199)),I199,"")</f>
        <v>92.62</v>
      </c>
      <c r="AL199" s="21" t="n">
        <f aca="false">IF(H199="",M199,"")</f>
        <v>26</v>
      </c>
    </row>
    <row r="200" customFormat="false" ht="95.5" hidden="false" customHeight="false" outlineLevel="0" collapsed="false">
      <c r="A200" s="16" t="s">
        <v>21</v>
      </c>
      <c r="B200" s="16" t="s">
        <v>1002</v>
      </c>
      <c r="C200" s="17" t="s">
        <v>1003</v>
      </c>
      <c r="D200" s="17" t="s">
        <v>1004</v>
      </c>
      <c r="E200" s="15" t="str">
        <f aca="false">IF(H200&lt;&gt;"",IF(LEFT(H200,5)="Price","Excluded – price ≤ USD 5","Excluded – IV only"),IF(ISNUMBER(I200),IF(AND(I200&gt;=$C$3,M200&gt;=$E$3),"Priority 1",IF(OR(I200&gt;=$C$3,M200&gt;=$E$3),"Priority 2","Priority 3")),IF(M200&gt;=$E$3,"Priority 2","Priority 3")))</f>
        <v>Priority 1</v>
      </c>
      <c r="F200" s="15" t="n">
        <f aca="false">IF(H200&lt;&gt;"","",COUNTIFS($A$29:$A$361,A200,$H$29:$H$361,"",$AJ$29:$AJ$361,"&gt;"&amp;AJ200)+COUNTIFS($A$29:A200,A200,$H$29:H200,"",$AJ$29:AJ200,AJ200))</f>
        <v>8</v>
      </c>
      <c r="G200" s="17" t="str">
        <f aca="false">IF(H200&lt;&gt;"","",IF(ISNUMBER(I200),IF(I200&gt;=$C$3,"High price","Lower price"),"No price")&amp;", "&amp;IF(M200&gt;=$E$3,"high volume","lower volume"))</f>
        <v>High price, high volume</v>
      </c>
      <c r="H200" s="17" t="str">
        <f aca="false">IF(Q200="No","IV only (no ID, IM or SC route)",IF(AND(AE200&gt;0,AF200=0),"Price ≤ USD 5",""))</f>
        <v/>
      </c>
      <c r="I200" s="18" t="n">
        <f aca="false">IF(AF200&gt;0,ROUND(AVERAGEIFS('Shortlisted Drugs X Company (7)'!$N$3:$N$698,'Shortlisted Drugs X Company (7)'!$C$3:$C$698,$B200,'Shortlisted Drugs X Company (7)'!$E$3:$E$698,$AA200,'Shortlisted Drugs X Company (7)'!$N$3:$N$698,"&gt;5"),2),"")</f>
        <v>162.77</v>
      </c>
      <c r="J200" s="17" t="str">
        <f aca="false">IF(COUNTIFS('Shortlisted Drugs X Company (7)'!$C$3:$C$698,$B200,'Shortlisted Drugs X Company (7)'!$E$3:$E$698,$AA200,'Shortlisted Drugs X Company (7)'!$P$3:$P$698,"Exact")&gt;0,"Exact",IF(COUNTIFS('Shortlisted Drugs X Company (7)'!$C$3:$C$698,$B200,'Shortlisted Drugs X Company (7)'!$E$3:$E$698,$AA200,'Shortlisted Drugs X Company (7)'!$P$3:$P$698,"Same-market proxy")&gt;0,"Same-market proxy",IF(COUNTIFS('Shortlisted Drugs X Company (7)'!$C$3:$C$698,$B200,'Shortlisted Drugs X Company (7)'!$E$3:$E$698,$AA200,'Shortlisted Drugs X Company (7)'!$P$3:$P$698,"Cross-market proxy")&gt;0,"Cross-market proxy",IF(COUNTIFS('Shortlisted Drugs X Company (7)'!$C$3:$C$698,$B200,'Shortlisted Drugs X Company (7)'!$E$3:$E$698,$AA200,'Shortlisted Drugs X Company (7)'!$P$3:$P$698,"Source not found")&gt;0,"Source not found","No price found"))))</f>
        <v>Exact</v>
      </c>
      <c r="K200" s="19" t="n">
        <f aca="false">IFERROR(INDEX('Injectable Value'!$AB$28:$AB$178,MATCH(B200,'Injectable Value'!$A$28:$A$178,0)),"")</f>
        <v>314</v>
      </c>
      <c r="L200" s="77" t="n">
        <f aca="false">IFERROR(INDEX('Injectable Value'!$Z$28:$Z$178,MATCH(B200,'Injectable Value'!$A$28:$A$178,0)),"")</f>
        <v>1</v>
      </c>
      <c r="M200" s="19" t="n">
        <f aca="false">IFERROR(INDEX('Injectable Value'!$AC$28:$AC$178,MATCH(B200,'Injectable Value'!$A$28:$A$178,0)),"")</f>
        <v>314</v>
      </c>
      <c r="N200" s="19" t="n">
        <f aca="false">IFERROR(INDEX('Injectable Value'!$C$28:$C$178,MATCH(B200,'Injectable Value'!$A$28:$A$178,0)),"")</f>
        <v>3429.51</v>
      </c>
      <c r="O200" s="19" t="n">
        <f aca="false">IFERROR(ROUND(INDEX('Injectable Value'!$AA$28:$AA$178,MATCH(B200,'Injectable Value'!$A$28:$A$178,0)),1),"")</f>
        <v>3429.5</v>
      </c>
      <c r="P200" s="16" t="str">
        <f aca="false">IFERROR(INDEX('Route of Administration'!$C$5:$C$155,MATCH(B200,'Route of Administration'!$A$5:$A$155,0)),"")</f>
        <v>SC</v>
      </c>
      <c r="Q200" s="15" t="str">
        <f aca="false">IFERROR(INDEX('Route of Administration'!$D$5:$D$155,MATCH(B200,'Route of Administration'!$A$5:$A$155,0)),"")</f>
        <v>Yes</v>
      </c>
      <c r="R200" s="16" t="s">
        <v>281</v>
      </c>
      <c r="S200" s="17" t="s">
        <v>1005</v>
      </c>
      <c r="T200" s="16" t="s">
        <v>283</v>
      </c>
      <c r="U200" s="17" t="str">
        <f aca="false">""&amp;IF(AE200=0,"No price found","")&amp;IF(AND(AE200&gt;0,AF200=0,AG200=0),"Low price comes from another market – confirm with the company","")</f>
        <v/>
      </c>
      <c r="V200" s="17" t="s">
        <v>456</v>
      </c>
      <c r="W200" s="15" t="n">
        <v>32</v>
      </c>
      <c r="X200" s="17" t="s">
        <v>949</v>
      </c>
      <c r="Y200" s="17" t="s">
        <v>950</v>
      </c>
      <c r="Z200" s="17" t="s">
        <v>321</v>
      </c>
      <c r="AA200" s="16" t="s">
        <v>927</v>
      </c>
      <c r="AB200" s="78" t="s">
        <v>1006</v>
      </c>
      <c r="AC200" s="20" t="n">
        <f aca="false">IF(AE200&gt;0,ROUND(AVERAGEIFS('Shortlisted Drugs X Company (7)'!$N$3:$N$698,'Shortlisted Drugs X Company (7)'!$C$3:$C$698,$B200,'Shortlisted Drugs X Company (7)'!$E$3:$E$698,$AA200,'Shortlisted Drugs X Company (7)'!$N$3:$N$698,"&gt;=0"),2),"")</f>
        <v>162.77</v>
      </c>
      <c r="AD200" s="79" t="str">
        <f aca="false">B200&amp;"|"&amp;AA200</f>
        <v>Denosumab|Intas Pharmaceuticals</v>
      </c>
      <c r="AE200" s="22" t="n">
        <f aca="false">COUNTIFS('Shortlisted Drugs X Company (7)'!$C$3:$C$698,$B200,'Shortlisted Drugs X Company (7)'!$E$3:$E$698,$AA200,'Shortlisted Drugs X Company (7)'!$N$3:$N$698,"&gt;=0")</f>
        <v>2</v>
      </c>
      <c r="AF200" s="22" t="n">
        <f aca="false">COUNTIFS('Shortlisted Drugs X Company (7)'!$C$3:$C$698,$B200,'Shortlisted Drugs X Company (7)'!$E$3:$E$698,$AA200,'Shortlisted Drugs X Company (7)'!$N$3:$N$698,"&gt;5")</f>
        <v>2</v>
      </c>
      <c r="AG200" s="22" t="n">
        <f aca="false">COUNTIFS('Shortlisted Drugs X Company (7)'!$C$3:$C$698,$B200,'Shortlisted Drugs X Company (7)'!$E$3:$E$698,$AA200,'Shortlisted Drugs X Company (7)'!$P$3:$P$698,"Exact")+COUNTIFS('Shortlisted Drugs X Company (7)'!$C$3:$C$698,$B200,'Shortlisted Drugs X Company (7)'!$E$3:$E$698,$AA200,'Shortlisted Drugs X Company (7)'!$P$3:$P$698,"Same-market proxy")</f>
        <v>2</v>
      </c>
      <c r="AH200" s="22" t="n">
        <f aca="false">INDEX($G$7:$G$25,MATCH(A200,$A$7:$A$25,0))</f>
        <v>1</v>
      </c>
      <c r="AI200" s="79" t="n">
        <f aca="false">IF(OR(Q200="No",LEFT(H200,7)="IV only"),"",AH200*1000+IF(F200="",900+COUNTIFS($A$29:A200,A200,$H$29:H200,"Price*"),F200))</f>
        <v>1008</v>
      </c>
      <c r="AJ200" s="79" t="n">
        <f aca="false">IF(H200&lt;&gt;"","",(4-VALUE(RIGHT(E200,1)))*10^7+N(O200))</f>
        <v>30003429.5</v>
      </c>
      <c r="AK200" s="20" t="n">
        <f aca="false">IF(AND(H200="",ISNUMBER(I200)),I200,"")</f>
        <v>162.77</v>
      </c>
      <c r="AL200" s="21" t="n">
        <f aca="false">IF(H200="",M200,"")</f>
        <v>314</v>
      </c>
    </row>
    <row r="201" customFormat="false" ht="108.95" hidden="false" customHeight="false" outlineLevel="0" collapsed="false">
      <c r="A201" s="16" t="s">
        <v>21</v>
      </c>
      <c r="B201" s="16" t="s">
        <v>394</v>
      </c>
      <c r="C201" s="17" t="s">
        <v>1007</v>
      </c>
      <c r="D201" s="17" t="s">
        <v>396</v>
      </c>
      <c r="E201" s="15" t="str">
        <f aca="false">IF(H201&lt;&gt;"",IF(LEFT(H201,5)="Price","Excluded – price ≤ USD 5","Excluded – IV only"),IF(ISNUMBER(I201),IF(AND(I201&gt;=$C$3,M201&gt;=$E$3),"Priority 1",IF(OR(I201&gt;=$C$3,M201&gt;=$E$3),"Priority 2","Priority 3")),IF(M201&gt;=$E$3,"Priority 2","Priority 3")))</f>
        <v>Excluded – IV only</v>
      </c>
      <c r="F201" s="15" t="str">
        <f aca="false">IF(H201&lt;&gt;"","",COUNTIFS($A$29:$A$361,A201,$H$29:$H$361,"",$AJ$29:$AJ$361,"&gt;"&amp;AJ201)+COUNTIFS($A$29:A201,A201,$H$29:H201,"",$AJ$29:AJ201,AJ201))</f>
        <v/>
      </c>
      <c r="G201" s="17" t="str">
        <f aca="false">IF(H201&lt;&gt;"","",IF(ISNUMBER(I201),IF(I201&gt;=$C$3,"High price","Lower price"),"No price")&amp;", "&amp;IF(M201&gt;=$E$3,"high volume","lower volume"))</f>
        <v/>
      </c>
      <c r="H201" s="17" t="str">
        <f aca="false">IF(Q201="No","IV only (no ID, IM or SC route)",IF(AND(AE201&gt;0,AF201=0),"Price ≤ USD 5",""))</f>
        <v>IV only (no ID, IM or SC route)</v>
      </c>
      <c r="I201" s="18" t="n">
        <f aca="false">IF(AF201&gt;0,ROUND(AVERAGEIFS('Shortlisted Drugs X Company (7)'!$N$3:$N$698,'Shortlisted Drugs X Company (7)'!$C$3:$C$698,$B201,'Shortlisted Drugs X Company (7)'!$E$3:$E$698,$AA201,'Shortlisted Drugs X Company (7)'!$N$3:$N$698,"&gt;5"),2),"")</f>
        <v>41.32</v>
      </c>
      <c r="J201" s="17" t="str">
        <f aca="false">IF(COUNTIFS('Shortlisted Drugs X Company (7)'!$C$3:$C$698,$B201,'Shortlisted Drugs X Company (7)'!$E$3:$E$698,$AA201,'Shortlisted Drugs X Company (7)'!$P$3:$P$698,"Exact")&gt;0,"Exact",IF(COUNTIFS('Shortlisted Drugs X Company (7)'!$C$3:$C$698,$B201,'Shortlisted Drugs X Company (7)'!$E$3:$E$698,$AA201,'Shortlisted Drugs X Company (7)'!$P$3:$P$698,"Same-market proxy")&gt;0,"Same-market proxy",IF(COUNTIFS('Shortlisted Drugs X Company (7)'!$C$3:$C$698,$B201,'Shortlisted Drugs X Company (7)'!$E$3:$E$698,$AA201,'Shortlisted Drugs X Company (7)'!$P$3:$P$698,"Cross-market proxy")&gt;0,"Cross-market proxy",IF(COUNTIFS('Shortlisted Drugs X Company (7)'!$C$3:$C$698,$B201,'Shortlisted Drugs X Company (7)'!$E$3:$E$698,$AA201,'Shortlisted Drugs X Company (7)'!$P$3:$P$698,"Source not found")&gt;0,"Source not found","No price found"))))</f>
        <v>Exact</v>
      </c>
      <c r="K201" s="19" t="n">
        <f aca="false">IFERROR(INDEX('Injectable Value'!$AB$28:$AB$178,MATCH(B201,'Injectable Value'!$A$28:$A$178,0)),"")</f>
        <v>1644</v>
      </c>
      <c r="L201" s="77" t="n">
        <f aca="false">IFERROR(INDEX('Injectable Value'!$Z$28:$Z$178,MATCH(B201,'Injectable Value'!$A$28:$A$178,0)),"")</f>
        <v>0.990783410138249</v>
      </c>
      <c r="M201" s="19" t="n">
        <f aca="false">IFERROR(INDEX('Injectable Value'!$AC$28:$AC$178,MATCH(B201,'Injectable Value'!$A$28:$A$178,0)),"")</f>
        <v>1629</v>
      </c>
      <c r="N201" s="19" t="n">
        <f aca="false">IFERROR(INDEX('Injectable Value'!$C$28:$C$178,MATCH(B201,'Injectable Value'!$A$28:$A$178,0)),"")</f>
        <v>41889.23</v>
      </c>
      <c r="O201" s="19" t="n">
        <f aca="false">IFERROR(ROUND(INDEX('Injectable Value'!$AA$28:$AA$178,MATCH(B201,'Injectable Value'!$A$28:$A$178,0)),1),"")</f>
        <v>41503.2</v>
      </c>
      <c r="P201" s="16" t="str">
        <f aca="false">IFERROR(INDEX('Route of Administration'!$C$5:$C$155,MATCH(B201,'Route of Administration'!$A$5:$A$155,0)),"")</f>
        <v>IV</v>
      </c>
      <c r="Q201" s="15" t="str">
        <f aca="false">IFERROR(INDEX('Route of Administration'!$D$5:$D$155,MATCH(B201,'Route of Administration'!$A$5:$A$155,0)),"")</f>
        <v>No</v>
      </c>
      <c r="R201" s="16" t="s">
        <v>281</v>
      </c>
      <c r="S201" s="17" t="s">
        <v>1008</v>
      </c>
      <c r="T201" s="16" t="s">
        <v>283</v>
      </c>
      <c r="U201" s="17" t="str">
        <f aca="false">"Cancer drug (cytotoxic) – less relevant"&amp;IF(AE201=0,"; No price found","")&amp;IF(AND(AE201&gt;0,AF201=0,AG201=0),"; Low price comes from another market – confirm with the company","")</f>
        <v>Cancer drug (cytotoxic) – less relevant</v>
      </c>
      <c r="V201" s="17" t="s">
        <v>1009</v>
      </c>
      <c r="W201" s="15" t="n">
        <v>34</v>
      </c>
      <c r="X201" s="17" t="s">
        <v>1010</v>
      </c>
      <c r="Y201" s="17" t="s">
        <v>1011</v>
      </c>
      <c r="Z201" s="17" t="s">
        <v>286</v>
      </c>
      <c r="AA201" s="16" t="s">
        <v>927</v>
      </c>
      <c r="AB201" s="78" t="s">
        <v>400</v>
      </c>
      <c r="AC201" s="20" t="n">
        <f aca="false">IF(AE201&gt;0,ROUND(AVERAGEIFS('Shortlisted Drugs X Company (7)'!$N$3:$N$698,'Shortlisted Drugs X Company (7)'!$C$3:$C$698,$B201,'Shortlisted Drugs X Company (7)'!$E$3:$E$698,$AA201,'Shortlisted Drugs X Company (7)'!$N$3:$N$698,"&gt;=0"),2),"")</f>
        <v>41.32</v>
      </c>
      <c r="AD201" s="79" t="str">
        <f aca="false">B201&amp;"|"&amp;AA201</f>
        <v>Doxorubicin|Intas Pharmaceuticals</v>
      </c>
      <c r="AE201" s="22" t="n">
        <f aca="false">COUNTIFS('Shortlisted Drugs X Company (7)'!$C$3:$C$698,$B201,'Shortlisted Drugs X Company (7)'!$E$3:$E$698,$AA201,'Shortlisted Drugs X Company (7)'!$N$3:$N$698,"&gt;=0")</f>
        <v>6</v>
      </c>
      <c r="AF201" s="22" t="n">
        <f aca="false">COUNTIFS('Shortlisted Drugs X Company (7)'!$C$3:$C$698,$B201,'Shortlisted Drugs X Company (7)'!$E$3:$E$698,$AA201,'Shortlisted Drugs X Company (7)'!$N$3:$N$698,"&gt;5")</f>
        <v>6</v>
      </c>
      <c r="AG201" s="22" t="n">
        <f aca="false">COUNTIFS('Shortlisted Drugs X Company (7)'!$C$3:$C$698,$B201,'Shortlisted Drugs X Company (7)'!$E$3:$E$698,$AA201,'Shortlisted Drugs X Company (7)'!$P$3:$P$698,"Exact")+COUNTIFS('Shortlisted Drugs X Company (7)'!$C$3:$C$698,$B201,'Shortlisted Drugs X Company (7)'!$E$3:$E$698,$AA201,'Shortlisted Drugs X Company (7)'!$P$3:$P$698,"Same-market proxy")</f>
        <v>6</v>
      </c>
      <c r="AH201" s="22" t="n">
        <f aca="false">INDEX($G$7:$G$25,MATCH(A201,$A$7:$A$25,0))</f>
        <v>1</v>
      </c>
      <c r="AI201" s="79" t="str">
        <f aca="false">IF(OR(Q201="No",LEFT(H201,7)="IV only"),"",AH201*1000+IF(F201="",900+COUNTIFS($A$29:A201,A201,$H$29:H201,"Price*"),F201))</f>
        <v/>
      </c>
      <c r="AJ201" s="79" t="str">
        <f aca="false">IF(H201&lt;&gt;"","",(4-VALUE(RIGHT(E201,1)))*10^7+N(O201))</f>
        <v/>
      </c>
      <c r="AK201" s="79" t="str">
        <f aca="false">IF(AND(H201="",ISNUMBER(I201)),I201,"")</f>
        <v/>
      </c>
      <c r="AL201" s="79" t="str">
        <f aca="false">IF(H201="",M201,"")</f>
        <v/>
      </c>
    </row>
    <row r="202" customFormat="false" ht="82.05" hidden="false" customHeight="false" outlineLevel="0" collapsed="false">
      <c r="A202" s="16" t="s">
        <v>21</v>
      </c>
      <c r="B202" s="16" t="s">
        <v>1012</v>
      </c>
      <c r="C202" s="17" t="s">
        <v>1013</v>
      </c>
      <c r="D202" s="17" t="s">
        <v>1014</v>
      </c>
      <c r="E202" s="15" t="str">
        <f aca="false">IF(H202&lt;&gt;"",IF(LEFT(H202,5)="Price","Excluded – price ≤ USD 5","Excluded – IV only"),IF(ISNUMBER(I202),IF(AND(I202&gt;=$C$3,M202&gt;=$E$3),"Priority 1",IF(OR(I202&gt;=$C$3,M202&gt;=$E$3),"Priority 2","Priority 3")),IF(M202&gt;=$E$3,"Priority 2","Priority 3")))</f>
        <v>Excluded – IV only</v>
      </c>
      <c r="F202" s="15" t="str">
        <f aca="false">IF(H202&lt;&gt;"","",COUNTIFS($A$29:$A$361,A202,$H$29:$H$361,"",$AJ$29:$AJ$361,"&gt;"&amp;AJ202)+COUNTIFS($A$29:A202,A202,$H$29:H202,"",$AJ$29:AJ202,AJ202))</f>
        <v/>
      </c>
      <c r="G202" s="17" t="str">
        <f aca="false">IF(H202&lt;&gt;"","",IF(ISNUMBER(I202),IF(I202&gt;=$C$3,"High price","Lower price"),"No price")&amp;", "&amp;IF(M202&gt;=$E$3,"high volume","lower volume"))</f>
        <v/>
      </c>
      <c r="H202" s="17" t="str">
        <f aca="false">IF(Q202="No","IV only (no ID, IM or SC route)","IV only – the company's product (see Route of Administration, step 2)")</f>
        <v>IV only – the company's product (see Route of Administration, step 2)</v>
      </c>
      <c r="I202" s="18" t="n">
        <f aca="false">IF(AF202&gt;0,ROUND(AVERAGEIFS('Shortlisted Drugs X Company (7)'!$N$3:$N$698,'Shortlisted Drugs X Company (7)'!$C$3:$C$698,$B202,'Shortlisted Drugs X Company (7)'!$E$3:$E$698,$AA202,'Shortlisted Drugs X Company (7)'!$N$3:$N$698,"&gt;5"),2),"")</f>
        <v>28.67</v>
      </c>
      <c r="J202" s="17" t="str">
        <f aca="false">IF(COUNTIFS('Shortlisted Drugs X Company (7)'!$C$3:$C$698,$B202,'Shortlisted Drugs X Company (7)'!$E$3:$E$698,$AA202,'Shortlisted Drugs X Company (7)'!$P$3:$P$698,"Exact")&gt;0,"Exact",IF(COUNTIFS('Shortlisted Drugs X Company (7)'!$C$3:$C$698,$B202,'Shortlisted Drugs X Company (7)'!$E$3:$E$698,$AA202,'Shortlisted Drugs X Company (7)'!$P$3:$P$698,"Same-market proxy")&gt;0,"Same-market proxy",IF(COUNTIFS('Shortlisted Drugs X Company (7)'!$C$3:$C$698,$B202,'Shortlisted Drugs X Company (7)'!$E$3:$E$698,$AA202,'Shortlisted Drugs X Company (7)'!$P$3:$P$698,"Cross-market proxy")&gt;0,"Cross-market proxy",IF(COUNTIFS('Shortlisted Drugs X Company (7)'!$C$3:$C$698,$B202,'Shortlisted Drugs X Company (7)'!$E$3:$E$698,$AA202,'Shortlisted Drugs X Company (7)'!$P$3:$P$698,"Source not found")&gt;0,"Source not found","No price found"))))</f>
        <v>Cross-market proxy</v>
      </c>
      <c r="K202" s="19" t="n">
        <f aca="false">IFERROR(INDEX('Injectable Value'!$AB$28:$AB$178,MATCH(B202,'Injectable Value'!$A$28:$A$178,0)),"")</f>
        <v>912</v>
      </c>
      <c r="L202" s="77" t="n">
        <f aca="false">IFERROR(INDEX('Injectable Value'!$Z$28:$Z$178,MATCH(B202,'Injectable Value'!$A$28:$A$178,0)),"")</f>
        <v>0.876447689591637</v>
      </c>
      <c r="M202" s="19" t="n">
        <f aca="false">IFERROR(INDEX('Injectable Value'!$AC$28:$AC$178,MATCH(B202,'Injectable Value'!$A$28:$A$178,0)),"")</f>
        <v>799</v>
      </c>
      <c r="N202" s="19" t="n">
        <f aca="false">IFERROR(INDEX('Injectable Value'!$C$28:$C$178,MATCH(B202,'Injectable Value'!$A$28:$A$178,0)),"")</f>
        <v>4620.39</v>
      </c>
      <c r="O202" s="19" t="n">
        <f aca="false">IFERROR(ROUND(INDEX('Injectable Value'!$AA$28:$AA$178,MATCH(B202,'Injectable Value'!$A$28:$A$178,0)),1),"")</f>
        <v>4049.5</v>
      </c>
      <c r="P202" s="16" t="str">
        <f aca="false">IFERROR(INDEX('Route of Administration'!$C$5:$C$155,MATCH(B202,'Route of Administration'!$A$5:$A$155,0)),"")</f>
        <v>IV, IM, SC</v>
      </c>
      <c r="Q202" s="15" t="str">
        <f aca="false">IFERROR(INDEX('Route of Administration'!$D$5:$D$155,MATCH(B202,'Route of Administration'!$A$5:$A$155,0)),"")</f>
        <v>Yes</v>
      </c>
      <c r="R202" s="16" t="s">
        <v>291</v>
      </c>
      <c r="S202" s="17" t="s">
        <v>1015</v>
      </c>
      <c r="T202" s="16" t="s">
        <v>283</v>
      </c>
      <c r="U202" s="17" t="str">
        <f aca="false">"Prefilled only; Intas sells only the 0.1 mg/mL prefilled syringe, labelled for IV or intraosseous use in cardiac arrest, not IM – ask whether Intas has a 1 mg/mL product"&amp;IF(AE202=0,"; No price found","")&amp;IF(AND(AE202&gt;0,AF202=0,AG202=0),"; Low price comes from another market – confirm with the company","")</f>
        <v>Prefilled only; Intas sells only the 0.1 mg/mL prefilled syringe, labelled for IV or intraosseous use in cardiac arrest, not IM – ask whether Intas has a 1 mg/mL product</v>
      </c>
      <c r="V202" s="17" t="s">
        <v>801</v>
      </c>
      <c r="W202" s="15" t="n">
        <v>3</v>
      </c>
      <c r="X202" s="17" t="s">
        <v>1016</v>
      </c>
      <c r="Y202" s="17" t="s">
        <v>1016</v>
      </c>
      <c r="Z202" s="17" t="s">
        <v>293</v>
      </c>
      <c r="AA202" s="16" t="s">
        <v>927</v>
      </c>
      <c r="AB202" s="78" t="s">
        <v>1017</v>
      </c>
      <c r="AC202" s="20" t="n">
        <f aca="false">IF(AE202&gt;0,ROUND(AVERAGEIFS('Shortlisted Drugs X Company (7)'!$N$3:$N$698,'Shortlisted Drugs X Company (7)'!$C$3:$C$698,$B202,'Shortlisted Drugs X Company (7)'!$E$3:$E$698,$AA202,'Shortlisted Drugs X Company (7)'!$N$3:$N$698,"&gt;=0"),2),"")</f>
        <v>28.67</v>
      </c>
      <c r="AD202" s="79" t="str">
        <f aca="false">B202&amp;"|"&amp;AA202</f>
        <v>Epinephrine (Adrenaline)|Intas Pharmaceuticals</v>
      </c>
      <c r="AE202" s="22" t="n">
        <f aca="false">COUNTIFS('Shortlisted Drugs X Company (7)'!$C$3:$C$698,$B202,'Shortlisted Drugs X Company (7)'!$E$3:$E$698,$AA202,'Shortlisted Drugs X Company (7)'!$N$3:$N$698,"&gt;=0")</f>
        <v>1</v>
      </c>
      <c r="AF202" s="22" t="n">
        <f aca="false">COUNTIFS('Shortlisted Drugs X Company (7)'!$C$3:$C$698,$B202,'Shortlisted Drugs X Company (7)'!$E$3:$E$698,$AA202,'Shortlisted Drugs X Company (7)'!$N$3:$N$698,"&gt;5")</f>
        <v>1</v>
      </c>
      <c r="AG202" s="22" t="n">
        <f aca="false">COUNTIFS('Shortlisted Drugs X Company (7)'!$C$3:$C$698,$B202,'Shortlisted Drugs X Company (7)'!$E$3:$E$698,$AA202,'Shortlisted Drugs X Company (7)'!$P$3:$P$698,"Exact")+COUNTIFS('Shortlisted Drugs X Company (7)'!$C$3:$C$698,$B202,'Shortlisted Drugs X Company (7)'!$E$3:$E$698,$AA202,'Shortlisted Drugs X Company (7)'!$P$3:$P$698,"Same-market proxy")</f>
        <v>0</v>
      </c>
      <c r="AH202" s="22" t="n">
        <f aca="false">INDEX($G$7:$G$25,MATCH(A202,$A$7:$A$25,0))</f>
        <v>1</v>
      </c>
      <c r="AI202" s="79" t="str">
        <f aca="false">IF(OR(Q202="No",LEFT(H202,7)="IV only"),"",AH202*1000+IF(F202="",900+COUNTIFS($A$29:A202,A202,$H$29:H202,"Price*"),F202))</f>
        <v/>
      </c>
      <c r="AJ202" s="79" t="str">
        <f aca="false">IF(H202&lt;&gt;"","",(4-VALUE(RIGHT(E202,1)))*10^7+N(O202))</f>
        <v/>
      </c>
      <c r="AK202" s="79" t="str">
        <f aca="false">IF(AND(H202="",ISNUMBER(I202)),I202,"")</f>
        <v/>
      </c>
      <c r="AL202" s="79" t="str">
        <f aca="false">IF(H202="",M202,"")</f>
        <v/>
      </c>
    </row>
    <row r="203" customFormat="false" ht="68.65" hidden="false" customHeight="false" outlineLevel="0" collapsed="false">
      <c r="A203" s="16" t="s">
        <v>21</v>
      </c>
      <c r="B203" s="16" t="s">
        <v>408</v>
      </c>
      <c r="C203" s="17" t="s">
        <v>1018</v>
      </c>
      <c r="D203" s="17" t="s">
        <v>410</v>
      </c>
      <c r="E203" s="15" t="str">
        <f aca="false">IF(H203&lt;&gt;"",IF(LEFT(H203,5)="Price","Excluded – price ≤ USD 5","Excluded – IV only"),IF(ISNUMBER(I203),IF(AND(I203&gt;=$C$3,M203&gt;=$E$3),"Priority 1",IF(OR(I203&gt;=$C$3,M203&gt;=$E$3),"Priority 2","Priority 3")),IF(M203&gt;=$E$3,"Priority 2","Priority 3")))</f>
        <v>Excluded – IV only</v>
      </c>
      <c r="F203" s="15" t="str">
        <f aca="false">IF(H203&lt;&gt;"","",COUNTIFS($A$29:$A$361,A203,$H$29:$H$361,"",$AJ$29:$AJ$361,"&gt;"&amp;AJ203)+COUNTIFS($A$29:A203,A203,$H$29:H203,"",$AJ$29:AJ203,AJ203))</f>
        <v/>
      </c>
      <c r="G203" s="17" t="str">
        <f aca="false">IF(H203&lt;&gt;"","",IF(ISNUMBER(I203),IF(I203&gt;=$C$3,"High price","Lower price"),"No price")&amp;", "&amp;IF(M203&gt;=$E$3,"high volume","lower volume"))</f>
        <v/>
      </c>
      <c r="H203" s="17" t="str">
        <f aca="false">IF(Q203="No","IV only (no ID, IM or SC route)",IF(AND(AE203&gt;0,AF203=0),"Price ≤ USD 5",""))</f>
        <v>IV only (no ID, IM or SC route)</v>
      </c>
      <c r="I203" s="18" t="n">
        <f aca="false">IF(AF203&gt;0,ROUND(AVERAGEIFS('Shortlisted Drugs X Company (7)'!$N$3:$N$698,'Shortlisted Drugs X Company (7)'!$C$3:$C$698,$B203,'Shortlisted Drugs X Company (7)'!$E$3:$E$698,$AA203,'Shortlisted Drugs X Company (7)'!$N$3:$N$698,"&gt;5"),2),"")</f>
        <v>25.16</v>
      </c>
      <c r="J203" s="17" t="str">
        <f aca="false">IF(COUNTIFS('Shortlisted Drugs X Company (7)'!$C$3:$C$698,$B203,'Shortlisted Drugs X Company (7)'!$E$3:$E$698,$AA203,'Shortlisted Drugs X Company (7)'!$P$3:$P$698,"Exact")&gt;0,"Exact",IF(COUNTIFS('Shortlisted Drugs X Company (7)'!$C$3:$C$698,$B203,'Shortlisted Drugs X Company (7)'!$E$3:$E$698,$AA203,'Shortlisted Drugs X Company (7)'!$P$3:$P$698,"Same-market proxy")&gt;0,"Same-market proxy",IF(COUNTIFS('Shortlisted Drugs X Company (7)'!$C$3:$C$698,$B203,'Shortlisted Drugs X Company (7)'!$E$3:$E$698,$AA203,'Shortlisted Drugs X Company (7)'!$P$3:$P$698,"Cross-market proxy")&gt;0,"Cross-market proxy",IF(COUNTIFS('Shortlisted Drugs X Company (7)'!$C$3:$C$698,$B203,'Shortlisted Drugs X Company (7)'!$E$3:$E$698,$AA203,'Shortlisted Drugs X Company (7)'!$P$3:$P$698,"Source not found")&gt;0,"Source not found","No price found"))))</f>
        <v>Exact</v>
      </c>
      <c r="K203" s="19" t="n">
        <f aca="false">IFERROR(INDEX('Injectable Value'!$AB$28:$AB$178,MATCH(B203,'Injectable Value'!$A$28:$A$178,0)),"")</f>
        <v>345</v>
      </c>
      <c r="L203" s="77" t="n">
        <f aca="false">IFERROR(INDEX('Injectable Value'!$Z$28:$Z$178,MATCH(B203,'Injectable Value'!$A$28:$A$178,0)),"")</f>
        <v>0.995283018867925</v>
      </c>
      <c r="M203" s="19" t="n">
        <f aca="false">IFERROR(INDEX('Injectable Value'!$AC$28:$AC$178,MATCH(B203,'Injectable Value'!$A$28:$A$178,0)),"")</f>
        <v>343</v>
      </c>
      <c r="N203" s="19" t="n">
        <f aca="false">IFERROR(INDEX('Injectable Value'!$C$28:$C$178,MATCH(B203,'Injectable Value'!$A$28:$A$178,0)),"")</f>
        <v>2783.28</v>
      </c>
      <c r="O203" s="19" t="n">
        <f aca="false">IFERROR(ROUND(INDEX('Injectable Value'!$AA$28:$AA$178,MATCH(B203,'Injectable Value'!$A$28:$A$178,0)),1),"")</f>
        <v>2770.2</v>
      </c>
      <c r="P203" s="16" t="str">
        <f aca="false">IFERROR(INDEX('Route of Administration'!$C$5:$C$155,MATCH(B203,'Route of Administration'!$A$5:$A$155,0)),"")</f>
        <v>IV</v>
      </c>
      <c r="Q203" s="15" t="str">
        <f aca="false">IFERROR(INDEX('Route of Administration'!$D$5:$D$155,MATCH(B203,'Route of Administration'!$A$5:$A$155,0)),"")</f>
        <v>No</v>
      </c>
      <c r="R203" s="16" t="s">
        <v>281</v>
      </c>
      <c r="S203" s="17" t="s">
        <v>1019</v>
      </c>
      <c r="T203" s="16" t="s">
        <v>283</v>
      </c>
      <c r="U203" s="17" t="str">
        <f aca="false">"Cancer drug (cytotoxic) – less relevant"&amp;IF(AE203=0,"; No price found","")&amp;IF(AND(AE203&gt;0,AF203=0,AG203=0),"; Low price comes from another market – confirm with the company","")</f>
        <v>Cancer drug (cytotoxic) – less relevant</v>
      </c>
      <c r="V203" s="17" t="s">
        <v>977</v>
      </c>
      <c r="W203" s="15" t="n">
        <v>24</v>
      </c>
      <c r="X203" s="17" t="s">
        <v>1020</v>
      </c>
      <c r="Y203" s="17" t="s">
        <v>1021</v>
      </c>
      <c r="Z203" s="17" t="s">
        <v>321</v>
      </c>
      <c r="AA203" s="16" t="s">
        <v>927</v>
      </c>
      <c r="AB203" s="78" t="s">
        <v>414</v>
      </c>
      <c r="AC203" s="20" t="n">
        <f aca="false">IF(AE203&gt;0,ROUND(AVERAGEIFS('Shortlisted Drugs X Company (7)'!$N$3:$N$698,'Shortlisted Drugs X Company (7)'!$C$3:$C$698,$B203,'Shortlisted Drugs X Company (7)'!$E$3:$E$698,$AA203,'Shortlisted Drugs X Company (7)'!$N$3:$N$698,"&gt;=0"),2),"")</f>
        <v>25.16</v>
      </c>
      <c r="AD203" s="79" t="str">
        <f aca="false">B203&amp;"|"&amp;AA203</f>
        <v>Epirubicin|Intas Pharmaceuticals</v>
      </c>
      <c r="AE203" s="22" t="n">
        <f aca="false">COUNTIFS('Shortlisted Drugs X Company (7)'!$C$3:$C$698,$B203,'Shortlisted Drugs X Company (7)'!$E$3:$E$698,$AA203,'Shortlisted Drugs X Company (7)'!$N$3:$N$698,"&gt;=0")</f>
        <v>9</v>
      </c>
      <c r="AF203" s="22" t="n">
        <f aca="false">COUNTIFS('Shortlisted Drugs X Company (7)'!$C$3:$C$698,$B203,'Shortlisted Drugs X Company (7)'!$E$3:$E$698,$AA203,'Shortlisted Drugs X Company (7)'!$N$3:$N$698,"&gt;5")</f>
        <v>9</v>
      </c>
      <c r="AG203" s="22" t="n">
        <f aca="false">COUNTIFS('Shortlisted Drugs X Company (7)'!$C$3:$C$698,$B203,'Shortlisted Drugs X Company (7)'!$E$3:$E$698,$AA203,'Shortlisted Drugs X Company (7)'!$P$3:$P$698,"Exact")+COUNTIFS('Shortlisted Drugs X Company (7)'!$C$3:$C$698,$B203,'Shortlisted Drugs X Company (7)'!$E$3:$E$698,$AA203,'Shortlisted Drugs X Company (7)'!$P$3:$P$698,"Same-market proxy")</f>
        <v>9</v>
      </c>
      <c r="AH203" s="22" t="n">
        <f aca="false">INDEX($G$7:$G$25,MATCH(A203,$A$7:$A$25,0))</f>
        <v>1</v>
      </c>
      <c r="AI203" s="79" t="str">
        <f aca="false">IF(OR(Q203="No",LEFT(H203,7)="IV only"),"",AH203*1000+IF(F203="",900+COUNTIFS($A$29:A203,A203,$H$29:H203,"Price*"),F203))</f>
        <v/>
      </c>
      <c r="AJ203" s="79" t="str">
        <f aca="false">IF(H203&lt;&gt;"","",(4-VALUE(RIGHT(E203,1)))*10^7+N(O203))</f>
        <v/>
      </c>
      <c r="AK203" s="79" t="str">
        <f aca="false">IF(AND(H203="",ISNUMBER(I203)),I203,"")</f>
        <v/>
      </c>
      <c r="AL203" s="79" t="str">
        <f aca="false">IF(H203="",M203,"")</f>
        <v/>
      </c>
    </row>
    <row r="204" customFormat="false" ht="95.5" hidden="false" customHeight="false" outlineLevel="0" collapsed="false">
      <c r="A204" s="16" t="s">
        <v>21</v>
      </c>
      <c r="B204" s="16" t="s">
        <v>415</v>
      </c>
      <c r="C204" s="17" t="s">
        <v>1022</v>
      </c>
      <c r="D204" s="17" t="s">
        <v>416</v>
      </c>
      <c r="E204" s="15" t="str">
        <f aca="false">IF(H204&lt;&gt;"",IF(LEFT(H204,5)="Price","Excluded – price ≤ USD 5","Excluded – IV only"),IF(ISNUMBER(I204),IF(AND(I204&gt;=$C$3,M204&gt;=$E$3),"Priority 1",IF(OR(I204&gt;=$C$3,M204&gt;=$E$3),"Priority 2","Priority 3")),IF(M204&gt;=$E$3,"Priority 2","Priority 3")))</f>
        <v>Excluded – IV only</v>
      </c>
      <c r="F204" s="15" t="str">
        <f aca="false">IF(H204&lt;&gt;"","",COUNTIFS($A$29:$A$361,A204,$H$29:$H$361,"",$AJ$29:$AJ$361,"&gt;"&amp;AJ204)+COUNTIFS($A$29:A204,A204,$H$29:H204,"",$AJ$29:AJ204,AJ204))</f>
        <v/>
      </c>
      <c r="G204" s="17" t="str">
        <f aca="false">IF(H204&lt;&gt;"","",IF(ISNUMBER(I204),IF(I204&gt;=$C$3,"High price","Lower price"),"No price")&amp;", "&amp;IF(M204&gt;=$E$3,"high volume","lower volume"))</f>
        <v/>
      </c>
      <c r="H204" s="17" t="str">
        <f aca="false">IF(Q204="No","IV only (no ID, IM or SC route)",IF(AND(AE204&gt;0,AF204=0),"Price ≤ USD 5",""))</f>
        <v>IV only (no ID, IM or SC route)</v>
      </c>
      <c r="I204" s="18" t="n">
        <f aca="false">IF(AF204&gt;0,ROUND(AVERAGEIFS('Shortlisted Drugs X Company (7)'!$N$3:$N$698,'Shortlisted Drugs X Company (7)'!$C$3:$C$698,$B204,'Shortlisted Drugs X Company (7)'!$E$3:$E$698,$AA204,'Shortlisted Drugs X Company (7)'!$N$3:$N$698,"&gt;5"),2),"")</f>
        <v>62.03</v>
      </c>
      <c r="J204" s="17" t="str">
        <f aca="false">IF(COUNTIFS('Shortlisted Drugs X Company (7)'!$C$3:$C$698,$B204,'Shortlisted Drugs X Company (7)'!$E$3:$E$698,$AA204,'Shortlisted Drugs X Company (7)'!$P$3:$P$698,"Exact")&gt;0,"Exact",IF(COUNTIFS('Shortlisted Drugs X Company (7)'!$C$3:$C$698,$B204,'Shortlisted Drugs X Company (7)'!$E$3:$E$698,$AA204,'Shortlisted Drugs X Company (7)'!$P$3:$P$698,"Same-market proxy")&gt;0,"Same-market proxy",IF(COUNTIFS('Shortlisted Drugs X Company (7)'!$C$3:$C$698,$B204,'Shortlisted Drugs X Company (7)'!$E$3:$E$698,$AA204,'Shortlisted Drugs X Company (7)'!$P$3:$P$698,"Cross-market proxy")&gt;0,"Cross-market proxy",IF(COUNTIFS('Shortlisted Drugs X Company (7)'!$C$3:$C$698,$B204,'Shortlisted Drugs X Company (7)'!$E$3:$E$698,$AA204,'Shortlisted Drugs X Company (7)'!$P$3:$P$698,"Source not found")&gt;0,"Source not found","No price found"))))</f>
        <v>Exact</v>
      </c>
      <c r="K204" s="19" t="n">
        <f aca="false">IFERROR(INDEX('Injectable Value'!$AB$28:$AB$178,MATCH(B204,'Injectable Value'!$A$28:$A$178,0)),"")</f>
        <v>149</v>
      </c>
      <c r="L204" s="77" t="n">
        <f aca="false">IFERROR(INDEX('Injectable Value'!$Z$28:$Z$178,MATCH(B204,'Injectable Value'!$A$28:$A$178,0)),"")</f>
        <v>0.985294117647059</v>
      </c>
      <c r="M204" s="19" t="n">
        <f aca="false">IFERROR(INDEX('Injectable Value'!$AC$28:$AC$178,MATCH(B204,'Injectable Value'!$A$28:$A$178,0)),"")</f>
        <v>147</v>
      </c>
      <c r="N204" s="19" t="n">
        <f aca="false">IFERROR(INDEX('Injectable Value'!$C$28:$C$178,MATCH(B204,'Injectable Value'!$A$28:$A$178,0)),"")</f>
        <v>5255.61</v>
      </c>
      <c r="O204" s="19" t="n">
        <f aca="false">IFERROR(ROUND(INDEX('Injectable Value'!$AA$28:$AA$178,MATCH(B204,'Injectable Value'!$A$28:$A$178,0)),1),"")</f>
        <v>5178.3</v>
      </c>
      <c r="P204" s="16" t="str">
        <f aca="false">IFERROR(INDEX('Route of Administration'!$C$5:$C$155,MATCH(B204,'Route of Administration'!$A$5:$A$155,0)),"")</f>
        <v>IV</v>
      </c>
      <c r="Q204" s="15" t="str">
        <f aca="false">IFERROR(INDEX('Route of Administration'!$D$5:$D$155,MATCH(B204,'Route of Administration'!$A$5:$A$155,0)),"")</f>
        <v>No</v>
      </c>
      <c r="R204" s="16" t="s">
        <v>281</v>
      </c>
      <c r="S204" s="17" t="s">
        <v>417</v>
      </c>
      <c r="T204" s="16" t="s">
        <v>283</v>
      </c>
      <c r="U204" s="17" t="str">
        <f aca="false">""&amp;IF(AE204=0,"No price found","")&amp;IF(AND(AE204&gt;0,AF204=0,AG204=0),"Low price comes from another market – confirm with the company","")</f>
        <v/>
      </c>
      <c r="V204" s="17" t="s">
        <v>1023</v>
      </c>
      <c r="W204" s="15" t="n">
        <v>30</v>
      </c>
      <c r="X204" s="17" t="s">
        <v>1024</v>
      </c>
      <c r="Y204" s="17" t="s">
        <v>1025</v>
      </c>
      <c r="Z204" s="17" t="s">
        <v>321</v>
      </c>
      <c r="AA204" s="16" t="s">
        <v>927</v>
      </c>
      <c r="AB204" s="78" t="s">
        <v>418</v>
      </c>
      <c r="AC204" s="20" t="n">
        <f aca="false">IF(AE204&gt;0,ROUND(AVERAGEIFS('Shortlisted Drugs X Company (7)'!$N$3:$N$698,'Shortlisted Drugs X Company (7)'!$C$3:$C$698,$B204,'Shortlisted Drugs X Company (7)'!$E$3:$E$698,$AA204,'Shortlisted Drugs X Company (7)'!$N$3:$N$698,"&gt;=0"),2),"")</f>
        <v>62.03</v>
      </c>
      <c r="AD204" s="79" t="str">
        <f aca="false">B204&amp;"|"&amp;AA204</f>
        <v>Eptifibatide|Intas Pharmaceuticals</v>
      </c>
      <c r="AE204" s="22" t="n">
        <f aca="false">COUNTIFS('Shortlisted Drugs X Company (7)'!$C$3:$C$698,$B204,'Shortlisted Drugs X Company (7)'!$E$3:$E$698,$AA204,'Shortlisted Drugs X Company (7)'!$N$3:$N$698,"&gt;=0")</f>
        <v>1</v>
      </c>
      <c r="AF204" s="22" t="n">
        <f aca="false">COUNTIFS('Shortlisted Drugs X Company (7)'!$C$3:$C$698,$B204,'Shortlisted Drugs X Company (7)'!$E$3:$E$698,$AA204,'Shortlisted Drugs X Company (7)'!$N$3:$N$698,"&gt;5")</f>
        <v>1</v>
      </c>
      <c r="AG204" s="22" t="n">
        <f aca="false">COUNTIFS('Shortlisted Drugs X Company (7)'!$C$3:$C$698,$B204,'Shortlisted Drugs X Company (7)'!$E$3:$E$698,$AA204,'Shortlisted Drugs X Company (7)'!$P$3:$P$698,"Exact")+COUNTIFS('Shortlisted Drugs X Company (7)'!$C$3:$C$698,$B204,'Shortlisted Drugs X Company (7)'!$E$3:$E$698,$AA204,'Shortlisted Drugs X Company (7)'!$P$3:$P$698,"Same-market proxy")</f>
        <v>1</v>
      </c>
      <c r="AH204" s="22" t="n">
        <f aca="false">INDEX($G$7:$G$25,MATCH(A204,$A$7:$A$25,0))</f>
        <v>1</v>
      </c>
      <c r="AI204" s="79" t="str">
        <f aca="false">IF(OR(Q204="No",LEFT(H204,7)="IV only"),"",AH204*1000+IF(F204="",900+COUNTIFS($A$29:A204,A204,$H$29:H204,"Price*"),F204))</f>
        <v/>
      </c>
      <c r="AJ204" s="79" t="str">
        <f aca="false">IF(H204&lt;&gt;"","",(4-VALUE(RIGHT(E204,1)))*10^7+N(O204))</f>
        <v/>
      </c>
      <c r="AK204" s="79" t="str">
        <f aca="false">IF(AND(H204="",ISNUMBER(I204)),I204,"")</f>
        <v/>
      </c>
      <c r="AL204" s="79" t="str">
        <f aca="false">IF(H204="",M204,"")</f>
        <v/>
      </c>
    </row>
    <row r="205" customFormat="false" ht="28.35" hidden="false" customHeight="false" outlineLevel="0" collapsed="false">
      <c r="A205" s="16" t="s">
        <v>21</v>
      </c>
      <c r="B205" s="16" t="s">
        <v>724</v>
      </c>
      <c r="C205" s="17" t="s">
        <v>1026</v>
      </c>
      <c r="D205" s="17" t="s">
        <v>726</v>
      </c>
      <c r="E205" s="15" t="str">
        <f aca="false">IF(H205&lt;&gt;"",IF(LEFT(H205,5)="Price","Excluded – price ≤ USD 5","Excluded – IV only"),IF(ISNUMBER(I205),IF(AND(I205&gt;=$C$3,M205&gt;=$E$3),"Priority 1",IF(OR(I205&gt;=$C$3,M205&gt;=$E$3),"Priority 2","Priority 3")),IF(M205&gt;=$E$3,"Priority 2","Priority 3")))</f>
        <v>Excluded – IV only</v>
      </c>
      <c r="F205" s="15" t="str">
        <f aca="false">IF(H205&lt;&gt;"","",COUNTIFS($A$29:$A$361,A205,$H$29:$H$361,"",$AJ$29:$AJ$361,"&gt;"&amp;AJ205)+COUNTIFS($A$29:A205,A205,$H$29:H205,"",$AJ$29:AJ205,AJ205))</f>
        <v/>
      </c>
      <c r="G205" s="17" t="str">
        <f aca="false">IF(H205&lt;&gt;"","",IF(ISNUMBER(I205),IF(I205&gt;=$C$3,"High price","Lower price"),"No price")&amp;", "&amp;IF(M205&gt;=$E$3,"high volume","lower volume"))</f>
        <v/>
      </c>
      <c r="H205" s="17" t="str">
        <f aca="false">IF(Q205="No","IV only (no ID, IM or SC route)",IF(AND(AE205&gt;0,AF205=0),"Price ≤ USD 5",""))</f>
        <v>IV only (no ID, IM or SC route)</v>
      </c>
      <c r="I205" s="18" t="n">
        <f aca="false">IF(AF205&gt;0,ROUND(AVERAGEIFS('Shortlisted Drugs X Company (7)'!$N$3:$N$698,'Shortlisted Drugs X Company (7)'!$C$3:$C$698,$B205,'Shortlisted Drugs X Company (7)'!$E$3:$E$698,$AA205,'Shortlisted Drugs X Company (7)'!$N$3:$N$698,"&gt;5"),2),"")</f>
        <v>471.27</v>
      </c>
      <c r="J205" s="17" t="str">
        <f aca="false">IF(COUNTIFS('Shortlisted Drugs X Company (7)'!$C$3:$C$698,$B205,'Shortlisted Drugs X Company (7)'!$E$3:$E$698,$AA205,'Shortlisted Drugs X Company (7)'!$P$3:$P$698,"Exact")&gt;0,"Exact",IF(COUNTIFS('Shortlisted Drugs X Company (7)'!$C$3:$C$698,$B205,'Shortlisted Drugs X Company (7)'!$E$3:$E$698,$AA205,'Shortlisted Drugs X Company (7)'!$P$3:$P$698,"Same-market proxy")&gt;0,"Same-market proxy",IF(COUNTIFS('Shortlisted Drugs X Company (7)'!$C$3:$C$698,$B205,'Shortlisted Drugs X Company (7)'!$E$3:$E$698,$AA205,'Shortlisted Drugs X Company (7)'!$P$3:$P$698,"Cross-market proxy")&gt;0,"Cross-market proxy",IF(COUNTIFS('Shortlisted Drugs X Company (7)'!$C$3:$C$698,$B205,'Shortlisted Drugs X Company (7)'!$E$3:$E$698,$AA205,'Shortlisted Drugs X Company (7)'!$P$3:$P$698,"Source not found")&gt;0,"Source not found","No price found"))))</f>
        <v>Cross-market proxy</v>
      </c>
      <c r="K205" s="19" t="n">
        <f aca="false">IFERROR(INDEX('Injectable Value'!$AB$28:$AB$178,MATCH(B205,'Injectable Value'!$A$28:$A$178,0)),"")</f>
        <v>42</v>
      </c>
      <c r="L205" s="77" t="n">
        <f aca="false">IFERROR(INDEX('Injectable Value'!$Z$28:$Z$178,MATCH(B205,'Injectable Value'!$A$28:$A$178,0)),"")</f>
        <v>1</v>
      </c>
      <c r="M205" s="19" t="n">
        <f aca="false">IFERROR(INDEX('Injectable Value'!$AC$28:$AC$178,MATCH(B205,'Injectable Value'!$A$28:$A$178,0)),"")</f>
        <v>42</v>
      </c>
      <c r="N205" s="19" t="n">
        <f aca="false">IFERROR(INDEX('Injectable Value'!$C$28:$C$178,MATCH(B205,'Injectable Value'!$A$28:$A$178,0)),"")</f>
        <v>1874.63</v>
      </c>
      <c r="O205" s="19" t="n">
        <f aca="false">IFERROR(ROUND(INDEX('Injectable Value'!$AA$28:$AA$178,MATCH(B205,'Injectable Value'!$A$28:$A$178,0)),1),"")</f>
        <v>1874.6</v>
      </c>
      <c r="P205" s="16" t="str">
        <f aca="false">IFERROR(INDEX('Route of Administration'!$C$5:$C$155,MATCH(B205,'Route of Administration'!$A$5:$A$155,0)),"")</f>
        <v>IV</v>
      </c>
      <c r="Q205" s="15" t="str">
        <f aca="false">IFERROR(INDEX('Route of Administration'!$D$5:$D$155,MATCH(B205,'Route of Administration'!$A$5:$A$155,0)),"")</f>
        <v>No</v>
      </c>
      <c r="R205" s="16" t="s">
        <v>281</v>
      </c>
      <c r="S205" s="17" t="s">
        <v>1027</v>
      </c>
      <c r="T205" s="16" t="s">
        <v>283</v>
      </c>
      <c r="U205" s="17" t="str">
        <f aca="false">"Cancer drug (cytotoxic) – less relevant"&amp;IF(AE205=0,"; No price found","")&amp;IF(AND(AE205&gt;0,AF205=0,AG205=0),"; Low price comes from another market – confirm with the company","")</f>
        <v>Cancer drug (cytotoxic) – less relevant</v>
      </c>
      <c r="V205" s="17" t="s">
        <v>366</v>
      </c>
      <c r="W205" s="15" t="n">
        <v>9</v>
      </c>
      <c r="X205" s="17" t="s">
        <v>1028</v>
      </c>
      <c r="Y205" s="17" t="s">
        <v>1029</v>
      </c>
      <c r="Z205" s="17" t="s">
        <v>286</v>
      </c>
      <c r="AA205" s="16" t="s">
        <v>927</v>
      </c>
      <c r="AB205" s="78" t="s">
        <v>730</v>
      </c>
      <c r="AC205" s="20" t="n">
        <f aca="false">IF(AE205&gt;0,ROUND(AVERAGEIFS('Shortlisted Drugs X Company (7)'!$N$3:$N$698,'Shortlisted Drugs X Company (7)'!$C$3:$C$698,$B205,'Shortlisted Drugs X Company (7)'!$E$3:$E$698,$AA205,'Shortlisted Drugs X Company (7)'!$N$3:$N$698,"&gt;=0"),2),"")</f>
        <v>471.27</v>
      </c>
      <c r="AD205" s="79" t="str">
        <f aca="false">B205&amp;"|"&amp;AA205</f>
        <v>Eribulin|Intas Pharmaceuticals</v>
      </c>
      <c r="AE205" s="22" t="n">
        <f aca="false">COUNTIFS('Shortlisted Drugs X Company (7)'!$C$3:$C$698,$B205,'Shortlisted Drugs X Company (7)'!$E$3:$E$698,$AA205,'Shortlisted Drugs X Company (7)'!$N$3:$N$698,"&gt;=0")</f>
        <v>1</v>
      </c>
      <c r="AF205" s="22" t="n">
        <f aca="false">COUNTIFS('Shortlisted Drugs X Company (7)'!$C$3:$C$698,$B205,'Shortlisted Drugs X Company (7)'!$E$3:$E$698,$AA205,'Shortlisted Drugs X Company (7)'!$N$3:$N$698,"&gt;5")</f>
        <v>1</v>
      </c>
      <c r="AG205" s="22" t="n">
        <f aca="false">COUNTIFS('Shortlisted Drugs X Company (7)'!$C$3:$C$698,$B205,'Shortlisted Drugs X Company (7)'!$E$3:$E$698,$AA205,'Shortlisted Drugs X Company (7)'!$P$3:$P$698,"Exact")+COUNTIFS('Shortlisted Drugs X Company (7)'!$C$3:$C$698,$B205,'Shortlisted Drugs X Company (7)'!$E$3:$E$698,$AA205,'Shortlisted Drugs X Company (7)'!$P$3:$P$698,"Same-market proxy")</f>
        <v>0</v>
      </c>
      <c r="AH205" s="22" t="n">
        <f aca="false">INDEX($G$7:$G$25,MATCH(A205,$A$7:$A$25,0))</f>
        <v>1</v>
      </c>
      <c r="AI205" s="79" t="str">
        <f aca="false">IF(OR(Q205="No",LEFT(H205,7)="IV only"),"",AH205*1000+IF(F205="",900+COUNTIFS($A$29:A205,A205,$H$29:H205,"Price*"),F205))</f>
        <v/>
      </c>
      <c r="AJ205" s="79" t="str">
        <f aca="false">IF(H205&lt;&gt;"","",(4-VALUE(RIGHT(E205,1)))*10^7+N(O205))</f>
        <v/>
      </c>
      <c r="AK205" s="79" t="str">
        <f aca="false">IF(AND(H205="",ISNUMBER(I205)),I205,"")</f>
        <v/>
      </c>
      <c r="AL205" s="79" t="str">
        <f aca="false">IF(H205="",M205,"")</f>
        <v/>
      </c>
    </row>
    <row r="206" customFormat="false" ht="41.75" hidden="false" customHeight="false" outlineLevel="0" collapsed="false">
      <c r="A206" s="16" t="s">
        <v>21</v>
      </c>
      <c r="B206" s="16" t="s">
        <v>804</v>
      </c>
      <c r="C206" s="17" t="s">
        <v>1030</v>
      </c>
      <c r="D206" s="17" t="s">
        <v>806</v>
      </c>
      <c r="E206" s="15" t="str">
        <f aca="false">IF(H206&lt;&gt;"",IF(LEFT(H206,5)="Price","Excluded – price ≤ USD 5","Excluded – IV only"),IF(ISNUMBER(I206),IF(AND(I206&gt;=$C$3,M206&gt;=$E$3),"Priority 1",IF(OR(I206&gt;=$C$3,M206&gt;=$E$3),"Priority 2","Priority 3")),IF(M206&gt;=$E$3,"Priority 2","Priority 3")))</f>
        <v>Excluded – IV only</v>
      </c>
      <c r="F206" s="15" t="str">
        <f aca="false">IF(H206&lt;&gt;"","",COUNTIFS($A$29:$A$361,A206,$H$29:$H$361,"",$AJ$29:$AJ$361,"&gt;"&amp;AJ206)+COUNTIFS($A$29:A206,A206,$H$29:H206,"",$AJ$29:AJ206,AJ206))</f>
        <v/>
      </c>
      <c r="G206" s="17" t="str">
        <f aca="false">IF(H206&lt;&gt;"","",IF(ISNUMBER(I206),IF(I206&gt;=$C$3,"High price","Lower price"),"No price")&amp;", "&amp;IF(M206&gt;=$E$3,"high volume","lower volume"))</f>
        <v/>
      </c>
      <c r="H206" s="17" t="str">
        <f aca="false">IF(Q206="No","IV only (no ID, IM or SC route)",IF(AND(AE206&gt;0,AF206=0),"Price ≤ USD 5",""))</f>
        <v>IV only (no ID, IM or SC route)</v>
      </c>
      <c r="I206" s="18" t="n">
        <f aca="false">IF(AF206&gt;0,ROUND(AVERAGEIFS('Shortlisted Drugs X Company (7)'!$N$3:$N$698,'Shortlisted Drugs X Company (7)'!$C$3:$C$698,$B206,'Shortlisted Drugs X Company (7)'!$E$3:$E$698,$AA206,'Shortlisted Drugs X Company (7)'!$N$3:$N$698,"&gt;5"),2),"")</f>
        <v>6.44</v>
      </c>
      <c r="J206" s="17" t="str">
        <f aca="false">IF(COUNTIFS('Shortlisted Drugs X Company (7)'!$C$3:$C$698,$B206,'Shortlisted Drugs X Company (7)'!$E$3:$E$698,$AA206,'Shortlisted Drugs X Company (7)'!$P$3:$P$698,"Exact")&gt;0,"Exact",IF(COUNTIFS('Shortlisted Drugs X Company (7)'!$C$3:$C$698,$B206,'Shortlisted Drugs X Company (7)'!$E$3:$E$698,$AA206,'Shortlisted Drugs X Company (7)'!$P$3:$P$698,"Same-market proxy")&gt;0,"Same-market proxy",IF(COUNTIFS('Shortlisted Drugs X Company (7)'!$C$3:$C$698,$B206,'Shortlisted Drugs X Company (7)'!$E$3:$E$698,$AA206,'Shortlisted Drugs X Company (7)'!$P$3:$P$698,"Cross-market proxy")&gt;0,"Cross-market proxy",IF(COUNTIFS('Shortlisted Drugs X Company (7)'!$C$3:$C$698,$B206,'Shortlisted Drugs X Company (7)'!$E$3:$E$698,$AA206,'Shortlisted Drugs X Company (7)'!$P$3:$P$698,"Source not found")&gt;0,"Source not found","No price found"))))</f>
        <v>Same-market proxy</v>
      </c>
      <c r="K206" s="19" t="n">
        <f aca="false">IFERROR(INDEX('Injectable Value'!$AB$28:$AB$178,MATCH(B206,'Injectable Value'!$A$28:$A$178,0)),"")</f>
        <v>3168</v>
      </c>
      <c r="L206" s="77" t="n">
        <f aca="false">IFERROR(INDEX('Injectable Value'!$Z$28:$Z$178,MATCH(B206,'Injectable Value'!$A$28:$A$178,0)),"")</f>
        <v>0.103608949323645</v>
      </c>
      <c r="M206" s="19" t="n">
        <f aca="false">IFERROR(INDEX('Injectable Value'!$AC$28:$AC$178,MATCH(B206,'Injectable Value'!$A$28:$A$178,0)),"")</f>
        <v>328</v>
      </c>
      <c r="N206" s="19" t="n">
        <f aca="false">IFERROR(INDEX('Injectable Value'!$C$28:$C$178,MATCH(B206,'Injectable Value'!$A$28:$A$178,0)),"")</f>
        <v>130453.11</v>
      </c>
      <c r="O206" s="19" t="n">
        <f aca="false">IFERROR(ROUND(INDEX('Injectable Value'!$AA$28:$AA$178,MATCH(B206,'Injectable Value'!$A$28:$A$178,0)),1),"")</f>
        <v>13516.1</v>
      </c>
      <c r="P206" s="16" t="str">
        <f aca="false">IFERROR(INDEX('Route of Administration'!$C$5:$C$155,MATCH(B206,'Route of Administration'!$A$5:$A$155,0)),"")</f>
        <v>IV</v>
      </c>
      <c r="Q206" s="15" t="str">
        <f aca="false">IFERROR(INDEX('Route of Administration'!$D$5:$D$155,MATCH(B206,'Route of Administration'!$A$5:$A$155,0)),"")</f>
        <v>No</v>
      </c>
      <c r="R206" s="16" t="s">
        <v>281</v>
      </c>
      <c r="S206" s="17" t="s">
        <v>807</v>
      </c>
      <c r="T206" s="16" t="s">
        <v>333</v>
      </c>
      <c r="U206" s="17" t="str">
        <f aca="false">"Reconstitution"&amp;IF(AE206=0,"; No price found","")&amp;IF(AND(AE206&gt;0,AF206=0,AG206=0),"; Low price comes from another market – confirm with the company","")</f>
        <v>Reconstitution</v>
      </c>
      <c r="V206" s="17" t="s">
        <v>1031</v>
      </c>
      <c r="W206" s="15" t="n">
        <v>6</v>
      </c>
      <c r="X206" s="17" t="s">
        <v>1032</v>
      </c>
      <c r="Y206" s="17" t="s">
        <v>1032</v>
      </c>
      <c r="Z206" s="17" t="s">
        <v>286</v>
      </c>
      <c r="AA206" s="16" t="s">
        <v>927</v>
      </c>
      <c r="AB206" s="78" t="s">
        <v>811</v>
      </c>
      <c r="AC206" s="20" t="n">
        <f aca="false">IF(AE206&gt;0,ROUND(AVERAGEIFS('Shortlisted Drugs X Company (7)'!$N$3:$N$698,'Shortlisted Drugs X Company (7)'!$C$3:$C$698,$B206,'Shortlisted Drugs X Company (7)'!$E$3:$E$698,$AA206,'Shortlisted Drugs X Company (7)'!$N$3:$N$698,"&gt;=0"),2),"")</f>
        <v>6.44</v>
      </c>
      <c r="AD206" s="79" t="str">
        <f aca="false">B206&amp;"|"&amp;AA206</f>
        <v>Esomeprazole|Intas Pharmaceuticals</v>
      </c>
      <c r="AE206" s="22" t="n">
        <f aca="false">COUNTIFS('Shortlisted Drugs X Company (7)'!$C$3:$C$698,$B206,'Shortlisted Drugs X Company (7)'!$E$3:$E$698,$AA206,'Shortlisted Drugs X Company (7)'!$N$3:$N$698,"&gt;=0")</f>
        <v>2</v>
      </c>
      <c r="AF206" s="22" t="n">
        <f aca="false">COUNTIFS('Shortlisted Drugs X Company (7)'!$C$3:$C$698,$B206,'Shortlisted Drugs X Company (7)'!$E$3:$E$698,$AA206,'Shortlisted Drugs X Company (7)'!$N$3:$N$698,"&gt;5")</f>
        <v>2</v>
      </c>
      <c r="AG206" s="22" t="n">
        <f aca="false">COUNTIFS('Shortlisted Drugs X Company (7)'!$C$3:$C$698,$B206,'Shortlisted Drugs X Company (7)'!$E$3:$E$698,$AA206,'Shortlisted Drugs X Company (7)'!$P$3:$P$698,"Exact")+COUNTIFS('Shortlisted Drugs X Company (7)'!$C$3:$C$698,$B206,'Shortlisted Drugs X Company (7)'!$E$3:$E$698,$AA206,'Shortlisted Drugs X Company (7)'!$P$3:$P$698,"Same-market proxy")</f>
        <v>2</v>
      </c>
      <c r="AH206" s="22" t="n">
        <f aca="false">INDEX($G$7:$G$25,MATCH(A206,$A$7:$A$25,0))</f>
        <v>1</v>
      </c>
      <c r="AI206" s="79" t="str">
        <f aca="false">IF(OR(Q206="No",LEFT(H206,7)="IV only"),"",AH206*1000+IF(F206="",900+COUNTIFS($A$29:A206,A206,$H$29:H206,"Price*"),F206))</f>
        <v/>
      </c>
      <c r="AJ206" s="79" t="str">
        <f aca="false">IF(H206&lt;&gt;"","",(4-VALUE(RIGHT(E206,1)))*10^7+N(O206))</f>
        <v/>
      </c>
      <c r="AK206" s="79" t="str">
        <f aca="false">IF(AND(H206="",ISNUMBER(I206)),I206,"")</f>
        <v/>
      </c>
      <c r="AL206" s="79" t="str">
        <f aca="false">IF(H206="",M206,"")</f>
        <v/>
      </c>
    </row>
    <row r="207" customFormat="false" ht="28.35" hidden="false" customHeight="false" outlineLevel="0" collapsed="false">
      <c r="A207" s="16" t="s">
        <v>21</v>
      </c>
      <c r="B207" s="16" t="s">
        <v>433</v>
      </c>
      <c r="C207" s="17" t="s">
        <v>1033</v>
      </c>
      <c r="D207" s="17" t="s">
        <v>435</v>
      </c>
      <c r="E207" s="15" t="str">
        <f aca="false">IF(H207&lt;&gt;"",IF(LEFT(H207,5)="Price","Excluded – price ≤ USD 5","Excluded – IV only"),IF(ISNUMBER(I207),IF(AND(I207&gt;=$C$3,M207&gt;=$E$3),"Priority 1",IF(OR(I207&gt;=$C$3,M207&gt;=$E$3),"Priority 2","Priority 3")),IF(M207&gt;=$E$3,"Priority 2","Priority 3")))</f>
        <v>Priority 3</v>
      </c>
      <c r="F207" s="15" t="n">
        <f aca="false">IF(H207&lt;&gt;"","",COUNTIFS($A$29:$A$361,A207,$H$29:$H$361,"",$AJ$29:$AJ$361,"&gt;"&amp;AJ207)+COUNTIFS($A$29:A207,A207,$H$29:H207,"",$AJ$29:AJ207,AJ207))</f>
        <v>21</v>
      </c>
      <c r="G207" s="17" t="str">
        <f aca="false">IF(H207&lt;&gt;"","",IF(ISNUMBER(I207),IF(I207&gt;=$C$3,"High price","Lower price"),"No price")&amp;", "&amp;IF(M207&gt;=$E$3,"high volume","lower volume"))</f>
        <v>Lower price, lower volume</v>
      </c>
      <c r="H207" s="17" t="str">
        <f aca="false">IF(Q207="No","IV only (no ID, IM or SC route)",IF(AND(AE207&gt;0,AF207=0),"Price ≤ USD 5",""))</f>
        <v/>
      </c>
      <c r="I207" s="18" t="n">
        <f aca="false">IF(AF207&gt;0,ROUND(AVERAGEIFS('Shortlisted Drugs X Company (7)'!$N$3:$N$698,'Shortlisted Drugs X Company (7)'!$C$3:$C$698,$B207,'Shortlisted Drugs X Company (7)'!$E$3:$E$698,$AA207,'Shortlisted Drugs X Company (7)'!$N$3:$N$698,"&gt;5"),2),"")</f>
        <v>6.07</v>
      </c>
      <c r="J207" s="17" t="str">
        <f aca="false">IF(COUNTIFS('Shortlisted Drugs X Company (7)'!$C$3:$C$698,$B207,'Shortlisted Drugs X Company (7)'!$E$3:$E$698,$AA207,'Shortlisted Drugs X Company (7)'!$P$3:$P$698,"Exact")&gt;0,"Exact",IF(COUNTIFS('Shortlisted Drugs X Company (7)'!$C$3:$C$698,$B207,'Shortlisted Drugs X Company (7)'!$E$3:$E$698,$AA207,'Shortlisted Drugs X Company (7)'!$P$3:$P$698,"Same-market proxy")&gt;0,"Same-market proxy",IF(COUNTIFS('Shortlisted Drugs X Company (7)'!$C$3:$C$698,$B207,'Shortlisted Drugs X Company (7)'!$E$3:$E$698,$AA207,'Shortlisted Drugs X Company (7)'!$P$3:$P$698,"Cross-market proxy")&gt;0,"Cross-market proxy",IF(COUNTIFS('Shortlisted Drugs X Company (7)'!$C$3:$C$698,$B207,'Shortlisted Drugs X Company (7)'!$E$3:$E$698,$AA207,'Shortlisted Drugs X Company (7)'!$P$3:$P$698,"Source not found")&gt;0,"Source not found","No price found"))))</f>
        <v>Cross-market proxy</v>
      </c>
      <c r="K207" s="19" t="n">
        <f aca="false">IFERROR(INDEX('Injectable Value'!$AB$28:$AB$178,MATCH(B207,'Injectable Value'!$A$28:$A$178,0)),"")</f>
        <v>347</v>
      </c>
      <c r="L207" s="77" t="n">
        <f aca="false">IFERROR(INDEX('Injectable Value'!$Z$28:$Z$178,MATCH(B207,'Injectable Value'!$A$28:$A$178,0)),"")</f>
        <v>0.334376150165624</v>
      </c>
      <c r="M207" s="19" t="n">
        <f aca="false">IFERROR(INDEX('Injectable Value'!$AC$28:$AC$178,MATCH(B207,'Injectable Value'!$A$28:$A$178,0)),"")</f>
        <v>116</v>
      </c>
      <c r="N207" s="19" t="n">
        <f aca="false">IFERROR(INDEX('Injectable Value'!$C$28:$C$178,MATCH(B207,'Injectable Value'!$A$28:$A$178,0)),"")</f>
        <v>18803.98</v>
      </c>
      <c r="O207" s="19" t="n">
        <f aca="false">IFERROR(ROUND(INDEX('Injectable Value'!$AA$28:$AA$178,MATCH(B207,'Injectable Value'!$A$28:$A$178,0)),1),"")</f>
        <v>6287.6</v>
      </c>
      <c r="P207" s="16" t="str">
        <f aca="false">IFERROR(INDEX('Route of Administration'!$C$5:$C$155,MATCH(B207,'Route of Administration'!$A$5:$A$155,0)),"")</f>
        <v>IV, IM (also intra-articular, intrapleural)</v>
      </c>
      <c r="Q207" s="15" t="str">
        <f aca="false">IFERROR(INDEX('Route of Administration'!$D$5:$D$155,MATCH(B207,'Route of Administration'!$A$5:$A$155,0)),"")</f>
        <v>Yes</v>
      </c>
      <c r="R207" s="16" t="s">
        <v>281</v>
      </c>
      <c r="S207" s="17" t="s">
        <v>771</v>
      </c>
      <c r="T207" s="16" t="s">
        <v>333</v>
      </c>
      <c r="U207" s="17" t="str">
        <f aca="false">"Reconstitution"&amp;IF(AE207=0,"; No price found","")&amp;IF(AND(AE207&gt;0,AF207=0,AG207=0),"; Low price comes from another market – confirm with the company","")</f>
        <v>Reconstitution</v>
      </c>
      <c r="V207" s="17" t="s">
        <v>912</v>
      </c>
      <c r="W207" s="15" t="n">
        <v>1</v>
      </c>
      <c r="X207" s="17" t="s">
        <v>912</v>
      </c>
      <c r="Y207" s="17" t="s">
        <v>912</v>
      </c>
      <c r="Z207" s="17" t="s">
        <v>321</v>
      </c>
      <c r="AA207" s="16" t="s">
        <v>927</v>
      </c>
      <c r="AB207" s="78" t="s">
        <v>439</v>
      </c>
      <c r="AC207" s="20" t="n">
        <f aca="false">IF(AE207&gt;0,ROUND(AVERAGEIFS('Shortlisted Drugs X Company (7)'!$N$3:$N$698,'Shortlisted Drugs X Company (7)'!$C$3:$C$698,$B207,'Shortlisted Drugs X Company (7)'!$E$3:$E$698,$AA207,'Shortlisted Drugs X Company (7)'!$N$3:$N$698,"&gt;=0"),2),"")</f>
        <v>6.07</v>
      </c>
      <c r="AD207" s="79" t="str">
        <f aca="false">B207&amp;"|"&amp;AA207</f>
        <v>Flucloxacillin|Intas Pharmaceuticals</v>
      </c>
      <c r="AE207" s="22" t="n">
        <f aca="false">COUNTIFS('Shortlisted Drugs X Company (7)'!$C$3:$C$698,$B207,'Shortlisted Drugs X Company (7)'!$E$3:$E$698,$AA207,'Shortlisted Drugs X Company (7)'!$N$3:$N$698,"&gt;=0")</f>
        <v>1</v>
      </c>
      <c r="AF207" s="22" t="n">
        <f aca="false">COUNTIFS('Shortlisted Drugs X Company (7)'!$C$3:$C$698,$B207,'Shortlisted Drugs X Company (7)'!$E$3:$E$698,$AA207,'Shortlisted Drugs X Company (7)'!$N$3:$N$698,"&gt;5")</f>
        <v>1</v>
      </c>
      <c r="AG207" s="22" t="n">
        <f aca="false">COUNTIFS('Shortlisted Drugs X Company (7)'!$C$3:$C$698,$B207,'Shortlisted Drugs X Company (7)'!$E$3:$E$698,$AA207,'Shortlisted Drugs X Company (7)'!$P$3:$P$698,"Exact")+COUNTIFS('Shortlisted Drugs X Company (7)'!$C$3:$C$698,$B207,'Shortlisted Drugs X Company (7)'!$E$3:$E$698,$AA207,'Shortlisted Drugs X Company (7)'!$P$3:$P$698,"Same-market proxy")</f>
        <v>0</v>
      </c>
      <c r="AH207" s="22" t="n">
        <f aca="false">INDEX($G$7:$G$25,MATCH(A207,$A$7:$A$25,0))</f>
        <v>1</v>
      </c>
      <c r="AI207" s="79" t="n">
        <f aca="false">IF(OR(Q207="No",LEFT(H207,7)="IV only"),"",AH207*1000+IF(F207="",900+COUNTIFS($A$29:A207,A207,$H$29:H207,"Price*"),F207))</f>
        <v>1021</v>
      </c>
      <c r="AJ207" s="79" t="n">
        <f aca="false">IF(H207&lt;&gt;"","",(4-VALUE(RIGHT(E207,1)))*10^7+N(O207))</f>
        <v>10006287.6</v>
      </c>
      <c r="AK207" s="20" t="n">
        <f aca="false">IF(AND(H207="",ISNUMBER(I207)),I207,"")</f>
        <v>6.07</v>
      </c>
      <c r="AL207" s="21" t="n">
        <f aca="false">IF(H207="",M207,"")</f>
        <v>116</v>
      </c>
    </row>
    <row r="208" customFormat="false" ht="68.65" hidden="false" customHeight="false" outlineLevel="0" collapsed="false">
      <c r="A208" s="16" t="s">
        <v>21</v>
      </c>
      <c r="B208" s="16" t="s">
        <v>1034</v>
      </c>
      <c r="C208" s="17" t="s">
        <v>1035</v>
      </c>
      <c r="D208" s="17" t="s">
        <v>1036</v>
      </c>
      <c r="E208" s="15" t="str">
        <f aca="false">IF(H208&lt;&gt;"",IF(LEFT(H208,5)="Price","Excluded – price ≤ USD 5","Excluded – IV only"),IF(ISNUMBER(I208),IF(AND(I208&gt;=$C$3,M208&gt;=$E$3),"Priority 1",IF(OR(I208&gt;=$C$3,M208&gt;=$E$3),"Priority 2","Priority 3")),IF(M208&gt;=$E$3,"Priority 2","Priority 3")))</f>
        <v>Excluded – IV only</v>
      </c>
      <c r="F208" s="15" t="str">
        <f aca="false">IF(H208&lt;&gt;"","",COUNTIFS($A$29:$A$361,A208,$H$29:$H$361,"",$AJ$29:$AJ$361,"&gt;"&amp;AJ208)+COUNTIFS($A$29:A208,A208,$H$29:H208,"",$AJ$29:AJ208,AJ208))</f>
        <v/>
      </c>
      <c r="G208" s="17" t="str">
        <f aca="false">IF(H208&lt;&gt;"","",IF(ISNUMBER(I208),IF(I208&gt;=$C$3,"High price","Lower price"),"No price")&amp;", "&amp;IF(M208&gt;=$E$3,"high volume","lower volume"))</f>
        <v/>
      </c>
      <c r="H208" s="17" t="str">
        <f aca="false">IF(Q208="No","IV only (no ID, IM or SC route)",IF(AND(AE208&gt;0,AF208=0),"Price ≤ USD 5",""))</f>
        <v>IV only (no ID, IM or SC route)</v>
      </c>
      <c r="I208" s="18" t="n">
        <f aca="false">IF(AF208&gt;0,ROUND(AVERAGEIFS('Shortlisted Drugs X Company (7)'!$N$3:$N$698,'Shortlisted Drugs X Company (7)'!$C$3:$C$698,$B208,'Shortlisted Drugs X Company (7)'!$E$3:$E$698,$AA208,'Shortlisted Drugs X Company (7)'!$N$3:$N$698,"&gt;5"),2),"")</f>
        <v>167.03</v>
      </c>
      <c r="J208" s="17" t="str">
        <f aca="false">IF(COUNTIFS('Shortlisted Drugs X Company (7)'!$C$3:$C$698,$B208,'Shortlisted Drugs X Company (7)'!$E$3:$E$698,$AA208,'Shortlisted Drugs X Company (7)'!$P$3:$P$698,"Exact")&gt;0,"Exact",IF(COUNTIFS('Shortlisted Drugs X Company (7)'!$C$3:$C$698,$B208,'Shortlisted Drugs X Company (7)'!$E$3:$E$698,$AA208,'Shortlisted Drugs X Company (7)'!$P$3:$P$698,"Same-market proxy")&gt;0,"Same-market proxy",IF(COUNTIFS('Shortlisted Drugs X Company (7)'!$C$3:$C$698,$B208,'Shortlisted Drugs X Company (7)'!$E$3:$E$698,$AA208,'Shortlisted Drugs X Company (7)'!$P$3:$P$698,"Cross-market proxy")&gt;0,"Cross-market proxy",IF(COUNTIFS('Shortlisted Drugs X Company (7)'!$C$3:$C$698,$B208,'Shortlisted Drugs X Company (7)'!$E$3:$E$698,$AA208,'Shortlisted Drugs X Company (7)'!$P$3:$P$698,"Source not found")&gt;0,"Source not found","No price found"))))</f>
        <v>Exact</v>
      </c>
      <c r="K208" s="19" t="n">
        <f aca="false">IFERROR(INDEX('Injectable Value'!$AB$28:$AB$178,MATCH(B208,'Injectable Value'!$A$28:$A$178,0)),"")</f>
        <v>120</v>
      </c>
      <c r="L208" s="77" t="n">
        <f aca="false">IFERROR(INDEX('Injectable Value'!$Z$28:$Z$178,MATCH(B208,'Injectable Value'!$A$28:$A$178,0)),"")</f>
        <v>0.833333333333333</v>
      </c>
      <c r="M208" s="19" t="n">
        <f aca="false">IFERROR(INDEX('Injectable Value'!$AC$28:$AC$178,MATCH(B208,'Injectable Value'!$A$28:$A$178,0)),"")</f>
        <v>100</v>
      </c>
      <c r="N208" s="19" t="n">
        <f aca="false">IFERROR(INDEX('Injectable Value'!$C$28:$C$178,MATCH(B208,'Injectable Value'!$A$28:$A$178,0)),"")</f>
        <v>5234.47</v>
      </c>
      <c r="O208" s="19" t="n">
        <f aca="false">IFERROR(ROUND(INDEX('Injectable Value'!$AA$28:$AA$178,MATCH(B208,'Injectable Value'!$A$28:$A$178,0)),1),"")</f>
        <v>4362.1</v>
      </c>
      <c r="P208" s="16" t="str">
        <f aca="false">IFERROR(INDEX('Route of Administration'!$C$5:$C$155,MATCH(B208,'Route of Administration'!$A$5:$A$155,0)),"")</f>
        <v>IV</v>
      </c>
      <c r="Q208" s="15" t="str">
        <f aca="false">IFERROR(INDEX('Route of Administration'!$D$5:$D$155,MATCH(B208,'Route of Administration'!$A$5:$A$155,0)),"")</f>
        <v>No</v>
      </c>
      <c r="R208" s="16" t="s">
        <v>281</v>
      </c>
      <c r="S208" s="17" t="s">
        <v>1037</v>
      </c>
      <c r="T208" s="16" t="s">
        <v>283</v>
      </c>
      <c r="U208" s="17" t="str">
        <f aca="false">"Cancer drug (cytotoxic) – less relevant"&amp;IF(AE208=0,"; No price found","")&amp;IF(AND(AE208&gt;0,AF208=0,AG208=0),"; Low price comes from another market – confirm with the company","")</f>
        <v>Cancer drug (cytotoxic) – less relevant</v>
      </c>
      <c r="V208" s="17" t="s">
        <v>334</v>
      </c>
      <c r="W208" s="15" t="n">
        <v>23</v>
      </c>
      <c r="X208" s="17" t="s">
        <v>1038</v>
      </c>
      <c r="Y208" s="17" t="s">
        <v>1039</v>
      </c>
      <c r="Z208" s="17" t="s">
        <v>321</v>
      </c>
      <c r="AA208" s="16" t="s">
        <v>927</v>
      </c>
      <c r="AB208" s="78" t="s">
        <v>1040</v>
      </c>
      <c r="AC208" s="20" t="n">
        <f aca="false">IF(AE208&gt;0,ROUND(AVERAGEIFS('Shortlisted Drugs X Company (7)'!$N$3:$N$698,'Shortlisted Drugs X Company (7)'!$C$3:$C$698,$B208,'Shortlisted Drugs X Company (7)'!$E$3:$E$698,$AA208,'Shortlisted Drugs X Company (7)'!$N$3:$N$698,"&gt;=0"),2),"")</f>
        <v>167.03</v>
      </c>
      <c r="AD208" s="79" t="str">
        <f aca="false">B208&amp;"|"&amp;AA208</f>
        <v>Fludarabine Phosphate|Intas Pharmaceuticals</v>
      </c>
      <c r="AE208" s="22" t="n">
        <f aca="false">COUNTIFS('Shortlisted Drugs X Company (7)'!$C$3:$C$698,$B208,'Shortlisted Drugs X Company (7)'!$E$3:$E$698,$AA208,'Shortlisted Drugs X Company (7)'!$N$3:$N$698,"&gt;=0")</f>
        <v>2</v>
      </c>
      <c r="AF208" s="22" t="n">
        <f aca="false">COUNTIFS('Shortlisted Drugs X Company (7)'!$C$3:$C$698,$B208,'Shortlisted Drugs X Company (7)'!$E$3:$E$698,$AA208,'Shortlisted Drugs X Company (7)'!$N$3:$N$698,"&gt;5")</f>
        <v>2</v>
      </c>
      <c r="AG208" s="22" t="n">
        <f aca="false">COUNTIFS('Shortlisted Drugs X Company (7)'!$C$3:$C$698,$B208,'Shortlisted Drugs X Company (7)'!$E$3:$E$698,$AA208,'Shortlisted Drugs X Company (7)'!$P$3:$P$698,"Exact")+COUNTIFS('Shortlisted Drugs X Company (7)'!$C$3:$C$698,$B208,'Shortlisted Drugs X Company (7)'!$E$3:$E$698,$AA208,'Shortlisted Drugs X Company (7)'!$P$3:$P$698,"Same-market proxy")</f>
        <v>2</v>
      </c>
      <c r="AH208" s="22" t="n">
        <f aca="false">INDEX($G$7:$G$25,MATCH(A208,$A$7:$A$25,0))</f>
        <v>1</v>
      </c>
      <c r="AI208" s="79" t="str">
        <f aca="false">IF(OR(Q208="No",LEFT(H208,7)="IV only"),"",AH208*1000+IF(F208="",900+COUNTIFS($A$29:A208,A208,$H$29:H208,"Price*"),F208))</f>
        <v/>
      </c>
      <c r="AJ208" s="79" t="str">
        <f aca="false">IF(H208&lt;&gt;"","",(4-VALUE(RIGHT(E208,1)))*10^7+N(O208))</f>
        <v/>
      </c>
      <c r="AK208" s="79" t="str">
        <f aca="false">IF(AND(H208="",ISNUMBER(I208)),I208,"")</f>
        <v/>
      </c>
      <c r="AL208" s="79" t="str">
        <f aca="false">IF(H208="",M208,"")</f>
        <v/>
      </c>
    </row>
    <row r="209" customFormat="false" ht="82.05" hidden="false" customHeight="false" outlineLevel="0" collapsed="false">
      <c r="A209" s="16" t="s">
        <v>21</v>
      </c>
      <c r="B209" s="16" t="s">
        <v>440</v>
      </c>
      <c r="C209" s="17" t="s">
        <v>440</v>
      </c>
      <c r="D209" s="17" t="s">
        <v>441</v>
      </c>
      <c r="E209" s="15" t="str">
        <f aca="false">IF(H209&lt;&gt;"",IF(LEFT(H209,5)="Price","Excluded – price ≤ USD 5","Excluded – IV only"),IF(ISNUMBER(I209),IF(AND(I209&gt;=$C$3,M209&gt;=$E$3),"Priority 1",IF(OR(I209&gt;=$C$3,M209&gt;=$E$3),"Priority 2","Priority 3")),IF(M209&gt;=$E$3,"Priority 2","Priority 3")))</f>
        <v>Excluded – IV only</v>
      </c>
      <c r="F209" s="15" t="str">
        <f aca="false">IF(H209&lt;&gt;"","",COUNTIFS($A$29:$A$361,A209,$H$29:$H$361,"",$AJ$29:$AJ$361,"&gt;"&amp;AJ209)+COUNTIFS($A$29:A209,A209,$H$29:H209,"",$AJ$29:AJ209,AJ209))</f>
        <v/>
      </c>
      <c r="G209" s="17" t="str">
        <f aca="false">IF(H209&lt;&gt;"","",IF(ISNUMBER(I209),IF(I209&gt;=$C$3,"High price","Lower price"),"No price")&amp;", "&amp;IF(M209&gt;=$E$3,"high volume","lower volume"))</f>
        <v/>
      </c>
      <c r="H209" s="17" t="str">
        <f aca="false">IF(Q209="No","IV only (no ID, IM or SC route)",IF(AND(AE209&gt;0,AF209=0),"Price ≤ USD 5",""))</f>
        <v>IV only (no ID, IM or SC route)</v>
      </c>
      <c r="I209" s="18" t="n">
        <f aca="false">IF(AF209&gt;0,ROUND(AVERAGEIFS('Shortlisted Drugs X Company (7)'!$N$3:$N$698,'Shortlisted Drugs X Company (7)'!$C$3:$C$698,$B209,'Shortlisted Drugs X Company (7)'!$E$3:$E$698,$AA209,'Shortlisted Drugs X Company (7)'!$N$3:$N$698,"&gt;5"),2),"")</f>
        <v>60.55</v>
      </c>
      <c r="J209" s="17" t="str">
        <f aca="false">IF(COUNTIFS('Shortlisted Drugs X Company (7)'!$C$3:$C$698,$B209,'Shortlisted Drugs X Company (7)'!$E$3:$E$698,$AA209,'Shortlisted Drugs X Company (7)'!$P$3:$P$698,"Exact")&gt;0,"Exact",IF(COUNTIFS('Shortlisted Drugs X Company (7)'!$C$3:$C$698,$B209,'Shortlisted Drugs X Company (7)'!$E$3:$E$698,$AA209,'Shortlisted Drugs X Company (7)'!$P$3:$P$698,"Same-market proxy")&gt;0,"Same-market proxy",IF(COUNTIFS('Shortlisted Drugs X Company (7)'!$C$3:$C$698,$B209,'Shortlisted Drugs X Company (7)'!$E$3:$E$698,$AA209,'Shortlisted Drugs X Company (7)'!$P$3:$P$698,"Cross-market proxy")&gt;0,"Cross-market proxy",IF(COUNTIFS('Shortlisted Drugs X Company (7)'!$C$3:$C$698,$B209,'Shortlisted Drugs X Company (7)'!$E$3:$E$698,$AA209,'Shortlisted Drugs X Company (7)'!$P$3:$P$698,"Source not found")&gt;0,"Source not found","No price found"))))</f>
        <v>Exact</v>
      </c>
      <c r="K209" s="19" t="n">
        <f aca="false">IFERROR(INDEX('Injectable Value'!$AB$28:$AB$178,MATCH(B209,'Injectable Value'!$A$28:$A$178,0)),"")</f>
        <v>727</v>
      </c>
      <c r="L209" s="77" t="n">
        <f aca="false">IFERROR(INDEX('Injectable Value'!$Z$28:$Z$178,MATCH(B209,'Injectable Value'!$A$28:$A$178,0)),"")</f>
        <v>0.650751867180439</v>
      </c>
      <c r="M209" s="19" t="n">
        <f aca="false">IFERROR(INDEX('Injectable Value'!$AC$28:$AC$178,MATCH(B209,'Injectable Value'!$A$28:$A$178,0)),"")</f>
        <v>473</v>
      </c>
      <c r="N209" s="19" t="n">
        <f aca="false">IFERROR(INDEX('Injectable Value'!$C$28:$C$178,MATCH(B209,'Injectable Value'!$A$28:$A$178,0)),"")</f>
        <v>7496</v>
      </c>
      <c r="O209" s="19" t="n">
        <f aca="false">IFERROR(ROUND(INDEX('Injectable Value'!$AA$28:$AA$178,MATCH(B209,'Injectable Value'!$A$28:$A$178,0)),1),"")</f>
        <v>4878</v>
      </c>
      <c r="P209" s="16" t="str">
        <f aca="false">IFERROR(INDEX('Route of Administration'!$C$5:$C$155,MATCH(B209,'Route of Administration'!$A$5:$A$155,0)),"")</f>
        <v>IV</v>
      </c>
      <c r="Q209" s="15" t="str">
        <f aca="false">IFERROR(INDEX('Route of Administration'!$D$5:$D$155,MATCH(B209,'Route of Administration'!$A$5:$A$155,0)),"")</f>
        <v>No</v>
      </c>
      <c r="R209" s="16" t="s">
        <v>281</v>
      </c>
      <c r="S209" s="17" t="s">
        <v>1041</v>
      </c>
      <c r="T209" s="16" t="s">
        <v>283</v>
      </c>
      <c r="U209" s="17" t="str">
        <f aca="false">"Cancer drug (cytotoxic) – less relevant"&amp;IF(AE209=0,"; No price found","")&amp;IF(AND(AE209&gt;0,AF209=0,AG209=0),"; Low price comes from another market – confirm with the company","")</f>
        <v>Cancer drug (cytotoxic) – less relevant</v>
      </c>
      <c r="V209" s="17" t="s">
        <v>537</v>
      </c>
      <c r="W209" s="15" t="n">
        <v>30</v>
      </c>
      <c r="X209" s="17" t="s">
        <v>1042</v>
      </c>
      <c r="Y209" s="17" t="s">
        <v>1043</v>
      </c>
      <c r="Z209" s="17" t="s">
        <v>321</v>
      </c>
      <c r="AA209" s="16" t="s">
        <v>927</v>
      </c>
      <c r="AB209" s="78" t="s">
        <v>443</v>
      </c>
      <c r="AC209" s="20" t="n">
        <f aca="false">IF(AE209&gt;0,ROUND(AVERAGEIFS('Shortlisted Drugs X Company (7)'!$N$3:$N$698,'Shortlisted Drugs X Company (7)'!$C$3:$C$698,$B209,'Shortlisted Drugs X Company (7)'!$E$3:$E$698,$AA209,'Shortlisted Drugs X Company (7)'!$N$3:$N$698,"&gt;=0"),2),"")</f>
        <v>60.55</v>
      </c>
      <c r="AD209" s="79" t="str">
        <f aca="false">B209&amp;"|"&amp;AA209</f>
        <v>Fluorouracil|Intas Pharmaceuticals</v>
      </c>
      <c r="AE209" s="22" t="n">
        <f aca="false">COUNTIFS('Shortlisted Drugs X Company (7)'!$C$3:$C$698,$B209,'Shortlisted Drugs X Company (7)'!$E$3:$E$698,$AA209,'Shortlisted Drugs X Company (7)'!$N$3:$N$698,"&gt;=0")</f>
        <v>2</v>
      </c>
      <c r="AF209" s="22" t="n">
        <f aca="false">COUNTIFS('Shortlisted Drugs X Company (7)'!$C$3:$C$698,$B209,'Shortlisted Drugs X Company (7)'!$E$3:$E$698,$AA209,'Shortlisted Drugs X Company (7)'!$N$3:$N$698,"&gt;5")</f>
        <v>2</v>
      </c>
      <c r="AG209" s="22" t="n">
        <f aca="false">COUNTIFS('Shortlisted Drugs X Company (7)'!$C$3:$C$698,$B209,'Shortlisted Drugs X Company (7)'!$E$3:$E$698,$AA209,'Shortlisted Drugs X Company (7)'!$P$3:$P$698,"Exact")+COUNTIFS('Shortlisted Drugs X Company (7)'!$C$3:$C$698,$B209,'Shortlisted Drugs X Company (7)'!$E$3:$E$698,$AA209,'Shortlisted Drugs X Company (7)'!$P$3:$P$698,"Same-market proxy")</f>
        <v>2</v>
      </c>
      <c r="AH209" s="22" t="n">
        <f aca="false">INDEX($G$7:$G$25,MATCH(A209,$A$7:$A$25,0))</f>
        <v>1</v>
      </c>
      <c r="AI209" s="79" t="str">
        <f aca="false">IF(OR(Q209="No",LEFT(H209,7)="IV only"),"",AH209*1000+IF(F209="",900+COUNTIFS($A$29:A209,A209,$H$29:H209,"Price*"),F209))</f>
        <v/>
      </c>
      <c r="AJ209" s="79" t="str">
        <f aca="false">IF(H209&lt;&gt;"","",(4-VALUE(RIGHT(E209,1)))*10^7+N(O209))</f>
        <v/>
      </c>
      <c r="AK209" s="79" t="str">
        <f aca="false">IF(AND(H209="",ISNUMBER(I209)),I209,"")</f>
        <v/>
      </c>
      <c r="AL209" s="79" t="str">
        <f aca="false">IF(H209="",M209,"")</f>
        <v/>
      </c>
    </row>
    <row r="210" customFormat="false" ht="82.05" hidden="false" customHeight="false" outlineLevel="0" collapsed="false">
      <c r="A210" s="16" t="s">
        <v>21</v>
      </c>
      <c r="B210" s="16" t="s">
        <v>295</v>
      </c>
      <c r="C210" s="17" t="s">
        <v>1044</v>
      </c>
      <c r="D210" s="17" t="s">
        <v>296</v>
      </c>
      <c r="E210" s="15" t="str">
        <f aca="false">IF(H210&lt;&gt;"",IF(LEFT(H210,5)="Price","Excluded – price ≤ USD 5","Excluded – IV only"),IF(ISNUMBER(I210),IF(AND(I210&gt;=$C$3,M210&gt;=$E$3),"Priority 1",IF(OR(I210&gt;=$C$3,M210&gt;=$E$3),"Priority 2","Priority 3")),IF(M210&gt;=$E$3,"Priority 2","Priority 3")))</f>
        <v>Priority 1</v>
      </c>
      <c r="F210" s="15" t="n">
        <f aca="false">IF(H210&lt;&gt;"","",COUNTIFS($A$29:$A$361,A210,$H$29:$H$361,"",$AJ$29:$AJ$361,"&gt;"&amp;AJ210)+COUNTIFS($A$29:A210,A210,$H$29:H210,"",$AJ$29:AJ210,AJ210))</f>
        <v>5</v>
      </c>
      <c r="G210" s="17" t="str">
        <f aca="false">IF(H210&lt;&gt;"","",IF(ISNUMBER(I210),IF(I210&gt;=$C$3,"High price","Lower price"),"No price")&amp;", "&amp;IF(M210&gt;=$E$3,"high volume","lower volume"))</f>
        <v>High price, high volume</v>
      </c>
      <c r="H210" s="17" t="str">
        <f aca="false">IF(Q210="No","IV only (no ID, IM or SC route)",IF(AND(AE210&gt;0,AF210=0),"Price ≤ USD 5",""))</f>
        <v/>
      </c>
      <c r="I210" s="18" t="n">
        <f aca="false">IF(AF210&gt;0,ROUND(AVERAGEIFS('Shortlisted Drugs X Company (7)'!$N$3:$N$698,'Shortlisted Drugs X Company (7)'!$C$3:$C$698,$B210,'Shortlisted Drugs X Company (7)'!$E$3:$E$698,$AA210,'Shortlisted Drugs X Company (7)'!$N$3:$N$698,"&gt;5"),2),"")</f>
        <v>246.46</v>
      </c>
      <c r="J210" s="17" t="str">
        <f aca="false">IF(COUNTIFS('Shortlisted Drugs X Company (7)'!$C$3:$C$698,$B210,'Shortlisted Drugs X Company (7)'!$E$3:$E$698,$AA210,'Shortlisted Drugs X Company (7)'!$P$3:$P$698,"Exact")&gt;0,"Exact",IF(COUNTIFS('Shortlisted Drugs X Company (7)'!$C$3:$C$698,$B210,'Shortlisted Drugs X Company (7)'!$E$3:$E$698,$AA210,'Shortlisted Drugs X Company (7)'!$P$3:$P$698,"Same-market proxy")&gt;0,"Same-market proxy",IF(COUNTIFS('Shortlisted Drugs X Company (7)'!$C$3:$C$698,$B210,'Shortlisted Drugs X Company (7)'!$E$3:$E$698,$AA210,'Shortlisted Drugs X Company (7)'!$P$3:$P$698,"Cross-market proxy")&gt;0,"Cross-market proxy",IF(COUNTIFS('Shortlisted Drugs X Company (7)'!$C$3:$C$698,$B210,'Shortlisted Drugs X Company (7)'!$E$3:$E$698,$AA210,'Shortlisted Drugs X Company (7)'!$P$3:$P$698,"Source not found")&gt;0,"Source not found","No price found"))))</f>
        <v>Exact</v>
      </c>
      <c r="K210" s="19" t="n">
        <f aca="false">IFERROR(INDEX('Injectable Value'!$AB$28:$AB$178,MATCH(B210,'Injectable Value'!$A$28:$A$178,0)),"")</f>
        <v>146</v>
      </c>
      <c r="L210" s="77" t="n">
        <f aca="false">IFERROR(INDEX('Injectable Value'!$Z$28:$Z$178,MATCH(B210,'Injectable Value'!$A$28:$A$178,0)),"")</f>
        <v>1</v>
      </c>
      <c r="M210" s="19" t="n">
        <f aca="false">IFERROR(INDEX('Injectable Value'!$AC$28:$AC$178,MATCH(B210,'Injectable Value'!$A$28:$A$178,0)),"")</f>
        <v>146</v>
      </c>
      <c r="N210" s="19" t="n">
        <f aca="false">IFERROR(INDEX('Injectable Value'!$C$28:$C$178,MATCH(B210,'Injectable Value'!$A$28:$A$178,0)),"")</f>
        <v>11366.06</v>
      </c>
      <c r="O210" s="19" t="n">
        <f aca="false">IFERROR(ROUND(INDEX('Injectable Value'!$AA$28:$AA$178,MATCH(B210,'Injectable Value'!$A$28:$A$178,0)),1),"")</f>
        <v>11366.1</v>
      </c>
      <c r="P210" s="16" t="str">
        <f aca="false">IFERROR(INDEX('Route of Administration'!$C$5:$C$155,MATCH(B210,'Route of Administration'!$A$5:$A$155,0)),"")</f>
        <v>IM</v>
      </c>
      <c r="Q210" s="15" t="str">
        <f aca="false">IFERROR(INDEX('Route of Administration'!$D$5:$D$155,MATCH(B210,'Route of Administration'!$A$5:$A$155,0)),"")</f>
        <v>Yes</v>
      </c>
      <c r="R210" s="16" t="s">
        <v>291</v>
      </c>
      <c r="S210" s="17" t="s">
        <v>297</v>
      </c>
      <c r="T210" s="16" t="s">
        <v>283</v>
      </c>
      <c r="U210" s="17" t="str">
        <f aca="false">"Prefilled only"&amp;IF(AE210=0,"; No price found","")&amp;IF(AND(AE210&gt;0,AF210=0,AG210=0),"; Low price comes from another market – confirm with the company","")</f>
        <v>Prefilled only</v>
      </c>
      <c r="V210" s="17" t="s">
        <v>342</v>
      </c>
      <c r="W210" s="15" t="n">
        <v>30</v>
      </c>
      <c r="X210" s="17" t="s">
        <v>1045</v>
      </c>
      <c r="Y210" s="17" t="s">
        <v>1046</v>
      </c>
      <c r="Z210" s="17" t="s">
        <v>293</v>
      </c>
      <c r="AA210" s="16" t="s">
        <v>927</v>
      </c>
      <c r="AB210" s="78" t="s">
        <v>298</v>
      </c>
      <c r="AC210" s="20" t="n">
        <f aca="false">IF(AE210&gt;0,ROUND(AVERAGEIFS('Shortlisted Drugs X Company (7)'!$N$3:$N$698,'Shortlisted Drugs X Company (7)'!$C$3:$C$698,$B210,'Shortlisted Drugs X Company (7)'!$E$3:$E$698,$AA210,'Shortlisted Drugs X Company (7)'!$N$3:$N$698,"&gt;=0"),2),"")</f>
        <v>246.46</v>
      </c>
      <c r="AD210" s="79" t="str">
        <f aca="false">B210&amp;"|"&amp;AA210</f>
        <v>Fulvestrant|Intas Pharmaceuticals</v>
      </c>
      <c r="AE210" s="22" t="n">
        <f aca="false">COUNTIFS('Shortlisted Drugs X Company (7)'!$C$3:$C$698,$B210,'Shortlisted Drugs X Company (7)'!$E$3:$E$698,$AA210,'Shortlisted Drugs X Company (7)'!$N$3:$N$698,"&gt;=0")</f>
        <v>4</v>
      </c>
      <c r="AF210" s="22" t="n">
        <f aca="false">COUNTIFS('Shortlisted Drugs X Company (7)'!$C$3:$C$698,$B210,'Shortlisted Drugs X Company (7)'!$E$3:$E$698,$AA210,'Shortlisted Drugs X Company (7)'!$N$3:$N$698,"&gt;5")</f>
        <v>4</v>
      </c>
      <c r="AG210" s="22" t="n">
        <f aca="false">COUNTIFS('Shortlisted Drugs X Company (7)'!$C$3:$C$698,$B210,'Shortlisted Drugs X Company (7)'!$E$3:$E$698,$AA210,'Shortlisted Drugs X Company (7)'!$P$3:$P$698,"Exact")+COUNTIFS('Shortlisted Drugs X Company (7)'!$C$3:$C$698,$B210,'Shortlisted Drugs X Company (7)'!$E$3:$E$698,$AA210,'Shortlisted Drugs X Company (7)'!$P$3:$P$698,"Same-market proxy")</f>
        <v>4</v>
      </c>
      <c r="AH210" s="22" t="n">
        <f aca="false">INDEX($G$7:$G$25,MATCH(A210,$A$7:$A$25,0))</f>
        <v>1</v>
      </c>
      <c r="AI210" s="79" t="n">
        <f aca="false">IF(OR(Q210="No",LEFT(H210,7)="IV only"),"",AH210*1000+IF(F210="",900+COUNTIFS($A$29:A210,A210,$H$29:H210,"Price*"),F210))</f>
        <v>1005</v>
      </c>
      <c r="AJ210" s="79" t="n">
        <f aca="false">IF(H210&lt;&gt;"","",(4-VALUE(RIGHT(E210,1)))*10^7+N(O210))</f>
        <v>30011366.1</v>
      </c>
      <c r="AK210" s="20" t="n">
        <f aca="false">IF(AND(H210="",ISNUMBER(I210)),I210,"")</f>
        <v>246.46</v>
      </c>
      <c r="AL210" s="21" t="n">
        <f aca="false">IF(H210="",M210,"")</f>
        <v>146</v>
      </c>
    </row>
    <row r="211" customFormat="false" ht="41.75" hidden="false" customHeight="false" outlineLevel="0" collapsed="false">
      <c r="A211" s="16" t="s">
        <v>21</v>
      </c>
      <c r="B211" s="16" t="s">
        <v>888</v>
      </c>
      <c r="C211" s="17" t="s">
        <v>1047</v>
      </c>
      <c r="D211" s="17" t="s">
        <v>890</v>
      </c>
      <c r="E211" s="15" t="str">
        <f aca="false">IF(H211&lt;&gt;"",IF(LEFT(H211,5)="Price","Excluded – price ≤ USD 5","Excluded – IV only"),IF(ISNUMBER(I211),IF(AND(I211&gt;=$C$3,M211&gt;=$E$3),"Priority 1",IF(OR(I211&gt;=$C$3,M211&gt;=$E$3),"Priority 2","Priority 3")),IF(M211&gt;=$E$3,"Priority 2","Priority 3")))</f>
        <v>Excluded – price ≤ USD 5</v>
      </c>
      <c r="F211" s="15" t="str">
        <f aca="false">IF(H211&lt;&gt;"","",COUNTIFS($A$29:$A$361,A211,$H$29:$H$361,"",$AJ$29:$AJ$361,"&gt;"&amp;AJ211)+COUNTIFS($A$29:A211,A211,$H$29:H211,"",$AJ$29:AJ211,AJ211))</f>
        <v/>
      </c>
      <c r="G211" s="17" t="str">
        <f aca="false">IF(H211&lt;&gt;"","",IF(ISNUMBER(I211),IF(I211&gt;=$C$3,"High price","Lower price"),"No price")&amp;", "&amp;IF(M211&gt;=$E$3,"high volume","lower volume"))</f>
        <v/>
      </c>
      <c r="H211" s="17" t="str">
        <f aca="false">IF(Q211="No","IV only (no ID, IM or SC route)",IF(AND(AE211&gt;0,AF211=0),"Price ≤ USD 5",""))</f>
        <v>Price ≤ USD 5</v>
      </c>
      <c r="I211" s="18" t="str">
        <f aca="false">IF(AF211&gt;0,ROUND(AVERAGEIFS('Shortlisted Drugs X Company (7)'!$N$3:$N$698,'Shortlisted Drugs X Company (7)'!$C$3:$C$698,$B211,'Shortlisted Drugs X Company (7)'!$E$3:$E$698,$AA211,'Shortlisted Drugs X Company (7)'!$N$3:$N$698,"&gt;5"),2),"")</f>
        <v/>
      </c>
      <c r="J211" s="17" t="str">
        <f aca="false">IF(COUNTIFS('Shortlisted Drugs X Company (7)'!$C$3:$C$698,$B211,'Shortlisted Drugs X Company (7)'!$E$3:$E$698,$AA211,'Shortlisted Drugs X Company (7)'!$P$3:$P$698,"Exact")&gt;0,"Exact",IF(COUNTIFS('Shortlisted Drugs X Company (7)'!$C$3:$C$698,$B211,'Shortlisted Drugs X Company (7)'!$E$3:$E$698,$AA211,'Shortlisted Drugs X Company (7)'!$P$3:$P$698,"Same-market proxy")&gt;0,"Same-market proxy",IF(COUNTIFS('Shortlisted Drugs X Company (7)'!$C$3:$C$698,$B211,'Shortlisted Drugs X Company (7)'!$E$3:$E$698,$AA211,'Shortlisted Drugs X Company (7)'!$P$3:$P$698,"Cross-market proxy")&gt;0,"Cross-market proxy",IF(COUNTIFS('Shortlisted Drugs X Company (7)'!$C$3:$C$698,$B211,'Shortlisted Drugs X Company (7)'!$E$3:$E$698,$AA211,'Shortlisted Drugs X Company (7)'!$P$3:$P$698,"Source not found")&gt;0,"Source not found","No price found"))))</f>
        <v>Same-market proxy</v>
      </c>
      <c r="K211" s="19" t="n">
        <f aca="false">IFERROR(INDEX('Injectable Value'!$AB$28:$AB$178,MATCH(B211,'Injectable Value'!$A$28:$A$178,0)),"")</f>
        <v>286</v>
      </c>
      <c r="L211" s="77" t="n">
        <f aca="false">IFERROR(INDEX('Injectable Value'!$Z$28:$Z$178,MATCH(B211,'Injectable Value'!$A$28:$A$178,0)),"")</f>
        <v>0.4171983066393</v>
      </c>
      <c r="M211" s="19" t="n">
        <f aca="false">IFERROR(INDEX('Injectable Value'!$AC$28:$AC$178,MATCH(B211,'Injectable Value'!$A$28:$A$178,0)),"")</f>
        <v>119</v>
      </c>
      <c r="N211" s="19" t="n">
        <f aca="false">IFERROR(INDEX('Injectable Value'!$C$28:$C$178,MATCH(B211,'Injectable Value'!$A$28:$A$178,0)),"")</f>
        <v>3193.58</v>
      </c>
      <c r="O211" s="19" t="n">
        <f aca="false">IFERROR(ROUND(INDEX('Injectable Value'!$AA$28:$AA$178,MATCH(B211,'Injectable Value'!$A$28:$A$178,0)),1),"")</f>
        <v>1332.4</v>
      </c>
      <c r="P211" s="16" t="str">
        <f aca="false">IFERROR(INDEX('Route of Administration'!$C$5:$C$155,MATCH(B211,'Route of Administration'!$A$5:$A$155,0)),"")</f>
        <v>IV, IM</v>
      </c>
      <c r="Q211" s="15" t="str">
        <f aca="false">IFERROR(INDEX('Route of Administration'!$D$5:$D$155,MATCH(B211,'Route of Administration'!$A$5:$A$155,0)),"")</f>
        <v>Yes</v>
      </c>
      <c r="R211" s="16" t="s">
        <v>349</v>
      </c>
      <c r="S211" s="17" t="s">
        <v>1048</v>
      </c>
      <c r="T211" s="16" t="s">
        <v>283</v>
      </c>
      <c r="U211" s="17" t="str">
        <f aca="false">""&amp;IF(AE211=0,"No price found","")&amp;IF(AND(AE211&gt;0,AF211=0,AG211=0),"Low price comes from another market – confirm with the company","")</f>
        <v/>
      </c>
      <c r="V211" s="17" t="s">
        <v>1049</v>
      </c>
      <c r="W211" s="15" t="n">
        <v>8</v>
      </c>
      <c r="X211" s="17" t="s">
        <v>1050</v>
      </c>
      <c r="Y211" s="17" t="s">
        <v>1050</v>
      </c>
      <c r="Z211" s="17" t="s">
        <v>321</v>
      </c>
      <c r="AA211" s="16" t="s">
        <v>927</v>
      </c>
      <c r="AB211" s="78" t="s">
        <v>892</v>
      </c>
      <c r="AC211" s="20" t="n">
        <f aca="false">IF(AE211&gt;0,ROUND(AVERAGEIFS('Shortlisted Drugs X Company (7)'!$N$3:$N$698,'Shortlisted Drugs X Company (7)'!$C$3:$C$698,$B211,'Shortlisted Drugs X Company (7)'!$E$3:$E$698,$AA211,'Shortlisted Drugs X Company (7)'!$N$3:$N$698,"&gt;=0"),2),"")</f>
        <v>3</v>
      </c>
      <c r="AD211" s="79" t="str">
        <f aca="false">B211&amp;"|"&amp;AA211</f>
        <v>Glycopyrrolate|Intas Pharmaceuticals</v>
      </c>
      <c r="AE211" s="22" t="n">
        <f aca="false">COUNTIFS('Shortlisted Drugs X Company (7)'!$C$3:$C$698,$B211,'Shortlisted Drugs X Company (7)'!$E$3:$E$698,$AA211,'Shortlisted Drugs X Company (7)'!$N$3:$N$698,"&gt;=0")</f>
        <v>1</v>
      </c>
      <c r="AF211" s="22" t="n">
        <f aca="false">COUNTIFS('Shortlisted Drugs X Company (7)'!$C$3:$C$698,$B211,'Shortlisted Drugs X Company (7)'!$E$3:$E$698,$AA211,'Shortlisted Drugs X Company (7)'!$N$3:$N$698,"&gt;5")</f>
        <v>0</v>
      </c>
      <c r="AG211" s="22" t="n">
        <f aca="false">COUNTIFS('Shortlisted Drugs X Company (7)'!$C$3:$C$698,$B211,'Shortlisted Drugs X Company (7)'!$E$3:$E$698,$AA211,'Shortlisted Drugs X Company (7)'!$P$3:$P$698,"Exact")+COUNTIFS('Shortlisted Drugs X Company (7)'!$C$3:$C$698,$B211,'Shortlisted Drugs X Company (7)'!$E$3:$E$698,$AA211,'Shortlisted Drugs X Company (7)'!$P$3:$P$698,"Same-market proxy")</f>
        <v>1</v>
      </c>
      <c r="AH211" s="22" t="n">
        <f aca="false">INDEX($G$7:$G$25,MATCH(A211,$A$7:$A$25,0))</f>
        <v>1</v>
      </c>
      <c r="AI211" s="79" t="n">
        <f aca="false">IF(OR(Q211="No",LEFT(H211,7)="IV only"),"",AH211*1000+IF(F211="",900+COUNTIFS($A$29:A211,A211,$H$29:H211,"Price*"),F211))</f>
        <v>1902</v>
      </c>
      <c r="AJ211" s="79" t="str">
        <f aca="false">IF(H211&lt;&gt;"","",(4-VALUE(RIGHT(E211,1)))*10^7+N(O211))</f>
        <v/>
      </c>
      <c r="AK211" s="79" t="str">
        <f aca="false">IF(AND(H211="",ISNUMBER(I211)),I211,"")</f>
        <v/>
      </c>
      <c r="AL211" s="79" t="str">
        <f aca="false">IF(H211="",M211,"")</f>
        <v/>
      </c>
    </row>
    <row r="212" customFormat="false" ht="28.35" hidden="false" customHeight="false" outlineLevel="0" collapsed="false">
      <c r="A212" s="16" t="s">
        <v>21</v>
      </c>
      <c r="B212" s="16" t="s">
        <v>1051</v>
      </c>
      <c r="C212" s="17" t="s">
        <v>1052</v>
      </c>
      <c r="D212" s="17" t="s">
        <v>1053</v>
      </c>
      <c r="E212" s="15" t="str">
        <f aca="false">IF(H212&lt;&gt;"",IF(LEFT(H212,5)="Price","Excluded – price ≤ USD 5","Excluded – IV only"),IF(ISNUMBER(I212),IF(AND(I212&gt;=$C$3,M212&gt;=$E$3),"Priority 1",IF(OR(I212&gt;=$C$3,M212&gt;=$E$3),"Priority 2","Priority 3")),IF(M212&gt;=$E$3,"Priority 2","Priority 3")))</f>
        <v>Priority 3</v>
      </c>
      <c r="F212" s="15" t="n">
        <f aca="false">IF(H212&lt;&gt;"","",COUNTIFS($A$29:$A$361,A212,$H$29:$H$361,"",$AJ$29:$AJ$361,"&gt;"&amp;AJ212)+COUNTIFS($A$29:A212,A212,$H$29:H212,"",$AJ$29:AJ212,AJ212))</f>
        <v>24</v>
      </c>
      <c r="G212" s="17" t="str">
        <f aca="false">IF(H212&lt;&gt;"","",IF(ISNUMBER(I212),IF(I212&gt;=$C$3,"High price","Lower price"),"No price")&amp;", "&amp;IF(M212&gt;=$E$3,"high volume","lower volume"))</f>
        <v>Lower price, lower volume</v>
      </c>
      <c r="H212" s="17" t="str">
        <f aca="false">IF(Q212="No","IV only (no ID, IM or SC route)",IF(AND(AE212&gt;0,AF212=0),"Price ≤ USD 5",""))</f>
        <v/>
      </c>
      <c r="I212" s="18" t="n">
        <f aca="false">IF(AF212&gt;0,ROUND(AVERAGEIFS('Shortlisted Drugs X Company (7)'!$N$3:$N$698,'Shortlisted Drugs X Company (7)'!$C$3:$C$698,$B212,'Shortlisted Drugs X Company (7)'!$E$3:$E$698,$AA212,'Shortlisted Drugs X Company (7)'!$N$3:$N$698,"&gt;5"),2),"")</f>
        <v>9.83</v>
      </c>
      <c r="J212" s="17" t="str">
        <f aca="false">IF(COUNTIFS('Shortlisted Drugs X Company (7)'!$C$3:$C$698,$B212,'Shortlisted Drugs X Company (7)'!$E$3:$E$698,$AA212,'Shortlisted Drugs X Company (7)'!$P$3:$P$698,"Exact")&gt;0,"Exact",IF(COUNTIFS('Shortlisted Drugs X Company (7)'!$C$3:$C$698,$B212,'Shortlisted Drugs X Company (7)'!$E$3:$E$698,$AA212,'Shortlisted Drugs X Company (7)'!$P$3:$P$698,"Same-market proxy")&gt;0,"Same-market proxy",IF(COUNTIFS('Shortlisted Drugs X Company (7)'!$C$3:$C$698,$B212,'Shortlisted Drugs X Company (7)'!$E$3:$E$698,$AA212,'Shortlisted Drugs X Company (7)'!$P$3:$P$698,"Cross-market proxy")&gt;0,"Cross-market proxy",IF(COUNTIFS('Shortlisted Drugs X Company (7)'!$C$3:$C$698,$B212,'Shortlisted Drugs X Company (7)'!$E$3:$E$698,$AA212,'Shortlisted Drugs X Company (7)'!$P$3:$P$698,"Source not found")&gt;0,"Source not found","No price found"))))</f>
        <v>Cross-market proxy</v>
      </c>
      <c r="K212" s="19" t="n">
        <f aca="false">IFERROR(INDEX('Injectable Value'!$AB$28:$AB$178,MATCH(B212,'Injectable Value'!$A$28:$A$178,0)),"")</f>
        <v>32</v>
      </c>
      <c r="L212" s="77" t="n">
        <f aca="false">IFERROR(INDEX('Injectable Value'!$Z$28:$Z$178,MATCH(B212,'Injectable Value'!$A$28:$A$178,0)),"")</f>
        <v>0.689259259259259</v>
      </c>
      <c r="M212" s="19" t="n">
        <f aca="false">IFERROR(INDEX('Injectable Value'!$AC$28:$AC$178,MATCH(B212,'Injectable Value'!$A$28:$A$178,0)),"")</f>
        <v>22</v>
      </c>
      <c r="N212" s="19" t="n">
        <f aca="false">IFERROR(INDEX('Injectable Value'!$C$28:$C$178,MATCH(B212,'Injectable Value'!$A$28:$A$178,0)),"")</f>
        <v>457.96</v>
      </c>
      <c r="O212" s="19" t="n">
        <f aca="false">IFERROR(ROUND(INDEX('Injectable Value'!$AA$28:$AA$178,MATCH(B212,'Injectable Value'!$A$28:$A$178,0)),1),"")</f>
        <v>315.7</v>
      </c>
      <c r="P212" s="16" t="str">
        <f aca="false">IFERROR(INDEX('Route of Administration'!$C$5:$C$155,MATCH(B212,'Route of Administration'!$A$5:$A$155,0)),"")</f>
        <v>IV, IM, SC</v>
      </c>
      <c r="Q212" s="15" t="str">
        <f aca="false">IFERROR(INDEX('Route of Administration'!$D$5:$D$155,MATCH(B212,'Route of Administration'!$A$5:$A$155,0)),"")</f>
        <v>Yes</v>
      </c>
      <c r="R212" s="16" t="s">
        <v>310</v>
      </c>
      <c r="S212" s="17" t="s">
        <v>883</v>
      </c>
      <c r="T212" s="16" t="s">
        <v>283</v>
      </c>
      <c r="U212" s="17" t="str">
        <f aca="false">""&amp;IF(AE212=0,"No price found","")&amp;IF(AND(AE212&gt;0,AF212=0,AG212=0),"Low price comes from another market – confirm with the company","")</f>
        <v/>
      </c>
      <c r="V212" s="17" t="s">
        <v>912</v>
      </c>
      <c r="W212" s="15" t="n">
        <v>1</v>
      </c>
      <c r="X212" s="17" t="s">
        <v>912</v>
      </c>
      <c r="Y212" s="17" t="s">
        <v>912</v>
      </c>
      <c r="Z212" s="17" t="s">
        <v>312</v>
      </c>
      <c r="AA212" s="16" t="s">
        <v>927</v>
      </c>
      <c r="AB212" s="78" t="s">
        <v>1054</v>
      </c>
      <c r="AC212" s="20" t="n">
        <f aca="false">IF(AE212&gt;0,ROUND(AVERAGEIFS('Shortlisted Drugs X Company (7)'!$N$3:$N$698,'Shortlisted Drugs X Company (7)'!$C$3:$C$698,$B212,'Shortlisted Drugs X Company (7)'!$E$3:$E$698,$AA212,'Shortlisted Drugs X Company (7)'!$N$3:$N$698,"&gt;=0"),2),"")</f>
        <v>9.83</v>
      </c>
      <c r="AD212" s="79" t="str">
        <f aca="false">B212&amp;"|"&amp;AA212</f>
        <v>Hydroxocobalamin|Intas Pharmaceuticals</v>
      </c>
      <c r="AE212" s="22" t="n">
        <f aca="false">COUNTIFS('Shortlisted Drugs X Company (7)'!$C$3:$C$698,$B212,'Shortlisted Drugs X Company (7)'!$E$3:$E$698,$AA212,'Shortlisted Drugs X Company (7)'!$N$3:$N$698,"&gt;=0")</f>
        <v>1</v>
      </c>
      <c r="AF212" s="22" t="n">
        <f aca="false">COUNTIFS('Shortlisted Drugs X Company (7)'!$C$3:$C$698,$B212,'Shortlisted Drugs X Company (7)'!$E$3:$E$698,$AA212,'Shortlisted Drugs X Company (7)'!$N$3:$N$698,"&gt;5")</f>
        <v>1</v>
      </c>
      <c r="AG212" s="22" t="n">
        <f aca="false">COUNTIFS('Shortlisted Drugs X Company (7)'!$C$3:$C$698,$B212,'Shortlisted Drugs X Company (7)'!$E$3:$E$698,$AA212,'Shortlisted Drugs X Company (7)'!$P$3:$P$698,"Exact")+COUNTIFS('Shortlisted Drugs X Company (7)'!$C$3:$C$698,$B212,'Shortlisted Drugs X Company (7)'!$E$3:$E$698,$AA212,'Shortlisted Drugs X Company (7)'!$P$3:$P$698,"Same-market proxy")</f>
        <v>0</v>
      </c>
      <c r="AH212" s="22" t="n">
        <f aca="false">INDEX($G$7:$G$25,MATCH(A212,$A$7:$A$25,0))</f>
        <v>1</v>
      </c>
      <c r="AI212" s="79" t="n">
        <f aca="false">IF(OR(Q212="No",LEFT(H212,7)="IV only"),"",AH212*1000+IF(F212="",900+COUNTIFS($A$29:A212,A212,$H$29:H212,"Price*"),F212))</f>
        <v>1024</v>
      </c>
      <c r="AJ212" s="79" t="n">
        <f aca="false">IF(H212&lt;&gt;"","",(4-VALUE(RIGHT(E212,1)))*10^7+N(O212))</f>
        <v>10000315.7</v>
      </c>
      <c r="AK212" s="20" t="n">
        <f aca="false">IF(AND(H212="",ISNUMBER(I212)),I212,"")</f>
        <v>9.83</v>
      </c>
      <c r="AL212" s="21" t="n">
        <f aca="false">IF(H212="",M212,"")</f>
        <v>22</v>
      </c>
    </row>
    <row r="213" customFormat="false" ht="95.5" hidden="false" customHeight="false" outlineLevel="0" collapsed="false">
      <c r="A213" s="16" t="s">
        <v>21</v>
      </c>
      <c r="B213" s="16" t="s">
        <v>466</v>
      </c>
      <c r="C213" s="17" t="s">
        <v>1055</v>
      </c>
      <c r="D213" s="17" t="s">
        <v>468</v>
      </c>
      <c r="E213" s="15" t="str">
        <f aca="false">IF(H213&lt;&gt;"",IF(LEFT(H213,5)="Price","Excluded – price ≤ USD 5","Excluded – IV only"),IF(ISNUMBER(I213),IF(AND(I213&gt;=$C$3,M213&gt;=$E$3),"Priority 1",IF(OR(I213&gt;=$C$3,M213&gt;=$E$3),"Priority 2","Priority 3")),IF(M213&gt;=$E$3,"Priority 2","Priority 3")))</f>
        <v>Excluded – IV only</v>
      </c>
      <c r="F213" s="15" t="str">
        <f aca="false">IF(H213&lt;&gt;"","",COUNTIFS($A$29:$A$361,A213,$H$29:$H$361,"",$AJ$29:$AJ$361,"&gt;"&amp;AJ213)+COUNTIFS($A$29:A213,A213,$H$29:H213,"",$AJ$29:AJ213,AJ213))</f>
        <v/>
      </c>
      <c r="G213" s="17" t="str">
        <f aca="false">IF(H213&lt;&gt;"","",IF(ISNUMBER(I213),IF(I213&gt;=$C$3,"High price","Lower price"),"No price")&amp;", "&amp;IF(M213&gt;=$E$3,"high volume","lower volume"))</f>
        <v/>
      </c>
      <c r="H213" s="17" t="str">
        <f aca="false">IF(Q213="No","IV only (no ID, IM or SC route)",IF(AND(AE213&gt;0,AF213=0),"Price ≤ USD 5",""))</f>
        <v>IV only (no ID, IM or SC route)</v>
      </c>
      <c r="I213" s="18" t="n">
        <f aca="false">IF(AF213&gt;0,ROUND(AVERAGEIFS('Shortlisted Drugs X Company (7)'!$N$3:$N$698,'Shortlisted Drugs X Company (7)'!$C$3:$C$698,$B213,'Shortlisted Drugs X Company (7)'!$E$3:$E$698,$AA213,'Shortlisted Drugs X Company (7)'!$N$3:$N$698,"&gt;5"),2),"")</f>
        <v>101.76</v>
      </c>
      <c r="J213" s="17" t="str">
        <f aca="false">IF(COUNTIFS('Shortlisted Drugs X Company (7)'!$C$3:$C$698,$B213,'Shortlisted Drugs X Company (7)'!$E$3:$E$698,$AA213,'Shortlisted Drugs X Company (7)'!$P$3:$P$698,"Exact")&gt;0,"Exact",IF(COUNTIFS('Shortlisted Drugs X Company (7)'!$C$3:$C$698,$B213,'Shortlisted Drugs X Company (7)'!$E$3:$E$698,$AA213,'Shortlisted Drugs X Company (7)'!$P$3:$P$698,"Same-market proxy")&gt;0,"Same-market proxy",IF(COUNTIFS('Shortlisted Drugs X Company (7)'!$C$3:$C$698,$B213,'Shortlisted Drugs X Company (7)'!$E$3:$E$698,$AA213,'Shortlisted Drugs X Company (7)'!$P$3:$P$698,"Cross-market proxy")&gt;0,"Cross-market proxy",IF(COUNTIFS('Shortlisted Drugs X Company (7)'!$C$3:$C$698,$B213,'Shortlisted Drugs X Company (7)'!$E$3:$E$698,$AA213,'Shortlisted Drugs X Company (7)'!$P$3:$P$698,"Source not found")&gt;0,"Source not found","No price found"))))</f>
        <v>Exact</v>
      </c>
      <c r="K213" s="19" t="n">
        <f aca="false">IFERROR(INDEX('Injectable Value'!$AB$28:$AB$178,MATCH(B213,'Injectable Value'!$A$28:$A$178,0)),"")</f>
        <v>116</v>
      </c>
      <c r="L213" s="77" t="n">
        <f aca="false">IFERROR(INDEX('Injectable Value'!$Z$28:$Z$178,MATCH(B213,'Injectable Value'!$A$28:$A$178,0)),"")</f>
        <v>0.444974105461394</v>
      </c>
      <c r="M213" s="19" t="n">
        <f aca="false">IFERROR(INDEX('Injectable Value'!$AC$28:$AC$178,MATCH(B213,'Injectable Value'!$A$28:$A$178,0)),"")</f>
        <v>52</v>
      </c>
      <c r="N213" s="19" t="n">
        <f aca="false">IFERROR(INDEX('Injectable Value'!$C$28:$C$178,MATCH(B213,'Injectable Value'!$A$28:$A$178,0)),"")</f>
        <v>1162.12</v>
      </c>
      <c r="O213" s="19" t="n">
        <f aca="false">IFERROR(ROUND(INDEX('Injectable Value'!$AA$28:$AA$178,MATCH(B213,'Injectable Value'!$A$28:$A$178,0)),1),"")</f>
        <v>517.1</v>
      </c>
      <c r="P213" s="16" t="str">
        <f aca="false">IFERROR(INDEX('Route of Administration'!$C$5:$C$155,MATCH(B213,'Route of Administration'!$A$5:$A$155,0)),"")</f>
        <v>IV</v>
      </c>
      <c r="Q213" s="15" t="str">
        <f aca="false">IFERROR(INDEX('Route of Administration'!$D$5:$D$155,MATCH(B213,'Route of Administration'!$A$5:$A$155,0)),"")</f>
        <v>No</v>
      </c>
      <c r="R213" s="16" t="s">
        <v>291</v>
      </c>
      <c r="S213" s="17" t="s">
        <v>469</v>
      </c>
      <c r="T213" s="16" t="s">
        <v>283</v>
      </c>
      <c r="U213" s="17" t="str">
        <f aca="false">"Prefilled only"&amp;IF(AE213=0,"; No price found","")&amp;IF(AND(AE213&gt;0,AF213=0,AG213=0),"; Low price comes from another market – confirm with the company","")</f>
        <v>Prefilled only</v>
      </c>
      <c r="V213" s="17" t="s">
        <v>1056</v>
      </c>
      <c r="W213" s="15" t="n">
        <v>32</v>
      </c>
      <c r="X213" s="17" t="s">
        <v>1057</v>
      </c>
      <c r="Y213" s="17" t="s">
        <v>1058</v>
      </c>
      <c r="Z213" s="17" t="s">
        <v>293</v>
      </c>
      <c r="AA213" s="16" t="s">
        <v>927</v>
      </c>
      <c r="AB213" s="78" t="s">
        <v>470</v>
      </c>
      <c r="AC213" s="20" t="n">
        <f aca="false">IF(AE213&gt;0,ROUND(AVERAGEIFS('Shortlisted Drugs X Company (7)'!$N$3:$N$698,'Shortlisted Drugs X Company (7)'!$C$3:$C$698,$B213,'Shortlisted Drugs X Company (7)'!$E$3:$E$698,$AA213,'Shortlisted Drugs X Company (7)'!$N$3:$N$698,"&gt;=0"),2),"")</f>
        <v>101.76</v>
      </c>
      <c r="AD213" s="79" t="str">
        <f aca="false">B213&amp;"|"&amp;AA213</f>
        <v>Ibandronic Acid|Intas Pharmaceuticals</v>
      </c>
      <c r="AE213" s="22" t="n">
        <f aca="false">COUNTIFS('Shortlisted Drugs X Company (7)'!$C$3:$C$698,$B213,'Shortlisted Drugs X Company (7)'!$E$3:$E$698,$AA213,'Shortlisted Drugs X Company (7)'!$N$3:$N$698,"&gt;=0")</f>
        <v>3</v>
      </c>
      <c r="AF213" s="22" t="n">
        <f aca="false">COUNTIFS('Shortlisted Drugs X Company (7)'!$C$3:$C$698,$B213,'Shortlisted Drugs X Company (7)'!$E$3:$E$698,$AA213,'Shortlisted Drugs X Company (7)'!$N$3:$N$698,"&gt;5")</f>
        <v>3</v>
      </c>
      <c r="AG213" s="22" t="n">
        <f aca="false">COUNTIFS('Shortlisted Drugs X Company (7)'!$C$3:$C$698,$B213,'Shortlisted Drugs X Company (7)'!$E$3:$E$698,$AA213,'Shortlisted Drugs X Company (7)'!$P$3:$P$698,"Exact")+COUNTIFS('Shortlisted Drugs X Company (7)'!$C$3:$C$698,$B213,'Shortlisted Drugs X Company (7)'!$E$3:$E$698,$AA213,'Shortlisted Drugs X Company (7)'!$P$3:$P$698,"Same-market proxy")</f>
        <v>3</v>
      </c>
      <c r="AH213" s="22" t="n">
        <f aca="false">INDEX($G$7:$G$25,MATCH(A213,$A$7:$A$25,0))</f>
        <v>1</v>
      </c>
      <c r="AI213" s="79" t="str">
        <f aca="false">IF(OR(Q213="No",LEFT(H213,7)="IV only"),"",AH213*1000+IF(F213="",900+COUNTIFS($A$29:A213,A213,$H$29:H213,"Price*"),F213))</f>
        <v/>
      </c>
      <c r="AJ213" s="79" t="str">
        <f aca="false">IF(H213&lt;&gt;"","",(4-VALUE(RIGHT(E213,1)))*10^7+N(O213))</f>
        <v/>
      </c>
      <c r="AK213" s="79" t="str">
        <f aca="false">IF(AND(H213="",ISNUMBER(I213)),I213,"")</f>
        <v/>
      </c>
      <c r="AL213" s="79" t="str">
        <f aca="false">IF(H213="",M213,"")</f>
        <v/>
      </c>
    </row>
    <row r="214" customFormat="false" ht="28.35" hidden="false" customHeight="false" outlineLevel="0" collapsed="false">
      <c r="A214" s="16" t="s">
        <v>21</v>
      </c>
      <c r="B214" s="16" t="s">
        <v>1059</v>
      </c>
      <c r="C214" s="17" t="s">
        <v>1060</v>
      </c>
      <c r="D214" s="17" t="s">
        <v>1061</v>
      </c>
      <c r="E214" s="15" t="str">
        <f aca="false">IF(H214&lt;&gt;"",IF(LEFT(H214,5)="Price","Excluded – price ≤ USD 5","Excluded – IV only"),IF(ISNUMBER(I214),IF(AND(I214&gt;=$C$3,M214&gt;=$E$3),"Priority 1",IF(OR(I214&gt;=$C$3,M214&gt;=$E$3),"Priority 2","Priority 3")),IF(M214&gt;=$E$3,"Priority 2","Priority 3")))</f>
        <v>Excluded – IV only</v>
      </c>
      <c r="F214" s="15" t="str">
        <f aca="false">IF(H214&lt;&gt;"","",COUNTIFS($A$29:$A$361,A214,$H$29:$H$361,"",$AJ$29:$AJ$361,"&gt;"&amp;AJ214)+COUNTIFS($A$29:A214,A214,$H$29:H214,"",$AJ$29:AJ214,AJ214))</f>
        <v/>
      </c>
      <c r="G214" s="17" t="str">
        <f aca="false">IF(H214&lt;&gt;"","",IF(ISNUMBER(I214),IF(I214&gt;=$C$3,"High price","Lower price"),"No price")&amp;", "&amp;IF(M214&gt;=$E$3,"high volume","lower volume"))</f>
        <v/>
      </c>
      <c r="H214" s="17" t="str">
        <f aca="false">IF(Q214="No","IV only (no ID, IM or SC route)",IF(AND(AE214&gt;0,AF214=0),"Price ≤ USD 5",""))</f>
        <v>IV only (no ID, IM or SC route)</v>
      </c>
      <c r="I214" s="18" t="n">
        <f aca="false">IF(AF214&gt;0,ROUND(AVERAGEIFS('Shortlisted Drugs X Company (7)'!$N$3:$N$698,'Shortlisted Drugs X Company (7)'!$C$3:$C$698,$B214,'Shortlisted Drugs X Company (7)'!$E$3:$E$698,$AA214,'Shortlisted Drugs X Company (7)'!$N$3:$N$698,"&gt;5"),2),"")</f>
        <v>149.04</v>
      </c>
      <c r="J214" s="17" t="str">
        <f aca="false">IF(COUNTIFS('Shortlisted Drugs X Company (7)'!$C$3:$C$698,$B214,'Shortlisted Drugs X Company (7)'!$E$3:$E$698,$AA214,'Shortlisted Drugs X Company (7)'!$P$3:$P$698,"Exact")&gt;0,"Exact",IF(COUNTIFS('Shortlisted Drugs X Company (7)'!$C$3:$C$698,$B214,'Shortlisted Drugs X Company (7)'!$E$3:$E$698,$AA214,'Shortlisted Drugs X Company (7)'!$P$3:$P$698,"Same-market proxy")&gt;0,"Same-market proxy",IF(COUNTIFS('Shortlisted Drugs X Company (7)'!$C$3:$C$698,$B214,'Shortlisted Drugs X Company (7)'!$E$3:$E$698,$AA214,'Shortlisted Drugs X Company (7)'!$P$3:$P$698,"Cross-market proxy")&gt;0,"Cross-market proxy",IF(COUNTIFS('Shortlisted Drugs X Company (7)'!$C$3:$C$698,$B214,'Shortlisted Drugs X Company (7)'!$E$3:$E$698,$AA214,'Shortlisted Drugs X Company (7)'!$P$3:$P$698,"Source not found")&gt;0,"Source not found","No price found"))))</f>
        <v>Cross-market proxy</v>
      </c>
      <c r="K214" s="19" t="n">
        <f aca="false">IFERROR(INDEX('Injectable Value'!$AB$28:$AB$178,MATCH(B214,'Injectable Value'!$A$28:$A$178,0)),"")</f>
        <v>40</v>
      </c>
      <c r="L214" s="77" t="n">
        <f aca="false">IFERROR(INDEX('Injectable Value'!$Z$28:$Z$178,MATCH(B214,'Injectable Value'!$A$28:$A$178,0)),"")</f>
        <v>0.922757475083057</v>
      </c>
      <c r="M214" s="19" t="n">
        <f aca="false">IFERROR(INDEX('Injectable Value'!$AC$28:$AC$178,MATCH(B214,'Injectable Value'!$A$28:$A$178,0)),"")</f>
        <v>37</v>
      </c>
      <c r="N214" s="19" t="n">
        <f aca="false">IFERROR(INDEX('Injectable Value'!$C$28:$C$178,MATCH(B214,'Injectable Value'!$A$28:$A$178,0)),"")</f>
        <v>2015.78</v>
      </c>
      <c r="O214" s="19" t="n">
        <f aca="false">IFERROR(ROUND(INDEX('Injectable Value'!$AA$28:$AA$178,MATCH(B214,'Injectable Value'!$A$28:$A$178,0)),1),"")</f>
        <v>1860.1</v>
      </c>
      <c r="P214" s="16" t="str">
        <f aca="false">IFERROR(INDEX('Route of Administration'!$C$5:$C$155,MATCH(B214,'Route of Administration'!$A$5:$A$155,0)),"")</f>
        <v>IV</v>
      </c>
      <c r="Q214" s="15" t="str">
        <f aca="false">IFERROR(INDEX('Route of Administration'!$D$5:$D$155,MATCH(B214,'Route of Administration'!$A$5:$A$155,0)),"")</f>
        <v>No</v>
      </c>
      <c r="R214" s="16" t="s">
        <v>281</v>
      </c>
      <c r="S214" s="17" t="s">
        <v>891</v>
      </c>
      <c r="T214" s="16" t="s">
        <v>283</v>
      </c>
      <c r="U214" s="17" t="str">
        <f aca="false">"Cancer drug (cytotoxic) – less relevant"&amp;IF(AE214=0,"; No price found","")&amp;IF(AND(AE214&gt;0,AF214=0,AG214=0),"; Low price comes from another market – confirm with the company","")</f>
        <v>Cancer drug (cytotoxic) – less relevant</v>
      </c>
      <c r="V214" s="17" t="s">
        <v>1062</v>
      </c>
      <c r="W214" s="15" t="n">
        <v>5</v>
      </c>
      <c r="X214" s="17" t="s">
        <v>1063</v>
      </c>
      <c r="Y214" s="17" t="s">
        <v>1063</v>
      </c>
      <c r="Z214" s="17" t="s">
        <v>321</v>
      </c>
      <c r="AA214" s="16" t="s">
        <v>927</v>
      </c>
      <c r="AB214" s="78" t="s">
        <v>1064</v>
      </c>
      <c r="AC214" s="20" t="n">
        <f aca="false">IF(AE214&gt;0,ROUND(AVERAGEIFS('Shortlisted Drugs X Company (7)'!$N$3:$N$698,'Shortlisted Drugs X Company (7)'!$C$3:$C$698,$B214,'Shortlisted Drugs X Company (7)'!$E$3:$E$698,$AA214,'Shortlisted Drugs X Company (7)'!$N$3:$N$698,"&gt;=0"),2),"")</f>
        <v>149.04</v>
      </c>
      <c r="AD214" s="79" t="str">
        <f aca="false">B214&amp;"|"&amp;AA214</f>
        <v>Idarubicin|Intas Pharmaceuticals</v>
      </c>
      <c r="AE214" s="22" t="n">
        <f aca="false">COUNTIFS('Shortlisted Drugs X Company (7)'!$C$3:$C$698,$B214,'Shortlisted Drugs X Company (7)'!$E$3:$E$698,$AA214,'Shortlisted Drugs X Company (7)'!$N$3:$N$698,"&gt;=0")</f>
        <v>1</v>
      </c>
      <c r="AF214" s="22" t="n">
        <f aca="false">COUNTIFS('Shortlisted Drugs X Company (7)'!$C$3:$C$698,$B214,'Shortlisted Drugs X Company (7)'!$E$3:$E$698,$AA214,'Shortlisted Drugs X Company (7)'!$N$3:$N$698,"&gt;5")</f>
        <v>1</v>
      </c>
      <c r="AG214" s="22" t="n">
        <f aca="false">COUNTIFS('Shortlisted Drugs X Company (7)'!$C$3:$C$698,$B214,'Shortlisted Drugs X Company (7)'!$E$3:$E$698,$AA214,'Shortlisted Drugs X Company (7)'!$P$3:$P$698,"Exact")+COUNTIFS('Shortlisted Drugs X Company (7)'!$C$3:$C$698,$B214,'Shortlisted Drugs X Company (7)'!$E$3:$E$698,$AA214,'Shortlisted Drugs X Company (7)'!$P$3:$P$698,"Same-market proxy")</f>
        <v>0</v>
      </c>
      <c r="AH214" s="22" t="n">
        <f aca="false">INDEX($G$7:$G$25,MATCH(A214,$A$7:$A$25,0))</f>
        <v>1</v>
      </c>
      <c r="AI214" s="79" t="str">
        <f aca="false">IF(OR(Q214="No",LEFT(H214,7)="IV only"),"",AH214*1000+IF(F214="",900+COUNTIFS($A$29:A214,A214,$H$29:H214,"Price*"),F214))</f>
        <v/>
      </c>
      <c r="AJ214" s="79" t="str">
        <f aca="false">IF(H214&lt;&gt;"","",(4-VALUE(RIGHT(E214,1)))*10^7+N(O214))</f>
        <v/>
      </c>
      <c r="AK214" s="79" t="str">
        <f aca="false">IF(AND(H214="",ISNUMBER(I214)),I214,"")</f>
        <v/>
      </c>
      <c r="AL214" s="79" t="str">
        <f aca="false">IF(H214="",M214,"")</f>
        <v/>
      </c>
    </row>
    <row r="215" customFormat="false" ht="95.5" hidden="false" customHeight="false" outlineLevel="0" collapsed="false">
      <c r="A215" s="16" t="s">
        <v>21</v>
      </c>
      <c r="B215" s="16" t="s">
        <v>1065</v>
      </c>
      <c r="C215" s="17" t="s">
        <v>1066</v>
      </c>
      <c r="D215" s="17" t="s">
        <v>997</v>
      </c>
      <c r="E215" s="15" t="str">
        <f aca="false">IF(H215&lt;&gt;"",IF(LEFT(H215,5)="Price","Excluded – price ≤ USD 5","Excluded – IV only"),IF(ISNUMBER(I215),IF(AND(I215&gt;=$C$3,M215&gt;=$E$3),"Priority 1",IF(OR(I215&gt;=$C$3,M215&gt;=$E$3),"Priority 2","Priority 3")),IF(M215&gt;=$E$3,"Priority 2","Priority 3")))</f>
        <v>Priority 2</v>
      </c>
      <c r="F215" s="15" t="n">
        <f aca="false">IF(H215&lt;&gt;"","",COUNTIFS($A$29:$A$361,A215,$H$29:$H$361,"",$AJ$29:$AJ$361,"&gt;"&amp;AJ215)+COUNTIFS($A$29:A215,A215,$H$29:H215,"",$AJ$29:AJ215,AJ215))</f>
        <v>18</v>
      </c>
      <c r="G215" s="17" t="str">
        <f aca="false">IF(H215&lt;&gt;"","",IF(ISNUMBER(I215),IF(I215&gt;=$C$3,"High price","Lower price"),"No price")&amp;", "&amp;IF(M215&gt;=$E$3,"high volume","lower volume"))</f>
        <v>High price, lower volume</v>
      </c>
      <c r="H215" s="17" t="str">
        <f aca="false">IF(Q215="No","IV only (no ID, IM or SC route)",IF(AND(AE215&gt;0,AF215=0),"Price ≤ USD 5",""))</f>
        <v/>
      </c>
      <c r="I215" s="18" t="n">
        <f aca="false">IF(AF215&gt;0,ROUND(AVERAGEIFS('Shortlisted Drugs X Company (7)'!$N$3:$N$698,'Shortlisted Drugs X Company (7)'!$C$3:$C$698,$B215,'Shortlisted Drugs X Company (7)'!$E$3:$E$698,$AA215,'Shortlisted Drugs X Company (7)'!$N$3:$N$698,"&gt;5"),2),"")</f>
        <v>433.94</v>
      </c>
      <c r="J215" s="17" t="str">
        <f aca="false">IF(COUNTIFS('Shortlisted Drugs X Company (7)'!$C$3:$C$698,$B215,'Shortlisted Drugs X Company (7)'!$E$3:$E$698,$AA215,'Shortlisted Drugs X Company (7)'!$P$3:$P$698,"Exact")&gt;0,"Exact",IF(COUNTIFS('Shortlisted Drugs X Company (7)'!$C$3:$C$698,$B215,'Shortlisted Drugs X Company (7)'!$E$3:$E$698,$AA215,'Shortlisted Drugs X Company (7)'!$P$3:$P$698,"Same-market proxy")&gt;0,"Same-market proxy",IF(COUNTIFS('Shortlisted Drugs X Company (7)'!$C$3:$C$698,$B215,'Shortlisted Drugs X Company (7)'!$E$3:$E$698,$AA215,'Shortlisted Drugs X Company (7)'!$P$3:$P$698,"Cross-market proxy")&gt;0,"Cross-market proxy",IF(COUNTIFS('Shortlisted Drugs X Company (7)'!$C$3:$C$698,$B215,'Shortlisted Drugs X Company (7)'!$E$3:$E$698,$AA215,'Shortlisted Drugs X Company (7)'!$P$3:$P$698,"Source not found")&gt;0,"Source not found","No price found"))))</f>
        <v>Exact</v>
      </c>
      <c r="K215" s="19" t="n">
        <f aca="false">IFERROR(INDEX('Injectable Value'!$AB$28:$AB$178,MATCH(B215,'Injectable Value'!$A$28:$A$178,0)),"")</f>
        <v>121</v>
      </c>
      <c r="L215" s="77" t="n">
        <f aca="false">IFERROR(INDEX('Injectable Value'!$Z$28:$Z$178,MATCH(B215,'Injectable Value'!$A$28:$A$178,0)),"")</f>
        <v>0.916950682168073</v>
      </c>
      <c r="M215" s="19" t="n">
        <f aca="false">IFERROR(INDEX('Injectable Value'!$AC$28:$AC$178,MATCH(B215,'Injectable Value'!$A$28:$A$178,0)),"")</f>
        <v>111</v>
      </c>
      <c r="N215" s="19" t="n">
        <f aca="false">IFERROR(INDEX('Injectable Value'!$C$28:$C$178,MATCH(B215,'Injectable Value'!$A$28:$A$178,0)),"")</f>
        <v>2714.83</v>
      </c>
      <c r="O215" s="19" t="n">
        <f aca="false">IFERROR(ROUND(INDEX('Injectable Value'!$AA$28:$AA$178,MATCH(B215,'Injectable Value'!$A$28:$A$178,0)),1),"")</f>
        <v>2489.4</v>
      </c>
      <c r="P215" s="16" t="str">
        <f aca="false">IFERROR(INDEX('Route of Administration'!$C$5:$C$155,MATCH(B215,'Route of Administration'!$A$5:$A$155,0)),"")</f>
        <v>SC (some depots IM)</v>
      </c>
      <c r="Q215" s="15" t="str">
        <f aca="false">IFERROR(INDEX('Route of Administration'!$D$5:$D$155,MATCH(B215,'Route of Administration'!$A$5:$A$155,0)),"")</f>
        <v>Yes</v>
      </c>
      <c r="R215" s="16" t="s">
        <v>291</v>
      </c>
      <c r="S215" s="17" t="s">
        <v>1067</v>
      </c>
      <c r="T215" s="16" t="s">
        <v>283</v>
      </c>
      <c r="U215" s="17" t="str">
        <f aca="false">"Prefilled only"&amp;IF(AE215=0,"; No price found","")&amp;IF(AND(AE215&gt;0,AF215=0,AG215=0),"; Low price comes from another market – confirm with the company","")</f>
        <v>Prefilled only</v>
      </c>
      <c r="V215" s="17" t="s">
        <v>456</v>
      </c>
      <c r="W215" s="15" t="n">
        <v>31</v>
      </c>
      <c r="X215" s="17" t="s">
        <v>999</v>
      </c>
      <c r="Y215" s="17" t="s">
        <v>1000</v>
      </c>
      <c r="Z215" s="17" t="s">
        <v>293</v>
      </c>
      <c r="AA215" s="16" t="s">
        <v>927</v>
      </c>
      <c r="AB215" s="78" t="s">
        <v>1068</v>
      </c>
      <c r="AC215" s="20" t="n">
        <f aca="false">IF(AE215&gt;0,ROUND(AVERAGEIFS('Shortlisted Drugs X Company (7)'!$N$3:$N$698,'Shortlisted Drugs X Company (7)'!$C$3:$C$698,$B215,'Shortlisted Drugs X Company (7)'!$E$3:$E$698,$AA215,'Shortlisted Drugs X Company (7)'!$N$3:$N$698,"&gt;=0"),2),"")</f>
        <v>433.94</v>
      </c>
      <c r="AD215" s="79" t="str">
        <f aca="false">B215&amp;"|"&amp;AA215</f>
        <v>Leuprorelin|Intas Pharmaceuticals</v>
      </c>
      <c r="AE215" s="22" t="n">
        <f aca="false">COUNTIFS('Shortlisted Drugs X Company (7)'!$C$3:$C$698,$B215,'Shortlisted Drugs X Company (7)'!$E$3:$E$698,$AA215,'Shortlisted Drugs X Company (7)'!$N$3:$N$698,"&gt;=0")</f>
        <v>1</v>
      </c>
      <c r="AF215" s="22" t="n">
        <f aca="false">COUNTIFS('Shortlisted Drugs X Company (7)'!$C$3:$C$698,$B215,'Shortlisted Drugs X Company (7)'!$E$3:$E$698,$AA215,'Shortlisted Drugs X Company (7)'!$N$3:$N$698,"&gt;5")</f>
        <v>1</v>
      </c>
      <c r="AG215" s="22" t="n">
        <f aca="false">COUNTIFS('Shortlisted Drugs X Company (7)'!$C$3:$C$698,$B215,'Shortlisted Drugs X Company (7)'!$E$3:$E$698,$AA215,'Shortlisted Drugs X Company (7)'!$P$3:$P$698,"Exact")+COUNTIFS('Shortlisted Drugs X Company (7)'!$C$3:$C$698,$B215,'Shortlisted Drugs X Company (7)'!$E$3:$E$698,$AA215,'Shortlisted Drugs X Company (7)'!$P$3:$P$698,"Same-market proxy")</f>
        <v>1</v>
      </c>
      <c r="AH215" s="22" t="n">
        <f aca="false">INDEX($G$7:$G$25,MATCH(A215,$A$7:$A$25,0))</f>
        <v>1</v>
      </c>
      <c r="AI215" s="79" t="n">
        <f aca="false">IF(OR(Q215="No",LEFT(H215,7)="IV only"),"",AH215*1000+IF(F215="",900+COUNTIFS($A$29:A215,A215,$H$29:H215,"Price*"),F215))</f>
        <v>1018</v>
      </c>
      <c r="AJ215" s="79" t="n">
        <f aca="false">IF(H215&lt;&gt;"","",(4-VALUE(RIGHT(E215,1)))*10^7+N(O215))</f>
        <v>20002489.4</v>
      </c>
      <c r="AK215" s="20" t="n">
        <f aca="false">IF(AND(H215="",ISNUMBER(I215)),I215,"")</f>
        <v>433.94</v>
      </c>
      <c r="AL215" s="21" t="n">
        <f aca="false">IF(H215="",M215,"")</f>
        <v>111</v>
      </c>
    </row>
    <row r="216" customFormat="false" ht="41.75" hidden="false" customHeight="false" outlineLevel="0" collapsed="false">
      <c r="A216" s="16" t="s">
        <v>21</v>
      </c>
      <c r="B216" s="16" t="s">
        <v>894</v>
      </c>
      <c r="C216" s="17" t="s">
        <v>1069</v>
      </c>
      <c r="D216" s="17" t="s">
        <v>896</v>
      </c>
      <c r="E216" s="15" t="str">
        <f aca="false">IF(H216&lt;&gt;"",IF(LEFT(H216,5)="Price","Excluded – price ≤ USD 5","Excluded – IV only"),IF(ISNUMBER(I216),IF(AND(I216&gt;=$C$3,M216&gt;=$E$3),"Priority 1",IF(OR(I216&gt;=$C$3,M216&gt;=$E$3),"Priority 2","Priority 3")),IF(M216&gt;=$E$3,"Priority 2","Priority 3")))</f>
        <v>Excluded – price ≤ USD 5</v>
      </c>
      <c r="F216" s="15" t="str">
        <f aca="false">IF(H216&lt;&gt;"","",COUNTIFS($A$29:$A$361,A216,$H$29:$H$361,"",$AJ$29:$AJ$361,"&gt;"&amp;AJ216)+COUNTIFS($A$29:A216,A216,$H$29:H216,"",$AJ$29:AJ216,AJ216))</f>
        <v/>
      </c>
      <c r="G216" s="17" t="str">
        <f aca="false">IF(H216&lt;&gt;"","",IF(ISNUMBER(I216),IF(I216&gt;=$C$3,"High price","Lower price"),"No price")&amp;", "&amp;IF(M216&gt;=$E$3,"high volume","lower volume"))</f>
        <v/>
      </c>
      <c r="H216" s="17" t="str">
        <f aca="false">IF(Q216="No","IV only (no ID, IM or SC route)",IF(AND(AE216&gt;0,AF216=0),"Price ≤ USD 5",""))</f>
        <v>Price ≤ USD 5</v>
      </c>
      <c r="I216" s="18" t="str">
        <f aca="false">IF(AF216&gt;0,ROUND(AVERAGEIFS('Shortlisted Drugs X Company (7)'!$N$3:$N$698,'Shortlisted Drugs X Company (7)'!$C$3:$C$698,$B216,'Shortlisted Drugs X Company (7)'!$E$3:$E$698,$AA216,'Shortlisted Drugs X Company (7)'!$N$3:$N$698,"&gt;5"),2),"")</f>
        <v/>
      </c>
      <c r="J216" s="17" t="str">
        <f aca="false">IF(COUNTIFS('Shortlisted Drugs X Company (7)'!$C$3:$C$698,$B216,'Shortlisted Drugs X Company (7)'!$E$3:$E$698,$AA216,'Shortlisted Drugs X Company (7)'!$P$3:$P$698,"Exact")&gt;0,"Exact",IF(COUNTIFS('Shortlisted Drugs X Company (7)'!$C$3:$C$698,$B216,'Shortlisted Drugs X Company (7)'!$E$3:$E$698,$AA216,'Shortlisted Drugs X Company (7)'!$P$3:$P$698,"Same-market proxy")&gt;0,"Same-market proxy",IF(COUNTIFS('Shortlisted Drugs X Company (7)'!$C$3:$C$698,$B216,'Shortlisted Drugs X Company (7)'!$E$3:$E$698,$AA216,'Shortlisted Drugs X Company (7)'!$P$3:$P$698,"Cross-market proxy")&gt;0,"Cross-market proxy",IF(COUNTIFS('Shortlisted Drugs X Company (7)'!$C$3:$C$698,$B216,'Shortlisted Drugs X Company (7)'!$E$3:$E$698,$AA216,'Shortlisted Drugs X Company (7)'!$P$3:$P$698,"Source not found")&gt;0,"Source not found","No price found"))))</f>
        <v>Same-market proxy</v>
      </c>
      <c r="K216" s="19" t="n">
        <f aca="false">IFERROR(INDEX('Injectable Value'!$AB$28:$AB$178,MATCH(B216,'Injectable Value'!$A$28:$A$178,0)),"")</f>
        <v>1683</v>
      </c>
      <c r="L216" s="77" t="n">
        <f aca="false">IFERROR(INDEX('Injectable Value'!$Z$28:$Z$178,MATCH(B216,'Injectable Value'!$A$28:$A$178,0)),"")</f>
        <v>0.398200810013986</v>
      </c>
      <c r="M216" s="19" t="n">
        <f aca="false">IFERROR(INDEX('Injectable Value'!$AC$28:$AC$178,MATCH(B216,'Injectable Value'!$A$28:$A$178,0)),"")</f>
        <v>670</v>
      </c>
      <c r="N216" s="19" t="n">
        <f aca="false">IFERROR(INDEX('Injectable Value'!$C$28:$C$178,MATCH(B216,'Injectable Value'!$A$28:$A$178,0)),"")</f>
        <v>46739.27</v>
      </c>
      <c r="O216" s="19" t="n">
        <f aca="false">IFERROR(ROUND(INDEX('Injectable Value'!$AA$28:$AA$178,MATCH(B216,'Injectable Value'!$A$28:$A$178,0)),1),"")</f>
        <v>18611.6</v>
      </c>
      <c r="P216" s="16" t="str">
        <f aca="false">IFERROR(INDEX('Route of Administration'!$C$5:$C$155,MATCH(B216,'Route of Administration'!$A$5:$A$155,0)),"")</f>
        <v>IV, infiltration (ID, SC), perineural</v>
      </c>
      <c r="Q216" s="15" t="str">
        <f aca="false">IFERROR(INDEX('Route of Administration'!$D$5:$D$155,MATCH(B216,'Route of Administration'!$A$5:$A$155,0)),"")</f>
        <v>Yes</v>
      </c>
      <c r="R216" s="16" t="s">
        <v>371</v>
      </c>
      <c r="S216" s="17" t="s">
        <v>1070</v>
      </c>
      <c r="T216" s="16" t="s">
        <v>283</v>
      </c>
      <c r="U216" s="17" t="str">
        <f aca="false">""&amp;IF(AE216=0,"No price found","")&amp;IF(AND(AE216&gt;0,AF216=0,AG216=0),"Low price comes from another market – confirm with the company","")</f>
        <v/>
      </c>
      <c r="V216" s="17" t="s">
        <v>912</v>
      </c>
      <c r="W216" s="15" t="n">
        <v>9</v>
      </c>
      <c r="X216" s="17" t="s">
        <v>1071</v>
      </c>
      <c r="Y216" s="17" t="s">
        <v>1072</v>
      </c>
      <c r="Z216" s="17" t="s">
        <v>321</v>
      </c>
      <c r="AA216" s="16" t="s">
        <v>927</v>
      </c>
      <c r="AB216" s="78" t="s">
        <v>898</v>
      </c>
      <c r="AC216" s="20" t="n">
        <f aca="false">IF(AE216&gt;0,ROUND(AVERAGEIFS('Shortlisted Drugs X Company (7)'!$N$3:$N$698,'Shortlisted Drugs X Company (7)'!$C$3:$C$698,$B216,'Shortlisted Drugs X Company (7)'!$E$3:$E$698,$AA216,'Shortlisted Drugs X Company (7)'!$N$3:$N$698,"&gt;=0"),2),"")</f>
        <v>1.42</v>
      </c>
      <c r="AD216" s="79" t="str">
        <f aca="false">B216&amp;"|"&amp;AA216</f>
        <v>Lidocaine|Intas Pharmaceuticals</v>
      </c>
      <c r="AE216" s="22" t="n">
        <f aca="false">COUNTIFS('Shortlisted Drugs X Company (7)'!$C$3:$C$698,$B216,'Shortlisted Drugs X Company (7)'!$E$3:$E$698,$AA216,'Shortlisted Drugs X Company (7)'!$N$3:$N$698,"&gt;=0")</f>
        <v>4</v>
      </c>
      <c r="AF216" s="22" t="n">
        <f aca="false">COUNTIFS('Shortlisted Drugs X Company (7)'!$C$3:$C$698,$B216,'Shortlisted Drugs X Company (7)'!$E$3:$E$698,$AA216,'Shortlisted Drugs X Company (7)'!$N$3:$N$698,"&gt;5")</f>
        <v>0</v>
      </c>
      <c r="AG216" s="22" t="n">
        <f aca="false">COUNTIFS('Shortlisted Drugs X Company (7)'!$C$3:$C$698,$B216,'Shortlisted Drugs X Company (7)'!$E$3:$E$698,$AA216,'Shortlisted Drugs X Company (7)'!$P$3:$P$698,"Exact")+COUNTIFS('Shortlisted Drugs X Company (7)'!$C$3:$C$698,$B216,'Shortlisted Drugs X Company (7)'!$E$3:$E$698,$AA216,'Shortlisted Drugs X Company (7)'!$P$3:$P$698,"Same-market proxy")</f>
        <v>4</v>
      </c>
      <c r="AH216" s="22" t="n">
        <f aca="false">INDEX($G$7:$G$25,MATCH(A216,$A$7:$A$25,0))</f>
        <v>1</v>
      </c>
      <c r="AI216" s="79" t="n">
        <f aca="false">IF(OR(Q216="No",LEFT(H216,7)="IV only"),"",AH216*1000+IF(F216="",900+COUNTIFS($A$29:A216,A216,$H$29:H216,"Price*"),F216))</f>
        <v>1903</v>
      </c>
      <c r="AJ216" s="79" t="str">
        <f aca="false">IF(H216&lt;&gt;"","",(4-VALUE(RIGHT(E216,1)))*10^7+N(O216))</f>
        <v/>
      </c>
      <c r="AK216" s="79" t="str">
        <f aca="false">IF(AND(H216="",ISNUMBER(I216)),I216,"")</f>
        <v/>
      </c>
      <c r="AL216" s="79" t="str">
        <f aca="false">IF(H216="",M216,"")</f>
        <v/>
      </c>
    </row>
    <row r="217" customFormat="false" ht="28.35" hidden="false" customHeight="false" outlineLevel="0" collapsed="false">
      <c r="A217" s="16" t="s">
        <v>21</v>
      </c>
      <c r="B217" s="16" t="s">
        <v>476</v>
      </c>
      <c r="C217" s="17" t="s">
        <v>1073</v>
      </c>
      <c r="D217" s="17" t="s">
        <v>478</v>
      </c>
      <c r="E217" s="15" t="str">
        <f aca="false">IF(H217&lt;&gt;"",IF(LEFT(H217,5)="Price","Excluded – price ≤ USD 5","Excluded – IV only"),IF(ISNUMBER(I217),IF(AND(I217&gt;=$C$3,M217&gt;=$E$3),"Priority 1",IF(OR(I217&gt;=$C$3,M217&gt;=$E$3),"Priority 2","Priority 3")),IF(M217&gt;=$E$3,"Priority 2","Priority 3")))</f>
        <v>Excluded – IV only</v>
      </c>
      <c r="F217" s="15" t="str">
        <f aca="false">IF(H217&lt;&gt;"","",COUNTIFS($A$29:$A$361,A217,$H$29:$H$361,"",$AJ$29:$AJ$361,"&gt;"&amp;AJ217)+COUNTIFS($A$29:A217,A217,$H$29:H217,"",$AJ$29:AJ217,AJ217))</f>
        <v/>
      </c>
      <c r="G217" s="17" t="str">
        <f aca="false">IF(H217&lt;&gt;"","",IF(ISNUMBER(I217),IF(I217&gt;=$C$3,"High price","Lower price"),"No price")&amp;", "&amp;IF(M217&gt;=$E$3,"high volume","lower volume"))</f>
        <v/>
      </c>
      <c r="H217" s="17" t="str">
        <f aca="false">IF(Q217="No","IV only (no ID, IM or SC route)",IF(AND(AE217&gt;0,AF217=0),"Price ≤ USD 5",""))</f>
        <v>IV only (no ID, IM or SC route)</v>
      </c>
      <c r="I217" s="18" t="n">
        <f aca="false">IF(AF217&gt;0,ROUND(AVERAGEIFS('Shortlisted Drugs X Company (7)'!$N$3:$N$698,'Shortlisted Drugs X Company (7)'!$C$3:$C$698,$B217,'Shortlisted Drugs X Company (7)'!$E$3:$E$698,$AA217,'Shortlisted Drugs X Company (7)'!$N$3:$N$698,"&gt;5"),2),"")</f>
        <v>147.8</v>
      </c>
      <c r="J217" s="17" t="str">
        <f aca="false">IF(COUNTIFS('Shortlisted Drugs X Company (7)'!$C$3:$C$698,$B217,'Shortlisted Drugs X Company (7)'!$E$3:$E$698,$AA217,'Shortlisted Drugs X Company (7)'!$P$3:$P$698,"Exact")&gt;0,"Exact",IF(COUNTIFS('Shortlisted Drugs X Company (7)'!$C$3:$C$698,$B217,'Shortlisted Drugs X Company (7)'!$E$3:$E$698,$AA217,'Shortlisted Drugs X Company (7)'!$P$3:$P$698,"Same-market proxy")&gt;0,"Same-market proxy",IF(COUNTIFS('Shortlisted Drugs X Company (7)'!$C$3:$C$698,$B217,'Shortlisted Drugs X Company (7)'!$E$3:$E$698,$AA217,'Shortlisted Drugs X Company (7)'!$P$3:$P$698,"Cross-market proxy")&gt;0,"Cross-market proxy",IF(COUNTIFS('Shortlisted Drugs X Company (7)'!$C$3:$C$698,$B217,'Shortlisted Drugs X Company (7)'!$E$3:$E$698,$AA217,'Shortlisted Drugs X Company (7)'!$P$3:$P$698,"Source not found")&gt;0,"Source not found","No price found"))))</f>
        <v>Cross-market proxy</v>
      </c>
      <c r="K217" s="19" t="n">
        <f aca="false">IFERROR(INDEX('Injectable Value'!$AB$28:$AB$178,MATCH(B217,'Injectable Value'!$A$28:$A$178,0)),"")</f>
        <v>257</v>
      </c>
      <c r="L217" s="77" t="n">
        <f aca="false">IFERROR(INDEX('Injectable Value'!$Z$28:$Z$178,MATCH(B217,'Injectable Value'!$A$28:$A$178,0)),"")</f>
        <v>0.689888576486515</v>
      </c>
      <c r="M217" s="19" t="n">
        <f aca="false">IFERROR(INDEX('Injectable Value'!$AC$28:$AC$178,MATCH(B217,'Injectable Value'!$A$28:$A$178,0)),"")</f>
        <v>177</v>
      </c>
      <c r="N217" s="19" t="n">
        <f aca="false">IFERROR(INDEX('Injectable Value'!$C$28:$C$178,MATCH(B217,'Injectable Value'!$A$28:$A$178,0)),"")</f>
        <v>4183.29</v>
      </c>
      <c r="O217" s="19" t="n">
        <f aca="false">IFERROR(ROUND(INDEX('Injectable Value'!$AA$28:$AA$178,MATCH(B217,'Injectable Value'!$A$28:$A$178,0)),1),"")</f>
        <v>2886</v>
      </c>
      <c r="P217" s="16" t="str">
        <f aca="false">IFERROR(INDEX('Route of Administration'!$C$5:$C$155,MATCH(B217,'Route of Administration'!$A$5:$A$155,0)),"")</f>
        <v>IV</v>
      </c>
      <c r="Q217" s="15" t="str">
        <f aca="false">IFERROR(INDEX('Route of Administration'!$D$5:$D$155,MATCH(B217,'Route of Administration'!$A$5:$A$155,0)),"")</f>
        <v>No</v>
      </c>
      <c r="R217" s="16" t="s">
        <v>281</v>
      </c>
      <c r="S217" s="17" t="s">
        <v>1074</v>
      </c>
      <c r="T217" s="16" t="s">
        <v>283</v>
      </c>
      <c r="U217" s="17" t="str">
        <f aca="false">"Cancer drug (cytotoxic) – less relevant; Reconstitution"&amp;IF(AE217=0,"; No price found","")&amp;IF(AND(AE217&gt;0,AF217=0,AG217=0),"; Low price comes from another market – confirm with the company","")</f>
        <v>Cancer drug (cytotoxic) – less relevant; Reconstitution</v>
      </c>
      <c r="V217" s="17" t="s">
        <v>772</v>
      </c>
      <c r="W217" s="15" t="n">
        <v>2</v>
      </c>
      <c r="X217" s="17" t="s">
        <v>772</v>
      </c>
      <c r="Y217" s="17" t="s">
        <v>772</v>
      </c>
      <c r="Z217" s="17" t="s">
        <v>286</v>
      </c>
      <c r="AA217" s="16" t="s">
        <v>927</v>
      </c>
      <c r="AB217" s="78" t="s">
        <v>482</v>
      </c>
      <c r="AC217" s="20" t="n">
        <f aca="false">IF(AE217&gt;0,ROUND(AVERAGEIFS('Shortlisted Drugs X Company (7)'!$N$3:$N$698,'Shortlisted Drugs X Company (7)'!$C$3:$C$698,$B217,'Shortlisted Drugs X Company (7)'!$E$3:$E$698,$AA217,'Shortlisted Drugs X Company (7)'!$N$3:$N$698,"&gt;=0"),2),"")</f>
        <v>147.8</v>
      </c>
      <c r="AD217" s="79" t="str">
        <f aca="false">B217&amp;"|"&amp;AA217</f>
        <v>Melphalan|Intas Pharmaceuticals</v>
      </c>
      <c r="AE217" s="22" t="n">
        <f aca="false">COUNTIFS('Shortlisted Drugs X Company (7)'!$C$3:$C$698,$B217,'Shortlisted Drugs X Company (7)'!$E$3:$E$698,$AA217,'Shortlisted Drugs X Company (7)'!$N$3:$N$698,"&gt;=0")</f>
        <v>1</v>
      </c>
      <c r="AF217" s="22" t="n">
        <f aca="false">COUNTIFS('Shortlisted Drugs X Company (7)'!$C$3:$C$698,$B217,'Shortlisted Drugs X Company (7)'!$E$3:$E$698,$AA217,'Shortlisted Drugs X Company (7)'!$N$3:$N$698,"&gt;5")</f>
        <v>1</v>
      </c>
      <c r="AG217" s="22" t="n">
        <f aca="false">COUNTIFS('Shortlisted Drugs X Company (7)'!$C$3:$C$698,$B217,'Shortlisted Drugs X Company (7)'!$E$3:$E$698,$AA217,'Shortlisted Drugs X Company (7)'!$P$3:$P$698,"Exact")+COUNTIFS('Shortlisted Drugs X Company (7)'!$C$3:$C$698,$B217,'Shortlisted Drugs X Company (7)'!$E$3:$E$698,$AA217,'Shortlisted Drugs X Company (7)'!$P$3:$P$698,"Same-market proxy")</f>
        <v>0</v>
      </c>
      <c r="AH217" s="22" t="n">
        <f aca="false">INDEX($G$7:$G$25,MATCH(A217,$A$7:$A$25,0))</f>
        <v>1</v>
      </c>
      <c r="AI217" s="79" t="str">
        <f aca="false">IF(OR(Q217="No",LEFT(H217,7)="IV only"),"",AH217*1000+IF(F217="",900+COUNTIFS($A$29:A217,A217,$H$29:H217,"Price*"),F217))</f>
        <v/>
      </c>
      <c r="AJ217" s="79" t="str">
        <f aca="false">IF(H217&lt;&gt;"","",(4-VALUE(RIGHT(E217,1)))*10^7+N(O217))</f>
        <v/>
      </c>
      <c r="AK217" s="79" t="str">
        <f aca="false">IF(AND(H217="",ISNUMBER(I217)),I217,"")</f>
        <v/>
      </c>
      <c r="AL217" s="79" t="str">
        <f aca="false">IF(H217="",M217,"")</f>
        <v/>
      </c>
    </row>
    <row r="218" customFormat="false" ht="82.05" hidden="false" customHeight="false" outlineLevel="0" collapsed="false">
      <c r="A218" s="16" t="s">
        <v>21</v>
      </c>
      <c r="B218" s="16" t="s">
        <v>299</v>
      </c>
      <c r="C218" s="17" t="s">
        <v>1075</v>
      </c>
      <c r="D218" s="17" t="s">
        <v>301</v>
      </c>
      <c r="E218" s="15" t="str">
        <f aca="false">IF(H218&lt;&gt;"",IF(LEFT(H218,5)="Price","Excluded – price ≤ USD 5","Excluded – IV only"),IF(ISNUMBER(I218),IF(AND(I218&gt;=$C$3,M218&gt;=$E$3),"Priority 1",IF(OR(I218&gt;=$C$3,M218&gt;=$E$3),"Priority 2","Priority 3")),IF(M218&gt;=$E$3,"Priority 2","Priority 3")))</f>
        <v>Priority 1</v>
      </c>
      <c r="F218" s="15" t="n">
        <f aca="false">IF(H218&lt;&gt;"","",COUNTIFS($A$29:$A$361,A218,$H$29:$H$361,"",$AJ$29:$AJ$361,"&gt;"&amp;AJ218)+COUNTIFS($A$29:A218,A218,$H$29:H218,"",$AJ$29:AJ218,AJ218))</f>
        <v>4</v>
      </c>
      <c r="G218" s="17" t="str">
        <f aca="false">IF(H218&lt;&gt;"","",IF(ISNUMBER(I218),IF(I218&gt;=$C$3,"High price","Lower price"),"No price")&amp;", "&amp;IF(M218&gt;=$E$3,"high volume","lower volume"))</f>
        <v>High price, high volume</v>
      </c>
      <c r="H218" s="17" t="str">
        <f aca="false">IF(Q218="No","IV only (no ID, IM or SC route)",IF(AND(AE218&gt;0,AF218=0),"Price ≤ USD 5",""))</f>
        <v/>
      </c>
      <c r="I218" s="18" t="n">
        <f aca="false">IF(AF218&gt;0,ROUND(AVERAGEIFS('Shortlisted Drugs X Company (7)'!$N$3:$N$698,'Shortlisted Drugs X Company (7)'!$C$3:$C$698,$B218,'Shortlisted Drugs X Company (7)'!$E$3:$E$698,$AA218,'Shortlisted Drugs X Company (7)'!$N$3:$N$698,"&gt;5"),2),"")</f>
        <v>50.77</v>
      </c>
      <c r="J218" s="17" t="str">
        <f aca="false">IF(COUNTIFS('Shortlisted Drugs X Company (7)'!$C$3:$C$698,$B218,'Shortlisted Drugs X Company (7)'!$E$3:$E$698,$AA218,'Shortlisted Drugs X Company (7)'!$P$3:$P$698,"Exact")&gt;0,"Exact",IF(COUNTIFS('Shortlisted Drugs X Company (7)'!$C$3:$C$698,$B218,'Shortlisted Drugs X Company (7)'!$E$3:$E$698,$AA218,'Shortlisted Drugs X Company (7)'!$P$3:$P$698,"Same-market proxy")&gt;0,"Same-market proxy",IF(COUNTIFS('Shortlisted Drugs X Company (7)'!$C$3:$C$698,$B218,'Shortlisted Drugs X Company (7)'!$E$3:$E$698,$AA218,'Shortlisted Drugs X Company (7)'!$P$3:$P$698,"Cross-market proxy")&gt;0,"Cross-market proxy",IF(COUNTIFS('Shortlisted Drugs X Company (7)'!$C$3:$C$698,$B218,'Shortlisted Drugs X Company (7)'!$E$3:$E$698,$AA218,'Shortlisted Drugs X Company (7)'!$P$3:$P$698,"Source not found")&gt;0,"Source not found","No price found"))))</f>
        <v>Exact</v>
      </c>
      <c r="K218" s="19" t="n">
        <f aca="false">IFERROR(INDEX('Injectable Value'!$AB$28:$AB$178,MATCH(B218,'Injectable Value'!$A$28:$A$178,0)),"")</f>
        <v>1282</v>
      </c>
      <c r="L218" s="77" t="n">
        <f aca="false">IFERROR(INDEX('Injectable Value'!$Z$28:$Z$178,MATCH(B218,'Injectable Value'!$A$28:$A$178,0)),"")</f>
        <v>0.776857437207773</v>
      </c>
      <c r="M218" s="19" t="n">
        <f aca="false">IFERROR(INDEX('Injectable Value'!$AC$28:$AC$178,MATCH(B218,'Injectable Value'!$A$28:$A$178,0)),"")</f>
        <v>996</v>
      </c>
      <c r="N218" s="19" t="n">
        <f aca="false">IFERROR(INDEX('Injectable Value'!$C$28:$C$178,MATCH(B218,'Injectable Value'!$A$28:$A$178,0)),"")</f>
        <v>16792.84</v>
      </c>
      <c r="O218" s="19" t="n">
        <f aca="false">IFERROR(ROUND(INDEX('Injectable Value'!$AA$28:$AA$178,MATCH(B218,'Injectable Value'!$A$28:$A$178,0)),1),"")</f>
        <v>13045.6</v>
      </c>
      <c r="P218" s="16" t="str">
        <f aca="false">IFERROR(INDEX('Route of Administration'!$C$5:$C$155,MATCH(B218,'Route of Administration'!$A$5:$A$155,0)),"")</f>
        <v>IV, IM, SC</v>
      </c>
      <c r="Q218" s="15" t="str">
        <f aca="false">IFERROR(INDEX('Route of Administration'!$D$5:$D$155,MATCH(B218,'Route of Administration'!$A$5:$A$155,0)),"")</f>
        <v>Yes</v>
      </c>
      <c r="R218" s="16" t="s">
        <v>473</v>
      </c>
      <c r="S218" s="17" t="s">
        <v>1076</v>
      </c>
      <c r="T218" s="16" t="s">
        <v>283</v>
      </c>
      <c r="U218" s="17" t="str">
        <f aca="false">"Cancer drug (cytotoxic) – less relevant"&amp;IF(AE218=0,"; No price found","")&amp;IF(AND(AE218&gt;0,AF218=0,AG218=0),"; Low price comes from another market – confirm with the company","")</f>
        <v>Cancer drug (cytotoxic) – less relevant</v>
      </c>
      <c r="V218" s="17" t="s">
        <v>537</v>
      </c>
      <c r="W218" s="15" t="n">
        <v>29</v>
      </c>
      <c r="X218" s="17" t="s">
        <v>1077</v>
      </c>
      <c r="Y218" s="17" t="s">
        <v>1078</v>
      </c>
      <c r="Z218" s="17" t="s">
        <v>286</v>
      </c>
      <c r="AA218" s="16" t="s">
        <v>927</v>
      </c>
      <c r="AB218" s="78" t="s">
        <v>303</v>
      </c>
      <c r="AC218" s="20" t="n">
        <f aca="false">IF(AE218&gt;0,ROUND(AVERAGEIFS('Shortlisted Drugs X Company (7)'!$N$3:$N$698,'Shortlisted Drugs X Company (7)'!$C$3:$C$698,$B218,'Shortlisted Drugs X Company (7)'!$E$3:$E$698,$AA218,'Shortlisted Drugs X Company (7)'!$N$3:$N$698,"&gt;=0"),2),"")</f>
        <v>50.77</v>
      </c>
      <c r="AD218" s="79" t="str">
        <f aca="false">B218&amp;"|"&amp;AA218</f>
        <v>Methotrexate|Intas Pharmaceuticals</v>
      </c>
      <c r="AE218" s="22" t="n">
        <f aca="false">COUNTIFS('Shortlisted Drugs X Company (7)'!$C$3:$C$698,$B218,'Shortlisted Drugs X Company (7)'!$E$3:$E$698,$AA218,'Shortlisted Drugs X Company (7)'!$N$3:$N$698,"&gt;=0")</f>
        <v>8</v>
      </c>
      <c r="AF218" s="22" t="n">
        <f aca="false">COUNTIFS('Shortlisted Drugs X Company (7)'!$C$3:$C$698,$B218,'Shortlisted Drugs X Company (7)'!$E$3:$E$698,$AA218,'Shortlisted Drugs X Company (7)'!$N$3:$N$698,"&gt;5")</f>
        <v>8</v>
      </c>
      <c r="AG218" s="22" t="n">
        <f aca="false">COUNTIFS('Shortlisted Drugs X Company (7)'!$C$3:$C$698,$B218,'Shortlisted Drugs X Company (7)'!$E$3:$E$698,$AA218,'Shortlisted Drugs X Company (7)'!$P$3:$P$698,"Exact")+COUNTIFS('Shortlisted Drugs X Company (7)'!$C$3:$C$698,$B218,'Shortlisted Drugs X Company (7)'!$E$3:$E$698,$AA218,'Shortlisted Drugs X Company (7)'!$P$3:$P$698,"Same-market proxy")</f>
        <v>8</v>
      </c>
      <c r="AH218" s="22" t="n">
        <f aca="false">INDEX($G$7:$G$25,MATCH(A218,$A$7:$A$25,0))</f>
        <v>1</v>
      </c>
      <c r="AI218" s="79" t="n">
        <f aca="false">IF(OR(Q218="No",LEFT(H218,7)="IV only"),"",AH218*1000+IF(F218="",900+COUNTIFS($A$29:A218,A218,$H$29:H218,"Price*"),F218))</f>
        <v>1004</v>
      </c>
      <c r="AJ218" s="79" t="n">
        <f aca="false">IF(H218&lt;&gt;"","",(4-VALUE(RIGHT(E218,1)))*10^7+N(O218))</f>
        <v>30013045.6</v>
      </c>
      <c r="AK218" s="20" t="n">
        <f aca="false">IF(AND(H218="",ISNUMBER(I218)),I218,"")</f>
        <v>50.77</v>
      </c>
      <c r="AL218" s="21" t="n">
        <f aca="false">IF(H218="",M218,"")</f>
        <v>996</v>
      </c>
    </row>
    <row r="219" customFormat="false" ht="68.65" hidden="false" customHeight="false" outlineLevel="0" collapsed="false">
      <c r="A219" s="16" t="s">
        <v>21</v>
      </c>
      <c r="B219" s="16" t="s">
        <v>1079</v>
      </c>
      <c r="C219" s="17" t="s">
        <v>1080</v>
      </c>
      <c r="D219" s="17" t="s">
        <v>1081</v>
      </c>
      <c r="E219" s="15" t="str">
        <f aca="false">IF(H219&lt;&gt;"",IF(LEFT(H219,5)="Price","Excluded – price ≤ USD 5","Excluded – IV only"),IF(ISNUMBER(I219),IF(AND(I219&gt;=$C$3,M219&gt;=$E$3),"Priority 1",IF(OR(I219&gt;=$C$3,M219&gt;=$E$3),"Priority 2","Priority 3")),IF(M219&gt;=$E$3,"Priority 2","Priority 3")))</f>
        <v>Priority 2</v>
      </c>
      <c r="F219" s="15" t="n">
        <f aca="false">IF(H219&lt;&gt;"","",COUNTIFS($A$29:$A$361,A219,$H$29:$H$361,"",$AJ$29:$AJ$361,"&gt;"&amp;AJ219)+COUNTIFS($A$29:A219,A219,$H$29:H219,"",$AJ$29:AJ219,AJ219))</f>
        <v>16</v>
      </c>
      <c r="G219" s="17" t="str">
        <f aca="false">IF(H219&lt;&gt;"","",IF(ISNUMBER(I219),IF(I219&gt;=$C$3,"High price","Lower price"),"No price")&amp;", "&amp;IF(M219&gt;=$E$3,"high volume","lower volume"))</f>
        <v>Lower price, high volume</v>
      </c>
      <c r="H219" s="17" t="str">
        <f aca="false">IF(Q219="No","IV only (no ID, IM or SC route)",IF(AND(AE219&gt;0,AF219=0),"Price ≤ USD 5",""))</f>
        <v/>
      </c>
      <c r="I219" s="18" t="n">
        <f aca="false">IF(AF219&gt;0,ROUND(AVERAGEIFS('Shortlisted Drugs X Company (7)'!$N$3:$N$698,'Shortlisted Drugs X Company (7)'!$C$3:$C$698,$B219,'Shortlisted Drugs X Company (7)'!$E$3:$E$698,$AA219,'Shortlisted Drugs X Company (7)'!$N$3:$N$698,"&gt;5"),2),"")</f>
        <v>11.33</v>
      </c>
      <c r="J219" s="17" t="str">
        <f aca="false">IF(COUNTIFS('Shortlisted Drugs X Company (7)'!$C$3:$C$698,$B219,'Shortlisted Drugs X Company (7)'!$E$3:$E$698,$AA219,'Shortlisted Drugs X Company (7)'!$P$3:$P$698,"Exact")&gt;0,"Exact",IF(COUNTIFS('Shortlisted Drugs X Company (7)'!$C$3:$C$698,$B219,'Shortlisted Drugs X Company (7)'!$E$3:$E$698,$AA219,'Shortlisted Drugs X Company (7)'!$P$3:$P$698,"Same-market proxy")&gt;0,"Same-market proxy",IF(COUNTIFS('Shortlisted Drugs X Company (7)'!$C$3:$C$698,$B219,'Shortlisted Drugs X Company (7)'!$E$3:$E$698,$AA219,'Shortlisted Drugs X Company (7)'!$P$3:$P$698,"Cross-market proxy")&gt;0,"Cross-market proxy",IF(COUNTIFS('Shortlisted Drugs X Company (7)'!$C$3:$C$698,$B219,'Shortlisted Drugs X Company (7)'!$E$3:$E$698,$AA219,'Shortlisted Drugs X Company (7)'!$P$3:$P$698,"Source not found")&gt;0,"Source not found","No price found"))))</f>
        <v>Same-market proxy</v>
      </c>
      <c r="K219" s="19" t="n">
        <f aca="false">IFERROR(INDEX('Injectable Value'!$AB$28:$AB$178,MATCH(B219,'Injectable Value'!$A$28:$A$178,0)),"")</f>
        <v>221</v>
      </c>
      <c r="L219" s="77" t="n">
        <f aca="false">IFERROR(INDEX('Injectable Value'!$Z$28:$Z$178,MATCH(B219,'Injectable Value'!$A$28:$A$178,0)),"")</f>
        <v>0.800763686706633</v>
      </c>
      <c r="M219" s="19" t="n">
        <f aca="false">IFERROR(INDEX('Injectable Value'!$AC$28:$AC$178,MATCH(B219,'Injectable Value'!$A$28:$A$178,0)),"")</f>
        <v>177</v>
      </c>
      <c r="N219" s="19" t="n">
        <f aca="false">IFERROR(INDEX('Injectable Value'!$C$28:$C$178,MATCH(B219,'Injectable Value'!$A$28:$A$178,0)),"")</f>
        <v>5838.25</v>
      </c>
      <c r="O219" s="19" t="n">
        <f aca="false">IFERROR(ROUND(INDEX('Injectable Value'!$AA$28:$AA$178,MATCH(B219,'Injectable Value'!$A$28:$A$178,0)),1),"")</f>
        <v>4675.1</v>
      </c>
      <c r="P219" s="16" t="str">
        <f aca="false">IFERROR(INDEX('Route of Administration'!$C$5:$C$155,MATCH(B219,'Route of Administration'!$A$5:$A$155,0)),"")</f>
        <v>IV, IM</v>
      </c>
      <c r="Q219" s="15" t="str">
        <f aca="false">IFERROR(INDEX('Route of Administration'!$D$5:$D$155,MATCH(B219,'Route of Administration'!$A$5:$A$155,0)),"")</f>
        <v>Yes</v>
      </c>
      <c r="R219" s="16" t="s">
        <v>1082</v>
      </c>
      <c r="S219" s="17" t="s">
        <v>1083</v>
      </c>
      <c r="T219" s="16" t="s">
        <v>283</v>
      </c>
      <c r="U219" s="17" t="str">
        <f aca="false">""&amp;IF(AE219=0,"No price found","")&amp;IF(AND(AE219&gt;0,AF219=0,AG219=0),"Low price comes from another market – confirm with the company","")</f>
        <v/>
      </c>
      <c r="V219" s="17" t="s">
        <v>437</v>
      </c>
      <c r="W219" s="15" t="n">
        <v>24</v>
      </c>
      <c r="X219" s="17" t="s">
        <v>1084</v>
      </c>
      <c r="Y219" s="17" t="s">
        <v>1085</v>
      </c>
      <c r="Z219" s="17" t="s">
        <v>321</v>
      </c>
      <c r="AA219" s="16" t="s">
        <v>927</v>
      </c>
      <c r="AB219" s="78" t="s">
        <v>1086</v>
      </c>
      <c r="AC219" s="20" t="n">
        <f aca="false">IF(AE219&gt;0,ROUND(AVERAGEIFS('Shortlisted Drugs X Company (7)'!$N$3:$N$698,'Shortlisted Drugs X Company (7)'!$C$3:$C$698,$B219,'Shortlisted Drugs X Company (7)'!$E$3:$E$698,$AA219,'Shortlisted Drugs X Company (7)'!$N$3:$N$698,"&gt;=0"),2),"")</f>
        <v>11.33</v>
      </c>
      <c r="AD219" s="79" t="str">
        <f aca="false">B219&amp;"|"&amp;AA219</f>
        <v>Midazolam|Intas Pharmaceuticals</v>
      </c>
      <c r="AE219" s="22" t="n">
        <f aca="false">COUNTIFS('Shortlisted Drugs X Company (7)'!$C$3:$C$698,$B219,'Shortlisted Drugs X Company (7)'!$E$3:$E$698,$AA219,'Shortlisted Drugs X Company (7)'!$N$3:$N$698,"&gt;=0")</f>
        <v>2</v>
      </c>
      <c r="AF219" s="22" t="n">
        <f aca="false">COUNTIFS('Shortlisted Drugs X Company (7)'!$C$3:$C$698,$B219,'Shortlisted Drugs X Company (7)'!$E$3:$E$698,$AA219,'Shortlisted Drugs X Company (7)'!$N$3:$N$698,"&gt;5")</f>
        <v>2</v>
      </c>
      <c r="AG219" s="22" t="n">
        <f aca="false">COUNTIFS('Shortlisted Drugs X Company (7)'!$C$3:$C$698,$B219,'Shortlisted Drugs X Company (7)'!$E$3:$E$698,$AA219,'Shortlisted Drugs X Company (7)'!$P$3:$P$698,"Exact")+COUNTIFS('Shortlisted Drugs X Company (7)'!$C$3:$C$698,$B219,'Shortlisted Drugs X Company (7)'!$E$3:$E$698,$AA219,'Shortlisted Drugs X Company (7)'!$P$3:$P$698,"Same-market proxy")</f>
        <v>2</v>
      </c>
      <c r="AH219" s="22" t="n">
        <f aca="false">INDEX($G$7:$G$25,MATCH(A219,$A$7:$A$25,0))</f>
        <v>1</v>
      </c>
      <c r="AI219" s="79" t="n">
        <f aca="false">IF(OR(Q219="No",LEFT(H219,7)="IV only"),"",AH219*1000+IF(F219="",900+COUNTIFS($A$29:A219,A219,$H$29:H219,"Price*"),F219))</f>
        <v>1016</v>
      </c>
      <c r="AJ219" s="79" t="n">
        <f aca="false">IF(H219&lt;&gt;"","",(4-VALUE(RIGHT(E219,1)))*10^7+N(O219))</f>
        <v>20004675.1</v>
      </c>
      <c r="AK219" s="20" t="n">
        <f aca="false">IF(AND(H219="",ISNUMBER(I219)),I219,"")</f>
        <v>11.33</v>
      </c>
      <c r="AL219" s="21" t="n">
        <f aca="false">IF(H219="",M219,"")</f>
        <v>177</v>
      </c>
    </row>
    <row r="220" customFormat="false" ht="55.2" hidden="false" customHeight="false" outlineLevel="0" collapsed="false">
      <c r="A220" s="16" t="s">
        <v>21</v>
      </c>
      <c r="B220" s="16" t="s">
        <v>501</v>
      </c>
      <c r="C220" s="17" t="s">
        <v>1087</v>
      </c>
      <c r="D220" s="17" t="s">
        <v>503</v>
      </c>
      <c r="E220" s="15" t="str">
        <f aca="false">IF(H220&lt;&gt;"",IF(LEFT(H220,5)="Price","Excluded – price ≤ USD 5","Excluded – IV only"),IF(ISNUMBER(I220),IF(AND(I220&gt;=$C$3,M220&gt;=$E$3),"Priority 1",IF(OR(I220&gt;=$C$3,M220&gt;=$E$3),"Priority 2","Priority 3")),IF(M220&gt;=$E$3,"Priority 2","Priority 3")))</f>
        <v>Excluded – IV only</v>
      </c>
      <c r="F220" s="15" t="str">
        <f aca="false">IF(H220&lt;&gt;"","",COUNTIFS($A$29:$A$361,A220,$H$29:$H$361,"",$AJ$29:$AJ$361,"&gt;"&amp;AJ220)+COUNTIFS($A$29:A220,A220,$H$29:H220,"",$AJ$29:AJ220,AJ220))</f>
        <v/>
      </c>
      <c r="G220" s="17" t="str">
        <f aca="false">IF(H220&lt;&gt;"","",IF(ISNUMBER(I220),IF(I220&gt;=$C$3,"High price","Lower price"),"No price")&amp;", "&amp;IF(M220&gt;=$E$3,"high volume","lower volume"))</f>
        <v/>
      </c>
      <c r="H220" s="17" t="str">
        <f aca="false">IF(Q220="No","IV only (no ID, IM or SC route)",IF(AND(AE220&gt;0,AF220=0),"Price ≤ USD 5",""))</f>
        <v>IV only (no ID, IM or SC route)</v>
      </c>
      <c r="I220" s="18" t="n">
        <f aca="false">IF(AF220&gt;0,ROUND(AVERAGEIFS('Shortlisted Drugs X Company (7)'!$N$3:$N$698,'Shortlisted Drugs X Company (7)'!$C$3:$C$698,$B220,'Shortlisted Drugs X Company (7)'!$E$3:$E$698,$AA220,'Shortlisted Drugs X Company (7)'!$N$3:$N$698,"&gt;5"),2),"")</f>
        <v>130.77</v>
      </c>
      <c r="J220" s="17" t="str">
        <f aca="false">IF(COUNTIFS('Shortlisted Drugs X Company (7)'!$C$3:$C$698,$B220,'Shortlisted Drugs X Company (7)'!$E$3:$E$698,$AA220,'Shortlisted Drugs X Company (7)'!$P$3:$P$698,"Exact")&gt;0,"Exact",IF(COUNTIFS('Shortlisted Drugs X Company (7)'!$C$3:$C$698,$B220,'Shortlisted Drugs X Company (7)'!$E$3:$E$698,$AA220,'Shortlisted Drugs X Company (7)'!$P$3:$P$698,"Same-market proxy")&gt;0,"Same-market proxy",IF(COUNTIFS('Shortlisted Drugs X Company (7)'!$C$3:$C$698,$B220,'Shortlisted Drugs X Company (7)'!$E$3:$E$698,$AA220,'Shortlisted Drugs X Company (7)'!$P$3:$P$698,"Cross-market proxy")&gt;0,"Cross-market proxy",IF(COUNTIFS('Shortlisted Drugs X Company (7)'!$C$3:$C$698,$B220,'Shortlisted Drugs X Company (7)'!$E$3:$E$698,$AA220,'Shortlisted Drugs X Company (7)'!$P$3:$P$698,"Source not found")&gt;0,"Source not found","No price found"))))</f>
        <v>Exact</v>
      </c>
      <c r="K220" s="19" t="n">
        <f aca="false">IFERROR(INDEX('Injectable Value'!$AB$28:$AB$178,MATCH(B220,'Injectable Value'!$A$28:$A$178,0)),"")</f>
        <v>544</v>
      </c>
      <c r="L220" s="77" t="n">
        <f aca="false">IFERROR(INDEX('Injectable Value'!$Z$28:$Z$178,MATCH(B220,'Injectable Value'!$A$28:$A$178,0)),"")</f>
        <v>0.882348668280872</v>
      </c>
      <c r="M220" s="19" t="n">
        <f aca="false">IFERROR(INDEX('Injectable Value'!$AC$28:$AC$178,MATCH(B220,'Injectable Value'!$A$28:$A$178,0)),"")</f>
        <v>480</v>
      </c>
      <c r="N220" s="19" t="n">
        <f aca="false">IFERROR(INDEX('Injectable Value'!$C$28:$C$178,MATCH(B220,'Injectable Value'!$A$28:$A$178,0)),"")</f>
        <v>7654.85</v>
      </c>
      <c r="O220" s="19" t="n">
        <f aca="false">IFERROR(ROUND(INDEX('Injectable Value'!$AA$28:$AA$178,MATCH(B220,'Injectable Value'!$A$28:$A$178,0)),1),"")</f>
        <v>6754.2</v>
      </c>
      <c r="P220" s="16" t="str">
        <f aca="false">IFERROR(INDEX('Route of Administration'!$C$5:$C$155,MATCH(B220,'Route of Administration'!$A$5:$A$155,0)),"")</f>
        <v>IV</v>
      </c>
      <c r="Q220" s="15" t="str">
        <f aca="false">IFERROR(INDEX('Route of Administration'!$D$5:$D$155,MATCH(B220,'Route of Administration'!$A$5:$A$155,0)),"")</f>
        <v>No</v>
      </c>
      <c r="R220" s="16" t="s">
        <v>281</v>
      </c>
      <c r="S220" s="17" t="s">
        <v>1088</v>
      </c>
      <c r="T220" s="16" t="s">
        <v>333</v>
      </c>
      <c r="U220" s="17" t="str">
        <f aca="false">"Cancer drug (cytotoxic) – less relevant; Reconstitution"&amp;IF(AE220=0,"; No price found","")&amp;IF(AND(AE220&gt;0,AF220=0,AG220=0),"; Low price comes from another market – confirm with the company","")</f>
        <v>Cancer drug (cytotoxic) – less relevant; Reconstitution</v>
      </c>
      <c r="V220" s="17" t="s">
        <v>537</v>
      </c>
      <c r="W220" s="15" t="n">
        <v>19</v>
      </c>
      <c r="X220" s="17" t="s">
        <v>1089</v>
      </c>
      <c r="Y220" s="17" t="s">
        <v>1090</v>
      </c>
      <c r="Z220" s="17" t="s">
        <v>321</v>
      </c>
      <c r="AA220" s="16" t="s">
        <v>927</v>
      </c>
      <c r="AB220" s="78" t="s">
        <v>506</v>
      </c>
      <c r="AC220" s="20" t="n">
        <f aca="false">IF(AE220&gt;0,ROUND(AVERAGEIFS('Shortlisted Drugs X Company (7)'!$N$3:$N$698,'Shortlisted Drugs X Company (7)'!$C$3:$C$698,$B220,'Shortlisted Drugs X Company (7)'!$E$3:$E$698,$AA220,'Shortlisted Drugs X Company (7)'!$N$3:$N$698,"&gt;=0"),2),"")</f>
        <v>130.77</v>
      </c>
      <c r="AD220" s="79" t="str">
        <f aca="false">B220&amp;"|"&amp;AA220</f>
        <v>Mitomycin|Intas Pharmaceuticals</v>
      </c>
      <c r="AE220" s="22" t="n">
        <f aca="false">COUNTIFS('Shortlisted Drugs X Company (7)'!$C$3:$C$698,$B220,'Shortlisted Drugs X Company (7)'!$E$3:$E$698,$AA220,'Shortlisted Drugs X Company (7)'!$N$3:$N$698,"&gt;=0")</f>
        <v>3</v>
      </c>
      <c r="AF220" s="22" t="n">
        <f aca="false">COUNTIFS('Shortlisted Drugs X Company (7)'!$C$3:$C$698,$B220,'Shortlisted Drugs X Company (7)'!$E$3:$E$698,$AA220,'Shortlisted Drugs X Company (7)'!$N$3:$N$698,"&gt;5")</f>
        <v>3</v>
      </c>
      <c r="AG220" s="22" t="n">
        <f aca="false">COUNTIFS('Shortlisted Drugs X Company (7)'!$C$3:$C$698,$B220,'Shortlisted Drugs X Company (7)'!$E$3:$E$698,$AA220,'Shortlisted Drugs X Company (7)'!$P$3:$P$698,"Exact")+COUNTIFS('Shortlisted Drugs X Company (7)'!$C$3:$C$698,$B220,'Shortlisted Drugs X Company (7)'!$E$3:$E$698,$AA220,'Shortlisted Drugs X Company (7)'!$P$3:$P$698,"Same-market proxy")</f>
        <v>3</v>
      </c>
      <c r="AH220" s="22" t="n">
        <f aca="false">INDEX($G$7:$G$25,MATCH(A220,$A$7:$A$25,0))</f>
        <v>1</v>
      </c>
      <c r="AI220" s="79" t="str">
        <f aca="false">IF(OR(Q220="No",LEFT(H220,7)="IV only"),"",AH220*1000+IF(F220="",900+COUNTIFS($A$29:A220,A220,$H$29:H220,"Price*"),F220))</f>
        <v/>
      </c>
      <c r="AJ220" s="79" t="str">
        <f aca="false">IF(H220&lt;&gt;"","",(4-VALUE(RIGHT(E220,1)))*10^7+N(O220))</f>
        <v/>
      </c>
      <c r="AK220" s="79" t="str">
        <f aca="false">IF(AND(H220="",ISNUMBER(I220)),I220,"")</f>
        <v/>
      </c>
      <c r="AL220" s="79" t="str">
        <f aca="false">IF(H220="",M220,"")</f>
        <v/>
      </c>
    </row>
    <row r="221" customFormat="false" ht="41.75" hidden="false" customHeight="false" outlineLevel="0" collapsed="false">
      <c r="A221" s="16" t="s">
        <v>21</v>
      </c>
      <c r="B221" s="16" t="s">
        <v>1091</v>
      </c>
      <c r="C221" s="17" t="s">
        <v>1092</v>
      </c>
      <c r="D221" s="17" t="s">
        <v>1093</v>
      </c>
      <c r="E221" s="15" t="str">
        <f aca="false">IF(H221&lt;&gt;"",IF(LEFT(H221,5)="Price","Excluded – price ≤ USD 5","Excluded – IV only"),IF(ISNUMBER(I221),IF(AND(I221&gt;=$C$3,M221&gt;=$E$3),"Priority 1",IF(OR(I221&gt;=$C$3,M221&gt;=$E$3),"Priority 2","Priority 3")),IF(M221&gt;=$E$3,"Priority 2","Priority 3")))</f>
        <v>Excluded – IV only</v>
      </c>
      <c r="F221" s="15" t="str">
        <f aca="false">IF(H221&lt;&gt;"","",COUNTIFS($A$29:$A$361,A221,$H$29:$H$361,"",$AJ$29:$AJ$361,"&gt;"&amp;AJ221)+COUNTIFS($A$29:A221,A221,$H$29:H221,"",$AJ$29:AJ221,AJ221))</f>
        <v/>
      </c>
      <c r="G221" s="17" t="str">
        <f aca="false">IF(H221&lt;&gt;"","",IF(ISNUMBER(I221),IF(I221&gt;=$C$3,"High price","Lower price"),"No price")&amp;", "&amp;IF(M221&gt;=$E$3,"high volume","lower volume"))</f>
        <v/>
      </c>
      <c r="H221" s="17" t="str">
        <f aca="false">IF(Q221="No","IV only (no ID, IM or SC route)",IF(AND(AE221&gt;0,AF221=0),"Price ≤ USD 5",""))</f>
        <v>IV only (no ID, IM or SC route)</v>
      </c>
      <c r="I221" s="18" t="n">
        <f aca="false">IF(AF221&gt;0,ROUND(AVERAGEIFS('Shortlisted Drugs X Company (7)'!$N$3:$N$698,'Shortlisted Drugs X Company (7)'!$C$3:$C$698,$B221,'Shortlisted Drugs X Company (7)'!$E$3:$E$698,$AA221,'Shortlisted Drugs X Company (7)'!$N$3:$N$698,"&gt;5"),2),"")</f>
        <v>122.21</v>
      </c>
      <c r="J221" s="17" t="str">
        <f aca="false">IF(COUNTIFS('Shortlisted Drugs X Company (7)'!$C$3:$C$698,$B221,'Shortlisted Drugs X Company (7)'!$E$3:$E$698,$AA221,'Shortlisted Drugs X Company (7)'!$P$3:$P$698,"Exact")&gt;0,"Exact",IF(COUNTIFS('Shortlisted Drugs X Company (7)'!$C$3:$C$698,$B221,'Shortlisted Drugs X Company (7)'!$E$3:$E$698,$AA221,'Shortlisted Drugs X Company (7)'!$P$3:$P$698,"Same-market proxy")&gt;0,"Same-market proxy",IF(COUNTIFS('Shortlisted Drugs X Company (7)'!$C$3:$C$698,$B221,'Shortlisted Drugs X Company (7)'!$E$3:$E$698,$AA221,'Shortlisted Drugs X Company (7)'!$P$3:$P$698,"Cross-market proxy")&gt;0,"Cross-market proxy",IF(COUNTIFS('Shortlisted Drugs X Company (7)'!$C$3:$C$698,$B221,'Shortlisted Drugs X Company (7)'!$E$3:$E$698,$AA221,'Shortlisted Drugs X Company (7)'!$P$3:$P$698,"Source not found")&gt;0,"Source not found","No price found"))))</f>
        <v>Cross-market proxy</v>
      </c>
      <c r="K221" s="19" t="n">
        <f aca="false">IFERROR(INDEX('Injectable Value'!$AB$28:$AB$178,MATCH(B221,'Injectable Value'!$A$28:$A$178,0)),"")</f>
        <v>43</v>
      </c>
      <c r="L221" s="77" t="n">
        <f aca="false">IFERROR(INDEX('Injectable Value'!$Z$28:$Z$178,MATCH(B221,'Injectable Value'!$A$28:$A$178,0)),"")</f>
        <v>0.833333333333333</v>
      </c>
      <c r="M221" s="19" t="n">
        <f aca="false">IFERROR(INDEX('Injectable Value'!$AC$28:$AC$178,MATCH(B221,'Injectable Value'!$A$28:$A$178,0)),"")</f>
        <v>36</v>
      </c>
      <c r="N221" s="19" t="n">
        <f aca="false">IFERROR(INDEX('Injectable Value'!$C$28:$C$178,MATCH(B221,'Injectable Value'!$A$28:$A$178,0)),"")</f>
        <v>693.76</v>
      </c>
      <c r="O221" s="19" t="n">
        <f aca="false">IFERROR(ROUND(INDEX('Injectable Value'!$AA$28:$AA$178,MATCH(B221,'Injectable Value'!$A$28:$A$178,0)),1),"")</f>
        <v>578.1</v>
      </c>
      <c r="P221" s="16" t="str">
        <f aca="false">IFERROR(INDEX('Route of Administration'!$C$5:$C$155,MATCH(B221,'Route of Administration'!$A$5:$A$155,0)),"")</f>
        <v>IV</v>
      </c>
      <c r="Q221" s="15" t="str">
        <f aca="false">IFERROR(INDEX('Route of Administration'!$D$5:$D$155,MATCH(B221,'Route of Administration'!$A$5:$A$155,0)),"")</f>
        <v>No</v>
      </c>
      <c r="R221" s="16" t="s">
        <v>281</v>
      </c>
      <c r="S221" s="17" t="s">
        <v>397</v>
      </c>
      <c r="T221" s="16" t="s">
        <v>283</v>
      </c>
      <c r="U221" s="17" t="str">
        <f aca="false">"Cancer drug (cytotoxic) – less relevant"&amp;IF(AE221=0,"; No price found","")&amp;IF(AND(AE221&gt;0,AF221=0,AG221=0),"; Low price comes from another market – confirm with the company","")</f>
        <v>Cancer drug (cytotoxic) – less relevant</v>
      </c>
      <c r="V221" s="17" t="s">
        <v>1094</v>
      </c>
      <c r="W221" s="15" t="n">
        <v>4</v>
      </c>
      <c r="X221" s="17" t="s">
        <v>1095</v>
      </c>
      <c r="Y221" s="17" t="s">
        <v>1095</v>
      </c>
      <c r="Z221" s="17" t="s">
        <v>321</v>
      </c>
      <c r="AA221" s="16" t="s">
        <v>927</v>
      </c>
      <c r="AB221" s="78" t="s">
        <v>1096</v>
      </c>
      <c r="AC221" s="20" t="n">
        <f aca="false">IF(AE221&gt;0,ROUND(AVERAGEIFS('Shortlisted Drugs X Company (7)'!$N$3:$N$698,'Shortlisted Drugs X Company (7)'!$C$3:$C$698,$B221,'Shortlisted Drugs X Company (7)'!$E$3:$E$698,$AA221,'Shortlisted Drugs X Company (7)'!$N$3:$N$698,"&gt;=0"),2),"")</f>
        <v>122.21</v>
      </c>
      <c r="AD221" s="79" t="str">
        <f aca="false">B221&amp;"|"&amp;AA221</f>
        <v>Mitoxantrone|Intas Pharmaceuticals</v>
      </c>
      <c r="AE221" s="22" t="n">
        <f aca="false">COUNTIFS('Shortlisted Drugs X Company (7)'!$C$3:$C$698,$B221,'Shortlisted Drugs X Company (7)'!$E$3:$E$698,$AA221,'Shortlisted Drugs X Company (7)'!$N$3:$N$698,"&gt;=0")</f>
        <v>1</v>
      </c>
      <c r="AF221" s="22" t="n">
        <f aca="false">COUNTIFS('Shortlisted Drugs X Company (7)'!$C$3:$C$698,$B221,'Shortlisted Drugs X Company (7)'!$E$3:$E$698,$AA221,'Shortlisted Drugs X Company (7)'!$N$3:$N$698,"&gt;5")</f>
        <v>1</v>
      </c>
      <c r="AG221" s="22" t="n">
        <f aca="false">COUNTIFS('Shortlisted Drugs X Company (7)'!$C$3:$C$698,$B221,'Shortlisted Drugs X Company (7)'!$E$3:$E$698,$AA221,'Shortlisted Drugs X Company (7)'!$P$3:$P$698,"Exact")+COUNTIFS('Shortlisted Drugs X Company (7)'!$C$3:$C$698,$B221,'Shortlisted Drugs X Company (7)'!$E$3:$E$698,$AA221,'Shortlisted Drugs X Company (7)'!$P$3:$P$698,"Same-market proxy")</f>
        <v>0</v>
      </c>
      <c r="AH221" s="22" t="n">
        <f aca="false">INDEX($G$7:$G$25,MATCH(A221,$A$7:$A$25,0))</f>
        <v>1</v>
      </c>
      <c r="AI221" s="79" t="str">
        <f aca="false">IF(OR(Q221="No",LEFT(H221,7)="IV only"),"",AH221*1000+IF(F221="",900+COUNTIFS($A$29:A221,A221,$H$29:H221,"Price*"),F221))</f>
        <v/>
      </c>
      <c r="AJ221" s="79" t="str">
        <f aca="false">IF(H221&lt;&gt;"","",(4-VALUE(RIGHT(E221,1)))*10^7+N(O221))</f>
        <v/>
      </c>
      <c r="AK221" s="79" t="str">
        <f aca="false">IF(AND(H221="",ISNUMBER(I221)),I221,"")</f>
        <v/>
      </c>
      <c r="AL221" s="79" t="str">
        <f aca="false">IF(H221="",M221,"")</f>
        <v/>
      </c>
    </row>
    <row r="222" customFormat="false" ht="41.75" hidden="false" customHeight="false" outlineLevel="0" collapsed="false">
      <c r="A222" s="16" t="s">
        <v>21</v>
      </c>
      <c r="B222" s="16" t="s">
        <v>75</v>
      </c>
      <c r="C222" s="17" t="s">
        <v>1097</v>
      </c>
      <c r="D222" s="17" t="s">
        <v>513</v>
      </c>
      <c r="E222" s="15" t="str">
        <f aca="false">IF(H222&lt;&gt;"",IF(LEFT(H222,5)="Price","Excluded – price ≤ USD 5","Excluded – IV only"),IF(ISNUMBER(I222),IF(AND(I222&gt;=$C$3,M222&gt;=$E$3),"Priority 1",IF(OR(I222&gt;=$C$3,M222&gt;=$E$3),"Priority 2","Priority 3")),IF(M222&gt;=$E$3,"Priority 2","Priority 3")))</f>
        <v>Priority 3</v>
      </c>
      <c r="F222" s="15" t="n">
        <f aca="false">IF(H222&lt;&gt;"","",COUNTIFS($A$29:$A$361,A222,$H$29:$H$361,"",$AJ$29:$AJ$361,"&gt;"&amp;AJ222)+COUNTIFS($A$29:A222,A222,$H$29:H222,"",$AJ$29:AJ222,AJ222))</f>
        <v>23</v>
      </c>
      <c r="G222" s="17" t="str">
        <f aca="false">IF(H222&lt;&gt;"","",IF(ISNUMBER(I222),IF(I222&gt;=$C$3,"High price","Lower price"),"No price")&amp;", "&amp;IF(M222&gt;=$E$3,"high volume","lower volume"))</f>
        <v>Lower price, lower volume</v>
      </c>
      <c r="H222" s="17" t="str">
        <f aca="false">IF(Q222="No","IV only (no ID, IM or SC route)",IF(AND(AE222&gt;0,AF222=0),"Price ≤ USD 5",""))</f>
        <v/>
      </c>
      <c r="I222" s="18" t="n">
        <f aca="false">IF(AF222&gt;0,ROUND(AVERAGEIFS('Shortlisted Drugs X Company (7)'!$N$3:$N$698,'Shortlisted Drugs X Company (7)'!$C$3:$C$698,$B222,'Shortlisted Drugs X Company (7)'!$E$3:$E$698,$AA222,'Shortlisted Drugs X Company (7)'!$N$3:$N$698,"&gt;5"),2),"")</f>
        <v>5.42</v>
      </c>
      <c r="J222" s="17" t="str">
        <f aca="false">IF(COUNTIFS('Shortlisted Drugs X Company (7)'!$C$3:$C$698,$B222,'Shortlisted Drugs X Company (7)'!$E$3:$E$698,$AA222,'Shortlisted Drugs X Company (7)'!$P$3:$P$698,"Exact")&gt;0,"Exact",IF(COUNTIFS('Shortlisted Drugs X Company (7)'!$C$3:$C$698,$B222,'Shortlisted Drugs X Company (7)'!$E$3:$E$698,$AA222,'Shortlisted Drugs X Company (7)'!$P$3:$P$698,"Same-market proxy")&gt;0,"Same-market proxy",IF(COUNTIFS('Shortlisted Drugs X Company (7)'!$C$3:$C$698,$B222,'Shortlisted Drugs X Company (7)'!$E$3:$E$698,$AA222,'Shortlisted Drugs X Company (7)'!$P$3:$P$698,"Cross-market proxy")&gt;0,"Cross-market proxy",IF(COUNTIFS('Shortlisted Drugs X Company (7)'!$C$3:$C$698,$B222,'Shortlisted Drugs X Company (7)'!$E$3:$E$698,$AA222,'Shortlisted Drugs X Company (7)'!$P$3:$P$698,"Source not found")&gt;0,"Source not found","No price found"))))</f>
        <v>Same-market proxy</v>
      </c>
      <c r="K222" s="19" t="n">
        <f aca="false">IFERROR(INDEX('Injectable Value'!$AB$28:$AB$178,MATCH(B222,'Injectable Value'!$A$28:$A$178,0)),"")</f>
        <v>365</v>
      </c>
      <c r="L222" s="77" t="n">
        <f aca="false">IFERROR(INDEX('Injectable Value'!$Z$28:$Z$178,MATCH(B222,'Injectable Value'!$A$28:$A$178,0)),"")</f>
        <v>0.240571827983426</v>
      </c>
      <c r="M222" s="19" t="n">
        <f aca="false">IFERROR(INDEX('Injectable Value'!$AC$28:$AC$178,MATCH(B222,'Injectable Value'!$A$28:$A$178,0)),"")</f>
        <v>88</v>
      </c>
      <c r="N222" s="19" t="n">
        <f aca="false">IFERROR(INDEX('Injectable Value'!$C$28:$C$178,MATCH(B222,'Injectable Value'!$A$28:$A$178,0)),"")</f>
        <v>5976.94</v>
      </c>
      <c r="O222" s="19" t="n">
        <f aca="false">IFERROR(ROUND(INDEX('Injectable Value'!$AA$28:$AA$178,MATCH(B222,'Injectable Value'!$A$28:$A$178,0)),1),"")</f>
        <v>1437.9</v>
      </c>
      <c r="P222" s="16" t="str">
        <f aca="false">IFERROR(INDEX('Route of Administration'!$C$5:$C$155,MATCH(B222,'Route of Administration'!$A$5:$A$155,0)),"")</f>
        <v>IV, IM, SC</v>
      </c>
      <c r="Q222" s="15" t="str">
        <f aca="false">IFERROR(INDEX('Route of Administration'!$D$5:$D$155,MATCH(B222,'Route of Administration'!$A$5:$A$155,0)),"")</f>
        <v>Yes</v>
      </c>
      <c r="R222" s="16" t="s">
        <v>291</v>
      </c>
      <c r="S222" s="17" t="s">
        <v>1098</v>
      </c>
      <c r="T222" s="16" t="s">
        <v>310</v>
      </c>
      <c r="U222" s="17" t="str">
        <f aca="false">"Prefilled only"&amp;IF(AE222=0,"; No price found","")&amp;IF(AND(AE222&gt;0,AF222=0,AG222=0),"; Low price comes from another market – confirm with the company","")</f>
        <v>Prefilled only</v>
      </c>
      <c r="V222" s="17" t="s">
        <v>760</v>
      </c>
      <c r="W222" s="15" t="n">
        <v>15</v>
      </c>
      <c r="X222" s="17" t="s">
        <v>1099</v>
      </c>
      <c r="Y222" s="17" t="s">
        <v>1100</v>
      </c>
      <c r="Z222" s="17" t="s">
        <v>293</v>
      </c>
      <c r="AA222" s="16" t="s">
        <v>927</v>
      </c>
      <c r="AB222" s="78" t="s">
        <v>517</v>
      </c>
      <c r="AC222" s="20" t="n">
        <f aca="false">IF(AE222&gt;0,ROUND(AVERAGEIFS('Shortlisted Drugs X Company (7)'!$N$3:$N$698,'Shortlisted Drugs X Company (7)'!$C$3:$C$698,$B222,'Shortlisted Drugs X Company (7)'!$E$3:$E$698,$AA222,'Shortlisted Drugs X Company (7)'!$N$3:$N$698,"&gt;=0"),2),"")</f>
        <v>5.42</v>
      </c>
      <c r="AD222" s="79" t="str">
        <f aca="false">B222&amp;"|"&amp;AA222</f>
        <v>Naloxone|Intas Pharmaceuticals</v>
      </c>
      <c r="AE222" s="22" t="n">
        <f aca="false">COUNTIFS('Shortlisted Drugs X Company (7)'!$C$3:$C$698,$B222,'Shortlisted Drugs X Company (7)'!$E$3:$E$698,$AA222,'Shortlisted Drugs X Company (7)'!$N$3:$N$698,"&gt;=0")</f>
        <v>1</v>
      </c>
      <c r="AF222" s="22" t="n">
        <f aca="false">COUNTIFS('Shortlisted Drugs X Company (7)'!$C$3:$C$698,$B222,'Shortlisted Drugs X Company (7)'!$E$3:$E$698,$AA222,'Shortlisted Drugs X Company (7)'!$N$3:$N$698,"&gt;5")</f>
        <v>1</v>
      </c>
      <c r="AG222" s="22" t="n">
        <f aca="false">COUNTIFS('Shortlisted Drugs X Company (7)'!$C$3:$C$698,$B222,'Shortlisted Drugs X Company (7)'!$E$3:$E$698,$AA222,'Shortlisted Drugs X Company (7)'!$P$3:$P$698,"Exact")+COUNTIFS('Shortlisted Drugs X Company (7)'!$C$3:$C$698,$B222,'Shortlisted Drugs X Company (7)'!$E$3:$E$698,$AA222,'Shortlisted Drugs X Company (7)'!$P$3:$P$698,"Same-market proxy")</f>
        <v>1</v>
      </c>
      <c r="AH222" s="22" t="n">
        <f aca="false">INDEX($G$7:$G$25,MATCH(A222,$A$7:$A$25,0))</f>
        <v>1</v>
      </c>
      <c r="AI222" s="79" t="n">
        <f aca="false">IF(OR(Q222="No",LEFT(H222,7)="IV only"),"",AH222*1000+IF(F222="",900+COUNTIFS($A$29:A222,A222,$H$29:H222,"Price*"),F222))</f>
        <v>1023</v>
      </c>
      <c r="AJ222" s="79" t="n">
        <f aca="false">IF(H222&lt;&gt;"","",(4-VALUE(RIGHT(E222,1)))*10^7+N(O222))</f>
        <v>10001437.9</v>
      </c>
      <c r="AK222" s="20" t="n">
        <f aca="false">IF(AND(H222="",ISNUMBER(I222)),I222,"")</f>
        <v>5.42</v>
      </c>
      <c r="AL222" s="21" t="n">
        <f aca="false">IF(H222="",M222,"")</f>
        <v>88</v>
      </c>
    </row>
    <row r="223" customFormat="false" ht="68.65" hidden="false" customHeight="false" outlineLevel="0" collapsed="false">
      <c r="A223" s="16" t="s">
        <v>21</v>
      </c>
      <c r="B223" s="16" t="s">
        <v>518</v>
      </c>
      <c r="C223" s="17" t="s">
        <v>1101</v>
      </c>
      <c r="D223" s="17" t="s">
        <v>520</v>
      </c>
      <c r="E223" s="15" t="str">
        <f aca="false">IF(H223&lt;&gt;"",IF(LEFT(H223,5)="Price","Excluded – price ≤ USD 5","Excluded – IV only"),IF(ISNUMBER(I223),IF(AND(I223&gt;=$C$3,M223&gt;=$E$3),"Priority 1",IF(OR(I223&gt;=$C$3,M223&gt;=$E$3),"Priority 2","Priority 3")),IF(M223&gt;=$E$3,"Priority 2","Priority 3")))</f>
        <v>Priority 2</v>
      </c>
      <c r="F223" s="15" t="n">
        <f aca="false">IF(H223&lt;&gt;"","",COUNTIFS($A$29:$A$361,A223,$H$29:$H$361,"",$AJ$29:$AJ$361,"&gt;"&amp;AJ223)+COUNTIFS($A$29:A223,A223,$H$29:H223,"",$AJ$29:AJ223,AJ223))</f>
        <v>10</v>
      </c>
      <c r="G223" s="17" t="str">
        <f aca="false">IF(H223&lt;&gt;"","",IF(ISNUMBER(I223),IF(I223&gt;=$C$3,"High price","Lower price"),"No price")&amp;", "&amp;IF(M223&gt;=$E$3,"high volume","lower volume"))</f>
        <v>Lower price, high volume</v>
      </c>
      <c r="H223" s="17" t="str">
        <f aca="false">IF(Q223="No","IV only (no ID, IM or SC route)",IF(AND(AE223&gt;0,AF223=0),"Price ≤ USD 5",""))</f>
        <v/>
      </c>
      <c r="I223" s="18" t="n">
        <f aca="false">IF(AF223&gt;0,ROUND(AVERAGEIFS('Shortlisted Drugs X Company (7)'!$N$3:$N$698,'Shortlisted Drugs X Company (7)'!$C$3:$C$698,$B223,'Shortlisted Drugs X Company (7)'!$E$3:$E$698,$AA223,'Shortlisted Drugs X Company (7)'!$N$3:$N$698,"&gt;5"),2),"")</f>
        <v>24.05</v>
      </c>
      <c r="J223" s="17" t="str">
        <f aca="false">IF(COUNTIFS('Shortlisted Drugs X Company (7)'!$C$3:$C$698,$B223,'Shortlisted Drugs X Company (7)'!$E$3:$E$698,$AA223,'Shortlisted Drugs X Company (7)'!$P$3:$P$698,"Exact")&gt;0,"Exact",IF(COUNTIFS('Shortlisted Drugs X Company (7)'!$C$3:$C$698,$B223,'Shortlisted Drugs X Company (7)'!$E$3:$E$698,$AA223,'Shortlisted Drugs X Company (7)'!$P$3:$P$698,"Same-market proxy")&gt;0,"Same-market proxy",IF(COUNTIFS('Shortlisted Drugs X Company (7)'!$C$3:$C$698,$B223,'Shortlisted Drugs X Company (7)'!$E$3:$E$698,$AA223,'Shortlisted Drugs X Company (7)'!$P$3:$P$698,"Cross-market proxy")&gt;0,"Cross-market proxy",IF(COUNTIFS('Shortlisted Drugs X Company (7)'!$C$3:$C$698,$B223,'Shortlisted Drugs X Company (7)'!$E$3:$E$698,$AA223,'Shortlisted Drugs X Company (7)'!$P$3:$P$698,"Source not found")&gt;0,"Source not found","No price found"))))</f>
        <v>Exact</v>
      </c>
      <c r="K223" s="19" t="n">
        <f aca="false">IFERROR(INDEX('Injectable Value'!$AB$28:$AB$178,MATCH(B223,'Injectable Value'!$A$28:$A$178,0)),"")</f>
        <v>2546</v>
      </c>
      <c r="L223" s="77" t="n">
        <f aca="false">IFERROR(INDEX('Injectable Value'!$Z$28:$Z$178,MATCH(B223,'Injectable Value'!$A$28:$A$178,0)),"")</f>
        <v>0.378228374732698</v>
      </c>
      <c r="M223" s="19" t="n">
        <f aca="false">IFERROR(INDEX('Injectable Value'!$AC$28:$AC$178,MATCH(B223,'Injectable Value'!$A$28:$A$178,0)),"")</f>
        <v>963</v>
      </c>
      <c r="N223" s="19" t="n">
        <f aca="false">IFERROR(INDEX('Injectable Value'!$C$28:$C$178,MATCH(B223,'Injectable Value'!$A$28:$A$178,0)),"")</f>
        <v>46507.62</v>
      </c>
      <c r="O223" s="19" t="n">
        <f aca="false">IFERROR(ROUND(INDEX('Injectable Value'!$AA$28:$AA$178,MATCH(B223,'Injectable Value'!$A$28:$A$178,0)),1),"")</f>
        <v>17590.5</v>
      </c>
      <c r="P223" s="16" t="str">
        <f aca="false">IFERROR(INDEX('Route of Administration'!$C$5:$C$155,MATCH(B223,'Route of Administration'!$A$5:$A$155,0)),"")</f>
        <v>IV, IM</v>
      </c>
      <c r="Q223" s="15" t="str">
        <f aca="false">IFERROR(INDEX('Route of Administration'!$D$5:$D$155,MATCH(B223,'Route of Administration'!$A$5:$A$155,0)),"")</f>
        <v>Yes</v>
      </c>
      <c r="R223" s="16" t="s">
        <v>1102</v>
      </c>
      <c r="S223" s="17" t="s">
        <v>1103</v>
      </c>
      <c r="T223" s="16" t="s">
        <v>283</v>
      </c>
      <c r="U223" s="17" t="str">
        <f aca="false">""&amp;IF(AE223=0,"No price found","")&amp;IF(AND(AE223&gt;0,AF223=0,AG223=0),"Low price comes from another market – confirm with the company","")</f>
        <v/>
      </c>
      <c r="V223" s="17" t="s">
        <v>342</v>
      </c>
      <c r="W223" s="15" t="n">
        <v>27</v>
      </c>
      <c r="X223" s="17" t="s">
        <v>1104</v>
      </c>
      <c r="Y223" s="17" t="s">
        <v>1105</v>
      </c>
      <c r="Z223" s="17" t="s">
        <v>286</v>
      </c>
      <c r="AA223" s="16" t="s">
        <v>927</v>
      </c>
      <c r="AB223" s="78" t="s">
        <v>525</v>
      </c>
      <c r="AC223" s="20" t="n">
        <f aca="false">IF(AE223&gt;0,ROUND(AVERAGEIFS('Shortlisted Drugs X Company (7)'!$N$3:$N$698,'Shortlisted Drugs X Company (7)'!$C$3:$C$698,$B223,'Shortlisted Drugs X Company (7)'!$E$3:$E$698,$AA223,'Shortlisted Drugs X Company (7)'!$N$3:$N$698,"&gt;=0"),2),"")</f>
        <v>24.05</v>
      </c>
      <c r="AD223" s="79" t="str">
        <f aca="false">B223&amp;"|"&amp;AA223</f>
        <v>Ondansetron|Intas Pharmaceuticals</v>
      </c>
      <c r="AE223" s="22" t="n">
        <f aca="false">COUNTIFS('Shortlisted Drugs X Company (7)'!$C$3:$C$698,$B223,'Shortlisted Drugs X Company (7)'!$E$3:$E$698,$AA223,'Shortlisted Drugs X Company (7)'!$N$3:$N$698,"&gt;=0")</f>
        <v>4</v>
      </c>
      <c r="AF223" s="22" t="n">
        <f aca="false">COUNTIFS('Shortlisted Drugs X Company (7)'!$C$3:$C$698,$B223,'Shortlisted Drugs X Company (7)'!$E$3:$E$698,$AA223,'Shortlisted Drugs X Company (7)'!$N$3:$N$698,"&gt;5")</f>
        <v>4</v>
      </c>
      <c r="AG223" s="22" t="n">
        <f aca="false">COUNTIFS('Shortlisted Drugs X Company (7)'!$C$3:$C$698,$B223,'Shortlisted Drugs X Company (7)'!$E$3:$E$698,$AA223,'Shortlisted Drugs X Company (7)'!$P$3:$P$698,"Exact")+COUNTIFS('Shortlisted Drugs X Company (7)'!$C$3:$C$698,$B223,'Shortlisted Drugs X Company (7)'!$E$3:$E$698,$AA223,'Shortlisted Drugs X Company (7)'!$P$3:$P$698,"Same-market proxy")</f>
        <v>4</v>
      </c>
      <c r="AH223" s="22" t="n">
        <f aca="false">INDEX($G$7:$G$25,MATCH(A223,$A$7:$A$25,0))</f>
        <v>1</v>
      </c>
      <c r="AI223" s="79" t="n">
        <f aca="false">IF(OR(Q223="No",LEFT(H223,7)="IV only"),"",AH223*1000+IF(F223="",900+COUNTIFS($A$29:A223,A223,$H$29:H223,"Price*"),F223))</f>
        <v>1010</v>
      </c>
      <c r="AJ223" s="79" t="n">
        <f aca="false">IF(H223&lt;&gt;"","",(4-VALUE(RIGHT(E223,1)))*10^7+N(O223))</f>
        <v>20017590.5</v>
      </c>
      <c r="AK223" s="20" t="n">
        <f aca="false">IF(AND(H223="",ISNUMBER(I223)),I223,"")</f>
        <v>24.05</v>
      </c>
      <c r="AL223" s="21" t="n">
        <f aca="false">IF(H223="",M223,"")</f>
        <v>963</v>
      </c>
    </row>
    <row r="224" customFormat="false" ht="95.5" hidden="false" customHeight="false" outlineLevel="0" collapsed="false">
      <c r="A224" s="16" t="s">
        <v>21</v>
      </c>
      <c r="B224" s="16" t="s">
        <v>1106</v>
      </c>
      <c r="C224" s="17" t="s">
        <v>1106</v>
      </c>
      <c r="D224" s="17" t="s">
        <v>1107</v>
      </c>
      <c r="E224" s="15" t="str">
        <f aca="false">IF(H224&lt;&gt;"",IF(LEFT(H224,5)="Price","Excluded – price ≤ USD 5","Excluded – IV only"),IF(ISNUMBER(I224),IF(AND(I224&gt;=$C$3,M224&gt;=$E$3),"Priority 1",IF(OR(I224&gt;=$C$3,M224&gt;=$E$3),"Priority 2","Priority 3")),IF(M224&gt;=$E$3,"Priority 2","Priority 3")))</f>
        <v>Excluded – IV only</v>
      </c>
      <c r="F224" s="15" t="str">
        <f aca="false">IF(H224&lt;&gt;"","",COUNTIFS($A$29:$A$361,A224,$H$29:$H$361,"",$AJ$29:$AJ$361,"&gt;"&amp;AJ224)+COUNTIFS($A$29:A224,A224,$H$29:H224,"",$AJ$29:AJ224,AJ224))</f>
        <v/>
      </c>
      <c r="G224" s="17" t="str">
        <f aca="false">IF(H224&lt;&gt;"","",IF(ISNUMBER(I224),IF(I224&gt;=$C$3,"High price","Lower price"),"No price")&amp;", "&amp;IF(M224&gt;=$E$3,"high volume","lower volume"))</f>
        <v/>
      </c>
      <c r="H224" s="17" t="str">
        <f aca="false">IF(Q224="No","IV only (no ID, IM or SC route)",IF(AND(AE224&gt;0,AF224=0),"Price ≤ USD 5",""))</f>
        <v>IV only (no ID, IM or SC route)</v>
      </c>
      <c r="I224" s="18" t="n">
        <f aca="false">IF(AF224&gt;0,ROUND(AVERAGEIFS('Shortlisted Drugs X Company (7)'!$N$3:$N$698,'Shortlisted Drugs X Company (7)'!$C$3:$C$698,$B224,'Shortlisted Drugs X Company (7)'!$E$3:$E$698,$AA224,'Shortlisted Drugs X Company (7)'!$N$3:$N$698,"&gt;5"),2),"")</f>
        <v>261.8</v>
      </c>
      <c r="J224" s="17" t="str">
        <f aca="false">IF(COUNTIFS('Shortlisted Drugs X Company (7)'!$C$3:$C$698,$B224,'Shortlisted Drugs X Company (7)'!$E$3:$E$698,$AA224,'Shortlisted Drugs X Company (7)'!$P$3:$P$698,"Exact")&gt;0,"Exact",IF(COUNTIFS('Shortlisted Drugs X Company (7)'!$C$3:$C$698,$B224,'Shortlisted Drugs X Company (7)'!$E$3:$E$698,$AA224,'Shortlisted Drugs X Company (7)'!$P$3:$P$698,"Same-market proxy")&gt;0,"Same-market proxy",IF(COUNTIFS('Shortlisted Drugs X Company (7)'!$C$3:$C$698,$B224,'Shortlisted Drugs X Company (7)'!$E$3:$E$698,$AA224,'Shortlisted Drugs X Company (7)'!$P$3:$P$698,"Cross-market proxy")&gt;0,"Cross-market proxy",IF(COUNTIFS('Shortlisted Drugs X Company (7)'!$C$3:$C$698,$B224,'Shortlisted Drugs X Company (7)'!$E$3:$E$698,$AA224,'Shortlisted Drugs X Company (7)'!$P$3:$P$698,"Source not found")&gt;0,"Source not found","No price found"))))</f>
        <v>Same-market proxy</v>
      </c>
      <c r="K224" s="19" t="n">
        <f aca="false">IFERROR(INDEX('Injectable Value'!$AB$28:$AB$178,MATCH(B224,'Injectable Value'!$A$28:$A$178,0)),"")</f>
        <v>1289</v>
      </c>
      <c r="L224" s="77" t="n">
        <f aca="false">IFERROR(INDEX('Injectable Value'!$Z$28:$Z$178,MATCH(B224,'Injectable Value'!$A$28:$A$178,0)),"")</f>
        <v>0.901785714285714</v>
      </c>
      <c r="M224" s="19" t="n">
        <f aca="false">IFERROR(INDEX('Injectable Value'!$AC$28:$AC$178,MATCH(B224,'Injectable Value'!$A$28:$A$178,0)),"")</f>
        <v>1162</v>
      </c>
      <c r="N224" s="19" t="n">
        <f aca="false">IFERROR(INDEX('Injectable Value'!$C$28:$C$178,MATCH(B224,'Injectable Value'!$A$28:$A$178,0)),"")</f>
        <v>29883.81</v>
      </c>
      <c r="O224" s="19" t="n">
        <f aca="false">IFERROR(ROUND(INDEX('Injectable Value'!$AA$28:$AA$178,MATCH(B224,'Injectable Value'!$A$28:$A$178,0)),1),"")</f>
        <v>26948.8</v>
      </c>
      <c r="P224" s="16" t="str">
        <f aca="false">IFERROR(INDEX('Route of Administration'!$C$5:$C$155,MATCH(B224,'Route of Administration'!$A$5:$A$155,0)),"")</f>
        <v>IV</v>
      </c>
      <c r="Q224" s="15" t="str">
        <f aca="false">IFERROR(INDEX('Route of Administration'!$D$5:$D$155,MATCH(B224,'Route of Administration'!$A$5:$A$155,0)),"")</f>
        <v>No</v>
      </c>
      <c r="R224" s="16" t="s">
        <v>281</v>
      </c>
      <c r="S224" s="17" t="s">
        <v>1108</v>
      </c>
      <c r="T224" s="16" t="s">
        <v>283</v>
      </c>
      <c r="U224" s="17" t="str">
        <f aca="false">"Cancer drug (cytotoxic) – less relevant"&amp;IF(AE224=0,"; No price found","")&amp;IF(AND(AE224&gt;0,AF224=0,AG224=0),"; Low price comes from another market – confirm with the company","")</f>
        <v>Cancer drug (cytotoxic) – less relevant</v>
      </c>
      <c r="V224" s="17" t="s">
        <v>1009</v>
      </c>
      <c r="W224" s="15" t="n">
        <v>32</v>
      </c>
      <c r="X224" s="17" t="s">
        <v>1109</v>
      </c>
      <c r="Y224" s="17" t="s">
        <v>1110</v>
      </c>
      <c r="Z224" s="17" t="s">
        <v>321</v>
      </c>
      <c r="AA224" s="16" t="s">
        <v>927</v>
      </c>
      <c r="AB224" s="78" t="s">
        <v>1111</v>
      </c>
      <c r="AC224" s="20" t="n">
        <f aca="false">IF(AE224&gt;0,ROUND(AVERAGEIFS('Shortlisted Drugs X Company (7)'!$N$3:$N$698,'Shortlisted Drugs X Company (7)'!$C$3:$C$698,$B224,'Shortlisted Drugs X Company (7)'!$E$3:$E$698,$AA224,'Shortlisted Drugs X Company (7)'!$N$3:$N$698,"&gt;=0"),2),"")</f>
        <v>261.8</v>
      </c>
      <c r="AD224" s="79" t="str">
        <f aca="false">B224&amp;"|"&amp;AA224</f>
        <v>Paclitaxel|Intas Pharmaceuticals</v>
      </c>
      <c r="AE224" s="22" t="n">
        <f aca="false">COUNTIFS('Shortlisted Drugs X Company (7)'!$C$3:$C$698,$B224,'Shortlisted Drugs X Company (7)'!$E$3:$E$698,$AA224,'Shortlisted Drugs X Company (7)'!$N$3:$N$698,"&gt;=0")</f>
        <v>1</v>
      </c>
      <c r="AF224" s="22" t="n">
        <f aca="false">COUNTIFS('Shortlisted Drugs X Company (7)'!$C$3:$C$698,$B224,'Shortlisted Drugs X Company (7)'!$E$3:$E$698,$AA224,'Shortlisted Drugs X Company (7)'!$N$3:$N$698,"&gt;5")</f>
        <v>1</v>
      </c>
      <c r="AG224" s="22" t="n">
        <f aca="false">COUNTIFS('Shortlisted Drugs X Company (7)'!$C$3:$C$698,$B224,'Shortlisted Drugs X Company (7)'!$E$3:$E$698,$AA224,'Shortlisted Drugs X Company (7)'!$P$3:$P$698,"Exact")+COUNTIFS('Shortlisted Drugs X Company (7)'!$C$3:$C$698,$B224,'Shortlisted Drugs X Company (7)'!$E$3:$E$698,$AA224,'Shortlisted Drugs X Company (7)'!$P$3:$P$698,"Same-market proxy")</f>
        <v>1</v>
      </c>
      <c r="AH224" s="22" t="n">
        <f aca="false">INDEX($G$7:$G$25,MATCH(A224,$A$7:$A$25,0))</f>
        <v>1</v>
      </c>
      <c r="AI224" s="79" t="str">
        <f aca="false">IF(OR(Q224="No",LEFT(H224,7)="IV only"),"",AH224*1000+IF(F224="",900+COUNTIFS($A$29:A224,A224,$H$29:H224,"Price*"),F224))</f>
        <v/>
      </c>
      <c r="AJ224" s="79" t="str">
        <f aca="false">IF(H224&lt;&gt;"","",(4-VALUE(RIGHT(E224,1)))*10^7+N(O224))</f>
        <v/>
      </c>
      <c r="AK224" s="79" t="str">
        <f aca="false">IF(AND(H224="",ISNUMBER(I224)),I224,"")</f>
        <v/>
      </c>
      <c r="AL224" s="79" t="str">
        <f aca="false">IF(H224="",M224,"")</f>
        <v/>
      </c>
    </row>
    <row r="225" customFormat="false" ht="95.5" hidden="false" customHeight="false" outlineLevel="0" collapsed="false">
      <c r="A225" s="16" t="s">
        <v>21</v>
      </c>
      <c r="B225" s="16" t="s">
        <v>529</v>
      </c>
      <c r="C225" s="17" t="s">
        <v>1112</v>
      </c>
      <c r="D225" s="17" t="s">
        <v>531</v>
      </c>
      <c r="E225" s="15" t="str">
        <f aca="false">IF(H225&lt;&gt;"",IF(LEFT(H225,5)="Price","Excluded – price ≤ USD 5","Excluded – IV only"),IF(ISNUMBER(I225),IF(AND(I225&gt;=$C$3,M225&gt;=$E$3),"Priority 1",IF(OR(I225&gt;=$C$3,M225&gt;=$E$3),"Priority 2","Priority 3")),IF(M225&gt;=$E$3,"Priority 2","Priority 3")))</f>
        <v>Excluded – IV only</v>
      </c>
      <c r="F225" s="15" t="str">
        <f aca="false">IF(H225&lt;&gt;"","",COUNTIFS($A$29:$A$361,A225,$H$29:$H$361,"",$AJ$29:$AJ$361,"&gt;"&amp;AJ225)+COUNTIFS($A$29:A225,A225,$H$29:H225,"",$AJ$29:AJ225,AJ225))</f>
        <v/>
      </c>
      <c r="G225" s="17" t="str">
        <f aca="false">IF(H225&lt;&gt;"","",IF(ISNUMBER(I225),IF(I225&gt;=$C$3,"High price","Lower price"),"No price")&amp;", "&amp;IF(M225&gt;=$E$3,"high volume","lower volume"))</f>
        <v/>
      </c>
      <c r="H225" s="17" t="str">
        <f aca="false">IF(Q225="No","IV only (no ID, IM or SC route)",IF(AND(AE225&gt;0,AF225=0),"Price ≤ USD 5",""))</f>
        <v>IV only (no ID, IM or SC route)</v>
      </c>
      <c r="I225" s="18" t="n">
        <f aca="false">IF(AF225&gt;0,ROUND(AVERAGEIFS('Shortlisted Drugs X Company (7)'!$N$3:$N$698,'Shortlisted Drugs X Company (7)'!$C$3:$C$698,$B225,'Shortlisted Drugs X Company (7)'!$E$3:$E$698,$AA225,'Shortlisted Drugs X Company (7)'!$N$3:$N$698,"&gt;5"),2),"")</f>
        <v>60.84</v>
      </c>
      <c r="J225" s="17" t="str">
        <f aca="false">IF(COUNTIFS('Shortlisted Drugs X Company (7)'!$C$3:$C$698,$B225,'Shortlisted Drugs X Company (7)'!$E$3:$E$698,$AA225,'Shortlisted Drugs X Company (7)'!$P$3:$P$698,"Exact")&gt;0,"Exact",IF(COUNTIFS('Shortlisted Drugs X Company (7)'!$C$3:$C$698,$B225,'Shortlisted Drugs X Company (7)'!$E$3:$E$698,$AA225,'Shortlisted Drugs X Company (7)'!$P$3:$P$698,"Same-market proxy")&gt;0,"Same-market proxy",IF(COUNTIFS('Shortlisted Drugs X Company (7)'!$C$3:$C$698,$B225,'Shortlisted Drugs X Company (7)'!$E$3:$E$698,$AA225,'Shortlisted Drugs X Company (7)'!$P$3:$P$698,"Cross-market proxy")&gt;0,"Cross-market proxy",IF(COUNTIFS('Shortlisted Drugs X Company (7)'!$C$3:$C$698,$B225,'Shortlisted Drugs X Company (7)'!$E$3:$E$698,$AA225,'Shortlisted Drugs X Company (7)'!$P$3:$P$698,"Source not found")&gt;0,"Source not found","No price found"))))</f>
        <v>Exact</v>
      </c>
      <c r="K225" s="19" t="n">
        <f aca="false">IFERROR(INDEX('Injectable Value'!$AB$28:$AB$178,MATCH(B225,'Injectable Value'!$A$28:$A$178,0)),"")</f>
        <v>119</v>
      </c>
      <c r="L225" s="77" t="n">
        <f aca="false">IFERROR(INDEX('Injectable Value'!$Z$28:$Z$178,MATCH(B225,'Injectable Value'!$A$28:$A$178,0)),"")</f>
        <v>0.899884259259259</v>
      </c>
      <c r="M225" s="19" t="n">
        <f aca="false">IFERROR(INDEX('Injectable Value'!$AC$28:$AC$178,MATCH(B225,'Injectable Value'!$A$28:$A$178,0)),"")</f>
        <v>107</v>
      </c>
      <c r="N225" s="19" t="n">
        <f aca="false">IFERROR(INDEX('Injectable Value'!$C$28:$C$178,MATCH(B225,'Injectable Value'!$A$28:$A$178,0)),"")</f>
        <v>3113.83</v>
      </c>
      <c r="O225" s="19" t="n">
        <f aca="false">IFERROR(ROUND(INDEX('Injectable Value'!$AA$28:$AA$178,MATCH(B225,'Injectable Value'!$A$28:$A$178,0)),1),"")</f>
        <v>2802.1</v>
      </c>
      <c r="P225" s="16" t="str">
        <f aca="false">IFERROR(INDEX('Route of Administration'!$C$5:$C$155,MATCH(B225,'Route of Administration'!$A$5:$A$155,0)),"")</f>
        <v>IV</v>
      </c>
      <c r="Q225" s="15" t="str">
        <f aca="false">IFERROR(INDEX('Route of Administration'!$D$5:$D$155,MATCH(B225,'Route of Administration'!$A$5:$A$155,0)),"")</f>
        <v>No</v>
      </c>
      <c r="R225" s="16" t="s">
        <v>281</v>
      </c>
      <c r="S225" s="17" t="s">
        <v>1113</v>
      </c>
      <c r="T225" s="16" t="s">
        <v>283</v>
      </c>
      <c r="U225" s="17" t="str">
        <f aca="false">""&amp;IF(AE225=0,"No price found","")&amp;IF(AND(AE225&gt;0,AF225=0,AG225=0),"Low price comes from another market – confirm with the company","")</f>
        <v/>
      </c>
      <c r="V225" s="17" t="s">
        <v>456</v>
      </c>
      <c r="W225" s="15" t="n">
        <v>32</v>
      </c>
      <c r="X225" s="17" t="s">
        <v>1114</v>
      </c>
      <c r="Y225" s="17" t="s">
        <v>1115</v>
      </c>
      <c r="Z225" s="17" t="s">
        <v>286</v>
      </c>
      <c r="AA225" s="16" t="s">
        <v>927</v>
      </c>
      <c r="AB225" s="78" t="s">
        <v>533</v>
      </c>
      <c r="AC225" s="20" t="n">
        <f aca="false">IF(AE225&gt;0,ROUND(AVERAGEIFS('Shortlisted Drugs X Company (7)'!$N$3:$N$698,'Shortlisted Drugs X Company (7)'!$C$3:$C$698,$B225,'Shortlisted Drugs X Company (7)'!$E$3:$E$698,$AA225,'Shortlisted Drugs X Company (7)'!$N$3:$N$698,"&gt;=0"),2),"")</f>
        <v>60.84</v>
      </c>
      <c r="AD225" s="79" t="str">
        <f aca="false">B225&amp;"|"&amp;AA225</f>
        <v>Palonosetron|Intas Pharmaceuticals</v>
      </c>
      <c r="AE225" s="22" t="n">
        <f aca="false">COUNTIFS('Shortlisted Drugs X Company (7)'!$C$3:$C$698,$B225,'Shortlisted Drugs X Company (7)'!$E$3:$E$698,$AA225,'Shortlisted Drugs X Company (7)'!$N$3:$N$698,"&gt;=0")</f>
        <v>3</v>
      </c>
      <c r="AF225" s="22" t="n">
        <f aca="false">COUNTIFS('Shortlisted Drugs X Company (7)'!$C$3:$C$698,$B225,'Shortlisted Drugs X Company (7)'!$E$3:$E$698,$AA225,'Shortlisted Drugs X Company (7)'!$N$3:$N$698,"&gt;5")</f>
        <v>3</v>
      </c>
      <c r="AG225" s="22" t="n">
        <f aca="false">COUNTIFS('Shortlisted Drugs X Company (7)'!$C$3:$C$698,$B225,'Shortlisted Drugs X Company (7)'!$E$3:$E$698,$AA225,'Shortlisted Drugs X Company (7)'!$P$3:$P$698,"Exact")+COUNTIFS('Shortlisted Drugs X Company (7)'!$C$3:$C$698,$B225,'Shortlisted Drugs X Company (7)'!$E$3:$E$698,$AA225,'Shortlisted Drugs X Company (7)'!$P$3:$P$698,"Same-market proxy")</f>
        <v>3</v>
      </c>
      <c r="AH225" s="22" t="n">
        <f aca="false">INDEX($G$7:$G$25,MATCH(A225,$A$7:$A$25,0))</f>
        <v>1</v>
      </c>
      <c r="AI225" s="79" t="str">
        <f aca="false">IF(OR(Q225="No",LEFT(H225,7)="IV only"),"",AH225*1000+IF(F225="",900+COUNTIFS($A$29:A225,A225,$H$29:H225,"Price*"),F225))</f>
        <v/>
      </c>
      <c r="AJ225" s="79" t="str">
        <f aca="false">IF(H225&lt;&gt;"","",(4-VALUE(RIGHT(E225,1)))*10^7+N(O225))</f>
        <v/>
      </c>
      <c r="AK225" s="79" t="str">
        <f aca="false">IF(AND(H225="",ISNUMBER(I225)),I225,"")</f>
        <v/>
      </c>
      <c r="AL225" s="79" t="str">
        <f aca="false">IF(H225="",M225,"")</f>
        <v/>
      </c>
    </row>
    <row r="226" customFormat="false" ht="41.75" hidden="false" customHeight="false" outlineLevel="0" collapsed="false">
      <c r="A226" s="16" t="s">
        <v>21</v>
      </c>
      <c r="B226" s="16" t="s">
        <v>534</v>
      </c>
      <c r="C226" s="17" t="s">
        <v>1116</v>
      </c>
      <c r="D226" s="17" t="s">
        <v>535</v>
      </c>
      <c r="E226" s="15" t="str">
        <f aca="false">IF(H226&lt;&gt;"",IF(LEFT(H226,5)="Price","Excluded – price ≤ USD 5","Excluded – IV only"),IF(ISNUMBER(I226),IF(AND(I226&gt;=$C$3,M226&gt;=$E$3),"Priority 1",IF(OR(I226&gt;=$C$3,M226&gt;=$E$3),"Priority 2","Priority 3")),IF(M226&gt;=$E$3,"Priority 2","Priority 3")))</f>
        <v>Excluded – IV only</v>
      </c>
      <c r="F226" s="15" t="str">
        <f aca="false">IF(H226&lt;&gt;"","",COUNTIFS($A$29:$A$361,A226,$H$29:$H$361,"",$AJ$29:$AJ$361,"&gt;"&amp;AJ226)+COUNTIFS($A$29:A226,A226,$H$29:H226,"",$AJ$29:AJ226,AJ226))</f>
        <v/>
      </c>
      <c r="G226" s="17" t="str">
        <f aca="false">IF(H226&lt;&gt;"","",IF(ISNUMBER(I226),IF(I226&gt;=$C$3,"High price","Lower price"),"No price")&amp;", "&amp;IF(M226&gt;=$E$3,"high volume","lower volume"))</f>
        <v/>
      </c>
      <c r="H226" s="17" t="str">
        <f aca="false">IF(Q226="No","IV only (no ID, IM or SC route)",IF(AND(AE226&gt;0,AF226=0),"Price ≤ USD 5",""))</f>
        <v>IV only (no ID, IM or SC route)</v>
      </c>
      <c r="I226" s="18" t="n">
        <f aca="false">IF(AF226&gt;0,ROUND(AVERAGEIFS('Shortlisted Drugs X Company (7)'!$N$3:$N$698,'Shortlisted Drugs X Company (7)'!$C$3:$C$698,$B226,'Shortlisted Drugs X Company (7)'!$E$3:$E$698,$AA226,'Shortlisted Drugs X Company (7)'!$N$3:$N$698,"&gt;5"),2),"")</f>
        <v>6.08</v>
      </c>
      <c r="J226" s="17" t="str">
        <f aca="false">IF(COUNTIFS('Shortlisted Drugs X Company (7)'!$C$3:$C$698,$B226,'Shortlisted Drugs X Company (7)'!$E$3:$E$698,$AA226,'Shortlisted Drugs X Company (7)'!$P$3:$P$698,"Exact")&gt;0,"Exact",IF(COUNTIFS('Shortlisted Drugs X Company (7)'!$C$3:$C$698,$B226,'Shortlisted Drugs X Company (7)'!$E$3:$E$698,$AA226,'Shortlisted Drugs X Company (7)'!$P$3:$P$698,"Same-market proxy")&gt;0,"Same-market proxy",IF(COUNTIFS('Shortlisted Drugs X Company (7)'!$C$3:$C$698,$B226,'Shortlisted Drugs X Company (7)'!$E$3:$E$698,$AA226,'Shortlisted Drugs X Company (7)'!$P$3:$P$698,"Cross-market proxy")&gt;0,"Cross-market proxy",IF(COUNTIFS('Shortlisted Drugs X Company (7)'!$C$3:$C$698,$B226,'Shortlisted Drugs X Company (7)'!$E$3:$E$698,$AA226,'Shortlisted Drugs X Company (7)'!$P$3:$P$698,"Source not found")&gt;0,"Source not found","No price found"))))</f>
        <v>Same-market proxy</v>
      </c>
      <c r="K226" s="19" t="n">
        <f aca="false">IFERROR(INDEX('Injectable Value'!$AB$28:$AB$178,MATCH(B226,'Injectable Value'!$A$28:$A$178,0)),"")</f>
        <v>3515</v>
      </c>
      <c r="L226" s="77" t="n">
        <f aca="false">IFERROR(INDEX('Injectable Value'!$Z$28:$Z$178,MATCH(B226,'Injectable Value'!$A$28:$A$178,0)),"")</f>
        <v>0.251824206147514</v>
      </c>
      <c r="M226" s="19" t="n">
        <f aca="false">IFERROR(INDEX('Injectable Value'!$AC$28:$AC$178,MATCH(B226,'Injectable Value'!$A$28:$A$178,0)),"")</f>
        <v>885</v>
      </c>
      <c r="N226" s="19" t="n">
        <f aca="false">IFERROR(INDEX('Injectable Value'!$C$28:$C$178,MATCH(B226,'Injectable Value'!$A$28:$A$178,0)),"")</f>
        <v>140084.73</v>
      </c>
      <c r="O226" s="19" t="n">
        <f aca="false">IFERROR(ROUND(INDEX('Injectable Value'!$AA$28:$AA$178,MATCH(B226,'Injectable Value'!$A$28:$A$178,0)),1),"")</f>
        <v>35276.7</v>
      </c>
      <c r="P226" s="16" t="str">
        <f aca="false">IFERROR(INDEX('Route of Administration'!$C$5:$C$155,MATCH(B226,'Route of Administration'!$A$5:$A$155,0)),"")</f>
        <v>IV</v>
      </c>
      <c r="Q226" s="15" t="str">
        <f aca="false">IFERROR(INDEX('Route of Administration'!$D$5:$D$155,MATCH(B226,'Route of Administration'!$A$5:$A$155,0)),"")</f>
        <v>No</v>
      </c>
      <c r="R226" s="16" t="s">
        <v>281</v>
      </c>
      <c r="S226" s="17" t="s">
        <v>807</v>
      </c>
      <c r="T226" s="16" t="s">
        <v>333</v>
      </c>
      <c r="U226" s="17" t="str">
        <f aca="false">"Reconstitution"&amp;IF(AE226=0,"; No price found","")&amp;IF(AND(AE226&gt;0,AF226=0,AG226=0),"; Low price comes from another market – confirm with the company","")</f>
        <v>Reconstitution</v>
      </c>
      <c r="V226" s="17" t="s">
        <v>1117</v>
      </c>
      <c r="W226" s="15" t="n">
        <v>14</v>
      </c>
      <c r="X226" s="17" t="s">
        <v>1118</v>
      </c>
      <c r="Y226" s="17" t="s">
        <v>1119</v>
      </c>
      <c r="Z226" s="17" t="s">
        <v>286</v>
      </c>
      <c r="AA226" s="16" t="s">
        <v>927</v>
      </c>
      <c r="AB226" s="78" t="s">
        <v>540</v>
      </c>
      <c r="AC226" s="20" t="n">
        <f aca="false">IF(AE226&gt;0,ROUND(AVERAGEIFS('Shortlisted Drugs X Company (7)'!$N$3:$N$698,'Shortlisted Drugs X Company (7)'!$C$3:$C$698,$B226,'Shortlisted Drugs X Company (7)'!$E$3:$E$698,$AA226,'Shortlisted Drugs X Company (7)'!$N$3:$N$698,"&gt;=0"),2),"")</f>
        <v>6.08</v>
      </c>
      <c r="AD226" s="79" t="str">
        <f aca="false">B226&amp;"|"&amp;AA226</f>
        <v>Pantoprazole|Intas Pharmaceuticals</v>
      </c>
      <c r="AE226" s="22" t="n">
        <f aca="false">COUNTIFS('Shortlisted Drugs X Company (7)'!$C$3:$C$698,$B226,'Shortlisted Drugs X Company (7)'!$E$3:$E$698,$AA226,'Shortlisted Drugs X Company (7)'!$N$3:$N$698,"&gt;=0")</f>
        <v>2</v>
      </c>
      <c r="AF226" s="22" t="n">
        <f aca="false">COUNTIFS('Shortlisted Drugs X Company (7)'!$C$3:$C$698,$B226,'Shortlisted Drugs X Company (7)'!$E$3:$E$698,$AA226,'Shortlisted Drugs X Company (7)'!$N$3:$N$698,"&gt;5")</f>
        <v>2</v>
      </c>
      <c r="AG226" s="22" t="n">
        <f aca="false">COUNTIFS('Shortlisted Drugs X Company (7)'!$C$3:$C$698,$B226,'Shortlisted Drugs X Company (7)'!$E$3:$E$698,$AA226,'Shortlisted Drugs X Company (7)'!$P$3:$P$698,"Exact")+COUNTIFS('Shortlisted Drugs X Company (7)'!$C$3:$C$698,$B226,'Shortlisted Drugs X Company (7)'!$E$3:$E$698,$AA226,'Shortlisted Drugs X Company (7)'!$P$3:$P$698,"Same-market proxy")</f>
        <v>1</v>
      </c>
      <c r="AH226" s="22" t="n">
        <f aca="false">INDEX($G$7:$G$25,MATCH(A226,$A$7:$A$25,0))</f>
        <v>1</v>
      </c>
      <c r="AI226" s="79" t="str">
        <f aca="false">IF(OR(Q226="No",LEFT(H226,7)="IV only"),"",AH226*1000+IF(F226="",900+COUNTIFS($A$29:A226,A226,$H$29:H226,"Price*"),F226))</f>
        <v/>
      </c>
      <c r="AJ226" s="79" t="str">
        <f aca="false">IF(H226&lt;&gt;"","",(4-VALUE(RIGHT(E226,1)))*10^7+N(O226))</f>
        <v/>
      </c>
      <c r="AK226" s="79" t="str">
        <f aca="false">IF(AND(H226="",ISNUMBER(I226)),I226,"")</f>
        <v/>
      </c>
      <c r="AL226" s="79" t="str">
        <f aca="false">IF(H226="",M226,"")</f>
        <v/>
      </c>
    </row>
    <row r="227" customFormat="false" ht="41.75" hidden="false" customHeight="false" outlineLevel="0" collapsed="false">
      <c r="A227" s="16" t="s">
        <v>21</v>
      </c>
      <c r="B227" s="16" t="s">
        <v>1120</v>
      </c>
      <c r="C227" s="17" t="s">
        <v>1120</v>
      </c>
      <c r="D227" s="17" t="s">
        <v>1121</v>
      </c>
      <c r="E227" s="15" t="str">
        <f aca="false">IF(H227&lt;&gt;"",IF(LEFT(H227,5)="Price","Excluded – price ≤ USD 5","Excluded – IV only"),IF(ISNUMBER(I227),IF(AND(I227&gt;=$C$3,M227&gt;=$E$3),"Priority 1",IF(OR(I227&gt;=$C$3,M227&gt;=$E$3),"Priority 2","Priority 3")),IF(M227&gt;=$E$3,"Priority 2","Priority 3")))</f>
        <v>Excluded – IV only</v>
      </c>
      <c r="F227" s="15" t="str">
        <f aca="false">IF(H227&lt;&gt;"","",COUNTIFS($A$29:$A$361,A227,$H$29:$H$361,"",$AJ$29:$AJ$361,"&gt;"&amp;AJ227)+COUNTIFS($A$29:A227,A227,$H$29:H227,"",$AJ$29:AJ227,AJ227))</f>
        <v/>
      </c>
      <c r="G227" s="17" t="str">
        <f aca="false">IF(H227&lt;&gt;"","",IF(ISNUMBER(I227),IF(I227&gt;=$C$3,"High price","Lower price"),"No price")&amp;", "&amp;IF(M227&gt;=$E$3,"high volume","lower volume"))</f>
        <v/>
      </c>
      <c r="H227" s="17" t="str">
        <f aca="false">IF(Q227="No","IV only (no ID, IM or SC route)",IF(AND(AE227&gt;0,AF227=0),"Price ≤ USD 5",""))</f>
        <v>IV only (no ID, IM or SC route)</v>
      </c>
      <c r="I227" s="18" t="n">
        <f aca="false">IF(AF227&gt;0,ROUND(AVERAGEIFS('Shortlisted Drugs X Company (7)'!$N$3:$N$698,'Shortlisted Drugs X Company (7)'!$C$3:$C$698,$B227,'Shortlisted Drugs X Company (7)'!$E$3:$E$698,$AA227,'Shortlisted Drugs X Company (7)'!$N$3:$N$698,"&gt;5"),2),"")</f>
        <v>13.54</v>
      </c>
      <c r="J227" s="17" t="str">
        <f aca="false">IF(COUNTIFS('Shortlisted Drugs X Company (7)'!$C$3:$C$698,$B227,'Shortlisted Drugs X Company (7)'!$E$3:$E$698,$AA227,'Shortlisted Drugs X Company (7)'!$P$3:$P$698,"Exact")&gt;0,"Exact",IF(COUNTIFS('Shortlisted Drugs X Company (7)'!$C$3:$C$698,$B227,'Shortlisted Drugs X Company (7)'!$E$3:$E$698,$AA227,'Shortlisted Drugs X Company (7)'!$P$3:$P$698,"Same-market proxy")&gt;0,"Same-market proxy",IF(COUNTIFS('Shortlisted Drugs X Company (7)'!$C$3:$C$698,$B227,'Shortlisted Drugs X Company (7)'!$E$3:$E$698,$AA227,'Shortlisted Drugs X Company (7)'!$P$3:$P$698,"Cross-market proxy")&gt;0,"Cross-market proxy",IF(COUNTIFS('Shortlisted Drugs X Company (7)'!$C$3:$C$698,$B227,'Shortlisted Drugs X Company (7)'!$E$3:$E$698,$AA227,'Shortlisted Drugs X Company (7)'!$P$3:$P$698,"Source not found")&gt;0,"Source not found","No price found"))))</f>
        <v>Same-market proxy</v>
      </c>
      <c r="K227" s="19" t="n">
        <f aca="false">IFERROR(INDEX('Injectable Value'!$AB$28:$AB$178,MATCH(B227,'Injectable Value'!$A$28:$A$178,0)),"")</f>
        <v>55</v>
      </c>
      <c r="L227" s="77" t="n">
        <f aca="false">IFERROR(INDEX('Injectable Value'!$Z$28:$Z$178,MATCH(B227,'Injectable Value'!$A$28:$A$178,0)),"")</f>
        <v>0.449896846448571</v>
      </c>
      <c r="M227" s="19" t="n">
        <f aca="false">IFERROR(INDEX('Injectable Value'!$AC$28:$AC$178,MATCH(B227,'Injectable Value'!$A$28:$A$178,0)),"")</f>
        <v>25</v>
      </c>
      <c r="N227" s="19" t="n">
        <f aca="false">IFERROR(INDEX('Injectable Value'!$C$28:$C$178,MATCH(B227,'Injectable Value'!$A$28:$A$178,0)),"")</f>
        <v>6450.54</v>
      </c>
      <c r="O227" s="19" t="n">
        <f aca="false">IFERROR(ROUND(INDEX('Injectable Value'!$AA$28:$AA$178,MATCH(B227,'Injectable Value'!$A$28:$A$178,0)),1),"")</f>
        <v>2902.1</v>
      </c>
      <c r="P227" s="16" t="str">
        <f aca="false">IFERROR(INDEX('Route of Administration'!$C$5:$C$155,MATCH(B227,'Route of Administration'!$A$5:$A$155,0)),"")</f>
        <v>IV</v>
      </c>
      <c r="Q227" s="15" t="str">
        <f aca="false">IFERROR(INDEX('Route of Administration'!$D$5:$D$155,MATCH(B227,'Route of Administration'!$A$5:$A$155,0)),"")</f>
        <v>No</v>
      </c>
      <c r="R227" s="16" t="s">
        <v>281</v>
      </c>
      <c r="S227" s="17" t="s">
        <v>1122</v>
      </c>
      <c r="T227" s="16" t="s">
        <v>283</v>
      </c>
      <c r="U227" s="17" t="str">
        <f aca="false">""&amp;IF(AE227=0,"No price found","")&amp;IF(AND(AE227&gt;0,AF227=0,AG227=0),"Low price comes from another market – confirm with the company","")</f>
        <v/>
      </c>
      <c r="V227" s="17" t="s">
        <v>1123</v>
      </c>
      <c r="W227" s="15" t="n">
        <v>6</v>
      </c>
      <c r="X227" s="17" t="s">
        <v>1124</v>
      </c>
      <c r="Y227" s="17" t="s">
        <v>1124</v>
      </c>
      <c r="Z227" s="17" t="s">
        <v>321</v>
      </c>
      <c r="AA227" s="16" t="s">
        <v>927</v>
      </c>
      <c r="AB227" s="78" t="s">
        <v>1125</v>
      </c>
      <c r="AC227" s="20" t="n">
        <f aca="false">IF(AE227&gt;0,ROUND(AVERAGEIFS('Shortlisted Drugs X Company (7)'!$N$3:$N$698,'Shortlisted Drugs X Company (7)'!$C$3:$C$698,$B227,'Shortlisted Drugs X Company (7)'!$E$3:$E$698,$AA227,'Shortlisted Drugs X Company (7)'!$N$3:$N$698,"&gt;=0"),2),"")</f>
        <v>13.54</v>
      </c>
      <c r="AD227" s="79" t="str">
        <f aca="false">B227&amp;"|"&amp;AA227</f>
        <v>Paricalcitol|Intas Pharmaceuticals</v>
      </c>
      <c r="AE227" s="22" t="n">
        <f aca="false">COUNTIFS('Shortlisted Drugs X Company (7)'!$C$3:$C$698,$B227,'Shortlisted Drugs X Company (7)'!$E$3:$E$698,$AA227,'Shortlisted Drugs X Company (7)'!$N$3:$N$698,"&gt;=0")</f>
        <v>2</v>
      </c>
      <c r="AF227" s="22" t="n">
        <f aca="false">COUNTIFS('Shortlisted Drugs X Company (7)'!$C$3:$C$698,$B227,'Shortlisted Drugs X Company (7)'!$E$3:$E$698,$AA227,'Shortlisted Drugs X Company (7)'!$N$3:$N$698,"&gt;5")</f>
        <v>2</v>
      </c>
      <c r="AG227" s="22" t="n">
        <f aca="false">COUNTIFS('Shortlisted Drugs X Company (7)'!$C$3:$C$698,$B227,'Shortlisted Drugs X Company (7)'!$E$3:$E$698,$AA227,'Shortlisted Drugs X Company (7)'!$P$3:$P$698,"Exact")+COUNTIFS('Shortlisted Drugs X Company (7)'!$C$3:$C$698,$B227,'Shortlisted Drugs X Company (7)'!$E$3:$E$698,$AA227,'Shortlisted Drugs X Company (7)'!$P$3:$P$698,"Same-market proxy")</f>
        <v>2</v>
      </c>
      <c r="AH227" s="22" t="n">
        <f aca="false">INDEX($G$7:$G$25,MATCH(A227,$A$7:$A$25,0))</f>
        <v>1</v>
      </c>
      <c r="AI227" s="79" t="str">
        <f aca="false">IF(OR(Q227="No",LEFT(H227,7)="IV only"),"",AH227*1000+IF(F227="",900+COUNTIFS($A$29:A227,A227,$H$29:H227,"Price*"),F227))</f>
        <v/>
      </c>
      <c r="AJ227" s="79" t="str">
        <f aca="false">IF(H227&lt;&gt;"","",(4-VALUE(RIGHT(E227,1)))*10^7+N(O227))</f>
        <v/>
      </c>
      <c r="AK227" s="79" t="str">
        <f aca="false">IF(AND(H227="",ISNUMBER(I227)),I227,"")</f>
        <v/>
      </c>
      <c r="AL227" s="79" t="str">
        <f aca="false">IF(H227="",M227,"")</f>
        <v/>
      </c>
    </row>
    <row r="228" customFormat="false" ht="95.5" hidden="false" customHeight="false" outlineLevel="0" collapsed="false">
      <c r="A228" s="16" t="s">
        <v>21</v>
      </c>
      <c r="B228" s="16" t="s">
        <v>1126</v>
      </c>
      <c r="C228" s="17" t="s">
        <v>1127</v>
      </c>
      <c r="D228" s="17" t="s">
        <v>1128</v>
      </c>
      <c r="E228" s="15" t="str">
        <f aca="false">IF(H228&lt;&gt;"",IF(LEFT(H228,5)="Price","Excluded – price ≤ USD 5","Excluded – IV only"),IF(ISNUMBER(I228),IF(AND(I228&gt;=$C$3,M228&gt;=$E$3),"Priority 1",IF(OR(I228&gt;=$C$3,M228&gt;=$E$3),"Priority 2","Priority 3")),IF(M228&gt;=$E$3,"Priority 2","Priority 3")))</f>
        <v>Priority 1</v>
      </c>
      <c r="F228" s="15" t="n">
        <f aca="false">IF(H228&lt;&gt;"","",COUNTIFS($A$29:$A$361,A228,$H$29:$H$361,"",$AJ$29:$AJ$361,"&gt;"&amp;AJ228)+COUNTIFS($A$29:A228,A228,$H$29:H228,"",$AJ$29:AJ228,AJ228))</f>
        <v>3</v>
      </c>
      <c r="G228" s="17" t="str">
        <f aca="false">IF(H228&lt;&gt;"","",IF(ISNUMBER(I228),IF(I228&gt;=$C$3,"High price","Lower price"),"No price")&amp;", "&amp;IF(M228&gt;=$E$3,"high volume","lower volume"))</f>
        <v>High price, high volume</v>
      </c>
      <c r="H228" s="17" t="str">
        <f aca="false">IF(Q228="No","IV only (no ID, IM or SC route)",IF(AND(AE228&gt;0,AF228=0),"Price ≤ USD 5",""))</f>
        <v/>
      </c>
      <c r="I228" s="18" t="n">
        <f aca="false">IF(AF228&gt;0,ROUND(AVERAGEIFS('Shortlisted Drugs X Company (7)'!$N$3:$N$698,'Shortlisted Drugs X Company (7)'!$C$3:$C$698,$B228,'Shortlisted Drugs X Company (7)'!$E$3:$E$698,$AA228,'Shortlisted Drugs X Company (7)'!$N$3:$N$698,"&gt;5"),2),"")</f>
        <v>907.38</v>
      </c>
      <c r="J228" s="17" t="str">
        <f aca="false">IF(COUNTIFS('Shortlisted Drugs X Company (7)'!$C$3:$C$698,$B228,'Shortlisted Drugs X Company (7)'!$E$3:$E$698,$AA228,'Shortlisted Drugs X Company (7)'!$P$3:$P$698,"Exact")&gt;0,"Exact",IF(COUNTIFS('Shortlisted Drugs X Company (7)'!$C$3:$C$698,$B228,'Shortlisted Drugs X Company (7)'!$E$3:$E$698,$AA228,'Shortlisted Drugs X Company (7)'!$P$3:$P$698,"Same-market proxy")&gt;0,"Same-market proxy",IF(COUNTIFS('Shortlisted Drugs X Company (7)'!$C$3:$C$698,$B228,'Shortlisted Drugs X Company (7)'!$E$3:$E$698,$AA228,'Shortlisted Drugs X Company (7)'!$P$3:$P$698,"Cross-market proxy")&gt;0,"Cross-market proxy",IF(COUNTIFS('Shortlisted Drugs X Company (7)'!$C$3:$C$698,$B228,'Shortlisted Drugs X Company (7)'!$E$3:$E$698,$AA228,'Shortlisted Drugs X Company (7)'!$P$3:$P$698,"Source not found")&gt;0,"Source not found","No price found"))))</f>
        <v>Exact</v>
      </c>
      <c r="K228" s="19" t="n">
        <f aca="false">IFERROR(INDEX('Injectable Value'!$AB$28:$AB$178,MATCH(B228,'Injectable Value'!$A$28:$A$178,0)),"")</f>
        <v>157</v>
      </c>
      <c r="L228" s="77" t="n">
        <f aca="false">IFERROR(INDEX('Injectable Value'!$Z$28:$Z$178,MATCH(B228,'Injectable Value'!$A$28:$A$178,0)),"")</f>
        <v>0.985714285714286</v>
      </c>
      <c r="M228" s="19" t="n">
        <f aca="false">IFERROR(INDEX('Injectable Value'!$AC$28:$AC$178,MATCH(B228,'Injectable Value'!$A$28:$A$178,0)),"")</f>
        <v>155</v>
      </c>
      <c r="N228" s="19" t="n">
        <f aca="false">IFERROR(INDEX('Injectable Value'!$C$28:$C$178,MATCH(B228,'Injectable Value'!$A$28:$A$178,0)),"")</f>
        <v>22355.46</v>
      </c>
      <c r="O228" s="19" t="n">
        <f aca="false">IFERROR(ROUND(INDEX('Injectable Value'!$AA$28:$AA$178,MATCH(B228,'Injectable Value'!$A$28:$A$178,0)),1),"")</f>
        <v>22036.1</v>
      </c>
      <c r="P228" s="16" t="str">
        <f aca="false">IFERROR(INDEX('Route of Administration'!$C$5:$C$155,MATCH(B228,'Route of Administration'!$A$5:$A$155,0)),"")</f>
        <v>SC</v>
      </c>
      <c r="Q228" s="15" t="str">
        <f aca="false">IFERROR(INDEX('Route of Administration'!$D$5:$D$155,MATCH(B228,'Route of Administration'!$A$5:$A$155,0)),"")</f>
        <v>Yes</v>
      </c>
      <c r="R228" s="16" t="s">
        <v>291</v>
      </c>
      <c r="S228" s="17" t="s">
        <v>1129</v>
      </c>
      <c r="T228" s="16" t="s">
        <v>283</v>
      </c>
      <c r="U228" s="17" t="str">
        <f aca="false">"Prefilled only"&amp;IF(AE228=0,"; No price found","")&amp;IF(AND(AE228&gt;0,AF228=0,AG228=0),"; Low price comes from another market – confirm with the company","")</f>
        <v>Prefilled only</v>
      </c>
      <c r="V228" s="17" t="s">
        <v>456</v>
      </c>
      <c r="W228" s="15" t="n">
        <v>31</v>
      </c>
      <c r="X228" s="17" t="s">
        <v>999</v>
      </c>
      <c r="Y228" s="17" t="s">
        <v>1000</v>
      </c>
      <c r="Z228" s="17" t="s">
        <v>293</v>
      </c>
      <c r="AA228" s="16" t="s">
        <v>927</v>
      </c>
      <c r="AB228" s="78" t="s">
        <v>1130</v>
      </c>
      <c r="AC228" s="20" t="n">
        <f aca="false">IF(AE228&gt;0,ROUND(AVERAGEIFS('Shortlisted Drugs X Company (7)'!$N$3:$N$698,'Shortlisted Drugs X Company (7)'!$C$3:$C$698,$B228,'Shortlisted Drugs X Company (7)'!$E$3:$E$698,$AA228,'Shortlisted Drugs X Company (7)'!$N$3:$N$698,"&gt;=0"),2),"")</f>
        <v>907.38</v>
      </c>
      <c r="AD228" s="79" t="str">
        <f aca="false">B228&amp;"|"&amp;AA228</f>
        <v>Pegfilgrastim|Intas Pharmaceuticals</v>
      </c>
      <c r="AE228" s="22" t="n">
        <f aca="false">COUNTIFS('Shortlisted Drugs X Company (7)'!$C$3:$C$698,$B228,'Shortlisted Drugs X Company (7)'!$E$3:$E$698,$AA228,'Shortlisted Drugs X Company (7)'!$N$3:$N$698,"&gt;=0")</f>
        <v>1</v>
      </c>
      <c r="AF228" s="22" t="n">
        <f aca="false">COUNTIFS('Shortlisted Drugs X Company (7)'!$C$3:$C$698,$B228,'Shortlisted Drugs X Company (7)'!$E$3:$E$698,$AA228,'Shortlisted Drugs X Company (7)'!$N$3:$N$698,"&gt;5")</f>
        <v>1</v>
      </c>
      <c r="AG228" s="22" t="n">
        <f aca="false">COUNTIFS('Shortlisted Drugs X Company (7)'!$C$3:$C$698,$B228,'Shortlisted Drugs X Company (7)'!$E$3:$E$698,$AA228,'Shortlisted Drugs X Company (7)'!$P$3:$P$698,"Exact")+COUNTIFS('Shortlisted Drugs X Company (7)'!$C$3:$C$698,$B228,'Shortlisted Drugs X Company (7)'!$E$3:$E$698,$AA228,'Shortlisted Drugs X Company (7)'!$P$3:$P$698,"Same-market proxy")</f>
        <v>1</v>
      </c>
      <c r="AH228" s="22" t="n">
        <f aca="false">INDEX($G$7:$G$25,MATCH(A228,$A$7:$A$25,0))</f>
        <v>1</v>
      </c>
      <c r="AI228" s="79" t="n">
        <f aca="false">IF(OR(Q228="No",LEFT(H228,7)="IV only"),"",AH228*1000+IF(F228="",900+COUNTIFS($A$29:A228,A228,$H$29:H228,"Price*"),F228))</f>
        <v>1003</v>
      </c>
      <c r="AJ228" s="79" t="n">
        <f aca="false">IF(H228&lt;&gt;"","",(4-VALUE(RIGHT(E228,1)))*10^7+N(O228))</f>
        <v>30022036.1</v>
      </c>
      <c r="AK228" s="20" t="n">
        <f aca="false">IF(AND(H228="",ISNUMBER(I228)),I228,"")</f>
        <v>907.38</v>
      </c>
      <c r="AL228" s="21" t="n">
        <f aca="false">IF(H228="",M228,"")</f>
        <v>155</v>
      </c>
    </row>
    <row r="229" customFormat="false" ht="28.35" hidden="false" customHeight="false" outlineLevel="0" collapsed="false">
      <c r="A229" s="16" t="s">
        <v>21</v>
      </c>
      <c r="B229" s="16" t="s">
        <v>74</v>
      </c>
      <c r="C229" s="17" t="s">
        <v>1131</v>
      </c>
      <c r="D229" s="17" t="s">
        <v>657</v>
      </c>
      <c r="E229" s="15" t="str">
        <f aca="false">IF(H229&lt;&gt;"",IF(LEFT(H229,5)="Price","Excluded – price ≤ USD 5","Excluded – IV only"),IF(ISNUMBER(I229),IF(AND(I229&gt;=$C$3,M229&gt;=$E$3),"Priority 1",IF(OR(I229&gt;=$C$3,M229&gt;=$E$3),"Priority 2","Priority 3")),IF(M229&gt;=$E$3,"Priority 2","Priority 3")))</f>
        <v>Priority 1</v>
      </c>
      <c r="F229" s="15" t="n">
        <f aca="false">IF(H229&lt;&gt;"","",COUNTIFS($A$29:$A$361,A229,$H$29:$H$361,"",$AJ$29:$AJ$361,"&gt;"&amp;AJ229)+COUNTIFS($A$29:A229,A229,$H$29:H229,"",$AJ$29:AJ229,AJ229))</f>
        <v>6</v>
      </c>
      <c r="G229" s="17" t="str">
        <f aca="false">IF(H229&lt;&gt;"","",IF(ISNUMBER(I229),IF(I229&gt;=$C$3,"High price","Lower price"),"No price")&amp;", "&amp;IF(M229&gt;=$E$3,"high volume","lower volume"))</f>
        <v>High price, high volume</v>
      </c>
      <c r="H229" s="17" t="str">
        <f aca="false">IF(Q229="No","IV only (no ID, IM or SC route)",IF(AND(AE229&gt;0,AF229=0),"Price ≤ USD 5",""))</f>
        <v/>
      </c>
      <c r="I229" s="18" t="n">
        <f aca="false">IF(AF229&gt;0,ROUND(AVERAGEIFS('Shortlisted Drugs X Company (7)'!$N$3:$N$698,'Shortlisted Drugs X Company (7)'!$C$3:$C$698,$B229,'Shortlisted Drugs X Company (7)'!$E$3:$E$698,$AA229,'Shortlisted Drugs X Company (7)'!$N$3:$N$698,"&gt;5"),2),"")</f>
        <v>32.6</v>
      </c>
      <c r="J229" s="17" t="str">
        <f aca="false">IF(COUNTIFS('Shortlisted Drugs X Company (7)'!$C$3:$C$698,$B229,'Shortlisted Drugs X Company (7)'!$E$3:$E$698,$AA229,'Shortlisted Drugs X Company (7)'!$P$3:$P$698,"Exact")&gt;0,"Exact",IF(COUNTIFS('Shortlisted Drugs X Company (7)'!$C$3:$C$698,$B229,'Shortlisted Drugs X Company (7)'!$E$3:$E$698,$AA229,'Shortlisted Drugs X Company (7)'!$P$3:$P$698,"Same-market proxy")&gt;0,"Same-market proxy",IF(COUNTIFS('Shortlisted Drugs X Company (7)'!$C$3:$C$698,$B229,'Shortlisted Drugs X Company (7)'!$E$3:$E$698,$AA229,'Shortlisted Drugs X Company (7)'!$P$3:$P$698,"Cross-market proxy")&gt;0,"Cross-market proxy",IF(COUNTIFS('Shortlisted Drugs X Company (7)'!$C$3:$C$698,$B229,'Shortlisted Drugs X Company (7)'!$E$3:$E$698,$AA229,'Shortlisted Drugs X Company (7)'!$P$3:$P$698,"Source not found")&gt;0,"Source not found","No price found"))))</f>
        <v>Exact</v>
      </c>
      <c r="K229" s="19" t="n">
        <f aca="false">IFERROR(INDEX('Injectable Value'!$AB$28:$AB$178,MATCH(B229,'Injectable Value'!$A$28:$A$178,0)),"")</f>
        <v>1963</v>
      </c>
      <c r="L229" s="77" t="n">
        <f aca="false">IFERROR(INDEX('Injectable Value'!$Z$28:$Z$178,MATCH(B229,'Injectable Value'!$A$28:$A$178,0)),"")</f>
        <v>0.115367076010264</v>
      </c>
      <c r="M229" s="19" t="n">
        <f aca="false">IFERROR(INDEX('Injectable Value'!$AC$28:$AC$178,MATCH(B229,'Injectable Value'!$A$28:$A$178,0)),"")</f>
        <v>226</v>
      </c>
      <c r="N229" s="19" t="n">
        <f aca="false">IFERROR(INDEX('Injectable Value'!$C$28:$C$178,MATCH(B229,'Injectable Value'!$A$28:$A$178,0)),"")</f>
        <v>49365.77</v>
      </c>
      <c r="O229" s="19" t="n">
        <f aca="false">IFERROR(ROUND(INDEX('Injectable Value'!$AA$28:$AA$178,MATCH(B229,'Injectable Value'!$A$28:$A$178,0)),1),"")</f>
        <v>5695.2</v>
      </c>
      <c r="P229" s="16" t="str">
        <f aca="false">IFERROR(INDEX('Route of Administration'!$C$5:$C$155,MATCH(B229,'Route of Administration'!$A$5:$A$155,0)),"")</f>
        <v>IV, IM, SC</v>
      </c>
      <c r="Q229" s="15" t="str">
        <f aca="false">IFERROR(INDEX('Route of Administration'!$D$5:$D$155,MATCH(B229,'Route of Administration'!$A$5:$A$155,0)),"")</f>
        <v>Yes</v>
      </c>
      <c r="R229" s="16" t="s">
        <v>281</v>
      </c>
      <c r="S229" s="17" t="s">
        <v>1132</v>
      </c>
      <c r="T229" s="16" t="s">
        <v>283</v>
      </c>
      <c r="U229" s="17" t="str">
        <f aca="false">""&amp;IF(AE229=0,"No price found","")&amp;IF(AND(AE229&gt;0,AF229=0,AG229=0),"Low price comes from another market – confirm with the company","")</f>
        <v/>
      </c>
      <c r="V229" s="17" t="s">
        <v>112</v>
      </c>
      <c r="W229" s="15" t="n">
        <v>2</v>
      </c>
      <c r="X229" s="17" t="s">
        <v>619</v>
      </c>
      <c r="Y229" s="17" t="s">
        <v>619</v>
      </c>
      <c r="Z229" s="17" t="s">
        <v>321</v>
      </c>
      <c r="AA229" s="16" t="s">
        <v>927</v>
      </c>
      <c r="AB229" s="78" t="s">
        <v>658</v>
      </c>
      <c r="AC229" s="20" t="n">
        <f aca="false">IF(AE229&gt;0,ROUND(AVERAGEIFS('Shortlisted Drugs X Company (7)'!$N$3:$N$698,'Shortlisted Drugs X Company (7)'!$C$3:$C$698,$B229,'Shortlisted Drugs X Company (7)'!$E$3:$E$698,$AA229,'Shortlisted Drugs X Company (7)'!$N$3:$N$698,"&gt;=0"),2),"")</f>
        <v>32.6</v>
      </c>
      <c r="AD229" s="79" t="str">
        <f aca="false">B229&amp;"|"&amp;AA229</f>
        <v>Phenylephrine|Intas Pharmaceuticals</v>
      </c>
      <c r="AE229" s="22" t="n">
        <f aca="false">COUNTIFS('Shortlisted Drugs X Company (7)'!$C$3:$C$698,$B229,'Shortlisted Drugs X Company (7)'!$E$3:$E$698,$AA229,'Shortlisted Drugs X Company (7)'!$N$3:$N$698,"&gt;=0")</f>
        <v>1</v>
      </c>
      <c r="AF229" s="22" t="n">
        <f aca="false">COUNTIFS('Shortlisted Drugs X Company (7)'!$C$3:$C$698,$B229,'Shortlisted Drugs X Company (7)'!$E$3:$E$698,$AA229,'Shortlisted Drugs X Company (7)'!$N$3:$N$698,"&gt;5")</f>
        <v>1</v>
      </c>
      <c r="AG229" s="22" t="n">
        <f aca="false">COUNTIFS('Shortlisted Drugs X Company (7)'!$C$3:$C$698,$B229,'Shortlisted Drugs X Company (7)'!$E$3:$E$698,$AA229,'Shortlisted Drugs X Company (7)'!$P$3:$P$698,"Exact")+COUNTIFS('Shortlisted Drugs X Company (7)'!$C$3:$C$698,$B229,'Shortlisted Drugs X Company (7)'!$E$3:$E$698,$AA229,'Shortlisted Drugs X Company (7)'!$P$3:$P$698,"Same-market proxy")</f>
        <v>1</v>
      </c>
      <c r="AH229" s="22" t="n">
        <f aca="false">INDEX($G$7:$G$25,MATCH(A229,$A$7:$A$25,0))</f>
        <v>1</v>
      </c>
      <c r="AI229" s="79" t="n">
        <f aca="false">IF(OR(Q229="No",LEFT(H229,7)="IV only"),"",AH229*1000+IF(F229="",900+COUNTIFS($A$29:A229,A229,$H$29:H229,"Price*"),F229))</f>
        <v>1006</v>
      </c>
      <c r="AJ229" s="79" t="n">
        <f aca="false">IF(H229&lt;&gt;"","",(4-VALUE(RIGHT(E229,1)))*10^7+N(O229))</f>
        <v>30005695.2</v>
      </c>
      <c r="AK229" s="20" t="n">
        <f aca="false">IF(AND(H229="",ISNUMBER(I229)),I229,"")</f>
        <v>32.6</v>
      </c>
      <c r="AL229" s="21" t="n">
        <f aca="false">IF(H229="",M229,"")</f>
        <v>226</v>
      </c>
    </row>
    <row r="230" customFormat="false" ht="28.35" hidden="false" customHeight="false" outlineLevel="0" collapsed="false">
      <c r="A230" s="16" t="s">
        <v>21</v>
      </c>
      <c r="B230" s="16" t="s">
        <v>1133</v>
      </c>
      <c r="C230" s="17" t="s">
        <v>1134</v>
      </c>
      <c r="D230" s="17" t="s">
        <v>1135</v>
      </c>
      <c r="E230" s="15" t="str">
        <f aca="false">IF(H230&lt;&gt;"",IF(LEFT(H230,5)="Price","Excluded – price ≤ USD 5","Excluded – IV only"),IF(ISNUMBER(I230),IF(AND(I230&gt;=$C$3,M230&gt;=$E$3),"Priority 1",IF(OR(I230&gt;=$C$3,M230&gt;=$E$3),"Priority 2","Priority 3")),IF(M230&gt;=$E$3,"Priority 2","Priority 3")))</f>
        <v>Excluded – price ≤ USD 5</v>
      </c>
      <c r="F230" s="15" t="str">
        <f aca="false">IF(H230&lt;&gt;"","",COUNTIFS($A$29:$A$361,A230,$H$29:$H$361,"",$AJ$29:$AJ$361,"&gt;"&amp;AJ230)+COUNTIFS($A$29:A230,A230,$H$29:H230,"",$AJ$29:AJ230,AJ230))</f>
        <v/>
      </c>
      <c r="G230" s="17" t="str">
        <f aca="false">IF(H230&lt;&gt;"","",IF(ISNUMBER(I230),IF(I230&gt;=$C$3,"High price","Lower price"),"No price")&amp;", "&amp;IF(M230&gt;=$E$3,"high volume","lower volume"))</f>
        <v/>
      </c>
      <c r="H230" s="17" t="str">
        <f aca="false">IF(Q230="No","IV only (no ID, IM or SC route)",IF(AND(AE230&gt;0,AF230=0),"Price ≤ USD 5",""))</f>
        <v>Price ≤ USD 5</v>
      </c>
      <c r="I230" s="18" t="str">
        <f aca="false">IF(AF230&gt;0,ROUND(AVERAGEIFS('Shortlisted Drugs X Company (7)'!$N$3:$N$698,'Shortlisted Drugs X Company (7)'!$C$3:$C$698,$B230,'Shortlisted Drugs X Company (7)'!$E$3:$E$698,$AA230,'Shortlisted Drugs X Company (7)'!$N$3:$N$698,"&gt;5"),2),"")</f>
        <v/>
      </c>
      <c r="J230" s="17" t="str">
        <f aca="false">IF(COUNTIFS('Shortlisted Drugs X Company (7)'!$C$3:$C$698,$B230,'Shortlisted Drugs X Company (7)'!$E$3:$E$698,$AA230,'Shortlisted Drugs X Company (7)'!$P$3:$P$698,"Exact")&gt;0,"Exact",IF(COUNTIFS('Shortlisted Drugs X Company (7)'!$C$3:$C$698,$B230,'Shortlisted Drugs X Company (7)'!$E$3:$E$698,$AA230,'Shortlisted Drugs X Company (7)'!$P$3:$P$698,"Same-market proxy")&gt;0,"Same-market proxy",IF(COUNTIFS('Shortlisted Drugs X Company (7)'!$C$3:$C$698,$B230,'Shortlisted Drugs X Company (7)'!$E$3:$E$698,$AA230,'Shortlisted Drugs X Company (7)'!$P$3:$P$698,"Cross-market proxy")&gt;0,"Cross-market proxy",IF(COUNTIFS('Shortlisted Drugs X Company (7)'!$C$3:$C$698,$B230,'Shortlisted Drugs X Company (7)'!$E$3:$E$698,$AA230,'Shortlisted Drugs X Company (7)'!$P$3:$P$698,"Source not found")&gt;0,"Source not found","No price found"))))</f>
        <v>Same-market proxy</v>
      </c>
      <c r="K230" s="19" t="n">
        <f aca="false">IFERROR(INDEX('Injectable Value'!$AB$28:$AB$178,MATCH(B230,'Injectable Value'!$A$28:$A$178,0)),"")</f>
        <v>627</v>
      </c>
      <c r="L230" s="77" t="n">
        <f aca="false">IFERROR(INDEX('Injectable Value'!$Z$28:$Z$178,MATCH(B230,'Injectable Value'!$A$28:$A$178,0)),"")</f>
        <v>0.332148543177955</v>
      </c>
      <c r="M230" s="19" t="n">
        <f aca="false">IFERROR(INDEX('Injectable Value'!$AC$28:$AC$178,MATCH(B230,'Injectable Value'!$A$28:$A$178,0)),"")</f>
        <v>208</v>
      </c>
      <c r="N230" s="19" t="n">
        <f aca="false">IFERROR(INDEX('Injectable Value'!$C$28:$C$178,MATCH(B230,'Injectable Value'!$A$28:$A$178,0)),"")</f>
        <v>6050.02</v>
      </c>
      <c r="O230" s="19" t="n">
        <f aca="false">IFERROR(ROUND(INDEX('Injectable Value'!$AA$28:$AA$178,MATCH(B230,'Injectable Value'!$A$28:$A$178,0)),1),"")</f>
        <v>2009.5</v>
      </c>
      <c r="P230" s="16" t="str">
        <f aca="false">IFERROR(INDEX('Route of Administration'!$C$5:$C$155,MATCH(B230,'Route of Administration'!$A$5:$A$155,0)),"")</f>
        <v>IV, IM</v>
      </c>
      <c r="Q230" s="15" t="str">
        <f aca="false">IFERROR(INDEX('Route of Administration'!$D$5:$D$155,MATCH(B230,'Route of Administration'!$A$5:$A$155,0)),"")</f>
        <v>Yes</v>
      </c>
      <c r="R230" s="16" t="s">
        <v>310</v>
      </c>
      <c r="S230" s="17" t="s">
        <v>1136</v>
      </c>
      <c r="T230" s="16" t="s">
        <v>283</v>
      </c>
      <c r="U230" s="17" t="str">
        <f aca="false">""&amp;IF(AE230=0,"No price found","")&amp;IF(AND(AE230&gt;0,AF230=0,AG230=0),"Low price comes from another market – confirm with the company","")</f>
        <v/>
      </c>
      <c r="V230" s="17" t="s">
        <v>912</v>
      </c>
      <c r="W230" s="15" t="n">
        <v>2</v>
      </c>
      <c r="X230" s="17" t="s">
        <v>933</v>
      </c>
      <c r="Y230" s="17" t="s">
        <v>933</v>
      </c>
      <c r="Z230" s="17" t="s">
        <v>312</v>
      </c>
      <c r="AA230" s="16" t="s">
        <v>927</v>
      </c>
      <c r="AB230" s="78" t="s">
        <v>1137</v>
      </c>
      <c r="AC230" s="20" t="n">
        <f aca="false">IF(AE230&gt;0,ROUND(AVERAGEIFS('Shortlisted Drugs X Company (7)'!$N$3:$N$698,'Shortlisted Drugs X Company (7)'!$C$3:$C$698,$B230,'Shortlisted Drugs X Company (7)'!$E$3:$E$698,$AA230,'Shortlisted Drugs X Company (7)'!$N$3:$N$698,"&gt;=0"),2),"")</f>
        <v>4.49</v>
      </c>
      <c r="AD230" s="79" t="str">
        <f aca="false">B230&amp;"|"&amp;AA230</f>
        <v>Phenytoin|Intas Pharmaceuticals</v>
      </c>
      <c r="AE230" s="22" t="n">
        <f aca="false">COUNTIFS('Shortlisted Drugs X Company (7)'!$C$3:$C$698,$B230,'Shortlisted Drugs X Company (7)'!$E$3:$E$698,$AA230,'Shortlisted Drugs X Company (7)'!$N$3:$N$698,"&gt;=0")</f>
        <v>1</v>
      </c>
      <c r="AF230" s="22" t="n">
        <f aca="false">COUNTIFS('Shortlisted Drugs X Company (7)'!$C$3:$C$698,$B230,'Shortlisted Drugs X Company (7)'!$E$3:$E$698,$AA230,'Shortlisted Drugs X Company (7)'!$N$3:$N$698,"&gt;5")</f>
        <v>0</v>
      </c>
      <c r="AG230" s="22" t="n">
        <f aca="false">COUNTIFS('Shortlisted Drugs X Company (7)'!$C$3:$C$698,$B230,'Shortlisted Drugs X Company (7)'!$E$3:$E$698,$AA230,'Shortlisted Drugs X Company (7)'!$P$3:$P$698,"Exact")+COUNTIFS('Shortlisted Drugs X Company (7)'!$C$3:$C$698,$B230,'Shortlisted Drugs X Company (7)'!$E$3:$E$698,$AA230,'Shortlisted Drugs X Company (7)'!$P$3:$P$698,"Same-market proxy")</f>
        <v>1</v>
      </c>
      <c r="AH230" s="22" t="n">
        <f aca="false">INDEX($G$7:$G$25,MATCH(A230,$A$7:$A$25,0))</f>
        <v>1</v>
      </c>
      <c r="AI230" s="79" t="n">
        <f aca="false">IF(OR(Q230="No",LEFT(H230,7)="IV only"),"",AH230*1000+IF(F230="",900+COUNTIFS($A$29:A230,A230,$H$29:H230,"Price*"),F230))</f>
        <v>1904</v>
      </c>
      <c r="AJ230" s="79" t="str">
        <f aca="false">IF(H230&lt;&gt;"","",(4-VALUE(RIGHT(E230,1)))*10^7+N(O230))</f>
        <v/>
      </c>
      <c r="AK230" s="79" t="str">
        <f aca="false">IF(AND(H230="",ISNUMBER(I230)),I230,"")</f>
        <v/>
      </c>
      <c r="AL230" s="79" t="str">
        <f aca="false">IF(H230="",M230,"")</f>
        <v/>
      </c>
    </row>
    <row r="231" customFormat="false" ht="95.5" hidden="false" customHeight="false" outlineLevel="0" collapsed="false">
      <c r="A231" s="16" t="s">
        <v>21</v>
      </c>
      <c r="B231" s="16" t="s">
        <v>541</v>
      </c>
      <c r="C231" s="17" t="s">
        <v>1138</v>
      </c>
      <c r="D231" s="17" t="s">
        <v>543</v>
      </c>
      <c r="E231" s="15" t="str">
        <f aca="false">IF(H231&lt;&gt;"",IF(LEFT(H231,5)="Price","Excluded – price ≤ USD 5","Excluded – IV only"),IF(ISNUMBER(I231),IF(AND(I231&gt;=$C$3,M231&gt;=$E$3),"Priority 1",IF(OR(I231&gt;=$C$3,M231&gt;=$E$3),"Priority 2","Priority 3")),IF(M231&gt;=$E$3,"Priority 2","Priority 3")))</f>
        <v>Priority 2</v>
      </c>
      <c r="F231" s="15" t="n">
        <f aca="false">IF(H231&lt;&gt;"","",COUNTIFS($A$29:$A$361,A231,$H$29:$H$361,"",$AJ$29:$AJ$361,"&gt;"&amp;AJ231)+COUNTIFS($A$29:A231,A231,$H$29:H231,"",$AJ$29:AJ231,AJ231))</f>
        <v>11</v>
      </c>
      <c r="G231" s="17" t="str">
        <f aca="false">IF(H231&lt;&gt;"","",IF(ISNUMBER(I231),IF(I231&gt;=$C$3,"High price","Lower price"),"No price")&amp;", "&amp;IF(M231&gt;=$E$3,"high volume","lower volume"))</f>
        <v>High price, lower volume</v>
      </c>
      <c r="H231" s="17" t="str">
        <f aca="false">IF(Q231="No","IV only (no ID, IM or SC route)",IF(AND(AE231&gt;0,AF231=0),"Price ≤ USD 5",""))</f>
        <v/>
      </c>
      <c r="I231" s="18" t="n">
        <f aca="false">IF(AF231&gt;0,ROUND(AVERAGEIFS('Shortlisted Drugs X Company (7)'!$N$3:$N$698,'Shortlisted Drugs X Company (7)'!$C$3:$C$698,$B231,'Shortlisted Drugs X Company (7)'!$E$3:$E$698,$AA231,'Shortlisted Drugs X Company (7)'!$N$3:$N$698,"&gt;5"),2),"")</f>
        <v>4779</v>
      </c>
      <c r="J231" s="17" t="str">
        <f aca="false">IF(COUNTIFS('Shortlisted Drugs X Company (7)'!$C$3:$C$698,$B231,'Shortlisted Drugs X Company (7)'!$E$3:$E$698,$AA231,'Shortlisted Drugs X Company (7)'!$P$3:$P$698,"Exact")&gt;0,"Exact",IF(COUNTIFS('Shortlisted Drugs X Company (7)'!$C$3:$C$698,$B231,'Shortlisted Drugs X Company (7)'!$E$3:$E$698,$AA231,'Shortlisted Drugs X Company (7)'!$P$3:$P$698,"Same-market proxy")&gt;0,"Same-market proxy",IF(COUNTIFS('Shortlisted Drugs X Company (7)'!$C$3:$C$698,$B231,'Shortlisted Drugs X Company (7)'!$E$3:$E$698,$AA231,'Shortlisted Drugs X Company (7)'!$P$3:$P$698,"Cross-market proxy")&gt;0,"Cross-market proxy",IF(COUNTIFS('Shortlisted Drugs X Company (7)'!$C$3:$C$698,$B231,'Shortlisted Drugs X Company (7)'!$E$3:$E$698,$AA231,'Shortlisted Drugs X Company (7)'!$P$3:$P$698,"Source not found")&gt;0,"Source not found","No price found"))))</f>
        <v>Exact</v>
      </c>
      <c r="K231" s="19" t="n">
        <f aca="false">IFERROR(INDEX('Injectable Value'!$AB$28:$AB$178,MATCH(B231,'Injectable Value'!$A$28:$A$178,0)),"")</f>
        <v>47</v>
      </c>
      <c r="L231" s="77" t="n">
        <f aca="false">IFERROR(INDEX('Injectable Value'!$Z$28:$Z$178,MATCH(B231,'Injectable Value'!$A$28:$A$178,0)),"")</f>
        <v>1</v>
      </c>
      <c r="M231" s="19" t="n">
        <f aca="false">IFERROR(INDEX('Injectable Value'!$AC$28:$AC$178,MATCH(B231,'Injectable Value'!$A$28:$A$178,0)),"")</f>
        <v>47</v>
      </c>
      <c r="N231" s="19" t="n">
        <f aca="false">IFERROR(INDEX('Injectable Value'!$C$28:$C$178,MATCH(B231,'Injectable Value'!$A$28:$A$178,0)),"")</f>
        <v>7904.67</v>
      </c>
      <c r="O231" s="19" t="n">
        <f aca="false">IFERROR(ROUND(INDEX('Injectable Value'!$AA$28:$AA$178,MATCH(B231,'Injectable Value'!$A$28:$A$178,0)),1),"")</f>
        <v>7904.7</v>
      </c>
      <c r="P231" s="16" t="str">
        <f aca="false">IFERROR(INDEX('Route of Administration'!$C$5:$C$155,MATCH(B231,'Route of Administration'!$A$5:$A$155,0)),"")</f>
        <v>SC</v>
      </c>
      <c r="Q231" s="15" t="str">
        <f aca="false">IFERROR(INDEX('Route of Administration'!$D$5:$D$155,MATCH(B231,'Route of Administration'!$A$5:$A$155,0)),"")</f>
        <v>Yes</v>
      </c>
      <c r="R231" s="16" t="s">
        <v>281</v>
      </c>
      <c r="S231" s="17" t="s">
        <v>544</v>
      </c>
      <c r="T231" s="16" t="s">
        <v>283</v>
      </c>
      <c r="U231" s="17" t="str">
        <f aca="false">""&amp;IF(AE231=0,"No price found","")&amp;IF(AND(AE231&gt;0,AF231=0,AG231=0),"Low price comes from another market – confirm with the company","")</f>
        <v/>
      </c>
      <c r="V231" s="17" t="s">
        <v>456</v>
      </c>
      <c r="W231" s="15" t="n">
        <v>32</v>
      </c>
      <c r="X231" s="17" t="s">
        <v>949</v>
      </c>
      <c r="Y231" s="17" t="s">
        <v>950</v>
      </c>
      <c r="Z231" s="17" t="s">
        <v>286</v>
      </c>
      <c r="AA231" s="16" t="s">
        <v>927</v>
      </c>
      <c r="AB231" s="78" t="s">
        <v>547</v>
      </c>
      <c r="AC231" s="20" t="n">
        <f aca="false">IF(AE231&gt;0,ROUND(AVERAGEIFS('Shortlisted Drugs X Company (7)'!$N$3:$N$698,'Shortlisted Drugs X Company (7)'!$C$3:$C$698,$B231,'Shortlisted Drugs X Company (7)'!$E$3:$E$698,$AA231,'Shortlisted Drugs X Company (7)'!$N$3:$N$698,"&gt;=0"),2),"")</f>
        <v>4779</v>
      </c>
      <c r="AD231" s="79" t="str">
        <f aca="false">B231&amp;"|"&amp;AA231</f>
        <v>Plerixafor|Intas Pharmaceuticals</v>
      </c>
      <c r="AE231" s="22" t="n">
        <f aca="false">COUNTIFS('Shortlisted Drugs X Company (7)'!$C$3:$C$698,$B231,'Shortlisted Drugs X Company (7)'!$E$3:$E$698,$AA231,'Shortlisted Drugs X Company (7)'!$N$3:$N$698,"&gt;=0")</f>
        <v>3</v>
      </c>
      <c r="AF231" s="22" t="n">
        <f aca="false">COUNTIFS('Shortlisted Drugs X Company (7)'!$C$3:$C$698,$B231,'Shortlisted Drugs X Company (7)'!$E$3:$E$698,$AA231,'Shortlisted Drugs X Company (7)'!$N$3:$N$698,"&gt;5")</f>
        <v>3</v>
      </c>
      <c r="AG231" s="22" t="n">
        <f aca="false">COUNTIFS('Shortlisted Drugs X Company (7)'!$C$3:$C$698,$B231,'Shortlisted Drugs X Company (7)'!$E$3:$E$698,$AA231,'Shortlisted Drugs X Company (7)'!$P$3:$P$698,"Exact")+COUNTIFS('Shortlisted Drugs X Company (7)'!$C$3:$C$698,$B231,'Shortlisted Drugs X Company (7)'!$E$3:$E$698,$AA231,'Shortlisted Drugs X Company (7)'!$P$3:$P$698,"Same-market proxy")</f>
        <v>3</v>
      </c>
      <c r="AH231" s="22" t="n">
        <f aca="false">INDEX($G$7:$G$25,MATCH(A231,$A$7:$A$25,0))</f>
        <v>1</v>
      </c>
      <c r="AI231" s="79" t="n">
        <f aca="false">IF(OR(Q231="No",LEFT(H231,7)="IV only"),"",AH231*1000+IF(F231="",900+COUNTIFS($A$29:A231,A231,$H$29:H231,"Price*"),F231))</f>
        <v>1011</v>
      </c>
      <c r="AJ231" s="79" t="n">
        <f aca="false">IF(H231&lt;&gt;"","",(4-VALUE(RIGHT(E231,1)))*10^7+N(O231))</f>
        <v>20007904.7</v>
      </c>
      <c r="AK231" s="20" t="n">
        <f aca="false">IF(AND(H231="",ISNUMBER(I231)),I231,"")</f>
        <v>4779</v>
      </c>
      <c r="AL231" s="21" t="n">
        <f aca="false">IF(H231="",M231,"")</f>
        <v>47</v>
      </c>
    </row>
    <row r="232" customFormat="false" ht="41.75" hidden="false" customHeight="false" outlineLevel="0" collapsed="false">
      <c r="A232" s="16" t="s">
        <v>21</v>
      </c>
      <c r="B232" s="16" t="s">
        <v>548</v>
      </c>
      <c r="C232" s="17" t="s">
        <v>548</v>
      </c>
      <c r="D232" s="17" t="s">
        <v>549</v>
      </c>
      <c r="E232" s="15" t="str">
        <f aca="false">IF(H232&lt;&gt;"",IF(LEFT(H232,5)="Price","Excluded – price ≤ USD 5","Excluded – IV only"),IF(ISNUMBER(I232),IF(AND(I232&gt;=$C$3,M232&gt;=$E$3),"Priority 1",IF(OR(I232&gt;=$C$3,M232&gt;=$E$3),"Priority 2","Priority 3")),IF(M232&gt;=$E$3,"Priority 2","Priority 3")))</f>
        <v>Priority 3</v>
      </c>
      <c r="F232" s="15" t="n">
        <f aca="false">IF(H232&lt;&gt;"","",COUNTIFS($A$29:$A$361,A232,$H$29:$H$361,"",$AJ$29:$AJ$361,"&gt;"&amp;AJ232)+COUNTIFS($A$29:A232,A232,$H$29:H232,"",$AJ$29:AJ232,AJ232))</f>
        <v>22</v>
      </c>
      <c r="G232" s="17" t="str">
        <f aca="false">IF(H232&lt;&gt;"","",IF(ISNUMBER(I232),IF(I232&gt;=$C$3,"High price","Lower price"),"No price")&amp;", "&amp;IF(M232&gt;=$E$3,"high volume","lower volume"))</f>
        <v>Lower price, lower volume</v>
      </c>
      <c r="H232" s="17" t="str">
        <f aca="false">IF(Q232="No","IV only (no ID, IM or SC route)",IF(AND(AE232&gt;0,AF232=0),"Price ≤ USD 5",""))</f>
        <v/>
      </c>
      <c r="I232" s="18" t="n">
        <f aca="false">IF(AF232&gt;0,ROUND(AVERAGEIFS('Shortlisted Drugs X Company (7)'!$N$3:$N$698,'Shortlisted Drugs X Company (7)'!$C$3:$C$698,$B232,'Shortlisted Drugs X Company (7)'!$E$3:$E$698,$AA232,'Shortlisted Drugs X Company (7)'!$N$3:$N$698,"&gt;5"),2),"")</f>
        <v>6.23</v>
      </c>
      <c r="J232" s="17" t="str">
        <f aca="false">IF(COUNTIFS('Shortlisted Drugs X Company (7)'!$C$3:$C$698,$B232,'Shortlisted Drugs X Company (7)'!$E$3:$E$698,$AA232,'Shortlisted Drugs X Company (7)'!$P$3:$P$698,"Exact")&gt;0,"Exact",IF(COUNTIFS('Shortlisted Drugs X Company (7)'!$C$3:$C$698,$B232,'Shortlisted Drugs X Company (7)'!$E$3:$E$698,$AA232,'Shortlisted Drugs X Company (7)'!$P$3:$P$698,"Same-market proxy")&gt;0,"Same-market proxy",IF(COUNTIFS('Shortlisted Drugs X Company (7)'!$C$3:$C$698,$B232,'Shortlisted Drugs X Company (7)'!$E$3:$E$698,$AA232,'Shortlisted Drugs X Company (7)'!$P$3:$P$698,"Cross-market proxy")&gt;0,"Cross-market proxy",IF(COUNTIFS('Shortlisted Drugs X Company (7)'!$C$3:$C$698,$B232,'Shortlisted Drugs X Company (7)'!$E$3:$E$698,$AA232,'Shortlisted Drugs X Company (7)'!$P$3:$P$698,"Source not found")&gt;0,"Source not found","No price found"))))</f>
        <v>Same-market proxy</v>
      </c>
      <c r="K232" s="19" t="n">
        <f aca="false">IFERROR(INDEX('Injectable Value'!$AB$28:$AB$178,MATCH(B232,'Injectable Value'!$A$28:$A$178,0)),"")</f>
        <v>736</v>
      </c>
      <c r="L232" s="77" t="n">
        <f aca="false">IFERROR(INDEX('Injectable Value'!$Z$28:$Z$178,MATCH(B232,'Injectable Value'!$A$28:$A$178,0)),"")</f>
        <v>0.120198430249293</v>
      </c>
      <c r="M232" s="19" t="n">
        <f aca="false">IFERROR(INDEX('Injectable Value'!$AC$28:$AC$178,MATCH(B232,'Injectable Value'!$A$28:$A$178,0)),"")</f>
        <v>88</v>
      </c>
      <c r="N232" s="19" t="n">
        <f aca="false">IFERROR(INDEX('Injectable Value'!$C$28:$C$178,MATCH(B232,'Injectable Value'!$A$28:$A$178,0)),"")</f>
        <v>22018.81</v>
      </c>
      <c r="O232" s="19" t="n">
        <f aca="false">IFERROR(ROUND(INDEX('Injectable Value'!$AA$28:$AA$178,MATCH(B232,'Injectable Value'!$A$28:$A$178,0)),1),"")</f>
        <v>2646.6</v>
      </c>
      <c r="P232" s="16" t="str">
        <f aca="false">IFERROR(INDEX('Route of Administration'!$C$5:$C$155,MATCH(B232,'Route of Administration'!$A$5:$A$155,0)),"")</f>
        <v>IM</v>
      </c>
      <c r="Q232" s="15" t="str">
        <f aca="false">IFERROR(INDEX('Route of Administration'!$D$5:$D$155,MATCH(B232,'Route of Administration'!$A$5:$A$155,0)),"")</f>
        <v>Yes</v>
      </c>
      <c r="R232" s="16" t="s">
        <v>310</v>
      </c>
      <c r="S232" s="17" t="s">
        <v>1139</v>
      </c>
      <c r="T232" s="16" t="s">
        <v>310</v>
      </c>
      <c r="U232" s="17" t="str">
        <f aca="false">""&amp;IF(AE232=0,"No price found","")&amp;IF(AND(AE232&gt;0,AF232=0,AG232=0),"Low price comes from another market – confirm with the company","")</f>
        <v/>
      </c>
      <c r="V232" s="17" t="s">
        <v>284</v>
      </c>
      <c r="W232" s="15" t="n">
        <v>1</v>
      </c>
      <c r="X232" s="17" t="s">
        <v>284</v>
      </c>
      <c r="Y232" s="17" t="s">
        <v>284</v>
      </c>
      <c r="Z232" s="17" t="s">
        <v>312</v>
      </c>
      <c r="AA232" s="16" t="s">
        <v>927</v>
      </c>
      <c r="AB232" s="78" t="s">
        <v>551</v>
      </c>
      <c r="AC232" s="20" t="n">
        <f aca="false">IF(AE232&gt;0,ROUND(AVERAGEIFS('Shortlisted Drugs X Company (7)'!$N$3:$N$698,'Shortlisted Drugs X Company (7)'!$C$3:$C$698,$B232,'Shortlisted Drugs X Company (7)'!$E$3:$E$698,$AA232,'Shortlisted Drugs X Company (7)'!$N$3:$N$698,"&gt;=0"),2),"")</f>
        <v>6.23</v>
      </c>
      <c r="AD232" s="79" t="str">
        <f aca="false">B232&amp;"|"&amp;AA232</f>
        <v>Progesterone|Intas Pharmaceuticals</v>
      </c>
      <c r="AE232" s="22" t="n">
        <f aca="false">COUNTIFS('Shortlisted Drugs X Company (7)'!$C$3:$C$698,$B232,'Shortlisted Drugs X Company (7)'!$E$3:$E$698,$AA232,'Shortlisted Drugs X Company (7)'!$N$3:$N$698,"&gt;=0")</f>
        <v>1</v>
      </c>
      <c r="AF232" s="22" t="n">
        <f aca="false">COUNTIFS('Shortlisted Drugs X Company (7)'!$C$3:$C$698,$B232,'Shortlisted Drugs X Company (7)'!$E$3:$E$698,$AA232,'Shortlisted Drugs X Company (7)'!$N$3:$N$698,"&gt;5")</f>
        <v>1</v>
      </c>
      <c r="AG232" s="22" t="n">
        <f aca="false">COUNTIFS('Shortlisted Drugs X Company (7)'!$C$3:$C$698,$B232,'Shortlisted Drugs X Company (7)'!$E$3:$E$698,$AA232,'Shortlisted Drugs X Company (7)'!$P$3:$P$698,"Exact")+COUNTIFS('Shortlisted Drugs X Company (7)'!$C$3:$C$698,$B232,'Shortlisted Drugs X Company (7)'!$E$3:$E$698,$AA232,'Shortlisted Drugs X Company (7)'!$P$3:$P$698,"Same-market proxy")</f>
        <v>1</v>
      </c>
      <c r="AH232" s="22" t="n">
        <f aca="false">INDEX($G$7:$G$25,MATCH(A232,$A$7:$A$25,0))</f>
        <v>1</v>
      </c>
      <c r="AI232" s="79" t="n">
        <f aca="false">IF(OR(Q232="No",LEFT(H232,7)="IV only"),"",AH232*1000+IF(F232="",900+COUNTIFS($A$29:A232,A232,$H$29:H232,"Price*"),F232))</f>
        <v>1022</v>
      </c>
      <c r="AJ232" s="79" t="n">
        <f aca="false">IF(H232&lt;&gt;"","",(4-VALUE(RIGHT(E232,1)))*10^7+N(O232))</f>
        <v>10002646.6</v>
      </c>
      <c r="AK232" s="20" t="n">
        <f aca="false">IF(AND(H232="",ISNUMBER(I232)),I232,"")</f>
        <v>6.23</v>
      </c>
      <c r="AL232" s="21" t="n">
        <f aca="false">IF(H232="",M232,"")</f>
        <v>88</v>
      </c>
    </row>
    <row r="233" customFormat="false" ht="41.75" hidden="false" customHeight="false" outlineLevel="0" collapsed="false">
      <c r="A233" s="16" t="s">
        <v>21</v>
      </c>
      <c r="B233" s="16" t="s">
        <v>1140</v>
      </c>
      <c r="C233" s="17" t="s">
        <v>1141</v>
      </c>
      <c r="D233" s="17" t="s">
        <v>1142</v>
      </c>
      <c r="E233" s="15" t="str">
        <f aca="false">IF(H233&lt;&gt;"",IF(LEFT(H233,5)="Price","Excluded – price ≤ USD 5","Excluded – IV only"),IF(ISNUMBER(I233),IF(AND(I233&gt;=$C$3,M233&gt;=$E$3),"Priority 1",IF(OR(I233&gt;=$C$3,M233&gt;=$E$3),"Priority 2","Priority 3")),IF(M233&gt;=$E$3,"Priority 2","Priority 3")))</f>
        <v>Excluded – IV only</v>
      </c>
      <c r="F233" s="15" t="str">
        <f aca="false">IF(H233&lt;&gt;"","",COUNTIFS($A$29:$A$361,A233,$H$29:$H$361,"",$AJ$29:$AJ$361,"&gt;"&amp;AJ233)+COUNTIFS($A$29:A233,A233,$H$29:H233,"",$AJ$29:AJ233,AJ233))</f>
        <v/>
      </c>
      <c r="G233" s="17" t="str">
        <f aca="false">IF(H233&lt;&gt;"","",IF(ISNUMBER(I233),IF(I233&gt;=$C$3,"High price","Lower price"),"No price")&amp;", "&amp;IF(M233&gt;=$E$3,"high volume","lower volume"))</f>
        <v/>
      </c>
      <c r="H233" s="17" t="str">
        <f aca="false">IF(Q233="No","IV only (no ID, IM or SC route)",IF(AND(AE233&gt;0,AF233=0),"Price ≤ USD 5",""))</f>
        <v>IV only (no ID, IM or SC route)</v>
      </c>
      <c r="I233" s="18" t="n">
        <f aca="false">IF(AF233&gt;0,ROUND(AVERAGEIFS('Shortlisted Drugs X Company (7)'!$N$3:$N$698,'Shortlisted Drugs X Company (7)'!$C$3:$C$698,$B233,'Shortlisted Drugs X Company (7)'!$E$3:$E$698,$AA233,'Shortlisted Drugs X Company (7)'!$N$3:$N$698,"&gt;5"),2),"")</f>
        <v>655.58</v>
      </c>
      <c r="J233" s="17" t="str">
        <f aca="false">IF(COUNTIFS('Shortlisted Drugs X Company (7)'!$C$3:$C$698,$B233,'Shortlisted Drugs X Company (7)'!$E$3:$E$698,$AA233,'Shortlisted Drugs X Company (7)'!$P$3:$P$698,"Exact")&gt;0,"Exact",IF(COUNTIFS('Shortlisted Drugs X Company (7)'!$C$3:$C$698,$B233,'Shortlisted Drugs X Company (7)'!$E$3:$E$698,$AA233,'Shortlisted Drugs X Company (7)'!$P$3:$P$698,"Same-market proxy")&gt;0,"Same-market proxy",IF(COUNTIFS('Shortlisted Drugs X Company (7)'!$C$3:$C$698,$B233,'Shortlisted Drugs X Company (7)'!$E$3:$E$698,$AA233,'Shortlisted Drugs X Company (7)'!$P$3:$P$698,"Cross-market proxy")&gt;0,"Cross-market proxy",IF(COUNTIFS('Shortlisted Drugs X Company (7)'!$C$3:$C$698,$B233,'Shortlisted Drugs X Company (7)'!$E$3:$E$698,$AA233,'Shortlisted Drugs X Company (7)'!$P$3:$P$698,"Source not found")&gt;0,"Source not found","No price found"))))</f>
        <v>Source not found</v>
      </c>
      <c r="K233" s="19" t="n">
        <f aca="false">IFERROR(INDEX('Injectable Value'!$AB$28:$AB$178,MATCH(B233,'Injectable Value'!$A$28:$A$178,0)),"")</f>
        <v>64</v>
      </c>
      <c r="L233" s="77" t="n">
        <f aca="false">IFERROR(INDEX('Injectable Value'!$Z$28:$Z$178,MATCH(B233,'Injectable Value'!$A$28:$A$178,0)),"")</f>
        <v>1</v>
      </c>
      <c r="M233" s="19" t="n">
        <f aca="false">IFERROR(INDEX('Injectable Value'!$AC$28:$AC$178,MATCH(B233,'Injectable Value'!$A$28:$A$178,0)),"")</f>
        <v>64</v>
      </c>
      <c r="N233" s="19" t="n">
        <f aca="false">IFERROR(INDEX('Injectable Value'!$C$28:$C$178,MATCH(B233,'Injectable Value'!$A$28:$A$178,0)),"")</f>
        <v>843.51</v>
      </c>
      <c r="O233" s="19" t="n">
        <f aca="false">IFERROR(ROUND(INDEX('Injectable Value'!$AA$28:$AA$178,MATCH(B233,'Injectable Value'!$A$28:$A$178,0)),1),"")</f>
        <v>843.5</v>
      </c>
      <c r="P233" s="16" t="str">
        <f aca="false">IFERROR(INDEX('Route of Administration'!$C$5:$C$155,MATCH(B233,'Route of Administration'!$A$5:$A$155,0)),"")</f>
        <v>Intravitreal</v>
      </c>
      <c r="Q233" s="15" t="str">
        <f aca="false">IFERROR(INDEX('Route of Administration'!$D$5:$D$155,MATCH(B233,'Route of Administration'!$A$5:$A$155,0)),"")</f>
        <v>No</v>
      </c>
      <c r="R233" s="16" t="s">
        <v>281</v>
      </c>
      <c r="S233" s="17" t="s">
        <v>1143</v>
      </c>
      <c r="T233" s="16" t="s">
        <v>283</v>
      </c>
      <c r="U233" s="17" t="str">
        <f aca="false">""&amp;IF(AE233=0,"No price found","")&amp;IF(AND(AE233&gt;0,AF233=0,AG233=0),"Low price comes from another market – confirm with the company","")</f>
        <v/>
      </c>
      <c r="V233" s="17" t="s">
        <v>1144</v>
      </c>
      <c r="W233" s="15" t="n">
        <v>1</v>
      </c>
      <c r="X233" s="17" t="s">
        <v>1144</v>
      </c>
      <c r="Y233" s="17" t="s">
        <v>1144</v>
      </c>
      <c r="Z233" s="17" t="s">
        <v>321</v>
      </c>
      <c r="AA233" s="16" t="s">
        <v>927</v>
      </c>
      <c r="AB233" s="78" t="s">
        <v>1145</v>
      </c>
      <c r="AC233" s="20" t="n">
        <f aca="false">IF(AE233&gt;0,ROUND(AVERAGEIFS('Shortlisted Drugs X Company (7)'!$N$3:$N$698,'Shortlisted Drugs X Company (7)'!$C$3:$C$698,$B233,'Shortlisted Drugs X Company (7)'!$E$3:$E$698,$AA233,'Shortlisted Drugs X Company (7)'!$N$3:$N$698,"&gt;=0"),2),"")</f>
        <v>655.58</v>
      </c>
      <c r="AD233" s="79" t="str">
        <f aca="false">B233&amp;"|"&amp;AA233</f>
        <v>Ranibizumab|Intas Pharmaceuticals</v>
      </c>
      <c r="AE233" s="22" t="n">
        <f aca="false">COUNTIFS('Shortlisted Drugs X Company (7)'!$C$3:$C$698,$B233,'Shortlisted Drugs X Company (7)'!$E$3:$E$698,$AA233,'Shortlisted Drugs X Company (7)'!$N$3:$N$698,"&gt;=0")</f>
        <v>1</v>
      </c>
      <c r="AF233" s="22" t="n">
        <f aca="false">COUNTIFS('Shortlisted Drugs X Company (7)'!$C$3:$C$698,$B233,'Shortlisted Drugs X Company (7)'!$E$3:$E$698,$AA233,'Shortlisted Drugs X Company (7)'!$N$3:$N$698,"&gt;5")</f>
        <v>1</v>
      </c>
      <c r="AG233" s="22" t="n">
        <f aca="false">COUNTIFS('Shortlisted Drugs X Company (7)'!$C$3:$C$698,$B233,'Shortlisted Drugs X Company (7)'!$E$3:$E$698,$AA233,'Shortlisted Drugs X Company (7)'!$P$3:$P$698,"Exact")+COUNTIFS('Shortlisted Drugs X Company (7)'!$C$3:$C$698,$B233,'Shortlisted Drugs X Company (7)'!$E$3:$E$698,$AA233,'Shortlisted Drugs X Company (7)'!$P$3:$P$698,"Same-market proxy")</f>
        <v>0</v>
      </c>
      <c r="AH233" s="22" t="n">
        <f aca="false">INDEX($G$7:$G$25,MATCH(A233,$A$7:$A$25,0))</f>
        <v>1</v>
      </c>
      <c r="AI233" s="79" t="str">
        <f aca="false">IF(OR(Q233="No",LEFT(H233,7)="IV only"),"",AH233*1000+IF(F233="",900+COUNTIFS($A$29:A233,A233,$H$29:H233,"Price*"),F233))</f>
        <v/>
      </c>
      <c r="AJ233" s="79" t="str">
        <f aca="false">IF(H233&lt;&gt;"","",(4-VALUE(RIGHT(E233,1)))*10^7+N(O233))</f>
        <v/>
      </c>
      <c r="AK233" s="79" t="str">
        <f aca="false">IF(AND(H233="",ISNUMBER(I233)),I233,"")</f>
        <v/>
      </c>
      <c r="AL233" s="79" t="str">
        <f aca="false">IF(H233="",M233,"")</f>
        <v/>
      </c>
    </row>
    <row r="234" customFormat="false" ht="28.35" hidden="false" customHeight="false" outlineLevel="0" collapsed="false">
      <c r="A234" s="16" t="s">
        <v>21</v>
      </c>
      <c r="B234" s="16" t="s">
        <v>552</v>
      </c>
      <c r="C234" s="17" t="s">
        <v>552</v>
      </c>
      <c r="D234" s="17" t="s">
        <v>553</v>
      </c>
      <c r="E234" s="15" t="str">
        <f aca="false">IF(H234&lt;&gt;"",IF(LEFT(H234,5)="Price","Excluded – price ≤ USD 5","Excluded – IV only"),IF(ISNUMBER(I234),IF(AND(I234&gt;=$C$3,M234&gt;=$E$3),"Priority 1",IF(OR(I234&gt;=$C$3,M234&gt;=$E$3),"Priority 2","Priority 3")),IF(M234&gt;=$E$3,"Priority 2","Priority 3")))</f>
        <v>Excluded – IV only</v>
      </c>
      <c r="F234" s="15" t="str">
        <f aca="false">IF(H234&lt;&gt;"","",COUNTIFS($A$29:$A$361,A234,$H$29:$H$361,"",$AJ$29:$AJ$361,"&gt;"&amp;AJ234)+COUNTIFS($A$29:A234,A234,$H$29:H234,"",$AJ$29:AJ234,AJ234))</f>
        <v/>
      </c>
      <c r="G234" s="17" t="str">
        <f aca="false">IF(H234&lt;&gt;"","",IF(ISNUMBER(I234),IF(I234&gt;=$C$3,"High price","Lower price"),"No price")&amp;", "&amp;IF(M234&gt;=$E$3,"high volume","lower volume"))</f>
        <v/>
      </c>
      <c r="H234" s="17" t="str">
        <f aca="false">IF(Q234="No","IV only (no ID, IM or SC route)",IF(AND(AE234&gt;0,AF234=0),"Price ≤ USD 5",""))</f>
        <v>IV only (no ID, IM or SC route)</v>
      </c>
      <c r="I234" s="18" t="n">
        <f aca="false">IF(AF234&gt;0,ROUND(AVERAGEIFS('Shortlisted Drugs X Company (7)'!$N$3:$N$698,'Shortlisted Drugs X Company (7)'!$C$3:$C$698,$B234,'Shortlisted Drugs X Company (7)'!$E$3:$E$698,$AA234,'Shortlisted Drugs X Company (7)'!$N$3:$N$698,"&gt;5"),2),"")</f>
        <v>10.03</v>
      </c>
      <c r="J234" s="17" t="str">
        <f aca="false">IF(COUNTIFS('Shortlisted Drugs X Company (7)'!$C$3:$C$698,$B234,'Shortlisted Drugs X Company (7)'!$E$3:$E$698,$AA234,'Shortlisted Drugs X Company (7)'!$P$3:$P$698,"Exact")&gt;0,"Exact",IF(COUNTIFS('Shortlisted Drugs X Company (7)'!$C$3:$C$698,$B234,'Shortlisted Drugs X Company (7)'!$E$3:$E$698,$AA234,'Shortlisted Drugs X Company (7)'!$P$3:$P$698,"Same-market proxy")&gt;0,"Same-market proxy",IF(COUNTIFS('Shortlisted Drugs X Company (7)'!$C$3:$C$698,$B234,'Shortlisted Drugs X Company (7)'!$E$3:$E$698,$AA234,'Shortlisted Drugs X Company (7)'!$P$3:$P$698,"Cross-market proxy")&gt;0,"Cross-market proxy",IF(COUNTIFS('Shortlisted Drugs X Company (7)'!$C$3:$C$698,$B234,'Shortlisted Drugs X Company (7)'!$E$3:$E$698,$AA234,'Shortlisted Drugs X Company (7)'!$P$3:$P$698,"Source not found")&gt;0,"Source not found","No price found"))))</f>
        <v>Same-market proxy</v>
      </c>
      <c r="K234" s="19" t="n">
        <f aca="false">IFERROR(INDEX('Injectable Value'!$AB$28:$AB$178,MATCH(B234,'Injectable Value'!$A$28:$A$178,0)),"")</f>
        <v>9</v>
      </c>
      <c r="L234" s="77" t="n">
        <f aca="false">IFERROR(INDEX('Injectable Value'!$Z$28:$Z$178,MATCH(B234,'Injectable Value'!$A$28:$A$178,0)),"")</f>
        <v>1</v>
      </c>
      <c r="M234" s="19" t="n">
        <f aca="false">IFERROR(INDEX('Injectable Value'!$AC$28:$AC$178,MATCH(B234,'Injectable Value'!$A$28:$A$178,0)),"")</f>
        <v>9</v>
      </c>
      <c r="N234" s="19" t="n">
        <f aca="false">IFERROR(INDEX('Injectable Value'!$C$28:$C$178,MATCH(B234,'Injectable Value'!$A$28:$A$178,0)),"")</f>
        <v>1127.64</v>
      </c>
      <c r="O234" s="19" t="n">
        <f aca="false">IFERROR(ROUND(INDEX('Injectable Value'!$AA$28:$AA$178,MATCH(B234,'Injectable Value'!$A$28:$A$178,0)),1),"")</f>
        <v>1127.6</v>
      </c>
      <c r="P234" s="16" t="str">
        <f aca="false">IFERROR(INDEX('Route of Administration'!$C$5:$C$155,MATCH(B234,'Route of Administration'!$A$5:$A$155,0)),"")</f>
        <v>IV</v>
      </c>
      <c r="Q234" s="15" t="str">
        <f aca="false">IFERROR(INDEX('Route of Administration'!$D$5:$D$155,MATCH(B234,'Route of Administration'!$A$5:$A$155,0)),"")</f>
        <v>No</v>
      </c>
      <c r="R234" s="16" t="s">
        <v>291</v>
      </c>
      <c r="S234" s="17" t="s">
        <v>554</v>
      </c>
      <c r="T234" s="16" t="s">
        <v>283</v>
      </c>
      <c r="U234" s="17" t="str">
        <f aca="false">"Prefilled only"&amp;IF(AE234=0,"; No price found","")&amp;IF(AND(AE234&gt;0,AF234=0,AG234=0),"; Low price comes from another market – confirm with the company","")</f>
        <v>Prefilled only</v>
      </c>
      <c r="V234" s="17" t="s">
        <v>284</v>
      </c>
      <c r="W234" s="15" t="n">
        <v>1</v>
      </c>
      <c r="X234" s="17" t="s">
        <v>284</v>
      </c>
      <c r="Y234" s="17" t="s">
        <v>284</v>
      </c>
      <c r="Z234" s="17" t="s">
        <v>293</v>
      </c>
      <c r="AA234" s="16" t="s">
        <v>927</v>
      </c>
      <c r="AB234" s="78" t="s">
        <v>555</v>
      </c>
      <c r="AC234" s="20" t="n">
        <f aca="false">IF(AE234&gt;0,ROUND(AVERAGEIFS('Shortlisted Drugs X Company (7)'!$N$3:$N$698,'Shortlisted Drugs X Company (7)'!$C$3:$C$698,$B234,'Shortlisted Drugs X Company (7)'!$E$3:$E$698,$AA234,'Shortlisted Drugs X Company (7)'!$N$3:$N$698,"&gt;=0"),2),"")</f>
        <v>10.03</v>
      </c>
      <c r="AD234" s="79" t="str">
        <f aca="false">B234&amp;"|"&amp;AA234</f>
        <v>Regadenoson|Intas Pharmaceuticals</v>
      </c>
      <c r="AE234" s="22" t="n">
        <f aca="false">COUNTIFS('Shortlisted Drugs X Company (7)'!$C$3:$C$698,$B234,'Shortlisted Drugs X Company (7)'!$E$3:$E$698,$AA234,'Shortlisted Drugs X Company (7)'!$N$3:$N$698,"&gt;=0")</f>
        <v>1</v>
      </c>
      <c r="AF234" s="22" t="n">
        <f aca="false">COUNTIFS('Shortlisted Drugs X Company (7)'!$C$3:$C$698,$B234,'Shortlisted Drugs X Company (7)'!$E$3:$E$698,$AA234,'Shortlisted Drugs X Company (7)'!$N$3:$N$698,"&gt;5")</f>
        <v>1</v>
      </c>
      <c r="AG234" s="22" t="n">
        <f aca="false">COUNTIFS('Shortlisted Drugs X Company (7)'!$C$3:$C$698,$B234,'Shortlisted Drugs X Company (7)'!$E$3:$E$698,$AA234,'Shortlisted Drugs X Company (7)'!$P$3:$P$698,"Exact")+COUNTIFS('Shortlisted Drugs X Company (7)'!$C$3:$C$698,$B234,'Shortlisted Drugs X Company (7)'!$E$3:$E$698,$AA234,'Shortlisted Drugs X Company (7)'!$P$3:$P$698,"Same-market proxy")</f>
        <v>1</v>
      </c>
      <c r="AH234" s="22" t="n">
        <f aca="false">INDEX($G$7:$G$25,MATCH(A234,$A$7:$A$25,0))</f>
        <v>1</v>
      </c>
      <c r="AI234" s="79" t="str">
        <f aca="false">IF(OR(Q234="No",LEFT(H234,7)="IV only"),"",AH234*1000+IF(F234="",900+COUNTIFS($A$29:A234,A234,$H$29:H234,"Price*"),F234))</f>
        <v/>
      </c>
      <c r="AJ234" s="79" t="str">
        <f aca="false">IF(H234&lt;&gt;"","",(4-VALUE(RIGHT(E234,1)))*10^7+N(O234))</f>
        <v/>
      </c>
      <c r="AK234" s="79" t="str">
        <f aca="false">IF(AND(H234="",ISNUMBER(I234)),I234,"")</f>
        <v/>
      </c>
      <c r="AL234" s="79" t="str">
        <f aca="false">IF(H234="",M234,"")</f>
        <v/>
      </c>
    </row>
    <row r="235" customFormat="false" ht="41.75" hidden="false" customHeight="false" outlineLevel="0" collapsed="false">
      <c r="A235" s="16" t="s">
        <v>21</v>
      </c>
      <c r="B235" s="16" t="s">
        <v>910</v>
      </c>
      <c r="C235" s="17" t="s">
        <v>1146</v>
      </c>
      <c r="D235" s="17" t="s">
        <v>596</v>
      </c>
      <c r="E235" s="15" t="str">
        <f aca="false">IF(H235&lt;&gt;"",IF(LEFT(H235,5)="Price","Excluded – price ≤ USD 5","Excluded – IV only"),IF(ISNUMBER(I235),IF(AND(I235&gt;=$C$3,M235&gt;=$E$3),"Priority 1",IF(OR(I235&gt;=$C$3,M235&gt;=$E$3),"Priority 2","Priority 3")),IF(M235&gt;=$E$3,"Priority 2","Priority 3")))</f>
        <v>Excluded – IV only</v>
      </c>
      <c r="F235" s="15" t="str">
        <f aca="false">IF(H235&lt;&gt;"","",COUNTIFS($A$29:$A$361,A235,$H$29:$H$361,"",$AJ$29:$AJ$361,"&gt;"&amp;AJ235)+COUNTIFS($A$29:A235,A235,$H$29:H235,"",$AJ$29:AJ235,AJ235))</f>
        <v/>
      </c>
      <c r="G235" s="17" t="str">
        <f aca="false">IF(H235&lt;&gt;"","",IF(ISNUMBER(I235),IF(I235&gt;=$C$3,"High price","Lower price"),"No price")&amp;", "&amp;IF(M235&gt;=$E$3,"high volume","lower volume"))</f>
        <v/>
      </c>
      <c r="H235" s="17" t="str">
        <f aca="false">IF(Q235="No","IV only (no ID, IM or SC route)",IF(AND(AE235&gt;0,AF235=0),"Price ≤ USD 5",""))</f>
        <v>IV only (no ID, IM or SC route)</v>
      </c>
      <c r="I235" s="18" t="n">
        <f aca="false">IF(AF235&gt;0,ROUND(AVERAGEIFS('Shortlisted Drugs X Company (7)'!$N$3:$N$698,'Shortlisted Drugs X Company (7)'!$C$3:$C$698,$B235,'Shortlisted Drugs X Company (7)'!$E$3:$E$698,$AA235,'Shortlisted Drugs X Company (7)'!$N$3:$N$698,"&gt;5"),2),"")</f>
        <v>5.1</v>
      </c>
      <c r="J235" s="17" t="str">
        <f aca="false">IF(COUNTIFS('Shortlisted Drugs X Company (7)'!$C$3:$C$698,$B235,'Shortlisted Drugs X Company (7)'!$E$3:$E$698,$AA235,'Shortlisted Drugs X Company (7)'!$P$3:$P$698,"Exact")&gt;0,"Exact",IF(COUNTIFS('Shortlisted Drugs X Company (7)'!$C$3:$C$698,$B235,'Shortlisted Drugs X Company (7)'!$E$3:$E$698,$AA235,'Shortlisted Drugs X Company (7)'!$P$3:$P$698,"Same-market proxy")&gt;0,"Same-market proxy",IF(COUNTIFS('Shortlisted Drugs X Company (7)'!$C$3:$C$698,$B235,'Shortlisted Drugs X Company (7)'!$E$3:$E$698,$AA235,'Shortlisted Drugs X Company (7)'!$P$3:$P$698,"Cross-market proxy")&gt;0,"Cross-market proxy",IF(COUNTIFS('Shortlisted Drugs X Company (7)'!$C$3:$C$698,$B235,'Shortlisted Drugs X Company (7)'!$E$3:$E$698,$AA235,'Shortlisted Drugs X Company (7)'!$P$3:$P$698,"Source not found")&gt;0,"Source not found","No price found"))))</f>
        <v>Same-market proxy</v>
      </c>
      <c r="K235" s="19" t="n">
        <f aca="false">IFERROR(INDEX('Injectable Value'!$AB$28:$AB$178,MATCH(B235,'Injectable Value'!$A$28:$A$178,0)),"")</f>
        <v>264</v>
      </c>
      <c r="L235" s="77" t="n">
        <f aca="false">IFERROR(INDEX('Injectable Value'!$Z$28:$Z$178,MATCH(B235,'Injectable Value'!$A$28:$A$178,0)),"")</f>
        <v>0.989010989010989</v>
      </c>
      <c r="M235" s="19" t="n">
        <f aca="false">IFERROR(INDEX('Injectable Value'!$AC$28:$AC$178,MATCH(B235,'Injectable Value'!$A$28:$A$178,0)),"")</f>
        <v>261</v>
      </c>
      <c r="N235" s="19" t="n">
        <f aca="false">IFERROR(INDEX('Injectable Value'!$C$28:$C$178,MATCH(B235,'Injectable Value'!$A$28:$A$178,0)),"")</f>
        <v>20408.58</v>
      </c>
      <c r="O235" s="19" t="n">
        <f aca="false">IFERROR(ROUND(INDEX('Injectable Value'!$AA$28:$AA$178,MATCH(B235,'Injectable Value'!$A$28:$A$178,0)),1),"")</f>
        <v>20184.3</v>
      </c>
      <c r="P235" s="16" t="str">
        <f aca="false">IFERROR(INDEX('Route of Administration'!$C$5:$C$155,MATCH(B235,'Route of Administration'!$A$5:$A$155,0)),"")</f>
        <v>IV</v>
      </c>
      <c r="Q235" s="15" t="str">
        <f aca="false">IFERROR(INDEX('Route of Administration'!$D$5:$D$155,MATCH(B235,'Route of Administration'!$A$5:$A$155,0)),"")</f>
        <v>No</v>
      </c>
      <c r="R235" s="16" t="s">
        <v>349</v>
      </c>
      <c r="S235" s="17" t="s">
        <v>1147</v>
      </c>
      <c r="T235" s="16" t="s">
        <v>283</v>
      </c>
      <c r="U235" s="17" t="str">
        <f aca="false">""&amp;IF(AE235=0,"No price found","")&amp;IF(AND(AE235&gt;0,AF235=0,AG235=0),"Low price comes from another market – confirm with the company","")</f>
        <v/>
      </c>
      <c r="V235" s="17" t="s">
        <v>351</v>
      </c>
      <c r="W235" s="15" t="n">
        <v>12</v>
      </c>
      <c r="X235" s="17" t="s">
        <v>1148</v>
      </c>
      <c r="Y235" s="17" t="s">
        <v>1149</v>
      </c>
      <c r="Z235" s="17" t="s">
        <v>286</v>
      </c>
      <c r="AA235" s="16" t="s">
        <v>927</v>
      </c>
      <c r="AB235" s="78" t="s">
        <v>913</v>
      </c>
      <c r="AC235" s="20" t="n">
        <f aca="false">IF(AE235&gt;0,ROUND(AVERAGEIFS('Shortlisted Drugs X Company (7)'!$N$3:$N$698,'Shortlisted Drugs X Company (7)'!$C$3:$C$698,$B235,'Shortlisted Drugs X Company (7)'!$E$3:$E$698,$AA235,'Shortlisted Drugs X Company (7)'!$N$3:$N$698,"&gt;=0"),2),"")</f>
        <v>5.1</v>
      </c>
      <c r="AD235" s="79" t="str">
        <f aca="false">B235&amp;"|"&amp;AA235</f>
        <v>Rocuronium|Intas Pharmaceuticals</v>
      </c>
      <c r="AE235" s="22" t="n">
        <f aca="false">COUNTIFS('Shortlisted Drugs X Company (7)'!$C$3:$C$698,$B235,'Shortlisted Drugs X Company (7)'!$E$3:$E$698,$AA235,'Shortlisted Drugs X Company (7)'!$N$3:$N$698,"&gt;=0")</f>
        <v>1</v>
      </c>
      <c r="AF235" s="22" t="n">
        <f aca="false">COUNTIFS('Shortlisted Drugs X Company (7)'!$C$3:$C$698,$B235,'Shortlisted Drugs X Company (7)'!$E$3:$E$698,$AA235,'Shortlisted Drugs X Company (7)'!$N$3:$N$698,"&gt;5")</f>
        <v>1</v>
      </c>
      <c r="AG235" s="22" t="n">
        <f aca="false">COUNTIFS('Shortlisted Drugs X Company (7)'!$C$3:$C$698,$B235,'Shortlisted Drugs X Company (7)'!$E$3:$E$698,$AA235,'Shortlisted Drugs X Company (7)'!$P$3:$P$698,"Exact")+COUNTIFS('Shortlisted Drugs X Company (7)'!$C$3:$C$698,$B235,'Shortlisted Drugs X Company (7)'!$E$3:$E$698,$AA235,'Shortlisted Drugs X Company (7)'!$P$3:$P$698,"Same-market proxy")</f>
        <v>1</v>
      </c>
      <c r="AH235" s="22" t="n">
        <f aca="false">INDEX($G$7:$G$25,MATCH(A235,$A$7:$A$25,0))</f>
        <v>1</v>
      </c>
      <c r="AI235" s="79" t="str">
        <f aca="false">IF(OR(Q235="No",LEFT(H235,7)="IV only"),"",AH235*1000+IF(F235="",900+COUNTIFS($A$29:A235,A235,$H$29:H235,"Price*"),F235))</f>
        <v/>
      </c>
      <c r="AJ235" s="79" t="str">
        <f aca="false">IF(H235&lt;&gt;"","",(4-VALUE(RIGHT(E235,1)))*10^7+N(O235))</f>
        <v/>
      </c>
      <c r="AK235" s="79" t="str">
        <f aca="false">IF(AND(H235="",ISNUMBER(I235)),I235,"")</f>
        <v/>
      </c>
      <c r="AL235" s="79" t="str">
        <f aca="false">IF(H235="",M235,"")</f>
        <v/>
      </c>
    </row>
    <row r="236" customFormat="false" ht="28.35" hidden="false" customHeight="false" outlineLevel="0" collapsed="false">
      <c r="A236" s="16" t="s">
        <v>21</v>
      </c>
      <c r="B236" s="16" t="s">
        <v>754</v>
      </c>
      <c r="C236" s="17" t="s">
        <v>1150</v>
      </c>
      <c r="D236" s="17" t="s">
        <v>756</v>
      </c>
      <c r="E236" s="15" t="str">
        <f aca="false">IF(H236&lt;&gt;"",IF(LEFT(H236,5)="Price","Excluded – price ≤ USD 5","Excluded – IV only"),IF(ISNUMBER(I236),IF(AND(I236&gt;=$C$3,M236&gt;=$E$3),"Priority 1",IF(OR(I236&gt;=$C$3,M236&gt;=$E$3),"Priority 2","Priority 3")),IF(M236&gt;=$E$3,"Priority 2","Priority 3")))</f>
        <v>Priority 2</v>
      </c>
      <c r="F236" s="15" t="n">
        <f aca="false">IF(H236&lt;&gt;"","",COUNTIFS($A$29:$A$361,A236,$H$29:$H$361,"",$AJ$29:$AJ$361,"&gt;"&amp;AJ236)+COUNTIFS($A$29:A236,A236,$H$29:H236,"",$AJ$29:AJ236,AJ236))</f>
        <v>17</v>
      </c>
      <c r="G236" s="17" t="str">
        <f aca="false">IF(H236&lt;&gt;"","",IF(ISNUMBER(I236),IF(I236&gt;=$C$3,"High price","Lower price"),"No price")&amp;", "&amp;IF(M236&gt;=$E$3,"high volume","lower volume"))</f>
        <v>Lower price, high volume</v>
      </c>
      <c r="H236" s="17" t="str">
        <f aca="false">IF(Q236="No","IV only (no ID, IM or SC route)",IF(AND(AE236&gt;0,AF236=0),"Price ≤ USD 5",""))</f>
        <v/>
      </c>
      <c r="I236" s="18" t="n">
        <f aca="false">IF(AF236&gt;0,ROUND(AVERAGEIFS('Shortlisted Drugs X Company (7)'!$N$3:$N$698,'Shortlisted Drugs X Company (7)'!$C$3:$C$698,$B236,'Shortlisted Drugs X Company (7)'!$E$3:$E$698,$AA236,'Shortlisted Drugs X Company (7)'!$N$3:$N$698,"&gt;5"),2),"")</f>
        <v>5.12</v>
      </c>
      <c r="J236" s="17" t="str">
        <f aca="false">IF(COUNTIFS('Shortlisted Drugs X Company (7)'!$C$3:$C$698,$B236,'Shortlisted Drugs X Company (7)'!$E$3:$E$698,$AA236,'Shortlisted Drugs X Company (7)'!$P$3:$P$698,"Exact")&gt;0,"Exact",IF(COUNTIFS('Shortlisted Drugs X Company (7)'!$C$3:$C$698,$B236,'Shortlisted Drugs X Company (7)'!$E$3:$E$698,$AA236,'Shortlisted Drugs X Company (7)'!$P$3:$P$698,"Same-market proxy")&gt;0,"Same-market proxy",IF(COUNTIFS('Shortlisted Drugs X Company (7)'!$C$3:$C$698,$B236,'Shortlisted Drugs X Company (7)'!$E$3:$E$698,$AA236,'Shortlisted Drugs X Company (7)'!$P$3:$P$698,"Cross-market proxy")&gt;0,"Cross-market proxy",IF(COUNTIFS('Shortlisted Drugs X Company (7)'!$C$3:$C$698,$B236,'Shortlisted Drugs X Company (7)'!$E$3:$E$698,$AA236,'Shortlisted Drugs X Company (7)'!$P$3:$P$698,"Source not found")&gt;0,"Source not found","No price found"))))</f>
        <v>Cross-market proxy</v>
      </c>
      <c r="K236" s="19" t="n">
        <f aca="false">IFERROR(INDEX('Injectable Value'!$AB$28:$AB$178,MATCH(B236,'Injectable Value'!$A$28:$A$178,0)),"")</f>
        <v>286</v>
      </c>
      <c r="L236" s="77" t="n">
        <f aca="false">IFERROR(INDEX('Injectable Value'!$Z$28:$Z$178,MATCH(B236,'Injectable Value'!$A$28:$A$178,0)),"")</f>
        <v>1</v>
      </c>
      <c r="M236" s="19" t="n">
        <f aca="false">IFERROR(INDEX('Injectable Value'!$AC$28:$AC$178,MATCH(B236,'Injectable Value'!$A$28:$A$178,0)),"")</f>
        <v>286</v>
      </c>
      <c r="N236" s="19" t="n">
        <f aca="false">IFERROR(INDEX('Injectable Value'!$C$28:$C$178,MATCH(B236,'Injectable Value'!$A$28:$A$178,0)),"")</f>
        <v>3067.39</v>
      </c>
      <c r="O236" s="19" t="n">
        <f aca="false">IFERROR(ROUND(INDEX('Injectable Value'!$AA$28:$AA$178,MATCH(B236,'Injectable Value'!$A$28:$A$178,0)),1),"")</f>
        <v>3067.4</v>
      </c>
      <c r="P236" s="16" t="str">
        <f aca="false">IFERROR(INDEX('Route of Administration'!$C$5:$C$155,MATCH(B236,'Route of Administration'!$A$5:$A$155,0)),"")</f>
        <v>IV, IM</v>
      </c>
      <c r="Q236" s="15" t="str">
        <f aca="false">IFERROR(INDEX('Route of Administration'!$D$5:$D$155,MATCH(B236,'Route of Administration'!$A$5:$A$155,0)),"")</f>
        <v>Yes</v>
      </c>
      <c r="R236" s="16" t="s">
        <v>291</v>
      </c>
      <c r="S236" s="17" t="s">
        <v>1151</v>
      </c>
      <c r="T236" s="16" t="s">
        <v>283</v>
      </c>
      <c r="U236" s="17" t="str">
        <f aca="false">"Prefilled only"&amp;IF(AE236=0,"; No price found","")&amp;IF(AND(AE236&gt;0,AF236=0,AG236=0),"; Low price comes from another market – confirm with the company","")</f>
        <v>Prefilled only</v>
      </c>
      <c r="V236" s="17" t="s">
        <v>112</v>
      </c>
      <c r="W236" s="15" t="n">
        <v>1</v>
      </c>
      <c r="X236" s="17" t="s">
        <v>614</v>
      </c>
      <c r="Y236" s="17" t="s">
        <v>614</v>
      </c>
      <c r="Z236" s="17" t="s">
        <v>293</v>
      </c>
      <c r="AA236" s="16" t="s">
        <v>927</v>
      </c>
      <c r="AB236" s="78" t="s">
        <v>758</v>
      </c>
      <c r="AC236" s="20" t="n">
        <f aca="false">IF(AE236&gt;0,ROUND(AVERAGEIFS('Shortlisted Drugs X Company (7)'!$N$3:$N$698,'Shortlisted Drugs X Company (7)'!$C$3:$C$698,$B236,'Shortlisted Drugs X Company (7)'!$E$3:$E$698,$AA236,'Shortlisted Drugs X Company (7)'!$N$3:$N$698,"&gt;=0"),2),"")</f>
        <v>5.12</v>
      </c>
      <c r="AD236" s="79" t="str">
        <f aca="false">B236&amp;"|"&amp;AA236</f>
        <v>Succinylcholine (Suxamethonium)|Intas Pharmaceuticals</v>
      </c>
      <c r="AE236" s="22" t="n">
        <f aca="false">COUNTIFS('Shortlisted Drugs X Company (7)'!$C$3:$C$698,$B236,'Shortlisted Drugs X Company (7)'!$E$3:$E$698,$AA236,'Shortlisted Drugs X Company (7)'!$N$3:$N$698,"&gt;=0")</f>
        <v>1</v>
      </c>
      <c r="AF236" s="22" t="n">
        <f aca="false">COUNTIFS('Shortlisted Drugs X Company (7)'!$C$3:$C$698,$B236,'Shortlisted Drugs X Company (7)'!$E$3:$E$698,$AA236,'Shortlisted Drugs X Company (7)'!$N$3:$N$698,"&gt;5")</f>
        <v>1</v>
      </c>
      <c r="AG236" s="22" t="n">
        <f aca="false">COUNTIFS('Shortlisted Drugs X Company (7)'!$C$3:$C$698,$B236,'Shortlisted Drugs X Company (7)'!$E$3:$E$698,$AA236,'Shortlisted Drugs X Company (7)'!$P$3:$P$698,"Exact")+COUNTIFS('Shortlisted Drugs X Company (7)'!$C$3:$C$698,$B236,'Shortlisted Drugs X Company (7)'!$E$3:$E$698,$AA236,'Shortlisted Drugs X Company (7)'!$P$3:$P$698,"Same-market proxy")</f>
        <v>0</v>
      </c>
      <c r="AH236" s="22" t="n">
        <f aca="false">INDEX($G$7:$G$25,MATCH(A236,$A$7:$A$25,0))</f>
        <v>1</v>
      </c>
      <c r="AI236" s="79" t="n">
        <f aca="false">IF(OR(Q236="No",LEFT(H236,7)="IV only"),"",AH236*1000+IF(F236="",900+COUNTIFS($A$29:A236,A236,$H$29:H236,"Price*"),F236))</f>
        <v>1017</v>
      </c>
      <c r="AJ236" s="79" t="n">
        <f aca="false">IF(H236&lt;&gt;"","",(4-VALUE(RIGHT(E236,1)))*10^7+N(O236))</f>
        <v>20003067.4</v>
      </c>
      <c r="AK236" s="20" t="n">
        <f aca="false">IF(AND(H236="",ISNUMBER(I236)),I236,"")</f>
        <v>5.12</v>
      </c>
      <c r="AL236" s="21" t="n">
        <f aca="false">IF(H236="",M236,"")</f>
        <v>286</v>
      </c>
    </row>
    <row r="237" customFormat="false" ht="55.2" hidden="false" customHeight="false" outlineLevel="0" collapsed="false">
      <c r="A237" s="16" t="s">
        <v>21</v>
      </c>
      <c r="B237" s="16" t="s">
        <v>665</v>
      </c>
      <c r="C237" s="17" t="s">
        <v>1152</v>
      </c>
      <c r="D237" s="17" t="s">
        <v>667</v>
      </c>
      <c r="E237" s="15" t="str">
        <f aca="false">IF(H237&lt;&gt;"",IF(LEFT(H237,5)="Price","Excluded – price ≤ USD 5","Excluded – IV only"),IF(ISNUMBER(I237),IF(AND(I237&gt;=$C$3,M237&gt;=$E$3),"Priority 1",IF(OR(I237&gt;=$C$3,M237&gt;=$E$3),"Priority 2","Priority 3")),IF(M237&gt;=$E$3,"Priority 2","Priority 3")))</f>
        <v>Excluded – IV only</v>
      </c>
      <c r="F237" s="15" t="str">
        <f aca="false">IF(H237&lt;&gt;"","",COUNTIFS($A$29:$A$361,A237,$H$29:$H$361,"",$AJ$29:$AJ$361,"&gt;"&amp;AJ237)+COUNTIFS($A$29:A237,A237,$H$29:H237,"",$AJ$29:AJ237,AJ237))</f>
        <v/>
      </c>
      <c r="G237" s="17" t="str">
        <f aca="false">IF(H237&lt;&gt;"","",IF(ISNUMBER(I237),IF(I237&gt;=$C$3,"High price","Lower price"),"No price")&amp;", "&amp;IF(M237&gt;=$E$3,"high volume","lower volume"))</f>
        <v/>
      </c>
      <c r="H237" s="17" t="str">
        <f aca="false">IF(Q237="No","IV only (no ID, IM or SC route)",IF(AND(AE237&gt;0,AF237=0),"Price ≤ USD 5",""))</f>
        <v>IV only (no ID, IM or SC route)</v>
      </c>
      <c r="I237" s="18" t="n">
        <f aca="false">IF(AF237&gt;0,ROUND(AVERAGEIFS('Shortlisted Drugs X Company (7)'!$N$3:$N$698,'Shortlisted Drugs X Company (7)'!$C$3:$C$698,$B237,'Shortlisted Drugs X Company (7)'!$E$3:$E$698,$AA237,'Shortlisted Drugs X Company (7)'!$N$3:$N$698,"&gt;5"),2),"")</f>
        <v>79.53</v>
      </c>
      <c r="J237" s="17" t="str">
        <f aca="false">IF(COUNTIFS('Shortlisted Drugs X Company (7)'!$C$3:$C$698,$B237,'Shortlisted Drugs X Company (7)'!$E$3:$E$698,$AA237,'Shortlisted Drugs X Company (7)'!$P$3:$P$698,"Exact")&gt;0,"Exact",IF(COUNTIFS('Shortlisted Drugs X Company (7)'!$C$3:$C$698,$B237,'Shortlisted Drugs X Company (7)'!$E$3:$E$698,$AA237,'Shortlisted Drugs X Company (7)'!$P$3:$P$698,"Same-market proxy")&gt;0,"Same-market proxy",IF(COUNTIFS('Shortlisted Drugs X Company (7)'!$C$3:$C$698,$B237,'Shortlisted Drugs X Company (7)'!$E$3:$E$698,$AA237,'Shortlisted Drugs X Company (7)'!$P$3:$P$698,"Cross-market proxy")&gt;0,"Cross-market proxy",IF(COUNTIFS('Shortlisted Drugs X Company (7)'!$C$3:$C$698,$B237,'Shortlisted Drugs X Company (7)'!$E$3:$E$698,$AA237,'Shortlisted Drugs X Company (7)'!$P$3:$P$698,"Source not found")&gt;0,"Source not found","No price found"))))</f>
        <v>Exact</v>
      </c>
      <c r="K237" s="19" t="n">
        <f aca="false">IFERROR(INDEX('Injectable Value'!$AB$28:$AB$178,MATCH(B237,'Injectable Value'!$A$28:$A$178,0)),"")</f>
        <v>346</v>
      </c>
      <c r="L237" s="77" t="n">
        <f aca="false">IFERROR(INDEX('Injectable Value'!$Z$28:$Z$178,MATCH(B237,'Injectable Value'!$A$28:$A$178,0)),"")</f>
        <v>1</v>
      </c>
      <c r="M237" s="19" t="n">
        <f aca="false">IFERROR(INDEX('Injectable Value'!$AC$28:$AC$178,MATCH(B237,'Injectable Value'!$A$28:$A$178,0)),"")</f>
        <v>346</v>
      </c>
      <c r="N237" s="19" t="n">
        <f aca="false">IFERROR(INDEX('Injectable Value'!$C$28:$C$178,MATCH(B237,'Injectable Value'!$A$28:$A$178,0)),"")</f>
        <v>32830.17</v>
      </c>
      <c r="O237" s="19" t="n">
        <f aca="false">IFERROR(ROUND(INDEX('Injectable Value'!$AA$28:$AA$178,MATCH(B237,'Injectable Value'!$A$28:$A$178,0)),1),"")</f>
        <v>32830.2</v>
      </c>
      <c r="P237" s="16" t="str">
        <f aca="false">IFERROR(INDEX('Route of Administration'!$C$5:$C$155,MATCH(B237,'Route of Administration'!$A$5:$A$155,0)),"")</f>
        <v>IV</v>
      </c>
      <c r="Q237" s="15" t="str">
        <f aca="false">IFERROR(INDEX('Route of Administration'!$D$5:$D$155,MATCH(B237,'Route of Administration'!$A$5:$A$155,0)),"")</f>
        <v>No</v>
      </c>
      <c r="R237" s="16" t="s">
        <v>281</v>
      </c>
      <c r="S237" s="17" t="s">
        <v>1153</v>
      </c>
      <c r="T237" s="16" t="s">
        <v>283</v>
      </c>
      <c r="U237" s="17" t="str">
        <f aca="false">""&amp;IF(AE237=0,"No price found","")&amp;IF(AND(AE237&gt;0,AF237=0,AG237=0),"Low price comes from another market – confirm with the company","")</f>
        <v/>
      </c>
      <c r="V237" s="17" t="s">
        <v>971</v>
      </c>
      <c r="W237" s="15" t="n">
        <v>21</v>
      </c>
      <c r="X237" s="17" t="s">
        <v>1154</v>
      </c>
      <c r="Y237" s="17" t="s">
        <v>1155</v>
      </c>
      <c r="Z237" s="17" t="s">
        <v>286</v>
      </c>
      <c r="AA237" s="16" t="s">
        <v>927</v>
      </c>
      <c r="AB237" s="78" t="s">
        <v>670</v>
      </c>
      <c r="AC237" s="20" t="n">
        <f aca="false">IF(AE237&gt;0,ROUND(AVERAGEIFS('Shortlisted Drugs X Company (7)'!$N$3:$N$698,'Shortlisted Drugs X Company (7)'!$C$3:$C$698,$B237,'Shortlisted Drugs X Company (7)'!$E$3:$E$698,$AA237,'Shortlisted Drugs X Company (7)'!$N$3:$N$698,"&gt;=0"),2),"")</f>
        <v>79.53</v>
      </c>
      <c r="AD237" s="79" t="str">
        <f aca="false">B237&amp;"|"&amp;AA237</f>
        <v>Sugammadex|Intas Pharmaceuticals</v>
      </c>
      <c r="AE237" s="22" t="n">
        <f aca="false">COUNTIFS('Shortlisted Drugs X Company (7)'!$C$3:$C$698,$B237,'Shortlisted Drugs X Company (7)'!$E$3:$E$698,$AA237,'Shortlisted Drugs X Company (7)'!$N$3:$N$698,"&gt;=0")</f>
        <v>2</v>
      </c>
      <c r="AF237" s="22" t="n">
        <f aca="false">COUNTIFS('Shortlisted Drugs X Company (7)'!$C$3:$C$698,$B237,'Shortlisted Drugs X Company (7)'!$E$3:$E$698,$AA237,'Shortlisted Drugs X Company (7)'!$N$3:$N$698,"&gt;5")</f>
        <v>2</v>
      </c>
      <c r="AG237" s="22" t="n">
        <f aca="false">COUNTIFS('Shortlisted Drugs X Company (7)'!$C$3:$C$698,$B237,'Shortlisted Drugs X Company (7)'!$E$3:$E$698,$AA237,'Shortlisted Drugs X Company (7)'!$P$3:$P$698,"Exact")+COUNTIFS('Shortlisted Drugs X Company (7)'!$C$3:$C$698,$B237,'Shortlisted Drugs X Company (7)'!$E$3:$E$698,$AA237,'Shortlisted Drugs X Company (7)'!$P$3:$P$698,"Same-market proxy")</f>
        <v>2</v>
      </c>
      <c r="AH237" s="22" t="n">
        <f aca="false">INDEX($G$7:$G$25,MATCH(A237,$A$7:$A$25,0))</f>
        <v>1</v>
      </c>
      <c r="AI237" s="79" t="str">
        <f aca="false">IF(OR(Q237="No",LEFT(H237,7)="IV only"),"",AH237*1000+IF(F237="",900+COUNTIFS($A$29:A237,A237,$H$29:H237,"Price*"),F237))</f>
        <v/>
      </c>
      <c r="AJ237" s="79" t="str">
        <f aca="false">IF(H237&lt;&gt;"","",(4-VALUE(RIGHT(E237,1)))*10^7+N(O237))</f>
        <v/>
      </c>
      <c r="AK237" s="79" t="str">
        <f aca="false">IF(AND(H237="",ISNUMBER(I237)),I237,"")</f>
        <v/>
      </c>
      <c r="AL237" s="79" t="str">
        <f aca="false">IF(H237="",M237,"")</f>
        <v/>
      </c>
    </row>
    <row r="238" customFormat="false" ht="28.35" hidden="false" customHeight="false" outlineLevel="0" collapsed="false">
      <c r="A238" s="16" t="s">
        <v>21</v>
      </c>
      <c r="B238" s="16" t="s">
        <v>671</v>
      </c>
      <c r="C238" s="17" t="s">
        <v>1156</v>
      </c>
      <c r="D238" s="17" t="s">
        <v>673</v>
      </c>
      <c r="E238" s="15" t="str">
        <f aca="false">IF(H238&lt;&gt;"",IF(LEFT(H238,5)="Price","Excluded – price ≤ USD 5","Excluded – IV only"),IF(ISNUMBER(I238),IF(AND(I238&gt;=$C$3,M238&gt;=$E$3),"Priority 1",IF(OR(I238&gt;=$C$3,M238&gt;=$E$3),"Priority 2","Priority 3")),IF(M238&gt;=$E$3,"Priority 2","Priority 3")))</f>
        <v>Priority 2</v>
      </c>
      <c r="F238" s="15" t="n">
        <f aca="false">IF(H238&lt;&gt;"","",COUNTIFS($A$29:$A$361,A238,$H$29:$H$361,"",$AJ$29:$AJ$361,"&gt;"&amp;AJ238)+COUNTIFS($A$29:A238,A238,$H$29:H238,"",$AJ$29:AJ238,AJ238))</f>
        <v>14</v>
      </c>
      <c r="G238" s="17" t="str">
        <f aca="false">IF(H238&lt;&gt;"","",IF(ISNUMBER(I238),IF(I238&gt;=$C$3,"High price","Lower price"),"No price")&amp;", "&amp;IF(M238&gt;=$E$3,"high volume","lower volume"))</f>
        <v>High price, lower volume</v>
      </c>
      <c r="H238" s="17" t="str">
        <f aca="false">IF(Q238="No","IV only (no ID, IM or SC route)",IF(AND(AE238&gt;0,AF238=0),"Price ≤ USD 5",""))</f>
        <v/>
      </c>
      <c r="I238" s="18" t="n">
        <f aca="false">IF(AF238&gt;0,ROUND(AVERAGEIFS('Shortlisted Drugs X Company (7)'!$N$3:$N$698,'Shortlisted Drugs X Company (7)'!$C$3:$C$698,$B238,'Shortlisted Drugs X Company (7)'!$E$3:$E$698,$AA238,'Shortlisted Drugs X Company (7)'!$N$3:$N$698,"&gt;5"),2),"")</f>
        <v>35.27</v>
      </c>
      <c r="J238" s="17" t="str">
        <f aca="false">IF(COUNTIFS('Shortlisted Drugs X Company (7)'!$C$3:$C$698,$B238,'Shortlisted Drugs X Company (7)'!$E$3:$E$698,$AA238,'Shortlisted Drugs X Company (7)'!$P$3:$P$698,"Exact")&gt;0,"Exact",IF(COUNTIFS('Shortlisted Drugs X Company (7)'!$C$3:$C$698,$B238,'Shortlisted Drugs X Company (7)'!$E$3:$E$698,$AA238,'Shortlisted Drugs X Company (7)'!$P$3:$P$698,"Same-market proxy")&gt;0,"Same-market proxy",IF(COUNTIFS('Shortlisted Drugs X Company (7)'!$C$3:$C$698,$B238,'Shortlisted Drugs X Company (7)'!$E$3:$E$698,$AA238,'Shortlisted Drugs X Company (7)'!$P$3:$P$698,"Cross-market proxy")&gt;0,"Cross-market proxy",IF(COUNTIFS('Shortlisted Drugs X Company (7)'!$C$3:$C$698,$B238,'Shortlisted Drugs X Company (7)'!$E$3:$E$698,$AA238,'Shortlisted Drugs X Company (7)'!$P$3:$P$698,"Source not found")&gt;0,"Source not found","No price found"))))</f>
        <v>Cross-market proxy</v>
      </c>
      <c r="K238" s="19" t="n">
        <f aca="false">IFERROR(INDEX('Injectable Value'!$AB$28:$AB$178,MATCH(B238,'Injectable Value'!$A$28:$A$178,0)),"")</f>
        <v>106</v>
      </c>
      <c r="L238" s="77" t="n">
        <f aca="false">IFERROR(INDEX('Injectable Value'!$Z$28:$Z$178,MATCH(B238,'Injectable Value'!$A$28:$A$178,0)),"")</f>
        <v>0.9375</v>
      </c>
      <c r="M238" s="19" t="n">
        <f aca="false">IFERROR(INDEX('Injectable Value'!$AC$28:$AC$178,MATCH(B238,'Injectable Value'!$A$28:$A$178,0)),"")</f>
        <v>99</v>
      </c>
      <c r="N238" s="19" t="n">
        <f aca="false">IFERROR(INDEX('Injectable Value'!$C$28:$C$178,MATCH(B238,'Injectable Value'!$A$28:$A$178,0)),"")</f>
        <v>7074.72</v>
      </c>
      <c r="O238" s="19" t="n">
        <f aca="false">IFERROR(ROUND(INDEX('Injectable Value'!$AA$28:$AA$178,MATCH(B238,'Injectable Value'!$A$28:$A$178,0)),1),"")</f>
        <v>6632.6</v>
      </c>
      <c r="P238" s="16" t="str">
        <f aca="false">IFERROR(INDEX('Route of Administration'!$C$5:$C$155,MATCH(B238,'Route of Administration'!$A$5:$A$155,0)),"")</f>
        <v>IV, IM</v>
      </c>
      <c r="Q238" s="15" t="str">
        <f aca="false">IFERROR(INDEX('Route of Administration'!$D$5:$D$155,MATCH(B238,'Route of Administration'!$A$5:$A$155,0)),"")</f>
        <v>Yes</v>
      </c>
      <c r="R238" s="16" t="s">
        <v>281</v>
      </c>
      <c r="S238" s="17" t="s">
        <v>1157</v>
      </c>
      <c r="T238" s="16" t="s">
        <v>333</v>
      </c>
      <c r="U238" s="17" t="str">
        <f aca="false">"Reconstitution"&amp;IF(AE238=0,"; No price found","")&amp;IF(AND(AE238&gt;0,AF238=0,AG238=0),"; Low price comes from another market – confirm with the company","")</f>
        <v>Reconstitution</v>
      </c>
      <c r="V238" s="17" t="s">
        <v>112</v>
      </c>
      <c r="W238" s="15" t="n">
        <v>3</v>
      </c>
      <c r="X238" s="17" t="s">
        <v>1158</v>
      </c>
      <c r="Y238" s="17" t="s">
        <v>1158</v>
      </c>
      <c r="Z238" s="17" t="s">
        <v>286</v>
      </c>
      <c r="AA238" s="16" t="s">
        <v>927</v>
      </c>
      <c r="AB238" s="78" t="s">
        <v>675</v>
      </c>
      <c r="AC238" s="20" t="n">
        <f aca="false">IF(AE238&gt;0,ROUND(AVERAGEIFS('Shortlisted Drugs X Company (7)'!$N$3:$N$698,'Shortlisted Drugs X Company (7)'!$C$3:$C$698,$B238,'Shortlisted Drugs X Company (7)'!$E$3:$E$698,$AA238,'Shortlisted Drugs X Company (7)'!$N$3:$N$698,"&gt;=0"),2),"")</f>
        <v>35.27</v>
      </c>
      <c r="AD238" s="79" t="str">
        <f aca="false">B238&amp;"|"&amp;AA238</f>
        <v>Teicoplanin|Intas Pharmaceuticals</v>
      </c>
      <c r="AE238" s="22" t="n">
        <f aca="false">COUNTIFS('Shortlisted Drugs X Company (7)'!$C$3:$C$698,$B238,'Shortlisted Drugs X Company (7)'!$E$3:$E$698,$AA238,'Shortlisted Drugs X Company (7)'!$N$3:$N$698,"&gt;=0")</f>
        <v>1</v>
      </c>
      <c r="AF238" s="22" t="n">
        <f aca="false">COUNTIFS('Shortlisted Drugs X Company (7)'!$C$3:$C$698,$B238,'Shortlisted Drugs X Company (7)'!$E$3:$E$698,$AA238,'Shortlisted Drugs X Company (7)'!$N$3:$N$698,"&gt;5")</f>
        <v>1</v>
      </c>
      <c r="AG238" s="22" t="n">
        <f aca="false">COUNTIFS('Shortlisted Drugs X Company (7)'!$C$3:$C$698,$B238,'Shortlisted Drugs X Company (7)'!$E$3:$E$698,$AA238,'Shortlisted Drugs X Company (7)'!$P$3:$P$698,"Exact")+COUNTIFS('Shortlisted Drugs X Company (7)'!$C$3:$C$698,$B238,'Shortlisted Drugs X Company (7)'!$E$3:$E$698,$AA238,'Shortlisted Drugs X Company (7)'!$P$3:$P$698,"Same-market proxy")</f>
        <v>0</v>
      </c>
      <c r="AH238" s="22" t="n">
        <f aca="false">INDEX($G$7:$G$25,MATCH(A238,$A$7:$A$25,0))</f>
        <v>1</v>
      </c>
      <c r="AI238" s="79" t="n">
        <f aca="false">IF(OR(Q238="No",LEFT(H238,7)="IV only"),"",AH238*1000+IF(F238="",900+COUNTIFS($A$29:A238,A238,$H$29:H238,"Price*"),F238))</f>
        <v>1014</v>
      </c>
      <c r="AJ238" s="79" t="n">
        <f aca="false">IF(H238&lt;&gt;"","",(4-VALUE(RIGHT(E238,1)))*10^7+N(O238))</f>
        <v>20006632.6</v>
      </c>
      <c r="AK238" s="20" t="n">
        <f aca="false">IF(AND(H238="",ISNUMBER(I238)),I238,"")</f>
        <v>35.27</v>
      </c>
      <c r="AL238" s="21" t="n">
        <f aca="false">IF(H238="",M238,"")</f>
        <v>99</v>
      </c>
    </row>
    <row r="239" customFormat="false" ht="95.5" hidden="false" customHeight="false" outlineLevel="0" collapsed="false">
      <c r="A239" s="16" t="s">
        <v>21</v>
      </c>
      <c r="B239" s="16" t="s">
        <v>1159</v>
      </c>
      <c r="C239" s="17" t="s">
        <v>1160</v>
      </c>
      <c r="D239" s="17" t="s">
        <v>1161</v>
      </c>
      <c r="E239" s="15" t="str">
        <f aca="false">IF(H239&lt;&gt;"",IF(LEFT(H239,5)="Price","Excluded – price ≤ USD 5","Excluded – IV only"),IF(ISNUMBER(I239),IF(AND(I239&gt;=$C$3,M239&gt;=$E$3),"Priority 1",IF(OR(I239&gt;=$C$3,M239&gt;=$E$3),"Priority 2","Priority 3")),IF(M239&gt;=$E$3,"Priority 2","Priority 3")))</f>
        <v>Excluded – IV only</v>
      </c>
      <c r="F239" s="15" t="str">
        <f aca="false">IF(H239&lt;&gt;"","",COUNTIFS($A$29:$A$361,A239,$H$29:$H$361,"",$AJ$29:$AJ$361,"&gt;"&amp;AJ239)+COUNTIFS($A$29:A239,A239,$H$29:H239,"",$AJ$29:AJ239,AJ239))</f>
        <v/>
      </c>
      <c r="G239" s="17" t="str">
        <f aca="false">IF(H239&lt;&gt;"","",IF(ISNUMBER(I239),IF(I239&gt;=$C$3,"High price","Lower price"),"No price")&amp;", "&amp;IF(M239&gt;=$E$3,"high volume","lower volume"))</f>
        <v/>
      </c>
      <c r="H239" s="17" t="str">
        <f aca="false">IF(Q239="No","IV only (no ID, IM or SC route)",IF(AND(AE239&gt;0,AF239=0),"Price ≤ USD 5",""))</f>
        <v>IV only (no ID, IM or SC route)</v>
      </c>
      <c r="I239" s="18" t="n">
        <f aca="false">IF(AF239&gt;0,ROUND(AVERAGEIFS('Shortlisted Drugs X Company (7)'!$N$3:$N$698,'Shortlisted Drugs X Company (7)'!$C$3:$C$698,$B239,'Shortlisted Drugs X Company (7)'!$E$3:$E$698,$AA239,'Shortlisted Drugs X Company (7)'!$N$3:$N$698,"&gt;5"),2),"")</f>
        <v>23.95</v>
      </c>
      <c r="J239" s="17" t="str">
        <f aca="false">IF(COUNTIFS('Shortlisted Drugs X Company (7)'!$C$3:$C$698,$B239,'Shortlisted Drugs X Company (7)'!$E$3:$E$698,$AA239,'Shortlisted Drugs X Company (7)'!$P$3:$P$698,"Exact")&gt;0,"Exact",IF(COUNTIFS('Shortlisted Drugs X Company (7)'!$C$3:$C$698,$B239,'Shortlisted Drugs X Company (7)'!$E$3:$E$698,$AA239,'Shortlisted Drugs X Company (7)'!$P$3:$P$698,"Same-market proxy")&gt;0,"Same-market proxy",IF(COUNTIFS('Shortlisted Drugs X Company (7)'!$C$3:$C$698,$B239,'Shortlisted Drugs X Company (7)'!$E$3:$E$698,$AA239,'Shortlisted Drugs X Company (7)'!$P$3:$P$698,"Cross-market proxy")&gt;0,"Cross-market proxy",IF(COUNTIFS('Shortlisted Drugs X Company (7)'!$C$3:$C$698,$B239,'Shortlisted Drugs X Company (7)'!$E$3:$E$698,$AA239,'Shortlisted Drugs X Company (7)'!$P$3:$P$698,"Source not found")&gt;0,"Source not found","No price found"))))</f>
        <v>Cross-market proxy</v>
      </c>
      <c r="K239" s="19" t="n">
        <f aca="false">IFERROR(INDEX('Injectable Value'!$AB$28:$AB$178,MATCH(B239,'Injectable Value'!$A$28:$A$178,0)),"")</f>
        <v>136</v>
      </c>
      <c r="L239" s="77" t="n">
        <f aca="false">IFERROR(INDEX('Injectable Value'!$Z$28:$Z$178,MATCH(B239,'Injectable Value'!$A$28:$A$178,0)),"")</f>
        <v>0.998427672955975</v>
      </c>
      <c r="M239" s="19" t="n">
        <f aca="false">IFERROR(INDEX('Injectable Value'!$AC$28:$AC$178,MATCH(B239,'Injectable Value'!$A$28:$A$178,0)),"")</f>
        <v>136</v>
      </c>
      <c r="N239" s="19" t="n">
        <f aca="false">IFERROR(INDEX('Injectable Value'!$C$28:$C$178,MATCH(B239,'Injectable Value'!$A$28:$A$178,0)),"")</f>
        <v>6629.25</v>
      </c>
      <c r="O239" s="19" t="n">
        <f aca="false">IFERROR(ROUND(INDEX('Injectable Value'!$AA$28:$AA$178,MATCH(B239,'Injectable Value'!$A$28:$A$178,0)),1),"")</f>
        <v>6618.8</v>
      </c>
      <c r="P239" s="16" t="str">
        <f aca="false">IFERROR(INDEX('Route of Administration'!$C$5:$C$155,MATCH(B239,'Route of Administration'!$A$5:$A$155,0)),"")</f>
        <v>IV</v>
      </c>
      <c r="Q239" s="15" t="str">
        <f aca="false">IFERROR(INDEX('Route of Administration'!$D$5:$D$155,MATCH(B239,'Route of Administration'!$A$5:$A$155,0)),"")</f>
        <v>No</v>
      </c>
      <c r="R239" s="16" t="s">
        <v>281</v>
      </c>
      <c r="S239" s="17" t="s">
        <v>479</v>
      </c>
      <c r="T239" s="16" t="s">
        <v>333</v>
      </c>
      <c r="U239" s="17" t="str">
        <f aca="false">"Reconstitution"&amp;IF(AE239=0,"; No price found","")&amp;IF(AND(AE239&gt;0,AF239=0,AG239=0),"; Low price comes from another market – confirm with the company","")</f>
        <v>Reconstitution</v>
      </c>
      <c r="V239" s="17" t="s">
        <v>1023</v>
      </c>
      <c r="W239" s="15" t="n">
        <v>31</v>
      </c>
      <c r="X239" s="17" t="s">
        <v>1162</v>
      </c>
      <c r="Y239" s="17" t="s">
        <v>1163</v>
      </c>
      <c r="Z239" s="17" t="s">
        <v>321</v>
      </c>
      <c r="AA239" s="16" t="s">
        <v>927</v>
      </c>
      <c r="AB239" s="78" t="s">
        <v>1164</v>
      </c>
      <c r="AC239" s="20" t="n">
        <f aca="false">IF(AE239&gt;0,ROUND(AVERAGEIFS('Shortlisted Drugs X Company (7)'!$N$3:$N$698,'Shortlisted Drugs X Company (7)'!$C$3:$C$698,$B239,'Shortlisted Drugs X Company (7)'!$E$3:$E$698,$AA239,'Shortlisted Drugs X Company (7)'!$N$3:$N$698,"&gt;=0"),2),"")</f>
        <v>23.95</v>
      </c>
      <c r="AD239" s="79" t="str">
        <f aca="false">B239&amp;"|"&amp;AA239</f>
        <v>Tigecycline|Intas Pharmaceuticals</v>
      </c>
      <c r="AE239" s="22" t="n">
        <f aca="false">COUNTIFS('Shortlisted Drugs X Company (7)'!$C$3:$C$698,$B239,'Shortlisted Drugs X Company (7)'!$E$3:$E$698,$AA239,'Shortlisted Drugs X Company (7)'!$N$3:$N$698,"&gt;=0")</f>
        <v>1</v>
      </c>
      <c r="AF239" s="22" t="n">
        <f aca="false">COUNTIFS('Shortlisted Drugs X Company (7)'!$C$3:$C$698,$B239,'Shortlisted Drugs X Company (7)'!$E$3:$E$698,$AA239,'Shortlisted Drugs X Company (7)'!$N$3:$N$698,"&gt;5")</f>
        <v>1</v>
      </c>
      <c r="AG239" s="22" t="n">
        <f aca="false">COUNTIFS('Shortlisted Drugs X Company (7)'!$C$3:$C$698,$B239,'Shortlisted Drugs X Company (7)'!$E$3:$E$698,$AA239,'Shortlisted Drugs X Company (7)'!$P$3:$P$698,"Exact")+COUNTIFS('Shortlisted Drugs X Company (7)'!$C$3:$C$698,$B239,'Shortlisted Drugs X Company (7)'!$E$3:$E$698,$AA239,'Shortlisted Drugs X Company (7)'!$P$3:$P$698,"Same-market proxy")</f>
        <v>0</v>
      </c>
      <c r="AH239" s="22" t="n">
        <f aca="false">INDEX($G$7:$G$25,MATCH(A239,$A$7:$A$25,0))</f>
        <v>1</v>
      </c>
      <c r="AI239" s="79" t="str">
        <f aca="false">IF(OR(Q239="No",LEFT(H239,7)="IV only"),"",AH239*1000+IF(F239="",900+COUNTIFS($A$29:A239,A239,$H$29:H239,"Price*"),F239))</f>
        <v/>
      </c>
      <c r="AJ239" s="79" t="str">
        <f aca="false">IF(H239&lt;&gt;"","",(4-VALUE(RIGHT(E239,1)))*10^7+N(O239))</f>
        <v/>
      </c>
      <c r="AK239" s="79" t="str">
        <f aca="false">IF(AND(H239="",ISNUMBER(I239)),I239,"")</f>
        <v/>
      </c>
      <c r="AL239" s="79" t="str">
        <f aca="false">IF(H239="",M239,"")</f>
        <v/>
      </c>
    </row>
    <row r="240" customFormat="false" ht="95.5" hidden="false" customHeight="false" outlineLevel="0" collapsed="false">
      <c r="A240" s="16" t="s">
        <v>21</v>
      </c>
      <c r="B240" s="16" t="s">
        <v>1165</v>
      </c>
      <c r="C240" s="17" t="s">
        <v>1166</v>
      </c>
      <c r="D240" s="17" t="s">
        <v>1167</v>
      </c>
      <c r="E240" s="15" t="str">
        <f aca="false">IF(H240&lt;&gt;"",IF(LEFT(H240,5)="Price","Excluded – price ≤ USD 5","Excluded – IV only"),IF(ISNUMBER(I240),IF(AND(I240&gt;=$C$3,M240&gt;=$E$3),"Priority 1",IF(OR(I240&gt;=$C$3,M240&gt;=$E$3),"Priority 2","Priority 3")),IF(M240&gt;=$E$3,"Priority 2","Priority 3")))</f>
        <v>Priority 2</v>
      </c>
      <c r="F240" s="15" t="n">
        <f aca="false">IF(H240&lt;&gt;"","",COUNTIFS($A$29:$A$361,A240,$H$29:$H$361,"",$AJ$29:$AJ$361,"&gt;"&amp;AJ240)+COUNTIFS($A$29:A240,A240,$H$29:H240,"",$AJ$29:AJ240,AJ240))</f>
        <v>19</v>
      </c>
      <c r="G240" s="17" t="str">
        <f aca="false">IF(H240&lt;&gt;"","",IF(ISNUMBER(I240),IF(I240&gt;=$C$3,"High price","Lower price"),"No price")&amp;", "&amp;IF(M240&gt;=$E$3,"high volume","lower volume"))</f>
        <v>High price, lower volume</v>
      </c>
      <c r="H240" s="17" t="str">
        <f aca="false">IF(Q240="No","IV only (no ID, IM or SC route)",IF(AND(AE240&gt;0,AF240=0),"Price ≤ USD 5",""))</f>
        <v/>
      </c>
      <c r="I240" s="18" t="n">
        <f aca="false">IF(AF240&gt;0,ROUND(AVERAGEIFS('Shortlisted Drugs X Company (7)'!$N$3:$N$698,'Shortlisted Drugs X Company (7)'!$C$3:$C$698,$B240,'Shortlisted Drugs X Company (7)'!$E$3:$E$698,$AA240,'Shortlisted Drugs X Company (7)'!$N$3:$N$698,"&gt;5"),2),"")</f>
        <v>2838.33</v>
      </c>
      <c r="J240" s="17" t="str">
        <f aca="false">IF(COUNTIFS('Shortlisted Drugs X Company (7)'!$C$3:$C$698,$B240,'Shortlisted Drugs X Company (7)'!$E$3:$E$698,$AA240,'Shortlisted Drugs X Company (7)'!$P$3:$P$698,"Exact")&gt;0,"Exact",IF(COUNTIFS('Shortlisted Drugs X Company (7)'!$C$3:$C$698,$B240,'Shortlisted Drugs X Company (7)'!$E$3:$E$698,$AA240,'Shortlisted Drugs X Company (7)'!$P$3:$P$698,"Same-market proxy")&gt;0,"Same-market proxy",IF(COUNTIFS('Shortlisted Drugs X Company (7)'!$C$3:$C$698,$B240,'Shortlisted Drugs X Company (7)'!$E$3:$E$698,$AA240,'Shortlisted Drugs X Company (7)'!$P$3:$P$698,"Cross-market proxy")&gt;0,"Cross-market proxy",IF(COUNTIFS('Shortlisted Drugs X Company (7)'!$C$3:$C$698,$B240,'Shortlisted Drugs X Company (7)'!$E$3:$E$698,$AA240,'Shortlisted Drugs X Company (7)'!$P$3:$P$698,"Source not found")&gt;0,"Source not found","No price found"))))</f>
        <v>Exact</v>
      </c>
      <c r="K240" s="19" t="n">
        <f aca="false">IFERROR(INDEX('Injectable Value'!$AB$28:$AB$178,MATCH(B240,'Injectable Value'!$A$28:$A$178,0)),"")</f>
        <v>125</v>
      </c>
      <c r="L240" s="77" t="n">
        <f aca="false">IFERROR(INDEX('Injectable Value'!$Z$28:$Z$178,MATCH(B240,'Injectable Value'!$A$28:$A$178,0)),"")</f>
        <v>1</v>
      </c>
      <c r="M240" s="19" t="n">
        <f aca="false">IFERROR(INDEX('Injectable Value'!$AC$28:$AC$178,MATCH(B240,'Injectable Value'!$A$28:$A$178,0)),"")</f>
        <v>125</v>
      </c>
      <c r="N240" s="19" t="n">
        <f aca="false">IFERROR(INDEX('Injectable Value'!$C$28:$C$178,MATCH(B240,'Injectable Value'!$A$28:$A$178,0)),"")</f>
        <v>2485.93</v>
      </c>
      <c r="O240" s="19" t="n">
        <f aca="false">IFERROR(ROUND(INDEX('Injectable Value'!$AA$28:$AA$178,MATCH(B240,'Injectable Value'!$A$28:$A$178,0)),1),"")</f>
        <v>2485.9</v>
      </c>
      <c r="P240" s="16" t="str">
        <f aca="false">IFERROR(INDEX('Route of Administration'!$C$5:$C$155,MATCH(B240,'Route of Administration'!$A$5:$A$155,0)),"")</f>
        <v>IV, SC</v>
      </c>
      <c r="Q240" s="15" t="str">
        <f aca="false">IFERROR(INDEX('Route of Administration'!$D$5:$D$155,MATCH(B240,'Route of Administration'!$A$5:$A$155,0)),"")</f>
        <v>Yes</v>
      </c>
      <c r="R240" s="16" t="s">
        <v>291</v>
      </c>
      <c r="S240" s="17" t="s">
        <v>1168</v>
      </c>
      <c r="T240" s="16" t="s">
        <v>283</v>
      </c>
      <c r="U240" s="17" t="str">
        <f aca="false">"Prefilled only"&amp;IF(AE240=0,"; No price found","")&amp;IF(AND(AE240&gt;0,AF240=0,AG240=0),"; Low price comes from another market – confirm with the company","")</f>
        <v>Prefilled only</v>
      </c>
      <c r="V240" s="17" t="s">
        <v>334</v>
      </c>
      <c r="W240" s="15" t="n">
        <v>32</v>
      </c>
      <c r="X240" s="17" t="s">
        <v>1169</v>
      </c>
      <c r="Y240" s="17" t="s">
        <v>1170</v>
      </c>
      <c r="Z240" s="17" t="s">
        <v>293</v>
      </c>
      <c r="AA240" s="16" t="s">
        <v>927</v>
      </c>
      <c r="AB240" s="78" t="s">
        <v>1171</v>
      </c>
      <c r="AC240" s="20" t="n">
        <f aca="false">IF(AE240&gt;0,ROUND(AVERAGEIFS('Shortlisted Drugs X Company (7)'!$N$3:$N$698,'Shortlisted Drugs X Company (7)'!$C$3:$C$698,$B240,'Shortlisted Drugs X Company (7)'!$E$3:$E$698,$AA240,'Shortlisted Drugs X Company (7)'!$N$3:$N$698,"&gt;=0"),2),"")</f>
        <v>2838.33</v>
      </c>
      <c r="AD240" s="79" t="str">
        <f aca="false">B240&amp;"|"&amp;AA240</f>
        <v>Ustekinumab|Intas Pharmaceuticals</v>
      </c>
      <c r="AE240" s="22" t="n">
        <f aca="false">COUNTIFS('Shortlisted Drugs X Company (7)'!$C$3:$C$698,$B240,'Shortlisted Drugs X Company (7)'!$E$3:$E$698,$AA240,'Shortlisted Drugs X Company (7)'!$N$3:$N$698,"&gt;=0")</f>
        <v>1</v>
      </c>
      <c r="AF240" s="22" t="n">
        <f aca="false">COUNTIFS('Shortlisted Drugs X Company (7)'!$C$3:$C$698,$B240,'Shortlisted Drugs X Company (7)'!$E$3:$E$698,$AA240,'Shortlisted Drugs X Company (7)'!$N$3:$N$698,"&gt;5")</f>
        <v>1</v>
      </c>
      <c r="AG240" s="22" t="n">
        <f aca="false">COUNTIFS('Shortlisted Drugs X Company (7)'!$C$3:$C$698,$B240,'Shortlisted Drugs X Company (7)'!$E$3:$E$698,$AA240,'Shortlisted Drugs X Company (7)'!$P$3:$P$698,"Exact")+COUNTIFS('Shortlisted Drugs X Company (7)'!$C$3:$C$698,$B240,'Shortlisted Drugs X Company (7)'!$E$3:$E$698,$AA240,'Shortlisted Drugs X Company (7)'!$P$3:$P$698,"Same-market proxy")</f>
        <v>1</v>
      </c>
      <c r="AH240" s="22" t="n">
        <f aca="false">INDEX($G$7:$G$25,MATCH(A240,$A$7:$A$25,0))</f>
        <v>1</v>
      </c>
      <c r="AI240" s="79" t="n">
        <f aca="false">IF(OR(Q240="No",LEFT(H240,7)="IV only"),"",AH240*1000+IF(F240="",900+COUNTIFS($A$29:A240,A240,$H$29:H240,"Price*"),F240))</f>
        <v>1019</v>
      </c>
      <c r="AJ240" s="79" t="n">
        <f aca="false">IF(H240&lt;&gt;"","",(4-VALUE(RIGHT(E240,1)))*10^7+N(O240))</f>
        <v>20002485.9</v>
      </c>
      <c r="AK240" s="20" t="n">
        <f aca="false">IF(AND(H240="",ISNUMBER(I240)),I240,"")</f>
        <v>2838.33</v>
      </c>
      <c r="AL240" s="21" t="n">
        <f aca="false">IF(H240="",M240,"")</f>
        <v>125</v>
      </c>
    </row>
    <row r="241" customFormat="false" ht="41.75" hidden="false" customHeight="false" outlineLevel="0" collapsed="false">
      <c r="A241" s="16" t="s">
        <v>21</v>
      </c>
      <c r="B241" s="16" t="s">
        <v>1172</v>
      </c>
      <c r="C241" s="17" t="s">
        <v>1173</v>
      </c>
      <c r="D241" s="17" t="s">
        <v>1174</v>
      </c>
      <c r="E241" s="15" t="str">
        <f aca="false">IF(H241&lt;&gt;"",IF(LEFT(H241,5)="Price","Excluded – price ≤ USD 5","Excluded – IV only"),IF(ISNUMBER(I241),IF(AND(I241&gt;=$C$3,M241&gt;=$E$3),"Priority 1",IF(OR(I241&gt;=$C$3,M241&gt;=$E$3),"Priority 2","Priority 3")),IF(M241&gt;=$E$3,"Priority 2","Priority 3")))</f>
        <v>Excluded – IV only</v>
      </c>
      <c r="F241" s="15" t="str">
        <f aca="false">IF(H241&lt;&gt;"","",COUNTIFS($A$29:$A$361,A241,$H$29:$H$361,"",$AJ$29:$AJ$361,"&gt;"&amp;AJ241)+COUNTIFS($A$29:A241,A241,$H$29:H241,"",$AJ$29:AJ241,AJ241))</f>
        <v/>
      </c>
      <c r="G241" s="17" t="str">
        <f aca="false">IF(H241&lt;&gt;"","",IF(ISNUMBER(I241),IF(I241&gt;=$C$3,"High price","Lower price"),"No price")&amp;", "&amp;IF(M241&gt;=$E$3,"high volume","lower volume"))</f>
        <v/>
      </c>
      <c r="H241" s="17" t="str">
        <f aca="false">IF(Q241="No","IV only (no ID, IM or SC route)",IF(AND(AE241&gt;0,AF241=0),"Price ≤ USD 5",""))</f>
        <v>IV only (no ID, IM or SC route)</v>
      </c>
      <c r="I241" s="18" t="n">
        <f aca="false">IF(AF241&gt;0,ROUND(AVERAGEIFS('Shortlisted Drugs X Company (7)'!$N$3:$N$698,'Shortlisted Drugs X Company (7)'!$C$3:$C$698,$B241,'Shortlisted Drugs X Company (7)'!$E$3:$E$698,$AA241,'Shortlisted Drugs X Company (7)'!$N$3:$N$698,"&gt;5"),2),"")</f>
        <v>9.93</v>
      </c>
      <c r="J241" s="17" t="str">
        <f aca="false">IF(COUNTIFS('Shortlisted Drugs X Company (7)'!$C$3:$C$698,$B241,'Shortlisted Drugs X Company (7)'!$E$3:$E$698,$AA241,'Shortlisted Drugs X Company (7)'!$P$3:$P$698,"Exact")&gt;0,"Exact",IF(COUNTIFS('Shortlisted Drugs X Company (7)'!$C$3:$C$698,$B241,'Shortlisted Drugs X Company (7)'!$E$3:$E$698,$AA241,'Shortlisted Drugs X Company (7)'!$P$3:$P$698,"Same-market proxy")&gt;0,"Same-market proxy",IF(COUNTIFS('Shortlisted Drugs X Company (7)'!$C$3:$C$698,$B241,'Shortlisted Drugs X Company (7)'!$E$3:$E$698,$AA241,'Shortlisted Drugs X Company (7)'!$P$3:$P$698,"Cross-market proxy")&gt;0,"Cross-market proxy",IF(COUNTIFS('Shortlisted Drugs X Company (7)'!$C$3:$C$698,$B241,'Shortlisted Drugs X Company (7)'!$E$3:$E$698,$AA241,'Shortlisted Drugs X Company (7)'!$P$3:$P$698,"Source not found")&gt;0,"Source not found","No price found"))))</f>
        <v>Exact</v>
      </c>
      <c r="K241" s="19" t="n">
        <f aca="false">IFERROR(INDEX('Injectable Value'!$AB$28:$AB$178,MATCH(B241,'Injectable Value'!$A$28:$A$178,0)),"")</f>
        <v>484</v>
      </c>
      <c r="L241" s="77" t="n">
        <f aca="false">IFERROR(INDEX('Injectable Value'!$Z$28:$Z$178,MATCH(B241,'Injectable Value'!$A$28:$A$178,0)),"")</f>
        <v>0.925925925925926</v>
      </c>
      <c r="M241" s="19" t="n">
        <f aca="false">IFERROR(INDEX('Injectable Value'!$AC$28:$AC$178,MATCH(B241,'Injectable Value'!$A$28:$A$178,0)),"")</f>
        <v>448</v>
      </c>
      <c r="N241" s="19" t="n">
        <f aca="false">IFERROR(INDEX('Injectable Value'!$C$28:$C$178,MATCH(B241,'Injectable Value'!$A$28:$A$178,0)),"")</f>
        <v>1326.8</v>
      </c>
      <c r="O241" s="19" t="n">
        <f aca="false">IFERROR(ROUND(INDEX('Injectable Value'!$AA$28:$AA$178,MATCH(B241,'Injectable Value'!$A$28:$A$178,0)),1),"")</f>
        <v>1228.5</v>
      </c>
      <c r="P241" s="16" t="str">
        <f aca="false">IFERROR(INDEX('Route of Administration'!$C$5:$C$155,MATCH(B241,'Route of Administration'!$A$5:$A$155,0)),"")</f>
        <v>IV</v>
      </c>
      <c r="Q241" s="15" t="str">
        <f aca="false">IFERROR(INDEX('Route of Administration'!$D$5:$D$155,MATCH(B241,'Route of Administration'!$A$5:$A$155,0)),"")</f>
        <v>No</v>
      </c>
      <c r="R241" s="16" t="s">
        <v>281</v>
      </c>
      <c r="S241" s="17" t="s">
        <v>1175</v>
      </c>
      <c r="T241" s="16" t="s">
        <v>283</v>
      </c>
      <c r="U241" s="17" t="str">
        <f aca="false">"Cancer drug (cytotoxic) – less relevant"&amp;IF(AE241=0,"; No price found","")&amp;IF(AND(AE241&gt;0,AF241=0,AG241=0),"; Low price comes from another market – confirm with the company","")</f>
        <v>Cancer drug (cytotoxic) – less relevant</v>
      </c>
      <c r="V241" s="17" t="s">
        <v>112</v>
      </c>
      <c r="W241" s="15" t="n">
        <v>1</v>
      </c>
      <c r="X241" s="17" t="s">
        <v>360</v>
      </c>
      <c r="Y241" s="17" t="s">
        <v>360</v>
      </c>
      <c r="Z241" s="17" t="s">
        <v>321</v>
      </c>
      <c r="AA241" s="16" t="s">
        <v>927</v>
      </c>
      <c r="AB241" s="78" t="s">
        <v>1176</v>
      </c>
      <c r="AC241" s="20" t="n">
        <f aca="false">IF(AE241&gt;0,ROUND(AVERAGEIFS('Shortlisted Drugs X Company (7)'!$N$3:$N$698,'Shortlisted Drugs X Company (7)'!$C$3:$C$698,$B241,'Shortlisted Drugs X Company (7)'!$E$3:$E$698,$AA241,'Shortlisted Drugs X Company (7)'!$N$3:$N$698,"&gt;=0"),2),"")</f>
        <v>9.93</v>
      </c>
      <c r="AD241" s="79" t="str">
        <f aca="false">B241&amp;"|"&amp;AA241</f>
        <v>Vincristine|Intas Pharmaceuticals</v>
      </c>
      <c r="AE241" s="22" t="n">
        <f aca="false">COUNTIFS('Shortlisted Drugs X Company (7)'!$C$3:$C$698,$B241,'Shortlisted Drugs X Company (7)'!$E$3:$E$698,$AA241,'Shortlisted Drugs X Company (7)'!$N$3:$N$698,"&gt;=0")</f>
        <v>1</v>
      </c>
      <c r="AF241" s="22" t="n">
        <f aca="false">COUNTIFS('Shortlisted Drugs X Company (7)'!$C$3:$C$698,$B241,'Shortlisted Drugs X Company (7)'!$E$3:$E$698,$AA241,'Shortlisted Drugs X Company (7)'!$N$3:$N$698,"&gt;5")</f>
        <v>1</v>
      </c>
      <c r="AG241" s="22" t="n">
        <f aca="false">COUNTIFS('Shortlisted Drugs X Company (7)'!$C$3:$C$698,$B241,'Shortlisted Drugs X Company (7)'!$E$3:$E$698,$AA241,'Shortlisted Drugs X Company (7)'!$P$3:$P$698,"Exact")+COUNTIFS('Shortlisted Drugs X Company (7)'!$C$3:$C$698,$B241,'Shortlisted Drugs X Company (7)'!$E$3:$E$698,$AA241,'Shortlisted Drugs X Company (7)'!$P$3:$P$698,"Same-market proxy")</f>
        <v>1</v>
      </c>
      <c r="AH241" s="22" t="n">
        <f aca="false">INDEX($G$7:$G$25,MATCH(A241,$A$7:$A$25,0))</f>
        <v>1</v>
      </c>
      <c r="AI241" s="79" t="str">
        <f aca="false">IF(OR(Q241="No",LEFT(H241,7)="IV only"),"",AH241*1000+IF(F241="",900+COUNTIFS($A$29:A241,A241,$H$29:H241,"Price*"),F241))</f>
        <v/>
      </c>
      <c r="AJ241" s="79" t="str">
        <f aca="false">IF(H241&lt;&gt;"","",(4-VALUE(RIGHT(E241,1)))*10^7+N(O241))</f>
        <v/>
      </c>
      <c r="AK241" s="79" t="str">
        <f aca="false">IF(AND(H241="",ISNUMBER(I241)),I241,"")</f>
        <v/>
      </c>
      <c r="AL241" s="79" t="str">
        <f aca="false">IF(H241="",M241,"")</f>
        <v/>
      </c>
    </row>
    <row r="242" customFormat="false" ht="68.65" hidden="false" customHeight="false" outlineLevel="0" collapsed="false">
      <c r="A242" s="16" t="s">
        <v>21</v>
      </c>
      <c r="B242" s="16" t="s">
        <v>604</v>
      </c>
      <c r="C242" s="17" t="s">
        <v>1177</v>
      </c>
      <c r="D242" s="17" t="s">
        <v>606</v>
      </c>
      <c r="E242" s="15" t="str">
        <f aca="false">IF(H242&lt;&gt;"",IF(LEFT(H242,5)="Price","Excluded – price ≤ USD 5","Excluded – IV only"),IF(ISNUMBER(I242),IF(AND(I242&gt;=$C$3,M242&gt;=$E$3),"Priority 1",IF(OR(I242&gt;=$C$3,M242&gt;=$E$3),"Priority 2","Priority 3")),IF(M242&gt;=$E$3,"Priority 2","Priority 3")))</f>
        <v>Excluded – IV only</v>
      </c>
      <c r="F242" s="15" t="str">
        <f aca="false">IF(H242&lt;&gt;"","",COUNTIFS($A$29:$A$361,A242,$H$29:$H$361,"",$AJ$29:$AJ$361,"&gt;"&amp;AJ242)+COUNTIFS($A$29:A242,A242,$H$29:H242,"",$AJ$29:AJ242,AJ242))</f>
        <v/>
      </c>
      <c r="G242" s="17" t="str">
        <f aca="false">IF(H242&lt;&gt;"","",IF(ISNUMBER(I242),IF(I242&gt;=$C$3,"High price","Lower price"),"No price")&amp;", "&amp;IF(M242&gt;=$E$3,"high volume","lower volume"))</f>
        <v/>
      </c>
      <c r="H242" s="17" t="str">
        <f aca="false">IF(Q242="No","IV only (no ID, IM or SC route)",IF(AND(AE242&gt;0,AF242=0),"Price ≤ USD 5",""))</f>
        <v>IV only (no ID, IM or SC route)</v>
      </c>
      <c r="I242" s="18" t="n">
        <f aca="false">IF(AF242&gt;0,ROUND(AVERAGEIFS('Shortlisted Drugs X Company (7)'!$N$3:$N$698,'Shortlisted Drugs X Company (7)'!$C$3:$C$698,$B242,'Shortlisted Drugs X Company (7)'!$E$3:$E$698,$AA242,'Shortlisted Drugs X Company (7)'!$N$3:$N$698,"&gt;5"),2),"")</f>
        <v>113.73</v>
      </c>
      <c r="J242" s="17" t="str">
        <f aca="false">IF(COUNTIFS('Shortlisted Drugs X Company (7)'!$C$3:$C$698,$B242,'Shortlisted Drugs X Company (7)'!$E$3:$E$698,$AA242,'Shortlisted Drugs X Company (7)'!$P$3:$P$698,"Exact")&gt;0,"Exact",IF(COUNTIFS('Shortlisted Drugs X Company (7)'!$C$3:$C$698,$B242,'Shortlisted Drugs X Company (7)'!$E$3:$E$698,$AA242,'Shortlisted Drugs X Company (7)'!$P$3:$P$698,"Same-market proxy")&gt;0,"Same-market proxy",IF(COUNTIFS('Shortlisted Drugs X Company (7)'!$C$3:$C$698,$B242,'Shortlisted Drugs X Company (7)'!$E$3:$E$698,$AA242,'Shortlisted Drugs X Company (7)'!$P$3:$P$698,"Cross-market proxy")&gt;0,"Cross-market proxy",IF(COUNTIFS('Shortlisted Drugs X Company (7)'!$C$3:$C$698,$B242,'Shortlisted Drugs X Company (7)'!$E$3:$E$698,$AA242,'Shortlisted Drugs X Company (7)'!$P$3:$P$698,"Source not found")&gt;0,"Source not found","No price found"))))</f>
        <v>Exact</v>
      </c>
      <c r="K242" s="19" t="n">
        <f aca="false">IFERROR(INDEX('Injectable Value'!$AB$28:$AB$178,MATCH(B242,'Injectable Value'!$A$28:$A$178,0)),"")</f>
        <v>93</v>
      </c>
      <c r="L242" s="77" t="n">
        <f aca="false">IFERROR(INDEX('Injectable Value'!$Z$28:$Z$178,MATCH(B242,'Injectable Value'!$A$28:$A$178,0)),"")</f>
        <v>0.571145833333333</v>
      </c>
      <c r="M242" s="19" t="n">
        <f aca="false">IFERROR(INDEX('Injectable Value'!$AC$28:$AC$178,MATCH(B242,'Injectable Value'!$A$28:$A$178,0)),"")</f>
        <v>53</v>
      </c>
      <c r="N242" s="19" t="n">
        <f aca="false">IFERROR(INDEX('Injectable Value'!$C$28:$C$178,MATCH(B242,'Injectable Value'!$A$28:$A$178,0)),"")</f>
        <v>528.18</v>
      </c>
      <c r="O242" s="19" t="n">
        <f aca="false">IFERROR(ROUND(INDEX('Injectable Value'!$AA$28:$AA$178,MATCH(B242,'Injectable Value'!$A$28:$A$178,0)),1),"")</f>
        <v>301.7</v>
      </c>
      <c r="P242" s="16" t="str">
        <f aca="false">IFERROR(INDEX('Route of Administration'!$C$5:$C$155,MATCH(B242,'Route of Administration'!$A$5:$A$155,0)),"")</f>
        <v>IV</v>
      </c>
      <c r="Q242" s="15" t="str">
        <f aca="false">IFERROR(INDEX('Route of Administration'!$D$5:$D$155,MATCH(B242,'Route of Administration'!$A$5:$A$155,0)),"")</f>
        <v>No</v>
      </c>
      <c r="R242" s="16" t="s">
        <v>281</v>
      </c>
      <c r="S242" s="17" t="s">
        <v>877</v>
      </c>
      <c r="T242" s="16" t="s">
        <v>283</v>
      </c>
      <c r="U242" s="17" t="str">
        <f aca="false">"Cancer drug (cytotoxic) – less relevant"&amp;IF(AE242=0,"; No price found","")&amp;IF(AND(AE242&gt;0,AF242=0,AG242=0),"; Low price comes from another market – confirm with the company","")</f>
        <v>Cancer drug (cytotoxic) – less relevant</v>
      </c>
      <c r="V242" s="17" t="s">
        <v>437</v>
      </c>
      <c r="W242" s="15" t="n">
        <v>22</v>
      </c>
      <c r="X242" s="17" t="s">
        <v>1178</v>
      </c>
      <c r="Y242" s="17" t="s">
        <v>1179</v>
      </c>
      <c r="Z242" s="17" t="s">
        <v>286</v>
      </c>
      <c r="AA242" s="16" t="s">
        <v>927</v>
      </c>
      <c r="AB242" s="78" t="s">
        <v>611</v>
      </c>
      <c r="AC242" s="20" t="n">
        <f aca="false">IF(AE242&gt;0,ROUND(AVERAGEIFS('Shortlisted Drugs X Company (7)'!$N$3:$N$698,'Shortlisted Drugs X Company (7)'!$C$3:$C$698,$B242,'Shortlisted Drugs X Company (7)'!$E$3:$E$698,$AA242,'Shortlisted Drugs X Company (7)'!$N$3:$N$698,"&gt;=0"),2),"")</f>
        <v>113.73</v>
      </c>
      <c r="AD242" s="79" t="str">
        <f aca="false">B242&amp;"|"&amp;AA242</f>
        <v>Vinorelbine|Intas Pharmaceuticals</v>
      </c>
      <c r="AE242" s="22" t="n">
        <f aca="false">COUNTIFS('Shortlisted Drugs X Company (7)'!$C$3:$C$698,$B242,'Shortlisted Drugs X Company (7)'!$E$3:$E$698,$AA242,'Shortlisted Drugs X Company (7)'!$N$3:$N$698,"&gt;=0")</f>
        <v>2</v>
      </c>
      <c r="AF242" s="22" t="n">
        <f aca="false">COUNTIFS('Shortlisted Drugs X Company (7)'!$C$3:$C$698,$B242,'Shortlisted Drugs X Company (7)'!$E$3:$E$698,$AA242,'Shortlisted Drugs X Company (7)'!$N$3:$N$698,"&gt;5")</f>
        <v>2</v>
      </c>
      <c r="AG242" s="22" t="n">
        <f aca="false">COUNTIFS('Shortlisted Drugs X Company (7)'!$C$3:$C$698,$B242,'Shortlisted Drugs X Company (7)'!$E$3:$E$698,$AA242,'Shortlisted Drugs X Company (7)'!$P$3:$P$698,"Exact")+COUNTIFS('Shortlisted Drugs X Company (7)'!$C$3:$C$698,$B242,'Shortlisted Drugs X Company (7)'!$E$3:$E$698,$AA242,'Shortlisted Drugs X Company (7)'!$P$3:$P$698,"Same-market proxy")</f>
        <v>2</v>
      </c>
      <c r="AH242" s="22" t="n">
        <f aca="false">INDEX($G$7:$G$25,MATCH(A242,$A$7:$A$25,0))</f>
        <v>1</v>
      </c>
      <c r="AI242" s="79" t="str">
        <f aca="false">IF(OR(Q242="No",LEFT(H242,7)="IV only"),"",AH242*1000+IF(F242="",900+COUNTIFS($A$29:A242,A242,$H$29:H242,"Price*"),F242))</f>
        <v/>
      </c>
      <c r="AJ242" s="79" t="str">
        <f aca="false">IF(H242&lt;&gt;"","",(4-VALUE(RIGHT(E242,1)))*10^7+N(O242))</f>
        <v/>
      </c>
      <c r="AK242" s="79" t="str">
        <f aca="false">IF(AND(H242="",ISNUMBER(I242)),I242,"")</f>
        <v/>
      </c>
      <c r="AL242" s="79" t="str">
        <f aca="false">IF(H242="",M242,"")</f>
        <v/>
      </c>
    </row>
    <row r="243" customFormat="false" ht="28.35" hidden="false" customHeight="false" outlineLevel="0" collapsed="false">
      <c r="A243" s="16" t="s">
        <v>235</v>
      </c>
      <c r="B243" s="16" t="s">
        <v>1180</v>
      </c>
      <c r="C243" s="17" t="s">
        <v>1181</v>
      </c>
      <c r="D243" s="17" t="s">
        <v>1182</v>
      </c>
      <c r="E243" s="15" t="str">
        <f aca="false">IF(H243&lt;&gt;"",IF(LEFT(H243,5)="Price","Excluded – price ≤ USD 5","Excluded – IV only"),IF(ISNUMBER(I243),IF(AND(I243&gt;=$C$3,M243&gt;=$E$3),"Priority 1",IF(OR(I243&gt;=$C$3,M243&gt;=$E$3),"Priority 2","Priority 3")),IF(M243&gt;=$E$3,"Priority 2","Priority 3")))</f>
        <v>Excluded – IV only</v>
      </c>
      <c r="F243" s="15" t="str">
        <f aca="false">IF(H243&lt;&gt;"","",COUNTIFS($A$29:$A$361,A243,$H$29:$H$361,"",$AJ$29:$AJ$361,"&gt;"&amp;AJ243)+COUNTIFS($A$29:A243,A243,$H$29:H243,"",$AJ$29:AJ243,AJ243))</f>
        <v/>
      </c>
      <c r="G243" s="17" t="str">
        <f aca="false">IF(H243&lt;&gt;"","",IF(ISNUMBER(I243),IF(I243&gt;=$C$3,"High price","Lower price"),"No price")&amp;", "&amp;IF(M243&gt;=$E$3,"high volume","lower volume"))</f>
        <v/>
      </c>
      <c r="H243" s="17" t="str">
        <f aca="false">IF(Q243="No","IV only (no ID, IM or SC route)",IF(AND(AE243&gt;0,AF243=0),"Price ≤ USD 5",""))</f>
        <v>IV only (no ID, IM or SC route)</v>
      </c>
      <c r="I243" s="18" t="n">
        <f aca="false">IF(AF243&gt;0,ROUND(AVERAGEIFS('Shortlisted Drugs X Company (7)'!$N$3:$N$698,'Shortlisted Drugs X Company (7)'!$C$3:$C$698,$B243,'Shortlisted Drugs X Company (7)'!$E$3:$E$698,$AA243,'Shortlisted Drugs X Company (7)'!$N$3:$N$698,"&gt;5"),2),"")</f>
        <v>24.71</v>
      </c>
      <c r="J243" s="17" t="str">
        <f aca="false">IF(COUNTIFS('Shortlisted Drugs X Company (7)'!$C$3:$C$698,$B243,'Shortlisted Drugs X Company (7)'!$E$3:$E$698,$AA243,'Shortlisted Drugs X Company (7)'!$P$3:$P$698,"Exact")&gt;0,"Exact",IF(COUNTIFS('Shortlisted Drugs X Company (7)'!$C$3:$C$698,$B243,'Shortlisted Drugs X Company (7)'!$E$3:$E$698,$AA243,'Shortlisted Drugs X Company (7)'!$P$3:$P$698,"Same-market proxy")&gt;0,"Same-market proxy",IF(COUNTIFS('Shortlisted Drugs X Company (7)'!$C$3:$C$698,$B243,'Shortlisted Drugs X Company (7)'!$E$3:$E$698,$AA243,'Shortlisted Drugs X Company (7)'!$P$3:$P$698,"Cross-market proxy")&gt;0,"Cross-market proxy",IF(COUNTIFS('Shortlisted Drugs X Company (7)'!$C$3:$C$698,$B243,'Shortlisted Drugs X Company (7)'!$E$3:$E$698,$AA243,'Shortlisted Drugs X Company (7)'!$P$3:$P$698,"Source not found")&gt;0,"Source not found","No price found"))))</f>
        <v>Same-market proxy</v>
      </c>
      <c r="K243" s="19" t="n">
        <f aca="false">IFERROR(INDEX('Injectable Value'!$AB$28:$AB$178,MATCH(B243,'Injectable Value'!$A$28:$A$178,0)),"")</f>
        <v>1</v>
      </c>
      <c r="L243" s="77" t="n">
        <f aca="false">IFERROR(INDEX('Injectable Value'!$Z$28:$Z$178,MATCH(B243,'Injectable Value'!$A$28:$A$178,0)),"")</f>
        <v>0.952380952380952</v>
      </c>
      <c r="M243" s="19" t="n">
        <f aca="false">IFERROR(INDEX('Injectable Value'!$AC$28:$AC$178,MATCH(B243,'Injectable Value'!$A$28:$A$178,0)),"")</f>
        <v>1</v>
      </c>
      <c r="N243" s="19" t="n">
        <f aca="false">IFERROR(INDEX('Injectable Value'!$C$28:$C$178,MATCH(B243,'Injectable Value'!$A$28:$A$178,0)),"")</f>
        <v>15.02</v>
      </c>
      <c r="O243" s="19" t="n">
        <f aca="false">IFERROR(ROUND(INDEX('Injectable Value'!$AA$28:$AA$178,MATCH(B243,'Injectable Value'!$A$28:$A$178,0)),1),"")</f>
        <v>14.3</v>
      </c>
      <c r="P243" s="16" t="str">
        <f aca="false">IFERROR(INDEX('Route of Administration'!$C$5:$C$155,MATCH(B243,'Route of Administration'!$A$5:$A$155,0)),"")</f>
        <v>IV</v>
      </c>
      <c r="Q243" s="15" t="str">
        <f aca="false">IFERROR(INDEX('Route of Administration'!$D$5:$D$155,MATCH(B243,'Route of Administration'!$A$5:$A$155,0)),"")</f>
        <v>No</v>
      </c>
      <c r="R243" s="16" t="s">
        <v>349</v>
      </c>
      <c r="S243" s="17" t="s">
        <v>1183</v>
      </c>
      <c r="T243" s="16" t="s">
        <v>283</v>
      </c>
      <c r="U243" s="17" t="str">
        <f aca="false">""&amp;IF(AE243=0,"No price found","")&amp;IF(AND(AE243&gt;0,AF243=0,AG243=0),"Low price comes from another market – confirm with the company","")</f>
        <v/>
      </c>
      <c r="V243" s="17" t="s">
        <v>112</v>
      </c>
      <c r="W243" s="15" t="n">
        <v>1</v>
      </c>
      <c r="X243" s="17" t="s">
        <v>614</v>
      </c>
      <c r="Y243" s="17" t="s">
        <v>614</v>
      </c>
      <c r="Z243" s="17" t="s">
        <v>321</v>
      </c>
      <c r="AA243" s="16" t="s">
        <v>235</v>
      </c>
      <c r="AB243" s="78" t="s">
        <v>1184</v>
      </c>
      <c r="AC243" s="20" t="n">
        <f aca="false">IF(AE243&gt;0,ROUND(AVERAGEIFS('Shortlisted Drugs X Company (7)'!$N$3:$N$698,'Shortlisted Drugs X Company (7)'!$C$3:$C$698,$B243,'Shortlisted Drugs X Company (7)'!$E$3:$E$698,$AA243,'Shortlisted Drugs X Company (7)'!$N$3:$N$698,"&gt;=0"),2),"")</f>
        <v>24.71</v>
      </c>
      <c r="AD243" s="79" t="str">
        <f aca="false">B243&amp;"|"&amp;AA243</f>
        <v>Alfentanil|Lupin</v>
      </c>
      <c r="AE243" s="22" t="n">
        <f aca="false">COUNTIFS('Shortlisted Drugs X Company (7)'!$C$3:$C$698,$B243,'Shortlisted Drugs X Company (7)'!$E$3:$E$698,$AA243,'Shortlisted Drugs X Company (7)'!$N$3:$N$698,"&gt;=0")</f>
        <v>1</v>
      </c>
      <c r="AF243" s="22" t="n">
        <f aca="false">COUNTIFS('Shortlisted Drugs X Company (7)'!$C$3:$C$698,$B243,'Shortlisted Drugs X Company (7)'!$E$3:$E$698,$AA243,'Shortlisted Drugs X Company (7)'!$N$3:$N$698,"&gt;5")</f>
        <v>1</v>
      </c>
      <c r="AG243" s="22" t="n">
        <f aca="false">COUNTIFS('Shortlisted Drugs X Company (7)'!$C$3:$C$698,$B243,'Shortlisted Drugs X Company (7)'!$E$3:$E$698,$AA243,'Shortlisted Drugs X Company (7)'!$P$3:$P$698,"Exact")+COUNTIFS('Shortlisted Drugs X Company (7)'!$C$3:$C$698,$B243,'Shortlisted Drugs X Company (7)'!$E$3:$E$698,$AA243,'Shortlisted Drugs X Company (7)'!$P$3:$P$698,"Same-market proxy")</f>
        <v>1</v>
      </c>
      <c r="AH243" s="22" t="n">
        <f aca="false">INDEX($G$7:$G$25,MATCH(A243,$A$7:$A$25,0))</f>
        <v>15</v>
      </c>
      <c r="AI243" s="79" t="str">
        <f aca="false">IF(OR(Q243="No",LEFT(H243,7)="IV only"),"",AH243*1000+IF(F243="",900+COUNTIFS($A$29:A243,A243,$H$29:H243,"Price*"),F243))</f>
        <v/>
      </c>
      <c r="AJ243" s="79" t="str">
        <f aca="false">IF(H243&lt;&gt;"","",(4-VALUE(RIGHT(E243,1)))*10^7+N(O243))</f>
        <v/>
      </c>
      <c r="AK243" s="79" t="str">
        <f aca="false">IF(AND(H243="",ISNUMBER(I243)),I243,"")</f>
        <v/>
      </c>
      <c r="AL243" s="79" t="str">
        <f aca="false">IF(H243="",M243,"")</f>
        <v/>
      </c>
    </row>
    <row r="244" customFormat="false" ht="41.75" hidden="false" customHeight="false" outlineLevel="0" collapsed="false">
      <c r="A244" s="16" t="s">
        <v>235</v>
      </c>
      <c r="B244" s="16" t="s">
        <v>1185</v>
      </c>
      <c r="C244" s="17" t="s">
        <v>1186</v>
      </c>
      <c r="D244" s="17" t="s">
        <v>1187</v>
      </c>
      <c r="E244" s="15" t="str">
        <f aca="false">IF(H244&lt;&gt;"",IF(LEFT(H244,5)="Price","Excluded – price ≤ USD 5","Excluded – IV only"),IF(ISNUMBER(I244),IF(AND(I244&gt;=$C$3,M244&gt;=$E$3),"Priority 1",IF(OR(I244&gt;=$C$3,M244&gt;=$E$3),"Priority 2","Priority 3")),IF(M244&gt;=$E$3,"Priority 2","Priority 3")))</f>
        <v>Excluded – price ≤ USD 5</v>
      </c>
      <c r="F244" s="15" t="str">
        <f aca="false">IF(H244&lt;&gt;"","",COUNTIFS($A$29:$A$361,A244,$H$29:$H$361,"",$AJ$29:$AJ$361,"&gt;"&amp;AJ244)+COUNTIFS($A$29:A244,A244,$H$29:H244,"",$AJ$29:AJ244,AJ244))</f>
        <v/>
      </c>
      <c r="G244" s="17" t="str">
        <f aca="false">IF(H244&lt;&gt;"","",IF(ISNUMBER(I244),IF(I244&gt;=$C$3,"High price","Lower price"),"No price")&amp;", "&amp;IF(M244&gt;=$E$3,"high volume","lower volume"))</f>
        <v/>
      </c>
      <c r="H244" s="17" t="str">
        <f aca="false">IF(Q244="No","IV only (no ID, IM or SC route)",IF(AND(AE244&gt;0,AF244=0),"Price ≤ USD 5",""))</f>
        <v>Price ≤ USD 5</v>
      </c>
      <c r="I244" s="18" t="str">
        <f aca="false">IF(AF244&gt;0,ROUND(AVERAGEIFS('Shortlisted Drugs X Company (7)'!$N$3:$N$698,'Shortlisted Drugs X Company (7)'!$C$3:$C$698,$B244,'Shortlisted Drugs X Company (7)'!$E$3:$E$698,$AA244,'Shortlisted Drugs X Company (7)'!$N$3:$N$698,"&gt;5"),2),"")</f>
        <v/>
      </c>
      <c r="J244" s="17" t="str">
        <f aca="false">IF(COUNTIFS('Shortlisted Drugs X Company (7)'!$C$3:$C$698,$B244,'Shortlisted Drugs X Company (7)'!$E$3:$E$698,$AA244,'Shortlisted Drugs X Company (7)'!$P$3:$P$698,"Exact")&gt;0,"Exact",IF(COUNTIFS('Shortlisted Drugs X Company (7)'!$C$3:$C$698,$B244,'Shortlisted Drugs X Company (7)'!$E$3:$E$698,$AA244,'Shortlisted Drugs X Company (7)'!$P$3:$P$698,"Same-market proxy")&gt;0,"Same-market proxy",IF(COUNTIFS('Shortlisted Drugs X Company (7)'!$C$3:$C$698,$B244,'Shortlisted Drugs X Company (7)'!$E$3:$E$698,$AA244,'Shortlisted Drugs X Company (7)'!$P$3:$P$698,"Cross-market proxy")&gt;0,"Cross-market proxy",IF(COUNTIFS('Shortlisted Drugs X Company (7)'!$C$3:$C$698,$B244,'Shortlisted Drugs X Company (7)'!$E$3:$E$698,$AA244,'Shortlisted Drugs X Company (7)'!$P$3:$P$698,"Source not found")&gt;0,"Source not found","No price found"))))</f>
        <v>Same-market proxy</v>
      </c>
      <c r="K244" s="19" t="n">
        <f aca="false">IFERROR(INDEX('Injectable Value'!$AB$28:$AB$178,MATCH(B244,'Injectable Value'!$A$28:$A$178,0)),"")</f>
        <v>93</v>
      </c>
      <c r="L244" s="77" t="n">
        <f aca="false">IFERROR(INDEX('Injectable Value'!$Z$28:$Z$178,MATCH(B244,'Injectable Value'!$A$28:$A$178,0)),"")</f>
        <v>1</v>
      </c>
      <c r="M244" s="19" t="n">
        <f aca="false">IFERROR(INDEX('Injectable Value'!$AC$28:$AC$178,MATCH(B244,'Injectable Value'!$A$28:$A$178,0)),"")</f>
        <v>93</v>
      </c>
      <c r="N244" s="19" t="n">
        <f aca="false">IFERROR(INDEX('Injectable Value'!$C$28:$C$178,MATCH(B244,'Injectable Value'!$A$28:$A$178,0)),"")</f>
        <v>1929.98</v>
      </c>
      <c r="O244" s="19" t="n">
        <f aca="false">IFERROR(ROUND(INDEX('Injectable Value'!$AA$28:$AA$178,MATCH(B244,'Injectable Value'!$A$28:$A$178,0)),1),"")</f>
        <v>1930</v>
      </c>
      <c r="P244" s="16" t="str">
        <f aca="false">IFERROR(INDEX('Route of Administration'!$C$5:$C$155,MATCH(B244,'Route of Administration'!$A$5:$A$155,0)),"")</f>
        <v>IV, IM</v>
      </c>
      <c r="Q244" s="15" t="str">
        <f aca="false">IFERROR(INDEX('Route of Administration'!$D$5:$D$155,MATCH(B244,'Route of Administration'!$A$5:$A$155,0)),"")</f>
        <v>Yes</v>
      </c>
      <c r="R244" s="16" t="s">
        <v>281</v>
      </c>
      <c r="S244" s="17" t="s">
        <v>1188</v>
      </c>
      <c r="T244" s="16" t="s">
        <v>333</v>
      </c>
      <c r="U244" s="17" t="str">
        <f aca="false">"Reconstitution"&amp;IF(AE244=0,"; No price found","")&amp;IF(AND(AE244&gt;0,AF244=0,AG244=0),"; Low price comes from another market – confirm with the company","")</f>
        <v>Reconstitution</v>
      </c>
      <c r="V244" s="17" t="s">
        <v>112</v>
      </c>
      <c r="W244" s="15" t="n">
        <v>1</v>
      </c>
      <c r="X244" s="17" t="s">
        <v>614</v>
      </c>
      <c r="Y244" s="17" t="s">
        <v>614</v>
      </c>
      <c r="Z244" s="17" t="s">
        <v>321</v>
      </c>
      <c r="AA244" s="16" t="s">
        <v>235</v>
      </c>
      <c r="AB244" s="78" t="s">
        <v>1189</v>
      </c>
      <c r="AC244" s="20" t="n">
        <f aca="false">IF(AE244&gt;0,ROUND(AVERAGEIFS('Shortlisted Drugs X Company (7)'!$N$3:$N$698,'Shortlisted Drugs X Company (7)'!$C$3:$C$698,$B244,'Shortlisted Drugs X Company (7)'!$E$3:$E$698,$AA244,'Shortlisted Drugs X Company (7)'!$N$3:$N$698,"&gt;=0"),2),"")</f>
        <v>0.57</v>
      </c>
      <c r="AD244" s="79" t="str">
        <f aca="false">B244&amp;"|"&amp;AA244</f>
        <v>Cefazolin|Lupin</v>
      </c>
      <c r="AE244" s="22" t="n">
        <f aca="false">COUNTIFS('Shortlisted Drugs X Company (7)'!$C$3:$C$698,$B244,'Shortlisted Drugs X Company (7)'!$E$3:$E$698,$AA244,'Shortlisted Drugs X Company (7)'!$N$3:$N$698,"&gt;=0")</f>
        <v>1</v>
      </c>
      <c r="AF244" s="22" t="n">
        <f aca="false">COUNTIFS('Shortlisted Drugs X Company (7)'!$C$3:$C$698,$B244,'Shortlisted Drugs X Company (7)'!$E$3:$E$698,$AA244,'Shortlisted Drugs X Company (7)'!$N$3:$N$698,"&gt;5")</f>
        <v>0</v>
      </c>
      <c r="AG244" s="22" t="n">
        <f aca="false">COUNTIFS('Shortlisted Drugs X Company (7)'!$C$3:$C$698,$B244,'Shortlisted Drugs X Company (7)'!$E$3:$E$698,$AA244,'Shortlisted Drugs X Company (7)'!$P$3:$P$698,"Exact")+COUNTIFS('Shortlisted Drugs X Company (7)'!$C$3:$C$698,$B244,'Shortlisted Drugs X Company (7)'!$E$3:$E$698,$AA244,'Shortlisted Drugs X Company (7)'!$P$3:$P$698,"Same-market proxy")</f>
        <v>1</v>
      </c>
      <c r="AH244" s="22" t="n">
        <f aca="false">INDEX($G$7:$G$25,MATCH(A244,$A$7:$A$25,0))</f>
        <v>15</v>
      </c>
      <c r="AI244" s="79" t="n">
        <f aca="false">IF(OR(Q244="No",LEFT(H244,7)="IV only"),"",AH244*1000+IF(F244="",900+COUNTIFS($A$29:A244,A244,$H$29:H244,"Price*"),F244))</f>
        <v>15901</v>
      </c>
      <c r="AJ244" s="79" t="str">
        <f aca="false">IF(H244&lt;&gt;"","",(4-VALUE(RIGHT(E244,1)))*10^7+N(O244))</f>
        <v/>
      </c>
      <c r="AK244" s="79" t="str">
        <f aca="false">IF(AND(H244="",ISNUMBER(I244)),I244,"")</f>
        <v/>
      </c>
      <c r="AL244" s="79" t="str">
        <f aca="false">IF(H244="",M244,"")</f>
        <v/>
      </c>
    </row>
    <row r="245" customFormat="false" ht="28.35" hidden="false" customHeight="false" outlineLevel="0" collapsed="false">
      <c r="A245" s="16" t="s">
        <v>235</v>
      </c>
      <c r="B245" s="16" t="s">
        <v>967</v>
      </c>
      <c r="C245" s="17" t="s">
        <v>1190</v>
      </c>
      <c r="D245" s="17" t="s">
        <v>969</v>
      </c>
      <c r="E245" s="15" t="str">
        <f aca="false">IF(H245&lt;&gt;"",IF(LEFT(H245,5)="Price","Excluded – price ≤ USD 5","Excluded – IV only"),IF(ISNUMBER(I245),IF(AND(I245&gt;=$C$3,M245&gt;=$E$3),"Priority 1",IF(OR(I245&gt;=$C$3,M245&gt;=$E$3),"Priority 2","Priority 3")),IF(M245&gt;=$E$3,"Priority 2","Priority 3")))</f>
        <v>Excluded – IV only</v>
      </c>
      <c r="F245" s="15" t="str">
        <f aca="false">IF(H245&lt;&gt;"","",COUNTIFS($A$29:$A$361,A245,$H$29:$H$361,"",$AJ$29:$AJ$361,"&gt;"&amp;AJ245)+COUNTIFS($A$29:A245,A245,$H$29:H245,"",$AJ$29:AJ245,AJ245))</f>
        <v/>
      </c>
      <c r="G245" s="17" t="str">
        <f aca="false">IF(H245&lt;&gt;"","",IF(ISNUMBER(I245),IF(I245&gt;=$C$3,"High price","Lower price"),"No price")&amp;", "&amp;IF(M245&gt;=$E$3,"high volume","lower volume"))</f>
        <v/>
      </c>
      <c r="H245" s="17" t="str">
        <f aca="false">IF(Q245="No","IV only (no ID, IM or SC route)",IF(AND(AE245&gt;0,AF245=0),"Price ≤ USD 5",""))</f>
        <v>IV only (no ID, IM or SC route)</v>
      </c>
      <c r="I245" s="18" t="n">
        <f aca="false">IF(AF245&gt;0,ROUND(AVERAGEIFS('Shortlisted Drugs X Company (7)'!$N$3:$N$698,'Shortlisted Drugs X Company (7)'!$C$3:$C$698,$B245,'Shortlisted Drugs X Company (7)'!$E$3:$E$698,$AA245,'Shortlisted Drugs X Company (7)'!$N$3:$N$698,"&gt;5"),2),"")</f>
        <v>32.88</v>
      </c>
      <c r="J245" s="17" t="str">
        <f aca="false">IF(COUNTIFS('Shortlisted Drugs X Company (7)'!$C$3:$C$698,$B245,'Shortlisted Drugs X Company (7)'!$E$3:$E$698,$AA245,'Shortlisted Drugs X Company (7)'!$P$3:$P$698,"Exact")&gt;0,"Exact",IF(COUNTIFS('Shortlisted Drugs X Company (7)'!$C$3:$C$698,$B245,'Shortlisted Drugs X Company (7)'!$E$3:$E$698,$AA245,'Shortlisted Drugs X Company (7)'!$P$3:$P$698,"Same-market proxy")&gt;0,"Same-market proxy",IF(COUNTIFS('Shortlisted Drugs X Company (7)'!$C$3:$C$698,$B245,'Shortlisted Drugs X Company (7)'!$E$3:$E$698,$AA245,'Shortlisted Drugs X Company (7)'!$P$3:$P$698,"Cross-market proxy")&gt;0,"Cross-market proxy",IF(COUNTIFS('Shortlisted Drugs X Company (7)'!$C$3:$C$698,$B245,'Shortlisted Drugs X Company (7)'!$E$3:$E$698,$AA245,'Shortlisted Drugs X Company (7)'!$P$3:$P$698,"Source not found")&gt;0,"Source not found","No price found"))))</f>
        <v>Cross-market proxy</v>
      </c>
      <c r="K245" s="19" t="n">
        <f aca="false">IFERROR(INDEX('Injectable Value'!$AB$28:$AB$178,MATCH(B245,'Injectable Value'!$A$28:$A$178,0)),"")</f>
        <v>117</v>
      </c>
      <c r="L245" s="77" t="n">
        <f aca="false">IFERROR(INDEX('Injectable Value'!$Z$28:$Z$178,MATCH(B245,'Injectable Value'!$A$28:$A$178,0)),"")</f>
        <v>1</v>
      </c>
      <c r="M245" s="19" t="n">
        <f aca="false">IFERROR(INDEX('Injectable Value'!$AC$28:$AC$178,MATCH(B245,'Injectable Value'!$A$28:$A$178,0)),"")</f>
        <v>117</v>
      </c>
      <c r="N245" s="19" t="n">
        <f aca="false">IFERROR(INDEX('Injectable Value'!$C$28:$C$178,MATCH(B245,'Injectable Value'!$A$28:$A$178,0)),"")</f>
        <v>2508.09</v>
      </c>
      <c r="O245" s="19" t="n">
        <f aca="false">IFERROR(ROUND(INDEX('Injectable Value'!$AA$28:$AA$178,MATCH(B245,'Injectable Value'!$A$28:$A$178,0)),1),"")</f>
        <v>2508.1</v>
      </c>
      <c r="P245" s="16" t="str">
        <f aca="false">IFERROR(INDEX('Route of Administration'!$C$5:$C$155,MATCH(B245,'Route of Administration'!$A$5:$A$155,0)),"")</f>
        <v>IV</v>
      </c>
      <c r="Q245" s="15" t="str">
        <f aca="false">IFERROR(INDEX('Route of Administration'!$D$5:$D$155,MATCH(B245,'Route of Administration'!$A$5:$A$155,0)),"")</f>
        <v>No</v>
      </c>
      <c r="R245" s="16" t="s">
        <v>281</v>
      </c>
      <c r="S245" s="17" t="s">
        <v>1191</v>
      </c>
      <c r="T245" s="16" t="s">
        <v>283</v>
      </c>
      <c r="U245" s="17" t="str">
        <f aca="false">""&amp;IF(AE245=0,"No price found","")&amp;IF(AND(AE245&gt;0,AF245=0,AG245=0),"Low price comes from another market – confirm with the company","")</f>
        <v/>
      </c>
      <c r="V245" s="17" t="s">
        <v>112</v>
      </c>
      <c r="W245" s="15" t="n">
        <v>1</v>
      </c>
      <c r="X245" s="17" t="s">
        <v>614</v>
      </c>
      <c r="Y245" s="17" t="s">
        <v>614</v>
      </c>
      <c r="Z245" s="17" t="s">
        <v>286</v>
      </c>
      <c r="AA245" s="16" t="s">
        <v>235</v>
      </c>
      <c r="AB245" s="78" t="s">
        <v>974</v>
      </c>
      <c r="AC245" s="20" t="n">
        <f aca="false">IF(AE245&gt;0,ROUND(AVERAGEIFS('Shortlisted Drugs X Company (7)'!$N$3:$N$698,'Shortlisted Drugs X Company (7)'!$C$3:$C$698,$B245,'Shortlisted Drugs X Company (7)'!$E$3:$E$698,$AA245,'Shortlisted Drugs X Company (7)'!$N$3:$N$698,"&gt;=0"),2),"")</f>
        <v>32.88</v>
      </c>
      <c r="AD245" s="79" t="str">
        <f aca="false">B245&amp;"|"&amp;AA245</f>
        <v>Cisatracurium|Lupin</v>
      </c>
      <c r="AE245" s="22" t="n">
        <f aca="false">COUNTIFS('Shortlisted Drugs X Company (7)'!$C$3:$C$698,$B245,'Shortlisted Drugs X Company (7)'!$E$3:$E$698,$AA245,'Shortlisted Drugs X Company (7)'!$N$3:$N$698,"&gt;=0")</f>
        <v>2</v>
      </c>
      <c r="AF245" s="22" t="n">
        <f aca="false">COUNTIFS('Shortlisted Drugs X Company (7)'!$C$3:$C$698,$B245,'Shortlisted Drugs X Company (7)'!$E$3:$E$698,$AA245,'Shortlisted Drugs X Company (7)'!$N$3:$N$698,"&gt;5")</f>
        <v>2</v>
      </c>
      <c r="AG245" s="22" t="n">
        <f aca="false">COUNTIFS('Shortlisted Drugs X Company (7)'!$C$3:$C$698,$B245,'Shortlisted Drugs X Company (7)'!$E$3:$E$698,$AA245,'Shortlisted Drugs X Company (7)'!$P$3:$P$698,"Exact")+COUNTIFS('Shortlisted Drugs X Company (7)'!$C$3:$C$698,$B245,'Shortlisted Drugs X Company (7)'!$E$3:$E$698,$AA245,'Shortlisted Drugs X Company (7)'!$P$3:$P$698,"Same-market proxy")</f>
        <v>0</v>
      </c>
      <c r="AH245" s="22" t="n">
        <f aca="false">INDEX($G$7:$G$25,MATCH(A245,$A$7:$A$25,0))</f>
        <v>15</v>
      </c>
      <c r="AI245" s="79" t="str">
        <f aca="false">IF(OR(Q245="No",LEFT(H245,7)="IV only"),"",AH245*1000+IF(F245="",900+COUNTIFS($A$29:A245,A245,$H$29:H245,"Price*"),F245))</f>
        <v/>
      </c>
      <c r="AJ245" s="79" t="str">
        <f aca="false">IF(H245&lt;&gt;"","",(4-VALUE(RIGHT(E245,1)))*10^7+N(O245))</f>
        <v/>
      </c>
      <c r="AK245" s="79" t="str">
        <f aca="false">IF(AND(H245="",ISNUMBER(I245)),I245,"")</f>
        <v/>
      </c>
      <c r="AL245" s="79" t="str">
        <f aca="false">IF(H245="",M245,"")</f>
        <v/>
      </c>
    </row>
    <row r="246" customFormat="false" ht="41.75" hidden="false" customHeight="false" outlineLevel="0" collapsed="false">
      <c r="A246" s="16" t="s">
        <v>235</v>
      </c>
      <c r="B246" s="16" t="s">
        <v>388</v>
      </c>
      <c r="C246" s="17" t="s">
        <v>1192</v>
      </c>
      <c r="D246" s="17" t="s">
        <v>390</v>
      </c>
      <c r="E246" s="15" t="str">
        <f aca="false">IF(H246&lt;&gt;"",IF(LEFT(H246,5)="Price","Excluded – price ≤ USD 5","Excluded – IV only"),IF(ISNUMBER(I246),IF(AND(I246&gt;=$C$3,M246&gt;=$E$3),"Priority 1",IF(OR(I246&gt;=$C$3,M246&gt;=$E$3),"Priority 2","Priority 3")),IF(M246&gt;=$E$3,"Priority 2","Priority 3")))</f>
        <v>Excluded – IV only</v>
      </c>
      <c r="F246" s="15" t="str">
        <f aca="false">IF(H246&lt;&gt;"","",COUNTIFS($A$29:$A$361,A246,$H$29:$H$361,"",$AJ$29:$AJ$361,"&gt;"&amp;AJ246)+COUNTIFS($A$29:A246,A246,$H$29:H246,"",$AJ$29:AJ246,AJ246))</f>
        <v/>
      </c>
      <c r="G246" s="17" t="str">
        <f aca="false">IF(H246&lt;&gt;"","",IF(ISNUMBER(I246),IF(I246&gt;=$C$3,"High price","Lower price"),"No price")&amp;", "&amp;IF(M246&gt;=$E$3,"high volume","lower volume"))</f>
        <v/>
      </c>
      <c r="H246" s="17" t="str">
        <f aca="false">IF(Q246="No","IV only (no ID, IM or SC route)",IF(AND(AE246&gt;0,AF246=0),"Price ≤ USD 5",""))</f>
        <v>IV only (no ID, IM or SC route)</v>
      </c>
      <c r="I246" s="18" t="n">
        <f aca="false">IF(AF246&gt;0,ROUND(AVERAGEIFS('Shortlisted Drugs X Company (7)'!$N$3:$N$698,'Shortlisted Drugs X Company (7)'!$C$3:$C$698,$B246,'Shortlisted Drugs X Company (7)'!$E$3:$E$698,$AA246,'Shortlisted Drugs X Company (7)'!$N$3:$N$698,"&gt;5"),2),"")</f>
        <v>11.48</v>
      </c>
      <c r="J246" s="17" t="str">
        <f aca="false">IF(COUNTIFS('Shortlisted Drugs X Company (7)'!$C$3:$C$698,$B246,'Shortlisted Drugs X Company (7)'!$E$3:$E$698,$AA246,'Shortlisted Drugs X Company (7)'!$P$3:$P$698,"Exact")&gt;0,"Exact",IF(COUNTIFS('Shortlisted Drugs X Company (7)'!$C$3:$C$698,$B246,'Shortlisted Drugs X Company (7)'!$E$3:$E$698,$AA246,'Shortlisted Drugs X Company (7)'!$P$3:$P$698,"Same-market proxy")&gt;0,"Same-market proxy",IF(COUNTIFS('Shortlisted Drugs X Company (7)'!$C$3:$C$698,$B246,'Shortlisted Drugs X Company (7)'!$E$3:$E$698,$AA246,'Shortlisted Drugs X Company (7)'!$P$3:$P$698,"Cross-market proxy")&gt;0,"Cross-market proxy",IF(COUNTIFS('Shortlisted Drugs X Company (7)'!$C$3:$C$698,$B246,'Shortlisted Drugs X Company (7)'!$E$3:$E$698,$AA246,'Shortlisted Drugs X Company (7)'!$P$3:$P$698,"Source not found")&gt;0,"Source not found","No price found"))))</f>
        <v>Cross-market proxy</v>
      </c>
      <c r="K246" s="19" t="n">
        <f aca="false">IFERROR(INDEX('Injectable Value'!$AB$28:$AB$178,MATCH(B246,'Injectable Value'!$A$28:$A$178,0)),"")</f>
        <v>312</v>
      </c>
      <c r="L246" s="77" t="n">
        <f aca="false">IFERROR(INDEX('Injectable Value'!$Z$28:$Z$178,MATCH(B246,'Injectable Value'!$A$28:$A$178,0)),"")</f>
        <v>1</v>
      </c>
      <c r="M246" s="19" t="n">
        <f aca="false">IFERROR(INDEX('Injectable Value'!$AC$28:$AC$178,MATCH(B246,'Injectable Value'!$A$28:$A$178,0)),"")</f>
        <v>312</v>
      </c>
      <c r="N246" s="19" t="n">
        <f aca="false">IFERROR(INDEX('Injectable Value'!$C$28:$C$178,MATCH(B246,'Injectable Value'!$A$28:$A$178,0)),"")</f>
        <v>59827.18</v>
      </c>
      <c r="O246" s="19" t="n">
        <f aca="false">IFERROR(ROUND(INDEX('Injectable Value'!$AA$28:$AA$178,MATCH(B246,'Injectable Value'!$A$28:$A$178,0)),1),"")</f>
        <v>59827.2</v>
      </c>
      <c r="P246" s="16" t="str">
        <f aca="false">IFERROR(INDEX('Route of Administration'!$C$5:$C$155,MATCH(B246,'Route of Administration'!$A$5:$A$155,0)),"")</f>
        <v>IV</v>
      </c>
      <c r="Q246" s="15" t="str">
        <f aca="false">IFERROR(INDEX('Route of Administration'!$D$5:$D$155,MATCH(B246,'Route of Administration'!$A$5:$A$155,0)),"")</f>
        <v>No</v>
      </c>
      <c r="R246" s="16" t="s">
        <v>281</v>
      </c>
      <c r="S246" s="17" t="s">
        <v>715</v>
      </c>
      <c r="T246" s="16" t="s">
        <v>333</v>
      </c>
      <c r="U246" s="17" t="str">
        <f aca="false">"Reconstitution"&amp;IF(AE246=0,"; No price found","")&amp;IF(AND(AE246&gt;0,AF246=0,AG246=0),"; Low price comes from another market – confirm with the company","")</f>
        <v>Reconstitution</v>
      </c>
      <c r="V246" s="17" t="s">
        <v>112</v>
      </c>
      <c r="W246" s="15" t="n">
        <v>1</v>
      </c>
      <c r="X246" s="17" t="s">
        <v>614</v>
      </c>
      <c r="Y246" s="17" t="s">
        <v>614</v>
      </c>
      <c r="Z246" s="17" t="s">
        <v>286</v>
      </c>
      <c r="AA246" s="16" t="s">
        <v>235</v>
      </c>
      <c r="AB246" s="78" t="s">
        <v>393</v>
      </c>
      <c r="AC246" s="20" t="n">
        <f aca="false">IF(AE246&gt;0,ROUND(AVERAGEIFS('Shortlisted Drugs X Company (7)'!$N$3:$N$698,'Shortlisted Drugs X Company (7)'!$C$3:$C$698,$B246,'Shortlisted Drugs X Company (7)'!$E$3:$E$698,$AA246,'Shortlisted Drugs X Company (7)'!$N$3:$N$698,"&gt;=0"),2),"")</f>
        <v>11.48</v>
      </c>
      <c r="AD246" s="79" t="str">
        <f aca="false">B246&amp;"|"&amp;AA246</f>
        <v>Daptomycin|Lupin</v>
      </c>
      <c r="AE246" s="22" t="n">
        <f aca="false">COUNTIFS('Shortlisted Drugs X Company (7)'!$C$3:$C$698,$B246,'Shortlisted Drugs X Company (7)'!$E$3:$E$698,$AA246,'Shortlisted Drugs X Company (7)'!$N$3:$N$698,"&gt;=0")</f>
        <v>2</v>
      </c>
      <c r="AF246" s="22" t="n">
        <f aca="false">COUNTIFS('Shortlisted Drugs X Company (7)'!$C$3:$C$698,$B246,'Shortlisted Drugs X Company (7)'!$E$3:$E$698,$AA246,'Shortlisted Drugs X Company (7)'!$N$3:$N$698,"&gt;5")</f>
        <v>2</v>
      </c>
      <c r="AG246" s="22" t="n">
        <f aca="false">COUNTIFS('Shortlisted Drugs X Company (7)'!$C$3:$C$698,$B246,'Shortlisted Drugs X Company (7)'!$E$3:$E$698,$AA246,'Shortlisted Drugs X Company (7)'!$P$3:$P$698,"Exact")+COUNTIFS('Shortlisted Drugs X Company (7)'!$C$3:$C$698,$B246,'Shortlisted Drugs X Company (7)'!$E$3:$E$698,$AA246,'Shortlisted Drugs X Company (7)'!$P$3:$P$698,"Same-market proxy")</f>
        <v>0</v>
      </c>
      <c r="AH246" s="22" t="n">
        <f aca="false">INDEX($G$7:$G$25,MATCH(A246,$A$7:$A$25,0))</f>
        <v>15</v>
      </c>
      <c r="AI246" s="79" t="str">
        <f aca="false">IF(OR(Q246="No",LEFT(H246,7)="IV only"),"",AH246*1000+IF(F246="",900+COUNTIFS($A$29:A246,A246,$H$29:H246,"Price*"),F246))</f>
        <v/>
      </c>
      <c r="AJ246" s="79" t="str">
        <f aca="false">IF(H246&lt;&gt;"","",(4-VALUE(RIGHT(E246,1)))*10^7+N(O246))</f>
        <v/>
      </c>
      <c r="AK246" s="79" t="str">
        <f aca="false">IF(AND(H246="",ISNUMBER(I246)),I246,"")</f>
        <v/>
      </c>
      <c r="AL246" s="79" t="str">
        <f aca="false">IF(H246="",M246,"")</f>
        <v/>
      </c>
    </row>
    <row r="247" customFormat="false" ht="41.75" hidden="false" customHeight="false" outlineLevel="0" collapsed="false">
      <c r="A247" s="16" t="s">
        <v>235</v>
      </c>
      <c r="B247" s="16" t="s">
        <v>289</v>
      </c>
      <c r="C247" s="17" t="s">
        <v>289</v>
      </c>
      <c r="D247" s="17" t="s">
        <v>290</v>
      </c>
      <c r="E247" s="15" t="str">
        <f aca="false">IF(H247&lt;&gt;"",IF(LEFT(H247,5)="Price","Excluded – price ≤ USD 5","Excluded – IV only"),IF(ISNUMBER(I247),IF(AND(I247&gt;=$C$3,M247&gt;=$E$3),"Priority 1",IF(OR(I247&gt;=$C$3,M247&gt;=$E$3),"Priority 2","Priority 3")),IF(M247&gt;=$E$3,"Priority 2","Priority 3")))</f>
        <v>Priority 3</v>
      </c>
      <c r="F247" s="15" t="n">
        <f aca="false">IF(H247&lt;&gt;"","",COUNTIFS($A$29:$A$361,A247,$H$29:$H$361,"",$AJ$29:$AJ$361,"&gt;"&amp;AJ247)+COUNTIFS($A$29:A247,A247,$H$29:H247,"",$AJ$29:AJ247,AJ247))</f>
        <v>6</v>
      </c>
      <c r="G247" s="17" t="str">
        <f aca="false">IF(H247&lt;&gt;"","",IF(ISNUMBER(I247),IF(I247&gt;=$C$3,"High price","Lower price"),"No price")&amp;", "&amp;IF(M247&gt;=$E$3,"high volume","lower volume"))</f>
        <v>Lower price, lower volume</v>
      </c>
      <c r="H247" s="17" t="str">
        <f aca="false">IF(Q247="No","IV only (no ID, IM or SC route)",IF(AND(AE247&gt;0,AF247=0),"Price ≤ USD 5",""))</f>
        <v/>
      </c>
      <c r="I247" s="18" t="n">
        <f aca="false">IF(AF247&gt;0,ROUND(AVERAGEIFS('Shortlisted Drugs X Company (7)'!$N$3:$N$698,'Shortlisted Drugs X Company (7)'!$C$3:$C$698,$B247,'Shortlisted Drugs X Company (7)'!$E$3:$E$698,$AA247,'Shortlisted Drugs X Company (7)'!$N$3:$N$698,"&gt;5"),2),"")</f>
        <v>10.14</v>
      </c>
      <c r="J247" s="17" t="str">
        <f aca="false">IF(COUNTIFS('Shortlisted Drugs X Company (7)'!$C$3:$C$698,$B247,'Shortlisted Drugs X Company (7)'!$E$3:$E$698,$AA247,'Shortlisted Drugs X Company (7)'!$P$3:$P$698,"Exact")&gt;0,"Exact",IF(COUNTIFS('Shortlisted Drugs X Company (7)'!$C$3:$C$698,$B247,'Shortlisted Drugs X Company (7)'!$E$3:$E$698,$AA247,'Shortlisted Drugs X Company (7)'!$P$3:$P$698,"Same-market proxy")&gt;0,"Same-market proxy",IF(COUNTIFS('Shortlisted Drugs X Company (7)'!$C$3:$C$698,$B247,'Shortlisted Drugs X Company (7)'!$E$3:$E$698,$AA247,'Shortlisted Drugs X Company (7)'!$P$3:$P$698,"Cross-market proxy")&gt;0,"Cross-market proxy",IF(COUNTIFS('Shortlisted Drugs X Company (7)'!$C$3:$C$698,$B247,'Shortlisted Drugs X Company (7)'!$E$3:$E$698,$AA247,'Shortlisted Drugs X Company (7)'!$P$3:$P$698,"Source not found")&gt;0,"Source not found","No price found"))))</f>
        <v>Same-market proxy</v>
      </c>
      <c r="K247" s="19" t="n">
        <f aca="false">IFERROR(INDEX('Injectable Value'!$AB$28:$AB$178,MATCH(B247,'Injectable Value'!$A$28:$A$178,0)),"")</f>
        <v>180</v>
      </c>
      <c r="L247" s="77" t="n">
        <f aca="false">IFERROR(INDEX('Injectable Value'!$Z$28:$Z$178,MATCH(B247,'Injectable Value'!$A$28:$A$178,0)),"")</f>
        <v>0.194998811159637</v>
      </c>
      <c r="M247" s="19" t="n">
        <f aca="false">IFERROR(INDEX('Injectable Value'!$AC$28:$AC$178,MATCH(B247,'Injectable Value'!$A$28:$A$178,0)),"")</f>
        <v>35</v>
      </c>
      <c r="N247" s="19" t="n">
        <f aca="false">IFERROR(INDEX('Injectable Value'!$C$28:$C$178,MATCH(B247,'Injectable Value'!$A$28:$A$178,0)),"")</f>
        <v>5403.25</v>
      </c>
      <c r="O247" s="19" t="n">
        <f aca="false">IFERROR(ROUND(INDEX('Injectable Value'!$AA$28:$AA$178,MATCH(B247,'Injectable Value'!$A$28:$A$178,0)),1),"")</f>
        <v>1053.6</v>
      </c>
      <c r="P247" s="16" t="str">
        <f aca="false">IFERROR(INDEX('Route of Administration'!$C$5:$C$155,MATCH(B247,'Route of Administration'!$A$5:$A$155,0)),"")</f>
        <v>IV, IM</v>
      </c>
      <c r="Q247" s="15" t="str">
        <f aca="false">IFERROR(INDEX('Route of Administration'!$D$5:$D$155,MATCH(B247,'Route of Administration'!$A$5:$A$155,0)),"")</f>
        <v>Yes</v>
      </c>
      <c r="R247" s="16" t="s">
        <v>310</v>
      </c>
      <c r="S247" s="17" t="s">
        <v>1193</v>
      </c>
      <c r="T247" s="16" t="s">
        <v>283</v>
      </c>
      <c r="U247" s="17" t="str">
        <f aca="false">""&amp;IF(AE247=0,"No price found","")&amp;IF(AND(AE247&gt;0,AF247=0,AG247=0),"Low price comes from another market – confirm with the company","")</f>
        <v/>
      </c>
      <c r="V247" s="17" t="s">
        <v>284</v>
      </c>
      <c r="W247" s="15" t="n">
        <v>1</v>
      </c>
      <c r="X247" s="17" t="s">
        <v>284</v>
      </c>
      <c r="Y247" s="17" t="s">
        <v>284</v>
      </c>
      <c r="Z247" s="17" t="s">
        <v>312</v>
      </c>
      <c r="AA247" s="16" t="s">
        <v>235</v>
      </c>
      <c r="AB247" s="78" t="s">
        <v>294</v>
      </c>
      <c r="AC247" s="20" t="n">
        <f aca="false">IF(AE247&gt;0,ROUND(AVERAGEIFS('Shortlisted Drugs X Company (7)'!$N$3:$N$698,'Shortlisted Drugs X Company (7)'!$C$3:$C$698,$B247,'Shortlisted Drugs X Company (7)'!$E$3:$E$698,$AA247,'Shortlisted Drugs X Company (7)'!$N$3:$N$698,"&gt;=0"),2),"")</f>
        <v>10.14</v>
      </c>
      <c r="AD247" s="79" t="str">
        <f aca="false">B247&amp;"|"&amp;AA247</f>
        <v>Diazepam|Lupin</v>
      </c>
      <c r="AE247" s="22" t="n">
        <f aca="false">COUNTIFS('Shortlisted Drugs X Company (7)'!$C$3:$C$698,$B247,'Shortlisted Drugs X Company (7)'!$E$3:$E$698,$AA247,'Shortlisted Drugs X Company (7)'!$N$3:$N$698,"&gt;=0")</f>
        <v>1</v>
      </c>
      <c r="AF247" s="22" t="n">
        <f aca="false">COUNTIFS('Shortlisted Drugs X Company (7)'!$C$3:$C$698,$B247,'Shortlisted Drugs X Company (7)'!$E$3:$E$698,$AA247,'Shortlisted Drugs X Company (7)'!$N$3:$N$698,"&gt;5")</f>
        <v>1</v>
      </c>
      <c r="AG247" s="22" t="n">
        <f aca="false">COUNTIFS('Shortlisted Drugs X Company (7)'!$C$3:$C$698,$B247,'Shortlisted Drugs X Company (7)'!$E$3:$E$698,$AA247,'Shortlisted Drugs X Company (7)'!$P$3:$P$698,"Exact")+COUNTIFS('Shortlisted Drugs X Company (7)'!$C$3:$C$698,$B247,'Shortlisted Drugs X Company (7)'!$E$3:$E$698,$AA247,'Shortlisted Drugs X Company (7)'!$P$3:$P$698,"Same-market proxy")</f>
        <v>1</v>
      </c>
      <c r="AH247" s="22" t="n">
        <f aca="false">INDEX($G$7:$G$25,MATCH(A247,$A$7:$A$25,0))</f>
        <v>15</v>
      </c>
      <c r="AI247" s="79" t="n">
        <f aca="false">IF(OR(Q247="No",LEFT(H247,7)="IV only"),"",AH247*1000+IF(F247="",900+COUNTIFS($A$29:A247,A247,$H$29:H247,"Price*"),F247))</f>
        <v>15006</v>
      </c>
      <c r="AJ247" s="79" t="n">
        <f aca="false">IF(H247&lt;&gt;"","",(4-VALUE(RIGHT(E247,1)))*10^7+N(O247))</f>
        <v>10001053.6</v>
      </c>
      <c r="AK247" s="20" t="n">
        <f aca="false">IF(AND(H247="",ISNUMBER(I247)),I247,"")</f>
        <v>10.14</v>
      </c>
      <c r="AL247" s="21" t="n">
        <f aca="false">IF(H247="",M247,"")</f>
        <v>35</v>
      </c>
    </row>
    <row r="248" customFormat="false" ht="28.35" hidden="false" customHeight="false" outlineLevel="0" collapsed="false">
      <c r="A248" s="16" t="s">
        <v>235</v>
      </c>
      <c r="B248" s="16" t="s">
        <v>1194</v>
      </c>
      <c r="C248" s="17" t="s">
        <v>1195</v>
      </c>
      <c r="D248" s="17" t="s">
        <v>1196</v>
      </c>
      <c r="E248" s="15" t="str">
        <f aca="false">IF(H248&lt;&gt;"",IF(LEFT(H248,5)="Price","Excluded – price ≤ USD 5","Excluded – IV only"),IF(ISNUMBER(I248),IF(AND(I248&gt;=$C$3,M248&gt;=$E$3),"Priority 1",IF(OR(I248&gt;=$C$3,M248&gt;=$E$3),"Priority 2","Priority 3")),IF(M248&gt;=$E$3,"Priority 2","Priority 3")))</f>
        <v>Priority 3</v>
      </c>
      <c r="F248" s="15" t="n">
        <f aca="false">IF(H248&lt;&gt;"","",COUNTIFS($A$29:$A$361,A248,$H$29:$H$361,"",$AJ$29:$AJ$361,"&gt;"&amp;AJ248)+COUNTIFS($A$29:A248,A248,$H$29:H248,"",$AJ$29:AJ248,AJ248))</f>
        <v>8</v>
      </c>
      <c r="G248" s="17" t="str">
        <f aca="false">IF(H248&lt;&gt;"","",IF(ISNUMBER(I248),IF(I248&gt;=$C$3,"High price","Lower price"),"No price")&amp;", "&amp;IF(M248&gt;=$E$3,"high volume","lower volume"))</f>
        <v>Lower price, lower volume</v>
      </c>
      <c r="H248" s="17" t="str">
        <f aca="false">IF(Q248="No","IV only (no ID, IM or SC route)",IF(AND(AE248&gt;0,AF248=0),"Price ≤ USD 5",""))</f>
        <v/>
      </c>
      <c r="I248" s="18" t="n">
        <f aca="false">IF(AF248&gt;0,ROUND(AVERAGEIFS('Shortlisted Drugs X Company (7)'!$N$3:$N$698,'Shortlisted Drugs X Company (7)'!$C$3:$C$698,$B248,'Shortlisted Drugs X Company (7)'!$E$3:$E$698,$AA248,'Shortlisted Drugs X Company (7)'!$N$3:$N$698,"&gt;5"),2),"")</f>
        <v>5.35</v>
      </c>
      <c r="J248" s="17" t="str">
        <f aca="false">IF(COUNTIFS('Shortlisted Drugs X Company (7)'!$C$3:$C$698,$B248,'Shortlisted Drugs X Company (7)'!$E$3:$E$698,$AA248,'Shortlisted Drugs X Company (7)'!$P$3:$P$698,"Exact")&gt;0,"Exact",IF(COUNTIFS('Shortlisted Drugs X Company (7)'!$C$3:$C$698,$B248,'Shortlisted Drugs X Company (7)'!$E$3:$E$698,$AA248,'Shortlisted Drugs X Company (7)'!$P$3:$P$698,"Same-market proxy")&gt;0,"Same-market proxy",IF(COUNTIFS('Shortlisted Drugs X Company (7)'!$C$3:$C$698,$B248,'Shortlisted Drugs X Company (7)'!$E$3:$E$698,$AA248,'Shortlisted Drugs X Company (7)'!$P$3:$P$698,"Cross-market proxy")&gt;0,"Cross-market proxy",IF(COUNTIFS('Shortlisted Drugs X Company (7)'!$C$3:$C$698,$B248,'Shortlisted Drugs X Company (7)'!$E$3:$E$698,$AA248,'Shortlisted Drugs X Company (7)'!$P$3:$P$698,"Source not found")&gt;0,"Source not found","No price found"))))</f>
        <v>Cross-market proxy</v>
      </c>
      <c r="K248" s="19" t="n">
        <f aca="false">IFERROR(INDEX('Injectable Value'!$AB$28:$AB$178,MATCH(B248,'Injectable Value'!$A$28:$A$178,0)),"")</f>
        <v>17</v>
      </c>
      <c r="L248" s="77" t="n">
        <f aca="false">IFERROR(INDEX('Injectable Value'!$Z$28:$Z$178,MATCH(B248,'Injectable Value'!$A$28:$A$178,0)),"")</f>
        <v>1</v>
      </c>
      <c r="M248" s="19" t="n">
        <f aca="false">IFERROR(INDEX('Injectable Value'!$AC$28:$AC$178,MATCH(B248,'Injectable Value'!$A$28:$A$178,0)),"")</f>
        <v>17</v>
      </c>
      <c r="N248" s="19" t="n">
        <f aca="false">IFERROR(INDEX('Injectable Value'!$C$28:$C$178,MATCH(B248,'Injectable Value'!$A$28:$A$178,0)),"")</f>
        <v>170.54</v>
      </c>
      <c r="O248" s="19" t="n">
        <f aca="false">IFERROR(ROUND(INDEX('Injectable Value'!$AA$28:$AA$178,MATCH(B248,'Injectable Value'!$A$28:$A$178,0)),1),"")</f>
        <v>170.5</v>
      </c>
      <c r="P248" s="16" t="str">
        <f aca="false">IFERROR(INDEX('Route of Administration'!$C$5:$C$155,MATCH(B248,'Route of Administration'!$A$5:$A$155,0)),"")</f>
        <v>IV, IM</v>
      </c>
      <c r="Q248" s="15" t="str">
        <f aca="false">IFERROR(INDEX('Route of Administration'!$D$5:$D$155,MATCH(B248,'Route of Administration'!$A$5:$A$155,0)),"")</f>
        <v>Yes</v>
      </c>
      <c r="R248" s="16" t="s">
        <v>349</v>
      </c>
      <c r="S248" s="17" t="s">
        <v>1197</v>
      </c>
      <c r="T248" s="16" t="s">
        <v>283</v>
      </c>
      <c r="U248" s="17" t="str">
        <f aca="false">""&amp;IF(AE248=0,"No price found","")&amp;IF(AND(AE248&gt;0,AF248=0,AG248=0),"Low price comes from another market – confirm with the company","")</f>
        <v/>
      </c>
      <c r="V248" s="17" t="s">
        <v>112</v>
      </c>
      <c r="W248" s="15" t="n">
        <v>1</v>
      </c>
      <c r="X248" s="17" t="s">
        <v>614</v>
      </c>
      <c r="Y248" s="17" t="s">
        <v>614</v>
      </c>
      <c r="Z248" s="17" t="s">
        <v>321</v>
      </c>
      <c r="AA248" s="16" t="s">
        <v>235</v>
      </c>
      <c r="AB248" s="78" t="s">
        <v>1198</v>
      </c>
      <c r="AC248" s="20" t="n">
        <f aca="false">IF(AE248&gt;0,ROUND(AVERAGEIFS('Shortlisted Drugs X Company (7)'!$N$3:$N$698,'Shortlisted Drugs X Company (7)'!$C$3:$C$698,$B248,'Shortlisted Drugs X Company (7)'!$E$3:$E$698,$AA248,'Shortlisted Drugs X Company (7)'!$N$3:$N$698,"&gt;=0"),2),"")</f>
        <v>5.35</v>
      </c>
      <c r="AD248" s="79" t="str">
        <f aca="false">B248&amp;"|"&amp;AA248</f>
        <v>Droperidol|Lupin</v>
      </c>
      <c r="AE248" s="22" t="n">
        <f aca="false">COUNTIFS('Shortlisted Drugs X Company (7)'!$C$3:$C$698,$B248,'Shortlisted Drugs X Company (7)'!$E$3:$E$698,$AA248,'Shortlisted Drugs X Company (7)'!$N$3:$N$698,"&gt;=0")</f>
        <v>2</v>
      </c>
      <c r="AF248" s="22" t="n">
        <f aca="false">COUNTIFS('Shortlisted Drugs X Company (7)'!$C$3:$C$698,$B248,'Shortlisted Drugs X Company (7)'!$E$3:$E$698,$AA248,'Shortlisted Drugs X Company (7)'!$N$3:$N$698,"&gt;5")</f>
        <v>2</v>
      </c>
      <c r="AG248" s="22" t="n">
        <f aca="false">COUNTIFS('Shortlisted Drugs X Company (7)'!$C$3:$C$698,$B248,'Shortlisted Drugs X Company (7)'!$E$3:$E$698,$AA248,'Shortlisted Drugs X Company (7)'!$P$3:$P$698,"Exact")+COUNTIFS('Shortlisted Drugs X Company (7)'!$C$3:$C$698,$B248,'Shortlisted Drugs X Company (7)'!$E$3:$E$698,$AA248,'Shortlisted Drugs X Company (7)'!$P$3:$P$698,"Same-market proxy")</f>
        <v>0</v>
      </c>
      <c r="AH248" s="22" t="n">
        <f aca="false">INDEX($G$7:$G$25,MATCH(A248,$A$7:$A$25,0))</f>
        <v>15</v>
      </c>
      <c r="AI248" s="79" t="n">
        <f aca="false">IF(OR(Q248="No",LEFT(H248,7)="IV only"),"",AH248*1000+IF(F248="",900+COUNTIFS($A$29:A248,A248,$H$29:H248,"Price*"),F248))</f>
        <v>15008</v>
      </c>
      <c r="AJ248" s="79" t="n">
        <f aca="false">IF(H248&lt;&gt;"","",(4-VALUE(RIGHT(E248,1)))*10^7+N(O248))</f>
        <v>10000170.5</v>
      </c>
      <c r="AK248" s="20" t="n">
        <f aca="false">IF(AND(H248="",ISNUMBER(I248)),I248,"")</f>
        <v>5.35</v>
      </c>
      <c r="AL248" s="21" t="n">
        <f aca="false">IF(H248="",M248,"")</f>
        <v>17</v>
      </c>
    </row>
    <row r="249" customFormat="false" ht="28.35" hidden="false" customHeight="false" outlineLevel="0" collapsed="false">
      <c r="A249" s="16" t="s">
        <v>235</v>
      </c>
      <c r="B249" s="16" t="s">
        <v>1199</v>
      </c>
      <c r="C249" s="17" t="s">
        <v>1200</v>
      </c>
      <c r="D249" s="17" t="s">
        <v>1201</v>
      </c>
      <c r="E249" s="15" t="str">
        <f aca="false">IF(H249&lt;&gt;"",IF(LEFT(H249,5)="Price","Excluded – price ≤ USD 5","Excluded – IV only"),IF(ISNUMBER(I249),IF(AND(I249&gt;=$C$3,M249&gt;=$E$3),"Priority 1",IF(OR(I249&gt;=$C$3,M249&gt;=$E$3),"Priority 2","Priority 3")),IF(M249&gt;=$E$3,"Priority 2","Priority 3")))</f>
        <v>Excluded – IV only</v>
      </c>
      <c r="F249" s="15" t="str">
        <f aca="false">IF(H249&lt;&gt;"","",COUNTIFS($A$29:$A$361,A249,$H$29:$H$361,"",$AJ$29:$AJ$361,"&gt;"&amp;AJ249)+COUNTIFS($A$29:A249,A249,$H$29:H249,"",$AJ$29:AJ249,AJ249))</f>
        <v/>
      </c>
      <c r="G249" s="17" t="str">
        <f aca="false">IF(H249&lt;&gt;"","",IF(ISNUMBER(I249),IF(I249&gt;=$C$3,"High price","Lower price"),"No price")&amp;", "&amp;IF(M249&gt;=$E$3,"high volume","lower volume"))</f>
        <v/>
      </c>
      <c r="H249" s="17" t="str">
        <f aca="false">IF(Q249="No","IV only (no ID, IM or SC route)",IF(AND(AE249&gt;0,AF249=0),"Price ≤ USD 5",""))</f>
        <v>IV only (no ID, IM or SC route)</v>
      </c>
      <c r="I249" s="18" t="n">
        <f aca="false">IF(AF249&gt;0,ROUND(AVERAGEIFS('Shortlisted Drugs X Company (7)'!$N$3:$N$698,'Shortlisted Drugs X Company (7)'!$C$3:$C$698,$B249,'Shortlisted Drugs X Company (7)'!$E$3:$E$698,$AA249,'Shortlisted Drugs X Company (7)'!$N$3:$N$698,"&gt;5"),2),"")</f>
        <v>7.55</v>
      </c>
      <c r="J249" s="17" t="str">
        <f aca="false">IF(COUNTIFS('Shortlisted Drugs X Company (7)'!$C$3:$C$698,$B249,'Shortlisted Drugs X Company (7)'!$E$3:$E$698,$AA249,'Shortlisted Drugs X Company (7)'!$P$3:$P$698,"Exact")&gt;0,"Exact",IF(COUNTIFS('Shortlisted Drugs X Company (7)'!$C$3:$C$698,$B249,'Shortlisted Drugs X Company (7)'!$E$3:$E$698,$AA249,'Shortlisted Drugs X Company (7)'!$P$3:$P$698,"Same-market proxy")&gt;0,"Same-market proxy",IF(COUNTIFS('Shortlisted Drugs X Company (7)'!$C$3:$C$698,$B249,'Shortlisted Drugs X Company (7)'!$E$3:$E$698,$AA249,'Shortlisted Drugs X Company (7)'!$P$3:$P$698,"Cross-market proxy")&gt;0,"Cross-market proxy",IF(COUNTIFS('Shortlisted Drugs X Company (7)'!$C$3:$C$698,$B249,'Shortlisted Drugs X Company (7)'!$E$3:$E$698,$AA249,'Shortlisted Drugs X Company (7)'!$P$3:$P$698,"Source not found")&gt;0,"Source not found","No price found"))))</f>
        <v>Exact</v>
      </c>
      <c r="K249" s="19" t="n">
        <f aca="false">IFERROR(INDEX('Injectable Value'!$AB$28:$AB$178,MATCH(B249,'Injectable Value'!$A$28:$A$178,0)),"")</f>
        <v>176</v>
      </c>
      <c r="L249" s="77" t="n">
        <f aca="false">IFERROR(INDEX('Injectable Value'!$Z$28:$Z$178,MATCH(B249,'Injectable Value'!$A$28:$A$178,0)),"")</f>
        <v>0.95</v>
      </c>
      <c r="M249" s="19" t="n">
        <f aca="false">IFERROR(INDEX('Injectable Value'!$AC$28:$AC$178,MATCH(B249,'Injectable Value'!$A$28:$A$178,0)),"")</f>
        <v>167</v>
      </c>
      <c r="N249" s="19" t="n">
        <f aca="false">IFERROR(INDEX('Injectable Value'!$C$28:$C$178,MATCH(B249,'Injectable Value'!$A$28:$A$178,0)),"")</f>
        <v>5190.07</v>
      </c>
      <c r="O249" s="19" t="n">
        <f aca="false">IFERROR(ROUND(INDEX('Injectable Value'!$AA$28:$AA$178,MATCH(B249,'Injectable Value'!$A$28:$A$178,0)),1),"")</f>
        <v>4930.6</v>
      </c>
      <c r="P249" s="16" t="str">
        <f aca="false">IFERROR(INDEX('Route of Administration'!$C$5:$C$155,MATCH(B249,'Route of Administration'!$A$5:$A$155,0)),"")</f>
        <v>IV</v>
      </c>
      <c r="Q249" s="15" t="str">
        <f aca="false">IFERROR(INDEX('Route of Administration'!$D$5:$D$155,MATCH(B249,'Route of Administration'!$A$5:$A$155,0)),"")</f>
        <v>No</v>
      </c>
      <c r="R249" s="16" t="s">
        <v>281</v>
      </c>
      <c r="S249" s="17" t="s">
        <v>1202</v>
      </c>
      <c r="T249" s="16" t="s">
        <v>283</v>
      </c>
      <c r="U249" s="17" t="str">
        <f aca="false">""&amp;IF(AE249=0,"No price found","")&amp;IF(AND(AE249&gt;0,AF249=0,AG249=0),"Low price comes from another market – confirm with the company","")</f>
        <v/>
      </c>
      <c r="V249" s="17" t="s">
        <v>112</v>
      </c>
      <c r="W249" s="15" t="n">
        <v>1</v>
      </c>
      <c r="X249" s="17" t="s">
        <v>360</v>
      </c>
      <c r="Y249" s="17" t="s">
        <v>360</v>
      </c>
      <c r="Z249" s="17" t="s">
        <v>321</v>
      </c>
      <c r="AA249" s="16" t="s">
        <v>235</v>
      </c>
      <c r="AB249" s="78" t="s">
        <v>1203</v>
      </c>
      <c r="AC249" s="20" t="n">
        <f aca="false">IF(AE249&gt;0,ROUND(AVERAGEIFS('Shortlisted Drugs X Company (7)'!$N$3:$N$698,'Shortlisted Drugs X Company (7)'!$C$3:$C$698,$B249,'Shortlisted Drugs X Company (7)'!$E$3:$E$698,$AA249,'Shortlisted Drugs X Company (7)'!$N$3:$N$698,"&gt;=0"),2),"")</f>
        <v>7.55</v>
      </c>
      <c r="AD249" s="79" t="str">
        <f aca="false">B249&amp;"|"&amp;AA249</f>
        <v>Elemental Iron|Lupin</v>
      </c>
      <c r="AE249" s="22" t="n">
        <f aca="false">COUNTIFS('Shortlisted Drugs X Company (7)'!$C$3:$C$698,$B249,'Shortlisted Drugs X Company (7)'!$E$3:$E$698,$AA249,'Shortlisted Drugs X Company (7)'!$N$3:$N$698,"&gt;=0")</f>
        <v>1</v>
      </c>
      <c r="AF249" s="22" t="n">
        <f aca="false">COUNTIFS('Shortlisted Drugs X Company (7)'!$C$3:$C$698,$B249,'Shortlisted Drugs X Company (7)'!$E$3:$E$698,$AA249,'Shortlisted Drugs X Company (7)'!$N$3:$N$698,"&gt;5")</f>
        <v>1</v>
      </c>
      <c r="AG249" s="22" t="n">
        <f aca="false">COUNTIFS('Shortlisted Drugs X Company (7)'!$C$3:$C$698,$B249,'Shortlisted Drugs X Company (7)'!$E$3:$E$698,$AA249,'Shortlisted Drugs X Company (7)'!$P$3:$P$698,"Exact")+COUNTIFS('Shortlisted Drugs X Company (7)'!$C$3:$C$698,$B249,'Shortlisted Drugs X Company (7)'!$E$3:$E$698,$AA249,'Shortlisted Drugs X Company (7)'!$P$3:$P$698,"Same-market proxy")</f>
        <v>1</v>
      </c>
      <c r="AH249" s="22" t="n">
        <f aca="false">INDEX($G$7:$G$25,MATCH(A249,$A$7:$A$25,0))</f>
        <v>15</v>
      </c>
      <c r="AI249" s="79" t="str">
        <f aca="false">IF(OR(Q249="No",LEFT(H249,7)="IV only"),"",AH249*1000+IF(F249="",900+COUNTIFS($A$29:A249,A249,$H$29:H249,"Price*"),F249))</f>
        <v/>
      </c>
      <c r="AJ249" s="79" t="str">
        <f aca="false">IF(H249&lt;&gt;"","",(4-VALUE(RIGHT(E249,1)))*10^7+N(O249))</f>
        <v/>
      </c>
      <c r="AK249" s="79" t="str">
        <f aca="false">IF(AND(H249="",ISNUMBER(I249)),I249,"")</f>
        <v/>
      </c>
      <c r="AL249" s="79" t="str">
        <f aca="false">IF(H249="",M249,"")</f>
        <v/>
      </c>
    </row>
    <row r="250" customFormat="false" ht="41.75" hidden="false" customHeight="false" outlineLevel="0" collapsed="false">
      <c r="A250" s="16" t="s">
        <v>235</v>
      </c>
      <c r="B250" s="16" t="s">
        <v>401</v>
      </c>
      <c r="C250" s="17" t="s">
        <v>1204</v>
      </c>
      <c r="D250" s="17" t="s">
        <v>403</v>
      </c>
      <c r="E250" s="15" t="str">
        <f aca="false">IF(H250&lt;&gt;"",IF(LEFT(H250,5)="Price","Excluded – price ≤ USD 5","Excluded – IV only"),IF(ISNUMBER(I250),IF(AND(I250&gt;=$C$3,M250&gt;=$E$3),"Priority 1",IF(OR(I250&gt;=$C$3,M250&gt;=$E$3),"Priority 2","Priority 3")),IF(M250&gt;=$E$3,"Priority 2","Priority 3")))</f>
        <v>Excluded – price ≤ USD 5</v>
      </c>
      <c r="F250" s="15" t="str">
        <f aca="false">IF(H250&lt;&gt;"","",COUNTIFS($A$29:$A$361,A250,$H$29:$H$361,"",$AJ$29:$AJ$361,"&gt;"&amp;AJ250)+COUNTIFS($A$29:A250,A250,$H$29:H250,"",$AJ$29:AJ250,AJ250))</f>
        <v/>
      </c>
      <c r="G250" s="17" t="str">
        <f aca="false">IF(H250&lt;&gt;"","",IF(ISNUMBER(I250),IF(I250&gt;=$C$3,"High price","Lower price"),"No price")&amp;", "&amp;IF(M250&gt;=$E$3,"high volume","lower volume"))</f>
        <v/>
      </c>
      <c r="H250" s="17" t="str">
        <f aca="false">IF(Q250="No","IV only (no ID, IM or SC route)",IF(AND(AE250&gt;0,AF250=0),"Price ≤ USD 5",""))</f>
        <v>Price ≤ USD 5</v>
      </c>
      <c r="I250" s="18" t="str">
        <f aca="false">IF(AF250&gt;0,ROUND(AVERAGEIFS('Shortlisted Drugs X Company (7)'!$N$3:$N$698,'Shortlisted Drugs X Company (7)'!$C$3:$C$698,$B250,'Shortlisted Drugs X Company (7)'!$E$3:$E$698,$AA250,'Shortlisted Drugs X Company (7)'!$N$3:$N$698,"&gt;5"),2),"")</f>
        <v/>
      </c>
      <c r="J250" s="17" t="str">
        <f aca="false">IF(COUNTIFS('Shortlisted Drugs X Company (7)'!$C$3:$C$698,$B250,'Shortlisted Drugs X Company (7)'!$E$3:$E$698,$AA250,'Shortlisted Drugs X Company (7)'!$P$3:$P$698,"Exact")&gt;0,"Exact",IF(COUNTIFS('Shortlisted Drugs X Company (7)'!$C$3:$C$698,$B250,'Shortlisted Drugs X Company (7)'!$E$3:$E$698,$AA250,'Shortlisted Drugs X Company (7)'!$P$3:$P$698,"Same-market proxy")&gt;0,"Same-market proxy",IF(COUNTIFS('Shortlisted Drugs X Company (7)'!$C$3:$C$698,$B250,'Shortlisted Drugs X Company (7)'!$E$3:$E$698,$AA250,'Shortlisted Drugs X Company (7)'!$P$3:$P$698,"Cross-market proxy")&gt;0,"Cross-market proxy",IF(COUNTIFS('Shortlisted Drugs X Company (7)'!$C$3:$C$698,$B250,'Shortlisted Drugs X Company (7)'!$E$3:$E$698,$AA250,'Shortlisted Drugs X Company (7)'!$P$3:$P$698,"Source not found")&gt;0,"Source not found","No price found"))))</f>
        <v>Cross-market proxy</v>
      </c>
      <c r="K250" s="19" t="n">
        <f aca="false">IFERROR(INDEX('Injectable Value'!$AB$28:$AB$178,MATCH(B250,'Injectable Value'!$A$28:$A$178,0)),"")</f>
        <v>78</v>
      </c>
      <c r="L250" s="77" t="n">
        <f aca="false">IFERROR(INDEX('Injectable Value'!$Z$28:$Z$178,MATCH(B250,'Injectable Value'!$A$28:$A$178,0)),"")</f>
        <v>0.623015352554995</v>
      </c>
      <c r="M250" s="19" t="n">
        <f aca="false">IFERROR(INDEX('Injectable Value'!$AC$28:$AC$178,MATCH(B250,'Injectable Value'!$A$28:$A$178,0)),"")</f>
        <v>49</v>
      </c>
      <c r="N250" s="19" t="n">
        <f aca="false">IFERROR(INDEX('Injectable Value'!$C$28:$C$178,MATCH(B250,'Injectable Value'!$A$28:$A$178,0)),"")</f>
        <v>4714.67</v>
      </c>
      <c r="O250" s="19" t="n">
        <f aca="false">IFERROR(ROUND(INDEX('Injectable Value'!$AA$28:$AA$178,MATCH(B250,'Injectable Value'!$A$28:$A$178,0)),1),"")</f>
        <v>2937.3</v>
      </c>
      <c r="P250" s="16" t="str">
        <f aca="false">IFERROR(INDEX('Route of Administration'!$C$5:$C$155,MATCH(B250,'Route of Administration'!$A$5:$A$155,0)),"")</f>
        <v>IV, IM, SC</v>
      </c>
      <c r="Q250" s="15" t="str">
        <f aca="false">IFERROR(INDEX('Route of Administration'!$D$5:$D$155,MATCH(B250,'Route of Administration'!$A$5:$A$155,0)),"")</f>
        <v>Yes</v>
      </c>
      <c r="R250" s="16" t="s">
        <v>349</v>
      </c>
      <c r="S250" s="17" t="s">
        <v>1205</v>
      </c>
      <c r="T250" s="16" t="s">
        <v>310</v>
      </c>
      <c r="U250" s="17" t="str">
        <f aca="false">""&amp;IF(AE250=0,"No price found","")&amp;IF(AND(AE250&gt;0,AF250=0,AG250=0),"Low price comes from another market – confirm with the company","")</f>
        <v>Low price comes from another market – confirm with the company</v>
      </c>
      <c r="V250" s="17" t="s">
        <v>112</v>
      </c>
      <c r="W250" s="15" t="n">
        <v>1</v>
      </c>
      <c r="X250" s="17" t="s">
        <v>614</v>
      </c>
      <c r="Y250" s="17" t="s">
        <v>614</v>
      </c>
      <c r="Z250" s="17" t="s">
        <v>286</v>
      </c>
      <c r="AA250" s="16" t="s">
        <v>235</v>
      </c>
      <c r="AB250" s="78" t="s">
        <v>407</v>
      </c>
      <c r="AC250" s="20" t="n">
        <f aca="false">IF(AE250&gt;0,ROUND(AVERAGEIFS('Shortlisted Drugs X Company (7)'!$N$3:$N$698,'Shortlisted Drugs X Company (7)'!$C$3:$C$698,$B250,'Shortlisted Drugs X Company (7)'!$E$3:$E$698,$AA250,'Shortlisted Drugs X Company (7)'!$N$3:$N$698,"&gt;=0"),2),"")</f>
        <v>3.53</v>
      </c>
      <c r="AD250" s="79" t="str">
        <f aca="false">B250&amp;"|"&amp;AA250</f>
        <v>Ephedrine|Lupin</v>
      </c>
      <c r="AE250" s="22" t="n">
        <f aca="false">COUNTIFS('Shortlisted Drugs X Company (7)'!$C$3:$C$698,$B250,'Shortlisted Drugs X Company (7)'!$E$3:$E$698,$AA250,'Shortlisted Drugs X Company (7)'!$N$3:$N$698,"&gt;=0")</f>
        <v>1</v>
      </c>
      <c r="AF250" s="22" t="n">
        <f aca="false">COUNTIFS('Shortlisted Drugs X Company (7)'!$C$3:$C$698,$B250,'Shortlisted Drugs X Company (7)'!$E$3:$E$698,$AA250,'Shortlisted Drugs X Company (7)'!$N$3:$N$698,"&gt;5")</f>
        <v>0</v>
      </c>
      <c r="AG250" s="22" t="n">
        <f aca="false">COUNTIFS('Shortlisted Drugs X Company (7)'!$C$3:$C$698,$B250,'Shortlisted Drugs X Company (7)'!$E$3:$E$698,$AA250,'Shortlisted Drugs X Company (7)'!$P$3:$P$698,"Exact")+COUNTIFS('Shortlisted Drugs X Company (7)'!$C$3:$C$698,$B250,'Shortlisted Drugs X Company (7)'!$E$3:$E$698,$AA250,'Shortlisted Drugs X Company (7)'!$P$3:$P$698,"Same-market proxy")</f>
        <v>0</v>
      </c>
      <c r="AH250" s="22" t="n">
        <f aca="false">INDEX($G$7:$G$25,MATCH(A250,$A$7:$A$25,0))</f>
        <v>15</v>
      </c>
      <c r="AI250" s="79" t="n">
        <f aca="false">IF(OR(Q250="No",LEFT(H250,7)="IV only"),"",AH250*1000+IF(F250="",900+COUNTIFS($A$29:A250,A250,$H$29:H250,"Price*"),F250))</f>
        <v>15902</v>
      </c>
      <c r="AJ250" s="79" t="str">
        <f aca="false">IF(H250&lt;&gt;"","",(4-VALUE(RIGHT(E250,1)))*10^7+N(O250))</f>
        <v/>
      </c>
      <c r="AK250" s="79" t="str">
        <f aca="false">IF(AND(H250="",ISNUMBER(I250)),I250,"")</f>
        <v/>
      </c>
      <c r="AL250" s="79" t="str">
        <f aca="false">IF(H250="",M250,"")</f>
        <v/>
      </c>
    </row>
    <row r="251" customFormat="false" ht="28.35" hidden="false" customHeight="false" outlineLevel="0" collapsed="false">
      <c r="A251" s="16" t="s">
        <v>235</v>
      </c>
      <c r="B251" s="16" t="s">
        <v>419</v>
      </c>
      <c r="C251" s="17" t="s">
        <v>1206</v>
      </c>
      <c r="D251" s="17" t="s">
        <v>421</v>
      </c>
      <c r="E251" s="15" t="str">
        <f aca="false">IF(H251&lt;&gt;"",IF(LEFT(H251,5)="Price","Excluded – price ≤ USD 5","Excluded – IV only"),IF(ISNUMBER(I251),IF(AND(I251&gt;=$C$3,M251&gt;=$E$3),"Priority 1",IF(OR(I251&gt;=$C$3,M251&gt;=$E$3),"Priority 2","Priority 3")),IF(M251&gt;=$E$3,"Priority 2","Priority 3")))</f>
        <v>Priority 2</v>
      </c>
      <c r="F251" s="15" t="n">
        <f aca="false">IF(H251&lt;&gt;"","",COUNTIFS($A$29:$A$361,A251,$H$29:$H$361,"",$AJ$29:$AJ$361,"&gt;"&amp;AJ251)+COUNTIFS($A$29:A251,A251,$H$29:H251,"",$AJ$29:AJ251,AJ251))</f>
        <v>1</v>
      </c>
      <c r="G251" s="17" t="str">
        <f aca="false">IF(H251&lt;&gt;"","",IF(ISNUMBER(I251),IF(I251&gt;=$C$3,"High price","Lower price"),"No price")&amp;", "&amp;IF(M251&gt;=$E$3,"high volume","lower volume"))</f>
        <v>Lower price, high volume</v>
      </c>
      <c r="H251" s="17" t="str">
        <f aca="false">IF(Q251="No","IV only (no ID, IM or SC route)",IF(AND(AE251&gt;0,AF251=0),"Price ≤ USD 5",""))</f>
        <v/>
      </c>
      <c r="I251" s="18" t="n">
        <f aca="false">IF(AF251&gt;0,ROUND(AVERAGEIFS('Shortlisted Drugs X Company (7)'!$N$3:$N$698,'Shortlisted Drugs X Company (7)'!$C$3:$C$698,$B251,'Shortlisted Drugs X Company (7)'!$E$3:$E$698,$AA251,'Shortlisted Drugs X Company (7)'!$N$3:$N$698,"&gt;5"),2),"")</f>
        <v>21.3</v>
      </c>
      <c r="J251" s="17" t="str">
        <f aca="false">IF(COUNTIFS('Shortlisted Drugs X Company (7)'!$C$3:$C$698,$B251,'Shortlisted Drugs X Company (7)'!$E$3:$E$698,$AA251,'Shortlisted Drugs X Company (7)'!$P$3:$P$698,"Exact")&gt;0,"Exact",IF(COUNTIFS('Shortlisted Drugs X Company (7)'!$C$3:$C$698,$B251,'Shortlisted Drugs X Company (7)'!$E$3:$E$698,$AA251,'Shortlisted Drugs X Company (7)'!$P$3:$P$698,"Same-market proxy")&gt;0,"Same-market proxy",IF(COUNTIFS('Shortlisted Drugs X Company (7)'!$C$3:$C$698,$B251,'Shortlisted Drugs X Company (7)'!$E$3:$E$698,$AA251,'Shortlisted Drugs X Company (7)'!$P$3:$P$698,"Cross-market proxy")&gt;0,"Cross-market proxy",IF(COUNTIFS('Shortlisted Drugs X Company (7)'!$C$3:$C$698,$B251,'Shortlisted Drugs X Company (7)'!$E$3:$E$698,$AA251,'Shortlisted Drugs X Company (7)'!$P$3:$P$698,"Source not found")&gt;0,"Source not found","No price found"))))</f>
        <v>Exact</v>
      </c>
      <c r="K251" s="19" t="n">
        <f aca="false">IFERROR(INDEX('Injectable Value'!$AB$28:$AB$178,MATCH(B251,'Injectable Value'!$A$28:$A$178,0)),"")</f>
        <v>223</v>
      </c>
      <c r="L251" s="77" t="n">
        <f aca="false">IFERROR(INDEX('Injectable Value'!$Z$28:$Z$178,MATCH(B251,'Injectable Value'!$A$28:$A$178,0)),"")</f>
        <v>1</v>
      </c>
      <c r="M251" s="19" t="n">
        <f aca="false">IFERROR(INDEX('Injectable Value'!$AC$28:$AC$178,MATCH(B251,'Injectable Value'!$A$28:$A$178,0)),"")</f>
        <v>223</v>
      </c>
      <c r="N251" s="19" t="n">
        <f aca="false">IFERROR(INDEX('Injectable Value'!$C$28:$C$178,MATCH(B251,'Injectable Value'!$A$28:$A$178,0)),"")</f>
        <v>53539.87</v>
      </c>
      <c r="O251" s="19" t="n">
        <f aca="false">IFERROR(ROUND(INDEX('Injectable Value'!$AA$28:$AA$178,MATCH(B251,'Injectable Value'!$A$28:$A$178,0)),1),"")</f>
        <v>53539.9</v>
      </c>
      <c r="P251" s="16" t="str">
        <f aca="false">IFERROR(INDEX('Route of Administration'!$C$5:$C$155,MATCH(B251,'Route of Administration'!$A$5:$A$155,0)),"")</f>
        <v>IV, IM</v>
      </c>
      <c r="Q251" s="15" t="str">
        <f aca="false">IFERROR(INDEX('Route of Administration'!$D$5:$D$155,MATCH(B251,'Route of Administration'!$A$5:$A$155,0)),"")</f>
        <v>Yes</v>
      </c>
      <c r="R251" s="16" t="s">
        <v>281</v>
      </c>
      <c r="S251" s="17" t="s">
        <v>1207</v>
      </c>
      <c r="T251" s="16" t="s">
        <v>359</v>
      </c>
      <c r="U251" s="17" t="str">
        <f aca="false">"Reconstitution"&amp;IF(AE251=0,"; No price found","")&amp;IF(AND(AE251&gt;0,AF251=0,AG251=0),"; Low price comes from another market – confirm with the company","")</f>
        <v>Reconstitution</v>
      </c>
      <c r="V251" s="17" t="s">
        <v>112</v>
      </c>
      <c r="W251" s="15" t="n">
        <v>1</v>
      </c>
      <c r="X251" s="17" t="s">
        <v>360</v>
      </c>
      <c r="Y251" s="17" t="s">
        <v>360</v>
      </c>
      <c r="Z251" s="17" t="s">
        <v>286</v>
      </c>
      <c r="AA251" s="16" t="s">
        <v>235</v>
      </c>
      <c r="AB251" s="78" t="s">
        <v>425</v>
      </c>
      <c r="AC251" s="20" t="n">
        <f aca="false">IF(AE251&gt;0,ROUND(AVERAGEIFS('Shortlisted Drugs X Company (7)'!$N$3:$N$698,'Shortlisted Drugs X Company (7)'!$C$3:$C$698,$B251,'Shortlisted Drugs X Company (7)'!$E$3:$E$698,$AA251,'Shortlisted Drugs X Company (7)'!$N$3:$N$698,"&gt;=0"),2),"")</f>
        <v>21.3</v>
      </c>
      <c r="AD251" s="79" t="str">
        <f aca="false">B251&amp;"|"&amp;AA251</f>
        <v>Ertapenem|Lupin</v>
      </c>
      <c r="AE251" s="22" t="n">
        <f aca="false">COUNTIFS('Shortlisted Drugs X Company (7)'!$C$3:$C$698,$B251,'Shortlisted Drugs X Company (7)'!$E$3:$E$698,$AA251,'Shortlisted Drugs X Company (7)'!$N$3:$N$698,"&gt;=0")</f>
        <v>1</v>
      </c>
      <c r="AF251" s="22" t="n">
        <f aca="false">COUNTIFS('Shortlisted Drugs X Company (7)'!$C$3:$C$698,$B251,'Shortlisted Drugs X Company (7)'!$E$3:$E$698,$AA251,'Shortlisted Drugs X Company (7)'!$N$3:$N$698,"&gt;5")</f>
        <v>1</v>
      </c>
      <c r="AG251" s="22" t="n">
        <f aca="false">COUNTIFS('Shortlisted Drugs X Company (7)'!$C$3:$C$698,$B251,'Shortlisted Drugs X Company (7)'!$E$3:$E$698,$AA251,'Shortlisted Drugs X Company (7)'!$P$3:$P$698,"Exact")+COUNTIFS('Shortlisted Drugs X Company (7)'!$C$3:$C$698,$B251,'Shortlisted Drugs X Company (7)'!$E$3:$E$698,$AA251,'Shortlisted Drugs X Company (7)'!$P$3:$P$698,"Same-market proxy")</f>
        <v>1</v>
      </c>
      <c r="AH251" s="22" t="n">
        <f aca="false">INDEX($G$7:$G$25,MATCH(A251,$A$7:$A$25,0))</f>
        <v>15</v>
      </c>
      <c r="AI251" s="79" t="n">
        <f aca="false">IF(OR(Q251="No",LEFT(H251,7)="IV only"),"",AH251*1000+IF(F251="",900+COUNTIFS($A$29:A251,A251,$H$29:H251,"Price*"),F251))</f>
        <v>15001</v>
      </c>
      <c r="AJ251" s="79" t="n">
        <f aca="false">IF(H251&lt;&gt;"","",(4-VALUE(RIGHT(E251,1)))*10^7+N(O251))</f>
        <v>20053539.9</v>
      </c>
      <c r="AK251" s="20" t="n">
        <f aca="false">IF(AND(H251="",ISNUMBER(I251)),I251,"")</f>
        <v>21.3</v>
      </c>
      <c r="AL251" s="21" t="n">
        <f aca="false">IF(H251="",M251,"")</f>
        <v>223</v>
      </c>
    </row>
    <row r="252" customFormat="false" ht="28.35" hidden="false" customHeight="false" outlineLevel="0" collapsed="false">
      <c r="A252" s="16" t="s">
        <v>235</v>
      </c>
      <c r="B252" s="16" t="s">
        <v>1208</v>
      </c>
      <c r="C252" s="17" t="s">
        <v>1208</v>
      </c>
      <c r="D252" s="17" t="s">
        <v>1209</v>
      </c>
      <c r="E252" s="15" t="str">
        <f aca="false">IF(H252&lt;&gt;"",IF(LEFT(H252,5)="Price","Excluded – price ≤ USD 5","Excluded – IV only"),IF(ISNUMBER(I252),IF(AND(I252&gt;=$C$3,M252&gt;=$E$3),"Priority 1",IF(OR(I252&gt;=$C$3,M252&gt;=$E$3),"Priority 2","Priority 3")),IF(M252&gt;=$E$3,"Priority 2","Priority 3")))</f>
        <v>Excluded – IV only</v>
      </c>
      <c r="F252" s="15" t="str">
        <f aca="false">IF(H252&lt;&gt;"","",COUNTIFS($A$29:$A$361,A252,$H$29:$H$361,"",$AJ$29:$AJ$361,"&gt;"&amp;AJ252)+COUNTIFS($A$29:A252,A252,$H$29:H252,"",$AJ$29:AJ252,AJ252))</f>
        <v/>
      </c>
      <c r="G252" s="17" t="str">
        <f aca="false">IF(H252&lt;&gt;"","",IF(ISNUMBER(I252),IF(I252&gt;=$C$3,"High price","Lower price"),"No price")&amp;", "&amp;IF(M252&gt;=$E$3,"high volume","lower volume"))</f>
        <v/>
      </c>
      <c r="H252" s="17" t="str">
        <f aca="false">IF(Q252="No","IV only (no ID, IM or SC route)",IF(AND(AE252&gt;0,AF252=0),"Price ≤ USD 5",""))</f>
        <v>IV only (no ID, IM or SC route)</v>
      </c>
      <c r="I252" s="18" t="str">
        <f aca="false">IF(AF252&gt;0,ROUND(AVERAGEIFS('Shortlisted Drugs X Company (7)'!$N$3:$N$698,'Shortlisted Drugs X Company (7)'!$C$3:$C$698,$B252,'Shortlisted Drugs X Company (7)'!$E$3:$E$698,$AA252,'Shortlisted Drugs X Company (7)'!$N$3:$N$698,"&gt;5"),2),"")</f>
        <v/>
      </c>
      <c r="J252" s="17" t="str">
        <f aca="false">IF(COUNTIFS('Shortlisted Drugs X Company (7)'!$C$3:$C$698,$B252,'Shortlisted Drugs X Company (7)'!$E$3:$E$698,$AA252,'Shortlisted Drugs X Company (7)'!$P$3:$P$698,"Exact")&gt;0,"Exact",IF(COUNTIFS('Shortlisted Drugs X Company (7)'!$C$3:$C$698,$B252,'Shortlisted Drugs X Company (7)'!$E$3:$E$698,$AA252,'Shortlisted Drugs X Company (7)'!$P$3:$P$698,"Same-market proxy")&gt;0,"Same-market proxy",IF(COUNTIFS('Shortlisted Drugs X Company (7)'!$C$3:$C$698,$B252,'Shortlisted Drugs X Company (7)'!$E$3:$E$698,$AA252,'Shortlisted Drugs X Company (7)'!$P$3:$P$698,"Cross-market proxy")&gt;0,"Cross-market proxy",IF(COUNTIFS('Shortlisted Drugs X Company (7)'!$C$3:$C$698,$B252,'Shortlisted Drugs X Company (7)'!$E$3:$E$698,$AA252,'Shortlisted Drugs X Company (7)'!$P$3:$P$698,"Source not found")&gt;0,"Source not found","No price found"))))</f>
        <v>Same-market proxy</v>
      </c>
      <c r="K252" s="19" t="n">
        <f aca="false">IFERROR(INDEX('Injectable Value'!$AB$28:$AB$178,MATCH(B252,'Injectable Value'!$A$28:$A$178,0)),"")</f>
        <v>706</v>
      </c>
      <c r="L252" s="77" t="n">
        <f aca="false">IFERROR(INDEX('Injectable Value'!$Z$28:$Z$178,MATCH(B252,'Injectable Value'!$A$28:$A$178,0)),"")</f>
        <v>0.0464246545295021</v>
      </c>
      <c r="M252" s="19" t="n">
        <f aca="false">IFERROR(INDEX('Injectable Value'!$AC$28:$AC$178,MATCH(B252,'Injectable Value'!$A$28:$A$178,0)),"")</f>
        <v>33</v>
      </c>
      <c r="N252" s="19" t="n">
        <f aca="false">IFERROR(INDEX('Injectable Value'!$C$28:$C$178,MATCH(B252,'Injectable Value'!$A$28:$A$178,0)),"")</f>
        <v>34008.96</v>
      </c>
      <c r="O252" s="19" t="n">
        <f aca="false">IFERROR(ROUND(INDEX('Injectable Value'!$AA$28:$AA$178,MATCH(B252,'Injectable Value'!$A$28:$A$178,0)),1),"")</f>
        <v>1578.9</v>
      </c>
      <c r="P252" s="16" t="str">
        <f aca="false">IFERROR(INDEX('Route of Administration'!$C$5:$C$155,MATCH(B252,'Route of Administration'!$A$5:$A$155,0)),"")</f>
        <v>IV</v>
      </c>
      <c r="Q252" s="15" t="str">
        <f aca="false">IFERROR(INDEX('Route of Administration'!$D$5:$D$155,MATCH(B252,'Route of Administration'!$A$5:$A$155,0)),"")</f>
        <v>No</v>
      </c>
      <c r="R252" s="16" t="s">
        <v>310</v>
      </c>
      <c r="S252" s="17" t="s">
        <v>909</v>
      </c>
      <c r="T252" s="16" t="s">
        <v>310</v>
      </c>
      <c r="U252" s="17" t="str">
        <f aca="false">""&amp;IF(AE252=0,"No price found","")&amp;IF(AND(AE252&gt;0,AF252=0,AG252=0),"Low price comes from another market – confirm with the company","")</f>
        <v/>
      </c>
      <c r="V252" s="17" t="s">
        <v>284</v>
      </c>
      <c r="W252" s="15" t="n">
        <v>1</v>
      </c>
      <c r="X252" s="17" t="s">
        <v>284</v>
      </c>
      <c r="Y252" s="17" t="s">
        <v>284</v>
      </c>
      <c r="Z252" s="17" t="s">
        <v>312</v>
      </c>
      <c r="AA252" s="16" t="s">
        <v>235</v>
      </c>
      <c r="AB252" s="78" t="s">
        <v>1210</v>
      </c>
      <c r="AC252" s="20" t="n">
        <f aca="false">IF(AE252&gt;0,ROUND(AVERAGEIFS('Shortlisted Drugs X Company (7)'!$N$3:$N$698,'Shortlisted Drugs X Company (7)'!$C$3:$C$698,$B252,'Shortlisted Drugs X Company (7)'!$E$3:$E$698,$AA252,'Shortlisted Drugs X Company (7)'!$N$3:$N$698,"&gt;=0"),2),"")</f>
        <v>0.72</v>
      </c>
      <c r="AD252" s="79" t="str">
        <f aca="false">B252&amp;"|"&amp;AA252</f>
        <v>Famotidine|Lupin</v>
      </c>
      <c r="AE252" s="22" t="n">
        <f aca="false">COUNTIFS('Shortlisted Drugs X Company (7)'!$C$3:$C$698,$B252,'Shortlisted Drugs X Company (7)'!$E$3:$E$698,$AA252,'Shortlisted Drugs X Company (7)'!$N$3:$N$698,"&gt;=0")</f>
        <v>1</v>
      </c>
      <c r="AF252" s="22" t="n">
        <f aca="false">COUNTIFS('Shortlisted Drugs X Company (7)'!$C$3:$C$698,$B252,'Shortlisted Drugs X Company (7)'!$E$3:$E$698,$AA252,'Shortlisted Drugs X Company (7)'!$N$3:$N$698,"&gt;5")</f>
        <v>0</v>
      </c>
      <c r="AG252" s="22" t="n">
        <f aca="false">COUNTIFS('Shortlisted Drugs X Company (7)'!$C$3:$C$698,$B252,'Shortlisted Drugs X Company (7)'!$E$3:$E$698,$AA252,'Shortlisted Drugs X Company (7)'!$P$3:$P$698,"Exact")+COUNTIFS('Shortlisted Drugs X Company (7)'!$C$3:$C$698,$B252,'Shortlisted Drugs X Company (7)'!$E$3:$E$698,$AA252,'Shortlisted Drugs X Company (7)'!$P$3:$P$698,"Same-market proxy")</f>
        <v>1</v>
      </c>
      <c r="AH252" s="22" t="n">
        <f aca="false">INDEX($G$7:$G$25,MATCH(A252,$A$7:$A$25,0))</f>
        <v>15</v>
      </c>
      <c r="AI252" s="79" t="str">
        <f aca="false">IF(OR(Q252="No",LEFT(H252,7)="IV only"),"",AH252*1000+IF(F252="",900+COUNTIFS($A$29:A252,A252,$H$29:H252,"Price*"),F252))</f>
        <v/>
      </c>
      <c r="AJ252" s="79" t="str">
        <f aca="false">IF(H252&lt;&gt;"","",(4-VALUE(RIGHT(E252,1)))*10^7+N(O252))</f>
        <v/>
      </c>
      <c r="AK252" s="79" t="str">
        <f aca="false">IF(AND(H252="",ISNUMBER(I252)),I252,"")</f>
        <v/>
      </c>
      <c r="AL252" s="79" t="str">
        <f aca="false">IF(H252="",M252,"")</f>
        <v/>
      </c>
    </row>
    <row r="253" customFormat="false" ht="28.35" hidden="false" customHeight="false" outlineLevel="0" collapsed="false">
      <c r="A253" s="16" t="s">
        <v>235</v>
      </c>
      <c r="B253" s="16" t="s">
        <v>1211</v>
      </c>
      <c r="C253" s="17" t="s">
        <v>1212</v>
      </c>
      <c r="D253" s="17" t="s">
        <v>1213</v>
      </c>
      <c r="E253" s="15" t="str">
        <f aca="false">IF(H253&lt;&gt;"",IF(LEFT(H253,5)="Price","Excluded – price ≤ USD 5","Excluded – IV only"),IF(ISNUMBER(I253),IF(AND(I253&gt;=$C$3,M253&gt;=$E$3),"Priority 1",IF(OR(I253&gt;=$C$3,M253&gt;=$E$3),"Priority 2","Priority 3")),IF(M253&gt;=$E$3,"Priority 2","Priority 3")))</f>
        <v>Priority 3</v>
      </c>
      <c r="F253" s="15" t="n">
        <f aca="false">IF(H253&lt;&gt;"","",COUNTIFS($A$29:$A$361,A253,$H$29:$H$361,"",$AJ$29:$AJ$361,"&gt;"&amp;AJ253)+COUNTIFS($A$29:A253,A253,$H$29:H253,"",$AJ$29:AJ253,AJ253))</f>
        <v>7</v>
      </c>
      <c r="G253" s="17" t="str">
        <f aca="false">IF(H253&lt;&gt;"","",IF(ISNUMBER(I253),IF(I253&gt;=$C$3,"High price","Lower price"),"No price")&amp;", "&amp;IF(M253&gt;=$E$3,"high volume","lower volume"))</f>
        <v>Lower price, lower volume</v>
      </c>
      <c r="H253" s="17" t="str">
        <f aca="false">IF(Q253="No","IV only (no ID, IM or SC route)",IF(AND(AE253&gt;0,AF253=0),"Price ≤ USD 5",""))</f>
        <v/>
      </c>
      <c r="I253" s="18" t="n">
        <f aca="false">IF(AF253&gt;0,ROUND(AVERAGEIFS('Shortlisted Drugs X Company (7)'!$N$3:$N$698,'Shortlisted Drugs X Company (7)'!$C$3:$C$698,$B253,'Shortlisted Drugs X Company (7)'!$E$3:$E$698,$AA253,'Shortlisted Drugs X Company (7)'!$N$3:$N$698,"&gt;5"),2),"")</f>
        <v>6.81</v>
      </c>
      <c r="J253" s="17" t="str">
        <f aca="false">IF(COUNTIFS('Shortlisted Drugs X Company (7)'!$C$3:$C$698,$B253,'Shortlisted Drugs X Company (7)'!$E$3:$E$698,$AA253,'Shortlisted Drugs X Company (7)'!$P$3:$P$698,"Exact")&gt;0,"Exact",IF(COUNTIFS('Shortlisted Drugs X Company (7)'!$C$3:$C$698,$B253,'Shortlisted Drugs X Company (7)'!$E$3:$E$698,$AA253,'Shortlisted Drugs X Company (7)'!$P$3:$P$698,"Same-market proxy")&gt;0,"Same-market proxy",IF(COUNTIFS('Shortlisted Drugs X Company (7)'!$C$3:$C$698,$B253,'Shortlisted Drugs X Company (7)'!$E$3:$E$698,$AA253,'Shortlisted Drugs X Company (7)'!$P$3:$P$698,"Cross-market proxy")&gt;0,"Cross-market proxy",IF(COUNTIFS('Shortlisted Drugs X Company (7)'!$C$3:$C$698,$B253,'Shortlisted Drugs X Company (7)'!$E$3:$E$698,$AA253,'Shortlisted Drugs X Company (7)'!$P$3:$P$698,"Source not found")&gt;0,"Source not found","No price found"))))</f>
        <v>Cross-market proxy</v>
      </c>
      <c r="K253" s="19" t="n">
        <f aca="false">IFERROR(INDEX('Injectable Value'!$AB$28:$AB$178,MATCH(B253,'Injectable Value'!$A$28:$A$178,0)),"")</f>
        <v>58</v>
      </c>
      <c r="L253" s="77" t="n">
        <f aca="false">IFERROR(INDEX('Injectable Value'!$Z$28:$Z$178,MATCH(B253,'Injectable Value'!$A$28:$A$178,0)),"")</f>
        <v>0.257790111422073</v>
      </c>
      <c r="M253" s="19" t="n">
        <f aca="false">IFERROR(INDEX('Injectable Value'!$AC$28:$AC$178,MATCH(B253,'Injectable Value'!$A$28:$A$178,0)),"")</f>
        <v>15</v>
      </c>
      <c r="N253" s="19" t="n">
        <f aca="false">IFERROR(INDEX('Injectable Value'!$C$28:$C$178,MATCH(B253,'Injectable Value'!$A$28:$A$178,0)),"")</f>
        <v>1115.28</v>
      </c>
      <c r="O253" s="19" t="n">
        <f aca="false">IFERROR(ROUND(INDEX('Injectable Value'!$AA$28:$AA$178,MATCH(B253,'Injectable Value'!$A$28:$A$178,0)),1),"")</f>
        <v>287.5</v>
      </c>
      <c r="P253" s="16" t="str">
        <f aca="false">IFERROR(INDEX('Route of Administration'!$C$5:$C$155,MATCH(B253,'Route of Administration'!$A$5:$A$155,0)),"")</f>
        <v>IV, IM</v>
      </c>
      <c r="Q253" s="15" t="str">
        <f aca="false">IFERROR(INDEX('Route of Administration'!$D$5:$D$155,MATCH(B253,'Route of Administration'!$A$5:$A$155,0)),"")</f>
        <v>Yes</v>
      </c>
      <c r="R253" s="16" t="s">
        <v>349</v>
      </c>
      <c r="S253" s="17" t="s">
        <v>1214</v>
      </c>
      <c r="T253" s="16" t="s">
        <v>283</v>
      </c>
      <c r="U253" s="17" t="str">
        <f aca="false">""&amp;IF(AE253=0,"No price found","")&amp;IF(AND(AE253&gt;0,AF253=0,AG253=0),"Low price comes from another market – confirm with the company","")</f>
        <v/>
      </c>
      <c r="V253" s="17" t="s">
        <v>112</v>
      </c>
      <c r="W253" s="15" t="n">
        <v>1</v>
      </c>
      <c r="X253" s="17" t="s">
        <v>614</v>
      </c>
      <c r="Y253" s="17" t="s">
        <v>614</v>
      </c>
      <c r="Z253" s="17" t="s">
        <v>321</v>
      </c>
      <c r="AA253" s="16" t="s">
        <v>235</v>
      </c>
      <c r="AB253" s="78" t="s">
        <v>1215</v>
      </c>
      <c r="AC253" s="20" t="n">
        <f aca="false">IF(AE253&gt;0,ROUND(AVERAGEIFS('Shortlisted Drugs X Company (7)'!$N$3:$N$698,'Shortlisted Drugs X Company (7)'!$C$3:$C$698,$B253,'Shortlisted Drugs X Company (7)'!$E$3:$E$698,$AA253,'Shortlisted Drugs X Company (7)'!$N$3:$N$698,"&gt;=0"),2),"")</f>
        <v>4.09</v>
      </c>
      <c r="AD253" s="79" t="str">
        <f aca="false">B253&amp;"|"&amp;AA253</f>
        <v>Fentanyl|Lupin</v>
      </c>
      <c r="AE253" s="22" t="n">
        <f aca="false">COUNTIFS('Shortlisted Drugs X Company (7)'!$C$3:$C$698,$B253,'Shortlisted Drugs X Company (7)'!$E$3:$E$698,$AA253,'Shortlisted Drugs X Company (7)'!$N$3:$N$698,"&gt;=0")</f>
        <v>2</v>
      </c>
      <c r="AF253" s="22" t="n">
        <f aca="false">COUNTIFS('Shortlisted Drugs X Company (7)'!$C$3:$C$698,$B253,'Shortlisted Drugs X Company (7)'!$E$3:$E$698,$AA253,'Shortlisted Drugs X Company (7)'!$N$3:$N$698,"&gt;5")</f>
        <v>1</v>
      </c>
      <c r="AG253" s="22" t="n">
        <f aca="false">COUNTIFS('Shortlisted Drugs X Company (7)'!$C$3:$C$698,$B253,'Shortlisted Drugs X Company (7)'!$E$3:$E$698,$AA253,'Shortlisted Drugs X Company (7)'!$P$3:$P$698,"Exact")+COUNTIFS('Shortlisted Drugs X Company (7)'!$C$3:$C$698,$B253,'Shortlisted Drugs X Company (7)'!$E$3:$E$698,$AA253,'Shortlisted Drugs X Company (7)'!$P$3:$P$698,"Same-market proxy")</f>
        <v>0</v>
      </c>
      <c r="AH253" s="22" t="n">
        <f aca="false">INDEX($G$7:$G$25,MATCH(A253,$A$7:$A$25,0))</f>
        <v>15</v>
      </c>
      <c r="AI253" s="79" t="n">
        <f aca="false">IF(OR(Q253="No",LEFT(H253,7)="IV only"),"",AH253*1000+IF(F253="",900+COUNTIFS($A$29:A253,A253,$H$29:H253,"Price*"),F253))</f>
        <v>15007</v>
      </c>
      <c r="AJ253" s="79" t="n">
        <f aca="false">IF(H253&lt;&gt;"","",(4-VALUE(RIGHT(E253,1)))*10^7+N(O253))</f>
        <v>10000287.5</v>
      </c>
      <c r="AK253" s="20" t="n">
        <f aca="false">IF(AND(H253="",ISNUMBER(I253)),I253,"")</f>
        <v>6.81</v>
      </c>
      <c r="AL253" s="21" t="n">
        <f aca="false">IF(H253="",M253,"")</f>
        <v>15</v>
      </c>
    </row>
    <row r="254" customFormat="false" ht="28.35" hidden="false" customHeight="false" outlineLevel="0" collapsed="false">
      <c r="A254" s="16" t="s">
        <v>235</v>
      </c>
      <c r="B254" s="16" t="s">
        <v>483</v>
      </c>
      <c r="C254" s="17" t="s">
        <v>1216</v>
      </c>
      <c r="D254" s="17" t="s">
        <v>485</v>
      </c>
      <c r="E254" s="15" t="str">
        <f aca="false">IF(H254&lt;&gt;"",IF(LEFT(H254,5)="Price","Excluded – price ≤ USD 5","Excluded – IV only"),IF(ISNUMBER(I254),IF(AND(I254&gt;=$C$3,M254&gt;=$E$3),"Priority 1",IF(OR(I254&gt;=$C$3,M254&gt;=$E$3),"Priority 2","Priority 3")),IF(M254&gt;=$E$3,"Priority 2","Priority 3")))</f>
        <v>Excluded – IV only</v>
      </c>
      <c r="F254" s="15" t="str">
        <f aca="false">IF(H254&lt;&gt;"","",COUNTIFS($A$29:$A$361,A254,$H$29:$H$361,"",$AJ$29:$AJ$361,"&gt;"&amp;AJ254)+COUNTIFS($A$29:A254,A254,$H$29:H254,"",$AJ$29:AJ254,AJ254))</f>
        <v/>
      </c>
      <c r="G254" s="17" t="str">
        <f aca="false">IF(H254&lt;&gt;"","",IF(ISNUMBER(I254),IF(I254&gt;=$C$3,"High price","Lower price"),"No price")&amp;", "&amp;IF(M254&gt;=$E$3,"high volume","lower volume"))</f>
        <v/>
      </c>
      <c r="H254" s="17" t="str">
        <f aca="false">IF(Q254="No","IV only (no ID, IM or SC route)",IF(AND(AE254&gt;0,AF254=0),"Price ≤ USD 5",""))</f>
        <v>IV only (no ID, IM or SC route)</v>
      </c>
      <c r="I254" s="18" t="n">
        <f aca="false">IF(AF254&gt;0,ROUND(AVERAGEIFS('Shortlisted Drugs X Company (7)'!$N$3:$N$698,'Shortlisted Drugs X Company (7)'!$C$3:$C$698,$B254,'Shortlisted Drugs X Company (7)'!$E$3:$E$698,$AA254,'Shortlisted Drugs X Company (7)'!$N$3:$N$698,"&gt;5"),2),"")</f>
        <v>11.1</v>
      </c>
      <c r="J254" s="17" t="str">
        <f aca="false">IF(COUNTIFS('Shortlisted Drugs X Company (7)'!$C$3:$C$698,$B254,'Shortlisted Drugs X Company (7)'!$E$3:$E$698,$AA254,'Shortlisted Drugs X Company (7)'!$P$3:$P$698,"Exact")&gt;0,"Exact",IF(COUNTIFS('Shortlisted Drugs X Company (7)'!$C$3:$C$698,$B254,'Shortlisted Drugs X Company (7)'!$E$3:$E$698,$AA254,'Shortlisted Drugs X Company (7)'!$P$3:$P$698,"Same-market proxy")&gt;0,"Same-market proxy",IF(COUNTIFS('Shortlisted Drugs X Company (7)'!$C$3:$C$698,$B254,'Shortlisted Drugs X Company (7)'!$E$3:$E$698,$AA254,'Shortlisted Drugs X Company (7)'!$P$3:$P$698,"Cross-market proxy")&gt;0,"Cross-market proxy",IF(COUNTIFS('Shortlisted Drugs X Company (7)'!$C$3:$C$698,$B254,'Shortlisted Drugs X Company (7)'!$E$3:$E$698,$AA254,'Shortlisted Drugs X Company (7)'!$P$3:$P$698,"Source not found")&gt;0,"Source not found","No price found"))))</f>
        <v>Exact</v>
      </c>
      <c r="K254" s="19" t="n">
        <f aca="false">IFERROR(INDEX('Injectable Value'!$AB$28:$AB$178,MATCH(B254,'Injectable Value'!$A$28:$A$178,0)),"")</f>
        <v>1185</v>
      </c>
      <c r="L254" s="77" t="n">
        <f aca="false">IFERROR(INDEX('Injectable Value'!$Z$28:$Z$178,MATCH(B254,'Injectable Value'!$A$28:$A$178,0)),"")</f>
        <v>0.991808067465962</v>
      </c>
      <c r="M254" s="19" t="n">
        <f aca="false">IFERROR(INDEX('Injectable Value'!$AC$28:$AC$178,MATCH(B254,'Injectable Value'!$A$28:$A$178,0)),"")</f>
        <v>1175</v>
      </c>
      <c r="N254" s="19" t="n">
        <f aca="false">IFERROR(INDEX('Injectable Value'!$C$28:$C$178,MATCH(B254,'Injectable Value'!$A$28:$A$178,0)),"")</f>
        <v>59407.06</v>
      </c>
      <c r="O254" s="19" t="n">
        <f aca="false">IFERROR(ROUND(INDEX('Injectable Value'!$AA$28:$AA$178,MATCH(B254,'Injectable Value'!$A$28:$A$178,0)),1),"")</f>
        <v>58920.4</v>
      </c>
      <c r="P254" s="16" t="str">
        <f aca="false">IFERROR(INDEX('Route of Administration'!$C$5:$C$155,MATCH(B254,'Route of Administration'!$A$5:$A$155,0)),"")</f>
        <v>IV</v>
      </c>
      <c r="Q254" s="15" t="str">
        <f aca="false">IFERROR(INDEX('Route of Administration'!$D$5:$D$155,MATCH(B254,'Route of Administration'!$A$5:$A$155,0)),"")</f>
        <v>No</v>
      </c>
      <c r="R254" s="16" t="s">
        <v>281</v>
      </c>
      <c r="S254" s="17" t="s">
        <v>1217</v>
      </c>
      <c r="T254" s="16" t="s">
        <v>359</v>
      </c>
      <c r="U254" s="17" t="str">
        <f aca="false">"Reconstitution"&amp;IF(AE254=0,"; No price found","")&amp;IF(AND(AE254&gt;0,AF254=0,AG254=0),"; Low price comes from another market – confirm with the company","")</f>
        <v>Reconstitution</v>
      </c>
      <c r="V254" s="17" t="s">
        <v>112</v>
      </c>
      <c r="W254" s="15" t="n">
        <v>2</v>
      </c>
      <c r="X254" s="17" t="s">
        <v>619</v>
      </c>
      <c r="Y254" s="17" t="s">
        <v>619</v>
      </c>
      <c r="Z254" s="17" t="s">
        <v>286</v>
      </c>
      <c r="AA254" s="16" t="s">
        <v>235</v>
      </c>
      <c r="AB254" s="78" t="s">
        <v>490</v>
      </c>
      <c r="AC254" s="20" t="n">
        <f aca="false">IF(AE254&gt;0,ROUND(AVERAGEIFS('Shortlisted Drugs X Company (7)'!$N$3:$N$698,'Shortlisted Drugs X Company (7)'!$C$3:$C$698,$B254,'Shortlisted Drugs X Company (7)'!$E$3:$E$698,$AA254,'Shortlisted Drugs X Company (7)'!$N$3:$N$698,"&gt;=0"),2),"")</f>
        <v>11.1</v>
      </c>
      <c r="AD254" s="79" t="str">
        <f aca="false">B254&amp;"|"&amp;AA254</f>
        <v>Meropenem|Lupin</v>
      </c>
      <c r="AE254" s="22" t="n">
        <f aca="false">COUNTIFS('Shortlisted Drugs X Company (7)'!$C$3:$C$698,$B254,'Shortlisted Drugs X Company (7)'!$E$3:$E$698,$AA254,'Shortlisted Drugs X Company (7)'!$N$3:$N$698,"&gt;=0")</f>
        <v>4</v>
      </c>
      <c r="AF254" s="22" t="n">
        <f aca="false">COUNTIFS('Shortlisted Drugs X Company (7)'!$C$3:$C$698,$B254,'Shortlisted Drugs X Company (7)'!$E$3:$E$698,$AA254,'Shortlisted Drugs X Company (7)'!$N$3:$N$698,"&gt;5")</f>
        <v>4</v>
      </c>
      <c r="AG254" s="22" t="n">
        <f aca="false">COUNTIFS('Shortlisted Drugs X Company (7)'!$C$3:$C$698,$B254,'Shortlisted Drugs X Company (7)'!$E$3:$E$698,$AA254,'Shortlisted Drugs X Company (7)'!$P$3:$P$698,"Exact")+COUNTIFS('Shortlisted Drugs X Company (7)'!$C$3:$C$698,$B254,'Shortlisted Drugs X Company (7)'!$E$3:$E$698,$AA254,'Shortlisted Drugs X Company (7)'!$P$3:$P$698,"Same-market proxy")</f>
        <v>4</v>
      </c>
      <c r="AH254" s="22" t="n">
        <f aca="false">INDEX($G$7:$G$25,MATCH(A254,$A$7:$A$25,0))</f>
        <v>15</v>
      </c>
      <c r="AI254" s="79" t="str">
        <f aca="false">IF(OR(Q254="No",LEFT(H254,7)="IV only"),"",AH254*1000+IF(F254="",900+COUNTIFS($A$29:A254,A254,$H$29:H254,"Price*"),F254))</f>
        <v/>
      </c>
      <c r="AJ254" s="79" t="str">
        <f aca="false">IF(H254&lt;&gt;"","",(4-VALUE(RIGHT(E254,1)))*10^7+N(O254))</f>
        <v/>
      </c>
      <c r="AK254" s="79" t="str">
        <f aca="false">IF(AND(H254="",ISNUMBER(I254)),I254,"")</f>
        <v/>
      </c>
      <c r="AL254" s="79" t="str">
        <f aca="false">IF(H254="",M254,"")</f>
        <v/>
      </c>
    </row>
    <row r="255" customFormat="false" ht="41.75" hidden="false" customHeight="false" outlineLevel="0" collapsed="false">
      <c r="A255" s="16" t="s">
        <v>235</v>
      </c>
      <c r="B255" s="16" t="s">
        <v>819</v>
      </c>
      <c r="C255" s="17" t="s">
        <v>1218</v>
      </c>
      <c r="D255" s="17" t="s">
        <v>821</v>
      </c>
      <c r="E255" s="15" t="str">
        <f aca="false">IF(H255&lt;&gt;"",IF(LEFT(H255,5)="Price","Excluded – price ≤ USD 5","Excluded – IV only"),IF(ISNUMBER(I255),IF(AND(I255&gt;=$C$3,M255&gt;=$E$3),"Priority 1",IF(OR(I255&gt;=$C$3,M255&gt;=$E$3),"Priority 2","Priority 3")),IF(M255&gt;=$E$3,"Priority 2","Priority 3")))</f>
        <v>Excluded – IV only</v>
      </c>
      <c r="F255" s="15" t="str">
        <f aca="false">IF(H255&lt;&gt;"","",COUNTIFS($A$29:$A$361,A255,$H$29:$H$361,"",$AJ$29:$AJ$361,"&gt;"&amp;AJ255)+COUNTIFS($A$29:A255,A255,$H$29:H255,"",$AJ$29:AJ255,AJ255))</f>
        <v/>
      </c>
      <c r="G255" s="17" t="str">
        <f aca="false">IF(H255&lt;&gt;"","",IF(ISNUMBER(I255),IF(I255&gt;=$C$3,"High price","Lower price"),"No price")&amp;", "&amp;IF(M255&gt;=$E$3,"high volume","lower volume"))</f>
        <v/>
      </c>
      <c r="H255" s="17" t="str">
        <f aca="false">IF(Q255="No","IV only (no ID, IM or SC route)",IF(AND(AE255&gt;0,AF255=0),"Price ≤ USD 5",""))</f>
        <v>IV only (no ID, IM or SC route)</v>
      </c>
      <c r="I255" s="18" t="str">
        <f aca="false">IF(AF255&gt;0,ROUND(AVERAGEIFS('Shortlisted Drugs X Company (7)'!$N$3:$N$698,'Shortlisted Drugs X Company (7)'!$C$3:$C$698,$B255,'Shortlisted Drugs X Company (7)'!$E$3:$E$698,$AA255,'Shortlisted Drugs X Company (7)'!$N$3:$N$698,"&gt;5"),2),"")</f>
        <v/>
      </c>
      <c r="J255" s="17" t="str">
        <f aca="false">IF(COUNTIFS('Shortlisted Drugs X Company (7)'!$C$3:$C$698,$B255,'Shortlisted Drugs X Company (7)'!$E$3:$E$698,$AA255,'Shortlisted Drugs X Company (7)'!$P$3:$P$698,"Exact")&gt;0,"Exact",IF(COUNTIFS('Shortlisted Drugs X Company (7)'!$C$3:$C$698,$B255,'Shortlisted Drugs X Company (7)'!$E$3:$E$698,$AA255,'Shortlisted Drugs X Company (7)'!$P$3:$P$698,"Same-market proxy")&gt;0,"Same-market proxy",IF(COUNTIFS('Shortlisted Drugs X Company (7)'!$C$3:$C$698,$B255,'Shortlisted Drugs X Company (7)'!$E$3:$E$698,$AA255,'Shortlisted Drugs X Company (7)'!$P$3:$P$698,"Cross-market proxy")&gt;0,"Cross-market proxy",IF(COUNTIFS('Shortlisted Drugs X Company (7)'!$C$3:$C$698,$B255,'Shortlisted Drugs X Company (7)'!$E$3:$E$698,$AA255,'Shortlisted Drugs X Company (7)'!$P$3:$P$698,"Source not found")&gt;0,"Source not found","No price found"))))</f>
        <v>Cross-market proxy</v>
      </c>
      <c r="K255" s="19" t="n">
        <f aca="false">IFERROR(INDEX('Injectable Value'!$AB$28:$AB$178,MATCH(B255,'Injectable Value'!$A$28:$A$178,0)),"")</f>
        <v>133</v>
      </c>
      <c r="L255" s="77" t="n">
        <f aca="false">IFERROR(INDEX('Injectable Value'!$Z$28:$Z$178,MATCH(B255,'Injectable Value'!$A$28:$A$178,0)),"")</f>
        <v>1</v>
      </c>
      <c r="M255" s="19" t="n">
        <f aca="false">IFERROR(INDEX('Injectable Value'!$AC$28:$AC$178,MATCH(B255,'Injectable Value'!$A$28:$A$178,0)),"")</f>
        <v>133</v>
      </c>
      <c r="N255" s="19" t="n">
        <f aca="false">IFERROR(INDEX('Injectable Value'!$C$28:$C$178,MATCH(B255,'Injectable Value'!$A$28:$A$178,0)),"")</f>
        <v>4036.55</v>
      </c>
      <c r="O255" s="19" t="n">
        <f aca="false">IFERROR(ROUND(INDEX('Injectable Value'!$AA$28:$AA$178,MATCH(B255,'Injectable Value'!$A$28:$A$178,0)),1),"")</f>
        <v>4036.6</v>
      </c>
      <c r="P255" s="16" t="str">
        <f aca="false">IFERROR(INDEX('Route of Administration'!$C$5:$C$155,MATCH(B255,'Route of Administration'!$A$5:$A$155,0)),"")</f>
        <v>IV</v>
      </c>
      <c r="Q255" s="15" t="str">
        <f aca="false">IFERROR(INDEX('Route of Administration'!$D$5:$D$155,MATCH(B255,'Route of Administration'!$A$5:$A$155,0)),"")</f>
        <v>No</v>
      </c>
      <c r="R255" s="16" t="s">
        <v>349</v>
      </c>
      <c r="S255" s="17" t="s">
        <v>1219</v>
      </c>
      <c r="T255" s="16" t="s">
        <v>283</v>
      </c>
      <c r="U255" s="17" t="str">
        <f aca="false">""&amp;IF(AE255=0,"No price found","")&amp;IF(AND(AE255&gt;0,AF255=0,AG255=0),"Low price comes from another market – confirm with the company","")</f>
        <v>Low price comes from another market – confirm with the company</v>
      </c>
      <c r="V255" s="17" t="s">
        <v>112</v>
      </c>
      <c r="W255" s="15" t="n">
        <v>1</v>
      </c>
      <c r="X255" s="17" t="s">
        <v>614</v>
      </c>
      <c r="Y255" s="17" t="s">
        <v>614</v>
      </c>
      <c r="Z255" s="17" t="s">
        <v>286</v>
      </c>
      <c r="AA255" s="16" t="s">
        <v>235</v>
      </c>
      <c r="AB255" s="78" t="s">
        <v>823</v>
      </c>
      <c r="AC255" s="20" t="n">
        <f aca="false">IF(AE255&gt;0,ROUND(AVERAGEIFS('Shortlisted Drugs X Company (7)'!$N$3:$N$698,'Shortlisted Drugs X Company (7)'!$C$3:$C$698,$B255,'Shortlisted Drugs X Company (7)'!$E$3:$E$698,$AA255,'Shortlisted Drugs X Company (7)'!$N$3:$N$698,"&gt;=0"),2),"")</f>
        <v>2.29</v>
      </c>
      <c r="AD255" s="79" t="str">
        <f aca="false">B255&amp;"|"&amp;AA255</f>
        <v>Milrinone|Lupin</v>
      </c>
      <c r="AE255" s="22" t="n">
        <f aca="false">COUNTIFS('Shortlisted Drugs X Company (7)'!$C$3:$C$698,$B255,'Shortlisted Drugs X Company (7)'!$E$3:$E$698,$AA255,'Shortlisted Drugs X Company (7)'!$N$3:$N$698,"&gt;=0")</f>
        <v>1</v>
      </c>
      <c r="AF255" s="22" t="n">
        <f aca="false">COUNTIFS('Shortlisted Drugs X Company (7)'!$C$3:$C$698,$B255,'Shortlisted Drugs X Company (7)'!$E$3:$E$698,$AA255,'Shortlisted Drugs X Company (7)'!$N$3:$N$698,"&gt;5")</f>
        <v>0</v>
      </c>
      <c r="AG255" s="22" t="n">
        <f aca="false">COUNTIFS('Shortlisted Drugs X Company (7)'!$C$3:$C$698,$B255,'Shortlisted Drugs X Company (7)'!$E$3:$E$698,$AA255,'Shortlisted Drugs X Company (7)'!$P$3:$P$698,"Exact")+COUNTIFS('Shortlisted Drugs X Company (7)'!$C$3:$C$698,$B255,'Shortlisted Drugs X Company (7)'!$E$3:$E$698,$AA255,'Shortlisted Drugs X Company (7)'!$P$3:$P$698,"Same-market proxy")</f>
        <v>0</v>
      </c>
      <c r="AH255" s="22" t="n">
        <f aca="false">INDEX($G$7:$G$25,MATCH(A255,$A$7:$A$25,0))</f>
        <v>15</v>
      </c>
      <c r="AI255" s="79" t="str">
        <f aca="false">IF(OR(Q255="No",LEFT(H255,7)="IV only"),"",AH255*1000+IF(F255="",900+COUNTIFS($A$29:A255,A255,$H$29:H255,"Price*"),F255))</f>
        <v/>
      </c>
      <c r="AJ255" s="79" t="str">
        <f aca="false">IF(H255&lt;&gt;"","",(4-VALUE(RIGHT(E255,1)))*10^7+N(O255))</f>
        <v/>
      </c>
      <c r="AK255" s="79" t="str">
        <f aca="false">IF(AND(H255="",ISNUMBER(I255)),I255,"")</f>
        <v/>
      </c>
      <c r="AL255" s="79" t="str">
        <f aca="false">IF(H255="",M255,"")</f>
        <v/>
      </c>
    </row>
    <row r="256" customFormat="false" ht="28.35" hidden="false" customHeight="false" outlineLevel="0" collapsed="false">
      <c r="A256" s="16" t="s">
        <v>235</v>
      </c>
      <c r="B256" s="16" t="s">
        <v>1220</v>
      </c>
      <c r="C256" s="17" t="s">
        <v>1221</v>
      </c>
      <c r="D256" s="17" t="s">
        <v>1222</v>
      </c>
      <c r="E256" s="15" t="str">
        <f aca="false">IF(H256&lt;&gt;"",IF(LEFT(H256,5)="Price","Excluded – price ≤ USD 5","Excluded – IV only"),IF(ISNUMBER(I256),IF(AND(I256&gt;=$C$3,M256&gt;=$E$3),"Priority 1",IF(OR(I256&gt;=$C$3,M256&gt;=$E$3),"Priority 2","Priority 3")),IF(M256&gt;=$E$3,"Priority 2","Priority 3")))</f>
        <v>Priority 3</v>
      </c>
      <c r="F256" s="15" t="n">
        <f aca="false">IF(H256&lt;&gt;"","",COUNTIFS($A$29:$A$361,A256,$H$29:$H$361,"",$AJ$29:$AJ$361,"&gt;"&amp;AJ256)+COUNTIFS($A$29:A256,A256,$H$29:H256,"",$AJ$29:AJ256,AJ256))</f>
        <v>5</v>
      </c>
      <c r="G256" s="17" t="str">
        <f aca="false">IF(H256&lt;&gt;"","",IF(ISNUMBER(I256),IF(I256&gt;=$C$3,"High price","Lower price"),"No price")&amp;", "&amp;IF(M256&gt;=$E$3,"high volume","lower volume"))</f>
        <v>Lower price, lower volume</v>
      </c>
      <c r="H256" s="17" t="str">
        <f aca="false">IF(Q256="No","IV only (no ID, IM or SC route)",IF(AND(AE256&gt;0,AF256=0),"Price ≤ USD 5",""))</f>
        <v/>
      </c>
      <c r="I256" s="18" t="n">
        <f aca="false">IF(AF256&gt;0,ROUND(AVERAGEIFS('Shortlisted Drugs X Company (7)'!$N$3:$N$698,'Shortlisted Drugs X Company (7)'!$C$3:$C$698,$B256,'Shortlisted Drugs X Company (7)'!$E$3:$E$698,$AA256,'Shortlisted Drugs X Company (7)'!$N$3:$N$698,"&gt;5"),2),"")</f>
        <v>18.28</v>
      </c>
      <c r="J256" s="17" t="str">
        <f aca="false">IF(COUNTIFS('Shortlisted Drugs X Company (7)'!$C$3:$C$698,$B256,'Shortlisted Drugs X Company (7)'!$E$3:$E$698,$AA256,'Shortlisted Drugs X Company (7)'!$P$3:$P$698,"Exact")&gt;0,"Exact",IF(COUNTIFS('Shortlisted Drugs X Company (7)'!$C$3:$C$698,$B256,'Shortlisted Drugs X Company (7)'!$E$3:$E$698,$AA256,'Shortlisted Drugs X Company (7)'!$P$3:$P$698,"Same-market proxy")&gt;0,"Same-market proxy",IF(COUNTIFS('Shortlisted Drugs X Company (7)'!$C$3:$C$698,$B256,'Shortlisted Drugs X Company (7)'!$E$3:$E$698,$AA256,'Shortlisted Drugs X Company (7)'!$P$3:$P$698,"Cross-market proxy")&gt;0,"Cross-market proxy",IF(COUNTIFS('Shortlisted Drugs X Company (7)'!$C$3:$C$698,$B256,'Shortlisted Drugs X Company (7)'!$E$3:$E$698,$AA256,'Shortlisted Drugs X Company (7)'!$P$3:$P$698,"Source not found")&gt;0,"Source not found","No price found"))))</f>
        <v>Same-market proxy</v>
      </c>
      <c r="K256" s="19" t="n">
        <f aca="false">IFERROR(INDEX('Injectable Value'!$AB$28:$AB$178,MATCH(B256,'Injectable Value'!$A$28:$A$178,0)),"")</f>
        <v>2061</v>
      </c>
      <c r="L256" s="77" t="n">
        <f aca="false">IFERROR(INDEX('Injectable Value'!$Z$28:$Z$178,MATCH(B256,'Injectable Value'!$A$28:$A$178,0)),"")</f>
        <v>0.0316233131485411</v>
      </c>
      <c r="M256" s="19" t="n">
        <f aca="false">IFERROR(INDEX('Injectable Value'!$AC$28:$AC$178,MATCH(B256,'Injectable Value'!$A$28:$A$178,0)),"")</f>
        <v>65</v>
      </c>
      <c r="N256" s="19" t="n">
        <f aca="false">IFERROR(INDEX('Injectable Value'!$C$28:$C$178,MATCH(B256,'Injectable Value'!$A$28:$A$178,0)),"")</f>
        <v>38680.23</v>
      </c>
      <c r="O256" s="19" t="n">
        <f aca="false">IFERROR(ROUND(INDEX('Injectable Value'!$AA$28:$AA$178,MATCH(B256,'Injectable Value'!$A$28:$A$178,0)),1),"")</f>
        <v>1223.2</v>
      </c>
      <c r="P256" s="16" t="str">
        <f aca="false">IFERROR(INDEX('Route of Administration'!$C$5:$C$155,MATCH(B256,'Route of Administration'!$A$5:$A$155,0)),"")</f>
        <v>IM</v>
      </c>
      <c r="Q256" s="15" t="str">
        <f aca="false">IFERROR(INDEX('Route of Administration'!$D$5:$D$155,MATCH(B256,'Route of Administration'!$A$5:$A$155,0)),"")</f>
        <v>Yes</v>
      </c>
      <c r="R256" s="16" t="s">
        <v>281</v>
      </c>
      <c r="S256" s="17" t="s">
        <v>1223</v>
      </c>
      <c r="T256" s="16" t="s">
        <v>333</v>
      </c>
      <c r="U256" s="17" t="str">
        <f aca="false">"Reconstitution"&amp;IF(AE256=0,"; No price found","")&amp;IF(AND(AE256&gt;0,AF256=0,AG256=0),"; Low price comes from another market – confirm with the company","")</f>
        <v>Reconstitution</v>
      </c>
      <c r="V256" s="17" t="s">
        <v>112</v>
      </c>
      <c r="W256" s="15" t="n">
        <v>1</v>
      </c>
      <c r="X256" s="17" t="s">
        <v>614</v>
      </c>
      <c r="Y256" s="17" t="s">
        <v>614</v>
      </c>
      <c r="Z256" s="17" t="s">
        <v>321</v>
      </c>
      <c r="AA256" s="16" t="s">
        <v>235</v>
      </c>
      <c r="AB256" s="78" t="s">
        <v>1224</v>
      </c>
      <c r="AC256" s="20" t="n">
        <f aca="false">IF(AE256&gt;0,ROUND(AVERAGEIFS('Shortlisted Drugs X Company (7)'!$N$3:$N$698,'Shortlisted Drugs X Company (7)'!$C$3:$C$698,$B256,'Shortlisted Drugs X Company (7)'!$E$3:$E$698,$AA256,'Shortlisted Drugs X Company (7)'!$N$3:$N$698,"&gt;=0"),2),"")</f>
        <v>18.28</v>
      </c>
      <c r="AD256" s="79" t="str">
        <f aca="false">B256&amp;"|"&amp;AA256</f>
        <v>Olanzapine|Lupin</v>
      </c>
      <c r="AE256" s="22" t="n">
        <f aca="false">COUNTIFS('Shortlisted Drugs X Company (7)'!$C$3:$C$698,$B256,'Shortlisted Drugs X Company (7)'!$E$3:$E$698,$AA256,'Shortlisted Drugs X Company (7)'!$N$3:$N$698,"&gt;=0")</f>
        <v>1</v>
      </c>
      <c r="AF256" s="22" t="n">
        <f aca="false">COUNTIFS('Shortlisted Drugs X Company (7)'!$C$3:$C$698,$B256,'Shortlisted Drugs X Company (7)'!$E$3:$E$698,$AA256,'Shortlisted Drugs X Company (7)'!$N$3:$N$698,"&gt;5")</f>
        <v>1</v>
      </c>
      <c r="AG256" s="22" t="n">
        <f aca="false">COUNTIFS('Shortlisted Drugs X Company (7)'!$C$3:$C$698,$B256,'Shortlisted Drugs X Company (7)'!$E$3:$E$698,$AA256,'Shortlisted Drugs X Company (7)'!$P$3:$P$698,"Exact")+COUNTIFS('Shortlisted Drugs X Company (7)'!$C$3:$C$698,$B256,'Shortlisted Drugs X Company (7)'!$E$3:$E$698,$AA256,'Shortlisted Drugs X Company (7)'!$P$3:$P$698,"Same-market proxy")</f>
        <v>1</v>
      </c>
      <c r="AH256" s="22" t="n">
        <f aca="false">INDEX($G$7:$G$25,MATCH(A256,$A$7:$A$25,0))</f>
        <v>15</v>
      </c>
      <c r="AI256" s="79" t="n">
        <f aca="false">IF(OR(Q256="No",LEFT(H256,7)="IV only"),"",AH256*1000+IF(F256="",900+COUNTIFS($A$29:A256,A256,$H$29:H256,"Price*"),F256))</f>
        <v>15005</v>
      </c>
      <c r="AJ256" s="79" t="n">
        <f aca="false">IF(H256&lt;&gt;"","",(4-VALUE(RIGHT(E256,1)))*10^7+N(O256))</f>
        <v>10001223.2</v>
      </c>
      <c r="AK256" s="20" t="n">
        <f aca="false">IF(AND(H256="",ISNUMBER(I256)),I256,"")</f>
        <v>18.28</v>
      </c>
      <c r="AL256" s="21" t="n">
        <f aca="false">IF(H256="",M256,"")</f>
        <v>65</v>
      </c>
    </row>
    <row r="257" customFormat="false" ht="28.35" hidden="false" customHeight="false" outlineLevel="0" collapsed="false">
      <c r="A257" s="16" t="s">
        <v>235</v>
      </c>
      <c r="B257" s="16" t="s">
        <v>1225</v>
      </c>
      <c r="C257" s="17" t="s">
        <v>1226</v>
      </c>
      <c r="D257" s="17" t="s">
        <v>1227</v>
      </c>
      <c r="E257" s="15" t="str">
        <f aca="false">IF(H257&lt;&gt;"",IF(LEFT(H257,5)="Price","Excluded – price ≤ USD 5","Excluded – IV only"),IF(ISNUMBER(I257),IF(AND(I257&gt;=$C$3,M257&gt;=$E$3),"Priority 1",IF(OR(I257&gt;=$C$3,M257&gt;=$E$3),"Priority 2","Priority 3")),IF(M257&gt;=$E$3,"Priority 2","Priority 3")))</f>
        <v>Priority 2</v>
      </c>
      <c r="F257" s="15" t="n">
        <f aca="false">IF(H257&lt;&gt;"","",COUNTIFS($A$29:$A$361,A257,$H$29:$H$361,"",$AJ$29:$AJ$361,"&gt;"&amp;AJ257)+COUNTIFS($A$29:A257,A257,$H$29:H257,"",$AJ$29:AJ257,AJ257))</f>
        <v>2</v>
      </c>
      <c r="G257" s="17" t="str">
        <f aca="false">IF(H257&lt;&gt;"","",IF(ISNUMBER(I257),IF(I257&gt;=$C$3,"High price","Lower price"),"No price")&amp;", "&amp;IF(M257&gt;=$E$3,"high volume","lower volume"))</f>
        <v>Lower price, high volume</v>
      </c>
      <c r="H257" s="17" t="str">
        <f aca="false">IF(Q257="No","IV only (no ID, IM or SC route)",IF(AND(AE257&gt;0,AF257=0),"Price ≤ USD 5",""))</f>
        <v/>
      </c>
      <c r="I257" s="18" t="n">
        <f aca="false">IF(AF257&gt;0,ROUND(AVERAGEIFS('Shortlisted Drugs X Company (7)'!$N$3:$N$698,'Shortlisted Drugs X Company (7)'!$C$3:$C$698,$B257,'Shortlisted Drugs X Company (7)'!$E$3:$E$698,$AA257,'Shortlisted Drugs X Company (7)'!$N$3:$N$698,"&gt;5"),2),"")</f>
        <v>8.11</v>
      </c>
      <c r="J257" s="17" t="str">
        <f aca="false">IF(COUNTIFS('Shortlisted Drugs X Company (7)'!$C$3:$C$698,$B257,'Shortlisted Drugs X Company (7)'!$E$3:$E$698,$AA257,'Shortlisted Drugs X Company (7)'!$P$3:$P$698,"Exact")&gt;0,"Exact",IF(COUNTIFS('Shortlisted Drugs X Company (7)'!$C$3:$C$698,$B257,'Shortlisted Drugs X Company (7)'!$E$3:$E$698,$AA257,'Shortlisted Drugs X Company (7)'!$P$3:$P$698,"Same-market proxy")&gt;0,"Same-market proxy",IF(COUNTIFS('Shortlisted Drugs X Company (7)'!$C$3:$C$698,$B257,'Shortlisted Drugs X Company (7)'!$E$3:$E$698,$AA257,'Shortlisted Drugs X Company (7)'!$P$3:$P$698,"Cross-market proxy")&gt;0,"Cross-market proxy",IF(COUNTIFS('Shortlisted Drugs X Company (7)'!$C$3:$C$698,$B257,'Shortlisted Drugs X Company (7)'!$E$3:$E$698,$AA257,'Shortlisted Drugs X Company (7)'!$P$3:$P$698,"Source not found")&gt;0,"Source not found","No price found"))))</f>
        <v>Same-market proxy</v>
      </c>
      <c r="K257" s="19" t="n">
        <f aca="false">IFERROR(INDEX('Injectable Value'!$AB$28:$AB$178,MATCH(B257,'Injectable Value'!$A$28:$A$178,0)),"")</f>
        <v>309</v>
      </c>
      <c r="L257" s="77" t="n">
        <f aca="false">IFERROR(INDEX('Injectable Value'!$Z$28:$Z$178,MATCH(B257,'Injectable Value'!$A$28:$A$178,0)),"")</f>
        <v>0.983493397358944</v>
      </c>
      <c r="M257" s="19" t="n">
        <f aca="false">IFERROR(INDEX('Injectable Value'!$AC$28:$AC$178,MATCH(B257,'Injectable Value'!$A$28:$A$178,0)),"")</f>
        <v>304</v>
      </c>
      <c r="N257" s="19" t="n">
        <f aca="false">IFERROR(INDEX('Injectable Value'!$C$28:$C$178,MATCH(B257,'Injectable Value'!$A$28:$A$178,0)),"")</f>
        <v>8362.23</v>
      </c>
      <c r="O257" s="19" t="n">
        <f aca="false">IFERROR(ROUND(INDEX('Injectable Value'!$AA$28:$AA$178,MATCH(B257,'Injectable Value'!$A$28:$A$178,0)),1),"")</f>
        <v>8224.2</v>
      </c>
      <c r="P257" s="16" t="str">
        <f aca="false">IFERROR(INDEX('Route of Administration'!$C$5:$C$155,MATCH(B257,'Route of Administration'!$A$5:$A$155,0)),"")</f>
        <v>IV, IM</v>
      </c>
      <c r="Q257" s="15" t="str">
        <f aca="false">IFERROR(INDEX('Route of Administration'!$D$5:$D$155,MATCH(B257,'Route of Administration'!$A$5:$A$155,0)),"")</f>
        <v>Yes</v>
      </c>
      <c r="R257" s="16" t="s">
        <v>349</v>
      </c>
      <c r="S257" s="17" t="s">
        <v>1228</v>
      </c>
      <c r="T257" s="16" t="s">
        <v>283</v>
      </c>
      <c r="U257" s="17" t="str">
        <f aca="false">""&amp;IF(AE257=0,"No price found","")&amp;IF(AND(AE257&gt;0,AF257=0,AG257=0),"Low price comes from another market – confirm with the company","")</f>
        <v/>
      </c>
      <c r="V257" s="17" t="s">
        <v>112</v>
      </c>
      <c r="W257" s="15" t="n">
        <v>1</v>
      </c>
      <c r="X257" s="17" t="s">
        <v>614</v>
      </c>
      <c r="Y257" s="17" t="s">
        <v>614</v>
      </c>
      <c r="Z257" s="17" t="s">
        <v>321</v>
      </c>
      <c r="AA257" s="16" t="s">
        <v>235</v>
      </c>
      <c r="AB257" s="78" t="s">
        <v>1229</v>
      </c>
      <c r="AC257" s="20" t="n">
        <f aca="false">IF(AE257&gt;0,ROUND(AVERAGEIFS('Shortlisted Drugs X Company (7)'!$N$3:$N$698,'Shortlisted Drugs X Company (7)'!$C$3:$C$698,$B257,'Shortlisted Drugs X Company (7)'!$E$3:$E$698,$AA257,'Shortlisted Drugs X Company (7)'!$N$3:$N$698,"&gt;=0"),2),"")</f>
        <v>8.11</v>
      </c>
      <c r="AD257" s="79" t="str">
        <f aca="false">B257&amp;"|"&amp;AA257</f>
        <v>Oxytocin|Lupin</v>
      </c>
      <c r="AE257" s="22" t="n">
        <f aca="false">COUNTIFS('Shortlisted Drugs X Company (7)'!$C$3:$C$698,$B257,'Shortlisted Drugs X Company (7)'!$E$3:$E$698,$AA257,'Shortlisted Drugs X Company (7)'!$N$3:$N$698,"&gt;=0")</f>
        <v>1</v>
      </c>
      <c r="AF257" s="22" t="n">
        <f aca="false">COUNTIFS('Shortlisted Drugs X Company (7)'!$C$3:$C$698,$B257,'Shortlisted Drugs X Company (7)'!$E$3:$E$698,$AA257,'Shortlisted Drugs X Company (7)'!$N$3:$N$698,"&gt;5")</f>
        <v>1</v>
      </c>
      <c r="AG257" s="22" t="n">
        <f aca="false">COUNTIFS('Shortlisted Drugs X Company (7)'!$C$3:$C$698,$B257,'Shortlisted Drugs X Company (7)'!$E$3:$E$698,$AA257,'Shortlisted Drugs X Company (7)'!$P$3:$P$698,"Exact")+COUNTIFS('Shortlisted Drugs X Company (7)'!$C$3:$C$698,$B257,'Shortlisted Drugs X Company (7)'!$E$3:$E$698,$AA257,'Shortlisted Drugs X Company (7)'!$P$3:$P$698,"Same-market proxy")</f>
        <v>1</v>
      </c>
      <c r="AH257" s="22" t="n">
        <f aca="false">INDEX($G$7:$G$25,MATCH(A257,$A$7:$A$25,0))</f>
        <v>15</v>
      </c>
      <c r="AI257" s="79" t="n">
        <f aca="false">IF(OR(Q257="No",LEFT(H257,7)="IV only"),"",AH257*1000+IF(F257="",900+COUNTIFS($A$29:A257,A257,$H$29:H257,"Price*"),F257))</f>
        <v>15002</v>
      </c>
      <c r="AJ257" s="79" t="n">
        <f aca="false">IF(H257&lt;&gt;"","",(4-VALUE(RIGHT(E257,1)))*10^7+N(O257))</f>
        <v>20008224.2</v>
      </c>
      <c r="AK257" s="20" t="n">
        <f aca="false">IF(AND(H257="",ISNUMBER(I257)),I257,"")</f>
        <v>8.11</v>
      </c>
      <c r="AL257" s="21" t="n">
        <f aca="false">IF(H257="",M257,"")</f>
        <v>304</v>
      </c>
    </row>
    <row r="258" customFormat="false" ht="28.35" hidden="false" customHeight="false" outlineLevel="0" collapsed="false">
      <c r="A258" s="16" t="s">
        <v>235</v>
      </c>
      <c r="B258" s="16" t="s">
        <v>556</v>
      </c>
      <c r="C258" s="17" t="s">
        <v>1230</v>
      </c>
      <c r="D258" s="17" t="s">
        <v>558</v>
      </c>
      <c r="E258" s="15" t="str">
        <f aca="false">IF(H258&lt;&gt;"",IF(LEFT(H258,5)="Price","Excluded – price ≤ USD 5","Excluded – IV only"),IF(ISNUMBER(I258),IF(AND(I258&gt;=$C$3,M258&gt;=$E$3),"Priority 1",IF(OR(I258&gt;=$C$3,M258&gt;=$E$3),"Priority 2","Priority 3")),IF(M258&gt;=$E$3,"Priority 2","Priority 3")))</f>
        <v>Excluded – IV only</v>
      </c>
      <c r="F258" s="15" t="str">
        <f aca="false">IF(H258&lt;&gt;"","",COUNTIFS($A$29:$A$361,A258,$H$29:$H$361,"",$AJ$29:$AJ$361,"&gt;"&amp;AJ258)+COUNTIFS($A$29:A258,A258,$H$29:H258,"",$AJ$29:AJ258,AJ258))</f>
        <v/>
      </c>
      <c r="G258" s="17" t="str">
        <f aca="false">IF(H258&lt;&gt;"","",IF(ISNUMBER(I258),IF(I258&gt;=$C$3,"High price","Lower price"),"No price")&amp;", "&amp;IF(M258&gt;=$E$3,"high volume","lower volume"))</f>
        <v/>
      </c>
      <c r="H258" s="17" t="str">
        <f aca="false">IF(Q258="No","IV only (no ID, IM or SC route)",IF(AND(AE258&gt;0,AF258=0),"Price ≤ USD 5",""))</f>
        <v>IV only (no ID, IM or SC route)</v>
      </c>
      <c r="I258" s="18" t="n">
        <f aca="false">IF(AF258&gt;0,ROUND(AVERAGEIFS('Shortlisted Drugs X Company (7)'!$N$3:$N$698,'Shortlisted Drugs X Company (7)'!$C$3:$C$698,$B258,'Shortlisted Drugs X Company (7)'!$E$3:$E$698,$AA258,'Shortlisted Drugs X Company (7)'!$N$3:$N$698,"&gt;5"),2),"")</f>
        <v>13.94</v>
      </c>
      <c r="J258" s="17" t="str">
        <f aca="false">IF(COUNTIFS('Shortlisted Drugs X Company (7)'!$C$3:$C$698,$B258,'Shortlisted Drugs X Company (7)'!$E$3:$E$698,$AA258,'Shortlisted Drugs X Company (7)'!$P$3:$P$698,"Exact")&gt;0,"Exact",IF(COUNTIFS('Shortlisted Drugs X Company (7)'!$C$3:$C$698,$B258,'Shortlisted Drugs X Company (7)'!$E$3:$E$698,$AA258,'Shortlisted Drugs X Company (7)'!$P$3:$P$698,"Same-market proxy")&gt;0,"Same-market proxy",IF(COUNTIFS('Shortlisted Drugs X Company (7)'!$C$3:$C$698,$B258,'Shortlisted Drugs X Company (7)'!$E$3:$E$698,$AA258,'Shortlisted Drugs X Company (7)'!$P$3:$P$698,"Cross-market proxy")&gt;0,"Cross-market proxy",IF(COUNTIFS('Shortlisted Drugs X Company (7)'!$C$3:$C$698,$B258,'Shortlisted Drugs X Company (7)'!$E$3:$E$698,$AA258,'Shortlisted Drugs X Company (7)'!$P$3:$P$698,"Source not found")&gt;0,"Source not found","No price found"))))</f>
        <v>Exact</v>
      </c>
      <c r="K258" s="19" t="n">
        <f aca="false">IFERROR(INDEX('Injectable Value'!$AB$28:$AB$178,MATCH(B258,'Injectable Value'!$A$28:$A$178,0)),"")</f>
        <v>2</v>
      </c>
      <c r="L258" s="77" t="n">
        <f aca="false">IFERROR(INDEX('Injectable Value'!$Z$28:$Z$178,MATCH(B258,'Injectable Value'!$A$28:$A$178,0)),"")</f>
        <v>0.996078431372549</v>
      </c>
      <c r="M258" s="19" t="n">
        <f aca="false">IFERROR(INDEX('Injectable Value'!$AC$28:$AC$178,MATCH(B258,'Injectable Value'!$A$28:$A$178,0)),"")</f>
        <v>2</v>
      </c>
      <c r="N258" s="19" t="n">
        <f aca="false">IFERROR(INDEX('Injectable Value'!$C$28:$C$178,MATCH(B258,'Injectable Value'!$A$28:$A$178,0)),"")</f>
        <v>71.73</v>
      </c>
      <c r="O258" s="19" t="n">
        <f aca="false">IFERROR(ROUND(INDEX('Injectable Value'!$AA$28:$AA$178,MATCH(B258,'Injectable Value'!$A$28:$A$178,0)),1),"")</f>
        <v>71.4</v>
      </c>
      <c r="P258" s="16" t="str">
        <f aca="false">IFERROR(INDEX('Route of Administration'!$C$5:$C$155,MATCH(B258,'Route of Administration'!$A$5:$A$155,0)),"")</f>
        <v>IV</v>
      </c>
      <c r="Q258" s="15" t="str">
        <f aca="false">IFERROR(INDEX('Route of Administration'!$D$5:$D$155,MATCH(B258,'Route of Administration'!$A$5:$A$155,0)),"")</f>
        <v>No</v>
      </c>
      <c r="R258" s="16" t="s">
        <v>281</v>
      </c>
      <c r="S258" s="17" t="s">
        <v>1231</v>
      </c>
      <c r="T258" s="16" t="s">
        <v>283</v>
      </c>
      <c r="U258" s="17" t="str">
        <f aca="false">"Reconstitution"&amp;IF(AE258=0,"; No price found","")&amp;IF(AND(AE258&gt;0,AF258=0,AG258=0),"; Low price comes from another market – confirm with the company","")</f>
        <v>Reconstitution</v>
      </c>
      <c r="V258" s="17" t="s">
        <v>112</v>
      </c>
      <c r="W258" s="15" t="n">
        <v>1</v>
      </c>
      <c r="X258" s="17" t="s">
        <v>360</v>
      </c>
      <c r="Y258" s="17" t="s">
        <v>360</v>
      </c>
      <c r="Z258" s="17" t="s">
        <v>286</v>
      </c>
      <c r="AA258" s="16" t="s">
        <v>235</v>
      </c>
      <c r="AB258" s="78" t="s">
        <v>562</v>
      </c>
      <c r="AC258" s="20" t="n">
        <f aca="false">IF(AE258&gt;0,ROUND(AVERAGEIFS('Shortlisted Drugs X Company (7)'!$N$3:$N$698,'Shortlisted Drugs X Company (7)'!$C$3:$C$698,$B258,'Shortlisted Drugs X Company (7)'!$E$3:$E$698,$AA258,'Shortlisted Drugs X Company (7)'!$N$3:$N$698,"&gt;=0"),2),"")</f>
        <v>13.94</v>
      </c>
      <c r="AD258" s="79" t="str">
        <f aca="false">B258&amp;"|"&amp;AA258</f>
        <v>Remifentanil|Lupin</v>
      </c>
      <c r="AE258" s="22" t="n">
        <f aca="false">COUNTIFS('Shortlisted Drugs X Company (7)'!$C$3:$C$698,$B258,'Shortlisted Drugs X Company (7)'!$E$3:$E$698,$AA258,'Shortlisted Drugs X Company (7)'!$N$3:$N$698,"&gt;=0")</f>
        <v>2</v>
      </c>
      <c r="AF258" s="22" t="n">
        <f aca="false">COUNTIFS('Shortlisted Drugs X Company (7)'!$C$3:$C$698,$B258,'Shortlisted Drugs X Company (7)'!$E$3:$E$698,$AA258,'Shortlisted Drugs X Company (7)'!$N$3:$N$698,"&gt;5")</f>
        <v>2</v>
      </c>
      <c r="AG258" s="22" t="n">
        <f aca="false">COUNTIFS('Shortlisted Drugs X Company (7)'!$C$3:$C$698,$B258,'Shortlisted Drugs X Company (7)'!$E$3:$E$698,$AA258,'Shortlisted Drugs X Company (7)'!$P$3:$P$698,"Exact")+COUNTIFS('Shortlisted Drugs X Company (7)'!$C$3:$C$698,$B258,'Shortlisted Drugs X Company (7)'!$E$3:$E$698,$AA258,'Shortlisted Drugs X Company (7)'!$P$3:$P$698,"Same-market proxy")</f>
        <v>2</v>
      </c>
      <c r="AH258" s="22" t="n">
        <f aca="false">INDEX($G$7:$G$25,MATCH(A258,$A$7:$A$25,0))</f>
        <v>15</v>
      </c>
      <c r="AI258" s="79" t="str">
        <f aca="false">IF(OR(Q258="No",LEFT(H258,7)="IV only"),"",AH258*1000+IF(F258="",900+COUNTIFS($A$29:A258,A258,$H$29:H258,"Price*"),F258))</f>
        <v/>
      </c>
      <c r="AJ258" s="79" t="str">
        <f aca="false">IF(H258&lt;&gt;"","",(4-VALUE(RIGHT(E258,1)))*10^7+N(O258))</f>
        <v/>
      </c>
      <c r="AK258" s="79" t="str">
        <f aca="false">IF(AND(H258="",ISNUMBER(I258)),I258,"")</f>
        <v/>
      </c>
      <c r="AL258" s="79" t="str">
        <f aca="false">IF(H258="",M258,"")</f>
        <v/>
      </c>
    </row>
    <row r="259" customFormat="false" ht="41.75" hidden="false" customHeight="false" outlineLevel="0" collapsed="false">
      <c r="A259" s="16" t="s">
        <v>235</v>
      </c>
      <c r="B259" s="16" t="s">
        <v>665</v>
      </c>
      <c r="C259" s="17" t="s">
        <v>1232</v>
      </c>
      <c r="D259" s="17" t="s">
        <v>667</v>
      </c>
      <c r="E259" s="15" t="str">
        <f aca="false">IF(H259&lt;&gt;"",IF(LEFT(H259,5)="Price","Excluded – price ≤ USD 5","Excluded – IV only"),IF(ISNUMBER(I259),IF(AND(I259&gt;=$C$3,M259&gt;=$E$3),"Priority 1",IF(OR(I259&gt;=$C$3,M259&gt;=$E$3),"Priority 2","Priority 3")),IF(M259&gt;=$E$3,"Priority 2","Priority 3")))</f>
        <v>Excluded – IV only</v>
      </c>
      <c r="F259" s="15" t="str">
        <f aca="false">IF(H259&lt;&gt;"","",COUNTIFS($A$29:$A$361,A259,$H$29:$H$361,"",$AJ$29:$AJ$361,"&gt;"&amp;AJ259)+COUNTIFS($A$29:A259,A259,$H$29:H259,"",$AJ$29:AJ259,AJ259))</f>
        <v/>
      </c>
      <c r="G259" s="17" t="str">
        <f aca="false">IF(H259&lt;&gt;"","",IF(ISNUMBER(I259),IF(I259&gt;=$C$3,"High price","Lower price"),"No price")&amp;", "&amp;IF(M259&gt;=$E$3,"high volume","lower volume"))</f>
        <v/>
      </c>
      <c r="H259" s="17" t="str">
        <f aca="false">IF(Q259="No","IV only (no ID, IM or SC route)",IF(AND(AE259&gt;0,AF259=0),"Price ≤ USD 5",""))</f>
        <v>IV only (no ID, IM or SC route)</v>
      </c>
      <c r="I259" s="18" t="n">
        <f aca="false">IF(AF259&gt;0,ROUND(AVERAGEIFS('Shortlisted Drugs X Company (7)'!$N$3:$N$698,'Shortlisted Drugs X Company (7)'!$C$3:$C$698,$B259,'Shortlisted Drugs X Company (7)'!$E$3:$E$698,$AA259,'Shortlisted Drugs X Company (7)'!$N$3:$N$698,"&gt;5"),2),"")</f>
        <v>35.03</v>
      </c>
      <c r="J259" s="17" t="str">
        <f aca="false">IF(COUNTIFS('Shortlisted Drugs X Company (7)'!$C$3:$C$698,$B259,'Shortlisted Drugs X Company (7)'!$E$3:$E$698,$AA259,'Shortlisted Drugs X Company (7)'!$P$3:$P$698,"Exact")&gt;0,"Exact",IF(COUNTIFS('Shortlisted Drugs X Company (7)'!$C$3:$C$698,$B259,'Shortlisted Drugs X Company (7)'!$E$3:$E$698,$AA259,'Shortlisted Drugs X Company (7)'!$P$3:$P$698,"Same-market proxy")&gt;0,"Same-market proxy",IF(COUNTIFS('Shortlisted Drugs X Company (7)'!$C$3:$C$698,$B259,'Shortlisted Drugs X Company (7)'!$E$3:$E$698,$AA259,'Shortlisted Drugs X Company (7)'!$P$3:$P$698,"Cross-market proxy")&gt;0,"Cross-market proxy",IF(COUNTIFS('Shortlisted Drugs X Company (7)'!$C$3:$C$698,$B259,'Shortlisted Drugs X Company (7)'!$E$3:$E$698,$AA259,'Shortlisted Drugs X Company (7)'!$P$3:$P$698,"Source not found")&gt;0,"Source not found","No price found"))))</f>
        <v>Same-market proxy</v>
      </c>
      <c r="K259" s="19" t="n">
        <f aca="false">IFERROR(INDEX('Injectable Value'!$AB$28:$AB$178,MATCH(B259,'Injectable Value'!$A$28:$A$178,0)),"")</f>
        <v>346</v>
      </c>
      <c r="L259" s="77" t="n">
        <f aca="false">IFERROR(INDEX('Injectable Value'!$Z$28:$Z$178,MATCH(B259,'Injectable Value'!$A$28:$A$178,0)),"")</f>
        <v>1</v>
      </c>
      <c r="M259" s="19" t="n">
        <f aca="false">IFERROR(INDEX('Injectable Value'!$AC$28:$AC$178,MATCH(B259,'Injectable Value'!$A$28:$A$178,0)),"")</f>
        <v>346</v>
      </c>
      <c r="N259" s="19" t="n">
        <f aca="false">IFERROR(INDEX('Injectable Value'!$C$28:$C$178,MATCH(B259,'Injectable Value'!$A$28:$A$178,0)),"")</f>
        <v>32830.17</v>
      </c>
      <c r="O259" s="19" t="n">
        <f aca="false">IFERROR(ROUND(INDEX('Injectable Value'!$AA$28:$AA$178,MATCH(B259,'Injectable Value'!$A$28:$A$178,0)),1),"")</f>
        <v>32830.2</v>
      </c>
      <c r="P259" s="16" t="str">
        <f aca="false">IFERROR(INDEX('Route of Administration'!$C$5:$C$155,MATCH(B259,'Route of Administration'!$A$5:$A$155,0)),"")</f>
        <v>IV</v>
      </c>
      <c r="Q259" s="15" t="str">
        <f aca="false">IFERROR(INDEX('Route of Administration'!$D$5:$D$155,MATCH(B259,'Route of Administration'!$A$5:$A$155,0)),"")</f>
        <v>No</v>
      </c>
      <c r="R259" s="16" t="s">
        <v>281</v>
      </c>
      <c r="S259" s="17" t="s">
        <v>668</v>
      </c>
      <c r="T259" s="16" t="s">
        <v>283</v>
      </c>
      <c r="U259" s="17" t="str">
        <f aca="false">""&amp;IF(AE259=0,"No price found","")&amp;IF(AND(AE259&gt;0,AF259=0,AG259=0),"Low price comes from another market – confirm with the company","")</f>
        <v/>
      </c>
      <c r="V259" s="17" t="s">
        <v>284</v>
      </c>
      <c r="W259" s="15" t="n">
        <v>2</v>
      </c>
      <c r="X259" s="17" t="s">
        <v>635</v>
      </c>
      <c r="Y259" s="17" t="s">
        <v>635</v>
      </c>
      <c r="Z259" s="17" t="s">
        <v>286</v>
      </c>
      <c r="AA259" s="16" t="s">
        <v>235</v>
      </c>
      <c r="AB259" s="78" t="s">
        <v>670</v>
      </c>
      <c r="AC259" s="20" t="n">
        <f aca="false">IF(AE259&gt;0,ROUND(AVERAGEIFS('Shortlisted Drugs X Company (7)'!$N$3:$N$698,'Shortlisted Drugs X Company (7)'!$C$3:$C$698,$B259,'Shortlisted Drugs X Company (7)'!$E$3:$E$698,$AA259,'Shortlisted Drugs X Company (7)'!$N$3:$N$698,"&gt;=0"),2),"")</f>
        <v>35.03</v>
      </c>
      <c r="AD259" s="79" t="str">
        <f aca="false">B259&amp;"|"&amp;AA259</f>
        <v>Sugammadex|Lupin</v>
      </c>
      <c r="AE259" s="22" t="n">
        <f aca="false">COUNTIFS('Shortlisted Drugs X Company (7)'!$C$3:$C$698,$B259,'Shortlisted Drugs X Company (7)'!$E$3:$E$698,$AA259,'Shortlisted Drugs X Company (7)'!$N$3:$N$698,"&gt;=0")</f>
        <v>2</v>
      </c>
      <c r="AF259" s="22" t="n">
        <f aca="false">COUNTIFS('Shortlisted Drugs X Company (7)'!$C$3:$C$698,$B259,'Shortlisted Drugs X Company (7)'!$E$3:$E$698,$AA259,'Shortlisted Drugs X Company (7)'!$N$3:$N$698,"&gt;5")</f>
        <v>2</v>
      </c>
      <c r="AG259" s="22" t="n">
        <f aca="false">COUNTIFS('Shortlisted Drugs X Company (7)'!$C$3:$C$698,$B259,'Shortlisted Drugs X Company (7)'!$E$3:$E$698,$AA259,'Shortlisted Drugs X Company (7)'!$P$3:$P$698,"Exact")+COUNTIFS('Shortlisted Drugs X Company (7)'!$C$3:$C$698,$B259,'Shortlisted Drugs X Company (7)'!$E$3:$E$698,$AA259,'Shortlisted Drugs X Company (7)'!$P$3:$P$698,"Same-market proxy")</f>
        <v>2</v>
      </c>
      <c r="AH259" s="22" t="n">
        <f aca="false">INDEX($G$7:$G$25,MATCH(A259,$A$7:$A$25,0))</f>
        <v>15</v>
      </c>
      <c r="AI259" s="79" t="str">
        <f aca="false">IF(OR(Q259="No",LEFT(H259,7)="IV only"),"",AH259*1000+IF(F259="",900+COUNTIFS($A$29:A259,A259,$H$29:H259,"Price*"),F259))</f>
        <v/>
      </c>
      <c r="AJ259" s="79" t="str">
        <f aca="false">IF(H259&lt;&gt;"","",(4-VALUE(RIGHT(E259,1)))*10^7+N(O259))</f>
        <v/>
      </c>
      <c r="AK259" s="79" t="str">
        <f aca="false">IF(AND(H259="",ISNUMBER(I259)),I259,"")</f>
        <v/>
      </c>
      <c r="AL259" s="79" t="str">
        <f aca="false">IF(H259="",M259,"")</f>
        <v/>
      </c>
    </row>
    <row r="260" customFormat="false" ht="28.35" hidden="false" customHeight="false" outlineLevel="0" collapsed="false">
      <c r="A260" s="16" t="s">
        <v>235</v>
      </c>
      <c r="B260" s="16" t="s">
        <v>671</v>
      </c>
      <c r="C260" s="17" t="s">
        <v>1233</v>
      </c>
      <c r="D260" s="17" t="s">
        <v>673</v>
      </c>
      <c r="E260" s="15" t="str">
        <f aca="false">IF(H260&lt;&gt;"",IF(LEFT(H260,5)="Price","Excluded – price ≤ USD 5","Excluded – IV only"),IF(ISNUMBER(I260),IF(AND(I260&gt;=$C$3,M260&gt;=$E$3),"Priority 1",IF(OR(I260&gt;=$C$3,M260&gt;=$E$3),"Priority 2","Priority 3")),IF(M260&gt;=$E$3,"Priority 2","Priority 3")))</f>
        <v>Priority 2</v>
      </c>
      <c r="F260" s="15" t="n">
        <f aca="false">IF(H260&lt;&gt;"","",COUNTIFS($A$29:$A$361,A260,$H$29:$H$361,"",$AJ$29:$AJ$361,"&gt;"&amp;AJ260)+COUNTIFS($A$29:A260,A260,$H$29:H260,"",$AJ$29:AJ260,AJ260))</f>
        <v>3</v>
      </c>
      <c r="G260" s="17" t="str">
        <f aca="false">IF(H260&lt;&gt;"","",IF(ISNUMBER(I260),IF(I260&gt;=$C$3,"High price","Lower price"),"No price")&amp;", "&amp;IF(M260&gt;=$E$3,"high volume","lower volume"))</f>
        <v>High price, lower volume</v>
      </c>
      <c r="H260" s="17" t="str">
        <f aca="false">IF(Q260="No","IV only (no ID, IM or SC route)",IF(AND(AE260&gt;0,AF260=0),"Price ≤ USD 5",""))</f>
        <v/>
      </c>
      <c r="I260" s="18" t="n">
        <f aca="false">IF(AF260&gt;0,ROUND(AVERAGEIFS('Shortlisted Drugs X Company (7)'!$N$3:$N$698,'Shortlisted Drugs X Company (7)'!$C$3:$C$698,$B260,'Shortlisted Drugs X Company (7)'!$E$3:$E$698,$AA260,'Shortlisted Drugs X Company (7)'!$N$3:$N$698,"&gt;5"),2),"")</f>
        <v>32.43</v>
      </c>
      <c r="J260" s="17" t="str">
        <f aca="false">IF(COUNTIFS('Shortlisted Drugs X Company (7)'!$C$3:$C$698,$B260,'Shortlisted Drugs X Company (7)'!$E$3:$E$698,$AA260,'Shortlisted Drugs X Company (7)'!$P$3:$P$698,"Exact")&gt;0,"Exact",IF(COUNTIFS('Shortlisted Drugs X Company (7)'!$C$3:$C$698,$B260,'Shortlisted Drugs X Company (7)'!$E$3:$E$698,$AA260,'Shortlisted Drugs X Company (7)'!$P$3:$P$698,"Same-market proxy")&gt;0,"Same-market proxy",IF(COUNTIFS('Shortlisted Drugs X Company (7)'!$C$3:$C$698,$B260,'Shortlisted Drugs X Company (7)'!$E$3:$E$698,$AA260,'Shortlisted Drugs X Company (7)'!$P$3:$P$698,"Cross-market proxy")&gt;0,"Cross-market proxy",IF(COUNTIFS('Shortlisted Drugs X Company (7)'!$C$3:$C$698,$B260,'Shortlisted Drugs X Company (7)'!$E$3:$E$698,$AA260,'Shortlisted Drugs X Company (7)'!$P$3:$P$698,"Source not found")&gt;0,"Source not found","No price found"))))</f>
        <v>Exact</v>
      </c>
      <c r="K260" s="19" t="n">
        <f aca="false">IFERROR(INDEX('Injectable Value'!$AB$28:$AB$178,MATCH(B260,'Injectable Value'!$A$28:$A$178,0)),"")</f>
        <v>106</v>
      </c>
      <c r="L260" s="77" t="n">
        <f aca="false">IFERROR(INDEX('Injectable Value'!$Z$28:$Z$178,MATCH(B260,'Injectable Value'!$A$28:$A$178,0)),"")</f>
        <v>0.9375</v>
      </c>
      <c r="M260" s="19" t="n">
        <f aca="false">IFERROR(INDEX('Injectable Value'!$AC$28:$AC$178,MATCH(B260,'Injectable Value'!$A$28:$A$178,0)),"")</f>
        <v>99</v>
      </c>
      <c r="N260" s="19" t="n">
        <f aca="false">IFERROR(INDEX('Injectable Value'!$C$28:$C$178,MATCH(B260,'Injectable Value'!$A$28:$A$178,0)),"")</f>
        <v>7074.72</v>
      </c>
      <c r="O260" s="19" t="n">
        <f aca="false">IFERROR(ROUND(INDEX('Injectable Value'!$AA$28:$AA$178,MATCH(B260,'Injectable Value'!$A$28:$A$178,0)),1),"")</f>
        <v>6632.6</v>
      </c>
      <c r="P260" s="16" t="str">
        <f aca="false">IFERROR(INDEX('Route of Administration'!$C$5:$C$155,MATCH(B260,'Route of Administration'!$A$5:$A$155,0)),"")</f>
        <v>IV, IM</v>
      </c>
      <c r="Q260" s="15" t="str">
        <f aca="false">IFERROR(INDEX('Route of Administration'!$D$5:$D$155,MATCH(B260,'Route of Administration'!$A$5:$A$155,0)),"")</f>
        <v>Yes</v>
      </c>
      <c r="R260" s="16" t="s">
        <v>281</v>
      </c>
      <c r="S260" s="17" t="s">
        <v>1234</v>
      </c>
      <c r="T260" s="16" t="s">
        <v>283</v>
      </c>
      <c r="U260" s="17" t="str">
        <f aca="false">"Reconstitution"&amp;IF(AE260=0,"; No price found","")&amp;IF(AND(AE260&gt;0,AF260=0,AG260=0),"; Low price comes from another market – confirm with the company","")</f>
        <v>Reconstitution</v>
      </c>
      <c r="V260" s="17" t="s">
        <v>112</v>
      </c>
      <c r="W260" s="15" t="n">
        <v>2</v>
      </c>
      <c r="X260" s="17" t="s">
        <v>619</v>
      </c>
      <c r="Y260" s="17" t="s">
        <v>619</v>
      </c>
      <c r="Z260" s="17" t="s">
        <v>286</v>
      </c>
      <c r="AA260" s="16" t="s">
        <v>235</v>
      </c>
      <c r="AB260" s="78" t="s">
        <v>675</v>
      </c>
      <c r="AC260" s="20" t="n">
        <f aca="false">IF(AE260&gt;0,ROUND(AVERAGEIFS('Shortlisted Drugs X Company (7)'!$N$3:$N$698,'Shortlisted Drugs X Company (7)'!$C$3:$C$698,$B260,'Shortlisted Drugs X Company (7)'!$E$3:$E$698,$AA260,'Shortlisted Drugs X Company (7)'!$N$3:$N$698,"&gt;=0"),2),"")</f>
        <v>32.43</v>
      </c>
      <c r="AD260" s="79" t="str">
        <f aca="false">B260&amp;"|"&amp;AA260</f>
        <v>Teicoplanin|Lupin</v>
      </c>
      <c r="AE260" s="22" t="n">
        <f aca="false">COUNTIFS('Shortlisted Drugs X Company (7)'!$C$3:$C$698,$B260,'Shortlisted Drugs X Company (7)'!$E$3:$E$698,$AA260,'Shortlisted Drugs X Company (7)'!$N$3:$N$698,"&gt;=0")</f>
        <v>3</v>
      </c>
      <c r="AF260" s="22" t="n">
        <f aca="false">COUNTIFS('Shortlisted Drugs X Company (7)'!$C$3:$C$698,$B260,'Shortlisted Drugs X Company (7)'!$E$3:$E$698,$AA260,'Shortlisted Drugs X Company (7)'!$N$3:$N$698,"&gt;5")</f>
        <v>3</v>
      </c>
      <c r="AG260" s="22" t="n">
        <f aca="false">COUNTIFS('Shortlisted Drugs X Company (7)'!$C$3:$C$698,$B260,'Shortlisted Drugs X Company (7)'!$E$3:$E$698,$AA260,'Shortlisted Drugs X Company (7)'!$P$3:$P$698,"Exact")+COUNTIFS('Shortlisted Drugs X Company (7)'!$C$3:$C$698,$B260,'Shortlisted Drugs X Company (7)'!$E$3:$E$698,$AA260,'Shortlisted Drugs X Company (7)'!$P$3:$P$698,"Same-market proxy")</f>
        <v>3</v>
      </c>
      <c r="AH260" s="22" t="n">
        <f aca="false">INDEX($G$7:$G$25,MATCH(A260,$A$7:$A$25,0))</f>
        <v>15</v>
      </c>
      <c r="AI260" s="79" t="n">
        <f aca="false">IF(OR(Q260="No",LEFT(H260,7)="IV only"),"",AH260*1000+IF(F260="",900+COUNTIFS($A$29:A260,A260,$H$29:H260,"Price*"),F260))</f>
        <v>15003</v>
      </c>
      <c r="AJ260" s="79" t="n">
        <f aca="false">IF(H260&lt;&gt;"","",(4-VALUE(RIGHT(E260,1)))*10^7+N(O260))</f>
        <v>20006632.6</v>
      </c>
      <c r="AK260" s="20" t="n">
        <f aca="false">IF(AND(H260="",ISNUMBER(I260)),I260,"")</f>
        <v>32.43</v>
      </c>
      <c r="AL260" s="21" t="n">
        <f aca="false">IF(H260="",M260,"")</f>
        <v>99</v>
      </c>
    </row>
    <row r="261" customFormat="false" ht="41.75" hidden="false" customHeight="false" outlineLevel="0" collapsed="false">
      <c r="A261" s="16" t="s">
        <v>235</v>
      </c>
      <c r="B261" s="16" t="s">
        <v>676</v>
      </c>
      <c r="C261" s="17" t="s">
        <v>1235</v>
      </c>
      <c r="D261" s="17" t="s">
        <v>678</v>
      </c>
      <c r="E261" s="15" t="str">
        <f aca="false">IF(H261&lt;&gt;"",IF(LEFT(H261,5)="Price","Excluded – price ≤ USD 5","Excluded – IV only"),IF(ISNUMBER(I261),IF(AND(I261&gt;=$C$3,M261&gt;=$E$3),"Priority 1",IF(OR(I261&gt;=$C$3,M261&gt;=$E$3),"Priority 2","Priority 3")),IF(M261&gt;=$E$3,"Priority 2","Priority 3")))</f>
        <v>Priority 2</v>
      </c>
      <c r="F261" s="15" t="n">
        <f aca="false">IF(H261&lt;&gt;"","",COUNTIFS($A$29:$A$361,A261,$H$29:$H$361,"",$AJ$29:$AJ$361,"&gt;"&amp;AJ261)+COUNTIFS($A$29:A261,A261,$H$29:H261,"",$AJ$29:AJ261,AJ261))</f>
        <v>4</v>
      </c>
      <c r="G261" s="17" t="str">
        <f aca="false">IF(H261&lt;&gt;"","",IF(ISNUMBER(I261),IF(I261&gt;=$C$3,"High price","Lower price"),"No price")&amp;", "&amp;IF(M261&gt;=$E$3,"high volume","lower volume"))</f>
        <v>High price, lower volume</v>
      </c>
      <c r="H261" s="17" t="str">
        <f aca="false">IF(Q261="No","IV only (no ID, IM or SC route)",IF(AND(AE261&gt;0,AF261=0),"Price ≤ USD 5",""))</f>
        <v/>
      </c>
      <c r="I261" s="18" t="n">
        <f aca="false">IF(AF261&gt;0,ROUND(AVERAGEIFS('Shortlisted Drugs X Company (7)'!$N$3:$N$698,'Shortlisted Drugs X Company (7)'!$C$3:$C$698,$B261,'Shortlisted Drugs X Company (7)'!$E$3:$E$698,$AA261,'Shortlisted Drugs X Company (7)'!$N$3:$N$698,"&gt;5"),2),"")</f>
        <v>125.38</v>
      </c>
      <c r="J261" s="17" t="str">
        <f aca="false">IF(COUNTIFS('Shortlisted Drugs X Company (7)'!$C$3:$C$698,$B261,'Shortlisted Drugs X Company (7)'!$E$3:$E$698,$AA261,'Shortlisted Drugs X Company (7)'!$P$3:$P$698,"Exact")&gt;0,"Exact",IF(COUNTIFS('Shortlisted Drugs X Company (7)'!$C$3:$C$698,$B261,'Shortlisted Drugs X Company (7)'!$E$3:$E$698,$AA261,'Shortlisted Drugs X Company (7)'!$P$3:$P$698,"Same-market proxy")&gt;0,"Same-market proxy",IF(COUNTIFS('Shortlisted Drugs X Company (7)'!$C$3:$C$698,$B261,'Shortlisted Drugs X Company (7)'!$E$3:$E$698,$AA261,'Shortlisted Drugs X Company (7)'!$P$3:$P$698,"Cross-market proxy")&gt;0,"Cross-market proxy",IF(COUNTIFS('Shortlisted Drugs X Company (7)'!$C$3:$C$698,$B261,'Shortlisted Drugs X Company (7)'!$E$3:$E$698,$AA261,'Shortlisted Drugs X Company (7)'!$P$3:$P$698,"Source not found")&gt;0,"Source not found","No price found"))))</f>
        <v>Exact</v>
      </c>
      <c r="K261" s="19" t="n">
        <f aca="false">IFERROR(INDEX('Injectable Value'!$AB$28:$AB$178,MATCH(B261,'Injectable Value'!$A$28:$A$178,0)),"")</f>
        <v>188</v>
      </c>
      <c r="L261" s="77" t="n">
        <f aca="false">IFERROR(INDEX('Injectable Value'!$Z$28:$Z$178,MATCH(B261,'Injectable Value'!$A$28:$A$178,0)),"")</f>
        <v>0.703571428571429</v>
      </c>
      <c r="M261" s="19" t="n">
        <f aca="false">IFERROR(INDEX('Injectable Value'!$AC$28:$AC$178,MATCH(B261,'Injectable Value'!$A$28:$A$178,0)),"")</f>
        <v>132</v>
      </c>
      <c r="N261" s="19" t="n">
        <f aca="false">IFERROR(INDEX('Injectable Value'!$C$28:$C$178,MATCH(B261,'Injectable Value'!$A$28:$A$178,0)),"")</f>
        <v>262.84</v>
      </c>
      <c r="O261" s="19" t="n">
        <f aca="false">IFERROR(ROUND(INDEX('Injectable Value'!$AA$28:$AA$178,MATCH(B261,'Injectable Value'!$A$28:$A$178,0)),1),"")</f>
        <v>184.9</v>
      </c>
      <c r="P261" s="16" t="str">
        <f aca="false">IFERROR(INDEX('Route of Administration'!$C$5:$C$155,MATCH(B261,'Route of Administration'!$A$5:$A$155,0)),"")</f>
        <v>IM</v>
      </c>
      <c r="Q261" s="15" t="str">
        <f aca="false">IFERROR(INDEX('Route of Administration'!$D$5:$D$155,MATCH(B261,'Route of Administration'!$A$5:$A$155,0)),"")</f>
        <v>Yes</v>
      </c>
      <c r="R261" s="16" t="s">
        <v>281</v>
      </c>
      <c r="S261" s="17" t="s">
        <v>679</v>
      </c>
      <c r="T261" s="16" t="s">
        <v>283</v>
      </c>
      <c r="U261" s="17" t="str">
        <f aca="false">""&amp;IF(AE261=0,"No price found","")&amp;IF(AND(AE261&gt;0,AF261=0,AG261=0),"Low price comes from another market – confirm with the company","")</f>
        <v/>
      </c>
      <c r="V261" s="17" t="s">
        <v>112</v>
      </c>
      <c r="W261" s="15" t="n">
        <v>1</v>
      </c>
      <c r="X261" s="17" t="s">
        <v>360</v>
      </c>
      <c r="Y261" s="17" t="s">
        <v>360</v>
      </c>
      <c r="Z261" s="17" t="s">
        <v>286</v>
      </c>
      <c r="AA261" s="16" t="s">
        <v>235</v>
      </c>
      <c r="AB261" s="78" t="s">
        <v>680</v>
      </c>
      <c r="AC261" s="20" t="n">
        <f aca="false">IF(AE261&gt;0,ROUND(AVERAGEIFS('Shortlisted Drugs X Company (7)'!$N$3:$N$698,'Shortlisted Drugs X Company (7)'!$C$3:$C$698,$B261,'Shortlisted Drugs X Company (7)'!$E$3:$E$698,$AA261,'Shortlisted Drugs X Company (7)'!$N$3:$N$698,"&gt;=0"),2),"")</f>
        <v>125.38</v>
      </c>
      <c r="AD261" s="79" t="str">
        <f aca="false">B261&amp;"|"&amp;AA261</f>
        <v>Testosterone Undecanoate|Lupin</v>
      </c>
      <c r="AE261" s="22" t="n">
        <f aca="false">COUNTIFS('Shortlisted Drugs X Company (7)'!$C$3:$C$698,$B261,'Shortlisted Drugs X Company (7)'!$E$3:$E$698,$AA261,'Shortlisted Drugs X Company (7)'!$N$3:$N$698,"&gt;=0")</f>
        <v>1</v>
      </c>
      <c r="AF261" s="22" t="n">
        <f aca="false">COUNTIFS('Shortlisted Drugs X Company (7)'!$C$3:$C$698,$B261,'Shortlisted Drugs X Company (7)'!$E$3:$E$698,$AA261,'Shortlisted Drugs X Company (7)'!$N$3:$N$698,"&gt;5")</f>
        <v>1</v>
      </c>
      <c r="AG261" s="22" t="n">
        <f aca="false">COUNTIFS('Shortlisted Drugs X Company (7)'!$C$3:$C$698,$B261,'Shortlisted Drugs X Company (7)'!$E$3:$E$698,$AA261,'Shortlisted Drugs X Company (7)'!$P$3:$P$698,"Exact")+COUNTIFS('Shortlisted Drugs X Company (7)'!$C$3:$C$698,$B261,'Shortlisted Drugs X Company (7)'!$E$3:$E$698,$AA261,'Shortlisted Drugs X Company (7)'!$P$3:$P$698,"Same-market proxy")</f>
        <v>1</v>
      </c>
      <c r="AH261" s="22" t="n">
        <f aca="false">INDEX($G$7:$G$25,MATCH(A261,$A$7:$A$25,0))</f>
        <v>15</v>
      </c>
      <c r="AI261" s="79" t="n">
        <f aca="false">IF(OR(Q261="No",LEFT(H261,7)="IV only"),"",AH261*1000+IF(F261="",900+COUNTIFS($A$29:A261,A261,$H$29:H261,"Price*"),F261))</f>
        <v>15004</v>
      </c>
      <c r="AJ261" s="79" t="n">
        <f aca="false">IF(H261&lt;&gt;"","",(4-VALUE(RIGHT(E261,1)))*10^7+N(O261))</f>
        <v>20000184.9</v>
      </c>
      <c r="AK261" s="20" t="n">
        <f aca="false">IF(AND(H261="",ISNUMBER(I261)),I261,"")</f>
        <v>125.38</v>
      </c>
      <c r="AL261" s="21" t="n">
        <f aca="false">IF(H261="",M261,"")</f>
        <v>132</v>
      </c>
    </row>
    <row r="262" customFormat="false" ht="41.75" hidden="false" customHeight="false" outlineLevel="0" collapsed="false">
      <c r="A262" s="16" t="s">
        <v>236</v>
      </c>
      <c r="B262" s="16" t="s">
        <v>338</v>
      </c>
      <c r="C262" s="17" t="s">
        <v>1236</v>
      </c>
      <c r="D262" s="17" t="s">
        <v>340</v>
      </c>
      <c r="E262" s="15" t="str">
        <f aca="false">IF(H262&lt;&gt;"",IF(LEFT(H262,5)="Price","Excluded – price ≤ USD 5","Excluded – IV only"),IF(ISNUMBER(I262),IF(AND(I262&gt;=$C$3,M262&gt;=$E$3),"Priority 1",IF(OR(I262&gt;=$C$3,M262&gt;=$E$3),"Priority 2","Priority 3")),IF(M262&gt;=$E$3,"Priority 2","Priority 3")))</f>
        <v>Priority 1</v>
      </c>
      <c r="F262" s="15" t="n">
        <f aca="false">IF(H262&lt;&gt;"","",COUNTIFS($A$29:$A$361,A262,$H$29:$H$361,"",$AJ$29:$AJ$361,"&gt;"&amp;AJ262)+COUNTIFS($A$29:A262,A262,$H$29:H262,"",$AJ$29:AJ262,AJ262))</f>
        <v>1</v>
      </c>
      <c r="G262" s="17" t="str">
        <f aca="false">IF(H262&lt;&gt;"","",IF(ISNUMBER(I262),IF(I262&gt;=$C$3,"High price","Lower price"),"No price")&amp;", "&amp;IF(M262&gt;=$E$3,"high volume","lower volume"))</f>
        <v>High price, high volume</v>
      </c>
      <c r="H262" s="17" t="str">
        <f aca="false">IF(Q262="No","IV only (no ID, IM or SC route)",IF(AND(AE262&gt;0,AF262=0),"Price ≤ USD 5",""))</f>
        <v/>
      </c>
      <c r="I262" s="18" t="n">
        <f aca="false">IF(AF262&gt;0,ROUND(AVERAGEIFS('Shortlisted Drugs X Company (7)'!$N$3:$N$698,'Shortlisted Drugs X Company (7)'!$C$3:$C$698,$B262,'Shortlisted Drugs X Company (7)'!$E$3:$E$698,$AA262,'Shortlisted Drugs X Company (7)'!$N$3:$N$698,"&gt;5"),2),"")</f>
        <v>360.02</v>
      </c>
      <c r="J262" s="17" t="str">
        <f aca="false">IF(COUNTIFS('Shortlisted Drugs X Company (7)'!$C$3:$C$698,$B262,'Shortlisted Drugs X Company (7)'!$E$3:$E$698,$AA262,'Shortlisted Drugs X Company (7)'!$P$3:$P$698,"Exact")&gt;0,"Exact",IF(COUNTIFS('Shortlisted Drugs X Company (7)'!$C$3:$C$698,$B262,'Shortlisted Drugs X Company (7)'!$E$3:$E$698,$AA262,'Shortlisted Drugs X Company (7)'!$P$3:$P$698,"Same-market proxy")&gt;0,"Same-market proxy",IF(COUNTIFS('Shortlisted Drugs X Company (7)'!$C$3:$C$698,$B262,'Shortlisted Drugs X Company (7)'!$E$3:$E$698,$AA262,'Shortlisted Drugs X Company (7)'!$P$3:$P$698,"Cross-market proxy")&gt;0,"Cross-market proxy",IF(COUNTIFS('Shortlisted Drugs X Company (7)'!$C$3:$C$698,$B262,'Shortlisted Drugs X Company (7)'!$E$3:$E$698,$AA262,'Shortlisted Drugs X Company (7)'!$P$3:$P$698,"Source not found")&gt;0,"Source not found","No price found"))))</f>
        <v>Exact</v>
      </c>
      <c r="K262" s="19" t="n">
        <f aca="false">IFERROR(INDEX('Injectable Value'!$AB$28:$AB$178,MATCH(B262,'Injectable Value'!$A$28:$A$178,0)),"")</f>
        <v>905</v>
      </c>
      <c r="L262" s="77" t="n">
        <f aca="false">IFERROR(INDEX('Injectable Value'!$Z$28:$Z$178,MATCH(B262,'Injectable Value'!$A$28:$A$178,0)),"")</f>
        <v>1</v>
      </c>
      <c r="M262" s="19" t="n">
        <f aca="false">IFERROR(INDEX('Injectable Value'!$AC$28:$AC$178,MATCH(B262,'Injectable Value'!$A$28:$A$178,0)),"")</f>
        <v>905</v>
      </c>
      <c r="N262" s="19" t="n">
        <f aca="false">IFERROR(INDEX('Injectable Value'!$C$28:$C$178,MATCH(B262,'Injectable Value'!$A$28:$A$178,0)),"")</f>
        <v>28093.38</v>
      </c>
      <c r="O262" s="19" t="n">
        <f aca="false">IFERROR(ROUND(INDEX('Injectable Value'!$AA$28:$AA$178,MATCH(B262,'Injectable Value'!$A$28:$A$178,0)),1),"")</f>
        <v>28093.4</v>
      </c>
      <c r="P262" s="16" t="str">
        <f aca="false">IFERROR(INDEX('Route of Administration'!$C$5:$C$155,MATCH(B262,'Route of Administration'!$A$5:$A$155,0)),"")</f>
        <v>IV, SC</v>
      </c>
      <c r="Q262" s="15" t="str">
        <f aca="false">IFERROR(INDEX('Route of Administration'!$D$5:$D$155,MATCH(B262,'Route of Administration'!$A$5:$A$155,0)),"")</f>
        <v>Yes</v>
      </c>
      <c r="R262" s="16" t="s">
        <v>281</v>
      </c>
      <c r="S262" s="17" t="s">
        <v>341</v>
      </c>
      <c r="T262" s="16" t="s">
        <v>333</v>
      </c>
      <c r="U262" s="17" t="str">
        <f aca="false">"Cancer drug (cytotoxic) – less relevant; Reconstitution"&amp;IF(AE262=0,"; No price found","")&amp;IF(AND(AE262&gt;0,AF262=0,AG262=0),"; Low price comes from another market – confirm with the company","")</f>
        <v>Cancer drug (cytotoxic) – less relevant; Reconstitution</v>
      </c>
      <c r="V262" s="17" t="s">
        <v>855</v>
      </c>
      <c r="W262" s="15" t="n">
        <v>5</v>
      </c>
      <c r="X262" s="17" t="s">
        <v>1237</v>
      </c>
      <c r="Y262" s="17" t="s">
        <v>1237</v>
      </c>
      <c r="Z262" s="17" t="s">
        <v>286</v>
      </c>
      <c r="AA262" s="16" t="s">
        <v>1238</v>
      </c>
      <c r="AB262" s="78" t="s">
        <v>345</v>
      </c>
      <c r="AC262" s="20" t="n">
        <f aca="false">IF(AE262&gt;0,ROUND(AVERAGEIFS('Shortlisted Drugs X Company (7)'!$N$3:$N$698,'Shortlisted Drugs X Company (7)'!$C$3:$C$698,$B262,'Shortlisted Drugs X Company (7)'!$E$3:$E$698,$AA262,'Shortlisted Drugs X Company (7)'!$N$3:$N$698,"&gt;=0"),2),"")</f>
        <v>360.02</v>
      </c>
      <c r="AD262" s="79" t="str">
        <f aca="false">B262&amp;"|"&amp;AA262</f>
        <v>Bortezomib|MSN Laboratories</v>
      </c>
      <c r="AE262" s="22" t="n">
        <f aca="false">COUNTIFS('Shortlisted Drugs X Company (7)'!$C$3:$C$698,$B262,'Shortlisted Drugs X Company (7)'!$E$3:$E$698,$AA262,'Shortlisted Drugs X Company (7)'!$N$3:$N$698,"&gt;=0")</f>
        <v>4</v>
      </c>
      <c r="AF262" s="22" t="n">
        <f aca="false">COUNTIFS('Shortlisted Drugs X Company (7)'!$C$3:$C$698,$B262,'Shortlisted Drugs X Company (7)'!$E$3:$E$698,$AA262,'Shortlisted Drugs X Company (7)'!$N$3:$N$698,"&gt;5")</f>
        <v>4</v>
      </c>
      <c r="AG262" s="22" t="n">
        <f aca="false">COUNTIFS('Shortlisted Drugs X Company (7)'!$C$3:$C$698,$B262,'Shortlisted Drugs X Company (7)'!$E$3:$E$698,$AA262,'Shortlisted Drugs X Company (7)'!$P$3:$P$698,"Exact")+COUNTIFS('Shortlisted Drugs X Company (7)'!$C$3:$C$698,$B262,'Shortlisted Drugs X Company (7)'!$E$3:$E$698,$AA262,'Shortlisted Drugs X Company (7)'!$P$3:$P$698,"Same-market proxy")</f>
        <v>4</v>
      </c>
      <c r="AH262" s="22" t="n">
        <f aca="false">INDEX($G$7:$G$25,MATCH(A262,$A$7:$A$25,0))</f>
        <v>11</v>
      </c>
      <c r="AI262" s="79" t="n">
        <f aca="false">IF(OR(Q262="No",LEFT(H262,7)="IV only"),"",AH262*1000+IF(F262="",900+COUNTIFS($A$29:A262,A262,$H$29:H262,"Price*"),F262))</f>
        <v>11001</v>
      </c>
      <c r="AJ262" s="79" t="n">
        <f aca="false">IF(H262&lt;&gt;"","",(4-VALUE(RIGHT(E262,1)))*10^7+N(O262))</f>
        <v>30028093.4</v>
      </c>
      <c r="AK262" s="20" t="n">
        <f aca="false">IF(AND(H262="",ISNUMBER(I262)),I262,"")</f>
        <v>360.02</v>
      </c>
      <c r="AL262" s="21" t="n">
        <f aca="false">IF(H262="",M262,"")</f>
        <v>905</v>
      </c>
    </row>
    <row r="263" customFormat="false" ht="28.35" hidden="false" customHeight="false" outlineLevel="0" collapsed="false">
      <c r="A263" s="16" t="s">
        <v>236</v>
      </c>
      <c r="B263" s="16" t="s">
        <v>874</v>
      </c>
      <c r="C263" s="17" t="s">
        <v>874</v>
      </c>
      <c r="D263" s="17" t="s">
        <v>876</v>
      </c>
      <c r="E263" s="15" t="str">
        <f aca="false">IF(H263&lt;&gt;"",IF(LEFT(H263,5)="Price","Excluded – price ≤ USD 5","Excluded – IV only"),IF(ISNUMBER(I263),IF(AND(I263&gt;=$C$3,M263&gt;=$E$3),"Priority 1",IF(OR(I263&gt;=$C$3,M263&gt;=$E$3),"Priority 2","Priority 3")),IF(M263&gt;=$E$3,"Priority 2","Priority 3")))</f>
        <v>Excluded – IV only</v>
      </c>
      <c r="F263" s="15" t="str">
        <f aca="false">IF(H263&lt;&gt;"","",COUNTIFS($A$29:$A$361,A263,$H$29:$H$361,"",$AJ$29:$AJ$361,"&gt;"&amp;AJ263)+COUNTIFS($A$29:A263,A263,$H$29:H263,"",$AJ$29:AJ263,AJ263))</f>
        <v/>
      </c>
      <c r="G263" s="17" t="str">
        <f aca="false">IF(H263&lt;&gt;"","",IF(ISNUMBER(I263),IF(I263&gt;=$C$3,"High price","Lower price"),"No price")&amp;", "&amp;IF(M263&gt;=$E$3,"high volume","lower volume"))</f>
        <v/>
      </c>
      <c r="H263" s="17" t="str">
        <f aca="false">IF(Q263="No","IV only (no ID, IM or SC route)",IF(AND(AE263&gt;0,AF263=0),"Price ≤ USD 5",""))</f>
        <v>IV only (no ID, IM or SC route)</v>
      </c>
      <c r="I263" s="18" t="n">
        <f aca="false">IF(AF263&gt;0,ROUND(AVERAGEIFS('Shortlisted Drugs X Company (7)'!$N$3:$N$698,'Shortlisted Drugs X Company (7)'!$C$3:$C$698,$B263,'Shortlisted Drugs X Company (7)'!$E$3:$E$698,$AA263,'Shortlisted Drugs X Company (7)'!$N$3:$N$698,"&gt;5"),2),"")</f>
        <v>51.79</v>
      </c>
      <c r="J263" s="17" t="str">
        <f aca="false">IF(COUNTIFS('Shortlisted Drugs X Company (7)'!$C$3:$C$698,$B263,'Shortlisted Drugs X Company (7)'!$E$3:$E$698,$AA263,'Shortlisted Drugs X Company (7)'!$P$3:$P$698,"Exact")&gt;0,"Exact",IF(COUNTIFS('Shortlisted Drugs X Company (7)'!$C$3:$C$698,$B263,'Shortlisted Drugs X Company (7)'!$E$3:$E$698,$AA263,'Shortlisted Drugs X Company (7)'!$P$3:$P$698,"Same-market proxy")&gt;0,"Same-market proxy",IF(COUNTIFS('Shortlisted Drugs X Company (7)'!$C$3:$C$698,$B263,'Shortlisted Drugs X Company (7)'!$E$3:$E$698,$AA263,'Shortlisted Drugs X Company (7)'!$P$3:$P$698,"Cross-market proxy")&gt;0,"Cross-market proxy",IF(COUNTIFS('Shortlisted Drugs X Company (7)'!$C$3:$C$698,$B263,'Shortlisted Drugs X Company (7)'!$E$3:$E$698,$AA263,'Shortlisted Drugs X Company (7)'!$P$3:$P$698,"Source not found")&gt;0,"Source not found","No price found"))))</f>
        <v>Same-market proxy</v>
      </c>
      <c r="K263" s="19" t="n">
        <f aca="false">IFERROR(INDEX('Injectable Value'!$AB$28:$AB$178,MATCH(B263,'Injectable Value'!$A$28:$A$178,0)),"")</f>
        <v>45</v>
      </c>
      <c r="L263" s="77" t="n">
        <f aca="false">IFERROR(INDEX('Injectable Value'!$Z$28:$Z$178,MATCH(B263,'Injectable Value'!$A$28:$A$178,0)),"")</f>
        <v>0.0828659263441872</v>
      </c>
      <c r="M263" s="19" t="n">
        <f aca="false">IFERROR(INDEX('Injectable Value'!$AC$28:$AC$178,MATCH(B263,'Injectable Value'!$A$28:$A$178,0)),"")</f>
        <v>4</v>
      </c>
      <c r="N263" s="19" t="n">
        <f aca="false">IFERROR(INDEX('Injectable Value'!$C$28:$C$178,MATCH(B263,'Injectable Value'!$A$28:$A$178,0)),"")</f>
        <v>263.65</v>
      </c>
      <c r="O263" s="19" t="n">
        <f aca="false">IFERROR(ROUND(INDEX('Injectable Value'!$AA$28:$AA$178,MATCH(B263,'Injectable Value'!$A$28:$A$178,0)),1),"")</f>
        <v>21.8</v>
      </c>
      <c r="P263" s="16" t="str">
        <f aca="false">IFERROR(INDEX('Route of Administration'!$C$5:$C$155,MATCH(B263,'Route of Administration'!$A$5:$A$155,0)),"")</f>
        <v>IV</v>
      </c>
      <c r="Q263" s="15" t="str">
        <f aca="false">IFERROR(INDEX('Route of Administration'!$D$5:$D$155,MATCH(B263,'Route of Administration'!$A$5:$A$155,0)),"")</f>
        <v>No</v>
      </c>
      <c r="R263" s="16" t="s">
        <v>281</v>
      </c>
      <c r="S263" s="17" t="s">
        <v>877</v>
      </c>
      <c r="T263" s="16" t="s">
        <v>283</v>
      </c>
      <c r="U263" s="17" t="str">
        <f aca="false">""&amp;IF(AE263=0,"No price found","")&amp;IF(AND(AE263&gt;0,AF263=0,AG263=0),"Low price comes from another market – confirm with the company","")</f>
        <v/>
      </c>
      <c r="V263" s="17" t="s">
        <v>284</v>
      </c>
      <c r="W263" s="15" t="n">
        <v>1</v>
      </c>
      <c r="X263" s="17" t="s">
        <v>284</v>
      </c>
      <c r="Y263" s="17" t="s">
        <v>284</v>
      </c>
      <c r="Z263" s="17" t="s">
        <v>286</v>
      </c>
      <c r="AA263" s="16" t="s">
        <v>1238</v>
      </c>
      <c r="AB263" s="78" t="s">
        <v>879</v>
      </c>
      <c r="AC263" s="20" t="n">
        <f aca="false">IF(AE263&gt;0,ROUND(AVERAGEIFS('Shortlisted Drugs X Company (7)'!$N$3:$N$698,'Shortlisted Drugs X Company (7)'!$C$3:$C$698,$B263,'Shortlisted Drugs X Company (7)'!$E$3:$E$698,$AA263,'Shortlisted Drugs X Company (7)'!$N$3:$N$698,"&gt;=0"),2),"")</f>
        <v>51.79</v>
      </c>
      <c r="AD263" s="79" t="str">
        <f aca="false">B263&amp;"|"&amp;AA263</f>
        <v>Brivaracetam|MSN Laboratories</v>
      </c>
      <c r="AE263" s="22" t="n">
        <f aca="false">COUNTIFS('Shortlisted Drugs X Company (7)'!$C$3:$C$698,$B263,'Shortlisted Drugs X Company (7)'!$E$3:$E$698,$AA263,'Shortlisted Drugs X Company (7)'!$N$3:$N$698,"&gt;=0")</f>
        <v>1</v>
      </c>
      <c r="AF263" s="22" t="n">
        <f aca="false">COUNTIFS('Shortlisted Drugs X Company (7)'!$C$3:$C$698,$B263,'Shortlisted Drugs X Company (7)'!$E$3:$E$698,$AA263,'Shortlisted Drugs X Company (7)'!$N$3:$N$698,"&gt;5")</f>
        <v>1</v>
      </c>
      <c r="AG263" s="22" t="n">
        <f aca="false">COUNTIFS('Shortlisted Drugs X Company (7)'!$C$3:$C$698,$B263,'Shortlisted Drugs X Company (7)'!$E$3:$E$698,$AA263,'Shortlisted Drugs X Company (7)'!$P$3:$P$698,"Exact")+COUNTIFS('Shortlisted Drugs X Company (7)'!$C$3:$C$698,$B263,'Shortlisted Drugs X Company (7)'!$E$3:$E$698,$AA263,'Shortlisted Drugs X Company (7)'!$P$3:$P$698,"Same-market proxy")</f>
        <v>1</v>
      </c>
      <c r="AH263" s="22" t="n">
        <f aca="false">INDEX($G$7:$G$25,MATCH(A263,$A$7:$A$25,0))</f>
        <v>11</v>
      </c>
      <c r="AI263" s="79" t="str">
        <f aca="false">IF(OR(Q263="No",LEFT(H263,7)="IV only"),"",AH263*1000+IF(F263="",900+COUNTIFS($A$29:A263,A263,$H$29:H263,"Price*"),F263))</f>
        <v/>
      </c>
      <c r="AJ263" s="79" t="str">
        <f aca="false">IF(H263&lt;&gt;"","",(4-VALUE(RIGHT(E263,1)))*10^7+N(O263))</f>
        <v/>
      </c>
      <c r="AK263" s="79" t="str">
        <f aca="false">IF(AND(H263="",ISNUMBER(I263)),I263,"")</f>
        <v/>
      </c>
      <c r="AL263" s="79" t="str">
        <f aca="false">IF(H263="",M263,"")</f>
        <v/>
      </c>
    </row>
    <row r="264" customFormat="false" ht="41.75" hidden="false" customHeight="false" outlineLevel="0" collapsed="false">
      <c r="A264" s="16" t="s">
        <v>236</v>
      </c>
      <c r="B264" s="16" t="s">
        <v>375</v>
      </c>
      <c r="C264" s="17" t="s">
        <v>376</v>
      </c>
      <c r="D264" s="17" t="s">
        <v>377</v>
      </c>
      <c r="E264" s="15" t="str">
        <f aca="false">IF(H264&lt;&gt;"",IF(LEFT(H264,5)="Price","Excluded – price ≤ USD 5","Excluded – IV only"),IF(ISNUMBER(I264),IF(AND(I264&gt;=$C$3,M264&gt;=$E$3),"Priority 1",IF(OR(I264&gt;=$C$3,M264&gt;=$E$3),"Priority 2","Priority 3")),IF(M264&gt;=$E$3,"Priority 2","Priority 3")))</f>
        <v>Priority 3</v>
      </c>
      <c r="F264" s="15" t="n">
        <f aca="false">IF(H264&lt;&gt;"","",COUNTIFS($A$29:$A$361,A264,$H$29:$H$361,"",$AJ$29:$AJ$361,"&gt;"&amp;AJ264)+COUNTIFS($A$29:A264,A264,$H$29:H264,"",$AJ$29:AJ264,AJ264))</f>
        <v>4</v>
      </c>
      <c r="G264" s="17" t="str">
        <f aca="false">IF(H264&lt;&gt;"","",IF(ISNUMBER(I264),IF(I264&gt;=$C$3,"High price","Lower price"),"No price")&amp;", "&amp;IF(M264&gt;=$E$3,"high volume","lower volume"))</f>
        <v>Lower price, lower volume</v>
      </c>
      <c r="H264" s="17" t="str">
        <f aca="false">IF(Q264="No","IV only (no ID, IM or SC route)",IF(AND(AE264&gt;0,AF264=0),"Price ≤ USD 5",""))</f>
        <v/>
      </c>
      <c r="I264" s="18" t="n">
        <f aca="false">IF(AF264&gt;0,ROUND(AVERAGEIFS('Shortlisted Drugs X Company (7)'!$N$3:$N$698,'Shortlisted Drugs X Company (7)'!$C$3:$C$698,$B264,'Shortlisted Drugs X Company (7)'!$E$3:$E$698,$AA264,'Shortlisted Drugs X Company (7)'!$N$3:$N$698,"&gt;5"),2),"")</f>
        <v>14.96</v>
      </c>
      <c r="J264" s="17" t="str">
        <f aca="false">IF(COUNTIFS('Shortlisted Drugs X Company (7)'!$C$3:$C$698,$B264,'Shortlisted Drugs X Company (7)'!$E$3:$E$698,$AA264,'Shortlisted Drugs X Company (7)'!$P$3:$P$698,"Exact")&gt;0,"Exact",IF(COUNTIFS('Shortlisted Drugs X Company (7)'!$C$3:$C$698,$B264,'Shortlisted Drugs X Company (7)'!$E$3:$E$698,$AA264,'Shortlisted Drugs X Company (7)'!$P$3:$P$698,"Same-market proxy")&gt;0,"Same-market proxy",IF(COUNTIFS('Shortlisted Drugs X Company (7)'!$C$3:$C$698,$B264,'Shortlisted Drugs X Company (7)'!$E$3:$E$698,$AA264,'Shortlisted Drugs X Company (7)'!$P$3:$P$698,"Cross-market proxy")&gt;0,"Cross-market proxy",IF(COUNTIFS('Shortlisted Drugs X Company (7)'!$C$3:$C$698,$B264,'Shortlisted Drugs X Company (7)'!$E$3:$E$698,$AA264,'Shortlisted Drugs X Company (7)'!$P$3:$P$698,"Source not found")&gt;0,"Source not found","No price found"))))</f>
        <v>Same-market proxy</v>
      </c>
      <c r="K264" s="19" t="n">
        <f aca="false">IFERROR(INDEX('Injectable Value'!$AB$28:$AB$178,MATCH(B264,'Injectable Value'!$A$28:$A$178,0)),"")</f>
        <v>472</v>
      </c>
      <c r="L264" s="77" t="n">
        <f aca="false">IFERROR(INDEX('Injectable Value'!$Z$28:$Z$178,MATCH(B264,'Injectable Value'!$A$28:$A$178,0)),"")</f>
        <v>0.1734375</v>
      </c>
      <c r="M264" s="19" t="n">
        <f aca="false">IFERROR(INDEX('Injectable Value'!$AC$28:$AC$178,MATCH(B264,'Injectable Value'!$A$28:$A$178,0)),"")</f>
        <v>82</v>
      </c>
      <c r="N264" s="19" t="n">
        <f aca="false">IFERROR(INDEX('Injectable Value'!$C$28:$C$178,MATCH(B264,'Injectable Value'!$A$28:$A$178,0)),"")</f>
        <v>7831.08</v>
      </c>
      <c r="O264" s="19" t="n">
        <f aca="false">IFERROR(ROUND(INDEX('Injectable Value'!$AA$28:$AA$178,MATCH(B264,'Injectable Value'!$A$28:$A$178,0)),1),"")</f>
        <v>1358.2</v>
      </c>
      <c r="P264" s="16" t="str">
        <f aca="false">IFERROR(INDEX('Route of Administration'!$C$5:$C$155,MATCH(B264,'Route of Administration'!$A$5:$A$155,0)),"")</f>
        <v>IM</v>
      </c>
      <c r="Q264" s="15" t="str">
        <f aca="false">IFERROR(INDEX('Route of Administration'!$D$5:$D$155,MATCH(B264,'Route of Administration'!$A$5:$A$155,0)),"")</f>
        <v>Yes</v>
      </c>
      <c r="R264" s="16" t="s">
        <v>281</v>
      </c>
      <c r="S264" s="17" t="s">
        <v>880</v>
      </c>
      <c r="T264" s="16" t="s">
        <v>283</v>
      </c>
      <c r="U264" s="17" t="str">
        <f aca="false">""&amp;IF(AE264=0,"No price found","")&amp;IF(AND(AE264&gt;0,AF264=0,AG264=0),"Low price comes from another market – confirm with the company","")</f>
        <v/>
      </c>
      <c r="V264" s="17" t="s">
        <v>284</v>
      </c>
      <c r="W264" s="15" t="n">
        <v>1</v>
      </c>
      <c r="X264" s="17" t="s">
        <v>284</v>
      </c>
      <c r="Y264" s="17" t="s">
        <v>284</v>
      </c>
      <c r="Z264" s="17" t="s">
        <v>286</v>
      </c>
      <c r="AA264" s="16" t="s">
        <v>1238</v>
      </c>
      <c r="AB264" s="78" t="s">
        <v>379</v>
      </c>
      <c r="AC264" s="20" t="n">
        <f aca="false">IF(AE264&gt;0,ROUND(AVERAGEIFS('Shortlisted Drugs X Company (7)'!$N$3:$N$698,'Shortlisted Drugs X Company (7)'!$C$3:$C$698,$B264,'Shortlisted Drugs X Company (7)'!$E$3:$E$698,$AA264,'Shortlisted Drugs X Company (7)'!$N$3:$N$698,"&gt;=0"),2),"")</f>
        <v>14.96</v>
      </c>
      <c r="AD264" s="79" t="str">
        <f aca="false">B264&amp;"|"&amp;AA264</f>
        <v>Chlorpromazine|MSN Laboratories</v>
      </c>
      <c r="AE264" s="22" t="n">
        <f aca="false">COUNTIFS('Shortlisted Drugs X Company (7)'!$C$3:$C$698,$B264,'Shortlisted Drugs X Company (7)'!$E$3:$E$698,$AA264,'Shortlisted Drugs X Company (7)'!$N$3:$N$698,"&gt;=0")</f>
        <v>1</v>
      </c>
      <c r="AF264" s="22" t="n">
        <f aca="false">COUNTIFS('Shortlisted Drugs X Company (7)'!$C$3:$C$698,$B264,'Shortlisted Drugs X Company (7)'!$E$3:$E$698,$AA264,'Shortlisted Drugs X Company (7)'!$N$3:$N$698,"&gt;5")</f>
        <v>1</v>
      </c>
      <c r="AG264" s="22" t="n">
        <f aca="false">COUNTIFS('Shortlisted Drugs X Company (7)'!$C$3:$C$698,$B264,'Shortlisted Drugs X Company (7)'!$E$3:$E$698,$AA264,'Shortlisted Drugs X Company (7)'!$P$3:$P$698,"Exact")+COUNTIFS('Shortlisted Drugs X Company (7)'!$C$3:$C$698,$B264,'Shortlisted Drugs X Company (7)'!$E$3:$E$698,$AA264,'Shortlisted Drugs X Company (7)'!$P$3:$P$698,"Same-market proxy")</f>
        <v>1</v>
      </c>
      <c r="AH264" s="22" t="n">
        <f aca="false">INDEX($G$7:$G$25,MATCH(A264,$A$7:$A$25,0))</f>
        <v>11</v>
      </c>
      <c r="AI264" s="79" t="n">
        <f aca="false">IF(OR(Q264="No",LEFT(H264,7)="IV only"),"",AH264*1000+IF(F264="",900+COUNTIFS($A$29:A264,A264,$H$29:H264,"Price*"),F264))</f>
        <v>11004</v>
      </c>
      <c r="AJ264" s="79" t="n">
        <f aca="false">IF(H264&lt;&gt;"","",(4-VALUE(RIGHT(E264,1)))*10^7+N(O264))</f>
        <v>10001358.2</v>
      </c>
      <c r="AK264" s="20" t="n">
        <f aca="false">IF(AND(H264="",ISNUMBER(I264)),I264,"")</f>
        <v>14.96</v>
      </c>
      <c r="AL264" s="21" t="n">
        <f aca="false">IF(H264="",M264,"")</f>
        <v>82</v>
      </c>
    </row>
    <row r="265" customFormat="false" ht="41.75" hidden="false" customHeight="false" outlineLevel="0" collapsed="false">
      <c r="A265" s="16" t="s">
        <v>236</v>
      </c>
      <c r="B265" s="16" t="s">
        <v>444</v>
      </c>
      <c r="C265" s="17" t="s">
        <v>444</v>
      </c>
      <c r="D265" s="17" t="s">
        <v>445</v>
      </c>
      <c r="E265" s="15" t="str">
        <f aca="false">IF(H265&lt;&gt;"",IF(LEFT(H265,5)="Price","Excluded – price ≤ USD 5","Excluded – IV only"),IF(ISNUMBER(I265),IF(AND(I265&gt;=$C$3,M265&gt;=$E$3),"Priority 1",IF(OR(I265&gt;=$C$3,M265&gt;=$E$3),"Priority 2","Priority 3")),IF(M265&gt;=$E$3,"Priority 2","Priority 3")))</f>
        <v>Priority 2</v>
      </c>
      <c r="F265" s="15" t="n">
        <f aca="false">IF(H265&lt;&gt;"","",COUNTIFS($A$29:$A$361,A265,$H$29:$H$361,"",$AJ$29:$AJ$361,"&gt;"&amp;AJ265)+COUNTIFS($A$29:A265,A265,$H$29:H265,"",$AJ$29:AJ265,AJ265))</f>
        <v>3</v>
      </c>
      <c r="G265" s="17" t="str">
        <f aca="false">IF(H265&lt;&gt;"","",IF(ISNUMBER(I265),IF(I265&gt;=$C$3,"High price","Lower price"),"No price")&amp;", "&amp;IF(M265&gt;=$E$3,"high volume","lower volume"))</f>
        <v>High price, lower volume</v>
      </c>
      <c r="H265" s="17" t="str">
        <f aca="false">IF(Q265="No","IV only (no ID, IM or SC route)",IF(AND(AE265&gt;0,AF265=0),"Price ≤ USD 5",""))</f>
        <v/>
      </c>
      <c r="I265" s="18" t="n">
        <f aca="false">IF(AF265&gt;0,ROUND(AVERAGEIFS('Shortlisted Drugs X Company (7)'!$N$3:$N$698,'Shortlisted Drugs X Company (7)'!$C$3:$C$698,$B265,'Shortlisted Drugs X Company (7)'!$E$3:$E$698,$AA265,'Shortlisted Drugs X Company (7)'!$N$3:$N$698,"&gt;5"),2),"")</f>
        <v>54.55</v>
      </c>
      <c r="J265" s="17" t="str">
        <f aca="false">IF(COUNTIFS('Shortlisted Drugs X Company (7)'!$C$3:$C$698,$B265,'Shortlisted Drugs X Company (7)'!$E$3:$E$698,$AA265,'Shortlisted Drugs X Company (7)'!$P$3:$P$698,"Exact")&gt;0,"Exact",IF(COUNTIFS('Shortlisted Drugs X Company (7)'!$C$3:$C$698,$B265,'Shortlisted Drugs X Company (7)'!$E$3:$E$698,$AA265,'Shortlisted Drugs X Company (7)'!$P$3:$P$698,"Same-market proxy")&gt;0,"Same-market proxy",IF(COUNTIFS('Shortlisted Drugs X Company (7)'!$C$3:$C$698,$B265,'Shortlisted Drugs X Company (7)'!$E$3:$E$698,$AA265,'Shortlisted Drugs X Company (7)'!$P$3:$P$698,"Cross-market proxy")&gt;0,"Cross-market proxy",IF(COUNTIFS('Shortlisted Drugs X Company (7)'!$C$3:$C$698,$B265,'Shortlisted Drugs X Company (7)'!$E$3:$E$698,$AA265,'Shortlisted Drugs X Company (7)'!$P$3:$P$698,"Source not found")&gt;0,"Source not found","No price found"))))</f>
        <v>Same-market proxy</v>
      </c>
      <c r="K265" s="19" t="n">
        <f aca="false">IFERROR(INDEX('Injectable Value'!$AB$28:$AB$178,MATCH(B265,'Injectable Value'!$A$28:$A$178,0)),"")</f>
        <v>126</v>
      </c>
      <c r="L265" s="77" t="n">
        <f aca="false">IFERROR(INDEX('Injectable Value'!$Z$28:$Z$178,MATCH(B265,'Injectable Value'!$A$28:$A$178,0)),"")</f>
        <v>1</v>
      </c>
      <c r="M265" s="19" t="n">
        <f aca="false">IFERROR(INDEX('Injectable Value'!$AC$28:$AC$178,MATCH(B265,'Injectable Value'!$A$28:$A$178,0)),"")</f>
        <v>126</v>
      </c>
      <c r="N265" s="19" t="n">
        <f aca="false">IFERROR(INDEX('Injectable Value'!$C$28:$C$178,MATCH(B265,'Injectable Value'!$A$28:$A$178,0)),"")</f>
        <v>3407.51</v>
      </c>
      <c r="O265" s="19" t="n">
        <f aca="false">IFERROR(ROUND(INDEX('Injectable Value'!$AA$28:$AA$178,MATCH(B265,'Injectable Value'!$A$28:$A$178,0)),1),"")</f>
        <v>3407.5</v>
      </c>
      <c r="P265" s="16" t="str">
        <f aca="false">IFERROR(INDEX('Route of Administration'!$C$5:$C$155,MATCH(B265,'Route of Administration'!$A$5:$A$155,0)),"")</f>
        <v>IM, SC</v>
      </c>
      <c r="Q265" s="15" t="str">
        <f aca="false">IFERROR(INDEX('Route of Administration'!$D$5:$D$155,MATCH(B265,'Route of Administration'!$A$5:$A$155,0)),"")</f>
        <v>Yes</v>
      </c>
      <c r="R265" s="16" t="s">
        <v>281</v>
      </c>
      <c r="S265" s="17" t="s">
        <v>446</v>
      </c>
      <c r="T265" s="16" t="s">
        <v>283</v>
      </c>
      <c r="U265" s="17" t="str">
        <f aca="false">""&amp;IF(AE265=0,"No price found","")&amp;IF(AND(AE265&gt;0,AF265=0,AG265=0),"Low price comes from another market – confirm with the company","")</f>
        <v/>
      </c>
      <c r="V265" s="17" t="s">
        <v>284</v>
      </c>
      <c r="W265" s="15" t="n">
        <v>1</v>
      </c>
      <c r="X265" s="17" t="s">
        <v>284</v>
      </c>
      <c r="Y265" s="17" t="s">
        <v>284</v>
      </c>
      <c r="Z265" s="17" t="s">
        <v>321</v>
      </c>
      <c r="AA265" s="16" t="s">
        <v>1238</v>
      </c>
      <c r="AB265" s="78" t="s">
        <v>447</v>
      </c>
      <c r="AC265" s="20" t="n">
        <f aca="false">IF(AE265&gt;0,ROUND(AVERAGEIFS('Shortlisted Drugs X Company (7)'!$N$3:$N$698,'Shortlisted Drugs X Company (7)'!$C$3:$C$698,$B265,'Shortlisted Drugs X Company (7)'!$E$3:$E$698,$AA265,'Shortlisted Drugs X Company (7)'!$N$3:$N$698,"&gt;=0"),2),"")</f>
        <v>54.55</v>
      </c>
      <c r="AD265" s="79" t="str">
        <f aca="false">B265&amp;"|"&amp;AA265</f>
        <v>Fluphenazine Decanoate|MSN Laboratories</v>
      </c>
      <c r="AE265" s="22" t="n">
        <f aca="false">COUNTIFS('Shortlisted Drugs X Company (7)'!$C$3:$C$698,$B265,'Shortlisted Drugs X Company (7)'!$E$3:$E$698,$AA265,'Shortlisted Drugs X Company (7)'!$N$3:$N$698,"&gt;=0")</f>
        <v>1</v>
      </c>
      <c r="AF265" s="22" t="n">
        <f aca="false">COUNTIFS('Shortlisted Drugs X Company (7)'!$C$3:$C$698,$B265,'Shortlisted Drugs X Company (7)'!$E$3:$E$698,$AA265,'Shortlisted Drugs X Company (7)'!$N$3:$N$698,"&gt;5")</f>
        <v>1</v>
      </c>
      <c r="AG265" s="22" t="n">
        <f aca="false">COUNTIFS('Shortlisted Drugs X Company (7)'!$C$3:$C$698,$B265,'Shortlisted Drugs X Company (7)'!$E$3:$E$698,$AA265,'Shortlisted Drugs X Company (7)'!$P$3:$P$698,"Exact")+COUNTIFS('Shortlisted Drugs X Company (7)'!$C$3:$C$698,$B265,'Shortlisted Drugs X Company (7)'!$E$3:$E$698,$AA265,'Shortlisted Drugs X Company (7)'!$P$3:$P$698,"Same-market proxy")</f>
        <v>1</v>
      </c>
      <c r="AH265" s="22" t="n">
        <f aca="false">INDEX($G$7:$G$25,MATCH(A265,$A$7:$A$25,0))</f>
        <v>11</v>
      </c>
      <c r="AI265" s="79" t="n">
        <f aca="false">IF(OR(Q265="No",LEFT(H265,7)="IV only"),"",AH265*1000+IF(F265="",900+COUNTIFS($A$29:A265,A265,$H$29:H265,"Price*"),F265))</f>
        <v>11003</v>
      </c>
      <c r="AJ265" s="79" t="n">
        <f aca="false">IF(H265&lt;&gt;"","",(4-VALUE(RIGHT(E265,1)))*10^7+N(O265))</f>
        <v>20003407.5</v>
      </c>
      <c r="AK265" s="20" t="n">
        <f aca="false">IF(AND(H265="",ISNUMBER(I265)),I265,"")</f>
        <v>54.55</v>
      </c>
      <c r="AL265" s="21" t="n">
        <f aca="false">IF(H265="",M265,"")</f>
        <v>126</v>
      </c>
    </row>
    <row r="266" customFormat="false" ht="28.35" hidden="false" customHeight="false" outlineLevel="0" collapsed="false">
      <c r="A266" s="16" t="s">
        <v>236</v>
      </c>
      <c r="B266" s="16" t="s">
        <v>1239</v>
      </c>
      <c r="C266" s="17" t="s">
        <v>1240</v>
      </c>
      <c r="D266" s="17" t="s">
        <v>1241</v>
      </c>
      <c r="E266" s="15" t="str">
        <f aca="false">IF(H266&lt;&gt;"",IF(LEFT(H266,5)="Price","Excluded – price ≤ USD 5","Excluded – IV only"),IF(ISNUMBER(I266),IF(AND(I266&gt;=$C$3,M266&gt;=$E$3),"Priority 1",IF(OR(I266&gt;=$C$3,M266&gt;=$E$3),"Priority 2","Priority 3")),IF(M266&gt;=$E$3,"Priority 2","Priority 3")))</f>
        <v>Excluded – IV only</v>
      </c>
      <c r="F266" s="15" t="str">
        <f aca="false">IF(H266&lt;&gt;"","",COUNTIFS($A$29:$A$361,A266,$H$29:$H$361,"",$AJ$29:$AJ$361,"&gt;"&amp;AJ266)+COUNTIFS($A$29:A266,A266,$H$29:H266,"",$AJ$29:AJ266,AJ266))</f>
        <v/>
      </c>
      <c r="G266" s="17" t="str">
        <f aca="false">IF(H266&lt;&gt;"","",IF(ISNUMBER(I266),IF(I266&gt;=$C$3,"High price","Lower price"),"No price")&amp;", "&amp;IF(M266&gt;=$E$3,"high volume","lower volume"))</f>
        <v/>
      </c>
      <c r="H266" s="17" t="str">
        <f aca="false">IF(Q266="No","IV only (no ID, IM or SC route)",IF(AND(AE266&gt;0,AF266=0),"Price ≤ USD 5",""))</f>
        <v>IV only (no ID, IM or SC route)</v>
      </c>
      <c r="I266" s="18" t="n">
        <f aca="false">IF(AF266&gt;0,ROUND(AVERAGEIFS('Shortlisted Drugs X Company (7)'!$N$3:$N$698,'Shortlisted Drugs X Company (7)'!$C$3:$C$698,$B266,'Shortlisted Drugs X Company (7)'!$E$3:$E$698,$AA266,'Shortlisted Drugs X Company (7)'!$N$3:$N$698,"&gt;5"),2),"")</f>
        <v>66.93</v>
      </c>
      <c r="J266" s="17" t="str">
        <f aca="false">IF(COUNTIFS('Shortlisted Drugs X Company (7)'!$C$3:$C$698,$B266,'Shortlisted Drugs X Company (7)'!$E$3:$E$698,$AA266,'Shortlisted Drugs X Company (7)'!$P$3:$P$698,"Exact")&gt;0,"Exact",IF(COUNTIFS('Shortlisted Drugs X Company (7)'!$C$3:$C$698,$B266,'Shortlisted Drugs X Company (7)'!$E$3:$E$698,$AA266,'Shortlisted Drugs X Company (7)'!$P$3:$P$698,"Same-market proxy")&gt;0,"Same-market proxy",IF(COUNTIFS('Shortlisted Drugs X Company (7)'!$C$3:$C$698,$B266,'Shortlisted Drugs X Company (7)'!$E$3:$E$698,$AA266,'Shortlisted Drugs X Company (7)'!$P$3:$P$698,"Cross-market proxy")&gt;0,"Cross-market proxy",IF(COUNTIFS('Shortlisted Drugs X Company (7)'!$C$3:$C$698,$B266,'Shortlisted Drugs X Company (7)'!$E$3:$E$698,$AA266,'Shortlisted Drugs X Company (7)'!$P$3:$P$698,"Source not found")&gt;0,"Source not found","No price found"))))</f>
        <v>Same-market proxy</v>
      </c>
      <c r="K266" s="19" t="n">
        <f aca="false">IFERROR(INDEX('Injectable Value'!$AB$28:$AB$178,MATCH(B266,'Injectable Value'!$A$28:$A$178,0)),"")</f>
        <v>5</v>
      </c>
      <c r="L266" s="77" t="n">
        <f aca="false">IFERROR(INDEX('Injectable Value'!$Z$28:$Z$178,MATCH(B266,'Injectable Value'!$A$28:$A$178,0)),"")</f>
        <v>1</v>
      </c>
      <c r="M266" s="19" t="n">
        <f aca="false">IFERROR(INDEX('Injectable Value'!$AC$28:$AC$178,MATCH(B266,'Injectable Value'!$A$28:$A$178,0)),"")</f>
        <v>5</v>
      </c>
      <c r="N266" s="19" t="n">
        <f aca="false">IFERROR(INDEX('Injectable Value'!$C$28:$C$178,MATCH(B266,'Injectable Value'!$A$28:$A$178,0)),"")</f>
        <v>135.07</v>
      </c>
      <c r="O266" s="19" t="n">
        <f aca="false">IFERROR(ROUND(INDEX('Injectable Value'!$AA$28:$AA$178,MATCH(B266,'Injectable Value'!$A$28:$A$178,0)),1),"")</f>
        <v>135.1</v>
      </c>
      <c r="P266" s="16" t="str">
        <f aca="false">IFERROR(INDEX('Route of Administration'!$C$5:$C$155,MATCH(B266,'Route of Administration'!$A$5:$A$155,0)),"")</f>
        <v>IV</v>
      </c>
      <c r="Q266" s="15" t="str">
        <f aca="false">IFERROR(INDEX('Route of Administration'!$D$5:$D$155,MATCH(B266,'Route of Administration'!$A$5:$A$155,0)),"")</f>
        <v>No</v>
      </c>
      <c r="R266" s="16" t="s">
        <v>281</v>
      </c>
      <c r="S266" s="17" t="s">
        <v>1242</v>
      </c>
      <c r="T266" s="16" t="s">
        <v>283</v>
      </c>
      <c r="U266" s="17" t="str">
        <f aca="false">""&amp;IF(AE266=0,"No price found","")&amp;IF(AND(AE266&gt;0,AF266=0,AG266=0),"Low price comes from another market – confirm with the company","")</f>
        <v/>
      </c>
      <c r="V266" s="17" t="s">
        <v>772</v>
      </c>
      <c r="W266" s="15" t="n">
        <v>2</v>
      </c>
      <c r="X266" s="17" t="s">
        <v>772</v>
      </c>
      <c r="Y266" s="17" t="s">
        <v>772</v>
      </c>
      <c r="Z266" s="17" t="s">
        <v>321</v>
      </c>
      <c r="AA266" s="16" t="s">
        <v>1238</v>
      </c>
      <c r="AB266" s="78" t="s">
        <v>1243</v>
      </c>
      <c r="AC266" s="20" t="n">
        <f aca="false">IF(AE266&gt;0,ROUND(AVERAGEIFS('Shortlisted Drugs X Company (7)'!$N$3:$N$698,'Shortlisted Drugs X Company (7)'!$C$3:$C$698,$B266,'Shortlisted Drugs X Company (7)'!$E$3:$E$698,$AA266,'Shortlisted Drugs X Company (7)'!$N$3:$N$698,"&gt;=0"),2),"")</f>
        <v>66.93</v>
      </c>
      <c r="AD266" s="79" t="str">
        <f aca="false">B266&amp;"|"&amp;AA266</f>
        <v>Gadobutrol|MSN Laboratories</v>
      </c>
      <c r="AE266" s="22" t="n">
        <f aca="false">COUNTIFS('Shortlisted Drugs X Company (7)'!$C$3:$C$698,$B266,'Shortlisted Drugs X Company (7)'!$E$3:$E$698,$AA266,'Shortlisted Drugs X Company (7)'!$N$3:$N$698,"&gt;=0")</f>
        <v>1</v>
      </c>
      <c r="AF266" s="22" t="n">
        <f aca="false">COUNTIFS('Shortlisted Drugs X Company (7)'!$C$3:$C$698,$B266,'Shortlisted Drugs X Company (7)'!$E$3:$E$698,$AA266,'Shortlisted Drugs X Company (7)'!$N$3:$N$698,"&gt;5")</f>
        <v>1</v>
      </c>
      <c r="AG266" s="22" t="n">
        <f aca="false">COUNTIFS('Shortlisted Drugs X Company (7)'!$C$3:$C$698,$B266,'Shortlisted Drugs X Company (7)'!$E$3:$E$698,$AA266,'Shortlisted Drugs X Company (7)'!$P$3:$P$698,"Exact")+COUNTIFS('Shortlisted Drugs X Company (7)'!$C$3:$C$698,$B266,'Shortlisted Drugs X Company (7)'!$E$3:$E$698,$AA266,'Shortlisted Drugs X Company (7)'!$P$3:$P$698,"Same-market proxy")</f>
        <v>1</v>
      </c>
      <c r="AH266" s="22" t="n">
        <f aca="false">INDEX($G$7:$G$25,MATCH(A266,$A$7:$A$25,0))</f>
        <v>11</v>
      </c>
      <c r="AI266" s="79" t="str">
        <f aca="false">IF(OR(Q266="No",LEFT(H266,7)="IV only"),"",AH266*1000+IF(F266="",900+COUNTIFS($A$29:A266,A266,$H$29:H266,"Price*"),F266))</f>
        <v/>
      </c>
      <c r="AJ266" s="79" t="str">
        <f aca="false">IF(H266&lt;&gt;"","",(4-VALUE(RIGHT(E266,1)))*10^7+N(O266))</f>
        <v/>
      </c>
      <c r="AK266" s="79" t="str">
        <f aca="false">IF(AND(H266="",ISNUMBER(I266)),I266,"")</f>
        <v/>
      </c>
      <c r="AL266" s="79" t="str">
        <f aca="false">IF(H266="",M266,"")</f>
        <v/>
      </c>
    </row>
    <row r="267" customFormat="false" ht="41.75" hidden="false" customHeight="false" outlineLevel="0" collapsed="false">
      <c r="A267" s="16" t="s">
        <v>236</v>
      </c>
      <c r="B267" s="16" t="s">
        <v>541</v>
      </c>
      <c r="C267" s="17" t="s">
        <v>541</v>
      </c>
      <c r="D267" s="17" t="s">
        <v>543</v>
      </c>
      <c r="E267" s="15" t="str">
        <f aca="false">IF(H267&lt;&gt;"",IF(LEFT(H267,5)="Price","Excluded – price ≤ USD 5","Excluded – IV only"),IF(ISNUMBER(I267),IF(AND(I267&gt;=$C$3,M267&gt;=$E$3),"Priority 1",IF(OR(I267&gt;=$C$3,M267&gt;=$E$3),"Priority 2","Priority 3")),IF(M267&gt;=$E$3,"Priority 2","Priority 3")))</f>
        <v>Priority 2</v>
      </c>
      <c r="F267" s="15" t="n">
        <f aca="false">IF(H267&lt;&gt;"","",COUNTIFS($A$29:$A$361,A267,$H$29:$H$361,"",$AJ$29:$AJ$361,"&gt;"&amp;AJ267)+COUNTIFS($A$29:A267,A267,$H$29:H267,"",$AJ$29:AJ267,AJ267))</f>
        <v>2</v>
      </c>
      <c r="G267" s="17" t="str">
        <f aca="false">IF(H267&lt;&gt;"","",IF(ISNUMBER(I267),IF(I267&gt;=$C$3,"High price","Lower price"),"No price")&amp;", "&amp;IF(M267&gt;=$E$3,"high volume","lower volume"))</f>
        <v>High price, lower volume</v>
      </c>
      <c r="H267" s="17" t="str">
        <f aca="false">IF(Q267="No","IV only (no ID, IM or SC route)",IF(AND(AE267&gt;0,AF267=0),"Price ≤ USD 5",""))</f>
        <v/>
      </c>
      <c r="I267" s="18" t="n">
        <f aca="false">IF(AF267&gt;0,ROUND(AVERAGEIFS('Shortlisted Drugs X Company (7)'!$N$3:$N$698,'Shortlisted Drugs X Company (7)'!$C$3:$C$698,$B267,'Shortlisted Drugs X Company (7)'!$E$3:$E$698,$AA267,'Shortlisted Drugs X Company (7)'!$N$3:$N$698,"&gt;5"),2),"")</f>
        <v>343.8</v>
      </c>
      <c r="J267" s="17" t="str">
        <f aca="false">IF(COUNTIFS('Shortlisted Drugs X Company (7)'!$C$3:$C$698,$B267,'Shortlisted Drugs X Company (7)'!$E$3:$E$698,$AA267,'Shortlisted Drugs X Company (7)'!$P$3:$P$698,"Exact")&gt;0,"Exact",IF(COUNTIFS('Shortlisted Drugs X Company (7)'!$C$3:$C$698,$B267,'Shortlisted Drugs X Company (7)'!$E$3:$E$698,$AA267,'Shortlisted Drugs X Company (7)'!$P$3:$P$698,"Same-market proxy")&gt;0,"Same-market proxy",IF(COUNTIFS('Shortlisted Drugs X Company (7)'!$C$3:$C$698,$B267,'Shortlisted Drugs X Company (7)'!$E$3:$E$698,$AA267,'Shortlisted Drugs X Company (7)'!$P$3:$P$698,"Cross-market proxy")&gt;0,"Cross-market proxy",IF(COUNTIFS('Shortlisted Drugs X Company (7)'!$C$3:$C$698,$B267,'Shortlisted Drugs X Company (7)'!$E$3:$E$698,$AA267,'Shortlisted Drugs X Company (7)'!$P$3:$P$698,"Source not found")&gt;0,"Source not found","No price found"))))</f>
        <v>Same-market proxy</v>
      </c>
      <c r="K267" s="19" t="n">
        <f aca="false">IFERROR(INDEX('Injectable Value'!$AB$28:$AB$178,MATCH(B267,'Injectable Value'!$A$28:$A$178,0)),"")</f>
        <v>47</v>
      </c>
      <c r="L267" s="77" t="n">
        <f aca="false">IFERROR(INDEX('Injectable Value'!$Z$28:$Z$178,MATCH(B267,'Injectable Value'!$A$28:$A$178,0)),"")</f>
        <v>1</v>
      </c>
      <c r="M267" s="19" t="n">
        <f aca="false">IFERROR(INDEX('Injectable Value'!$AC$28:$AC$178,MATCH(B267,'Injectable Value'!$A$28:$A$178,0)),"")</f>
        <v>47</v>
      </c>
      <c r="N267" s="19" t="n">
        <f aca="false">IFERROR(INDEX('Injectable Value'!$C$28:$C$178,MATCH(B267,'Injectable Value'!$A$28:$A$178,0)),"")</f>
        <v>7904.67</v>
      </c>
      <c r="O267" s="19" t="n">
        <f aca="false">IFERROR(ROUND(INDEX('Injectable Value'!$AA$28:$AA$178,MATCH(B267,'Injectable Value'!$A$28:$A$178,0)),1),"")</f>
        <v>7904.7</v>
      </c>
      <c r="P267" s="16" t="str">
        <f aca="false">IFERROR(INDEX('Route of Administration'!$C$5:$C$155,MATCH(B267,'Route of Administration'!$A$5:$A$155,0)),"")</f>
        <v>SC</v>
      </c>
      <c r="Q267" s="15" t="str">
        <f aca="false">IFERROR(INDEX('Route of Administration'!$D$5:$D$155,MATCH(B267,'Route of Administration'!$A$5:$A$155,0)),"")</f>
        <v>Yes</v>
      </c>
      <c r="R267" s="16" t="s">
        <v>281</v>
      </c>
      <c r="S267" s="17" t="s">
        <v>544</v>
      </c>
      <c r="T267" s="16" t="s">
        <v>283</v>
      </c>
      <c r="U267" s="17" t="str">
        <f aca="false">""&amp;IF(AE267=0,"No price found","")&amp;IF(AND(AE267&gt;0,AF267=0,AG267=0),"Low price comes from another market – confirm with the company","")</f>
        <v/>
      </c>
      <c r="V267" s="17" t="s">
        <v>284</v>
      </c>
      <c r="W267" s="15" t="n">
        <v>9</v>
      </c>
      <c r="X267" s="17" t="s">
        <v>1244</v>
      </c>
      <c r="Y267" s="17" t="s">
        <v>1245</v>
      </c>
      <c r="Z267" s="17" t="s">
        <v>286</v>
      </c>
      <c r="AA267" s="16" t="s">
        <v>1238</v>
      </c>
      <c r="AB267" s="78" t="s">
        <v>547</v>
      </c>
      <c r="AC267" s="20" t="n">
        <f aca="false">IF(AE267&gt;0,ROUND(AVERAGEIFS('Shortlisted Drugs X Company (7)'!$N$3:$N$698,'Shortlisted Drugs X Company (7)'!$C$3:$C$698,$B267,'Shortlisted Drugs X Company (7)'!$E$3:$E$698,$AA267,'Shortlisted Drugs X Company (7)'!$N$3:$N$698,"&gt;=0"),2),"")</f>
        <v>343.8</v>
      </c>
      <c r="AD267" s="79" t="str">
        <f aca="false">B267&amp;"|"&amp;AA267</f>
        <v>Plerixafor|MSN Laboratories</v>
      </c>
      <c r="AE267" s="22" t="n">
        <f aca="false">COUNTIFS('Shortlisted Drugs X Company (7)'!$C$3:$C$698,$B267,'Shortlisted Drugs X Company (7)'!$E$3:$E$698,$AA267,'Shortlisted Drugs X Company (7)'!$N$3:$N$698,"&gt;=0")</f>
        <v>1</v>
      </c>
      <c r="AF267" s="22" t="n">
        <f aca="false">COUNTIFS('Shortlisted Drugs X Company (7)'!$C$3:$C$698,$B267,'Shortlisted Drugs X Company (7)'!$E$3:$E$698,$AA267,'Shortlisted Drugs X Company (7)'!$N$3:$N$698,"&gt;5")</f>
        <v>1</v>
      </c>
      <c r="AG267" s="22" t="n">
        <f aca="false">COUNTIFS('Shortlisted Drugs X Company (7)'!$C$3:$C$698,$B267,'Shortlisted Drugs X Company (7)'!$E$3:$E$698,$AA267,'Shortlisted Drugs X Company (7)'!$P$3:$P$698,"Exact")+COUNTIFS('Shortlisted Drugs X Company (7)'!$C$3:$C$698,$B267,'Shortlisted Drugs X Company (7)'!$E$3:$E$698,$AA267,'Shortlisted Drugs X Company (7)'!$P$3:$P$698,"Same-market proxy")</f>
        <v>1</v>
      </c>
      <c r="AH267" s="22" t="n">
        <f aca="false">INDEX($G$7:$G$25,MATCH(A267,$A$7:$A$25,0))</f>
        <v>11</v>
      </c>
      <c r="AI267" s="79" t="n">
        <f aca="false">IF(OR(Q267="No",LEFT(H267,7)="IV only"),"",AH267*1000+IF(F267="",900+COUNTIFS($A$29:A267,A267,$H$29:H267,"Price*"),F267))</f>
        <v>11002</v>
      </c>
      <c r="AJ267" s="79" t="n">
        <f aca="false">IF(H267&lt;&gt;"","",(4-VALUE(RIGHT(E267,1)))*10^7+N(O267))</f>
        <v>20007904.7</v>
      </c>
      <c r="AK267" s="20" t="n">
        <f aca="false">IF(AND(H267="",ISNUMBER(I267)),I267,"")</f>
        <v>343.8</v>
      </c>
      <c r="AL267" s="21" t="n">
        <f aca="false">IF(H267="",M267,"")</f>
        <v>47</v>
      </c>
    </row>
    <row r="268" customFormat="false" ht="41.75" hidden="false" customHeight="false" outlineLevel="0" collapsed="false">
      <c r="A268" s="16" t="s">
        <v>236</v>
      </c>
      <c r="B268" s="16" t="s">
        <v>665</v>
      </c>
      <c r="C268" s="17" t="s">
        <v>1246</v>
      </c>
      <c r="D268" s="17" t="s">
        <v>667</v>
      </c>
      <c r="E268" s="15" t="str">
        <f aca="false">IF(H268&lt;&gt;"",IF(LEFT(H268,5)="Price","Excluded – price ≤ USD 5","Excluded – IV only"),IF(ISNUMBER(I268),IF(AND(I268&gt;=$C$3,M268&gt;=$E$3),"Priority 1",IF(OR(I268&gt;=$C$3,M268&gt;=$E$3),"Priority 2","Priority 3")),IF(M268&gt;=$E$3,"Priority 2","Priority 3")))</f>
        <v>Excluded – IV only</v>
      </c>
      <c r="F268" s="15" t="str">
        <f aca="false">IF(H268&lt;&gt;"","",COUNTIFS($A$29:$A$361,A268,$H$29:$H$361,"",$AJ$29:$AJ$361,"&gt;"&amp;AJ268)+COUNTIFS($A$29:A268,A268,$H$29:H268,"",$AJ$29:AJ268,AJ268))</f>
        <v/>
      </c>
      <c r="G268" s="17" t="str">
        <f aca="false">IF(H268&lt;&gt;"","",IF(ISNUMBER(I268),IF(I268&gt;=$C$3,"High price","Lower price"),"No price")&amp;", "&amp;IF(M268&gt;=$E$3,"high volume","lower volume"))</f>
        <v/>
      </c>
      <c r="H268" s="17" t="str">
        <f aca="false">IF(Q268="No","IV only (no ID, IM or SC route)",IF(AND(AE268&gt;0,AF268=0),"Price ≤ USD 5",""))</f>
        <v>IV only (no ID, IM or SC route)</v>
      </c>
      <c r="I268" s="18" t="n">
        <f aca="false">IF(AF268&gt;0,ROUND(AVERAGEIFS('Shortlisted Drugs X Company (7)'!$N$3:$N$698,'Shortlisted Drugs X Company (7)'!$C$3:$C$698,$B268,'Shortlisted Drugs X Company (7)'!$E$3:$E$698,$AA268,'Shortlisted Drugs X Company (7)'!$N$3:$N$698,"&gt;5"),2),"")</f>
        <v>41.77</v>
      </c>
      <c r="J268" s="17" t="str">
        <f aca="false">IF(COUNTIFS('Shortlisted Drugs X Company (7)'!$C$3:$C$698,$B268,'Shortlisted Drugs X Company (7)'!$E$3:$E$698,$AA268,'Shortlisted Drugs X Company (7)'!$P$3:$P$698,"Exact")&gt;0,"Exact",IF(COUNTIFS('Shortlisted Drugs X Company (7)'!$C$3:$C$698,$B268,'Shortlisted Drugs X Company (7)'!$E$3:$E$698,$AA268,'Shortlisted Drugs X Company (7)'!$P$3:$P$698,"Same-market proxy")&gt;0,"Same-market proxy",IF(COUNTIFS('Shortlisted Drugs X Company (7)'!$C$3:$C$698,$B268,'Shortlisted Drugs X Company (7)'!$E$3:$E$698,$AA268,'Shortlisted Drugs X Company (7)'!$P$3:$P$698,"Cross-market proxy")&gt;0,"Cross-market proxy",IF(COUNTIFS('Shortlisted Drugs X Company (7)'!$C$3:$C$698,$B268,'Shortlisted Drugs X Company (7)'!$E$3:$E$698,$AA268,'Shortlisted Drugs X Company (7)'!$P$3:$P$698,"Source not found")&gt;0,"Source not found","No price found"))))</f>
        <v>Exact</v>
      </c>
      <c r="K268" s="19" t="n">
        <f aca="false">IFERROR(INDEX('Injectable Value'!$AB$28:$AB$178,MATCH(B268,'Injectable Value'!$A$28:$A$178,0)),"")</f>
        <v>346</v>
      </c>
      <c r="L268" s="77" t="n">
        <f aca="false">IFERROR(INDEX('Injectable Value'!$Z$28:$Z$178,MATCH(B268,'Injectable Value'!$A$28:$A$178,0)),"")</f>
        <v>1</v>
      </c>
      <c r="M268" s="19" t="n">
        <f aca="false">IFERROR(INDEX('Injectable Value'!$AC$28:$AC$178,MATCH(B268,'Injectable Value'!$A$28:$A$178,0)),"")</f>
        <v>346</v>
      </c>
      <c r="N268" s="19" t="n">
        <f aca="false">IFERROR(INDEX('Injectable Value'!$C$28:$C$178,MATCH(B268,'Injectable Value'!$A$28:$A$178,0)),"")</f>
        <v>32830.17</v>
      </c>
      <c r="O268" s="19" t="n">
        <f aca="false">IFERROR(ROUND(INDEX('Injectable Value'!$AA$28:$AA$178,MATCH(B268,'Injectable Value'!$A$28:$A$178,0)),1),"")</f>
        <v>32830.2</v>
      </c>
      <c r="P268" s="16" t="str">
        <f aca="false">IFERROR(INDEX('Route of Administration'!$C$5:$C$155,MATCH(B268,'Route of Administration'!$A$5:$A$155,0)),"")</f>
        <v>IV</v>
      </c>
      <c r="Q268" s="15" t="str">
        <f aca="false">IFERROR(INDEX('Route of Administration'!$D$5:$D$155,MATCH(B268,'Route of Administration'!$A$5:$A$155,0)),"")</f>
        <v>No</v>
      </c>
      <c r="R268" s="16" t="s">
        <v>281</v>
      </c>
      <c r="S268" s="17" t="s">
        <v>668</v>
      </c>
      <c r="T268" s="16" t="s">
        <v>283</v>
      </c>
      <c r="U268" s="17" t="str">
        <f aca="false">""&amp;IF(AE268=0,"No price found","")&amp;IF(AND(AE268&gt;0,AF268=0,AG268=0),"Low price comes from another market – confirm with the company","")</f>
        <v/>
      </c>
      <c r="V268" s="17" t="s">
        <v>1247</v>
      </c>
      <c r="W268" s="15" t="n">
        <v>11</v>
      </c>
      <c r="X268" s="17" t="s">
        <v>1248</v>
      </c>
      <c r="Y268" s="17" t="s">
        <v>1249</v>
      </c>
      <c r="Z268" s="17" t="s">
        <v>286</v>
      </c>
      <c r="AA268" s="16" t="s">
        <v>1238</v>
      </c>
      <c r="AB268" s="78" t="s">
        <v>670</v>
      </c>
      <c r="AC268" s="20" t="n">
        <f aca="false">IF(AE268&gt;0,ROUND(AVERAGEIFS('Shortlisted Drugs X Company (7)'!$N$3:$N$698,'Shortlisted Drugs X Company (7)'!$C$3:$C$698,$B268,'Shortlisted Drugs X Company (7)'!$E$3:$E$698,$AA268,'Shortlisted Drugs X Company (7)'!$N$3:$N$698,"&gt;=0"),2),"")</f>
        <v>41.77</v>
      </c>
      <c r="AD268" s="79" t="str">
        <f aca="false">B268&amp;"|"&amp;AA268</f>
        <v>Sugammadex|MSN Laboratories</v>
      </c>
      <c r="AE268" s="22" t="n">
        <f aca="false">COUNTIFS('Shortlisted Drugs X Company (7)'!$C$3:$C$698,$B268,'Shortlisted Drugs X Company (7)'!$E$3:$E$698,$AA268,'Shortlisted Drugs X Company (7)'!$N$3:$N$698,"&gt;=0")</f>
        <v>3</v>
      </c>
      <c r="AF268" s="22" t="n">
        <f aca="false">COUNTIFS('Shortlisted Drugs X Company (7)'!$C$3:$C$698,$B268,'Shortlisted Drugs X Company (7)'!$E$3:$E$698,$AA268,'Shortlisted Drugs X Company (7)'!$N$3:$N$698,"&gt;5")</f>
        <v>3</v>
      </c>
      <c r="AG268" s="22" t="n">
        <f aca="false">COUNTIFS('Shortlisted Drugs X Company (7)'!$C$3:$C$698,$B268,'Shortlisted Drugs X Company (7)'!$E$3:$E$698,$AA268,'Shortlisted Drugs X Company (7)'!$P$3:$P$698,"Exact")+COUNTIFS('Shortlisted Drugs X Company (7)'!$C$3:$C$698,$B268,'Shortlisted Drugs X Company (7)'!$E$3:$E$698,$AA268,'Shortlisted Drugs X Company (7)'!$P$3:$P$698,"Same-market proxy")</f>
        <v>3</v>
      </c>
      <c r="AH268" s="22" t="n">
        <f aca="false">INDEX($G$7:$G$25,MATCH(A268,$A$7:$A$25,0))</f>
        <v>11</v>
      </c>
      <c r="AI268" s="79" t="str">
        <f aca="false">IF(OR(Q268="No",LEFT(H268,7)="IV only"),"",AH268*1000+IF(F268="",900+COUNTIFS($A$29:A268,A268,$H$29:H268,"Price*"),F268))</f>
        <v/>
      </c>
      <c r="AJ268" s="79" t="str">
        <f aca="false">IF(H268&lt;&gt;"","",(4-VALUE(RIGHT(E268,1)))*10^7+N(O268))</f>
        <v/>
      </c>
      <c r="AK268" s="79" t="str">
        <f aca="false">IF(AND(H268="",ISNUMBER(I268)),I268,"")</f>
        <v/>
      </c>
      <c r="AL268" s="79" t="str">
        <f aca="false">IF(H268="",M268,"")</f>
        <v/>
      </c>
    </row>
    <row r="269" customFormat="false" ht="28.35" hidden="false" customHeight="false" outlineLevel="0" collapsed="false">
      <c r="A269" s="16" t="s">
        <v>237</v>
      </c>
      <c r="B269" s="16" t="s">
        <v>874</v>
      </c>
      <c r="C269" s="17" t="s">
        <v>874</v>
      </c>
      <c r="D269" s="17" t="s">
        <v>876</v>
      </c>
      <c r="E269" s="15" t="str">
        <f aca="false">IF(H269&lt;&gt;"",IF(LEFT(H269,5)="Price","Excluded – price ≤ USD 5","Excluded – IV only"),IF(ISNUMBER(I269),IF(AND(I269&gt;=$C$3,M269&gt;=$E$3),"Priority 1",IF(OR(I269&gt;=$C$3,M269&gt;=$E$3),"Priority 2","Priority 3")),IF(M269&gt;=$E$3,"Priority 2","Priority 3")))</f>
        <v>Excluded – IV only</v>
      </c>
      <c r="F269" s="15" t="str">
        <f aca="false">IF(H269&lt;&gt;"","",COUNTIFS($A$29:$A$361,A269,$H$29:$H$361,"",$AJ$29:$AJ$361,"&gt;"&amp;AJ269)+COUNTIFS($A$29:A269,A269,$H$29:H269,"",$AJ$29:AJ269,AJ269))</f>
        <v/>
      </c>
      <c r="G269" s="17" t="str">
        <f aca="false">IF(H269&lt;&gt;"","",IF(ISNUMBER(I269),IF(I269&gt;=$C$3,"High price","Lower price"),"No price")&amp;", "&amp;IF(M269&gt;=$E$3,"high volume","lower volume"))</f>
        <v/>
      </c>
      <c r="H269" s="17" t="str">
        <f aca="false">IF(Q269="No","IV only (no ID, IM or SC route)",IF(AND(AE269&gt;0,AF269=0),"Price ≤ USD 5",""))</f>
        <v>IV only (no ID, IM or SC route)</v>
      </c>
      <c r="I269" s="18" t="n">
        <f aca="false">IF(AF269&gt;0,ROUND(AVERAGEIFS('Shortlisted Drugs X Company (7)'!$N$3:$N$698,'Shortlisted Drugs X Company (7)'!$C$3:$C$698,$B269,'Shortlisted Drugs X Company (7)'!$E$3:$E$698,$AA269,'Shortlisted Drugs X Company (7)'!$N$3:$N$698,"&gt;5"),2),"")</f>
        <v>51.79</v>
      </c>
      <c r="J269" s="17" t="str">
        <f aca="false">IF(COUNTIFS('Shortlisted Drugs X Company (7)'!$C$3:$C$698,$B269,'Shortlisted Drugs X Company (7)'!$E$3:$E$698,$AA269,'Shortlisted Drugs X Company (7)'!$P$3:$P$698,"Exact")&gt;0,"Exact",IF(COUNTIFS('Shortlisted Drugs X Company (7)'!$C$3:$C$698,$B269,'Shortlisted Drugs X Company (7)'!$E$3:$E$698,$AA269,'Shortlisted Drugs X Company (7)'!$P$3:$P$698,"Same-market proxy")&gt;0,"Same-market proxy",IF(COUNTIFS('Shortlisted Drugs X Company (7)'!$C$3:$C$698,$B269,'Shortlisted Drugs X Company (7)'!$E$3:$E$698,$AA269,'Shortlisted Drugs X Company (7)'!$P$3:$P$698,"Cross-market proxy")&gt;0,"Cross-market proxy",IF(COUNTIFS('Shortlisted Drugs X Company (7)'!$C$3:$C$698,$B269,'Shortlisted Drugs X Company (7)'!$E$3:$E$698,$AA269,'Shortlisted Drugs X Company (7)'!$P$3:$P$698,"Source not found")&gt;0,"Source not found","No price found"))))</f>
        <v>Same-market proxy</v>
      </c>
      <c r="K269" s="19" t="n">
        <f aca="false">IFERROR(INDEX('Injectable Value'!$AB$28:$AB$178,MATCH(B269,'Injectable Value'!$A$28:$A$178,0)),"")</f>
        <v>45</v>
      </c>
      <c r="L269" s="77" t="n">
        <f aca="false">IFERROR(INDEX('Injectable Value'!$Z$28:$Z$178,MATCH(B269,'Injectable Value'!$A$28:$A$178,0)),"")</f>
        <v>0.0828659263441872</v>
      </c>
      <c r="M269" s="19" t="n">
        <f aca="false">IFERROR(INDEX('Injectable Value'!$AC$28:$AC$178,MATCH(B269,'Injectable Value'!$A$28:$A$178,0)),"")</f>
        <v>4</v>
      </c>
      <c r="N269" s="19" t="n">
        <f aca="false">IFERROR(INDEX('Injectable Value'!$C$28:$C$178,MATCH(B269,'Injectable Value'!$A$28:$A$178,0)),"")</f>
        <v>263.65</v>
      </c>
      <c r="O269" s="19" t="n">
        <f aca="false">IFERROR(ROUND(INDEX('Injectable Value'!$AA$28:$AA$178,MATCH(B269,'Injectable Value'!$A$28:$A$178,0)),1),"")</f>
        <v>21.8</v>
      </c>
      <c r="P269" s="16" t="str">
        <f aca="false">IFERROR(INDEX('Route of Administration'!$C$5:$C$155,MATCH(B269,'Route of Administration'!$A$5:$A$155,0)),"")</f>
        <v>IV</v>
      </c>
      <c r="Q269" s="15" t="str">
        <f aca="false">IFERROR(INDEX('Route of Administration'!$D$5:$D$155,MATCH(B269,'Route of Administration'!$A$5:$A$155,0)),"")</f>
        <v>No</v>
      </c>
      <c r="R269" s="16" t="s">
        <v>281</v>
      </c>
      <c r="S269" s="17" t="s">
        <v>877</v>
      </c>
      <c r="T269" s="16" t="s">
        <v>283</v>
      </c>
      <c r="U269" s="17" t="str">
        <f aca="false">""&amp;IF(AE269=0,"No price found","")&amp;IF(AND(AE269&gt;0,AF269=0,AG269=0),"Low price comes from another market – confirm with the company","")</f>
        <v/>
      </c>
      <c r="V269" s="17" t="s">
        <v>284</v>
      </c>
      <c r="W269" s="15" t="n">
        <v>1</v>
      </c>
      <c r="X269" s="17" t="s">
        <v>284</v>
      </c>
      <c r="Y269" s="17" t="s">
        <v>284</v>
      </c>
      <c r="Z269" s="17" t="s">
        <v>286</v>
      </c>
      <c r="AA269" s="16" t="s">
        <v>237</v>
      </c>
      <c r="AB269" s="78" t="s">
        <v>879</v>
      </c>
      <c r="AC269" s="20" t="n">
        <f aca="false">IF(AE269&gt;0,ROUND(AVERAGEIFS('Shortlisted Drugs X Company (7)'!$N$3:$N$698,'Shortlisted Drugs X Company (7)'!$C$3:$C$698,$B269,'Shortlisted Drugs X Company (7)'!$E$3:$E$698,$AA269,'Shortlisted Drugs X Company (7)'!$N$3:$N$698,"&gt;=0"),2),"")</f>
        <v>51.79</v>
      </c>
      <c r="AD269" s="79" t="str">
        <f aca="false">B269&amp;"|"&amp;AA269</f>
        <v>Brivaracetam|Micro Labs</v>
      </c>
      <c r="AE269" s="22" t="n">
        <f aca="false">COUNTIFS('Shortlisted Drugs X Company (7)'!$C$3:$C$698,$B269,'Shortlisted Drugs X Company (7)'!$E$3:$E$698,$AA269,'Shortlisted Drugs X Company (7)'!$N$3:$N$698,"&gt;=0")</f>
        <v>1</v>
      </c>
      <c r="AF269" s="22" t="n">
        <f aca="false">COUNTIFS('Shortlisted Drugs X Company (7)'!$C$3:$C$698,$B269,'Shortlisted Drugs X Company (7)'!$E$3:$E$698,$AA269,'Shortlisted Drugs X Company (7)'!$N$3:$N$698,"&gt;5")</f>
        <v>1</v>
      </c>
      <c r="AG269" s="22" t="n">
        <f aca="false">COUNTIFS('Shortlisted Drugs X Company (7)'!$C$3:$C$698,$B269,'Shortlisted Drugs X Company (7)'!$E$3:$E$698,$AA269,'Shortlisted Drugs X Company (7)'!$P$3:$P$698,"Exact")+COUNTIFS('Shortlisted Drugs X Company (7)'!$C$3:$C$698,$B269,'Shortlisted Drugs X Company (7)'!$E$3:$E$698,$AA269,'Shortlisted Drugs X Company (7)'!$P$3:$P$698,"Same-market proxy")</f>
        <v>1</v>
      </c>
      <c r="AH269" s="22" t="n">
        <f aca="false">INDEX($G$7:$G$25,MATCH(A269,$A$7:$A$25,0))</f>
        <v>18</v>
      </c>
      <c r="AI269" s="79" t="str">
        <f aca="false">IF(OR(Q269="No",LEFT(H269,7)="IV only"),"",AH269*1000+IF(F269="",900+COUNTIFS($A$29:A269,A269,$H$29:H269,"Price*"),F269))</f>
        <v/>
      </c>
      <c r="AJ269" s="79" t="str">
        <f aca="false">IF(H269&lt;&gt;"","",(4-VALUE(RIGHT(E269,1)))*10^7+N(O269))</f>
        <v/>
      </c>
      <c r="AK269" s="79" t="str">
        <f aca="false">IF(AND(H269="",ISNUMBER(I269)),I269,"")</f>
        <v/>
      </c>
      <c r="AL269" s="79" t="str">
        <f aca="false">IF(H269="",M269,"")</f>
        <v/>
      </c>
    </row>
    <row r="270" customFormat="false" ht="28.35" hidden="false" customHeight="false" outlineLevel="0" collapsed="false">
      <c r="A270" s="16" t="s">
        <v>237</v>
      </c>
      <c r="B270" s="16" t="s">
        <v>1250</v>
      </c>
      <c r="C270" s="17" t="s">
        <v>1251</v>
      </c>
      <c r="D270" s="17" t="s">
        <v>1252</v>
      </c>
      <c r="E270" s="15" t="str">
        <f aca="false">IF(H270&lt;&gt;"",IF(LEFT(H270,5)="Price","Excluded – price ≤ USD 5","Excluded – IV only"),IF(ISNUMBER(I270),IF(AND(I270&gt;=$C$3,M270&gt;=$E$3),"Priority 1",IF(OR(I270&gt;=$C$3,M270&gt;=$E$3),"Priority 2","Priority 3")),IF(M270&gt;=$E$3,"Priority 2","Priority 3")))</f>
        <v>Excluded – IV only</v>
      </c>
      <c r="F270" s="15" t="str">
        <f aca="false">IF(H270&lt;&gt;"","",COUNTIFS($A$29:$A$361,A270,$H$29:$H$361,"",$AJ$29:$AJ$361,"&gt;"&amp;AJ270)+COUNTIFS($A$29:A270,A270,$H$29:H270,"",$AJ$29:AJ270,AJ270))</f>
        <v/>
      </c>
      <c r="G270" s="17" t="str">
        <f aca="false">IF(H270&lt;&gt;"","",IF(ISNUMBER(I270),IF(I270&gt;=$C$3,"High price","Lower price"),"No price")&amp;", "&amp;IF(M270&gt;=$E$3,"high volume","lower volume"))</f>
        <v/>
      </c>
      <c r="H270" s="17" t="str">
        <f aca="false">IF(Q270="No","IV only (no ID, IM or SC route)",IF(AND(AE270&gt;0,AF270=0),"Price ≤ USD 5",""))</f>
        <v>IV only (no ID, IM or SC route)</v>
      </c>
      <c r="I270" s="18" t="n">
        <f aca="false">IF(AF270&gt;0,ROUND(AVERAGEIFS('Shortlisted Drugs X Company (7)'!$N$3:$N$698,'Shortlisted Drugs X Company (7)'!$C$3:$C$698,$B270,'Shortlisted Drugs X Company (7)'!$E$3:$E$698,$AA270,'Shortlisted Drugs X Company (7)'!$N$3:$N$698,"&gt;5"),2),"")</f>
        <v>69.37</v>
      </c>
      <c r="J270" s="17" t="str">
        <f aca="false">IF(COUNTIFS('Shortlisted Drugs X Company (7)'!$C$3:$C$698,$B270,'Shortlisted Drugs X Company (7)'!$E$3:$E$698,$AA270,'Shortlisted Drugs X Company (7)'!$P$3:$P$698,"Exact")&gt;0,"Exact",IF(COUNTIFS('Shortlisted Drugs X Company (7)'!$C$3:$C$698,$B270,'Shortlisted Drugs X Company (7)'!$E$3:$E$698,$AA270,'Shortlisted Drugs X Company (7)'!$P$3:$P$698,"Same-market proxy")&gt;0,"Same-market proxy",IF(COUNTIFS('Shortlisted Drugs X Company (7)'!$C$3:$C$698,$B270,'Shortlisted Drugs X Company (7)'!$E$3:$E$698,$AA270,'Shortlisted Drugs X Company (7)'!$P$3:$P$698,"Cross-market proxy")&gt;0,"Cross-market proxy",IF(COUNTIFS('Shortlisted Drugs X Company (7)'!$C$3:$C$698,$B270,'Shortlisted Drugs X Company (7)'!$E$3:$E$698,$AA270,'Shortlisted Drugs X Company (7)'!$P$3:$P$698,"Source not found")&gt;0,"Source not found","No price found"))))</f>
        <v>Cross-market proxy</v>
      </c>
      <c r="K270" s="19" t="n">
        <f aca="false">IFERROR(INDEX('Injectable Value'!$AB$28:$AB$178,MATCH(B270,'Injectable Value'!$A$28:$A$178,0)),"")</f>
        <v>2221</v>
      </c>
      <c r="L270" s="77" t="n">
        <f aca="false">IFERROR(INDEX('Injectable Value'!$Z$28:$Z$178,MATCH(B270,'Injectable Value'!$A$28:$A$178,0)),"")</f>
        <v>0.0524659711687654</v>
      </c>
      <c r="M270" s="19" t="n">
        <f aca="false">IFERROR(INDEX('Injectable Value'!$AC$28:$AC$178,MATCH(B270,'Injectable Value'!$A$28:$A$178,0)),"")</f>
        <v>117</v>
      </c>
      <c r="N270" s="19" t="n">
        <f aca="false">IFERROR(INDEX('Injectable Value'!$C$28:$C$178,MATCH(B270,'Injectable Value'!$A$28:$A$178,0)),"")</f>
        <v>49989.33</v>
      </c>
      <c r="O270" s="19" t="n">
        <f aca="false">IFERROR(ROUND(INDEX('Injectable Value'!$AA$28:$AA$178,MATCH(B270,'Injectable Value'!$A$28:$A$178,0)),1),"")</f>
        <v>2622.7</v>
      </c>
      <c r="P270" s="16" t="str">
        <f aca="false">IFERROR(INDEX('Route of Administration'!$C$5:$C$155,MATCH(B270,'Route of Administration'!$A$5:$A$155,0)),"")</f>
        <v>IV</v>
      </c>
      <c r="Q270" s="15" t="str">
        <f aca="false">IFERROR(INDEX('Route of Administration'!$D$5:$D$155,MATCH(B270,'Route of Administration'!$A$5:$A$155,0)),"")</f>
        <v>No</v>
      </c>
      <c r="R270" s="16" t="s">
        <v>281</v>
      </c>
      <c r="S270" s="17" t="s">
        <v>1253</v>
      </c>
      <c r="T270" s="16" t="s">
        <v>283</v>
      </c>
      <c r="U270" s="17" t="str">
        <f aca="false">""&amp;IF(AE270=0,"No price found","")&amp;IF(AND(AE270&gt;0,AF270=0,AG270=0),"Low price comes from another market – confirm with the company","")</f>
        <v/>
      </c>
      <c r="V270" s="17" t="s">
        <v>912</v>
      </c>
      <c r="W270" s="15" t="n">
        <v>1</v>
      </c>
      <c r="X270" s="17" t="s">
        <v>912</v>
      </c>
      <c r="Y270" s="17" t="s">
        <v>912</v>
      </c>
      <c r="Z270" s="17" t="s">
        <v>321</v>
      </c>
      <c r="AA270" s="16" t="s">
        <v>237</v>
      </c>
      <c r="AB270" s="78" t="s">
        <v>1254</v>
      </c>
      <c r="AC270" s="20" t="n">
        <f aca="false">IF(AE270&gt;0,ROUND(AVERAGEIFS('Shortlisted Drugs X Company (7)'!$N$3:$N$698,'Shortlisted Drugs X Company (7)'!$C$3:$C$698,$B270,'Shortlisted Drugs X Company (7)'!$E$3:$E$698,$AA270,'Shortlisted Drugs X Company (7)'!$N$3:$N$698,"&gt;=0"),2),"")</f>
        <v>69.37</v>
      </c>
      <c r="AD270" s="79" t="str">
        <f aca="false">B270&amp;"|"&amp;AA270</f>
        <v>Caffeine|Micro Labs</v>
      </c>
      <c r="AE270" s="22" t="n">
        <f aca="false">COUNTIFS('Shortlisted Drugs X Company (7)'!$C$3:$C$698,$B270,'Shortlisted Drugs X Company (7)'!$E$3:$E$698,$AA270,'Shortlisted Drugs X Company (7)'!$N$3:$N$698,"&gt;=0")</f>
        <v>2</v>
      </c>
      <c r="AF270" s="22" t="n">
        <f aca="false">COUNTIFS('Shortlisted Drugs X Company (7)'!$C$3:$C$698,$B270,'Shortlisted Drugs X Company (7)'!$E$3:$E$698,$AA270,'Shortlisted Drugs X Company (7)'!$N$3:$N$698,"&gt;5")</f>
        <v>2</v>
      </c>
      <c r="AG270" s="22" t="n">
        <f aca="false">COUNTIFS('Shortlisted Drugs X Company (7)'!$C$3:$C$698,$B270,'Shortlisted Drugs X Company (7)'!$E$3:$E$698,$AA270,'Shortlisted Drugs X Company (7)'!$P$3:$P$698,"Exact")+COUNTIFS('Shortlisted Drugs X Company (7)'!$C$3:$C$698,$B270,'Shortlisted Drugs X Company (7)'!$E$3:$E$698,$AA270,'Shortlisted Drugs X Company (7)'!$P$3:$P$698,"Same-market proxy")</f>
        <v>0</v>
      </c>
      <c r="AH270" s="22" t="n">
        <f aca="false">INDEX($G$7:$G$25,MATCH(A270,$A$7:$A$25,0))</f>
        <v>18</v>
      </c>
      <c r="AI270" s="79" t="str">
        <f aca="false">IF(OR(Q270="No",LEFT(H270,7)="IV only"),"",AH270*1000+IF(F270="",900+COUNTIFS($A$29:A270,A270,$H$29:H270,"Price*"),F270))</f>
        <v/>
      </c>
      <c r="AJ270" s="79" t="str">
        <f aca="false">IF(H270&lt;&gt;"","",(4-VALUE(RIGHT(E270,1)))*10^7+N(O270))</f>
        <v/>
      </c>
      <c r="AK270" s="79" t="str">
        <f aca="false">IF(AND(H270="",ISNUMBER(I270)),I270,"")</f>
        <v/>
      </c>
      <c r="AL270" s="79" t="str">
        <f aca="false">IF(H270="",M270,"")</f>
        <v/>
      </c>
    </row>
    <row r="271" customFormat="false" ht="41.75" hidden="false" customHeight="false" outlineLevel="0" collapsed="false">
      <c r="A271" s="16" t="s">
        <v>237</v>
      </c>
      <c r="B271" s="16" t="s">
        <v>278</v>
      </c>
      <c r="C271" s="17" t="s">
        <v>354</v>
      </c>
      <c r="D271" s="17" t="s">
        <v>280</v>
      </c>
      <c r="E271" s="15" t="str">
        <f aca="false">IF(H271&lt;&gt;"",IF(LEFT(H271,5)="Price","Excluded – price ≤ USD 5","Excluded – IV only"),IF(ISNUMBER(I271),IF(AND(I271&gt;=$C$3,M271&gt;=$E$3),"Priority 1",IF(OR(I271&gt;=$C$3,M271&gt;=$E$3),"Priority 2","Priority 3")),IF(M271&gt;=$E$3,"Priority 2","Priority 3")))</f>
        <v>Priority 2</v>
      </c>
      <c r="F271" s="15" t="n">
        <f aca="false">IF(H271&lt;&gt;"","",COUNTIFS($A$29:$A$361,A271,$H$29:$H$361,"",$AJ$29:$AJ$361,"&gt;"&amp;AJ271)+COUNTIFS($A$29:A271,A271,$H$29:H271,"",$AJ$29:AJ271,AJ271))</f>
        <v>1</v>
      </c>
      <c r="G271" s="17" t="str">
        <f aca="false">IF(H271&lt;&gt;"","",IF(ISNUMBER(I271),IF(I271&gt;=$C$3,"High price","Lower price"),"No price")&amp;", "&amp;IF(M271&gt;=$E$3,"high volume","lower volume"))</f>
        <v>High price, lower volume</v>
      </c>
      <c r="H271" s="17" t="str">
        <f aca="false">IF(Q271="No","IV only (no ID, IM or SC route)",IF(AND(AE271&gt;0,AF271=0),"Price ≤ USD 5",""))</f>
        <v/>
      </c>
      <c r="I271" s="18" t="n">
        <f aca="false">IF(AF271&gt;0,ROUND(AVERAGEIFS('Shortlisted Drugs X Company (7)'!$N$3:$N$698,'Shortlisted Drugs X Company (7)'!$C$3:$C$698,$B271,'Shortlisted Drugs X Company (7)'!$E$3:$E$698,$AA271,'Shortlisted Drugs X Company (7)'!$N$3:$N$698,"&gt;5"),2),"")</f>
        <v>30.01</v>
      </c>
      <c r="J271" s="17" t="str">
        <f aca="false">IF(COUNTIFS('Shortlisted Drugs X Company (7)'!$C$3:$C$698,$B271,'Shortlisted Drugs X Company (7)'!$E$3:$E$698,$AA271,'Shortlisted Drugs X Company (7)'!$P$3:$P$698,"Exact")&gt;0,"Exact",IF(COUNTIFS('Shortlisted Drugs X Company (7)'!$C$3:$C$698,$B271,'Shortlisted Drugs X Company (7)'!$E$3:$E$698,$AA271,'Shortlisted Drugs X Company (7)'!$P$3:$P$698,"Same-market proxy")&gt;0,"Same-market proxy",IF(COUNTIFS('Shortlisted Drugs X Company (7)'!$C$3:$C$698,$B271,'Shortlisted Drugs X Company (7)'!$E$3:$E$698,$AA271,'Shortlisted Drugs X Company (7)'!$P$3:$P$698,"Cross-market proxy")&gt;0,"Cross-market proxy",IF(COUNTIFS('Shortlisted Drugs X Company (7)'!$C$3:$C$698,$B271,'Shortlisted Drugs X Company (7)'!$E$3:$E$698,$AA271,'Shortlisted Drugs X Company (7)'!$P$3:$P$698,"Source not found")&gt;0,"Source not found","No price found"))))</f>
        <v>Same-market proxy</v>
      </c>
      <c r="K271" s="19" t="n">
        <f aca="false">IFERROR(INDEX('Injectable Value'!$AB$28:$AB$178,MATCH(B271,'Injectable Value'!$A$28:$A$178,0)),"")</f>
        <v>156</v>
      </c>
      <c r="L271" s="77" t="n">
        <f aca="false">IFERROR(INDEX('Injectable Value'!$Z$28:$Z$178,MATCH(B271,'Injectable Value'!$A$28:$A$178,0)),"")</f>
        <v>0.916666666666667</v>
      </c>
      <c r="M271" s="19" t="n">
        <f aca="false">IFERROR(INDEX('Injectable Value'!$AC$28:$AC$178,MATCH(B271,'Injectable Value'!$A$28:$A$178,0)),"")</f>
        <v>143</v>
      </c>
      <c r="N271" s="19" t="n">
        <f aca="false">IFERROR(INDEX('Injectable Value'!$C$28:$C$178,MATCH(B271,'Injectable Value'!$A$28:$A$178,0)),"")</f>
        <v>3954.83</v>
      </c>
      <c r="O271" s="19" t="n">
        <f aca="false">IFERROR(ROUND(INDEX('Injectable Value'!$AA$28:$AA$178,MATCH(B271,'Injectable Value'!$A$28:$A$178,0)),1),"")</f>
        <v>3625.3</v>
      </c>
      <c r="P271" s="16" t="str">
        <f aca="false">IFERROR(INDEX('Route of Administration'!$C$5:$C$155,MATCH(B271,'Route of Administration'!$A$5:$A$155,0)),"")</f>
        <v>IM</v>
      </c>
      <c r="Q271" s="15" t="str">
        <f aca="false">IFERROR(INDEX('Route of Administration'!$D$5:$D$155,MATCH(B271,'Route of Administration'!$A$5:$A$155,0)),"")</f>
        <v>Yes</v>
      </c>
      <c r="R271" s="16" t="s">
        <v>281</v>
      </c>
      <c r="S271" s="17" t="s">
        <v>282</v>
      </c>
      <c r="T271" s="16" t="s">
        <v>283</v>
      </c>
      <c r="U271" s="17" t="str">
        <f aca="false">""&amp;IF(AE271=0,"No price found","")&amp;IF(AND(AE271&gt;0,AF271=0,AG271=0),"Low price comes from another market – confirm with the company","")</f>
        <v/>
      </c>
      <c r="V271" s="17" t="s">
        <v>284</v>
      </c>
      <c r="W271" s="15" t="n">
        <v>1</v>
      </c>
      <c r="X271" s="17" t="s">
        <v>284</v>
      </c>
      <c r="Y271" s="17" t="s">
        <v>284</v>
      </c>
      <c r="Z271" s="17" t="s">
        <v>286</v>
      </c>
      <c r="AA271" s="16" t="s">
        <v>237</v>
      </c>
      <c r="AB271" s="78" t="s">
        <v>288</v>
      </c>
      <c r="AC271" s="20" t="n">
        <f aca="false">IF(AE271&gt;0,ROUND(AVERAGEIFS('Shortlisted Drugs X Company (7)'!$N$3:$N$698,'Shortlisted Drugs X Company (7)'!$C$3:$C$698,$B271,'Shortlisted Drugs X Company (7)'!$E$3:$E$698,$AA271,'Shortlisted Drugs X Company (7)'!$N$3:$N$698,"&gt;=0"),2),"")</f>
        <v>30.01</v>
      </c>
      <c r="AD271" s="79" t="str">
        <f aca="false">B271&amp;"|"&amp;AA271</f>
        <v>Carboprost|Micro Labs</v>
      </c>
      <c r="AE271" s="22" t="n">
        <f aca="false">COUNTIFS('Shortlisted Drugs X Company (7)'!$C$3:$C$698,$B271,'Shortlisted Drugs X Company (7)'!$E$3:$E$698,$AA271,'Shortlisted Drugs X Company (7)'!$N$3:$N$698,"&gt;=0")</f>
        <v>1</v>
      </c>
      <c r="AF271" s="22" t="n">
        <f aca="false">COUNTIFS('Shortlisted Drugs X Company (7)'!$C$3:$C$698,$B271,'Shortlisted Drugs X Company (7)'!$E$3:$E$698,$AA271,'Shortlisted Drugs X Company (7)'!$N$3:$N$698,"&gt;5")</f>
        <v>1</v>
      </c>
      <c r="AG271" s="22" t="n">
        <f aca="false">COUNTIFS('Shortlisted Drugs X Company (7)'!$C$3:$C$698,$B271,'Shortlisted Drugs X Company (7)'!$E$3:$E$698,$AA271,'Shortlisted Drugs X Company (7)'!$P$3:$P$698,"Exact")+COUNTIFS('Shortlisted Drugs X Company (7)'!$C$3:$C$698,$B271,'Shortlisted Drugs X Company (7)'!$E$3:$E$698,$AA271,'Shortlisted Drugs X Company (7)'!$P$3:$P$698,"Same-market proxy")</f>
        <v>1</v>
      </c>
      <c r="AH271" s="22" t="n">
        <f aca="false">INDEX($G$7:$G$25,MATCH(A271,$A$7:$A$25,0))</f>
        <v>18</v>
      </c>
      <c r="AI271" s="79" t="n">
        <f aca="false">IF(OR(Q271="No",LEFT(H271,7)="IV only"),"",AH271*1000+IF(F271="",900+COUNTIFS($A$29:A271,A271,$H$29:H271,"Price*"),F271))</f>
        <v>18001</v>
      </c>
      <c r="AJ271" s="79" t="n">
        <f aca="false">IF(H271&lt;&gt;"","",(4-VALUE(RIGHT(E271,1)))*10^7+N(O271))</f>
        <v>20003625.3</v>
      </c>
      <c r="AK271" s="20" t="n">
        <f aca="false">IF(AND(H271="",ISNUMBER(I271)),I271,"")</f>
        <v>30.01</v>
      </c>
      <c r="AL271" s="21" t="n">
        <f aca="false">IF(H271="",M271,"")</f>
        <v>143</v>
      </c>
    </row>
    <row r="272" customFormat="false" ht="41.75" hidden="false" customHeight="false" outlineLevel="0" collapsed="false">
      <c r="A272" s="16" t="s">
        <v>237</v>
      </c>
      <c r="B272" s="16" t="s">
        <v>1255</v>
      </c>
      <c r="C272" s="17" t="s">
        <v>1256</v>
      </c>
      <c r="D272" s="17" t="s">
        <v>1257</v>
      </c>
      <c r="E272" s="15" t="str">
        <f aca="false">IF(H272&lt;&gt;"",IF(LEFT(H272,5)="Price","Excluded – price ≤ USD 5","Excluded – IV only"),IF(ISNUMBER(I272),IF(AND(I272&gt;=$C$3,M272&gt;=$E$3),"Priority 1",IF(OR(I272&gt;=$C$3,M272&gt;=$E$3),"Priority 2","Priority 3")),IF(M272&gt;=$E$3,"Priority 2","Priority 3")))</f>
        <v>Priority 2</v>
      </c>
      <c r="F272" s="15" t="n">
        <f aca="false">IF(H272&lt;&gt;"","",COUNTIFS($A$29:$A$361,A272,$H$29:$H$361,"",$AJ$29:$AJ$361,"&gt;"&amp;AJ272)+COUNTIFS($A$29:A272,A272,$H$29:H272,"",$AJ$29:AJ272,AJ272))</f>
        <v>4</v>
      </c>
      <c r="G272" s="17" t="str">
        <f aca="false">IF(H272&lt;&gt;"","",IF(ISNUMBER(I272),IF(I272&gt;=$C$3,"High price","Lower price"),"No price")&amp;", "&amp;IF(M272&gt;=$E$3,"high volume","lower volume"))</f>
        <v>High price, lower volume</v>
      </c>
      <c r="H272" s="17" t="str">
        <f aca="false">IF(Q272="No","IV only (no ID, IM or SC route)",IF(AND(AE272&gt;0,AF272=0),"Price ≤ USD 5",""))</f>
        <v/>
      </c>
      <c r="I272" s="18" t="n">
        <f aca="false">IF(AF272&gt;0,ROUND(AVERAGEIFS('Shortlisted Drugs X Company (7)'!$N$3:$N$698,'Shortlisted Drugs X Company (7)'!$C$3:$C$698,$B272,'Shortlisted Drugs X Company (7)'!$E$3:$E$698,$AA272,'Shortlisted Drugs X Company (7)'!$N$3:$N$698,"&gt;5"),2),"")</f>
        <v>30.35</v>
      </c>
      <c r="J272" s="17" t="str">
        <f aca="false">IF(COUNTIFS('Shortlisted Drugs X Company (7)'!$C$3:$C$698,$B272,'Shortlisted Drugs X Company (7)'!$E$3:$E$698,$AA272,'Shortlisted Drugs X Company (7)'!$P$3:$P$698,"Exact")&gt;0,"Exact",IF(COUNTIFS('Shortlisted Drugs X Company (7)'!$C$3:$C$698,$B272,'Shortlisted Drugs X Company (7)'!$E$3:$E$698,$AA272,'Shortlisted Drugs X Company (7)'!$P$3:$P$698,"Same-market proxy")&gt;0,"Same-market proxy",IF(COUNTIFS('Shortlisted Drugs X Company (7)'!$C$3:$C$698,$B272,'Shortlisted Drugs X Company (7)'!$E$3:$E$698,$AA272,'Shortlisted Drugs X Company (7)'!$P$3:$P$698,"Cross-market proxy")&gt;0,"Cross-market proxy",IF(COUNTIFS('Shortlisted Drugs X Company (7)'!$C$3:$C$698,$B272,'Shortlisted Drugs X Company (7)'!$E$3:$E$698,$AA272,'Shortlisted Drugs X Company (7)'!$P$3:$P$698,"Source not found")&gt;0,"Source not found","No price found"))))</f>
        <v>Same-market proxy</v>
      </c>
      <c r="K272" s="19" t="n">
        <f aca="false">IFERROR(INDEX('Injectable Value'!$AB$28:$AB$178,MATCH(B272,'Injectable Value'!$A$28:$A$178,0)),"")</f>
        <v>44</v>
      </c>
      <c r="L272" s="77" t="n">
        <f aca="false">IFERROR(INDEX('Injectable Value'!$Z$28:$Z$178,MATCH(B272,'Injectable Value'!$A$28:$A$178,0)),"")</f>
        <v>0.545991045991046</v>
      </c>
      <c r="M272" s="19" t="n">
        <f aca="false">IFERROR(INDEX('Injectable Value'!$AC$28:$AC$178,MATCH(B272,'Injectable Value'!$A$28:$A$178,0)),"")</f>
        <v>24</v>
      </c>
      <c r="N272" s="19" t="n">
        <f aca="false">IFERROR(INDEX('Injectable Value'!$C$28:$C$178,MATCH(B272,'Injectable Value'!$A$28:$A$178,0)),"")</f>
        <v>2375.17</v>
      </c>
      <c r="O272" s="19" t="n">
        <f aca="false">IFERROR(ROUND(INDEX('Injectable Value'!$AA$28:$AA$178,MATCH(B272,'Injectable Value'!$A$28:$A$178,0)),1),"")</f>
        <v>1296.8</v>
      </c>
      <c r="P272" s="16" t="str">
        <f aca="false">IFERROR(INDEX('Route of Administration'!$C$5:$C$155,MATCH(B272,'Route of Administration'!$A$5:$A$155,0)),"")</f>
        <v>IV, IM</v>
      </c>
      <c r="Q272" s="15" t="str">
        <f aca="false">IFERROR(INDEX('Route of Administration'!$D$5:$D$155,MATCH(B272,'Route of Administration'!$A$5:$A$155,0)),"")</f>
        <v>Yes</v>
      </c>
      <c r="R272" s="16" t="s">
        <v>349</v>
      </c>
      <c r="S272" s="17" t="s">
        <v>1258</v>
      </c>
      <c r="T272" s="16" t="s">
        <v>283</v>
      </c>
      <c r="U272" s="17" t="str">
        <f aca="false">""&amp;IF(AE272=0,"No price found","")&amp;IF(AND(AE272&gt;0,AF272=0,AG272=0),"Low price comes from another market – confirm with the company","")</f>
        <v/>
      </c>
      <c r="V272" s="17" t="s">
        <v>912</v>
      </c>
      <c r="W272" s="15" t="n">
        <v>2</v>
      </c>
      <c r="X272" s="17" t="s">
        <v>1259</v>
      </c>
      <c r="Y272" s="17" t="s">
        <v>1259</v>
      </c>
      <c r="Z272" s="17" t="s">
        <v>321</v>
      </c>
      <c r="AA272" s="16" t="s">
        <v>237</v>
      </c>
      <c r="AB272" s="78" t="s">
        <v>1260</v>
      </c>
      <c r="AC272" s="20" t="n">
        <f aca="false">IF(AE272&gt;0,ROUND(AVERAGEIFS('Shortlisted Drugs X Company (7)'!$N$3:$N$698,'Shortlisted Drugs X Company (7)'!$C$3:$C$698,$B272,'Shortlisted Drugs X Company (7)'!$E$3:$E$698,$AA272,'Shortlisted Drugs X Company (7)'!$N$3:$N$698,"&gt;=0"),2),"")</f>
        <v>30.35</v>
      </c>
      <c r="AD272" s="79" t="str">
        <f aca="false">B272&amp;"|"&amp;AA272</f>
        <v>Cyclizine|Micro Labs</v>
      </c>
      <c r="AE272" s="22" t="n">
        <f aca="false">COUNTIFS('Shortlisted Drugs X Company (7)'!$C$3:$C$698,$B272,'Shortlisted Drugs X Company (7)'!$E$3:$E$698,$AA272,'Shortlisted Drugs X Company (7)'!$N$3:$N$698,"&gt;=0")</f>
        <v>1</v>
      </c>
      <c r="AF272" s="22" t="n">
        <f aca="false">COUNTIFS('Shortlisted Drugs X Company (7)'!$C$3:$C$698,$B272,'Shortlisted Drugs X Company (7)'!$E$3:$E$698,$AA272,'Shortlisted Drugs X Company (7)'!$N$3:$N$698,"&gt;5")</f>
        <v>1</v>
      </c>
      <c r="AG272" s="22" t="n">
        <f aca="false">COUNTIFS('Shortlisted Drugs X Company (7)'!$C$3:$C$698,$B272,'Shortlisted Drugs X Company (7)'!$E$3:$E$698,$AA272,'Shortlisted Drugs X Company (7)'!$P$3:$P$698,"Exact")+COUNTIFS('Shortlisted Drugs X Company (7)'!$C$3:$C$698,$B272,'Shortlisted Drugs X Company (7)'!$E$3:$E$698,$AA272,'Shortlisted Drugs X Company (7)'!$P$3:$P$698,"Same-market proxy")</f>
        <v>1</v>
      </c>
      <c r="AH272" s="22" t="n">
        <f aca="false">INDEX($G$7:$G$25,MATCH(A272,$A$7:$A$25,0))</f>
        <v>18</v>
      </c>
      <c r="AI272" s="79" t="n">
        <f aca="false">IF(OR(Q272="No",LEFT(H272,7)="IV only"),"",AH272*1000+IF(F272="",900+COUNTIFS($A$29:A272,A272,$H$29:H272,"Price*"),F272))</f>
        <v>18004</v>
      </c>
      <c r="AJ272" s="79" t="n">
        <f aca="false">IF(H272&lt;&gt;"","",(4-VALUE(RIGHT(E272,1)))*10^7+N(O272))</f>
        <v>20001296.8</v>
      </c>
      <c r="AK272" s="20" t="n">
        <f aca="false">IF(AND(H272="",ISNUMBER(I272)),I272,"")</f>
        <v>30.35</v>
      </c>
      <c r="AL272" s="21" t="n">
        <f aca="false">IF(H272="",M272,"")</f>
        <v>24</v>
      </c>
    </row>
    <row r="273" customFormat="false" ht="28.35" hidden="false" customHeight="false" outlineLevel="0" collapsed="false">
      <c r="A273" s="16" t="s">
        <v>237</v>
      </c>
      <c r="B273" s="16" t="s">
        <v>1261</v>
      </c>
      <c r="C273" s="17" t="s">
        <v>1262</v>
      </c>
      <c r="D273" s="17" t="s">
        <v>1263</v>
      </c>
      <c r="E273" s="15" t="str">
        <f aca="false">IF(H273&lt;&gt;"",IF(LEFT(H273,5)="Price","Excluded – price ≤ USD 5","Excluded – IV only"),IF(ISNUMBER(I273),IF(AND(I273&gt;=$C$3,M273&gt;=$E$3),"Priority 1",IF(OR(I273&gt;=$C$3,M273&gt;=$E$3),"Priority 2","Priority 3")),IF(M273&gt;=$E$3,"Priority 2","Priority 3")))</f>
        <v>Priority 3</v>
      </c>
      <c r="F273" s="15" t="n">
        <f aca="false">IF(H273&lt;&gt;"","",COUNTIFS($A$29:$A$361,A273,$H$29:$H$361,"",$AJ$29:$AJ$361,"&gt;"&amp;AJ273)+COUNTIFS($A$29:A273,A273,$H$29:H273,"",$AJ$29:AJ273,AJ273))</f>
        <v>6</v>
      </c>
      <c r="G273" s="17" t="str">
        <f aca="false">IF(H273&lt;&gt;"","",IF(ISNUMBER(I273),IF(I273&gt;=$C$3,"High price","Lower price"),"No price")&amp;", "&amp;IF(M273&gt;=$E$3,"high volume","lower volume"))</f>
        <v>Lower price, lower volume</v>
      </c>
      <c r="H273" s="17" t="str">
        <f aca="false">IF(Q273="No","IV only (no ID, IM or SC route)",IF(AND(AE273&gt;0,AF273=0),"Price ≤ USD 5",""))</f>
        <v/>
      </c>
      <c r="I273" s="18" t="n">
        <f aca="false">IF(AF273&gt;0,ROUND(AVERAGEIFS('Shortlisted Drugs X Company (7)'!$N$3:$N$698,'Shortlisted Drugs X Company (7)'!$C$3:$C$698,$B273,'Shortlisted Drugs X Company (7)'!$E$3:$E$698,$AA273,'Shortlisted Drugs X Company (7)'!$N$3:$N$698,"&gt;5"),2),"")</f>
        <v>18</v>
      </c>
      <c r="J273" s="17" t="str">
        <f aca="false">IF(COUNTIFS('Shortlisted Drugs X Company (7)'!$C$3:$C$698,$B273,'Shortlisted Drugs X Company (7)'!$E$3:$E$698,$AA273,'Shortlisted Drugs X Company (7)'!$P$3:$P$698,"Exact")&gt;0,"Exact",IF(COUNTIFS('Shortlisted Drugs X Company (7)'!$C$3:$C$698,$B273,'Shortlisted Drugs X Company (7)'!$E$3:$E$698,$AA273,'Shortlisted Drugs X Company (7)'!$P$3:$P$698,"Same-market proxy")&gt;0,"Same-market proxy",IF(COUNTIFS('Shortlisted Drugs X Company (7)'!$C$3:$C$698,$B273,'Shortlisted Drugs X Company (7)'!$E$3:$E$698,$AA273,'Shortlisted Drugs X Company (7)'!$P$3:$P$698,"Cross-market proxy")&gt;0,"Cross-market proxy",IF(COUNTIFS('Shortlisted Drugs X Company (7)'!$C$3:$C$698,$B273,'Shortlisted Drugs X Company (7)'!$E$3:$E$698,$AA273,'Shortlisted Drugs X Company (7)'!$P$3:$P$698,"Source not found")&gt;0,"Source not found","No price found"))))</f>
        <v>Same-market proxy</v>
      </c>
      <c r="K273" s="19" t="n">
        <f aca="false">IFERROR(INDEX('Injectable Value'!$AB$28:$AB$178,MATCH(B273,'Injectable Value'!$A$28:$A$178,0)),"")</f>
        <v>582</v>
      </c>
      <c r="L273" s="77" t="n">
        <f aca="false">IFERROR(INDEX('Injectable Value'!$Z$28:$Z$178,MATCH(B273,'Injectable Value'!$A$28:$A$178,0)),"")</f>
        <v>0.0233396995161701</v>
      </c>
      <c r="M273" s="19" t="n">
        <f aca="false">IFERROR(INDEX('Injectable Value'!$AC$28:$AC$178,MATCH(B273,'Injectable Value'!$A$28:$A$178,0)),"")</f>
        <v>14</v>
      </c>
      <c r="N273" s="19" t="n">
        <f aca="false">IFERROR(INDEX('Injectable Value'!$C$28:$C$178,MATCH(B273,'Injectable Value'!$A$28:$A$178,0)),"")</f>
        <v>21989.37</v>
      </c>
      <c r="O273" s="19" t="n">
        <f aca="false">IFERROR(ROUND(INDEX('Injectable Value'!$AA$28:$AA$178,MATCH(B273,'Injectable Value'!$A$28:$A$178,0)),1),"")</f>
        <v>513.2</v>
      </c>
      <c r="P273" s="16" t="str">
        <f aca="false">IFERROR(INDEX('Route of Administration'!$C$5:$C$155,MATCH(B273,'Route of Administration'!$A$5:$A$155,0)),"")</f>
        <v>IV, IM</v>
      </c>
      <c r="Q273" s="15" t="str">
        <f aca="false">IFERROR(INDEX('Route of Administration'!$D$5:$D$155,MATCH(B273,'Route of Administration'!$A$5:$A$155,0)),"")</f>
        <v>Yes</v>
      </c>
      <c r="R273" s="16" t="s">
        <v>281</v>
      </c>
      <c r="S273" s="17" t="s">
        <v>550</v>
      </c>
      <c r="T273" s="16" t="s">
        <v>283</v>
      </c>
      <c r="U273" s="17" t="str">
        <f aca="false">""&amp;IF(AE273=0,"No price found","")&amp;IF(AND(AE273&gt;0,AF273=0,AG273=0),"Low price comes from another market – confirm with the company","")</f>
        <v/>
      </c>
      <c r="V273" s="17" t="s">
        <v>284</v>
      </c>
      <c r="W273" s="15" t="n">
        <v>1</v>
      </c>
      <c r="X273" s="17" t="s">
        <v>284</v>
      </c>
      <c r="Y273" s="17" t="s">
        <v>284</v>
      </c>
      <c r="Z273" s="17" t="s">
        <v>321</v>
      </c>
      <c r="AA273" s="16" t="s">
        <v>237</v>
      </c>
      <c r="AB273" s="78" t="s">
        <v>1264</v>
      </c>
      <c r="AC273" s="20" t="n">
        <f aca="false">IF(AE273&gt;0,ROUND(AVERAGEIFS('Shortlisted Drugs X Company (7)'!$N$3:$N$698,'Shortlisted Drugs X Company (7)'!$C$3:$C$698,$B273,'Shortlisted Drugs X Company (7)'!$E$3:$E$698,$AA273,'Shortlisted Drugs X Company (7)'!$N$3:$N$698,"&gt;=0"),2),"")</f>
        <v>18</v>
      </c>
      <c r="AD273" s="79" t="str">
        <f aca="false">B273&amp;"|"&amp;AA273</f>
        <v>Diphenhydramine|Micro Labs</v>
      </c>
      <c r="AE273" s="22" t="n">
        <f aca="false">COUNTIFS('Shortlisted Drugs X Company (7)'!$C$3:$C$698,$B273,'Shortlisted Drugs X Company (7)'!$E$3:$E$698,$AA273,'Shortlisted Drugs X Company (7)'!$N$3:$N$698,"&gt;=0")</f>
        <v>1</v>
      </c>
      <c r="AF273" s="22" t="n">
        <f aca="false">COUNTIFS('Shortlisted Drugs X Company (7)'!$C$3:$C$698,$B273,'Shortlisted Drugs X Company (7)'!$E$3:$E$698,$AA273,'Shortlisted Drugs X Company (7)'!$N$3:$N$698,"&gt;5")</f>
        <v>1</v>
      </c>
      <c r="AG273" s="22" t="n">
        <f aca="false">COUNTIFS('Shortlisted Drugs X Company (7)'!$C$3:$C$698,$B273,'Shortlisted Drugs X Company (7)'!$E$3:$E$698,$AA273,'Shortlisted Drugs X Company (7)'!$P$3:$P$698,"Exact")+COUNTIFS('Shortlisted Drugs X Company (7)'!$C$3:$C$698,$B273,'Shortlisted Drugs X Company (7)'!$E$3:$E$698,$AA273,'Shortlisted Drugs X Company (7)'!$P$3:$P$698,"Same-market proxy")</f>
        <v>1</v>
      </c>
      <c r="AH273" s="22" t="n">
        <f aca="false">INDEX($G$7:$G$25,MATCH(A273,$A$7:$A$25,0))</f>
        <v>18</v>
      </c>
      <c r="AI273" s="79" t="n">
        <f aca="false">IF(OR(Q273="No",LEFT(H273,7)="IV only"),"",AH273*1000+IF(F273="",900+COUNTIFS($A$29:A273,A273,$H$29:H273,"Price*"),F273))</f>
        <v>18006</v>
      </c>
      <c r="AJ273" s="79" t="n">
        <f aca="false">IF(H273&lt;&gt;"","",(4-VALUE(RIGHT(E273,1)))*10^7+N(O273))</f>
        <v>10000513.2</v>
      </c>
      <c r="AK273" s="20" t="n">
        <f aca="false">IF(AND(H273="",ISNUMBER(I273)),I273,"")</f>
        <v>18</v>
      </c>
      <c r="AL273" s="21" t="n">
        <f aca="false">IF(H273="",M273,"")</f>
        <v>14</v>
      </c>
    </row>
    <row r="274" customFormat="false" ht="28.35" hidden="false" customHeight="false" outlineLevel="0" collapsed="false">
      <c r="A274" s="16" t="s">
        <v>237</v>
      </c>
      <c r="B274" s="16" t="s">
        <v>637</v>
      </c>
      <c r="C274" s="17" t="s">
        <v>1265</v>
      </c>
      <c r="D274" s="17" t="s">
        <v>639</v>
      </c>
      <c r="E274" s="15" t="str">
        <f aca="false">IF(H274&lt;&gt;"",IF(LEFT(H274,5)="Price","Excluded – price ≤ USD 5","Excluded – IV only"),IF(ISNUMBER(I274),IF(AND(I274&gt;=$C$3,M274&gt;=$E$3),"Priority 1",IF(OR(I274&gt;=$C$3,M274&gt;=$E$3),"Priority 2","Priority 3")),IF(M274&gt;=$E$3,"Priority 2","Priority 3")))</f>
        <v>Priority 2</v>
      </c>
      <c r="F274" s="15" t="n">
        <f aca="false">IF(H274&lt;&gt;"","",COUNTIFS($A$29:$A$361,A274,$H$29:$H$361,"",$AJ$29:$AJ$361,"&gt;"&amp;AJ274)+COUNTIFS($A$29:A274,A274,$H$29:H274,"",$AJ$29:AJ274,AJ274))</f>
        <v>3</v>
      </c>
      <c r="G274" s="17" t="str">
        <f aca="false">IF(H274&lt;&gt;"","",IF(ISNUMBER(I274),IF(I274&gt;=$C$3,"High price","Lower price"),"No price")&amp;", "&amp;IF(M274&gt;=$E$3,"high volume","lower volume"))</f>
        <v>High price, lower volume</v>
      </c>
      <c r="H274" s="17" t="str">
        <f aca="false">IF(Q274="No","IV only (no ID, IM or SC route)",IF(AND(AE274&gt;0,AF274=0),"Price ≤ USD 5",""))</f>
        <v/>
      </c>
      <c r="I274" s="18" t="n">
        <f aca="false">IF(AF274&gt;0,ROUND(AVERAGEIFS('Shortlisted Drugs X Company (7)'!$N$3:$N$698,'Shortlisted Drugs X Company (7)'!$C$3:$C$698,$B274,'Shortlisted Drugs X Company (7)'!$E$3:$E$698,$AA274,'Shortlisted Drugs X Company (7)'!$N$3:$N$698,"&gt;5"),2),"")</f>
        <v>51.18</v>
      </c>
      <c r="J274" s="17" t="str">
        <f aca="false">IF(COUNTIFS('Shortlisted Drugs X Company (7)'!$C$3:$C$698,$B274,'Shortlisted Drugs X Company (7)'!$E$3:$E$698,$AA274,'Shortlisted Drugs X Company (7)'!$P$3:$P$698,"Exact")&gt;0,"Exact",IF(COUNTIFS('Shortlisted Drugs X Company (7)'!$C$3:$C$698,$B274,'Shortlisted Drugs X Company (7)'!$E$3:$E$698,$AA274,'Shortlisted Drugs X Company (7)'!$P$3:$P$698,"Same-market proxy")&gt;0,"Same-market proxy",IF(COUNTIFS('Shortlisted Drugs X Company (7)'!$C$3:$C$698,$B274,'Shortlisted Drugs X Company (7)'!$E$3:$E$698,$AA274,'Shortlisted Drugs X Company (7)'!$P$3:$P$698,"Cross-market proxy")&gt;0,"Cross-market proxy",IF(COUNTIFS('Shortlisted Drugs X Company (7)'!$C$3:$C$698,$B274,'Shortlisted Drugs X Company (7)'!$E$3:$E$698,$AA274,'Shortlisted Drugs X Company (7)'!$P$3:$P$698,"Source not found")&gt;0,"Source not found","No price found"))))</f>
        <v>Same-market proxy</v>
      </c>
      <c r="K274" s="19" t="n">
        <f aca="false">IFERROR(INDEX('Injectable Value'!$AB$28:$AB$178,MATCH(B274,'Injectable Value'!$A$28:$A$178,0)),"")</f>
        <v>87</v>
      </c>
      <c r="L274" s="77" t="n">
        <f aca="false">IFERROR(INDEX('Injectable Value'!$Z$28:$Z$178,MATCH(B274,'Injectable Value'!$A$28:$A$178,0)),"")</f>
        <v>1</v>
      </c>
      <c r="M274" s="19" t="n">
        <f aca="false">IFERROR(INDEX('Injectable Value'!$AC$28:$AC$178,MATCH(B274,'Injectable Value'!$A$28:$A$178,0)),"")</f>
        <v>87</v>
      </c>
      <c r="N274" s="19" t="n">
        <f aca="false">IFERROR(INDEX('Injectable Value'!$C$28:$C$178,MATCH(B274,'Injectable Value'!$A$28:$A$178,0)),"")</f>
        <v>2931.42</v>
      </c>
      <c r="O274" s="19" t="n">
        <f aca="false">IFERROR(ROUND(INDEX('Injectable Value'!$AA$28:$AA$178,MATCH(B274,'Injectable Value'!$A$28:$A$178,0)),1),"")</f>
        <v>2931.4</v>
      </c>
      <c r="P274" s="16" t="str">
        <f aca="false">IFERROR(INDEX('Route of Administration'!$C$5:$C$155,MATCH(B274,'Route of Administration'!$A$5:$A$155,0)),"")</f>
        <v>IV, IM, SC</v>
      </c>
      <c r="Q274" s="15" t="str">
        <f aca="false">IFERROR(INDEX('Route of Administration'!$D$5:$D$155,MATCH(B274,'Route of Administration'!$A$5:$A$155,0)),"")</f>
        <v>Yes</v>
      </c>
      <c r="R274" s="16" t="s">
        <v>349</v>
      </c>
      <c r="S274" s="17" t="s">
        <v>640</v>
      </c>
      <c r="T274" s="16" t="s">
        <v>283</v>
      </c>
      <c r="U274" s="17" t="str">
        <f aca="false">""&amp;IF(AE274=0,"No price found","")&amp;IF(AND(AE274&gt;0,AF274=0,AG274=0),"Low price comes from another market – confirm with the company","")</f>
        <v/>
      </c>
      <c r="V274" s="17" t="s">
        <v>284</v>
      </c>
      <c r="W274" s="15" t="n">
        <v>2</v>
      </c>
      <c r="X274" s="17" t="s">
        <v>635</v>
      </c>
      <c r="Y274" s="17" t="s">
        <v>635</v>
      </c>
      <c r="Z274" s="17" t="s">
        <v>286</v>
      </c>
      <c r="AA274" s="16" t="s">
        <v>237</v>
      </c>
      <c r="AB274" s="78" t="s">
        <v>641</v>
      </c>
      <c r="AC274" s="20" t="n">
        <f aca="false">IF(AE274&gt;0,ROUND(AVERAGEIFS('Shortlisted Drugs X Company (7)'!$N$3:$N$698,'Shortlisted Drugs X Company (7)'!$C$3:$C$698,$B274,'Shortlisted Drugs X Company (7)'!$E$3:$E$698,$AA274,'Shortlisted Drugs X Company (7)'!$N$3:$N$698,"&gt;=0"),2),"")</f>
        <v>51.18</v>
      </c>
      <c r="AD274" s="79" t="str">
        <f aca="false">B274&amp;"|"&amp;AA274</f>
        <v>Isoprenaline (Isoproterenol)|Micro Labs</v>
      </c>
      <c r="AE274" s="22" t="n">
        <f aca="false">COUNTIFS('Shortlisted Drugs X Company (7)'!$C$3:$C$698,$B274,'Shortlisted Drugs X Company (7)'!$E$3:$E$698,$AA274,'Shortlisted Drugs X Company (7)'!$N$3:$N$698,"&gt;=0")</f>
        <v>1</v>
      </c>
      <c r="AF274" s="22" t="n">
        <f aca="false">COUNTIFS('Shortlisted Drugs X Company (7)'!$C$3:$C$698,$B274,'Shortlisted Drugs X Company (7)'!$E$3:$E$698,$AA274,'Shortlisted Drugs X Company (7)'!$N$3:$N$698,"&gt;5")</f>
        <v>1</v>
      </c>
      <c r="AG274" s="22" t="n">
        <f aca="false">COUNTIFS('Shortlisted Drugs X Company (7)'!$C$3:$C$698,$B274,'Shortlisted Drugs X Company (7)'!$E$3:$E$698,$AA274,'Shortlisted Drugs X Company (7)'!$P$3:$P$698,"Exact")+COUNTIFS('Shortlisted Drugs X Company (7)'!$C$3:$C$698,$B274,'Shortlisted Drugs X Company (7)'!$E$3:$E$698,$AA274,'Shortlisted Drugs X Company (7)'!$P$3:$P$698,"Same-market proxy")</f>
        <v>1</v>
      </c>
      <c r="AH274" s="22" t="n">
        <f aca="false">INDEX($G$7:$G$25,MATCH(A274,$A$7:$A$25,0))</f>
        <v>18</v>
      </c>
      <c r="AI274" s="79" t="n">
        <f aca="false">IF(OR(Q274="No",LEFT(H274,7)="IV only"),"",AH274*1000+IF(F274="",900+COUNTIFS($A$29:A274,A274,$H$29:H274,"Price*"),F274))</f>
        <v>18003</v>
      </c>
      <c r="AJ274" s="79" t="n">
        <f aca="false">IF(H274&lt;&gt;"","",(4-VALUE(RIGHT(E274,1)))*10^7+N(O274))</f>
        <v>20002931.4</v>
      </c>
      <c r="AK274" s="20" t="n">
        <f aca="false">IF(AND(H274="",ISNUMBER(I274)),I274,"")</f>
        <v>51.18</v>
      </c>
      <c r="AL274" s="21" t="n">
        <f aca="false">IF(H274="",M274,"")</f>
        <v>87</v>
      </c>
    </row>
    <row r="275" customFormat="false" ht="41.75" hidden="false" customHeight="false" outlineLevel="0" collapsed="false">
      <c r="A275" s="16" t="s">
        <v>237</v>
      </c>
      <c r="B275" s="16" t="s">
        <v>1266</v>
      </c>
      <c r="C275" s="17" t="s">
        <v>1267</v>
      </c>
      <c r="D275" s="17" t="s">
        <v>1268</v>
      </c>
      <c r="E275" s="15" t="str">
        <f aca="false">IF(H275&lt;&gt;"",IF(LEFT(H275,5)="Price","Excluded – price ≤ USD 5","Excluded – IV only"),IF(ISNUMBER(I275),IF(AND(I275&gt;=$C$3,M275&gt;=$E$3),"Priority 1",IF(OR(I275&gt;=$C$3,M275&gt;=$E$3),"Priority 2","Priority 3")),IF(M275&gt;=$E$3,"Priority 2","Priority 3")))</f>
        <v>Excluded – IV only</v>
      </c>
      <c r="F275" s="15" t="str">
        <f aca="false">IF(H275&lt;&gt;"","",COUNTIFS($A$29:$A$361,A275,$H$29:$H$361,"",$AJ$29:$AJ$361,"&gt;"&amp;AJ275)+COUNTIFS($A$29:A275,A275,$H$29:H275,"",$AJ$29:AJ275,AJ275))</f>
        <v/>
      </c>
      <c r="G275" s="17" t="str">
        <f aca="false">IF(H275&lt;&gt;"","",IF(ISNUMBER(I275),IF(I275&gt;=$C$3,"High price","Lower price"),"No price")&amp;", "&amp;IF(M275&gt;=$E$3,"high volume","lower volume"))</f>
        <v/>
      </c>
      <c r="H275" s="17" t="str">
        <f aca="false">IF(Q275="No","IV only (no ID, IM or SC route)",IF(AND(AE275&gt;0,AF275=0),"Price ≤ USD 5",""))</f>
        <v>IV only (no ID, IM or SC route)</v>
      </c>
      <c r="I275" s="18" t="n">
        <f aca="false">IF(AF275&gt;0,ROUND(AVERAGEIFS('Shortlisted Drugs X Company (7)'!$N$3:$N$698,'Shortlisted Drugs X Company (7)'!$C$3:$C$698,$B275,'Shortlisted Drugs X Company (7)'!$E$3:$E$698,$AA275,'Shortlisted Drugs X Company (7)'!$N$3:$N$698,"&gt;5"),2),"")</f>
        <v>90.21</v>
      </c>
      <c r="J275" s="17" t="str">
        <f aca="false">IF(COUNTIFS('Shortlisted Drugs X Company (7)'!$C$3:$C$698,$B275,'Shortlisted Drugs X Company (7)'!$E$3:$E$698,$AA275,'Shortlisted Drugs X Company (7)'!$P$3:$P$698,"Exact")&gt;0,"Exact",IF(COUNTIFS('Shortlisted Drugs X Company (7)'!$C$3:$C$698,$B275,'Shortlisted Drugs X Company (7)'!$E$3:$E$698,$AA275,'Shortlisted Drugs X Company (7)'!$P$3:$P$698,"Same-market proxy")&gt;0,"Same-market proxy",IF(COUNTIFS('Shortlisted Drugs X Company (7)'!$C$3:$C$698,$B275,'Shortlisted Drugs X Company (7)'!$E$3:$E$698,$AA275,'Shortlisted Drugs X Company (7)'!$P$3:$P$698,"Cross-market proxy")&gt;0,"Cross-market proxy",IF(COUNTIFS('Shortlisted Drugs X Company (7)'!$C$3:$C$698,$B275,'Shortlisted Drugs X Company (7)'!$E$3:$E$698,$AA275,'Shortlisted Drugs X Company (7)'!$P$3:$P$698,"Source not found")&gt;0,"Source not found","No price found"))))</f>
        <v>Same-market proxy</v>
      </c>
      <c r="K275" s="19" t="n">
        <f aca="false">IFERROR(INDEX('Injectable Value'!$AB$28:$AB$178,MATCH(B275,'Injectable Value'!$A$28:$A$178,0)),"")</f>
        <v>2286</v>
      </c>
      <c r="L275" s="77" t="n">
        <f aca="false">IFERROR(INDEX('Injectable Value'!$Z$28:$Z$178,MATCH(B275,'Injectable Value'!$A$28:$A$178,0)),"")</f>
        <v>0.174359744408496</v>
      </c>
      <c r="M275" s="19" t="n">
        <f aca="false">IFERROR(INDEX('Injectable Value'!$AC$28:$AC$178,MATCH(B275,'Injectable Value'!$A$28:$A$178,0)),"")</f>
        <v>399</v>
      </c>
      <c r="N275" s="19" t="n">
        <f aca="false">IFERROR(INDEX('Injectable Value'!$C$28:$C$178,MATCH(B275,'Injectable Value'!$A$28:$A$178,0)),"")</f>
        <v>106496.78</v>
      </c>
      <c r="O275" s="19" t="n">
        <f aca="false">IFERROR(ROUND(INDEX('Injectable Value'!$AA$28:$AA$178,MATCH(B275,'Injectable Value'!$A$28:$A$178,0)),1),"")</f>
        <v>18568.8</v>
      </c>
      <c r="P275" s="16" t="str">
        <f aca="false">IFERROR(INDEX('Route of Administration'!$C$5:$C$155,MATCH(B275,'Route of Administration'!$A$5:$A$155,0)),"")</f>
        <v>IV</v>
      </c>
      <c r="Q275" s="15" t="str">
        <f aca="false">IFERROR(INDEX('Route of Administration'!$D$5:$D$155,MATCH(B275,'Route of Administration'!$A$5:$A$155,0)),"")</f>
        <v>No</v>
      </c>
      <c r="R275" s="16" t="s">
        <v>281</v>
      </c>
      <c r="S275" s="17" t="s">
        <v>1269</v>
      </c>
      <c r="T275" s="16" t="s">
        <v>283</v>
      </c>
      <c r="U275" s="17" t="str">
        <f aca="false">""&amp;IF(AE275=0,"No price found","")&amp;IF(AND(AE275&gt;0,AF275=0,AG275=0),"Low price comes from another market – confirm with the company","")</f>
        <v/>
      </c>
      <c r="V275" s="17" t="s">
        <v>452</v>
      </c>
      <c r="W275" s="15" t="n">
        <v>3</v>
      </c>
      <c r="X275" s="17" t="s">
        <v>1270</v>
      </c>
      <c r="Y275" s="17" t="s">
        <v>1270</v>
      </c>
      <c r="Z275" s="17" t="s">
        <v>321</v>
      </c>
      <c r="AA275" s="16" t="s">
        <v>237</v>
      </c>
      <c r="AB275" s="78" t="s">
        <v>1271</v>
      </c>
      <c r="AC275" s="20" t="n">
        <f aca="false">IF(AE275&gt;0,ROUND(AVERAGEIFS('Shortlisted Drugs X Company (7)'!$N$3:$N$698,'Shortlisted Drugs X Company (7)'!$C$3:$C$698,$B275,'Shortlisted Drugs X Company (7)'!$E$3:$E$698,$AA275,'Shortlisted Drugs X Company (7)'!$N$3:$N$698,"&gt;=0"),2),"")</f>
        <v>90.21</v>
      </c>
      <c r="AD275" s="79" t="str">
        <f aca="false">B275&amp;"|"&amp;AA275</f>
        <v>Levetiracetam|Micro Labs</v>
      </c>
      <c r="AE275" s="22" t="n">
        <f aca="false">COUNTIFS('Shortlisted Drugs X Company (7)'!$C$3:$C$698,$B275,'Shortlisted Drugs X Company (7)'!$E$3:$E$698,$AA275,'Shortlisted Drugs X Company (7)'!$N$3:$N$698,"&gt;=0")</f>
        <v>1</v>
      </c>
      <c r="AF275" s="22" t="n">
        <f aca="false">COUNTIFS('Shortlisted Drugs X Company (7)'!$C$3:$C$698,$B275,'Shortlisted Drugs X Company (7)'!$E$3:$E$698,$AA275,'Shortlisted Drugs X Company (7)'!$N$3:$N$698,"&gt;5")</f>
        <v>1</v>
      </c>
      <c r="AG275" s="22" t="n">
        <f aca="false">COUNTIFS('Shortlisted Drugs X Company (7)'!$C$3:$C$698,$B275,'Shortlisted Drugs X Company (7)'!$E$3:$E$698,$AA275,'Shortlisted Drugs X Company (7)'!$P$3:$P$698,"Exact")+COUNTIFS('Shortlisted Drugs X Company (7)'!$C$3:$C$698,$B275,'Shortlisted Drugs X Company (7)'!$E$3:$E$698,$AA275,'Shortlisted Drugs X Company (7)'!$P$3:$P$698,"Same-market proxy")</f>
        <v>1</v>
      </c>
      <c r="AH275" s="22" t="n">
        <f aca="false">INDEX($G$7:$G$25,MATCH(A275,$A$7:$A$25,0))</f>
        <v>18</v>
      </c>
      <c r="AI275" s="79" t="str">
        <f aca="false">IF(OR(Q275="No",LEFT(H275,7)="IV only"),"",AH275*1000+IF(F275="",900+COUNTIFS($A$29:A275,A275,$H$29:H275,"Price*"),F275))</f>
        <v/>
      </c>
      <c r="AJ275" s="79" t="str">
        <f aca="false">IF(H275&lt;&gt;"","",(4-VALUE(RIGHT(E275,1)))*10^7+N(O275))</f>
        <v/>
      </c>
      <c r="AK275" s="79" t="str">
        <f aca="false">IF(AND(H275="",ISNUMBER(I275)),I275,"")</f>
        <v/>
      </c>
      <c r="AL275" s="79" t="str">
        <f aca="false">IF(H275="",M275,"")</f>
        <v/>
      </c>
    </row>
    <row r="276" customFormat="false" ht="41.75" hidden="false" customHeight="false" outlineLevel="0" collapsed="false">
      <c r="A276" s="16" t="s">
        <v>237</v>
      </c>
      <c r="B276" s="16" t="s">
        <v>1272</v>
      </c>
      <c r="C276" s="17" t="s">
        <v>1273</v>
      </c>
      <c r="D276" s="17" t="s">
        <v>1274</v>
      </c>
      <c r="E276" s="15" t="str">
        <f aca="false">IF(H276&lt;&gt;"",IF(LEFT(H276,5)="Price","Excluded – price ≤ USD 5","Excluded – IV only"),IF(ISNUMBER(I276),IF(AND(I276&gt;=$C$3,M276&gt;=$E$3),"Priority 1",IF(OR(I276&gt;=$C$3,M276&gt;=$E$3),"Priority 2","Priority 3")),IF(M276&gt;=$E$3,"Priority 2","Priority 3")))</f>
        <v>Priority 3</v>
      </c>
      <c r="F276" s="15" t="n">
        <f aca="false">IF(H276&lt;&gt;"","",COUNTIFS($A$29:$A$361,A276,$H$29:$H$361,"",$AJ$29:$AJ$361,"&gt;"&amp;AJ276)+COUNTIFS($A$29:A276,A276,$H$29:H276,"",$AJ$29:AJ276,AJ276))</f>
        <v>5</v>
      </c>
      <c r="G276" s="17" t="str">
        <f aca="false">IF(H276&lt;&gt;"","",IF(ISNUMBER(I276),IF(I276&gt;=$C$3,"High price","Lower price"),"No price")&amp;", "&amp;IF(M276&gt;=$E$3,"high volume","lower volume"))</f>
        <v>Lower price, lower volume</v>
      </c>
      <c r="H276" s="17" t="str">
        <f aca="false">IF(Q276="No","IV only (no ID, IM or SC route)",IF(AND(AE276&gt;0,AF276=0),"Price ≤ USD 5",""))</f>
        <v/>
      </c>
      <c r="I276" s="18" t="n">
        <f aca="false">IF(AF276&gt;0,ROUND(AVERAGEIFS('Shortlisted Drugs X Company (7)'!$N$3:$N$698,'Shortlisted Drugs X Company (7)'!$C$3:$C$698,$B276,'Shortlisted Drugs X Company (7)'!$E$3:$E$698,$AA276,'Shortlisted Drugs X Company (7)'!$N$3:$N$698,"&gt;5"),2),"")</f>
        <v>22.55</v>
      </c>
      <c r="J276" s="17" t="str">
        <f aca="false">IF(COUNTIFS('Shortlisted Drugs X Company (7)'!$C$3:$C$698,$B276,'Shortlisted Drugs X Company (7)'!$E$3:$E$698,$AA276,'Shortlisted Drugs X Company (7)'!$P$3:$P$698,"Exact")&gt;0,"Exact",IF(COUNTIFS('Shortlisted Drugs X Company (7)'!$C$3:$C$698,$B276,'Shortlisted Drugs X Company (7)'!$E$3:$E$698,$AA276,'Shortlisted Drugs X Company (7)'!$P$3:$P$698,"Same-market proxy")&gt;0,"Same-market proxy",IF(COUNTIFS('Shortlisted Drugs X Company (7)'!$C$3:$C$698,$B276,'Shortlisted Drugs X Company (7)'!$E$3:$E$698,$AA276,'Shortlisted Drugs X Company (7)'!$P$3:$P$698,"Cross-market proxy")&gt;0,"Cross-market proxy",IF(COUNTIFS('Shortlisted Drugs X Company (7)'!$C$3:$C$698,$B276,'Shortlisted Drugs X Company (7)'!$E$3:$E$698,$AA276,'Shortlisted Drugs X Company (7)'!$P$3:$P$698,"Source not found")&gt;0,"Source not found","No price found"))))</f>
        <v>Same-market proxy</v>
      </c>
      <c r="K276" s="19" t="n">
        <f aca="false">IFERROR(INDEX('Injectable Value'!$AB$28:$AB$178,MATCH(B276,'Injectable Value'!$A$28:$A$178,0)),"")</f>
        <v>61</v>
      </c>
      <c r="L276" s="77" t="n">
        <f aca="false">IFERROR(INDEX('Injectable Value'!$Z$28:$Z$178,MATCH(B276,'Injectable Value'!$A$28:$A$178,0)),"")</f>
        <v>0.888888888888889</v>
      </c>
      <c r="M276" s="19" t="n">
        <f aca="false">IFERROR(INDEX('Injectable Value'!$AC$28:$AC$178,MATCH(B276,'Injectable Value'!$A$28:$A$178,0)),"")</f>
        <v>54</v>
      </c>
      <c r="N276" s="19" t="n">
        <f aca="false">IFERROR(INDEX('Injectable Value'!$C$28:$C$178,MATCH(B276,'Injectable Value'!$A$28:$A$178,0)),"")</f>
        <v>1210.6</v>
      </c>
      <c r="O276" s="19" t="n">
        <f aca="false">IFERROR(ROUND(INDEX('Injectable Value'!$AA$28:$AA$178,MATCH(B276,'Injectable Value'!$A$28:$A$178,0)),1),"")</f>
        <v>1076.1</v>
      </c>
      <c r="P276" s="16" t="str">
        <f aca="false">IFERROR(INDEX('Route of Administration'!$C$5:$C$155,MATCH(B276,'Route of Administration'!$A$5:$A$155,0)),"")</f>
        <v>IV, IM</v>
      </c>
      <c r="Q276" s="15" t="str">
        <f aca="false">IFERROR(INDEX('Route of Administration'!$D$5:$D$155,MATCH(B276,'Route of Administration'!$A$5:$A$155,0)),"")</f>
        <v>Yes</v>
      </c>
      <c r="R276" s="16" t="s">
        <v>281</v>
      </c>
      <c r="S276" s="17" t="s">
        <v>1275</v>
      </c>
      <c r="T276" s="16" t="s">
        <v>283</v>
      </c>
      <c r="U276" s="17" t="str">
        <f aca="false">""&amp;IF(AE276=0,"No price found","")&amp;IF(AND(AE276&gt;0,AF276=0,AG276=0),"Low price comes from another market – confirm with the company","")</f>
        <v/>
      </c>
      <c r="V276" s="17" t="s">
        <v>284</v>
      </c>
      <c r="W276" s="15" t="n">
        <v>1</v>
      </c>
      <c r="X276" s="17" t="s">
        <v>284</v>
      </c>
      <c r="Y276" s="17" t="s">
        <v>284</v>
      </c>
      <c r="Z276" s="17" t="s">
        <v>321</v>
      </c>
      <c r="AA276" s="16" t="s">
        <v>237</v>
      </c>
      <c r="AB276" s="78" t="s">
        <v>1276</v>
      </c>
      <c r="AC276" s="20" t="n">
        <f aca="false">IF(AE276&gt;0,ROUND(AVERAGEIFS('Shortlisted Drugs X Company (7)'!$N$3:$N$698,'Shortlisted Drugs X Company (7)'!$C$3:$C$698,$B276,'Shortlisted Drugs X Company (7)'!$E$3:$E$698,$AA276,'Shortlisted Drugs X Company (7)'!$N$3:$N$698,"&gt;=0"),2),"")</f>
        <v>22.55</v>
      </c>
      <c r="AD276" s="79" t="str">
        <f aca="false">B276&amp;"|"&amp;AA276</f>
        <v>Lincomycin|Micro Labs</v>
      </c>
      <c r="AE276" s="22" t="n">
        <f aca="false">COUNTIFS('Shortlisted Drugs X Company (7)'!$C$3:$C$698,$B276,'Shortlisted Drugs X Company (7)'!$E$3:$E$698,$AA276,'Shortlisted Drugs X Company (7)'!$N$3:$N$698,"&gt;=0")</f>
        <v>1</v>
      </c>
      <c r="AF276" s="22" t="n">
        <f aca="false">COUNTIFS('Shortlisted Drugs X Company (7)'!$C$3:$C$698,$B276,'Shortlisted Drugs X Company (7)'!$E$3:$E$698,$AA276,'Shortlisted Drugs X Company (7)'!$N$3:$N$698,"&gt;5")</f>
        <v>1</v>
      </c>
      <c r="AG276" s="22" t="n">
        <f aca="false">COUNTIFS('Shortlisted Drugs X Company (7)'!$C$3:$C$698,$B276,'Shortlisted Drugs X Company (7)'!$E$3:$E$698,$AA276,'Shortlisted Drugs X Company (7)'!$P$3:$P$698,"Exact")+COUNTIFS('Shortlisted Drugs X Company (7)'!$C$3:$C$698,$B276,'Shortlisted Drugs X Company (7)'!$E$3:$E$698,$AA276,'Shortlisted Drugs X Company (7)'!$P$3:$P$698,"Same-market proxy")</f>
        <v>1</v>
      </c>
      <c r="AH276" s="22" t="n">
        <f aca="false">INDEX($G$7:$G$25,MATCH(A276,$A$7:$A$25,0))</f>
        <v>18</v>
      </c>
      <c r="AI276" s="79" t="n">
        <f aca="false">IF(OR(Q276="No",LEFT(H276,7)="IV only"),"",AH276*1000+IF(F276="",900+COUNTIFS($A$29:A276,A276,$H$29:H276,"Price*"),F276))</f>
        <v>18005</v>
      </c>
      <c r="AJ276" s="79" t="n">
        <f aca="false">IF(H276&lt;&gt;"","",(4-VALUE(RIGHT(E276,1)))*10^7+N(O276))</f>
        <v>10001076.1</v>
      </c>
      <c r="AK276" s="20" t="n">
        <f aca="false">IF(AND(H276="",ISNUMBER(I276)),I276,"")</f>
        <v>22.55</v>
      </c>
      <c r="AL276" s="21" t="n">
        <f aca="false">IF(H276="",M276,"")</f>
        <v>54</v>
      </c>
    </row>
    <row r="277" customFormat="false" ht="28.35" hidden="false" customHeight="false" outlineLevel="0" collapsed="false">
      <c r="A277" s="16" t="s">
        <v>237</v>
      </c>
      <c r="B277" s="16" t="s">
        <v>754</v>
      </c>
      <c r="C277" s="17" t="s">
        <v>755</v>
      </c>
      <c r="D277" s="17" t="s">
        <v>756</v>
      </c>
      <c r="E277" s="15" t="str">
        <f aca="false">IF(H277&lt;&gt;"",IF(LEFT(H277,5)="Price","Excluded – price ≤ USD 5","Excluded – IV only"),IF(ISNUMBER(I277),IF(AND(I277&gt;=$C$3,M277&gt;=$E$3),"Priority 1",IF(OR(I277&gt;=$C$3,M277&gt;=$E$3),"Priority 2","Priority 3")),IF(M277&gt;=$E$3,"Priority 2","Priority 3")))</f>
        <v>Priority 2</v>
      </c>
      <c r="F277" s="15" t="n">
        <f aca="false">IF(H277&lt;&gt;"","",COUNTIFS($A$29:$A$361,A277,$H$29:$H$361,"",$AJ$29:$AJ$361,"&gt;"&amp;AJ277)+COUNTIFS($A$29:A277,A277,$H$29:H277,"",$AJ$29:AJ277,AJ277))</f>
        <v>2</v>
      </c>
      <c r="G277" s="17" t="str">
        <f aca="false">IF(H277&lt;&gt;"","",IF(ISNUMBER(I277),IF(I277&gt;=$C$3,"High price","Lower price"),"No price")&amp;", "&amp;IF(M277&gt;=$E$3,"high volume","lower volume"))</f>
        <v>Lower price, high volume</v>
      </c>
      <c r="H277" s="17" t="str">
        <f aca="false">IF(Q277="No","IV only (no ID, IM or SC route)",IF(AND(AE277&gt;0,AF277=0),"Price ≤ USD 5",""))</f>
        <v/>
      </c>
      <c r="I277" s="18" t="n">
        <f aca="false">IF(AF277&gt;0,ROUND(AVERAGEIFS('Shortlisted Drugs X Company (7)'!$N$3:$N$698,'Shortlisted Drugs X Company (7)'!$C$3:$C$698,$B277,'Shortlisted Drugs X Company (7)'!$E$3:$E$698,$AA277,'Shortlisted Drugs X Company (7)'!$N$3:$N$698,"&gt;5"),2),"")</f>
        <v>5.03</v>
      </c>
      <c r="J277" s="17" t="str">
        <f aca="false">IF(COUNTIFS('Shortlisted Drugs X Company (7)'!$C$3:$C$698,$B277,'Shortlisted Drugs X Company (7)'!$E$3:$E$698,$AA277,'Shortlisted Drugs X Company (7)'!$P$3:$P$698,"Exact")&gt;0,"Exact",IF(COUNTIFS('Shortlisted Drugs X Company (7)'!$C$3:$C$698,$B277,'Shortlisted Drugs X Company (7)'!$E$3:$E$698,$AA277,'Shortlisted Drugs X Company (7)'!$P$3:$P$698,"Same-market proxy")&gt;0,"Same-market proxy",IF(COUNTIFS('Shortlisted Drugs X Company (7)'!$C$3:$C$698,$B277,'Shortlisted Drugs X Company (7)'!$E$3:$E$698,$AA277,'Shortlisted Drugs X Company (7)'!$P$3:$P$698,"Cross-market proxy")&gt;0,"Cross-market proxy",IF(COUNTIFS('Shortlisted Drugs X Company (7)'!$C$3:$C$698,$B277,'Shortlisted Drugs X Company (7)'!$E$3:$E$698,$AA277,'Shortlisted Drugs X Company (7)'!$P$3:$P$698,"Source not found")&gt;0,"Source not found","No price found"))))</f>
        <v>Same-market proxy</v>
      </c>
      <c r="K277" s="19" t="n">
        <f aca="false">IFERROR(INDEX('Injectable Value'!$AB$28:$AB$178,MATCH(B277,'Injectable Value'!$A$28:$A$178,0)),"")</f>
        <v>286</v>
      </c>
      <c r="L277" s="77" t="n">
        <f aca="false">IFERROR(INDEX('Injectable Value'!$Z$28:$Z$178,MATCH(B277,'Injectable Value'!$A$28:$A$178,0)),"")</f>
        <v>1</v>
      </c>
      <c r="M277" s="19" t="n">
        <f aca="false">IFERROR(INDEX('Injectable Value'!$AC$28:$AC$178,MATCH(B277,'Injectable Value'!$A$28:$A$178,0)),"")</f>
        <v>286</v>
      </c>
      <c r="N277" s="19" t="n">
        <f aca="false">IFERROR(INDEX('Injectable Value'!$C$28:$C$178,MATCH(B277,'Injectable Value'!$A$28:$A$178,0)),"")</f>
        <v>3067.39</v>
      </c>
      <c r="O277" s="19" t="n">
        <f aca="false">IFERROR(ROUND(INDEX('Injectable Value'!$AA$28:$AA$178,MATCH(B277,'Injectable Value'!$A$28:$A$178,0)),1),"")</f>
        <v>3067.4</v>
      </c>
      <c r="P277" s="16" t="str">
        <f aca="false">IFERROR(INDEX('Route of Administration'!$C$5:$C$155,MATCH(B277,'Route of Administration'!$A$5:$A$155,0)),"")</f>
        <v>IV, IM</v>
      </c>
      <c r="Q277" s="15" t="str">
        <f aca="false">IFERROR(INDEX('Route of Administration'!$D$5:$D$155,MATCH(B277,'Route of Administration'!$A$5:$A$155,0)),"")</f>
        <v>Yes</v>
      </c>
      <c r="R277" s="16" t="s">
        <v>281</v>
      </c>
      <c r="S277" s="17" t="s">
        <v>757</v>
      </c>
      <c r="T277" s="16" t="s">
        <v>283</v>
      </c>
      <c r="U277" s="17" t="str">
        <f aca="false">""&amp;IF(AE277=0,"No price found","")&amp;IF(AND(AE277&gt;0,AF277=0,AG277=0),"Low price comes from another market – confirm with the company","")</f>
        <v/>
      </c>
      <c r="V277" s="17" t="s">
        <v>284</v>
      </c>
      <c r="W277" s="15" t="n">
        <v>1</v>
      </c>
      <c r="X277" s="17" t="s">
        <v>284</v>
      </c>
      <c r="Y277" s="17" t="s">
        <v>284</v>
      </c>
      <c r="Z277" s="17" t="s">
        <v>286</v>
      </c>
      <c r="AA277" s="16" t="s">
        <v>237</v>
      </c>
      <c r="AB277" s="78" t="s">
        <v>758</v>
      </c>
      <c r="AC277" s="20" t="n">
        <f aca="false">IF(AE277&gt;0,ROUND(AVERAGEIFS('Shortlisted Drugs X Company (7)'!$N$3:$N$698,'Shortlisted Drugs X Company (7)'!$C$3:$C$698,$B277,'Shortlisted Drugs X Company (7)'!$E$3:$E$698,$AA277,'Shortlisted Drugs X Company (7)'!$N$3:$N$698,"&gt;=0"),2),"")</f>
        <v>5.03</v>
      </c>
      <c r="AD277" s="79" t="str">
        <f aca="false">B277&amp;"|"&amp;AA277</f>
        <v>Succinylcholine (Suxamethonium)|Micro Labs</v>
      </c>
      <c r="AE277" s="22" t="n">
        <f aca="false">COUNTIFS('Shortlisted Drugs X Company (7)'!$C$3:$C$698,$B277,'Shortlisted Drugs X Company (7)'!$E$3:$E$698,$AA277,'Shortlisted Drugs X Company (7)'!$N$3:$N$698,"&gt;=0")</f>
        <v>1</v>
      </c>
      <c r="AF277" s="22" t="n">
        <f aca="false">COUNTIFS('Shortlisted Drugs X Company (7)'!$C$3:$C$698,$B277,'Shortlisted Drugs X Company (7)'!$E$3:$E$698,$AA277,'Shortlisted Drugs X Company (7)'!$N$3:$N$698,"&gt;5")</f>
        <v>1</v>
      </c>
      <c r="AG277" s="22" t="n">
        <f aca="false">COUNTIFS('Shortlisted Drugs X Company (7)'!$C$3:$C$698,$B277,'Shortlisted Drugs X Company (7)'!$E$3:$E$698,$AA277,'Shortlisted Drugs X Company (7)'!$P$3:$P$698,"Exact")+COUNTIFS('Shortlisted Drugs X Company (7)'!$C$3:$C$698,$B277,'Shortlisted Drugs X Company (7)'!$E$3:$E$698,$AA277,'Shortlisted Drugs X Company (7)'!$P$3:$P$698,"Same-market proxy")</f>
        <v>1</v>
      </c>
      <c r="AH277" s="22" t="n">
        <f aca="false">INDEX($G$7:$G$25,MATCH(A277,$A$7:$A$25,0))</f>
        <v>18</v>
      </c>
      <c r="AI277" s="79" t="n">
        <f aca="false">IF(OR(Q277="No",LEFT(H277,7)="IV only"),"",AH277*1000+IF(F277="",900+COUNTIFS($A$29:A277,A277,$H$29:H277,"Price*"),F277))</f>
        <v>18002</v>
      </c>
      <c r="AJ277" s="79" t="n">
        <f aca="false">IF(H277&lt;&gt;"","",(4-VALUE(RIGHT(E277,1)))*10^7+N(O277))</f>
        <v>20003067.4</v>
      </c>
      <c r="AK277" s="20" t="n">
        <f aca="false">IF(AND(H277="",ISNUMBER(I277)),I277,"")</f>
        <v>5.03</v>
      </c>
      <c r="AL277" s="21" t="n">
        <f aca="false">IF(H277="",M277,"")</f>
        <v>286</v>
      </c>
    </row>
    <row r="278" customFormat="false" ht="41.75" hidden="false" customHeight="false" outlineLevel="0" collapsed="false">
      <c r="A278" s="16" t="s">
        <v>237</v>
      </c>
      <c r="B278" s="16" t="s">
        <v>599</v>
      </c>
      <c r="C278" s="17" t="s">
        <v>600</v>
      </c>
      <c r="D278" s="17" t="s">
        <v>601</v>
      </c>
      <c r="E278" s="15" t="str">
        <f aca="false">IF(H278&lt;&gt;"",IF(LEFT(H278,5)="Price","Excluded – price ≤ USD 5","Excluded – IV only"),IF(ISNUMBER(I278),IF(AND(I278&gt;=$C$3,M278&gt;=$E$3),"Priority 1",IF(OR(I278&gt;=$C$3,M278&gt;=$E$3),"Priority 2","Priority 3")),IF(M278&gt;=$E$3,"Priority 2","Priority 3")))</f>
        <v>Excluded – IV only</v>
      </c>
      <c r="F278" s="15" t="str">
        <f aca="false">IF(H278&lt;&gt;"","",COUNTIFS($A$29:$A$361,A278,$H$29:$H$361,"",$AJ$29:$AJ$361,"&gt;"&amp;AJ278)+COUNTIFS($A$29:A278,A278,$H$29:H278,"",$AJ$29:AJ278,AJ278))</f>
        <v/>
      </c>
      <c r="G278" s="17" t="str">
        <f aca="false">IF(H278&lt;&gt;"","",IF(ISNUMBER(I278),IF(I278&gt;=$C$3,"High price","Lower price"),"No price")&amp;", "&amp;IF(M278&gt;=$E$3,"high volume","lower volume"))</f>
        <v/>
      </c>
      <c r="H278" s="17" t="str">
        <f aca="false">IF(Q278="No","IV only (no ID, IM or SC route)",IF(AND(AE278&gt;0,AF278=0),"Price ≤ USD 5",""))</f>
        <v>IV only (no ID, IM or SC route)</v>
      </c>
      <c r="I278" s="18" t="n">
        <f aca="false">IF(AF278&gt;0,ROUND(AVERAGEIFS('Shortlisted Drugs X Company (7)'!$N$3:$N$698,'Shortlisted Drugs X Company (7)'!$C$3:$C$698,$B278,'Shortlisted Drugs X Company (7)'!$E$3:$E$698,$AA278,'Shortlisted Drugs X Company (7)'!$N$3:$N$698,"&gt;5"),2),"")</f>
        <v>10.13</v>
      </c>
      <c r="J278" s="17" t="str">
        <f aca="false">IF(COUNTIFS('Shortlisted Drugs X Company (7)'!$C$3:$C$698,$B278,'Shortlisted Drugs X Company (7)'!$E$3:$E$698,$AA278,'Shortlisted Drugs X Company (7)'!$P$3:$P$698,"Exact")&gt;0,"Exact",IF(COUNTIFS('Shortlisted Drugs X Company (7)'!$C$3:$C$698,$B278,'Shortlisted Drugs X Company (7)'!$E$3:$E$698,$AA278,'Shortlisted Drugs X Company (7)'!$P$3:$P$698,"Same-market proxy")&gt;0,"Same-market proxy",IF(COUNTIFS('Shortlisted Drugs X Company (7)'!$C$3:$C$698,$B278,'Shortlisted Drugs X Company (7)'!$E$3:$E$698,$AA278,'Shortlisted Drugs X Company (7)'!$P$3:$P$698,"Cross-market proxy")&gt;0,"Cross-market proxy",IF(COUNTIFS('Shortlisted Drugs X Company (7)'!$C$3:$C$698,$B278,'Shortlisted Drugs X Company (7)'!$E$3:$E$698,$AA278,'Shortlisted Drugs X Company (7)'!$P$3:$P$698,"Source not found")&gt;0,"Source not found","No price found"))))</f>
        <v>Same-market proxy</v>
      </c>
      <c r="K278" s="19" t="n">
        <f aca="false">IFERROR(INDEX('Injectable Value'!$AB$28:$AB$178,MATCH(B278,'Injectable Value'!$A$28:$A$178,0)),"")</f>
        <v>374</v>
      </c>
      <c r="L278" s="77" t="n">
        <f aca="false">IFERROR(INDEX('Injectable Value'!$Z$28:$Z$178,MATCH(B278,'Injectable Value'!$A$28:$A$178,0)),"")</f>
        <v>0.18191811645244</v>
      </c>
      <c r="M278" s="19" t="n">
        <f aca="false">IFERROR(INDEX('Injectable Value'!$AC$28:$AC$178,MATCH(B278,'Injectable Value'!$A$28:$A$178,0)),"")</f>
        <v>68</v>
      </c>
      <c r="N278" s="19" t="n">
        <f aca="false">IFERROR(INDEX('Injectable Value'!$C$28:$C$178,MATCH(B278,'Injectable Value'!$A$28:$A$178,0)),"")</f>
        <v>13615.47</v>
      </c>
      <c r="O278" s="19" t="n">
        <f aca="false">IFERROR(ROUND(INDEX('Injectable Value'!$AA$28:$AA$178,MATCH(B278,'Injectable Value'!$A$28:$A$178,0)),1),"")</f>
        <v>2476.9</v>
      </c>
      <c r="P278" s="16" t="str">
        <f aca="false">IFERROR(INDEX('Route of Administration'!$C$5:$C$155,MATCH(B278,'Route of Administration'!$A$5:$A$155,0)),"")</f>
        <v>IV</v>
      </c>
      <c r="Q278" s="15" t="str">
        <f aca="false">IFERROR(INDEX('Route of Administration'!$D$5:$D$155,MATCH(B278,'Route of Administration'!$A$5:$A$155,0)),"")</f>
        <v>No</v>
      </c>
      <c r="R278" s="16" t="s">
        <v>281</v>
      </c>
      <c r="S278" s="17" t="s">
        <v>1277</v>
      </c>
      <c r="T278" s="16" t="s">
        <v>283</v>
      </c>
      <c r="U278" s="17" t="str">
        <f aca="false">""&amp;IF(AE278=0,"No price found","")&amp;IF(AND(AE278&gt;0,AF278=0,AG278=0),"Low price comes from another market – confirm with the company","")</f>
        <v/>
      </c>
      <c r="V278" s="17" t="s">
        <v>284</v>
      </c>
      <c r="W278" s="15" t="n">
        <v>1</v>
      </c>
      <c r="X278" s="17" t="s">
        <v>284</v>
      </c>
      <c r="Y278" s="17" t="s">
        <v>284</v>
      </c>
      <c r="Z278" s="17" t="s">
        <v>286</v>
      </c>
      <c r="AA278" s="16" t="s">
        <v>237</v>
      </c>
      <c r="AB278" s="78" t="s">
        <v>603</v>
      </c>
      <c r="AC278" s="20" t="n">
        <f aca="false">IF(AE278&gt;0,ROUND(AVERAGEIFS('Shortlisted Drugs X Company (7)'!$N$3:$N$698,'Shortlisted Drugs X Company (7)'!$C$3:$C$698,$B278,'Shortlisted Drugs X Company (7)'!$E$3:$E$698,$AA278,'Shortlisted Drugs X Company (7)'!$N$3:$N$698,"&gt;=0"),2),"")</f>
        <v>10.13</v>
      </c>
      <c r="AD278" s="79" t="str">
        <f aca="false">B278&amp;"|"&amp;AA278</f>
        <v>Verapamil|Micro Labs</v>
      </c>
      <c r="AE278" s="22" t="n">
        <f aca="false">COUNTIFS('Shortlisted Drugs X Company (7)'!$C$3:$C$698,$B278,'Shortlisted Drugs X Company (7)'!$E$3:$E$698,$AA278,'Shortlisted Drugs X Company (7)'!$N$3:$N$698,"&gt;=0")</f>
        <v>2</v>
      </c>
      <c r="AF278" s="22" t="n">
        <f aca="false">COUNTIFS('Shortlisted Drugs X Company (7)'!$C$3:$C$698,$B278,'Shortlisted Drugs X Company (7)'!$E$3:$E$698,$AA278,'Shortlisted Drugs X Company (7)'!$N$3:$N$698,"&gt;5")</f>
        <v>2</v>
      </c>
      <c r="AG278" s="22" t="n">
        <f aca="false">COUNTIFS('Shortlisted Drugs X Company (7)'!$C$3:$C$698,$B278,'Shortlisted Drugs X Company (7)'!$E$3:$E$698,$AA278,'Shortlisted Drugs X Company (7)'!$P$3:$P$698,"Exact")+COUNTIFS('Shortlisted Drugs X Company (7)'!$C$3:$C$698,$B278,'Shortlisted Drugs X Company (7)'!$E$3:$E$698,$AA278,'Shortlisted Drugs X Company (7)'!$P$3:$P$698,"Same-market proxy")</f>
        <v>2</v>
      </c>
      <c r="AH278" s="22" t="n">
        <f aca="false">INDEX($G$7:$G$25,MATCH(A278,$A$7:$A$25,0))</f>
        <v>18</v>
      </c>
      <c r="AI278" s="79" t="str">
        <f aca="false">IF(OR(Q278="No",LEFT(H278,7)="IV only"),"",AH278*1000+IF(F278="",900+COUNTIFS($A$29:A278,A278,$H$29:H278,"Price*"),F278))</f>
        <v/>
      </c>
      <c r="AJ278" s="79" t="str">
        <f aca="false">IF(H278&lt;&gt;"","",(4-VALUE(RIGHT(E278,1)))*10^7+N(O278))</f>
        <v/>
      </c>
      <c r="AK278" s="79" t="str">
        <f aca="false">IF(AND(H278="",ISNUMBER(I278)),I278,"")</f>
        <v/>
      </c>
      <c r="AL278" s="79" t="str">
        <f aca="false">IF(H278="",M278,"")</f>
        <v/>
      </c>
    </row>
    <row r="279" customFormat="false" ht="41.75" hidden="false" customHeight="false" outlineLevel="0" collapsed="false">
      <c r="A279" s="16" t="s">
        <v>238</v>
      </c>
      <c r="B279" s="16" t="s">
        <v>346</v>
      </c>
      <c r="C279" s="17" t="s">
        <v>1278</v>
      </c>
      <c r="D279" s="17" t="s">
        <v>348</v>
      </c>
      <c r="E279" s="15" t="str">
        <f aca="false">IF(H279&lt;&gt;"",IF(LEFT(H279,5)="Price","Excluded – price ≤ USD 5","Excluded – IV only"),IF(ISNUMBER(I279),IF(AND(I279&gt;=$C$3,M279&gt;=$E$3),"Priority 1",IF(OR(I279&gt;=$C$3,M279&gt;=$E$3),"Priority 2","Priority 3")),IF(M279&gt;=$E$3,"Priority 2","Priority 3")))</f>
        <v>Priority 2</v>
      </c>
      <c r="F279" s="15" t="n">
        <f aca="false">IF(H279&lt;&gt;"","",COUNTIFS($A$29:$A$361,A279,$H$29:$H$361,"",$AJ$29:$AJ$361,"&gt;"&amp;AJ279)+COUNTIFS($A$29:A279,A279,$H$29:H279,"",$AJ$29:AJ279,AJ279))</f>
        <v>1</v>
      </c>
      <c r="G279" s="17" t="str">
        <f aca="false">IF(H279&lt;&gt;"","",IF(ISNUMBER(I279),IF(I279&gt;=$C$3,"High price","Lower price"),"No price")&amp;", "&amp;IF(M279&gt;=$E$3,"high volume","lower volume"))</f>
        <v>Lower price, high volume</v>
      </c>
      <c r="H279" s="17" t="str">
        <f aca="false">IF(Q279="No","IV only (no ID, IM or SC route)",IF(AND(AE279&gt;0,AF279=0),"Price ≤ USD 5",""))</f>
        <v/>
      </c>
      <c r="I279" s="18" t="n">
        <f aca="false">IF(AF279&gt;0,ROUND(AVERAGEIFS('Shortlisted Drugs X Company (7)'!$N$3:$N$698,'Shortlisted Drugs X Company (7)'!$C$3:$C$698,$B279,'Shortlisted Drugs X Company (7)'!$E$3:$E$698,$AA279,'Shortlisted Drugs X Company (7)'!$N$3:$N$698,"&gt;5"),2),"")</f>
        <v>6.38</v>
      </c>
      <c r="J279" s="17" t="str">
        <f aca="false">IF(COUNTIFS('Shortlisted Drugs X Company (7)'!$C$3:$C$698,$B279,'Shortlisted Drugs X Company (7)'!$E$3:$E$698,$AA279,'Shortlisted Drugs X Company (7)'!$P$3:$P$698,"Exact")&gt;0,"Exact",IF(COUNTIFS('Shortlisted Drugs X Company (7)'!$C$3:$C$698,$B279,'Shortlisted Drugs X Company (7)'!$E$3:$E$698,$AA279,'Shortlisted Drugs X Company (7)'!$P$3:$P$698,"Same-market proxy")&gt;0,"Same-market proxy",IF(COUNTIFS('Shortlisted Drugs X Company (7)'!$C$3:$C$698,$B279,'Shortlisted Drugs X Company (7)'!$E$3:$E$698,$AA279,'Shortlisted Drugs X Company (7)'!$P$3:$P$698,"Cross-market proxy")&gt;0,"Cross-market proxy",IF(COUNTIFS('Shortlisted Drugs X Company (7)'!$C$3:$C$698,$B279,'Shortlisted Drugs X Company (7)'!$E$3:$E$698,$AA279,'Shortlisted Drugs X Company (7)'!$P$3:$P$698,"Source not found")&gt;0,"Source not found","No price found"))))</f>
        <v>Same-market proxy</v>
      </c>
      <c r="K279" s="19" t="n">
        <f aca="false">IFERROR(INDEX('Injectable Value'!$AB$28:$AB$178,MATCH(B279,'Injectable Value'!$A$28:$A$178,0)),"")</f>
        <v>598</v>
      </c>
      <c r="L279" s="77" t="n">
        <f aca="false">IFERROR(INDEX('Injectable Value'!$Z$28:$Z$178,MATCH(B279,'Injectable Value'!$A$28:$A$178,0)),"")</f>
        <v>0.971428571428571</v>
      </c>
      <c r="M279" s="19" t="n">
        <f aca="false">IFERROR(INDEX('Injectable Value'!$AC$28:$AC$178,MATCH(B279,'Injectable Value'!$A$28:$A$178,0)),"")</f>
        <v>581</v>
      </c>
      <c r="N279" s="19" t="n">
        <f aca="false">IFERROR(INDEX('Injectable Value'!$C$28:$C$178,MATCH(B279,'Injectable Value'!$A$28:$A$178,0)),"")</f>
        <v>16840.43</v>
      </c>
      <c r="O279" s="19" t="n">
        <f aca="false">IFERROR(ROUND(INDEX('Injectable Value'!$AA$28:$AA$178,MATCH(B279,'Injectable Value'!$A$28:$A$178,0)),1),"")</f>
        <v>16359.3</v>
      </c>
      <c r="P279" s="16" t="str">
        <f aca="false">IFERROR(INDEX('Route of Administration'!$C$5:$C$155,MATCH(B279,'Route of Administration'!$A$5:$A$155,0)),"")</f>
        <v>Epidural, intra-articular, SC, perineural</v>
      </c>
      <c r="Q279" s="15" t="str">
        <f aca="false">IFERROR(INDEX('Route of Administration'!$D$5:$D$155,MATCH(B279,'Route of Administration'!$A$5:$A$155,0)),"")</f>
        <v>Yes</v>
      </c>
      <c r="R279" s="16" t="s">
        <v>281</v>
      </c>
      <c r="S279" s="17" t="s">
        <v>1279</v>
      </c>
      <c r="T279" s="16" t="s">
        <v>283</v>
      </c>
      <c r="U279" s="17" t="str">
        <f aca="false">""&amp;IF(AE279=0,"No price found","")&amp;IF(AND(AE279&gt;0,AF279=0,AG279=0),"Low price comes from another market – confirm with the company","")</f>
        <v/>
      </c>
      <c r="V279" s="17" t="s">
        <v>284</v>
      </c>
      <c r="W279" s="15" t="n">
        <v>1</v>
      </c>
      <c r="X279" s="17" t="s">
        <v>284</v>
      </c>
      <c r="Y279" s="17" t="s">
        <v>284</v>
      </c>
      <c r="Z279" s="17" t="s">
        <v>321</v>
      </c>
      <c r="AA279" s="16" t="s">
        <v>1280</v>
      </c>
      <c r="AB279" s="78" t="s">
        <v>353</v>
      </c>
      <c r="AC279" s="20" t="n">
        <f aca="false">IF(AE279&gt;0,ROUND(AVERAGEIFS('Shortlisted Drugs X Company (7)'!$N$3:$N$698,'Shortlisted Drugs X Company (7)'!$C$3:$C$698,$B279,'Shortlisted Drugs X Company (7)'!$E$3:$E$698,$AA279,'Shortlisted Drugs X Company (7)'!$N$3:$N$698,"&gt;=0"),2),"")</f>
        <v>6.38</v>
      </c>
      <c r="AD279" s="79" t="str">
        <f aca="false">B279&amp;"|"&amp;AA279</f>
        <v>Bupivacaine|OneSource Specialty Pharma</v>
      </c>
      <c r="AE279" s="22" t="n">
        <f aca="false">COUNTIFS('Shortlisted Drugs X Company (7)'!$C$3:$C$698,$B279,'Shortlisted Drugs X Company (7)'!$E$3:$E$698,$AA279,'Shortlisted Drugs X Company (7)'!$N$3:$N$698,"&gt;=0")</f>
        <v>2</v>
      </c>
      <c r="AF279" s="22" t="n">
        <f aca="false">COUNTIFS('Shortlisted Drugs X Company (7)'!$C$3:$C$698,$B279,'Shortlisted Drugs X Company (7)'!$E$3:$E$698,$AA279,'Shortlisted Drugs X Company (7)'!$N$3:$N$698,"&gt;5")</f>
        <v>2</v>
      </c>
      <c r="AG279" s="22" t="n">
        <f aca="false">COUNTIFS('Shortlisted Drugs X Company (7)'!$C$3:$C$698,$B279,'Shortlisted Drugs X Company (7)'!$E$3:$E$698,$AA279,'Shortlisted Drugs X Company (7)'!$P$3:$P$698,"Exact")+COUNTIFS('Shortlisted Drugs X Company (7)'!$C$3:$C$698,$B279,'Shortlisted Drugs X Company (7)'!$E$3:$E$698,$AA279,'Shortlisted Drugs X Company (7)'!$P$3:$P$698,"Same-market proxy")</f>
        <v>2</v>
      </c>
      <c r="AH279" s="22" t="n">
        <f aca="false">INDEX($G$7:$G$25,MATCH(A279,$A$7:$A$25,0))</f>
        <v>16</v>
      </c>
      <c r="AI279" s="79" t="n">
        <f aca="false">IF(OR(Q279="No",LEFT(H279,7)="IV only"),"",AH279*1000+IF(F279="",900+COUNTIFS($A$29:A279,A279,$H$29:H279,"Price*"),F279))</f>
        <v>16001</v>
      </c>
      <c r="AJ279" s="79" t="n">
        <f aca="false">IF(H279&lt;&gt;"","",(4-VALUE(RIGHT(E279,1)))*10^7+N(O279))</f>
        <v>20016359.3</v>
      </c>
      <c r="AK279" s="20" t="n">
        <f aca="false">IF(AND(H279="",ISNUMBER(I279)),I279,"")</f>
        <v>6.38</v>
      </c>
      <c r="AL279" s="21" t="n">
        <f aca="false">IF(H279="",M279,"")</f>
        <v>581</v>
      </c>
    </row>
    <row r="280" customFormat="false" ht="41.75" hidden="false" customHeight="false" outlineLevel="0" collapsed="false">
      <c r="A280" s="16" t="s">
        <v>238</v>
      </c>
      <c r="B280" s="16" t="s">
        <v>278</v>
      </c>
      <c r="C280" s="17" t="s">
        <v>354</v>
      </c>
      <c r="D280" s="17" t="s">
        <v>280</v>
      </c>
      <c r="E280" s="15" t="str">
        <f aca="false">IF(H280&lt;&gt;"",IF(LEFT(H280,5)="Price","Excluded – price ≤ USD 5","Excluded – IV only"),IF(ISNUMBER(I280),IF(AND(I280&gt;=$C$3,M280&gt;=$E$3),"Priority 1",IF(OR(I280&gt;=$C$3,M280&gt;=$E$3),"Priority 2","Priority 3")),IF(M280&gt;=$E$3,"Priority 2","Priority 3")))</f>
        <v>Priority 2</v>
      </c>
      <c r="F280" s="15" t="n">
        <f aca="false">IF(H280&lt;&gt;"","",COUNTIFS($A$29:$A$361,A280,$H$29:$H$361,"",$AJ$29:$AJ$361,"&gt;"&amp;AJ280)+COUNTIFS($A$29:A280,A280,$H$29:H280,"",$AJ$29:AJ280,AJ280))</f>
        <v>2</v>
      </c>
      <c r="G280" s="17" t="str">
        <f aca="false">IF(H280&lt;&gt;"","",IF(ISNUMBER(I280),IF(I280&gt;=$C$3,"High price","Lower price"),"No price")&amp;", "&amp;IF(M280&gt;=$E$3,"high volume","lower volume"))</f>
        <v>High price, lower volume</v>
      </c>
      <c r="H280" s="17" t="str">
        <f aca="false">IF(Q280="No","IV only (no ID, IM or SC route)",IF(AND(AE280&gt;0,AF280=0),"Price ≤ USD 5",""))</f>
        <v/>
      </c>
      <c r="I280" s="18" t="n">
        <f aca="false">IF(AF280&gt;0,ROUND(AVERAGEIFS('Shortlisted Drugs X Company (7)'!$N$3:$N$698,'Shortlisted Drugs X Company (7)'!$C$3:$C$698,$B280,'Shortlisted Drugs X Company (7)'!$E$3:$E$698,$AA280,'Shortlisted Drugs X Company (7)'!$N$3:$N$698,"&gt;5"),2),"")</f>
        <v>30.01</v>
      </c>
      <c r="J280" s="17" t="str">
        <f aca="false">IF(COUNTIFS('Shortlisted Drugs X Company (7)'!$C$3:$C$698,$B280,'Shortlisted Drugs X Company (7)'!$E$3:$E$698,$AA280,'Shortlisted Drugs X Company (7)'!$P$3:$P$698,"Exact")&gt;0,"Exact",IF(COUNTIFS('Shortlisted Drugs X Company (7)'!$C$3:$C$698,$B280,'Shortlisted Drugs X Company (7)'!$E$3:$E$698,$AA280,'Shortlisted Drugs X Company (7)'!$P$3:$P$698,"Same-market proxy")&gt;0,"Same-market proxy",IF(COUNTIFS('Shortlisted Drugs X Company (7)'!$C$3:$C$698,$B280,'Shortlisted Drugs X Company (7)'!$E$3:$E$698,$AA280,'Shortlisted Drugs X Company (7)'!$P$3:$P$698,"Cross-market proxy")&gt;0,"Cross-market proxy",IF(COUNTIFS('Shortlisted Drugs X Company (7)'!$C$3:$C$698,$B280,'Shortlisted Drugs X Company (7)'!$E$3:$E$698,$AA280,'Shortlisted Drugs X Company (7)'!$P$3:$P$698,"Source not found")&gt;0,"Source not found","No price found"))))</f>
        <v>Same-market proxy</v>
      </c>
      <c r="K280" s="19" t="n">
        <f aca="false">IFERROR(INDEX('Injectable Value'!$AB$28:$AB$178,MATCH(B280,'Injectable Value'!$A$28:$A$178,0)),"")</f>
        <v>156</v>
      </c>
      <c r="L280" s="77" t="n">
        <f aca="false">IFERROR(INDEX('Injectable Value'!$Z$28:$Z$178,MATCH(B280,'Injectable Value'!$A$28:$A$178,0)),"")</f>
        <v>0.916666666666667</v>
      </c>
      <c r="M280" s="19" t="n">
        <f aca="false">IFERROR(INDEX('Injectable Value'!$AC$28:$AC$178,MATCH(B280,'Injectable Value'!$A$28:$A$178,0)),"")</f>
        <v>143</v>
      </c>
      <c r="N280" s="19" t="n">
        <f aca="false">IFERROR(INDEX('Injectable Value'!$C$28:$C$178,MATCH(B280,'Injectable Value'!$A$28:$A$178,0)),"")</f>
        <v>3954.83</v>
      </c>
      <c r="O280" s="19" t="n">
        <f aca="false">IFERROR(ROUND(INDEX('Injectable Value'!$AA$28:$AA$178,MATCH(B280,'Injectable Value'!$A$28:$A$178,0)),1),"")</f>
        <v>3625.3</v>
      </c>
      <c r="P280" s="16" t="str">
        <f aca="false">IFERROR(INDEX('Route of Administration'!$C$5:$C$155,MATCH(B280,'Route of Administration'!$A$5:$A$155,0)),"")</f>
        <v>IM</v>
      </c>
      <c r="Q280" s="15" t="str">
        <f aca="false">IFERROR(INDEX('Route of Administration'!$D$5:$D$155,MATCH(B280,'Route of Administration'!$A$5:$A$155,0)),"")</f>
        <v>Yes</v>
      </c>
      <c r="R280" s="16" t="s">
        <v>281</v>
      </c>
      <c r="S280" s="17" t="s">
        <v>282</v>
      </c>
      <c r="T280" s="16" t="s">
        <v>283</v>
      </c>
      <c r="U280" s="17" t="str">
        <f aca="false">""&amp;IF(AE280=0,"No price found","")&amp;IF(AND(AE280&gt;0,AF280=0,AG280=0),"Low price comes from another market – confirm with the company","")</f>
        <v/>
      </c>
      <c r="V280" s="17" t="s">
        <v>284</v>
      </c>
      <c r="W280" s="15" t="n">
        <v>1</v>
      </c>
      <c r="X280" s="17" t="s">
        <v>284</v>
      </c>
      <c r="Y280" s="17" t="s">
        <v>284</v>
      </c>
      <c r="Z280" s="17" t="s">
        <v>286</v>
      </c>
      <c r="AA280" s="16" t="s">
        <v>1280</v>
      </c>
      <c r="AB280" s="78" t="s">
        <v>288</v>
      </c>
      <c r="AC280" s="20" t="n">
        <f aca="false">IF(AE280&gt;0,ROUND(AVERAGEIFS('Shortlisted Drugs X Company (7)'!$N$3:$N$698,'Shortlisted Drugs X Company (7)'!$C$3:$C$698,$B280,'Shortlisted Drugs X Company (7)'!$E$3:$E$698,$AA280,'Shortlisted Drugs X Company (7)'!$N$3:$N$698,"&gt;=0"),2),"")</f>
        <v>30.01</v>
      </c>
      <c r="AD280" s="79" t="str">
        <f aca="false">B280&amp;"|"&amp;AA280</f>
        <v>Carboprost|OneSource Specialty Pharma</v>
      </c>
      <c r="AE280" s="22" t="n">
        <f aca="false">COUNTIFS('Shortlisted Drugs X Company (7)'!$C$3:$C$698,$B280,'Shortlisted Drugs X Company (7)'!$E$3:$E$698,$AA280,'Shortlisted Drugs X Company (7)'!$N$3:$N$698,"&gt;=0")</f>
        <v>1</v>
      </c>
      <c r="AF280" s="22" t="n">
        <f aca="false">COUNTIFS('Shortlisted Drugs X Company (7)'!$C$3:$C$698,$B280,'Shortlisted Drugs X Company (7)'!$E$3:$E$698,$AA280,'Shortlisted Drugs X Company (7)'!$N$3:$N$698,"&gt;5")</f>
        <v>1</v>
      </c>
      <c r="AG280" s="22" t="n">
        <f aca="false">COUNTIFS('Shortlisted Drugs X Company (7)'!$C$3:$C$698,$B280,'Shortlisted Drugs X Company (7)'!$E$3:$E$698,$AA280,'Shortlisted Drugs X Company (7)'!$P$3:$P$698,"Exact")+COUNTIFS('Shortlisted Drugs X Company (7)'!$C$3:$C$698,$B280,'Shortlisted Drugs X Company (7)'!$E$3:$E$698,$AA280,'Shortlisted Drugs X Company (7)'!$P$3:$P$698,"Same-market proxy")</f>
        <v>1</v>
      </c>
      <c r="AH280" s="22" t="n">
        <f aca="false">INDEX($G$7:$G$25,MATCH(A280,$A$7:$A$25,0))</f>
        <v>16</v>
      </c>
      <c r="AI280" s="79" t="n">
        <f aca="false">IF(OR(Q280="No",LEFT(H280,7)="IV only"),"",AH280*1000+IF(F280="",900+COUNTIFS($A$29:A280,A280,$H$29:H280,"Price*"),F280))</f>
        <v>16002</v>
      </c>
      <c r="AJ280" s="79" t="n">
        <f aca="false">IF(H280&lt;&gt;"","",(4-VALUE(RIGHT(E280,1)))*10^7+N(O280))</f>
        <v>20003625.3</v>
      </c>
      <c r="AK280" s="20" t="n">
        <f aca="false">IF(AND(H280="",ISNUMBER(I280)),I280,"")</f>
        <v>30.01</v>
      </c>
      <c r="AL280" s="21" t="n">
        <f aca="false">IF(H280="",M280,"")</f>
        <v>143</v>
      </c>
    </row>
    <row r="281" customFormat="false" ht="68.65" hidden="false" customHeight="false" outlineLevel="0" collapsed="false">
      <c r="A281" s="16" t="s">
        <v>238</v>
      </c>
      <c r="B281" s="16" t="s">
        <v>483</v>
      </c>
      <c r="C281" s="17" t="s">
        <v>1281</v>
      </c>
      <c r="D281" s="17" t="s">
        <v>485</v>
      </c>
      <c r="E281" s="15" t="str">
        <f aca="false">IF(H281&lt;&gt;"",IF(LEFT(H281,5)="Price","Excluded – price ≤ USD 5","Excluded – IV only"),IF(ISNUMBER(I281),IF(AND(I281&gt;=$C$3,M281&gt;=$E$3),"Priority 1",IF(OR(I281&gt;=$C$3,M281&gt;=$E$3),"Priority 2","Priority 3")),IF(M281&gt;=$E$3,"Priority 2","Priority 3")))</f>
        <v>Excluded – IV only</v>
      </c>
      <c r="F281" s="15" t="str">
        <f aca="false">IF(H281&lt;&gt;"","",COUNTIFS($A$29:$A$361,A281,$H$29:$H$361,"",$AJ$29:$AJ$361,"&gt;"&amp;AJ281)+COUNTIFS($A$29:A281,A281,$H$29:H281,"",$AJ$29:AJ281,AJ281))</f>
        <v/>
      </c>
      <c r="G281" s="17" t="str">
        <f aca="false">IF(H281&lt;&gt;"","",IF(ISNUMBER(I281),IF(I281&gt;=$C$3,"High price","Lower price"),"No price")&amp;", "&amp;IF(M281&gt;=$E$3,"high volume","lower volume"))</f>
        <v/>
      </c>
      <c r="H281" s="17" t="str">
        <f aca="false">IF(Q281="No","IV only (no ID, IM or SC route)",IF(AND(AE281&gt;0,AF281=0),"Price ≤ USD 5",""))</f>
        <v>IV only (no ID, IM or SC route)</v>
      </c>
      <c r="I281" s="18" t="n">
        <f aca="false">IF(AF281&gt;0,ROUND(AVERAGEIFS('Shortlisted Drugs X Company (7)'!$N$3:$N$698,'Shortlisted Drugs X Company (7)'!$C$3:$C$698,$B281,'Shortlisted Drugs X Company (7)'!$E$3:$E$698,$AA281,'Shortlisted Drugs X Company (7)'!$N$3:$N$698,"&gt;5"),2),"")</f>
        <v>24.1</v>
      </c>
      <c r="J281" s="17" t="str">
        <f aca="false">IF(COUNTIFS('Shortlisted Drugs X Company (7)'!$C$3:$C$698,$B281,'Shortlisted Drugs X Company (7)'!$E$3:$E$698,$AA281,'Shortlisted Drugs X Company (7)'!$P$3:$P$698,"Exact")&gt;0,"Exact",IF(COUNTIFS('Shortlisted Drugs X Company (7)'!$C$3:$C$698,$B281,'Shortlisted Drugs X Company (7)'!$E$3:$E$698,$AA281,'Shortlisted Drugs X Company (7)'!$P$3:$P$698,"Same-market proxy")&gt;0,"Same-market proxy",IF(COUNTIFS('Shortlisted Drugs X Company (7)'!$C$3:$C$698,$B281,'Shortlisted Drugs X Company (7)'!$E$3:$E$698,$AA281,'Shortlisted Drugs X Company (7)'!$P$3:$P$698,"Cross-market proxy")&gt;0,"Cross-market proxy",IF(COUNTIFS('Shortlisted Drugs X Company (7)'!$C$3:$C$698,$B281,'Shortlisted Drugs X Company (7)'!$E$3:$E$698,$AA281,'Shortlisted Drugs X Company (7)'!$P$3:$P$698,"Source not found")&gt;0,"Source not found","No price found"))))</f>
        <v>Same-market proxy</v>
      </c>
      <c r="K281" s="19" t="n">
        <f aca="false">IFERROR(INDEX('Injectable Value'!$AB$28:$AB$178,MATCH(B281,'Injectable Value'!$A$28:$A$178,0)),"")</f>
        <v>1185</v>
      </c>
      <c r="L281" s="77" t="n">
        <f aca="false">IFERROR(INDEX('Injectable Value'!$Z$28:$Z$178,MATCH(B281,'Injectable Value'!$A$28:$A$178,0)),"")</f>
        <v>0.991808067465962</v>
      </c>
      <c r="M281" s="19" t="n">
        <f aca="false">IFERROR(INDEX('Injectable Value'!$AC$28:$AC$178,MATCH(B281,'Injectable Value'!$A$28:$A$178,0)),"")</f>
        <v>1175</v>
      </c>
      <c r="N281" s="19" t="n">
        <f aca="false">IFERROR(INDEX('Injectable Value'!$C$28:$C$178,MATCH(B281,'Injectable Value'!$A$28:$A$178,0)),"")</f>
        <v>59407.06</v>
      </c>
      <c r="O281" s="19" t="n">
        <f aca="false">IFERROR(ROUND(INDEX('Injectable Value'!$AA$28:$AA$178,MATCH(B281,'Injectable Value'!$A$28:$A$178,0)),1),"")</f>
        <v>58920.4</v>
      </c>
      <c r="P281" s="16" t="str">
        <f aca="false">IFERROR(INDEX('Route of Administration'!$C$5:$C$155,MATCH(B281,'Route of Administration'!$A$5:$A$155,0)),"")</f>
        <v>IV</v>
      </c>
      <c r="Q281" s="15" t="str">
        <f aca="false">IFERROR(INDEX('Route of Administration'!$D$5:$D$155,MATCH(B281,'Route of Administration'!$A$5:$A$155,0)),"")</f>
        <v>No</v>
      </c>
      <c r="R281" s="16" t="s">
        <v>281</v>
      </c>
      <c r="S281" s="17" t="s">
        <v>1282</v>
      </c>
      <c r="T281" s="16" t="s">
        <v>333</v>
      </c>
      <c r="U281" s="17" t="str">
        <f aca="false">"Reconstitution"&amp;IF(AE281=0,"; No price found","")&amp;IF(AND(AE281&gt;0,AF281=0,AG281=0),"; Low price comes from another market – confirm with the company","")</f>
        <v>Reconstitution</v>
      </c>
      <c r="V281" s="17" t="s">
        <v>1023</v>
      </c>
      <c r="W281" s="15" t="n">
        <v>23</v>
      </c>
      <c r="X281" s="17" t="s">
        <v>1283</v>
      </c>
      <c r="Y281" s="17" t="s">
        <v>1284</v>
      </c>
      <c r="Z281" s="17" t="s">
        <v>286</v>
      </c>
      <c r="AA281" s="16" t="s">
        <v>1280</v>
      </c>
      <c r="AB281" s="78" t="s">
        <v>490</v>
      </c>
      <c r="AC281" s="20" t="n">
        <f aca="false">IF(AE281&gt;0,ROUND(AVERAGEIFS('Shortlisted Drugs X Company (7)'!$N$3:$N$698,'Shortlisted Drugs X Company (7)'!$C$3:$C$698,$B281,'Shortlisted Drugs X Company (7)'!$E$3:$E$698,$AA281,'Shortlisted Drugs X Company (7)'!$N$3:$N$698,"&gt;=0"),2),"")</f>
        <v>24.1</v>
      </c>
      <c r="AD281" s="79" t="str">
        <f aca="false">B281&amp;"|"&amp;AA281</f>
        <v>Meropenem|OneSource Specialty Pharma</v>
      </c>
      <c r="AE281" s="22" t="n">
        <f aca="false">COUNTIFS('Shortlisted Drugs X Company (7)'!$C$3:$C$698,$B281,'Shortlisted Drugs X Company (7)'!$E$3:$E$698,$AA281,'Shortlisted Drugs X Company (7)'!$N$3:$N$698,"&gt;=0")</f>
        <v>3</v>
      </c>
      <c r="AF281" s="22" t="n">
        <f aca="false">COUNTIFS('Shortlisted Drugs X Company (7)'!$C$3:$C$698,$B281,'Shortlisted Drugs X Company (7)'!$E$3:$E$698,$AA281,'Shortlisted Drugs X Company (7)'!$N$3:$N$698,"&gt;5")</f>
        <v>3</v>
      </c>
      <c r="AG281" s="22" t="n">
        <f aca="false">COUNTIFS('Shortlisted Drugs X Company (7)'!$C$3:$C$698,$B281,'Shortlisted Drugs X Company (7)'!$E$3:$E$698,$AA281,'Shortlisted Drugs X Company (7)'!$P$3:$P$698,"Exact")+COUNTIFS('Shortlisted Drugs X Company (7)'!$C$3:$C$698,$B281,'Shortlisted Drugs X Company (7)'!$E$3:$E$698,$AA281,'Shortlisted Drugs X Company (7)'!$P$3:$P$698,"Same-market proxy")</f>
        <v>3</v>
      </c>
      <c r="AH281" s="22" t="n">
        <f aca="false">INDEX($G$7:$G$25,MATCH(A281,$A$7:$A$25,0))</f>
        <v>16</v>
      </c>
      <c r="AI281" s="79" t="str">
        <f aca="false">IF(OR(Q281="No",LEFT(H281,7)="IV only"),"",AH281*1000+IF(F281="",900+COUNTIFS($A$29:A281,A281,$H$29:H281,"Price*"),F281))</f>
        <v/>
      </c>
      <c r="AJ281" s="79" t="str">
        <f aca="false">IF(H281&lt;&gt;"","",(4-VALUE(RIGHT(E281,1)))*10^7+N(O281))</f>
        <v/>
      </c>
      <c r="AK281" s="79" t="str">
        <f aca="false">IF(AND(H281="",ISNUMBER(I281)),I281,"")</f>
        <v/>
      </c>
      <c r="AL281" s="79" t="str">
        <f aca="false">IF(H281="",M281,"")</f>
        <v/>
      </c>
    </row>
    <row r="282" customFormat="false" ht="28.35" hidden="false" customHeight="false" outlineLevel="0" collapsed="false">
      <c r="A282" s="16" t="s">
        <v>238</v>
      </c>
      <c r="B282" s="16" t="s">
        <v>1285</v>
      </c>
      <c r="C282" s="17" t="s">
        <v>1286</v>
      </c>
      <c r="D282" s="17" t="s">
        <v>1287</v>
      </c>
      <c r="E282" s="15" t="str">
        <f aca="false">IF(H282&lt;&gt;"",IF(LEFT(H282,5)="Price","Excluded – price ≤ USD 5","Excluded – IV only"),IF(ISNUMBER(I282),IF(AND(I282&gt;=$C$3,M282&gt;=$E$3),"Priority 1",IF(OR(I282&gt;=$C$3,M282&gt;=$E$3),"Priority 2","Priority 3")),IF(M282&gt;=$E$3,"Priority 2","Priority 3")))</f>
        <v>Priority 2</v>
      </c>
      <c r="F282" s="15" t="n">
        <f aca="false">IF(H282&lt;&gt;"","",COUNTIFS($A$29:$A$361,A282,$H$29:$H$361,"",$AJ$29:$AJ$361,"&gt;"&amp;AJ282)+COUNTIFS($A$29:A282,A282,$H$29:H282,"",$AJ$29:AJ282,AJ282))</f>
        <v>3</v>
      </c>
      <c r="G282" s="17" t="str">
        <f aca="false">IF(H282&lt;&gt;"","",IF(ISNUMBER(I282),IF(I282&gt;=$C$3,"High price","Lower price"),"No price")&amp;", "&amp;IF(M282&gt;=$E$3,"high volume","lower volume"))</f>
        <v>High price, lower volume</v>
      </c>
      <c r="H282" s="17" t="str">
        <f aca="false">IF(Q282="No","IV only (no ID, IM or SC route)",IF(AND(AE282&gt;0,AF282=0),"Price ≤ USD 5",""))</f>
        <v/>
      </c>
      <c r="I282" s="18" t="n">
        <f aca="false">IF(AF282&gt;0,ROUND(AVERAGEIFS('Shortlisted Drugs X Company (7)'!$N$3:$N$698,'Shortlisted Drugs X Company (7)'!$C$3:$C$698,$B282,'Shortlisted Drugs X Company (7)'!$E$3:$E$698,$AA282,'Shortlisted Drugs X Company (7)'!$N$3:$N$698,"&gt;5"),2),"")</f>
        <v>54.62</v>
      </c>
      <c r="J282" s="17" t="str">
        <f aca="false">IF(COUNTIFS('Shortlisted Drugs X Company (7)'!$C$3:$C$698,$B282,'Shortlisted Drugs X Company (7)'!$E$3:$E$698,$AA282,'Shortlisted Drugs X Company (7)'!$P$3:$P$698,"Exact")&gt;0,"Exact",IF(COUNTIFS('Shortlisted Drugs X Company (7)'!$C$3:$C$698,$B282,'Shortlisted Drugs X Company (7)'!$E$3:$E$698,$AA282,'Shortlisted Drugs X Company (7)'!$P$3:$P$698,"Same-market proxy")&gt;0,"Same-market proxy",IF(COUNTIFS('Shortlisted Drugs X Company (7)'!$C$3:$C$698,$B282,'Shortlisted Drugs X Company (7)'!$E$3:$E$698,$AA282,'Shortlisted Drugs X Company (7)'!$P$3:$P$698,"Cross-market proxy")&gt;0,"Cross-market proxy",IF(COUNTIFS('Shortlisted Drugs X Company (7)'!$C$3:$C$698,$B282,'Shortlisted Drugs X Company (7)'!$E$3:$E$698,$AA282,'Shortlisted Drugs X Company (7)'!$P$3:$P$698,"Source not found")&gt;0,"Source not found","No price found"))))</f>
        <v>Same-market proxy</v>
      </c>
      <c r="K282" s="19" t="n">
        <f aca="false">IFERROR(INDEX('Injectable Value'!$AB$28:$AB$178,MATCH(B282,'Injectable Value'!$A$28:$A$178,0)),"")</f>
        <v>2</v>
      </c>
      <c r="L282" s="77" t="n">
        <f aca="false">IFERROR(INDEX('Injectable Value'!$Z$28:$Z$178,MATCH(B282,'Injectable Value'!$A$28:$A$178,0)),"")</f>
        <v>1</v>
      </c>
      <c r="M282" s="19" t="n">
        <f aca="false">IFERROR(INDEX('Injectable Value'!$AC$28:$AC$178,MATCH(B282,'Injectable Value'!$A$28:$A$178,0)),"")</f>
        <v>2</v>
      </c>
      <c r="N282" s="19" t="n">
        <f aca="false">IFERROR(INDEX('Injectable Value'!$C$28:$C$178,MATCH(B282,'Injectable Value'!$A$28:$A$178,0)),"")</f>
        <v>117.07</v>
      </c>
      <c r="O282" s="19" t="n">
        <f aca="false">IFERROR(ROUND(INDEX('Injectable Value'!$AA$28:$AA$178,MATCH(B282,'Injectable Value'!$A$28:$A$178,0)),1),"")</f>
        <v>117.1</v>
      </c>
      <c r="P282" s="16" t="str">
        <f aca="false">IFERROR(INDEX('Route of Administration'!$C$5:$C$155,MATCH(B282,'Route of Administration'!$A$5:$A$155,0)),"")</f>
        <v>IV, IM</v>
      </c>
      <c r="Q282" s="15" t="str">
        <f aca="false">IFERROR(INDEX('Route of Administration'!$D$5:$D$155,MATCH(B282,'Route of Administration'!$A$5:$A$155,0)),"")</f>
        <v>Yes</v>
      </c>
      <c r="R282" s="16" t="s">
        <v>281</v>
      </c>
      <c r="S282" s="17" t="s">
        <v>1288</v>
      </c>
      <c r="T282" s="16" t="s">
        <v>310</v>
      </c>
      <c r="U282" s="17" t="str">
        <f aca="false">""&amp;IF(AE282=0,"No price found","")&amp;IF(AND(AE282&gt;0,AF282=0,AG282=0),"Low price comes from another market – confirm with the company","")</f>
        <v/>
      </c>
      <c r="V282" s="17" t="s">
        <v>284</v>
      </c>
      <c r="W282" s="15" t="n">
        <v>1</v>
      </c>
      <c r="X282" s="17" t="s">
        <v>284</v>
      </c>
      <c r="Y282" s="17" t="s">
        <v>284</v>
      </c>
      <c r="Z282" s="17" t="s">
        <v>321</v>
      </c>
      <c r="AA282" s="16" t="s">
        <v>1280</v>
      </c>
      <c r="AB282" s="78" t="s">
        <v>1289</v>
      </c>
      <c r="AC282" s="20" t="n">
        <f aca="false">IF(AE282&gt;0,ROUND(AVERAGEIFS('Shortlisted Drugs X Company (7)'!$N$3:$N$698,'Shortlisted Drugs X Company (7)'!$C$3:$C$698,$B282,'Shortlisted Drugs X Company (7)'!$E$3:$E$698,$AA282,'Shortlisted Drugs X Company (7)'!$N$3:$N$698,"&gt;=0"),2),"")</f>
        <v>54.62</v>
      </c>
      <c r="AD282" s="79" t="str">
        <f aca="false">B282&amp;"|"&amp;AA282</f>
        <v>Methohexital|OneSource Specialty Pharma</v>
      </c>
      <c r="AE282" s="22" t="n">
        <f aca="false">COUNTIFS('Shortlisted Drugs X Company (7)'!$C$3:$C$698,$B282,'Shortlisted Drugs X Company (7)'!$E$3:$E$698,$AA282,'Shortlisted Drugs X Company (7)'!$N$3:$N$698,"&gt;=0")</f>
        <v>1</v>
      </c>
      <c r="AF282" s="22" t="n">
        <f aca="false">COUNTIFS('Shortlisted Drugs X Company (7)'!$C$3:$C$698,$B282,'Shortlisted Drugs X Company (7)'!$E$3:$E$698,$AA282,'Shortlisted Drugs X Company (7)'!$N$3:$N$698,"&gt;5")</f>
        <v>1</v>
      </c>
      <c r="AG282" s="22" t="n">
        <f aca="false">COUNTIFS('Shortlisted Drugs X Company (7)'!$C$3:$C$698,$B282,'Shortlisted Drugs X Company (7)'!$E$3:$E$698,$AA282,'Shortlisted Drugs X Company (7)'!$P$3:$P$698,"Exact")+COUNTIFS('Shortlisted Drugs X Company (7)'!$C$3:$C$698,$B282,'Shortlisted Drugs X Company (7)'!$E$3:$E$698,$AA282,'Shortlisted Drugs X Company (7)'!$P$3:$P$698,"Same-market proxy")</f>
        <v>1</v>
      </c>
      <c r="AH282" s="22" t="n">
        <f aca="false">INDEX($G$7:$G$25,MATCH(A282,$A$7:$A$25,0))</f>
        <v>16</v>
      </c>
      <c r="AI282" s="79" t="n">
        <f aca="false">IF(OR(Q282="No",LEFT(H282,7)="IV only"),"",AH282*1000+IF(F282="",900+COUNTIFS($A$29:A282,A282,$H$29:H282,"Price*"),F282))</f>
        <v>16003</v>
      </c>
      <c r="AJ282" s="79" t="n">
        <f aca="false">IF(H282&lt;&gt;"","",(4-VALUE(RIGHT(E282,1)))*10^7+N(O282))</f>
        <v>20000117.1</v>
      </c>
      <c r="AK282" s="20" t="n">
        <f aca="false">IF(AND(H282="",ISNUMBER(I282)),I282,"")</f>
        <v>54.62</v>
      </c>
      <c r="AL282" s="21" t="n">
        <f aca="false">IF(H282="",M282,"")</f>
        <v>2</v>
      </c>
    </row>
    <row r="283" customFormat="false" ht="28.35" hidden="false" customHeight="false" outlineLevel="0" collapsed="false">
      <c r="A283" s="16" t="s">
        <v>238</v>
      </c>
      <c r="B283" s="16" t="s">
        <v>507</v>
      </c>
      <c r="C283" s="17" t="s">
        <v>508</v>
      </c>
      <c r="D283" s="17" t="s">
        <v>509</v>
      </c>
      <c r="E283" s="15" t="str">
        <f aca="false">IF(H283&lt;&gt;"",IF(LEFT(H283,5)="Price","Excluded – price ≤ USD 5","Excluded – IV only"),IF(ISNUMBER(I283),IF(AND(I283&gt;=$C$3,M283&gt;=$E$3),"Priority 1",IF(OR(I283&gt;=$C$3,M283&gt;=$E$3),"Priority 2","Priority 3")),IF(M283&gt;=$E$3,"Priority 2","Priority 3")))</f>
        <v>Priority 3</v>
      </c>
      <c r="F283" s="15" t="n">
        <f aca="false">IF(H283&lt;&gt;"","",COUNTIFS($A$29:$A$361,A283,$H$29:$H$361,"",$AJ$29:$AJ$361,"&gt;"&amp;AJ283)+COUNTIFS($A$29:A283,A283,$H$29:H283,"",$AJ$29:AJ283,AJ283))</f>
        <v>4</v>
      </c>
      <c r="G283" s="17" t="str">
        <f aca="false">IF(H283&lt;&gt;"","",IF(ISNUMBER(I283),IF(I283&gt;=$C$3,"High price","Lower price"),"No price")&amp;", "&amp;IF(M283&gt;=$E$3,"high volume","lower volume"))</f>
        <v>Lower price, lower volume</v>
      </c>
      <c r="H283" s="17" t="str">
        <f aca="false">IF(Q283="No","IV only (no ID, IM or SC route)",IF(AND(AE283&gt;0,AF283=0),"Price ≤ USD 5",""))</f>
        <v/>
      </c>
      <c r="I283" s="18" t="n">
        <f aca="false">IF(AF283&gt;0,ROUND(AVERAGEIFS('Shortlisted Drugs X Company (7)'!$N$3:$N$698,'Shortlisted Drugs X Company (7)'!$C$3:$C$698,$B283,'Shortlisted Drugs X Company (7)'!$E$3:$E$698,$AA283,'Shortlisted Drugs X Company (7)'!$N$3:$N$698,"&gt;5"),2),"")</f>
        <v>7.41</v>
      </c>
      <c r="J283" s="17" t="str">
        <f aca="false">IF(COUNTIFS('Shortlisted Drugs X Company (7)'!$C$3:$C$698,$B283,'Shortlisted Drugs X Company (7)'!$E$3:$E$698,$AA283,'Shortlisted Drugs X Company (7)'!$P$3:$P$698,"Exact")&gt;0,"Exact",IF(COUNTIFS('Shortlisted Drugs X Company (7)'!$C$3:$C$698,$B283,'Shortlisted Drugs X Company (7)'!$E$3:$E$698,$AA283,'Shortlisted Drugs X Company (7)'!$P$3:$P$698,"Same-market proxy")&gt;0,"Same-market proxy",IF(COUNTIFS('Shortlisted Drugs X Company (7)'!$C$3:$C$698,$B283,'Shortlisted Drugs X Company (7)'!$E$3:$E$698,$AA283,'Shortlisted Drugs X Company (7)'!$P$3:$P$698,"Cross-market proxy")&gt;0,"Cross-market proxy",IF(COUNTIFS('Shortlisted Drugs X Company (7)'!$C$3:$C$698,$B283,'Shortlisted Drugs X Company (7)'!$E$3:$E$698,$AA283,'Shortlisted Drugs X Company (7)'!$P$3:$P$698,"Source not found")&gt;0,"Source not found","No price found"))))</f>
        <v>Same-market proxy</v>
      </c>
      <c r="K283" s="19" t="n">
        <f aca="false">IFERROR(INDEX('Injectable Value'!$AB$28:$AB$178,MATCH(B283,'Injectable Value'!$A$28:$A$178,0)),"")</f>
        <v>4</v>
      </c>
      <c r="L283" s="77" t="n">
        <f aca="false">IFERROR(INDEX('Injectable Value'!$Z$28:$Z$178,MATCH(B283,'Injectable Value'!$A$28:$A$178,0)),"")</f>
        <v>1</v>
      </c>
      <c r="M283" s="19" t="n">
        <f aca="false">IFERROR(INDEX('Injectable Value'!$AC$28:$AC$178,MATCH(B283,'Injectable Value'!$A$28:$A$178,0)),"")</f>
        <v>4</v>
      </c>
      <c r="N283" s="19" t="n">
        <f aca="false">IFERROR(INDEX('Injectable Value'!$C$28:$C$178,MATCH(B283,'Injectable Value'!$A$28:$A$178,0)),"")</f>
        <v>570.1</v>
      </c>
      <c r="O283" s="19" t="n">
        <f aca="false">IFERROR(ROUND(INDEX('Injectable Value'!$AA$28:$AA$178,MATCH(B283,'Injectable Value'!$A$28:$A$178,0)),1),"")</f>
        <v>570.1</v>
      </c>
      <c r="P283" s="16" t="str">
        <f aca="false">IFERROR(INDEX('Route of Administration'!$C$5:$C$155,MATCH(B283,'Route of Administration'!$A$5:$A$155,0)),"")</f>
        <v>IV, IM</v>
      </c>
      <c r="Q283" s="15" t="str">
        <f aca="false">IFERROR(INDEX('Route of Administration'!$D$5:$D$155,MATCH(B283,'Route of Administration'!$A$5:$A$155,0)),"")</f>
        <v>Yes</v>
      </c>
      <c r="R283" s="16" t="s">
        <v>281</v>
      </c>
      <c r="S283" s="17" t="s">
        <v>510</v>
      </c>
      <c r="T283" s="16" t="s">
        <v>333</v>
      </c>
      <c r="U283" s="17" t="str">
        <f aca="false">"Reconstitution"&amp;IF(AE283=0,"; No price found","")&amp;IF(AND(AE283&gt;0,AF283=0,AG283=0),"; Low price comes from another market – confirm with the company","")</f>
        <v>Reconstitution</v>
      </c>
      <c r="V283" s="17" t="s">
        <v>284</v>
      </c>
      <c r="W283" s="15" t="n">
        <v>1</v>
      </c>
      <c r="X283" s="17" t="s">
        <v>284</v>
      </c>
      <c r="Y283" s="17" t="s">
        <v>284</v>
      </c>
      <c r="Z283" s="17" t="s">
        <v>321</v>
      </c>
      <c r="AA283" s="16" t="s">
        <v>1280</v>
      </c>
      <c r="AB283" s="78" t="s">
        <v>511</v>
      </c>
      <c r="AC283" s="20" t="n">
        <f aca="false">IF(AE283&gt;0,ROUND(AVERAGEIFS('Shortlisted Drugs X Company (7)'!$N$3:$N$698,'Shortlisted Drugs X Company (7)'!$C$3:$C$698,$B283,'Shortlisted Drugs X Company (7)'!$E$3:$E$698,$AA283,'Shortlisted Drugs X Company (7)'!$N$3:$N$698,"&gt;=0"),2),"")</f>
        <v>7.41</v>
      </c>
      <c r="AD283" s="79" t="str">
        <f aca="false">B283&amp;"|"&amp;AA283</f>
        <v>Nafcillin|OneSource Specialty Pharma</v>
      </c>
      <c r="AE283" s="22" t="n">
        <f aca="false">COUNTIFS('Shortlisted Drugs X Company (7)'!$C$3:$C$698,$B283,'Shortlisted Drugs X Company (7)'!$E$3:$E$698,$AA283,'Shortlisted Drugs X Company (7)'!$N$3:$N$698,"&gt;=0")</f>
        <v>2</v>
      </c>
      <c r="AF283" s="22" t="n">
        <f aca="false">COUNTIFS('Shortlisted Drugs X Company (7)'!$C$3:$C$698,$B283,'Shortlisted Drugs X Company (7)'!$E$3:$E$698,$AA283,'Shortlisted Drugs X Company (7)'!$N$3:$N$698,"&gt;5")</f>
        <v>2</v>
      </c>
      <c r="AG283" s="22" t="n">
        <f aca="false">COUNTIFS('Shortlisted Drugs X Company (7)'!$C$3:$C$698,$B283,'Shortlisted Drugs X Company (7)'!$E$3:$E$698,$AA283,'Shortlisted Drugs X Company (7)'!$P$3:$P$698,"Exact")+COUNTIFS('Shortlisted Drugs X Company (7)'!$C$3:$C$698,$B283,'Shortlisted Drugs X Company (7)'!$E$3:$E$698,$AA283,'Shortlisted Drugs X Company (7)'!$P$3:$P$698,"Same-market proxy")</f>
        <v>2</v>
      </c>
      <c r="AH283" s="22" t="n">
        <f aca="false">INDEX($G$7:$G$25,MATCH(A283,$A$7:$A$25,0))</f>
        <v>16</v>
      </c>
      <c r="AI283" s="79" t="n">
        <f aca="false">IF(OR(Q283="No",LEFT(H283,7)="IV only"),"",AH283*1000+IF(F283="",900+COUNTIFS($A$29:A283,A283,$H$29:H283,"Price*"),F283))</f>
        <v>16004</v>
      </c>
      <c r="AJ283" s="79" t="n">
        <f aca="false">IF(H283&lt;&gt;"","",(4-VALUE(RIGHT(E283,1)))*10^7+N(O283))</f>
        <v>10000570.1</v>
      </c>
      <c r="AK283" s="20" t="n">
        <f aca="false">IF(AND(H283="",ISNUMBER(I283)),I283,"")</f>
        <v>7.41</v>
      </c>
      <c r="AL283" s="21" t="n">
        <f aca="false">IF(H283="",M283,"")</f>
        <v>4</v>
      </c>
    </row>
    <row r="284" customFormat="false" ht="55.2" hidden="false" customHeight="false" outlineLevel="0" collapsed="false">
      <c r="A284" s="16" t="s">
        <v>239</v>
      </c>
      <c r="B284" s="16" t="s">
        <v>1180</v>
      </c>
      <c r="C284" s="17" t="s">
        <v>1290</v>
      </c>
      <c r="D284" s="17" t="s">
        <v>1182</v>
      </c>
      <c r="E284" s="15" t="str">
        <f aca="false">IF(H284&lt;&gt;"",IF(LEFT(H284,5)="Price","Excluded – price ≤ USD 5","Excluded – IV only"),IF(ISNUMBER(I284),IF(AND(I284&gt;=$C$3,M284&gt;=$E$3),"Priority 1",IF(OR(I284&gt;=$C$3,M284&gt;=$E$3),"Priority 2","Priority 3")),IF(M284&gt;=$E$3,"Priority 2","Priority 3")))</f>
        <v>Excluded – IV only</v>
      </c>
      <c r="F284" s="15" t="str">
        <f aca="false">IF(H284&lt;&gt;"","",COUNTIFS($A$29:$A$361,A284,$H$29:$H$361,"",$AJ$29:$AJ$361,"&gt;"&amp;AJ284)+COUNTIFS($A$29:A284,A284,$H$29:H284,"",$AJ$29:AJ284,AJ284))</f>
        <v/>
      </c>
      <c r="G284" s="17" t="str">
        <f aca="false">IF(H284&lt;&gt;"","",IF(ISNUMBER(I284),IF(I284&gt;=$C$3,"High price","Lower price"),"No price")&amp;", "&amp;IF(M284&gt;=$E$3,"high volume","lower volume"))</f>
        <v/>
      </c>
      <c r="H284" s="17" t="str">
        <f aca="false">IF(Q284="No","IV only (no ID, IM or SC route)",IF(AND(AE284&gt;0,AF284=0),"Price ≤ USD 5",""))</f>
        <v>IV only (no ID, IM or SC route)</v>
      </c>
      <c r="I284" s="18" t="n">
        <f aca="false">IF(AF284&gt;0,ROUND(AVERAGEIFS('Shortlisted Drugs X Company (7)'!$N$3:$N$698,'Shortlisted Drugs X Company (7)'!$C$3:$C$698,$B284,'Shortlisted Drugs X Company (7)'!$E$3:$E$698,$AA284,'Shortlisted Drugs X Company (7)'!$N$3:$N$698,"&gt;5"),2),"")</f>
        <v>163.51</v>
      </c>
      <c r="J284" s="17" t="str">
        <f aca="false">IF(COUNTIFS('Shortlisted Drugs X Company (7)'!$C$3:$C$698,$B284,'Shortlisted Drugs X Company (7)'!$E$3:$E$698,$AA284,'Shortlisted Drugs X Company (7)'!$P$3:$P$698,"Exact")&gt;0,"Exact",IF(COUNTIFS('Shortlisted Drugs X Company (7)'!$C$3:$C$698,$B284,'Shortlisted Drugs X Company (7)'!$E$3:$E$698,$AA284,'Shortlisted Drugs X Company (7)'!$P$3:$P$698,"Same-market proxy")&gt;0,"Same-market proxy",IF(COUNTIFS('Shortlisted Drugs X Company (7)'!$C$3:$C$698,$B284,'Shortlisted Drugs X Company (7)'!$E$3:$E$698,$AA284,'Shortlisted Drugs X Company (7)'!$P$3:$P$698,"Cross-market proxy")&gt;0,"Cross-market proxy",IF(COUNTIFS('Shortlisted Drugs X Company (7)'!$C$3:$C$698,$B284,'Shortlisted Drugs X Company (7)'!$E$3:$E$698,$AA284,'Shortlisted Drugs X Company (7)'!$P$3:$P$698,"Source not found")&gt;0,"Source not found","No price found"))))</f>
        <v>Exact</v>
      </c>
      <c r="K284" s="19" t="n">
        <f aca="false">IFERROR(INDEX('Injectable Value'!$AB$28:$AB$178,MATCH(B284,'Injectable Value'!$A$28:$A$178,0)),"")</f>
        <v>1</v>
      </c>
      <c r="L284" s="77" t="n">
        <f aca="false">IFERROR(INDEX('Injectable Value'!$Z$28:$Z$178,MATCH(B284,'Injectable Value'!$A$28:$A$178,0)),"")</f>
        <v>0.952380952380952</v>
      </c>
      <c r="M284" s="19" t="n">
        <f aca="false">IFERROR(INDEX('Injectable Value'!$AC$28:$AC$178,MATCH(B284,'Injectable Value'!$A$28:$A$178,0)),"")</f>
        <v>1</v>
      </c>
      <c r="N284" s="19" t="n">
        <f aca="false">IFERROR(INDEX('Injectable Value'!$C$28:$C$178,MATCH(B284,'Injectable Value'!$A$28:$A$178,0)),"")</f>
        <v>15.02</v>
      </c>
      <c r="O284" s="19" t="n">
        <f aca="false">IFERROR(ROUND(INDEX('Injectable Value'!$AA$28:$AA$178,MATCH(B284,'Injectable Value'!$A$28:$A$178,0)),1),"")</f>
        <v>14.3</v>
      </c>
      <c r="P284" s="16" t="str">
        <f aca="false">IFERROR(INDEX('Route of Administration'!$C$5:$C$155,MATCH(B284,'Route of Administration'!$A$5:$A$155,0)),"")</f>
        <v>IV</v>
      </c>
      <c r="Q284" s="15" t="str">
        <f aca="false">IFERROR(INDEX('Route of Administration'!$D$5:$D$155,MATCH(B284,'Route of Administration'!$A$5:$A$155,0)),"")</f>
        <v>No</v>
      </c>
      <c r="R284" s="16" t="s">
        <v>349</v>
      </c>
      <c r="S284" s="17" t="s">
        <v>1291</v>
      </c>
      <c r="T284" s="16" t="s">
        <v>283</v>
      </c>
      <c r="U284" s="17" t="str">
        <f aca="false">""&amp;IF(AE284=0,"No price found","")&amp;IF(AND(AE284&gt;0,AF284=0,AG284=0),"Low price comes from another market – confirm with the company","")</f>
        <v/>
      </c>
      <c r="V284" s="17" t="s">
        <v>334</v>
      </c>
      <c r="W284" s="15" t="n">
        <v>19</v>
      </c>
      <c r="X284" s="17" t="s">
        <v>1292</v>
      </c>
      <c r="Y284" s="17" t="s">
        <v>1293</v>
      </c>
      <c r="Z284" s="17" t="s">
        <v>321</v>
      </c>
      <c r="AA284" s="16" t="s">
        <v>1294</v>
      </c>
      <c r="AB284" s="78" t="s">
        <v>1184</v>
      </c>
      <c r="AC284" s="20" t="n">
        <f aca="false">IF(AE284&gt;0,ROUND(AVERAGEIFS('Shortlisted Drugs X Company (7)'!$N$3:$N$698,'Shortlisted Drugs X Company (7)'!$C$3:$C$698,$B284,'Shortlisted Drugs X Company (7)'!$E$3:$E$698,$AA284,'Shortlisted Drugs X Company (7)'!$N$3:$N$698,"&gt;=0"),2),"")</f>
        <v>163.51</v>
      </c>
      <c r="AD284" s="79" t="str">
        <f aca="false">B284&amp;"|"&amp;AA284</f>
        <v>Alfentanil|Piramal Pharma</v>
      </c>
      <c r="AE284" s="22" t="n">
        <f aca="false">COUNTIFS('Shortlisted Drugs X Company (7)'!$C$3:$C$698,$B284,'Shortlisted Drugs X Company (7)'!$E$3:$E$698,$AA284,'Shortlisted Drugs X Company (7)'!$N$3:$N$698,"&gt;=0")</f>
        <v>4</v>
      </c>
      <c r="AF284" s="22" t="n">
        <f aca="false">COUNTIFS('Shortlisted Drugs X Company (7)'!$C$3:$C$698,$B284,'Shortlisted Drugs X Company (7)'!$E$3:$E$698,$AA284,'Shortlisted Drugs X Company (7)'!$N$3:$N$698,"&gt;5")</f>
        <v>4</v>
      </c>
      <c r="AG284" s="22" t="n">
        <f aca="false">COUNTIFS('Shortlisted Drugs X Company (7)'!$C$3:$C$698,$B284,'Shortlisted Drugs X Company (7)'!$E$3:$E$698,$AA284,'Shortlisted Drugs X Company (7)'!$P$3:$P$698,"Exact")+COUNTIFS('Shortlisted Drugs X Company (7)'!$C$3:$C$698,$B284,'Shortlisted Drugs X Company (7)'!$E$3:$E$698,$AA284,'Shortlisted Drugs X Company (7)'!$P$3:$P$698,"Same-market proxy")</f>
        <v>4</v>
      </c>
      <c r="AH284" s="22" t="n">
        <f aca="false">INDEX($G$7:$G$25,MATCH(A284,$A$7:$A$25,0))</f>
        <v>19</v>
      </c>
      <c r="AI284" s="79" t="str">
        <f aca="false">IF(OR(Q284="No",LEFT(H284,7)="IV only"),"",AH284*1000+IF(F284="",900+COUNTIFS($A$29:A284,A284,$H$29:H284,"Price*"),F284))</f>
        <v/>
      </c>
      <c r="AJ284" s="79" t="str">
        <f aca="false">IF(H284&lt;&gt;"","",(4-VALUE(RIGHT(E284,1)))*10^7+N(O284))</f>
        <v/>
      </c>
      <c r="AK284" s="79" t="str">
        <f aca="false">IF(AND(H284="",ISNUMBER(I284)),I284,"")</f>
        <v/>
      </c>
      <c r="AL284" s="79" t="str">
        <f aca="false">IF(H284="",M284,"")</f>
        <v/>
      </c>
    </row>
    <row r="285" customFormat="false" ht="41.75" hidden="false" customHeight="false" outlineLevel="0" collapsed="false">
      <c r="A285" s="16" t="s">
        <v>239</v>
      </c>
      <c r="B285" s="16" t="s">
        <v>1295</v>
      </c>
      <c r="C285" s="17" t="s">
        <v>1296</v>
      </c>
      <c r="D285" s="17" t="s">
        <v>1297</v>
      </c>
      <c r="E285" s="15" t="str">
        <f aca="false">IF(H285&lt;&gt;"",IF(LEFT(H285,5)="Price","Excluded – price ≤ USD 5","Excluded – IV only"),IF(ISNUMBER(I285),IF(AND(I285&gt;=$C$3,M285&gt;=$E$3),"Priority 1",IF(OR(I285&gt;=$C$3,M285&gt;=$E$3),"Priority 2","Priority 3")),IF(M285&gt;=$E$3,"Priority 2","Priority 3")))</f>
        <v>Excluded – IV only</v>
      </c>
      <c r="F285" s="15" t="str">
        <f aca="false">IF(H285&lt;&gt;"","",COUNTIFS($A$29:$A$361,A285,$H$29:$H$361,"",$AJ$29:$AJ$361,"&gt;"&amp;AJ285)+COUNTIFS($A$29:A285,A285,$H$29:H285,"",$AJ$29:AJ285,AJ285))</f>
        <v/>
      </c>
      <c r="G285" s="17" t="str">
        <f aca="false">IF(H285&lt;&gt;"","",IF(ISNUMBER(I285),IF(I285&gt;=$C$3,"High price","Lower price"),"No price")&amp;", "&amp;IF(M285&gt;=$E$3,"high volume","lower volume"))</f>
        <v/>
      </c>
      <c r="H285" s="17" t="str">
        <f aca="false">IF(Q285="No","IV only (no ID, IM or SC route)",IF(AND(AE285&gt;0,AF285=0),"Price ≤ USD 5",""))</f>
        <v>IV only (no ID, IM or SC route)</v>
      </c>
      <c r="I285" s="18" t="n">
        <f aca="false">IF(AF285&gt;0,ROUND(AVERAGEIFS('Shortlisted Drugs X Company (7)'!$N$3:$N$698,'Shortlisted Drugs X Company (7)'!$C$3:$C$698,$B285,'Shortlisted Drugs X Company (7)'!$E$3:$E$698,$AA285,'Shortlisted Drugs X Company (7)'!$N$3:$N$698,"&gt;5"),2),"")</f>
        <v>59.3</v>
      </c>
      <c r="J285" s="17" t="str">
        <f aca="false">IF(COUNTIFS('Shortlisted Drugs X Company (7)'!$C$3:$C$698,$B285,'Shortlisted Drugs X Company (7)'!$E$3:$E$698,$AA285,'Shortlisted Drugs X Company (7)'!$P$3:$P$698,"Exact")&gt;0,"Exact",IF(COUNTIFS('Shortlisted Drugs X Company (7)'!$C$3:$C$698,$B285,'Shortlisted Drugs X Company (7)'!$E$3:$E$698,$AA285,'Shortlisted Drugs X Company (7)'!$P$3:$P$698,"Same-market proxy")&gt;0,"Same-market proxy",IF(COUNTIFS('Shortlisted Drugs X Company (7)'!$C$3:$C$698,$B285,'Shortlisted Drugs X Company (7)'!$E$3:$E$698,$AA285,'Shortlisted Drugs X Company (7)'!$P$3:$P$698,"Cross-market proxy")&gt;0,"Cross-market proxy",IF(COUNTIFS('Shortlisted Drugs X Company (7)'!$C$3:$C$698,$B285,'Shortlisted Drugs X Company (7)'!$E$3:$E$698,$AA285,'Shortlisted Drugs X Company (7)'!$P$3:$P$698,"Source not found")&gt;0,"Source not found","No price found"))))</f>
        <v>Exact</v>
      </c>
      <c r="K285" s="19" t="n">
        <f aca="false">IFERROR(INDEX('Injectable Value'!$AB$28:$AB$178,MATCH(B285,'Injectable Value'!$A$28:$A$178,0)),"")</f>
        <v>858</v>
      </c>
      <c r="L285" s="77" t="n">
        <f aca="false">IFERROR(INDEX('Injectable Value'!$Z$28:$Z$178,MATCH(B285,'Injectable Value'!$A$28:$A$178,0)),"")</f>
        <v>0.372538609534506</v>
      </c>
      <c r="M285" s="19" t="n">
        <f aca="false">IFERROR(INDEX('Injectable Value'!$AC$28:$AC$178,MATCH(B285,'Injectable Value'!$A$28:$A$178,0)),"")</f>
        <v>320</v>
      </c>
      <c r="N285" s="19" t="n">
        <f aca="false">IFERROR(INDEX('Injectable Value'!$C$28:$C$178,MATCH(B285,'Injectable Value'!$A$28:$A$178,0)),"")</f>
        <v>13738.53</v>
      </c>
      <c r="O285" s="19" t="n">
        <f aca="false">IFERROR(ROUND(INDEX('Injectable Value'!$AA$28:$AA$178,MATCH(B285,'Injectable Value'!$A$28:$A$178,0)),1),"")</f>
        <v>5118.1</v>
      </c>
      <c r="P285" s="16" t="str">
        <f aca="false">IFERROR(INDEX('Route of Administration'!$C$5:$C$155,MATCH(B285,'Route of Administration'!$A$5:$A$155,0)),"")</f>
        <v>Intrathecal</v>
      </c>
      <c r="Q285" s="15" t="str">
        <f aca="false">IFERROR(INDEX('Route of Administration'!$D$5:$D$155,MATCH(B285,'Route of Administration'!$A$5:$A$155,0)),"")</f>
        <v>No</v>
      </c>
      <c r="R285" s="16" t="s">
        <v>291</v>
      </c>
      <c r="S285" s="17" t="s">
        <v>1298</v>
      </c>
      <c r="T285" s="16" t="s">
        <v>283</v>
      </c>
      <c r="U285" s="17" t="str">
        <f aca="false">"Prefilled only"&amp;IF(AE285=0,"; No price found","")&amp;IF(AND(AE285&gt;0,AF285=0,AG285=0),"; Low price comes from another market – confirm with the company","")</f>
        <v>Prefilled only</v>
      </c>
      <c r="V285" s="17" t="s">
        <v>342</v>
      </c>
      <c r="W285" s="15" t="n">
        <v>9</v>
      </c>
      <c r="X285" s="17" t="s">
        <v>1299</v>
      </c>
      <c r="Y285" s="17" t="s">
        <v>1299</v>
      </c>
      <c r="Z285" s="17" t="s">
        <v>293</v>
      </c>
      <c r="AA285" s="16" t="s">
        <v>1294</v>
      </c>
      <c r="AB285" s="78" t="s">
        <v>1300</v>
      </c>
      <c r="AC285" s="20" t="n">
        <f aca="false">IF(AE285&gt;0,ROUND(AVERAGEIFS('Shortlisted Drugs X Company (7)'!$N$3:$N$698,'Shortlisted Drugs X Company (7)'!$C$3:$C$698,$B285,'Shortlisted Drugs X Company (7)'!$E$3:$E$698,$AA285,'Shortlisted Drugs X Company (7)'!$N$3:$N$698,"&gt;=0"),2),"")</f>
        <v>59.3</v>
      </c>
      <c r="AD285" s="79" t="str">
        <f aca="false">B285&amp;"|"&amp;AA285</f>
        <v>Baclofen|Piramal Pharma</v>
      </c>
      <c r="AE285" s="22" t="n">
        <f aca="false">COUNTIFS('Shortlisted Drugs X Company (7)'!$C$3:$C$698,$B285,'Shortlisted Drugs X Company (7)'!$E$3:$E$698,$AA285,'Shortlisted Drugs X Company (7)'!$N$3:$N$698,"&gt;=0")</f>
        <v>1</v>
      </c>
      <c r="AF285" s="22" t="n">
        <f aca="false">COUNTIFS('Shortlisted Drugs X Company (7)'!$C$3:$C$698,$B285,'Shortlisted Drugs X Company (7)'!$E$3:$E$698,$AA285,'Shortlisted Drugs X Company (7)'!$N$3:$N$698,"&gt;5")</f>
        <v>1</v>
      </c>
      <c r="AG285" s="22" t="n">
        <f aca="false">COUNTIFS('Shortlisted Drugs X Company (7)'!$C$3:$C$698,$B285,'Shortlisted Drugs X Company (7)'!$E$3:$E$698,$AA285,'Shortlisted Drugs X Company (7)'!$P$3:$P$698,"Exact")+COUNTIFS('Shortlisted Drugs X Company (7)'!$C$3:$C$698,$B285,'Shortlisted Drugs X Company (7)'!$E$3:$E$698,$AA285,'Shortlisted Drugs X Company (7)'!$P$3:$P$698,"Same-market proxy")</f>
        <v>1</v>
      </c>
      <c r="AH285" s="22" t="n">
        <f aca="false">INDEX($G$7:$G$25,MATCH(A285,$A$7:$A$25,0))</f>
        <v>19</v>
      </c>
      <c r="AI285" s="79" t="str">
        <f aca="false">IF(OR(Q285="No",LEFT(H285,7)="IV only"),"",AH285*1000+IF(F285="",900+COUNTIFS($A$29:A285,A285,$H$29:H285,"Price*"),F285))</f>
        <v/>
      </c>
      <c r="AJ285" s="79" t="str">
        <f aca="false">IF(H285&lt;&gt;"","",(4-VALUE(RIGHT(E285,1)))*10^7+N(O285))</f>
        <v/>
      </c>
      <c r="AK285" s="79" t="str">
        <f aca="false">IF(AND(H285="",ISNUMBER(I285)),I285,"")</f>
        <v/>
      </c>
      <c r="AL285" s="79" t="str">
        <f aca="false">IF(H285="",M285,"")</f>
        <v/>
      </c>
    </row>
    <row r="286" customFormat="false" ht="28.35" hidden="false" customHeight="false" outlineLevel="0" collapsed="false">
      <c r="A286" s="16" t="s">
        <v>239</v>
      </c>
      <c r="B286" s="16" t="s">
        <v>967</v>
      </c>
      <c r="C286" s="17" t="s">
        <v>1301</v>
      </c>
      <c r="D286" s="17" t="s">
        <v>969</v>
      </c>
      <c r="E286" s="15" t="str">
        <f aca="false">IF(H286&lt;&gt;"",IF(LEFT(H286,5)="Price","Excluded – price ≤ USD 5","Excluded – IV only"),IF(ISNUMBER(I286),IF(AND(I286&gt;=$C$3,M286&gt;=$E$3),"Priority 1",IF(OR(I286&gt;=$C$3,M286&gt;=$E$3),"Priority 2","Priority 3")),IF(M286&gt;=$E$3,"Priority 2","Priority 3")))</f>
        <v>Excluded – IV only</v>
      </c>
      <c r="F286" s="15" t="str">
        <f aca="false">IF(H286&lt;&gt;"","",COUNTIFS($A$29:$A$361,A286,$H$29:$H$361,"",$AJ$29:$AJ$361,"&gt;"&amp;AJ286)+COUNTIFS($A$29:A286,A286,$H$29:H286,"",$AJ$29:AJ286,AJ286))</f>
        <v/>
      </c>
      <c r="G286" s="17" t="str">
        <f aca="false">IF(H286&lt;&gt;"","",IF(ISNUMBER(I286),IF(I286&gt;=$C$3,"High price","Lower price"),"No price")&amp;", "&amp;IF(M286&gt;=$E$3,"high volume","lower volume"))</f>
        <v/>
      </c>
      <c r="H286" s="17" t="str">
        <f aca="false">IF(Q286="No","IV only (no ID, IM or SC route)",IF(AND(AE286&gt;0,AF286=0),"Price ≤ USD 5",""))</f>
        <v>IV only (no ID, IM or SC route)</v>
      </c>
      <c r="I286" s="18" t="n">
        <f aca="false">IF(AF286&gt;0,ROUND(AVERAGEIFS('Shortlisted Drugs X Company (7)'!$N$3:$N$698,'Shortlisted Drugs X Company (7)'!$C$3:$C$698,$B286,'Shortlisted Drugs X Company (7)'!$E$3:$E$698,$AA286,'Shortlisted Drugs X Company (7)'!$N$3:$N$698,"&gt;5"),2),"")</f>
        <v>22.39</v>
      </c>
      <c r="J286" s="17" t="str">
        <f aca="false">IF(COUNTIFS('Shortlisted Drugs X Company (7)'!$C$3:$C$698,$B286,'Shortlisted Drugs X Company (7)'!$E$3:$E$698,$AA286,'Shortlisted Drugs X Company (7)'!$P$3:$P$698,"Exact")&gt;0,"Exact",IF(COUNTIFS('Shortlisted Drugs X Company (7)'!$C$3:$C$698,$B286,'Shortlisted Drugs X Company (7)'!$E$3:$E$698,$AA286,'Shortlisted Drugs X Company (7)'!$P$3:$P$698,"Same-market proxy")&gt;0,"Same-market proxy",IF(COUNTIFS('Shortlisted Drugs X Company (7)'!$C$3:$C$698,$B286,'Shortlisted Drugs X Company (7)'!$E$3:$E$698,$AA286,'Shortlisted Drugs X Company (7)'!$P$3:$P$698,"Cross-market proxy")&gt;0,"Cross-market proxy",IF(COUNTIFS('Shortlisted Drugs X Company (7)'!$C$3:$C$698,$B286,'Shortlisted Drugs X Company (7)'!$E$3:$E$698,$AA286,'Shortlisted Drugs X Company (7)'!$P$3:$P$698,"Source not found")&gt;0,"Source not found","No price found"))))</f>
        <v>Same-market proxy</v>
      </c>
      <c r="K286" s="19" t="n">
        <f aca="false">IFERROR(INDEX('Injectable Value'!$AB$28:$AB$178,MATCH(B286,'Injectable Value'!$A$28:$A$178,0)),"")</f>
        <v>117</v>
      </c>
      <c r="L286" s="77" t="n">
        <f aca="false">IFERROR(INDEX('Injectable Value'!$Z$28:$Z$178,MATCH(B286,'Injectable Value'!$A$28:$A$178,0)),"")</f>
        <v>1</v>
      </c>
      <c r="M286" s="19" t="n">
        <f aca="false">IFERROR(INDEX('Injectable Value'!$AC$28:$AC$178,MATCH(B286,'Injectable Value'!$A$28:$A$178,0)),"")</f>
        <v>117</v>
      </c>
      <c r="N286" s="19" t="n">
        <f aca="false">IFERROR(INDEX('Injectable Value'!$C$28:$C$178,MATCH(B286,'Injectable Value'!$A$28:$A$178,0)),"")</f>
        <v>2508.09</v>
      </c>
      <c r="O286" s="19" t="n">
        <f aca="false">IFERROR(ROUND(INDEX('Injectable Value'!$AA$28:$AA$178,MATCH(B286,'Injectable Value'!$A$28:$A$178,0)),1),"")</f>
        <v>2508.1</v>
      </c>
      <c r="P286" s="16" t="str">
        <f aca="false">IFERROR(INDEX('Route of Administration'!$C$5:$C$155,MATCH(B286,'Route of Administration'!$A$5:$A$155,0)),"")</f>
        <v>IV</v>
      </c>
      <c r="Q286" s="15" t="str">
        <f aca="false">IFERROR(INDEX('Route of Administration'!$D$5:$D$155,MATCH(B286,'Route of Administration'!$A$5:$A$155,0)),"")</f>
        <v>No</v>
      </c>
      <c r="R286" s="16" t="s">
        <v>281</v>
      </c>
      <c r="S286" s="17" t="s">
        <v>1302</v>
      </c>
      <c r="T286" s="16" t="s">
        <v>283</v>
      </c>
      <c r="U286" s="17" t="str">
        <f aca="false">""&amp;IF(AE286=0,"No price found","")&amp;IF(AND(AE286&gt;0,AF286=0,AG286=0),"Low price comes from another market – confirm with the company","")</f>
        <v/>
      </c>
      <c r="V286" s="17" t="s">
        <v>284</v>
      </c>
      <c r="W286" s="15" t="n">
        <v>1</v>
      </c>
      <c r="X286" s="17" t="s">
        <v>284</v>
      </c>
      <c r="Y286" s="17" t="s">
        <v>284</v>
      </c>
      <c r="Z286" s="17" t="s">
        <v>286</v>
      </c>
      <c r="AA286" s="16" t="s">
        <v>1294</v>
      </c>
      <c r="AB286" s="78" t="s">
        <v>974</v>
      </c>
      <c r="AC286" s="20" t="n">
        <f aca="false">IF(AE286&gt;0,ROUND(AVERAGEIFS('Shortlisted Drugs X Company (7)'!$N$3:$N$698,'Shortlisted Drugs X Company (7)'!$C$3:$C$698,$B286,'Shortlisted Drugs X Company (7)'!$E$3:$E$698,$AA286,'Shortlisted Drugs X Company (7)'!$N$3:$N$698,"&gt;=0"),2),"")</f>
        <v>22.39</v>
      </c>
      <c r="AD286" s="79" t="str">
        <f aca="false">B286&amp;"|"&amp;AA286</f>
        <v>Cisatracurium|Piramal Pharma</v>
      </c>
      <c r="AE286" s="22" t="n">
        <f aca="false">COUNTIFS('Shortlisted Drugs X Company (7)'!$C$3:$C$698,$B286,'Shortlisted Drugs X Company (7)'!$E$3:$E$698,$AA286,'Shortlisted Drugs X Company (7)'!$N$3:$N$698,"&gt;=0")</f>
        <v>2</v>
      </c>
      <c r="AF286" s="22" t="n">
        <f aca="false">COUNTIFS('Shortlisted Drugs X Company (7)'!$C$3:$C$698,$B286,'Shortlisted Drugs X Company (7)'!$E$3:$E$698,$AA286,'Shortlisted Drugs X Company (7)'!$N$3:$N$698,"&gt;5")</f>
        <v>2</v>
      </c>
      <c r="AG286" s="22" t="n">
        <f aca="false">COUNTIFS('Shortlisted Drugs X Company (7)'!$C$3:$C$698,$B286,'Shortlisted Drugs X Company (7)'!$E$3:$E$698,$AA286,'Shortlisted Drugs X Company (7)'!$P$3:$P$698,"Exact")+COUNTIFS('Shortlisted Drugs X Company (7)'!$C$3:$C$698,$B286,'Shortlisted Drugs X Company (7)'!$E$3:$E$698,$AA286,'Shortlisted Drugs X Company (7)'!$P$3:$P$698,"Same-market proxy")</f>
        <v>2</v>
      </c>
      <c r="AH286" s="22" t="n">
        <f aca="false">INDEX($G$7:$G$25,MATCH(A286,$A$7:$A$25,0))</f>
        <v>19</v>
      </c>
      <c r="AI286" s="79" t="str">
        <f aca="false">IF(OR(Q286="No",LEFT(H286,7)="IV only"),"",AH286*1000+IF(F286="",900+COUNTIFS($A$29:A286,A286,$H$29:H286,"Price*"),F286))</f>
        <v/>
      </c>
      <c r="AJ286" s="79" t="str">
        <f aca="false">IF(H286&lt;&gt;"","",(4-VALUE(RIGHT(E286,1)))*10^7+N(O286))</f>
        <v/>
      </c>
      <c r="AK286" s="79" t="str">
        <f aca="false">IF(AND(H286="",ISNUMBER(I286)),I286,"")</f>
        <v/>
      </c>
      <c r="AL286" s="79" t="str">
        <f aca="false">IF(H286="",M286,"")</f>
        <v/>
      </c>
    </row>
    <row r="287" customFormat="false" ht="41.75" hidden="false" customHeight="false" outlineLevel="0" collapsed="false">
      <c r="A287" s="16" t="s">
        <v>239</v>
      </c>
      <c r="B287" s="16" t="s">
        <v>1303</v>
      </c>
      <c r="C287" s="17" t="s">
        <v>1304</v>
      </c>
      <c r="D287" s="17" t="s">
        <v>1305</v>
      </c>
      <c r="E287" s="15" t="str">
        <f aca="false">IF(H287&lt;&gt;"",IF(LEFT(H287,5)="Price","Excluded – price ≤ USD 5","Excluded – IV only"),IF(ISNUMBER(I287),IF(AND(I287&gt;=$C$3,M287&gt;=$E$3),"Priority 1",IF(OR(I287&gt;=$C$3,M287&gt;=$E$3),"Priority 2","Priority 3")),IF(M287&gt;=$E$3,"Priority 2","Priority 3")))</f>
        <v>Excluded – IV only</v>
      </c>
      <c r="F287" s="15" t="str">
        <f aca="false">IF(H287&lt;&gt;"","",COUNTIFS($A$29:$A$361,A287,$H$29:$H$361,"",$AJ$29:$AJ$361,"&gt;"&amp;AJ287)+COUNTIFS($A$29:A287,A287,$H$29:H287,"",$AJ$29:AJ287,AJ287))</f>
        <v/>
      </c>
      <c r="G287" s="17" t="str">
        <f aca="false">IF(H287&lt;&gt;"","",IF(ISNUMBER(I287),IF(I287&gt;=$C$3,"High price","Lower price"),"No price")&amp;", "&amp;IF(M287&gt;=$E$3,"high volume","lower volume"))</f>
        <v/>
      </c>
      <c r="H287" s="17" t="str">
        <f aca="false">IF(Q287="No","IV only (no ID, IM or SC route)",IF(AND(AE287&gt;0,AF287=0),"Price ≤ USD 5",""))</f>
        <v>IV only (no ID, IM or SC route)</v>
      </c>
      <c r="I287" s="18" t="n">
        <f aca="false">IF(AF287&gt;0,ROUND(AVERAGEIFS('Shortlisted Drugs X Company (7)'!$N$3:$N$698,'Shortlisted Drugs X Company (7)'!$C$3:$C$698,$B287,'Shortlisted Drugs X Company (7)'!$E$3:$E$698,$AA287,'Shortlisted Drugs X Company (7)'!$N$3:$N$698,"&gt;5"),2),"")</f>
        <v>8.71</v>
      </c>
      <c r="J287" s="17" t="str">
        <f aca="false">IF(COUNTIFS('Shortlisted Drugs X Company (7)'!$C$3:$C$698,$B287,'Shortlisted Drugs X Company (7)'!$E$3:$E$698,$AA287,'Shortlisted Drugs X Company (7)'!$P$3:$P$698,"Exact")&gt;0,"Exact",IF(COUNTIFS('Shortlisted Drugs X Company (7)'!$C$3:$C$698,$B287,'Shortlisted Drugs X Company (7)'!$E$3:$E$698,$AA287,'Shortlisted Drugs X Company (7)'!$P$3:$P$698,"Same-market proxy")&gt;0,"Same-market proxy",IF(COUNTIFS('Shortlisted Drugs X Company (7)'!$C$3:$C$698,$B287,'Shortlisted Drugs X Company (7)'!$E$3:$E$698,$AA287,'Shortlisted Drugs X Company (7)'!$P$3:$P$698,"Cross-market proxy")&gt;0,"Cross-market proxy",IF(COUNTIFS('Shortlisted Drugs X Company (7)'!$C$3:$C$698,$B287,'Shortlisted Drugs X Company (7)'!$E$3:$E$698,$AA287,'Shortlisted Drugs X Company (7)'!$P$3:$P$698,"Source not found")&gt;0,"Source not found","No price found"))))</f>
        <v>Exact</v>
      </c>
      <c r="K287" s="19" t="n">
        <f aca="false">IFERROR(INDEX('Injectable Value'!$AB$28:$AB$178,MATCH(B287,'Injectable Value'!$A$28:$A$178,0)),"")</f>
        <v>69</v>
      </c>
      <c r="L287" s="77" t="n">
        <f aca="false">IFERROR(INDEX('Injectable Value'!$Z$28:$Z$178,MATCH(B287,'Injectable Value'!$A$28:$A$178,0)),"")</f>
        <v>1</v>
      </c>
      <c r="M287" s="19" t="n">
        <f aca="false">IFERROR(INDEX('Injectable Value'!$AC$28:$AC$178,MATCH(B287,'Injectable Value'!$A$28:$A$178,0)),"")</f>
        <v>69</v>
      </c>
      <c r="N287" s="19" t="n">
        <f aca="false">IFERROR(INDEX('Injectable Value'!$C$28:$C$178,MATCH(B287,'Injectable Value'!$A$28:$A$178,0)),"")</f>
        <v>1781.11</v>
      </c>
      <c r="O287" s="19" t="n">
        <f aca="false">IFERROR(ROUND(INDEX('Injectable Value'!$AA$28:$AA$178,MATCH(B287,'Injectable Value'!$A$28:$A$178,0)),1),"")</f>
        <v>1781.1</v>
      </c>
      <c r="P287" s="16" t="str">
        <f aca="false">IFERROR(INDEX('Route of Administration'!$C$5:$C$155,MATCH(B287,'Route of Administration'!$A$5:$A$155,0)),"")</f>
        <v>IV</v>
      </c>
      <c r="Q287" s="15" t="str">
        <f aca="false">IFERROR(INDEX('Route of Administration'!$D$5:$D$155,MATCH(B287,'Route of Administration'!$A$5:$A$155,0)),"")</f>
        <v>No</v>
      </c>
      <c r="R287" s="16" t="s">
        <v>349</v>
      </c>
      <c r="S287" s="17" t="s">
        <v>1306</v>
      </c>
      <c r="T287" s="16" t="s">
        <v>283</v>
      </c>
      <c r="U287" s="17" t="str">
        <f aca="false">""&amp;IF(AE287=0,"No price found","")&amp;IF(AND(AE287&gt;0,AF287=0,AG287=0),"Low price comes from another market – confirm with the company","")</f>
        <v/>
      </c>
      <c r="V287" s="17" t="s">
        <v>437</v>
      </c>
      <c r="W287" s="15" t="n">
        <v>12</v>
      </c>
      <c r="X287" s="17" t="s">
        <v>1307</v>
      </c>
      <c r="Y287" s="17" t="s">
        <v>1308</v>
      </c>
      <c r="Z287" s="17" t="s">
        <v>321</v>
      </c>
      <c r="AA287" s="16" t="s">
        <v>1294</v>
      </c>
      <c r="AB287" s="78" t="s">
        <v>1309</v>
      </c>
      <c r="AC287" s="20" t="n">
        <f aca="false">IF(AE287&gt;0,ROUND(AVERAGEIFS('Shortlisted Drugs X Company (7)'!$N$3:$N$698,'Shortlisted Drugs X Company (7)'!$C$3:$C$698,$B287,'Shortlisted Drugs X Company (7)'!$E$3:$E$698,$AA287,'Shortlisted Drugs X Company (7)'!$N$3:$N$698,"&gt;=0"),2),"")</f>
        <v>8.71</v>
      </c>
      <c r="AD287" s="79" t="str">
        <f aca="false">B287&amp;"|"&amp;AA287</f>
        <v>Etomidate|Piramal Pharma</v>
      </c>
      <c r="AE287" s="22" t="n">
        <f aca="false">COUNTIFS('Shortlisted Drugs X Company (7)'!$C$3:$C$698,$B287,'Shortlisted Drugs X Company (7)'!$E$3:$E$698,$AA287,'Shortlisted Drugs X Company (7)'!$N$3:$N$698,"&gt;=0")</f>
        <v>2</v>
      </c>
      <c r="AF287" s="22" t="n">
        <f aca="false">COUNTIFS('Shortlisted Drugs X Company (7)'!$C$3:$C$698,$B287,'Shortlisted Drugs X Company (7)'!$E$3:$E$698,$AA287,'Shortlisted Drugs X Company (7)'!$N$3:$N$698,"&gt;5")</f>
        <v>2</v>
      </c>
      <c r="AG287" s="22" t="n">
        <f aca="false">COUNTIFS('Shortlisted Drugs X Company (7)'!$C$3:$C$698,$B287,'Shortlisted Drugs X Company (7)'!$E$3:$E$698,$AA287,'Shortlisted Drugs X Company (7)'!$P$3:$P$698,"Exact")+COUNTIFS('Shortlisted Drugs X Company (7)'!$C$3:$C$698,$B287,'Shortlisted Drugs X Company (7)'!$E$3:$E$698,$AA287,'Shortlisted Drugs X Company (7)'!$P$3:$P$698,"Same-market proxy")</f>
        <v>2</v>
      </c>
      <c r="AH287" s="22" t="n">
        <f aca="false">INDEX($G$7:$G$25,MATCH(A287,$A$7:$A$25,0))</f>
        <v>19</v>
      </c>
      <c r="AI287" s="79" t="str">
        <f aca="false">IF(OR(Q287="No",LEFT(H287,7)="IV only"),"",AH287*1000+IF(F287="",900+COUNTIFS($A$29:A287,A287,$H$29:H287,"Price*"),F287))</f>
        <v/>
      </c>
      <c r="AJ287" s="79" t="str">
        <f aca="false">IF(H287&lt;&gt;"","",(4-VALUE(RIGHT(E287,1)))*10^7+N(O287))</f>
        <v/>
      </c>
      <c r="AK287" s="79" t="str">
        <f aca="false">IF(AND(H287="",ISNUMBER(I287)),I287,"")</f>
        <v/>
      </c>
      <c r="AL287" s="79" t="str">
        <f aca="false">IF(H287="",M287,"")</f>
        <v/>
      </c>
    </row>
    <row r="288" customFormat="false" ht="55.2" hidden="false" customHeight="false" outlineLevel="0" collapsed="false">
      <c r="A288" s="16" t="s">
        <v>239</v>
      </c>
      <c r="B288" s="16" t="s">
        <v>1211</v>
      </c>
      <c r="C288" s="17" t="s">
        <v>1310</v>
      </c>
      <c r="D288" s="17" t="s">
        <v>1213</v>
      </c>
      <c r="E288" s="15" t="str">
        <f aca="false">IF(H288&lt;&gt;"",IF(LEFT(H288,5)="Price","Excluded – price ≤ USD 5","Excluded – IV only"),IF(ISNUMBER(I288),IF(AND(I288&gt;=$C$3,M288&gt;=$E$3),"Priority 1",IF(OR(I288&gt;=$C$3,M288&gt;=$E$3),"Priority 2","Priority 3")),IF(M288&gt;=$E$3,"Priority 2","Priority 3")))</f>
        <v>Priority 3</v>
      </c>
      <c r="F288" s="15" t="n">
        <f aca="false">IF(H288&lt;&gt;"","",COUNTIFS($A$29:$A$361,A288,$H$29:$H$361,"",$AJ$29:$AJ$361,"&gt;"&amp;AJ288)+COUNTIFS($A$29:A288,A288,$H$29:H288,"",$AJ$29:AJ288,AJ288))</f>
        <v>1</v>
      </c>
      <c r="G288" s="17" t="str">
        <f aca="false">IF(H288&lt;&gt;"","",IF(ISNUMBER(I288),IF(I288&gt;=$C$3,"High price","Lower price"),"No price")&amp;", "&amp;IF(M288&gt;=$E$3,"high volume","lower volume"))</f>
        <v>Lower price, lower volume</v>
      </c>
      <c r="H288" s="17" t="str">
        <f aca="false">IF(Q288="No","IV only (no ID, IM or SC route)",IF(AND(AE288&gt;0,AF288=0),"Price ≤ USD 5",""))</f>
        <v/>
      </c>
      <c r="I288" s="18" t="n">
        <f aca="false">IF(AF288&gt;0,ROUND(AVERAGEIFS('Shortlisted Drugs X Company (7)'!$N$3:$N$698,'Shortlisted Drugs X Company (7)'!$C$3:$C$698,$B288,'Shortlisted Drugs X Company (7)'!$E$3:$E$698,$AA288,'Shortlisted Drugs X Company (7)'!$N$3:$N$698,"&gt;5"),2),"")</f>
        <v>15.8</v>
      </c>
      <c r="J288" s="17" t="str">
        <f aca="false">IF(COUNTIFS('Shortlisted Drugs X Company (7)'!$C$3:$C$698,$B288,'Shortlisted Drugs X Company (7)'!$E$3:$E$698,$AA288,'Shortlisted Drugs X Company (7)'!$P$3:$P$698,"Exact")&gt;0,"Exact",IF(COUNTIFS('Shortlisted Drugs X Company (7)'!$C$3:$C$698,$B288,'Shortlisted Drugs X Company (7)'!$E$3:$E$698,$AA288,'Shortlisted Drugs X Company (7)'!$P$3:$P$698,"Same-market proxy")&gt;0,"Same-market proxy",IF(COUNTIFS('Shortlisted Drugs X Company (7)'!$C$3:$C$698,$B288,'Shortlisted Drugs X Company (7)'!$E$3:$E$698,$AA288,'Shortlisted Drugs X Company (7)'!$P$3:$P$698,"Cross-market proxy")&gt;0,"Cross-market proxy",IF(COUNTIFS('Shortlisted Drugs X Company (7)'!$C$3:$C$698,$B288,'Shortlisted Drugs X Company (7)'!$E$3:$E$698,$AA288,'Shortlisted Drugs X Company (7)'!$P$3:$P$698,"Source not found")&gt;0,"Source not found","No price found"))))</f>
        <v>Exact</v>
      </c>
      <c r="K288" s="19" t="n">
        <f aca="false">IFERROR(INDEX('Injectable Value'!$AB$28:$AB$178,MATCH(B288,'Injectable Value'!$A$28:$A$178,0)),"")</f>
        <v>58</v>
      </c>
      <c r="L288" s="77" t="n">
        <f aca="false">IFERROR(INDEX('Injectable Value'!$Z$28:$Z$178,MATCH(B288,'Injectable Value'!$A$28:$A$178,0)),"")</f>
        <v>0.257790111422073</v>
      </c>
      <c r="M288" s="19" t="n">
        <f aca="false">IFERROR(INDEX('Injectable Value'!$AC$28:$AC$178,MATCH(B288,'Injectable Value'!$A$28:$A$178,0)),"")</f>
        <v>15</v>
      </c>
      <c r="N288" s="19" t="n">
        <f aca="false">IFERROR(INDEX('Injectable Value'!$C$28:$C$178,MATCH(B288,'Injectable Value'!$A$28:$A$178,0)),"")</f>
        <v>1115.28</v>
      </c>
      <c r="O288" s="19" t="n">
        <f aca="false">IFERROR(ROUND(INDEX('Injectable Value'!$AA$28:$AA$178,MATCH(B288,'Injectable Value'!$A$28:$A$178,0)),1),"")</f>
        <v>287.5</v>
      </c>
      <c r="P288" s="16" t="str">
        <f aca="false">IFERROR(INDEX('Route of Administration'!$C$5:$C$155,MATCH(B288,'Route of Administration'!$A$5:$A$155,0)),"")</f>
        <v>IV, IM</v>
      </c>
      <c r="Q288" s="15" t="str">
        <f aca="false">IFERROR(INDEX('Route of Administration'!$D$5:$D$155,MATCH(B288,'Route of Administration'!$A$5:$A$155,0)),"")</f>
        <v>Yes</v>
      </c>
      <c r="R288" s="16" t="s">
        <v>349</v>
      </c>
      <c r="S288" s="17" t="s">
        <v>1311</v>
      </c>
      <c r="T288" s="16" t="s">
        <v>283</v>
      </c>
      <c r="U288" s="17" t="str">
        <f aca="false">""&amp;IF(AE288=0,"No price found","")&amp;IF(AND(AE288&gt;0,AF288=0,AG288=0),"Low price comes from another market – confirm with the company","")</f>
        <v/>
      </c>
      <c r="V288" s="17" t="s">
        <v>437</v>
      </c>
      <c r="W288" s="15" t="n">
        <v>18</v>
      </c>
      <c r="X288" s="17" t="s">
        <v>1312</v>
      </c>
      <c r="Y288" s="17" t="s">
        <v>1313</v>
      </c>
      <c r="Z288" s="17" t="s">
        <v>321</v>
      </c>
      <c r="AA288" s="16" t="s">
        <v>1294</v>
      </c>
      <c r="AB288" s="78" t="s">
        <v>1215</v>
      </c>
      <c r="AC288" s="20" t="n">
        <f aca="false">IF(AE288&gt;0,ROUND(AVERAGEIFS('Shortlisted Drugs X Company (7)'!$N$3:$N$698,'Shortlisted Drugs X Company (7)'!$C$3:$C$698,$B288,'Shortlisted Drugs X Company (7)'!$E$3:$E$698,$AA288,'Shortlisted Drugs X Company (7)'!$N$3:$N$698,"&gt;=0"),2),"")</f>
        <v>15.8</v>
      </c>
      <c r="AD288" s="79" t="str">
        <f aca="false">B288&amp;"|"&amp;AA288</f>
        <v>Fentanyl|Piramal Pharma</v>
      </c>
      <c r="AE288" s="22" t="n">
        <f aca="false">COUNTIFS('Shortlisted Drugs X Company (7)'!$C$3:$C$698,$B288,'Shortlisted Drugs X Company (7)'!$E$3:$E$698,$AA288,'Shortlisted Drugs X Company (7)'!$N$3:$N$698,"&gt;=0")</f>
        <v>2</v>
      </c>
      <c r="AF288" s="22" t="n">
        <f aca="false">COUNTIFS('Shortlisted Drugs X Company (7)'!$C$3:$C$698,$B288,'Shortlisted Drugs X Company (7)'!$E$3:$E$698,$AA288,'Shortlisted Drugs X Company (7)'!$N$3:$N$698,"&gt;5")</f>
        <v>2</v>
      </c>
      <c r="AG288" s="22" t="n">
        <f aca="false">COUNTIFS('Shortlisted Drugs X Company (7)'!$C$3:$C$698,$B288,'Shortlisted Drugs X Company (7)'!$E$3:$E$698,$AA288,'Shortlisted Drugs X Company (7)'!$P$3:$P$698,"Exact")+COUNTIFS('Shortlisted Drugs X Company (7)'!$C$3:$C$698,$B288,'Shortlisted Drugs X Company (7)'!$E$3:$E$698,$AA288,'Shortlisted Drugs X Company (7)'!$P$3:$P$698,"Same-market proxy")</f>
        <v>2</v>
      </c>
      <c r="AH288" s="22" t="n">
        <f aca="false">INDEX($G$7:$G$25,MATCH(A288,$A$7:$A$25,0))</f>
        <v>19</v>
      </c>
      <c r="AI288" s="79" t="n">
        <f aca="false">IF(OR(Q288="No",LEFT(H288,7)="IV only"),"",AH288*1000+IF(F288="",900+COUNTIFS($A$29:A288,A288,$H$29:H288,"Price*"),F288))</f>
        <v>19001</v>
      </c>
      <c r="AJ288" s="79" t="n">
        <f aca="false">IF(H288&lt;&gt;"","",(4-VALUE(RIGHT(E288,1)))*10^7+N(O288))</f>
        <v>10000287.5</v>
      </c>
      <c r="AK288" s="20" t="n">
        <f aca="false">IF(AND(H288="",ISNUMBER(I288)),I288,"")</f>
        <v>15.8</v>
      </c>
      <c r="AL288" s="21" t="n">
        <f aca="false">IF(H288="",M288,"")</f>
        <v>15</v>
      </c>
    </row>
    <row r="289" customFormat="false" ht="28.35" hidden="false" customHeight="false" outlineLevel="0" collapsed="false">
      <c r="A289" s="16" t="s">
        <v>239</v>
      </c>
      <c r="B289" s="16" t="s">
        <v>556</v>
      </c>
      <c r="C289" s="17" t="s">
        <v>1314</v>
      </c>
      <c r="D289" s="17" t="s">
        <v>558</v>
      </c>
      <c r="E289" s="15" t="str">
        <f aca="false">IF(H289&lt;&gt;"",IF(LEFT(H289,5)="Price","Excluded – price ≤ USD 5","Excluded – IV only"),IF(ISNUMBER(I289),IF(AND(I289&gt;=$C$3,M289&gt;=$E$3),"Priority 1",IF(OR(I289&gt;=$C$3,M289&gt;=$E$3),"Priority 2","Priority 3")),IF(M289&gt;=$E$3,"Priority 2","Priority 3")))</f>
        <v>Excluded – IV only</v>
      </c>
      <c r="F289" s="15" t="str">
        <f aca="false">IF(H289&lt;&gt;"","",COUNTIFS($A$29:$A$361,A289,$H$29:$H$361,"",$AJ$29:$AJ$361,"&gt;"&amp;AJ289)+COUNTIFS($A$29:A289,A289,$H$29:H289,"",$AJ$29:AJ289,AJ289))</f>
        <v/>
      </c>
      <c r="G289" s="17" t="str">
        <f aca="false">IF(H289&lt;&gt;"","",IF(ISNUMBER(I289),IF(I289&gt;=$C$3,"High price","Lower price"),"No price")&amp;", "&amp;IF(M289&gt;=$E$3,"high volume","lower volume"))</f>
        <v/>
      </c>
      <c r="H289" s="17" t="str">
        <f aca="false">IF(Q289="No","IV only (no ID, IM or SC route)",IF(AND(AE289&gt;0,AF289=0),"Price ≤ USD 5",""))</f>
        <v>IV only (no ID, IM or SC route)</v>
      </c>
      <c r="I289" s="18" t="n">
        <f aca="false">IF(AF289&gt;0,ROUND(AVERAGEIFS('Shortlisted Drugs X Company (7)'!$N$3:$N$698,'Shortlisted Drugs X Company (7)'!$C$3:$C$698,$B289,'Shortlisted Drugs X Company (7)'!$E$3:$E$698,$AA289,'Shortlisted Drugs X Company (7)'!$N$3:$N$698,"&gt;5"),2),"")</f>
        <v>42.21</v>
      </c>
      <c r="J289" s="17" t="str">
        <f aca="false">IF(COUNTIFS('Shortlisted Drugs X Company (7)'!$C$3:$C$698,$B289,'Shortlisted Drugs X Company (7)'!$E$3:$E$698,$AA289,'Shortlisted Drugs X Company (7)'!$P$3:$P$698,"Exact")&gt;0,"Exact",IF(COUNTIFS('Shortlisted Drugs X Company (7)'!$C$3:$C$698,$B289,'Shortlisted Drugs X Company (7)'!$E$3:$E$698,$AA289,'Shortlisted Drugs X Company (7)'!$P$3:$P$698,"Same-market proxy")&gt;0,"Same-market proxy",IF(COUNTIFS('Shortlisted Drugs X Company (7)'!$C$3:$C$698,$B289,'Shortlisted Drugs X Company (7)'!$E$3:$E$698,$AA289,'Shortlisted Drugs X Company (7)'!$P$3:$P$698,"Cross-market proxy")&gt;0,"Cross-market proxy",IF(COUNTIFS('Shortlisted Drugs X Company (7)'!$C$3:$C$698,$B289,'Shortlisted Drugs X Company (7)'!$E$3:$E$698,$AA289,'Shortlisted Drugs X Company (7)'!$P$3:$P$698,"Source not found")&gt;0,"Source not found","No price found"))))</f>
        <v>Cross-market proxy</v>
      </c>
      <c r="K289" s="19" t="n">
        <f aca="false">IFERROR(INDEX('Injectable Value'!$AB$28:$AB$178,MATCH(B289,'Injectable Value'!$A$28:$A$178,0)),"")</f>
        <v>2</v>
      </c>
      <c r="L289" s="77" t="n">
        <f aca="false">IFERROR(INDEX('Injectable Value'!$Z$28:$Z$178,MATCH(B289,'Injectable Value'!$A$28:$A$178,0)),"")</f>
        <v>0.996078431372549</v>
      </c>
      <c r="M289" s="19" t="n">
        <f aca="false">IFERROR(INDEX('Injectable Value'!$AC$28:$AC$178,MATCH(B289,'Injectable Value'!$A$28:$A$178,0)),"")</f>
        <v>2</v>
      </c>
      <c r="N289" s="19" t="n">
        <f aca="false">IFERROR(INDEX('Injectable Value'!$C$28:$C$178,MATCH(B289,'Injectable Value'!$A$28:$A$178,0)),"")</f>
        <v>71.73</v>
      </c>
      <c r="O289" s="19" t="n">
        <f aca="false">IFERROR(ROUND(INDEX('Injectable Value'!$AA$28:$AA$178,MATCH(B289,'Injectable Value'!$A$28:$A$178,0)),1),"")</f>
        <v>71.4</v>
      </c>
      <c r="P289" s="16" t="str">
        <f aca="false">IFERROR(INDEX('Route of Administration'!$C$5:$C$155,MATCH(B289,'Route of Administration'!$A$5:$A$155,0)),"")</f>
        <v>IV</v>
      </c>
      <c r="Q289" s="15" t="str">
        <f aca="false">IFERROR(INDEX('Route of Administration'!$D$5:$D$155,MATCH(B289,'Route of Administration'!$A$5:$A$155,0)),"")</f>
        <v>No</v>
      </c>
      <c r="R289" s="16" t="s">
        <v>310</v>
      </c>
      <c r="S289" s="17" t="s">
        <v>1315</v>
      </c>
      <c r="T289" s="16" t="s">
        <v>310</v>
      </c>
      <c r="U289" s="17" t="str">
        <f aca="false">""&amp;IF(AE289=0,"No price found","")&amp;IF(AND(AE289&gt;0,AF289=0,AG289=0),"Low price comes from another market – confirm with the company","")</f>
        <v/>
      </c>
      <c r="V289" s="17" t="s">
        <v>366</v>
      </c>
      <c r="W289" s="15" t="n">
        <v>1</v>
      </c>
      <c r="X289" s="17" t="s">
        <v>367</v>
      </c>
      <c r="Y289" s="17" t="s">
        <v>367</v>
      </c>
      <c r="Z289" s="17" t="s">
        <v>312</v>
      </c>
      <c r="AA289" s="16" t="s">
        <v>1294</v>
      </c>
      <c r="AB289" s="78" t="s">
        <v>562</v>
      </c>
      <c r="AC289" s="20" t="n">
        <f aca="false">IF(AE289&gt;0,ROUND(AVERAGEIFS('Shortlisted Drugs X Company (7)'!$N$3:$N$698,'Shortlisted Drugs X Company (7)'!$C$3:$C$698,$B289,'Shortlisted Drugs X Company (7)'!$E$3:$E$698,$AA289,'Shortlisted Drugs X Company (7)'!$N$3:$N$698,"&gt;=0"),2),"")</f>
        <v>42.21</v>
      </c>
      <c r="AD289" s="79" t="str">
        <f aca="false">B289&amp;"|"&amp;AA289</f>
        <v>Remifentanil|Piramal Pharma</v>
      </c>
      <c r="AE289" s="22" t="n">
        <f aca="false">COUNTIFS('Shortlisted Drugs X Company (7)'!$C$3:$C$698,$B289,'Shortlisted Drugs X Company (7)'!$E$3:$E$698,$AA289,'Shortlisted Drugs X Company (7)'!$N$3:$N$698,"&gt;=0")</f>
        <v>1</v>
      </c>
      <c r="AF289" s="22" t="n">
        <f aca="false">COUNTIFS('Shortlisted Drugs X Company (7)'!$C$3:$C$698,$B289,'Shortlisted Drugs X Company (7)'!$E$3:$E$698,$AA289,'Shortlisted Drugs X Company (7)'!$N$3:$N$698,"&gt;5")</f>
        <v>1</v>
      </c>
      <c r="AG289" s="22" t="n">
        <f aca="false">COUNTIFS('Shortlisted Drugs X Company (7)'!$C$3:$C$698,$B289,'Shortlisted Drugs X Company (7)'!$E$3:$E$698,$AA289,'Shortlisted Drugs X Company (7)'!$P$3:$P$698,"Exact")+COUNTIFS('Shortlisted Drugs X Company (7)'!$C$3:$C$698,$B289,'Shortlisted Drugs X Company (7)'!$E$3:$E$698,$AA289,'Shortlisted Drugs X Company (7)'!$P$3:$P$698,"Same-market proxy")</f>
        <v>0</v>
      </c>
      <c r="AH289" s="22" t="n">
        <f aca="false">INDEX($G$7:$G$25,MATCH(A289,$A$7:$A$25,0))</f>
        <v>19</v>
      </c>
      <c r="AI289" s="79" t="str">
        <f aca="false">IF(OR(Q289="No",LEFT(H289,7)="IV only"),"",AH289*1000+IF(F289="",900+COUNTIFS($A$29:A289,A289,$H$29:H289,"Price*"),F289))</f>
        <v/>
      </c>
      <c r="AJ289" s="79" t="str">
        <f aca="false">IF(H289&lt;&gt;"","",(4-VALUE(RIGHT(E289,1)))*10^7+N(O289))</f>
        <v/>
      </c>
      <c r="AK289" s="79" t="str">
        <f aca="false">IF(AND(H289="",ISNUMBER(I289)),I289,"")</f>
        <v/>
      </c>
      <c r="AL289" s="79" t="str">
        <f aca="false">IF(H289="",M289,"")</f>
        <v/>
      </c>
    </row>
    <row r="290" customFormat="false" ht="95.5" hidden="false" customHeight="false" outlineLevel="0" collapsed="false">
      <c r="A290" s="16" t="s">
        <v>239</v>
      </c>
      <c r="B290" s="16" t="s">
        <v>665</v>
      </c>
      <c r="C290" s="17" t="s">
        <v>1316</v>
      </c>
      <c r="D290" s="17" t="s">
        <v>667</v>
      </c>
      <c r="E290" s="15" t="str">
        <f aca="false">IF(H290&lt;&gt;"",IF(LEFT(H290,5)="Price","Excluded – price ≤ USD 5","Excluded – IV only"),IF(ISNUMBER(I290),IF(AND(I290&gt;=$C$3,M290&gt;=$E$3),"Priority 1",IF(OR(I290&gt;=$C$3,M290&gt;=$E$3),"Priority 2","Priority 3")),IF(M290&gt;=$E$3,"Priority 2","Priority 3")))</f>
        <v>Excluded – IV only</v>
      </c>
      <c r="F290" s="15" t="str">
        <f aca="false">IF(H290&lt;&gt;"","",COUNTIFS($A$29:$A$361,A290,$H$29:$H$361,"",$AJ$29:$AJ$361,"&gt;"&amp;AJ290)+COUNTIFS($A$29:A290,A290,$H$29:H290,"",$AJ$29:AJ290,AJ290))</f>
        <v/>
      </c>
      <c r="G290" s="17" t="str">
        <f aca="false">IF(H290&lt;&gt;"","",IF(ISNUMBER(I290),IF(I290&gt;=$C$3,"High price","Lower price"),"No price")&amp;", "&amp;IF(M290&gt;=$E$3,"high volume","lower volume"))</f>
        <v/>
      </c>
      <c r="H290" s="17" t="str">
        <f aca="false">IF(Q290="No","IV only (no ID, IM or SC route)",IF(AND(AE290&gt;0,AF290=0),"Price ≤ USD 5",""))</f>
        <v>IV only (no ID, IM or SC route)</v>
      </c>
      <c r="I290" s="18" t="n">
        <f aca="false">IF(AF290&gt;0,ROUND(AVERAGEIFS('Shortlisted Drugs X Company (7)'!$N$3:$N$698,'Shortlisted Drugs X Company (7)'!$C$3:$C$698,$B290,'Shortlisted Drugs X Company (7)'!$E$3:$E$698,$AA290,'Shortlisted Drugs X Company (7)'!$N$3:$N$698,"&gt;5"),2),"")</f>
        <v>79.53</v>
      </c>
      <c r="J290" s="17" t="str">
        <f aca="false">IF(COUNTIFS('Shortlisted Drugs X Company (7)'!$C$3:$C$698,$B290,'Shortlisted Drugs X Company (7)'!$E$3:$E$698,$AA290,'Shortlisted Drugs X Company (7)'!$P$3:$P$698,"Exact")&gt;0,"Exact",IF(COUNTIFS('Shortlisted Drugs X Company (7)'!$C$3:$C$698,$B290,'Shortlisted Drugs X Company (7)'!$E$3:$E$698,$AA290,'Shortlisted Drugs X Company (7)'!$P$3:$P$698,"Same-market proxy")&gt;0,"Same-market proxy",IF(COUNTIFS('Shortlisted Drugs X Company (7)'!$C$3:$C$698,$B290,'Shortlisted Drugs X Company (7)'!$E$3:$E$698,$AA290,'Shortlisted Drugs X Company (7)'!$P$3:$P$698,"Cross-market proxy")&gt;0,"Cross-market proxy",IF(COUNTIFS('Shortlisted Drugs X Company (7)'!$C$3:$C$698,$B290,'Shortlisted Drugs X Company (7)'!$E$3:$E$698,$AA290,'Shortlisted Drugs X Company (7)'!$P$3:$P$698,"Source not found")&gt;0,"Source not found","No price found"))))</f>
        <v>Same-market proxy</v>
      </c>
      <c r="K290" s="19" t="n">
        <f aca="false">IFERROR(INDEX('Injectable Value'!$AB$28:$AB$178,MATCH(B290,'Injectable Value'!$A$28:$A$178,0)),"")</f>
        <v>346</v>
      </c>
      <c r="L290" s="77" t="n">
        <f aca="false">IFERROR(INDEX('Injectable Value'!$Z$28:$Z$178,MATCH(B290,'Injectable Value'!$A$28:$A$178,0)),"")</f>
        <v>1</v>
      </c>
      <c r="M290" s="19" t="n">
        <f aca="false">IFERROR(INDEX('Injectable Value'!$AC$28:$AC$178,MATCH(B290,'Injectable Value'!$A$28:$A$178,0)),"")</f>
        <v>346</v>
      </c>
      <c r="N290" s="19" t="n">
        <f aca="false">IFERROR(INDEX('Injectable Value'!$C$28:$C$178,MATCH(B290,'Injectable Value'!$A$28:$A$178,0)),"")</f>
        <v>32830.17</v>
      </c>
      <c r="O290" s="19" t="n">
        <f aca="false">IFERROR(ROUND(INDEX('Injectable Value'!$AA$28:$AA$178,MATCH(B290,'Injectable Value'!$A$28:$A$178,0)),1),"")</f>
        <v>32830.2</v>
      </c>
      <c r="P290" s="16" t="str">
        <f aca="false">IFERROR(INDEX('Route of Administration'!$C$5:$C$155,MATCH(B290,'Route of Administration'!$A$5:$A$155,0)),"")</f>
        <v>IV</v>
      </c>
      <c r="Q290" s="15" t="str">
        <f aca="false">IFERROR(INDEX('Route of Administration'!$D$5:$D$155,MATCH(B290,'Route of Administration'!$A$5:$A$155,0)),"")</f>
        <v>No</v>
      </c>
      <c r="R290" s="16" t="s">
        <v>281</v>
      </c>
      <c r="S290" s="17" t="s">
        <v>844</v>
      </c>
      <c r="T290" s="16" t="s">
        <v>283</v>
      </c>
      <c r="U290" s="17" t="str">
        <f aca="false">""&amp;IF(AE290=0,"No price found","")&amp;IF(AND(AE290&gt;0,AF290=0,AG290=0),"Low price comes from another market – confirm with the company","")</f>
        <v/>
      </c>
      <c r="V290" s="17" t="s">
        <v>334</v>
      </c>
      <c r="W290" s="15" t="n">
        <v>32</v>
      </c>
      <c r="X290" s="17" t="s">
        <v>1169</v>
      </c>
      <c r="Y290" s="17" t="s">
        <v>1170</v>
      </c>
      <c r="Z290" s="17" t="s">
        <v>286</v>
      </c>
      <c r="AA290" s="16" t="s">
        <v>1294</v>
      </c>
      <c r="AB290" s="78" t="s">
        <v>670</v>
      </c>
      <c r="AC290" s="20" t="n">
        <f aca="false">IF(AE290&gt;0,ROUND(AVERAGEIFS('Shortlisted Drugs X Company (7)'!$N$3:$N$698,'Shortlisted Drugs X Company (7)'!$C$3:$C$698,$B290,'Shortlisted Drugs X Company (7)'!$E$3:$E$698,$AA290,'Shortlisted Drugs X Company (7)'!$N$3:$N$698,"&gt;=0"),2),"")</f>
        <v>79.53</v>
      </c>
      <c r="AD290" s="79" t="str">
        <f aca="false">B290&amp;"|"&amp;AA290</f>
        <v>Sugammadex|Piramal Pharma</v>
      </c>
      <c r="AE290" s="22" t="n">
        <f aca="false">COUNTIFS('Shortlisted Drugs X Company (7)'!$C$3:$C$698,$B290,'Shortlisted Drugs X Company (7)'!$E$3:$E$698,$AA290,'Shortlisted Drugs X Company (7)'!$N$3:$N$698,"&gt;=0")</f>
        <v>2</v>
      </c>
      <c r="AF290" s="22" t="n">
        <f aca="false">COUNTIFS('Shortlisted Drugs X Company (7)'!$C$3:$C$698,$B290,'Shortlisted Drugs X Company (7)'!$E$3:$E$698,$AA290,'Shortlisted Drugs X Company (7)'!$N$3:$N$698,"&gt;5")</f>
        <v>2</v>
      </c>
      <c r="AG290" s="22" t="n">
        <f aca="false">COUNTIFS('Shortlisted Drugs X Company (7)'!$C$3:$C$698,$B290,'Shortlisted Drugs X Company (7)'!$E$3:$E$698,$AA290,'Shortlisted Drugs X Company (7)'!$P$3:$P$698,"Exact")+COUNTIFS('Shortlisted Drugs X Company (7)'!$C$3:$C$698,$B290,'Shortlisted Drugs X Company (7)'!$E$3:$E$698,$AA290,'Shortlisted Drugs X Company (7)'!$P$3:$P$698,"Same-market proxy")</f>
        <v>2</v>
      </c>
      <c r="AH290" s="22" t="n">
        <f aca="false">INDEX($G$7:$G$25,MATCH(A290,$A$7:$A$25,0))</f>
        <v>19</v>
      </c>
      <c r="AI290" s="79" t="str">
        <f aca="false">IF(OR(Q290="No",LEFT(H290,7)="IV only"),"",AH290*1000+IF(F290="",900+COUNTIFS($A$29:A290,A290,$H$29:H290,"Price*"),F290))</f>
        <v/>
      </c>
      <c r="AJ290" s="79" t="str">
        <f aca="false">IF(H290&lt;&gt;"","",(4-VALUE(RIGHT(E290,1)))*10^7+N(O290))</f>
        <v/>
      </c>
      <c r="AK290" s="79" t="str">
        <f aca="false">IF(AND(H290="",ISNUMBER(I290)),I290,"")</f>
        <v/>
      </c>
      <c r="AL290" s="79" t="str">
        <f aca="false">IF(H290="",M290,"")</f>
        <v/>
      </c>
    </row>
    <row r="291" customFormat="false" ht="41.75" hidden="false" customHeight="false" outlineLevel="0" collapsed="false">
      <c r="A291" s="16" t="s">
        <v>240</v>
      </c>
      <c r="B291" s="16" t="s">
        <v>355</v>
      </c>
      <c r="C291" s="17" t="s">
        <v>1317</v>
      </c>
      <c r="D291" s="17" t="s">
        <v>357</v>
      </c>
      <c r="E291" s="15" t="str">
        <f aca="false">IF(H291&lt;&gt;"",IF(LEFT(H291,5)="Price","Excluded – price ≤ USD 5","Excluded – IV only"),IF(ISNUMBER(I291),IF(AND(I291&gt;=$C$3,M291&gt;=$E$3),"Priority 1",IF(OR(I291&gt;=$C$3,M291&gt;=$E$3),"Priority 2","Priority 3")),IF(M291&gt;=$E$3,"Priority 2","Priority 3")))</f>
        <v>Priority 2</v>
      </c>
      <c r="F291" s="15" t="n">
        <f aca="false">IF(H291&lt;&gt;"","",COUNTIFS($A$29:$A$361,A291,$H$29:$H$361,"",$AJ$29:$AJ$361,"&gt;"&amp;AJ291)+COUNTIFS($A$29:A291,A291,$H$29:H291,"",$AJ$29:AJ291,AJ291))</f>
        <v>1</v>
      </c>
      <c r="G291" s="17" t="str">
        <f aca="false">IF(H291&lt;&gt;"","",IF(ISNUMBER(I291),IF(I291&gt;=$C$3,"High price","Lower price"),"No price")&amp;", "&amp;IF(M291&gt;=$E$3,"high volume","lower volume"))</f>
        <v>Lower price, high volume</v>
      </c>
      <c r="H291" s="17" t="str">
        <f aca="false">IF(Q291="No","IV only (no ID, IM or SC route)",IF(AND(AE291&gt;0,AF291=0),"Price ≤ USD 5",""))</f>
        <v/>
      </c>
      <c r="I291" s="18" t="n">
        <f aca="false">IF(AF291&gt;0,ROUND(AVERAGEIFS('Shortlisted Drugs X Company (7)'!$N$3:$N$698,'Shortlisted Drugs X Company (7)'!$C$3:$C$698,$B291,'Shortlisted Drugs X Company (7)'!$E$3:$E$698,$AA291,'Shortlisted Drugs X Company (7)'!$N$3:$N$698,"&gt;5"),2),"")</f>
        <v>13.03</v>
      </c>
      <c r="J291" s="17" t="str">
        <f aca="false">IF(COUNTIFS('Shortlisted Drugs X Company (7)'!$C$3:$C$698,$B291,'Shortlisted Drugs X Company (7)'!$E$3:$E$698,$AA291,'Shortlisted Drugs X Company (7)'!$P$3:$P$698,"Exact")&gt;0,"Exact",IF(COUNTIFS('Shortlisted Drugs X Company (7)'!$C$3:$C$698,$B291,'Shortlisted Drugs X Company (7)'!$E$3:$E$698,$AA291,'Shortlisted Drugs X Company (7)'!$P$3:$P$698,"Same-market proxy")&gt;0,"Same-market proxy",IF(COUNTIFS('Shortlisted Drugs X Company (7)'!$C$3:$C$698,$B291,'Shortlisted Drugs X Company (7)'!$E$3:$E$698,$AA291,'Shortlisted Drugs X Company (7)'!$P$3:$P$698,"Cross-market proxy")&gt;0,"Cross-market proxy",IF(COUNTIFS('Shortlisted Drugs X Company (7)'!$C$3:$C$698,$B291,'Shortlisted Drugs X Company (7)'!$E$3:$E$698,$AA291,'Shortlisted Drugs X Company (7)'!$P$3:$P$698,"Source not found")&gt;0,"Source not found","No price found"))))</f>
        <v>Same-market proxy</v>
      </c>
      <c r="K291" s="19" t="n">
        <f aca="false">IFERROR(INDEX('Injectable Value'!$AB$28:$AB$178,MATCH(B291,'Injectable Value'!$A$28:$A$178,0)),"")</f>
        <v>290</v>
      </c>
      <c r="L291" s="77" t="n">
        <f aca="false">IFERROR(INDEX('Injectable Value'!$Z$28:$Z$178,MATCH(B291,'Injectable Value'!$A$28:$A$178,0)),"")</f>
        <v>0.991596638655462</v>
      </c>
      <c r="M291" s="19" t="n">
        <f aca="false">IFERROR(INDEX('Injectable Value'!$AC$28:$AC$178,MATCH(B291,'Injectable Value'!$A$28:$A$178,0)),"")</f>
        <v>288</v>
      </c>
      <c r="N291" s="19" t="n">
        <f aca="false">IFERROR(INDEX('Injectable Value'!$C$28:$C$178,MATCH(B291,'Injectable Value'!$A$28:$A$178,0)),"")</f>
        <v>6348.25</v>
      </c>
      <c r="O291" s="19" t="n">
        <f aca="false">IFERROR(ROUND(INDEX('Injectable Value'!$AA$28:$AA$178,MATCH(B291,'Injectable Value'!$A$28:$A$178,0)),1),"")</f>
        <v>6294.9</v>
      </c>
      <c r="P291" s="16" t="str">
        <f aca="false">IFERROR(INDEX('Route of Administration'!$C$5:$C$155,MATCH(B291,'Route of Administration'!$A$5:$A$155,0)),"")</f>
        <v>IV, IM</v>
      </c>
      <c r="Q291" s="15" t="str">
        <f aca="false">IFERROR(INDEX('Route of Administration'!$D$5:$D$155,MATCH(B291,'Route of Administration'!$A$5:$A$155,0)),"")</f>
        <v>Yes</v>
      </c>
      <c r="R291" s="16" t="s">
        <v>281</v>
      </c>
      <c r="S291" s="17" t="s">
        <v>510</v>
      </c>
      <c r="T291" s="16" t="s">
        <v>333</v>
      </c>
      <c r="U291" s="17" t="str">
        <f aca="false">"Reconstitution"&amp;IF(AE291=0,"; No price found","")&amp;IF(AND(AE291&gt;0,AF291=0,AG291=0),"; Low price comes from another market – confirm with the company","")</f>
        <v>Reconstitution</v>
      </c>
      <c r="V291" s="17" t="s">
        <v>112</v>
      </c>
      <c r="W291" s="15" t="n">
        <v>1</v>
      </c>
      <c r="X291" s="17" t="s">
        <v>614</v>
      </c>
      <c r="Y291" s="17" t="s">
        <v>614</v>
      </c>
      <c r="Z291" s="17" t="s">
        <v>286</v>
      </c>
      <c r="AA291" s="16" t="s">
        <v>1318</v>
      </c>
      <c r="AB291" s="78" t="s">
        <v>361</v>
      </c>
      <c r="AC291" s="20" t="n">
        <f aca="false">IF(AE291&gt;0,ROUND(AVERAGEIFS('Shortlisted Drugs X Company (7)'!$N$3:$N$698,'Shortlisted Drugs X Company (7)'!$C$3:$C$698,$B291,'Shortlisted Drugs X Company (7)'!$E$3:$E$698,$AA291,'Shortlisted Drugs X Company (7)'!$N$3:$N$698,"&gt;=0"),2),"")</f>
        <v>13.03</v>
      </c>
      <c r="AD291" s="79" t="str">
        <f aca="false">B291&amp;"|"&amp;AA291</f>
        <v>Cefepime|Strides Pharma Science</v>
      </c>
      <c r="AE291" s="22" t="n">
        <f aca="false">COUNTIFS('Shortlisted Drugs X Company (7)'!$C$3:$C$698,$B291,'Shortlisted Drugs X Company (7)'!$E$3:$E$698,$AA291,'Shortlisted Drugs X Company (7)'!$N$3:$N$698,"&gt;=0")</f>
        <v>2</v>
      </c>
      <c r="AF291" s="22" t="n">
        <f aca="false">COUNTIFS('Shortlisted Drugs X Company (7)'!$C$3:$C$698,$B291,'Shortlisted Drugs X Company (7)'!$E$3:$E$698,$AA291,'Shortlisted Drugs X Company (7)'!$N$3:$N$698,"&gt;5")</f>
        <v>2</v>
      </c>
      <c r="AG291" s="22" t="n">
        <f aca="false">COUNTIFS('Shortlisted Drugs X Company (7)'!$C$3:$C$698,$B291,'Shortlisted Drugs X Company (7)'!$E$3:$E$698,$AA291,'Shortlisted Drugs X Company (7)'!$P$3:$P$698,"Exact")+COUNTIFS('Shortlisted Drugs X Company (7)'!$C$3:$C$698,$B291,'Shortlisted Drugs X Company (7)'!$E$3:$E$698,$AA291,'Shortlisted Drugs X Company (7)'!$P$3:$P$698,"Same-market proxy")</f>
        <v>2</v>
      </c>
      <c r="AH291" s="22" t="n">
        <f aca="false">INDEX($G$7:$G$25,MATCH(A291,$A$7:$A$25,0))</f>
        <v>17</v>
      </c>
      <c r="AI291" s="79" t="n">
        <f aca="false">IF(OR(Q291="No",LEFT(H291,7)="IV only"),"",AH291*1000+IF(F291="",900+COUNTIFS($A$29:A291,A291,$H$29:H291,"Price*"),F291))</f>
        <v>17001</v>
      </c>
      <c r="AJ291" s="79" t="n">
        <f aca="false">IF(H291&lt;&gt;"","",(4-VALUE(RIGHT(E291,1)))*10^7+N(O291))</f>
        <v>20006294.9</v>
      </c>
      <c r="AK291" s="20" t="n">
        <f aca="false">IF(AND(H291="",ISNUMBER(I291)),I291,"")</f>
        <v>13.03</v>
      </c>
      <c r="AL291" s="21" t="n">
        <f aca="false">IF(H291="",M291,"")</f>
        <v>288</v>
      </c>
    </row>
    <row r="292" customFormat="false" ht="41.75" hidden="false" customHeight="false" outlineLevel="0" collapsed="false">
      <c r="A292" s="16" t="s">
        <v>240</v>
      </c>
      <c r="B292" s="16" t="s">
        <v>362</v>
      </c>
      <c r="C292" s="17" t="s">
        <v>1319</v>
      </c>
      <c r="D292" s="17" t="s">
        <v>364</v>
      </c>
      <c r="E292" s="15" t="str">
        <f aca="false">IF(H292&lt;&gt;"",IF(LEFT(H292,5)="Price","Excluded – price ≤ USD 5","Excluded – IV only"),IF(ISNUMBER(I292),IF(AND(I292&gt;=$C$3,M292&gt;=$E$3),"Priority 1",IF(OR(I292&gt;=$C$3,M292&gt;=$E$3),"Priority 2","Priority 3")),IF(M292&gt;=$E$3,"Priority 2","Priority 3")))</f>
        <v>Priority 2</v>
      </c>
      <c r="F292" s="15" t="n">
        <f aca="false">IF(H292&lt;&gt;"","",COUNTIFS($A$29:$A$361,A292,$H$29:$H$361,"",$AJ$29:$AJ$361,"&gt;"&amp;AJ292)+COUNTIFS($A$29:A292,A292,$H$29:H292,"",$AJ$29:AJ292,AJ292))</f>
        <v>2</v>
      </c>
      <c r="G292" s="17" t="str">
        <f aca="false">IF(H292&lt;&gt;"","",IF(ISNUMBER(I292),IF(I292&gt;=$C$3,"High price","Lower price"),"No price")&amp;", "&amp;IF(M292&gt;=$E$3,"high volume","lower volume"))</f>
        <v>Lower price, high volume</v>
      </c>
      <c r="H292" s="17" t="str">
        <f aca="false">IF(Q292="No","IV only (no ID, IM or SC route)",IF(AND(AE292&gt;0,AF292=0),"Price ≤ USD 5",""))</f>
        <v/>
      </c>
      <c r="I292" s="18" t="n">
        <f aca="false">IF(AF292&gt;0,ROUND(AVERAGEIFS('Shortlisted Drugs X Company (7)'!$N$3:$N$698,'Shortlisted Drugs X Company (7)'!$C$3:$C$698,$B292,'Shortlisted Drugs X Company (7)'!$E$3:$E$698,$AA292,'Shortlisted Drugs X Company (7)'!$N$3:$N$698,"&gt;5"),2),"")</f>
        <v>23.05</v>
      </c>
      <c r="J292" s="17" t="str">
        <f aca="false">IF(COUNTIFS('Shortlisted Drugs X Company (7)'!$C$3:$C$698,$B292,'Shortlisted Drugs X Company (7)'!$E$3:$E$698,$AA292,'Shortlisted Drugs X Company (7)'!$P$3:$P$698,"Exact")&gt;0,"Exact",IF(COUNTIFS('Shortlisted Drugs X Company (7)'!$C$3:$C$698,$B292,'Shortlisted Drugs X Company (7)'!$E$3:$E$698,$AA292,'Shortlisted Drugs X Company (7)'!$P$3:$P$698,"Same-market proxy")&gt;0,"Same-market proxy",IF(COUNTIFS('Shortlisted Drugs X Company (7)'!$C$3:$C$698,$B292,'Shortlisted Drugs X Company (7)'!$E$3:$E$698,$AA292,'Shortlisted Drugs X Company (7)'!$P$3:$P$698,"Cross-market proxy")&gt;0,"Cross-market proxy",IF(COUNTIFS('Shortlisted Drugs X Company (7)'!$C$3:$C$698,$B292,'Shortlisted Drugs X Company (7)'!$E$3:$E$698,$AA292,'Shortlisted Drugs X Company (7)'!$P$3:$P$698,"Source not found")&gt;0,"Source not found","No price found"))))</f>
        <v>Same-market proxy</v>
      </c>
      <c r="K292" s="19" t="n">
        <f aca="false">IFERROR(INDEX('Injectable Value'!$AB$28:$AB$178,MATCH(B292,'Injectable Value'!$A$28:$A$178,0)),"")</f>
        <v>335</v>
      </c>
      <c r="L292" s="77" t="n">
        <f aca="false">IFERROR(INDEX('Injectable Value'!$Z$28:$Z$178,MATCH(B292,'Injectable Value'!$A$28:$A$178,0)),"")</f>
        <v>1</v>
      </c>
      <c r="M292" s="19" t="n">
        <f aca="false">IFERROR(INDEX('Injectable Value'!$AC$28:$AC$178,MATCH(B292,'Injectable Value'!$A$28:$A$178,0)),"")</f>
        <v>335</v>
      </c>
      <c r="N292" s="19" t="n">
        <f aca="false">IFERROR(INDEX('Injectable Value'!$C$28:$C$178,MATCH(B292,'Injectable Value'!$A$28:$A$178,0)),"")</f>
        <v>5713.56</v>
      </c>
      <c r="O292" s="19" t="n">
        <f aca="false">IFERROR(ROUND(INDEX('Injectable Value'!$AA$28:$AA$178,MATCH(B292,'Injectable Value'!$A$28:$A$178,0)),1),"")</f>
        <v>5713.6</v>
      </c>
      <c r="P292" s="16" t="str">
        <f aca="false">IFERROR(INDEX('Route of Administration'!$C$5:$C$155,MATCH(B292,'Route of Administration'!$A$5:$A$155,0)),"")</f>
        <v>IV, IM</v>
      </c>
      <c r="Q292" s="15" t="str">
        <f aca="false">IFERROR(INDEX('Route of Administration'!$D$5:$D$155,MATCH(B292,'Route of Administration'!$A$5:$A$155,0)),"")</f>
        <v>Yes</v>
      </c>
      <c r="R292" s="16" t="s">
        <v>281</v>
      </c>
      <c r="S292" s="17" t="s">
        <v>1320</v>
      </c>
      <c r="T292" s="16" t="s">
        <v>333</v>
      </c>
      <c r="U292" s="17" t="str">
        <f aca="false">"Reconstitution"&amp;IF(AE292=0,"; No price found","")&amp;IF(AND(AE292&gt;0,AF292=0,AG292=0),"; Low price comes from another market – confirm with the company","")</f>
        <v>Reconstitution</v>
      </c>
      <c r="V292" s="17" t="s">
        <v>112</v>
      </c>
      <c r="W292" s="15" t="n">
        <v>1</v>
      </c>
      <c r="X292" s="17" t="s">
        <v>614</v>
      </c>
      <c r="Y292" s="17" t="s">
        <v>614</v>
      </c>
      <c r="Z292" s="17" t="s">
        <v>286</v>
      </c>
      <c r="AA292" s="16" t="s">
        <v>1318</v>
      </c>
      <c r="AB292" s="78" t="s">
        <v>368</v>
      </c>
      <c r="AC292" s="20" t="n">
        <f aca="false">IF(AE292&gt;0,ROUND(AVERAGEIFS('Shortlisted Drugs X Company (7)'!$N$3:$N$698,'Shortlisted Drugs X Company (7)'!$C$3:$C$698,$B292,'Shortlisted Drugs X Company (7)'!$E$3:$E$698,$AA292,'Shortlisted Drugs X Company (7)'!$N$3:$N$698,"&gt;=0"),2),"")</f>
        <v>23.05</v>
      </c>
      <c r="AD292" s="79" t="str">
        <f aca="false">B292&amp;"|"&amp;AA292</f>
        <v>Ceftazidime|Strides Pharma Science</v>
      </c>
      <c r="AE292" s="22" t="n">
        <f aca="false">COUNTIFS('Shortlisted Drugs X Company (7)'!$C$3:$C$698,$B292,'Shortlisted Drugs X Company (7)'!$E$3:$E$698,$AA292,'Shortlisted Drugs X Company (7)'!$N$3:$N$698,"&gt;=0")</f>
        <v>2</v>
      </c>
      <c r="AF292" s="22" t="n">
        <f aca="false">COUNTIFS('Shortlisted Drugs X Company (7)'!$C$3:$C$698,$B292,'Shortlisted Drugs X Company (7)'!$E$3:$E$698,$AA292,'Shortlisted Drugs X Company (7)'!$N$3:$N$698,"&gt;5")</f>
        <v>2</v>
      </c>
      <c r="AG292" s="22" t="n">
        <f aca="false">COUNTIFS('Shortlisted Drugs X Company (7)'!$C$3:$C$698,$B292,'Shortlisted Drugs X Company (7)'!$E$3:$E$698,$AA292,'Shortlisted Drugs X Company (7)'!$P$3:$P$698,"Exact")+COUNTIFS('Shortlisted Drugs X Company (7)'!$C$3:$C$698,$B292,'Shortlisted Drugs X Company (7)'!$E$3:$E$698,$AA292,'Shortlisted Drugs X Company (7)'!$P$3:$P$698,"Same-market proxy")</f>
        <v>2</v>
      </c>
      <c r="AH292" s="22" t="n">
        <f aca="false">INDEX($G$7:$G$25,MATCH(A292,$A$7:$A$25,0))</f>
        <v>17</v>
      </c>
      <c r="AI292" s="79" t="n">
        <f aca="false">IF(OR(Q292="No",LEFT(H292,7)="IV only"),"",AH292*1000+IF(F292="",900+COUNTIFS($A$29:A292,A292,$H$29:H292,"Price*"),F292))</f>
        <v>17002</v>
      </c>
      <c r="AJ292" s="79" t="n">
        <f aca="false">IF(H292&lt;&gt;"","",(4-VALUE(RIGHT(E292,1)))*10^7+N(O292))</f>
        <v>20005713.6</v>
      </c>
      <c r="AK292" s="20" t="n">
        <f aca="false">IF(AND(H292="",ISNUMBER(I292)),I292,"")</f>
        <v>23.05</v>
      </c>
      <c r="AL292" s="21" t="n">
        <f aca="false">IF(H292="",M292,"")</f>
        <v>335</v>
      </c>
    </row>
    <row r="293" customFormat="false" ht="41.75" hidden="false" customHeight="false" outlineLevel="0" collapsed="false">
      <c r="A293" s="16" t="s">
        <v>240</v>
      </c>
      <c r="B293" s="16" t="s">
        <v>632</v>
      </c>
      <c r="C293" s="17" t="s">
        <v>1321</v>
      </c>
      <c r="D293" s="17" t="s">
        <v>634</v>
      </c>
      <c r="E293" s="15" t="str">
        <f aca="false">IF(H293&lt;&gt;"",IF(LEFT(H293,5)="Price","Excluded – price ≤ USD 5","Excluded – IV only"),IF(ISNUMBER(I293),IF(AND(I293&gt;=$C$3,M293&gt;=$E$3),"Priority 1",IF(OR(I293&gt;=$C$3,M293&gt;=$E$3),"Priority 2","Priority 3")),IF(M293&gt;=$E$3,"Priority 2","Priority 3")))</f>
        <v>Priority 2</v>
      </c>
      <c r="F293" s="15" t="n">
        <f aca="false">IF(H293&lt;&gt;"","",COUNTIFS($A$29:$A$361,A293,$H$29:$H$361,"",$AJ$29:$AJ$361,"&gt;"&amp;AJ293)+COUNTIFS($A$29:A293,A293,$H$29:H293,"",$AJ$29:AJ293,AJ293))</f>
        <v>3</v>
      </c>
      <c r="G293" s="17" t="str">
        <f aca="false">IF(H293&lt;&gt;"","",IF(ISNUMBER(I293),IF(I293&gt;=$C$3,"High price","Lower price"),"No price")&amp;", "&amp;IF(M293&gt;=$E$3,"high volume","lower volume"))</f>
        <v>Lower price, high volume</v>
      </c>
      <c r="H293" s="17" t="str">
        <f aca="false">IF(Q293="No","IV only (no ID, IM or SC route)",IF(AND(AE293&gt;0,AF293=0),"Price ≤ USD 5",""))</f>
        <v/>
      </c>
      <c r="I293" s="18" t="n">
        <f aca="false">IF(AF293&gt;0,ROUND(AVERAGEIFS('Shortlisted Drugs X Company (7)'!$N$3:$N$698,'Shortlisted Drugs X Company (7)'!$C$3:$C$698,$B293,'Shortlisted Drugs X Company (7)'!$E$3:$E$698,$AA293,'Shortlisted Drugs X Company (7)'!$N$3:$N$698,"&gt;5"),2),"")</f>
        <v>6.94</v>
      </c>
      <c r="J293" s="17" t="str">
        <f aca="false">IF(COUNTIFS('Shortlisted Drugs X Company (7)'!$C$3:$C$698,$B293,'Shortlisted Drugs X Company (7)'!$E$3:$E$698,$AA293,'Shortlisted Drugs X Company (7)'!$P$3:$P$698,"Exact")&gt;0,"Exact",IF(COUNTIFS('Shortlisted Drugs X Company (7)'!$C$3:$C$698,$B293,'Shortlisted Drugs X Company (7)'!$E$3:$E$698,$AA293,'Shortlisted Drugs X Company (7)'!$P$3:$P$698,"Same-market proxy")&gt;0,"Same-market proxy",IF(COUNTIFS('Shortlisted Drugs X Company (7)'!$C$3:$C$698,$B293,'Shortlisted Drugs X Company (7)'!$E$3:$E$698,$AA293,'Shortlisted Drugs X Company (7)'!$P$3:$P$698,"Cross-market proxy")&gt;0,"Cross-market proxy",IF(COUNTIFS('Shortlisted Drugs X Company (7)'!$C$3:$C$698,$B293,'Shortlisted Drugs X Company (7)'!$E$3:$E$698,$AA293,'Shortlisted Drugs X Company (7)'!$P$3:$P$698,"Source not found")&gt;0,"Source not found","No price found"))))</f>
        <v>Exact</v>
      </c>
      <c r="K293" s="19" t="n">
        <f aca="false">IFERROR(INDEX('Injectable Value'!$AB$28:$AB$178,MATCH(B293,'Injectable Value'!$A$28:$A$178,0)),"")</f>
        <v>2582</v>
      </c>
      <c r="L293" s="77" t="n">
        <f aca="false">IFERROR(INDEX('Injectable Value'!$Z$28:$Z$178,MATCH(B293,'Injectable Value'!$A$28:$A$178,0)),"")</f>
        <v>0.125875590958329</v>
      </c>
      <c r="M293" s="19" t="n">
        <f aca="false">IFERROR(INDEX('Injectable Value'!$AC$28:$AC$178,MATCH(B293,'Injectable Value'!$A$28:$A$178,0)),"")</f>
        <v>325</v>
      </c>
      <c r="N293" s="19" t="n">
        <f aca="false">IFERROR(INDEX('Injectable Value'!$C$28:$C$178,MATCH(B293,'Injectable Value'!$A$28:$A$178,0)),"")</f>
        <v>38106.07</v>
      </c>
      <c r="O293" s="19" t="n">
        <f aca="false">IFERROR(ROUND(INDEX('Injectable Value'!$AA$28:$AA$178,MATCH(B293,'Injectable Value'!$A$28:$A$178,0)),1),"")</f>
        <v>4796.6</v>
      </c>
      <c r="P293" s="16" t="str">
        <f aca="false">IFERROR(INDEX('Route of Administration'!$C$5:$C$155,MATCH(B293,'Route of Administration'!$A$5:$A$155,0)),"")</f>
        <v>IV, IM</v>
      </c>
      <c r="Q293" s="15" t="str">
        <f aca="false">IFERROR(INDEX('Route of Administration'!$D$5:$D$155,MATCH(B293,'Route of Administration'!$A$5:$A$155,0)),"")</f>
        <v>Yes</v>
      </c>
      <c r="R293" s="16" t="s">
        <v>281</v>
      </c>
      <c r="S293" s="17" t="s">
        <v>1202</v>
      </c>
      <c r="T293" s="16" t="s">
        <v>283</v>
      </c>
      <c r="U293" s="17" t="str">
        <f aca="false">""&amp;IF(AE293=0,"No price found","")&amp;IF(AND(AE293&gt;0,AF293=0,AG293=0),"Low price comes from another market – confirm with the company","")</f>
        <v/>
      </c>
      <c r="V293" s="17" t="s">
        <v>112</v>
      </c>
      <c r="W293" s="15" t="n">
        <v>1</v>
      </c>
      <c r="X293" s="17" t="s">
        <v>360</v>
      </c>
      <c r="Y293" s="17" t="s">
        <v>360</v>
      </c>
      <c r="Z293" s="17" t="s">
        <v>286</v>
      </c>
      <c r="AA293" s="16" t="s">
        <v>1318</v>
      </c>
      <c r="AB293" s="78" t="s">
        <v>636</v>
      </c>
      <c r="AC293" s="20" t="n">
        <f aca="false">IF(AE293&gt;0,ROUND(AVERAGEIFS('Shortlisted Drugs X Company (7)'!$N$3:$N$698,'Shortlisted Drugs X Company (7)'!$C$3:$C$698,$B293,'Shortlisted Drugs X Company (7)'!$E$3:$E$698,$AA293,'Shortlisted Drugs X Company (7)'!$N$3:$N$698,"&gt;=0"),2),"")</f>
        <v>6.94</v>
      </c>
      <c r="AD293" s="79" t="str">
        <f aca="false">B293&amp;"|"&amp;AA293</f>
        <v>Hydrocortisone|Strides Pharma Science</v>
      </c>
      <c r="AE293" s="22" t="n">
        <f aca="false">COUNTIFS('Shortlisted Drugs X Company (7)'!$C$3:$C$698,$B293,'Shortlisted Drugs X Company (7)'!$E$3:$E$698,$AA293,'Shortlisted Drugs X Company (7)'!$N$3:$N$698,"&gt;=0")</f>
        <v>1</v>
      </c>
      <c r="AF293" s="22" t="n">
        <f aca="false">COUNTIFS('Shortlisted Drugs X Company (7)'!$C$3:$C$698,$B293,'Shortlisted Drugs X Company (7)'!$E$3:$E$698,$AA293,'Shortlisted Drugs X Company (7)'!$N$3:$N$698,"&gt;5")</f>
        <v>1</v>
      </c>
      <c r="AG293" s="22" t="n">
        <f aca="false">COUNTIFS('Shortlisted Drugs X Company (7)'!$C$3:$C$698,$B293,'Shortlisted Drugs X Company (7)'!$E$3:$E$698,$AA293,'Shortlisted Drugs X Company (7)'!$P$3:$P$698,"Exact")+COUNTIFS('Shortlisted Drugs X Company (7)'!$C$3:$C$698,$B293,'Shortlisted Drugs X Company (7)'!$E$3:$E$698,$AA293,'Shortlisted Drugs X Company (7)'!$P$3:$P$698,"Same-market proxy")</f>
        <v>1</v>
      </c>
      <c r="AH293" s="22" t="n">
        <f aca="false">INDEX($G$7:$G$25,MATCH(A293,$A$7:$A$25,0))</f>
        <v>17</v>
      </c>
      <c r="AI293" s="79" t="n">
        <f aca="false">IF(OR(Q293="No",LEFT(H293,7)="IV only"),"",AH293*1000+IF(F293="",900+COUNTIFS($A$29:A293,A293,$H$29:H293,"Price*"),F293))</f>
        <v>17003</v>
      </c>
      <c r="AJ293" s="79" t="n">
        <f aca="false">IF(H293&lt;&gt;"","",(4-VALUE(RIGHT(E293,1)))*10^7+N(O293))</f>
        <v>20004796.6</v>
      </c>
      <c r="AK293" s="20" t="n">
        <f aca="false">IF(AND(H293="",ISNUMBER(I293)),I293,"")</f>
        <v>6.94</v>
      </c>
      <c r="AL293" s="21" t="n">
        <f aca="false">IF(H293="",M293,"")</f>
        <v>325</v>
      </c>
    </row>
    <row r="294" customFormat="false" ht="28.35" hidden="false" customHeight="false" outlineLevel="0" collapsed="false">
      <c r="A294" s="16" t="s">
        <v>240</v>
      </c>
      <c r="B294" s="16" t="s">
        <v>483</v>
      </c>
      <c r="C294" s="17" t="s">
        <v>1322</v>
      </c>
      <c r="D294" s="17" t="s">
        <v>485</v>
      </c>
      <c r="E294" s="15" t="str">
        <f aca="false">IF(H294&lt;&gt;"",IF(LEFT(H294,5)="Price","Excluded – price ≤ USD 5","Excluded – IV only"),IF(ISNUMBER(I294),IF(AND(I294&gt;=$C$3,M294&gt;=$E$3),"Priority 1",IF(OR(I294&gt;=$C$3,M294&gt;=$E$3),"Priority 2","Priority 3")),IF(M294&gt;=$E$3,"Priority 2","Priority 3")))</f>
        <v>Excluded – IV only</v>
      </c>
      <c r="F294" s="15" t="str">
        <f aca="false">IF(H294&lt;&gt;"","",COUNTIFS($A$29:$A$361,A294,$H$29:$H$361,"",$AJ$29:$AJ$361,"&gt;"&amp;AJ294)+COUNTIFS($A$29:A294,A294,$H$29:H294,"",$AJ$29:AJ294,AJ294))</f>
        <v/>
      </c>
      <c r="G294" s="17" t="str">
        <f aca="false">IF(H294&lt;&gt;"","",IF(ISNUMBER(I294),IF(I294&gt;=$C$3,"High price","Lower price"),"No price")&amp;", "&amp;IF(M294&gt;=$E$3,"high volume","lower volume"))</f>
        <v/>
      </c>
      <c r="H294" s="17" t="str">
        <f aca="false">IF(Q294="No","IV only (no ID, IM or SC route)",IF(AND(AE294&gt;0,AF294=0),"Price ≤ USD 5",""))</f>
        <v>IV only (no ID, IM or SC route)</v>
      </c>
      <c r="I294" s="18" t="n">
        <f aca="false">IF(AF294&gt;0,ROUND(AVERAGEIFS('Shortlisted Drugs X Company (7)'!$N$3:$N$698,'Shortlisted Drugs X Company (7)'!$C$3:$C$698,$B294,'Shortlisted Drugs X Company (7)'!$E$3:$E$698,$AA294,'Shortlisted Drugs X Company (7)'!$N$3:$N$698,"&gt;5"),2),"")</f>
        <v>11.71</v>
      </c>
      <c r="J294" s="17" t="str">
        <f aca="false">IF(COUNTIFS('Shortlisted Drugs X Company (7)'!$C$3:$C$698,$B294,'Shortlisted Drugs X Company (7)'!$E$3:$E$698,$AA294,'Shortlisted Drugs X Company (7)'!$P$3:$P$698,"Exact")&gt;0,"Exact",IF(COUNTIFS('Shortlisted Drugs X Company (7)'!$C$3:$C$698,$B294,'Shortlisted Drugs X Company (7)'!$E$3:$E$698,$AA294,'Shortlisted Drugs X Company (7)'!$P$3:$P$698,"Same-market proxy")&gt;0,"Same-market proxy",IF(COUNTIFS('Shortlisted Drugs X Company (7)'!$C$3:$C$698,$B294,'Shortlisted Drugs X Company (7)'!$E$3:$E$698,$AA294,'Shortlisted Drugs X Company (7)'!$P$3:$P$698,"Cross-market proxy")&gt;0,"Cross-market proxy",IF(COUNTIFS('Shortlisted Drugs X Company (7)'!$C$3:$C$698,$B294,'Shortlisted Drugs X Company (7)'!$E$3:$E$698,$AA294,'Shortlisted Drugs X Company (7)'!$P$3:$P$698,"Source not found")&gt;0,"Source not found","No price found"))))</f>
        <v>Same-market proxy</v>
      </c>
      <c r="K294" s="19" t="n">
        <f aca="false">IFERROR(INDEX('Injectable Value'!$AB$28:$AB$178,MATCH(B294,'Injectable Value'!$A$28:$A$178,0)),"")</f>
        <v>1185</v>
      </c>
      <c r="L294" s="77" t="n">
        <f aca="false">IFERROR(INDEX('Injectable Value'!$Z$28:$Z$178,MATCH(B294,'Injectable Value'!$A$28:$A$178,0)),"")</f>
        <v>0.991808067465962</v>
      </c>
      <c r="M294" s="19" t="n">
        <f aca="false">IFERROR(INDEX('Injectable Value'!$AC$28:$AC$178,MATCH(B294,'Injectable Value'!$A$28:$A$178,0)),"")</f>
        <v>1175</v>
      </c>
      <c r="N294" s="19" t="n">
        <f aca="false">IFERROR(INDEX('Injectable Value'!$C$28:$C$178,MATCH(B294,'Injectable Value'!$A$28:$A$178,0)),"")</f>
        <v>59407.06</v>
      </c>
      <c r="O294" s="19" t="n">
        <f aca="false">IFERROR(ROUND(INDEX('Injectable Value'!$AA$28:$AA$178,MATCH(B294,'Injectable Value'!$A$28:$A$178,0)),1),"")</f>
        <v>58920.4</v>
      </c>
      <c r="P294" s="16" t="str">
        <f aca="false">IFERROR(INDEX('Route of Administration'!$C$5:$C$155,MATCH(B294,'Route of Administration'!$A$5:$A$155,0)),"")</f>
        <v>IV</v>
      </c>
      <c r="Q294" s="15" t="str">
        <f aca="false">IFERROR(INDEX('Route of Administration'!$D$5:$D$155,MATCH(B294,'Route of Administration'!$A$5:$A$155,0)),"")</f>
        <v>No</v>
      </c>
      <c r="R294" s="16" t="s">
        <v>281</v>
      </c>
      <c r="S294" s="17" t="s">
        <v>771</v>
      </c>
      <c r="T294" s="16" t="s">
        <v>333</v>
      </c>
      <c r="U294" s="17" t="str">
        <f aca="false">"Reconstitution"&amp;IF(AE294=0,"; No price found","")&amp;IF(AND(AE294&gt;0,AF294=0,AG294=0),"; Low price comes from another market – confirm with the company","")</f>
        <v>Reconstitution</v>
      </c>
      <c r="V294" s="17" t="s">
        <v>772</v>
      </c>
      <c r="W294" s="15" t="n">
        <v>2</v>
      </c>
      <c r="X294" s="17" t="s">
        <v>772</v>
      </c>
      <c r="Y294" s="17" t="s">
        <v>772</v>
      </c>
      <c r="Z294" s="17" t="s">
        <v>286</v>
      </c>
      <c r="AA294" s="16" t="s">
        <v>1318</v>
      </c>
      <c r="AB294" s="78" t="s">
        <v>490</v>
      </c>
      <c r="AC294" s="20" t="n">
        <f aca="false">IF(AE294&gt;0,ROUND(AVERAGEIFS('Shortlisted Drugs X Company (7)'!$N$3:$N$698,'Shortlisted Drugs X Company (7)'!$C$3:$C$698,$B294,'Shortlisted Drugs X Company (7)'!$E$3:$E$698,$AA294,'Shortlisted Drugs X Company (7)'!$N$3:$N$698,"&gt;=0"),2),"")</f>
        <v>11.71</v>
      </c>
      <c r="AD294" s="79" t="str">
        <f aca="false">B294&amp;"|"&amp;AA294</f>
        <v>Meropenem|Strides Pharma Science</v>
      </c>
      <c r="AE294" s="22" t="n">
        <f aca="false">COUNTIFS('Shortlisted Drugs X Company (7)'!$C$3:$C$698,$B294,'Shortlisted Drugs X Company (7)'!$E$3:$E$698,$AA294,'Shortlisted Drugs X Company (7)'!$N$3:$N$698,"&gt;=0")</f>
        <v>3</v>
      </c>
      <c r="AF294" s="22" t="n">
        <f aca="false">COUNTIFS('Shortlisted Drugs X Company (7)'!$C$3:$C$698,$B294,'Shortlisted Drugs X Company (7)'!$E$3:$E$698,$AA294,'Shortlisted Drugs X Company (7)'!$N$3:$N$698,"&gt;5")</f>
        <v>3</v>
      </c>
      <c r="AG294" s="22" t="n">
        <f aca="false">COUNTIFS('Shortlisted Drugs X Company (7)'!$C$3:$C$698,$B294,'Shortlisted Drugs X Company (7)'!$E$3:$E$698,$AA294,'Shortlisted Drugs X Company (7)'!$P$3:$P$698,"Exact")+COUNTIFS('Shortlisted Drugs X Company (7)'!$C$3:$C$698,$B294,'Shortlisted Drugs X Company (7)'!$E$3:$E$698,$AA294,'Shortlisted Drugs X Company (7)'!$P$3:$P$698,"Same-market proxy")</f>
        <v>1</v>
      </c>
      <c r="AH294" s="22" t="n">
        <f aca="false">INDEX($G$7:$G$25,MATCH(A294,$A$7:$A$25,0))</f>
        <v>17</v>
      </c>
      <c r="AI294" s="79" t="str">
        <f aca="false">IF(OR(Q294="No",LEFT(H294,7)="IV only"),"",AH294*1000+IF(F294="",900+COUNTIFS($A$29:A294,A294,$H$29:H294,"Price*"),F294))</f>
        <v/>
      </c>
      <c r="AJ294" s="79" t="str">
        <f aca="false">IF(H294&lt;&gt;"","",(4-VALUE(RIGHT(E294,1)))*10^7+N(O294))</f>
        <v/>
      </c>
      <c r="AK294" s="79" t="str">
        <f aca="false">IF(AND(H294="",ISNUMBER(I294)),I294,"")</f>
        <v/>
      </c>
      <c r="AL294" s="79" t="str">
        <f aca="false">IF(H294="",M294,"")</f>
        <v/>
      </c>
    </row>
    <row r="295" customFormat="false" ht="41.75" hidden="false" customHeight="false" outlineLevel="0" collapsed="false">
      <c r="A295" s="16" t="s">
        <v>240</v>
      </c>
      <c r="B295" s="16" t="s">
        <v>1323</v>
      </c>
      <c r="C295" s="17" t="s">
        <v>1324</v>
      </c>
      <c r="D295" s="17" t="s">
        <v>1325</v>
      </c>
      <c r="E295" s="15" t="str">
        <f aca="false">IF(H295&lt;&gt;"",IF(LEFT(H295,5)="Price","Excluded – price ≤ USD 5","Excluded – IV only"),IF(ISNUMBER(I295),IF(AND(I295&gt;=$C$3,M295&gt;=$E$3),"Priority 1",IF(OR(I295&gt;=$C$3,M295&gt;=$E$3),"Priority 2","Priority 3")),IF(M295&gt;=$E$3,"Priority 2","Priority 3")))</f>
        <v>Excluded – IV only</v>
      </c>
      <c r="F295" s="15" t="str">
        <f aca="false">IF(H295&lt;&gt;"","",COUNTIFS($A$29:$A$361,A295,$H$29:$H$361,"",$AJ$29:$AJ$361,"&gt;"&amp;AJ295)+COUNTIFS($A$29:A295,A295,$H$29:H295,"",$AJ$29:AJ295,AJ295))</f>
        <v/>
      </c>
      <c r="G295" s="17" t="str">
        <f aca="false">IF(H295&lt;&gt;"","",IF(ISNUMBER(I295),IF(I295&gt;=$C$3,"High price","Lower price"),"No price")&amp;", "&amp;IF(M295&gt;=$E$3,"high volume","lower volume"))</f>
        <v/>
      </c>
      <c r="H295" s="17" t="str">
        <f aca="false">IF(Q295="No","IV only (no ID, IM or SC route)",IF(AND(AE295&gt;0,AF295=0),"Price ≤ USD 5",""))</f>
        <v>IV only (no ID, IM or SC route)</v>
      </c>
      <c r="I295" s="18" t="n">
        <f aca="false">IF(AF295&gt;0,ROUND(AVERAGEIFS('Shortlisted Drugs X Company (7)'!$N$3:$N$698,'Shortlisted Drugs X Company (7)'!$C$3:$C$698,$B295,'Shortlisted Drugs X Company (7)'!$E$3:$E$698,$AA295,'Shortlisted Drugs X Company (7)'!$N$3:$N$698,"&gt;5"),2),"")</f>
        <v>20.23</v>
      </c>
      <c r="J295" s="17" t="str">
        <f aca="false">IF(COUNTIFS('Shortlisted Drugs X Company (7)'!$C$3:$C$698,$B295,'Shortlisted Drugs X Company (7)'!$E$3:$E$698,$AA295,'Shortlisted Drugs X Company (7)'!$P$3:$P$698,"Exact")&gt;0,"Exact",IF(COUNTIFS('Shortlisted Drugs X Company (7)'!$C$3:$C$698,$B295,'Shortlisted Drugs X Company (7)'!$E$3:$E$698,$AA295,'Shortlisted Drugs X Company (7)'!$P$3:$P$698,"Same-market proxy")&gt;0,"Same-market proxy",IF(COUNTIFS('Shortlisted Drugs X Company (7)'!$C$3:$C$698,$B295,'Shortlisted Drugs X Company (7)'!$E$3:$E$698,$AA295,'Shortlisted Drugs X Company (7)'!$P$3:$P$698,"Cross-market proxy")&gt;0,"Cross-market proxy",IF(COUNTIFS('Shortlisted Drugs X Company (7)'!$C$3:$C$698,$B295,'Shortlisted Drugs X Company (7)'!$E$3:$E$698,$AA295,'Shortlisted Drugs X Company (7)'!$P$3:$P$698,"Source not found")&gt;0,"Source not found","No price found"))))</f>
        <v>Same-market proxy</v>
      </c>
      <c r="K295" s="19" t="n">
        <f aca="false">IFERROR(INDEX('Injectable Value'!$AB$28:$AB$178,MATCH(B295,'Injectable Value'!$A$28:$A$178,0)),"")</f>
        <v>766</v>
      </c>
      <c r="L295" s="77" t="n">
        <f aca="false">IFERROR(INDEX('Injectable Value'!$Z$28:$Z$178,MATCH(B295,'Injectable Value'!$A$28:$A$178,0)),"")</f>
        <v>1</v>
      </c>
      <c r="M295" s="19" t="n">
        <f aca="false">IFERROR(INDEX('Injectable Value'!$AC$28:$AC$178,MATCH(B295,'Injectable Value'!$A$28:$A$178,0)),"")</f>
        <v>766</v>
      </c>
      <c r="N295" s="19" t="n">
        <f aca="false">IFERROR(INDEX('Injectable Value'!$C$28:$C$178,MATCH(B295,'Injectable Value'!$A$28:$A$178,0)),"")</f>
        <v>32204.47</v>
      </c>
      <c r="O295" s="19" t="n">
        <f aca="false">IFERROR(ROUND(INDEX('Injectable Value'!$AA$28:$AA$178,MATCH(B295,'Injectable Value'!$A$28:$A$178,0)),1),"")</f>
        <v>32204.5</v>
      </c>
      <c r="P295" s="16" t="str">
        <f aca="false">IFERROR(INDEX('Route of Administration'!$C$5:$C$155,MATCH(B295,'Route of Administration'!$A$5:$A$155,0)),"")</f>
        <v>IV</v>
      </c>
      <c r="Q295" s="15" t="str">
        <f aca="false">IFERROR(INDEX('Route of Administration'!$D$5:$D$155,MATCH(B295,'Route of Administration'!$A$5:$A$155,0)),"")</f>
        <v>No</v>
      </c>
      <c r="R295" s="16" t="s">
        <v>281</v>
      </c>
      <c r="S295" s="17" t="s">
        <v>1326</v>
      </c>
      <c r="T295" s="16" t="s">
        <v>333</v>
      </c>
      <c r="U295" s="17" t="str">
        <f aca="false">"Reconstitution"&amp;IF(AE295=0,"; No price found","")&amp;IF(AND(AE295&gt;0,AF295=0,AG295=0),"; Low price comes from another market – confirm with the company","")</f>
        <v>Reconstitution</v>
      </c>
      <c r="V295" s="17" t="s">
        <v>112</v>
      </c>
      <c r="W295" s="15" t="n">
        <v>1</v>
      </c>
      <c r="X295" s="17" t="s">
        <v>614</v>
      </c>
      <c r="Y295" s="17" t="s">
        <v>614</v>
      </c>
      <c r="Z295" s="17" t="s">
        <v>321</v>
      </c>
      <c r="AA295" s="16" t="s">
        <v>1318</v>
      </c>
      <c r="AB295" s="78" t="s">
        <v>1327</v>
      </c>
      <c r="AC295" s="20" t="n">
        <f aca="false">IF(AE295&gt;0,ROUND(AVERAGEIFS('Shortlisted Drugs X Company (7)'!$N$3:$N$698,'Shortlisted Drugs X Company (7)'!$C$3:$C$698,$B295,'Shortlisted Drugs X Company (7)'!$E$3:$E$698,$AA295,'Shortlisted Drugs X Company (7)'!$N$3:$N$698,"&gt;=0"),2),"")</f>
        <v>20.23</v>
      </c>
      <c r="AD295" s="79" t="str">
        <f aca="false">B295&amp;"|"&amp;AA295</f>
        <v>Piperacillin + Tazobactam|Strides Pharma Science</v>
      </c>
      <c r="AE295" s="22" t="n">
        <f aca="false">COUNTIFS('Shortlisted Drugs X Company (7)'!$C$3:$C$698,$B295,'Shortlisted Drugs X Company (7)'!$E$3:$E$698,$AA295,'Shortlisted Drugs X Company (7)'!$N$3:$N$698,"&gt;=0")</f>
        <v>2</v>
      </c>
      <c r="AF295" s="22" t="n">
        <f aca="false">COUNTIFS('Shortlisted Drugs X Company (7)'!$C$3:$C$698,$B295,'Shortlisted Drugs X Company (7)'!$E$3:$E$698,$AA295,'Shortlisted Drugs X Company (7)'!$N$3:$N$698,"&gt;5")</f>
        <v>2</v>
      </c>
      <c r="AG295" s="22" t="n">
        <f aca="false">COUNTIFS('Shortlisted Drugs X Company (7)'!$C$3:$C$698,$B295,'Shortlisted Drugs X Company (7)'!$E$3:$E$698,$AA295,'Shortlisted Drugs X Company (7)'!$P$3:$P$698,"Exact")+COUNTIFS('Shortlisted Drugs X Company (7)'!$C$3:$C$698,$B295,'Shortlisted Drugs X Company (7)'!$E$3:$E$698,$AA295,'Shortlisted Drugs X Company (7)'!$P$3:$P$698,"Same-market proxy")</f>
        <v>2</v>
      </c>
      <c r="AH295" s="22" t="n">
        <f aca="false">INDEX($G$7:$G$25,MATCH(A295,$A$7:$A$25,0))</f>
        <v>17</v>
      </c>
      <c r="AI295" s="79" t="str">
        <f aca="false">IF(OR(Q295="No",LEFT(H295,7)="IV only"),"",AH295*1000+IF(F295="",900+COUNTIFS($A$29:A295,A295,$H$29:H295,"Price*"),F295))</f>
        <v/>
      </c>
      <c r="AJ295" s="79" t="str">
        <f aca="false">IF(H295&lt;&gt;"","",(4-VALUE(RIGHT(E295,1)))*10^7+N(O295))</f>
        <v/>
      </c>
      <c r="AK295" s="79" t="str">
        <f aca="false">IF(AND(H295="",ISNUMBER(I295)),I295,"")</f>
        <v/>
      </c>
      <c r="AL295" s="79" t="str">
        <f aca="false">IF(H295="",M295,"")</f>
        <v/>
      </c>
    </row>
    <row r="296" customFormat="false" ht="41.75" hidden="false" customHeight="false" outlineLevel="0" collapsed="false">
      <c r="A296" s="16" t="s">
        <v>241</v>
      </c>
      <c r="B296" s="16" t="s">
        <v>73</v>
      </c>
      <c r="C296" s="17" t="s">
        <v>1328</v>
      </c>
      <c r="D296" s="17" t="s">
        <v>1329</v>
      </c>
      <c r="E296" s="15" t="str">
        <f aca="false">IF(H296&lt;&gt;"",IF(LEFT(H296,5)="Price","Excluded – price ≤ USD 5","Excluded – IV only"),IF(ISNUMBER(I296),IF(AND(I296&gt;=$C$3,M296&gt;=$E$3),"Priority 1",IF(OR(I296&gt;=$C$3,M296&gt;=$E$3),"Priority 2","Priority 3")),IF(M296&gt;=$E$3,"Priority 2","Priority 3")))</f>
        <v>Priority 2</v>
      </c>
      <c r="F296" s="15" t="n">
        <f aca="false">IF(H296&lt;&gt;"","",COUNTIFS($A$29:$A$361,A296,$H$29:$H$361,"",$AJ$29:$AJ$361,"&gt;"&amp;AJ296)+COUNTIFS($A$29:A296,A296,$H$29:H296,"",$AJ$29:AJ296,AJ296))</f>
        <v>6</v>
      </c>
      <c r="G296" s="17" t="str">
        <f aca="false">IF(H296&lt;&gt;"","",IF(ISNUMBER(I296),IF(I296&gt;=$C$3,"High price","Lower price"),"No price")&amp;", "&amp;IF(M296&gt;=$E$3,"high volume","lower volume"))</f>
        <v>High price, lower volume</v>
      </c>
      <c r="H296" s="17" t="str">
        <f aca="false">IF(Q296="No","IV only (no ID, IM or SC route)",IF(AND(AE296&gt;0,AF296=0),"Price ≤ USD 5",""))</f>
        <v/>
      </c>
      <c r="I296" s="18" t="n">
        <f aca="false">IF(AF296&gt;0,ROUND(AVERAGEIFS('Shortlisted Drugs X Company (7)'!$N$3:$N$698,'Shortlisted Drugs X Company (7)'!$C$3:$C$698,$B296,'Shortlisted Drugs X Company (7)'!$E$3:$E$698,$AA296,'Shortlisted Drugs X Company (7)'!$N$3:$N$698,"&gt;5"),2),"")</f>
        <v>198.74</v>
      </c>
      <c r="J296" s="17" t="str">
        <f aca="false">IF(COUNTIFS('Shortlisted Drugs X Company (7)'!$C$3:$C$698,$B296,'Shortlisted Drugs X Company (7)'!$E$3:$E$698,$AA296,'Shortlisted Drugs X Company (7)'!$P$3:$P$698,"Exact")&gt;0,"Exact",IF(COUNTIFS('Shortlisted Drugs X Company (7)'!$C$3:$C$698,$B296,'Shortlisted Drugs X Company (7)'!$E$3:$E$698,$AA296,'Shortlisted Drugs X Company (7)'!$P$3:$P$698,"Same-market proxy")&gt;0,"Same-market proxy",IF(COUNTIFS('Shortlisted Drugs X Company (7)'!$C$3:$C$698,$B296,'Shortlisted Drugs X Company (7)'!$E$3:$E$698,$AA296,'Shortlisted Drugs X Company (7)'!$P$3:$P$698,"Cross-market proxy")&gt;0,"Cross-market proxy",IF(COUNTIFS('Shortlisted Drugs X Company (7)'!$C$3:$C$698,$B296,'Shortlisted Drugs X Company (7)'!$E$3:$E$698,$AA296,'Shortlisted Drugs X Company (7)'!$P$3:$P$698,"Source not found")&gt;0,"Source not found","No price found"))))</f>
        <v>Exact</v>
      </c>
      <c r="K296" s="19" t="n">
        <f aca="false">IFERROR(INDEX('Injectable Value'!$AB$28:$AB$178,MATCH(B296,'Injectable Value'!$A$28:$A$178,0)),"")</f>
        <v>1331</v>
      </c>
      <c r="L296" s="77" t="n">
        <f aca="false">IFERROR(INDEX('Injectable Value'!$Z$28:$Z$178,MATCH(B296,'Injectable Value'!$A$28:$A$178,0)),"")</f>
        <v>0.0847700746550087</v>
      </c>
      <c r="M296" s="19" t="n">
        <f aca="false">IFERROR(INDEX('Injectable Value'!$AC$28:$AC$178,MATCH(B296,'Injectable Value'!$A$28:$A$178,0)),"")</f>
        <v>113</v>
      </c>
      <c r="N296" s="19" t="n">
        <f aca="false">IFERROR(INDEX('Injectable Value'!$C$28:$C$178,MATCH(B296,'Injectable Value'!$A$28:$A$178,0)),"")</f>
        <v>23317.34</v>
      </c>
      <c r="O296" s="19" t="n">
        <f aca="false">IFERROR(ROUND(INDEX('Injectable Value'!$AA$28:$AA$178,MATCH(B296,'Injectable Value'!$A$28:$A$178,0)),1),"")</f>
        <v>1976.6</v>
      </c>
      <c r="P296" s="16" t="str">
        <f aca="false">IFERROR(INDEX('Route of Administration'!$C$5:$C$155,MATCH(B296,'Route of Administration'!$A$5:$A$155,0)),"")</f>
        <v>IM</v>
      </c>
      <c r="Q296" s="15" t="str">
        <f aca="false">IFERROR(INDEX('Route of Administration'!$D$5:$D$155,MATCH(B296,'Route of Administration'!$A$5:$A$155,0)),"")</f>
        <v>Yes</v>
      </c>
      <c r="R296" s="16" t="s">
        <v>281</v>
      </c>
      <c r="S296" s="17" t="s">
        <v>1330</v>
      </c>
      <c r="T296" s="16" t="s">
        <v>283</v>
      </c>
      <c r="U296" s="17" t="str">
        <f aca="false">"Reconstitution"&amp;IF(AE296=0,"; No price found","")&amp;IF(AND(AE296&gt;0,AF296=0,AG296=0),"; Low price comes from another market – confirm with the company","")</f>
        <v>Reconstitution</v>
      </c>
      <c r="V296" s="17" t="s">
        <v>1144</v>
      </c>
      <c r="W296" s="15" t="n">
        <v>2</v>
      </c>
      <c r="X296" s="17" t="s">
        <v>1331</v>
      </c>
      <c r="Y296" s="17" t="s">
        <v>1331</v>
      </c>
      <c r="Z296" s="17" t="s">
        <v>321</v>
      </c>
      <c r="AA296" s="16" t="s">
        <v>241</v>
      </c>
      <c r="AB296" s="78" t="s">
        <v>1332</v>
      </c>
      <c r="AC296" s="20" t="n">
        <f aca="false">IF(AE296&gt;0,ROUND(AVERAGEIFS('Shortlisted Drugs X Company (7)'!$N$3:$N$698,'Shortlisted Drugs X Company (7)'!$C$3:$C$698,$B296,'Shortlisted Drugs X Company (7)'!$E$3:$E$698,$AA296,'Shortlisted Drugs X Company (7)'!$N$3:$N$698,"&gt;=0"),2),"")</f>
        <v>198.74</v>
      </c>
      <c r="AD296" s="79" t="str">
        <f aca="false">B296&amp;"|"&amp;AA296</f>
        <v>Aripiprazole|Sun Pharma</v>
      </c>
      <c r="AE296" s="22" t="n">
        <f aca="false">COUNTIFS('Shortlisted Drugs X Company (7)'!$C$3:$C$698,$B296,'Shortlisted Drugs X Company (7)'!$E$3:$E$698,$AA296,'Shortlisted Drugs X Company (7)'!$N$3:$N$698,"&gt;=0")</f>
        <v>2</v>
      </c>
      <c r="AF296" s="22" t="n">
        <f aca="false">COUNTIFS('Shortlisted Drugs X Company (7)'!$C$3:$C$698,$B296,'Shortlisted Drugs X Company (7)'!$E$3:$E$698,$AA296,'Shortlisted Drugs X Company (7)'!$N$3:$N$698,"&gt;5")</f>
        <v>2</v>
      </c>
      <c r="AG296" s="22" t="n">
        <f aca="false">COUNTIFS('Shortlisted Drugs X Company (7)'!$C$3:$C$698,$B296,'Shortlisted Drugs X Company (7)'!$E$3:$E$698,$AA296,'Shortlisted Drugs X Company (7)'!$P$3:$P$698,"Exact")+COUNTIFS('Shortlisted Drugs X Company (7)'!$C$3:$C$698,$B296,'Shortlisted Drugs X Company (7)'!$E$3:$E$698,$AA296,'Shortlisted Drugs X Company (7)'!$P$3:$P$698,"Same-market proxy")</f>
        <v>2</v>
      </c>
      <c r="AH296" s="22" t="n">
        <f aca="false">INDEX($G$7:$G$25,MATCH(A296,$A$7:$A$25,0))</f>
        <v>10</v>
      </c>
      <c r="AI296" s="79" t="n">
        <f aca="false">IF(OR(Q296="No",LEFT(H296,7)="IV only"),"",AH296*1000+IF(F296="",900+COUNTIFS($A$29:A296,A296,$H$29:H296,"Price*"),F296))</f>
        <v>10006</v>
      </c>
      <c r="AJ296" s="79" t="n">
        <f aca="false">IF(H296&lt;&gt;"","",(4-VALUE(RIGHT(E296,1)))*10^7+N(O296))</f>
        <v>20001976.6</v>
      </c>
      <c r="AK296" s="20" t="n">
        <f aca="false">IF(AND(H296="",ISNUMBER(I296)),I296,"")</f>
        <v>198.74</v>
      </c>
      <c r="AL296" s="21" t="n">
        <f aca="false">IF(H296="",M296,"")</f>
        <v>113</v>
      </c>
    </row>
    <row r="297" customFormat="false" ht="95.5" hidden="false" customHeight="false" outlineLevel="0" collapsed="false">
      <c r="A297" s="16" t="s">
        <v>241</v>
      </c>
      <c r="B297" s="16" t="s">
        <v>338</v>
      </c>
      <c r="C297" s="17" t="s">
        <v>1333</v>
      </c>
      <c r="D297" s="17" t="s">
        <v>340</v>
      </c>
      <c r="E297" s="15" t="str">
        <f aca="false">IF(H297&lt;&gt;"",IF(LEFT(H297,5)="Price","Excluded – price ≤ USD 5","Excluded – IV only"),IF(ISNUMBER(I297),IF(AND(I297&gt;=$C$3,M297&gt;=$E$3),"Priority 1",IF(OR(I297&gt;=$C$3,M297&gt;=$E$3),"Priority 2","Priority 3")),IF(M297&gt;=$E$3,"Priority 2","Priority 3")))</f>
        <v>Priority 1</v>
      </c>
      <c r="F297" s="15" t="n">
        <f aca="false">IF(H297&lt;&gt;"","",COUNTIFS($A$29:$A$361,A297,$H$29:$H$361,"",$AJ$29:$AJ$361,"&gt;"&amp;AJ297)+COUNTIFS($A$29:A297,A297,$H$29:H297,"",$AJ$29:AJ297,AJ297))</f>
        <v>1</v>
      </c>
      <c r="G297" s="17" t="str">
        <f aca="false">IF(H297&lt;&gt;"","",IF(ISNUMBER(I297),IF(I297&gt;=$C$3,"High price","Lower price"),"No price")&amp;", "&amp;IF(M297&gt;=$E$3,"high volume","lower volume"))</f>
        <v>High price, high volume</v>
      </c>
      <c r="H297" s="17" t="str">
        <f aca="false">IF(Q297="No","IV only (no ID, IM or SC route)",IF(AND(AE297&gt;0,AF297=0),"Price ≤ USD 5",""))</f>
        <v/>
      </c>
      <c r="I297" s="18" t="n">
        <f aca="false">IF(AF297&gt;0,ROUND(AVERAGEIFS('Shortlisted Drugs X Company (7)'!$N$3:$N$698,'Shortlisted Drugs X Company (7)'!$C$3:$C$698,$B297,'Shortlisted Drugs X Company (7)'!$E$3:$E$698,$AA297,'Shortlisted Drugs X Company (7)'!$N$3:$N$698,"&gt;5"),2),"")</f>
        <v>887.33</v>
      </c>
      <c r="J297" s="17" t="str">
        <f aca="false">IF(COUNTIFS('Shortlisted Drugs X Company (7)'!$C$3:$C$698,$B297,'Shortlisted Drugs X Company (7)'!$E$3:$E$698,$AA297,'Shortlisted Drugs X Company (7)'!$P$3:$P$698,"Exact")&gt;0,"Exact",IF(COUNTIFS('Shortlisted Drugs X Company (7)'!$C$3:$C$698,$B297,'Shortlisted Drugs X Company (7)'!$E$3:$E$698,$AA297,'Shortlisted Drugs X Company (7)'!$P$3:$P$698,"Same-market proxy")&gt;0,"Same-market proxy",IF(COUNTIFS('Shortlisted Drugs X Company (7)'!$C$3:$C$698,$B297,'Shortlisted Drugs X Company (7)'!$E$3:$E$698,$AA297,'Shortlisted Drugs X Company (7)'!$P$3:$P$698,"Cross-market proxy")&gt;0,"Cross-market proxy",IF(COUNTIFS('Shortlisted Drugs X Company (7)'!$C$3:$C$698,$B297,'Shortlisted Drugs X Company (7)'!$E$3:$E$698,$AA297,'Shortlisted Drugs X Company (7)'!$P$3:$P$698,"Source not found")&gt;0,"Source not found","No price found"))))</f>
        <v>Exact</v>
      </c>
      <c r="K297" s="19" t="n">
        <f aca="false">IFERROR(INDEX('Injectable Value'!$AB$28:$AB$178,MATCH(B297,'Injectable Value'!$A$28:$A$178,0)),"")</f>
        <v>905</v>
      </c>
      <c r="L297" s="77" t="n">
        <f aca="false">IFERROR(INDEX('Injectable Value'!$Z$28:$Z$178,MATCH(B297,'Injectable Value'!$A$28:$A$178,0)),"")</f>
        <v>1</v>
      </c>
      <c r="M297" s="19" t="n">
        <f aca="false">IFERROR(INDEX('Injectable Value'!$AC$28:$AC$178,MATCH(B297,'Injectable Value'!$A$28:$A$178,0)),"")</f>
        <v>905</v>
      </c>
      <c r="N297" s="19" t="n">
        <f aca="false">IFERROR(INDEX('Injectable Value'!$C$28:$C$178,MATCH(B297,'Injectable Value'!$A$28:$A$178,0)),"")</f>
        <v>28093.38</v>
      </c>
      <c r="O297" s="19" t="n">
        <f aca="false">IFERROR(ROUND(INDEX('Injectable Value'!$AA$28:$AA$178,MATCH(B297,'Injectable Value'!$A$28:$A$178,0)),1),"")</f>
        <v>28093.4</v>
      </c>
      <c r="P297" s="16" t="str">
        <f aca="false">IFERROR(INDEX('Route of Administration'!$C$5:$C$155,MATCH(B297,'Route of Administration'!$A$5:$A$155,0)),"")</f>
        <v>IV, SC</v>
      </c>
      <c r="Q297" s="15" t="str">
        <f aca="false">IFERROR(INDEX('Route of Administration'!$D$5:$D$155,MATCH(B297,'Route of Administration'!$A$5:$A$155,0)),"")</f>
        <v>Yes</v>
      </c>
      <c r="R297" s="16" t="s">
        <v>281</v>
      </c>
      <c r="S297" s="17" t="s">
        <v>1334</v>
      </c>
      <c r="T297" s="16" t="s">
        <v>283</v>
      </c>
      <c r="U297" s="17" t="str">
        <f aca="false">"Cancer drug (cytotoxic) – less relevant; Reconstitution"&amp;IF(AE297=0,"; No price found","")&amp;IF(AND(AE297&gt;0,AF297=0,AG297=0),"; Low price comes from another market – confirm with the company","")</f>
        <v>Cancer drug (cytotoxic) – less relevant; Reconstitution</v>
      </c>
      <c r="V297" s="17" t="s">
        <v>537</v>
      </c>
      <c r="W297" s="15" t="n">
        <v>34</v>
      </c>
      <c r="X297" s="17" t="s">
        <v>1335</v>
      </c>
      <c r="Y297" s="17" t="s">
        <v>1336</v>
      </c>
      <c r="Z297" s="17" t="s">
        <v>286</v>
      </c>
      <c r="AA297" s="16" t="s">
        <v>241</v>
      </c>
      <c r="AB297" s="78" t="s">
        <v>345</v>
      </c>
      <c r="AC297" s="20" t="n">
        <f aca="false">IF(AE297&gt;0,ROUND(AVERAGEIFS('Shortlisted Drugs X Company (7)'!$N$3:$N$698,'Shortlisted Drugs X Company (7)'!$C$3:$C$698,$B297,'Shortlisted Drugs X Company (7)'!$E$3:$E$698,$AA297,'Shortlisted Drugs X Company (7)'!$N$3:$N$698,"&gt;=0"),2),"")</f>
        <v>887.33</v>
      </c>
      <c r="AD297" s="79" t="str">
        <f aca="false">B297&amp;"|"&amp;AA297</f>
        <v>Bortezomib|Sun Pharma</v>
      </c>
      <c r="AE297" s="22" t="n">
        <f aca="false">COUNTIFS('Shortlisted Drugs X Company (7)'!$C$3:$C$698,$B297,'Shortlisted Drugs X Company (7)'!$E$3:$E$698,$AA297,'Shortlisted Drugs X Company (7)'!$N$3:$N$698,"&gt;=0")</f>
        <v>4</v>
      </c>
      <c r="AF297" s="22" t="n">
        <f aca="false">COUNTIFS('Shortlisted Drugs X Company (7)'!$C$3:$C$698,$B297,'Shortlisted Drugs X Company (7)'!$E$3:$E$698,$AA297,'Shortlisted Drugs X Company (7)'!$N$3:$N$698,"&gt;5")</f>
        <v>4</v>
      </c>
      <c r="AG297" s="22" t="n">
        <f aca="false">COUNTIFS('Shortlisted Drugs X Company (7)'!$C$3:$C$698,$B297,'Shortlisted Drugs X Company (7)'!$E$3:$E$698,$AA297,'Shortlisted Drugs X Company (7)'!$P$3:$P$698,"Exact")+COUNTIFS('Shortlisted Drugs X Company (7)'!$C$3:$C$698,$B297,'Shortlisted Drugs X Company (7)'!$E$3:$E$698,$AA297,'Shortlisted Drugs X Company (7)'!$P$3:$P$698,"Same-market proxy")</f>
        <v>4</v>
      </c>
      <c r="AH297" s="22" t="n">
        <f aca="false">INDEX($G$7:$G$25,MATCH(A297,$A$7:$A$25,0))</f>
        <v>10</v>
      </c>
      <c r="AI297" s="79" t="n">
        <f aca="false">IF(OR(Q297="No",LEFT(H297,7)="IV only"),"",AH297*1000+IF(F297="",900+COUNTIFS($A$29:A297,A297,$H$29:H297,"Price*"),F297))</f>
        <v>10001</v>
      </c>
      <c r="AJ297" s="79" t="n">
        <f aca="false">IF(H297&lt;&gt;"","",(4-VALUE(RIGHT(E297,1)))*10^7+N(O297))</f>
        <v>30028093.4</v>
      </c>
      <c r="AK297" s="20" t="n">
        <f aca="false">IF(AND(H297="",ISNUMBER(I297)),I297,"")</f>
        <v>887.33</v>
      </c>
      <c r="AL297" s="21" t="n">
        <f aca="false">IF(H297="",M297,"")</f>
        <v>905</v>
      </c>
    </row>
    <row r="298" customFormat="false" ht="28.35" hidden="false" customHeight="false" outlineLevel="0" collapsed="false">
      <c r="A298" s="16" t="s">
        <v>241</v>
      </c>
      <c r="B298" s="16" t="s">
        <v>1337</v>
      </c>
      <c r="C298" s="17" t="s">
        <v>1338</v>
      </c>
      <c r="D298" s="17" t="s">
        <v>1339</v>
      </c>
      <c r="E298" s="15" t="str">
        <f aca="false">IF(H298&lt;&gt;"",IF(LEFT(H298,5)="Price","Excluded – price ≤ USD 5","Excluded – IV only"),IF(ISNUMBER(I298),IF(AND(I298&gt;=$C$3,M298&gt;=$E$3),"Priority 1",IF(OR(I298&gt;=$C$3,M298&gt;=$E$3),"Priority 2","Priority 3")),IF(M298&gt;=$E$3,"Priority 2","Priority 3")))</f>
        <v>Excluded – IV only</v>
      </c>
      <c r="F298" s="15" t="str">
        <f aca="false">IF(H298&lt;&gt;"","",COUNTIFS($A$29:$A$361,A298,$H$29:$H$361,"",$AJ$29:$AJ$361,"&gt;"&amp;AJ298)+COUNTIFS($A$29:A298,A298,$H$29:H298,"",$AJ$29:AJ298,AJ298))</f>
        <v/>
      </c>
      <c r="G298" s="17" t="str">
        <f aca="false">IF(H298&lt;&gt;"","",IF(ISNUMBER(I298),IF(I298&gt;=$C$3,"High price","Lower price"),"No price")&amp;", "&amp;IF(M298&gt;=$E$3,"high volume","lower volume"))</f>
        <v/>
      </c>
      <c r="H298" s="17" t="str">
        <f aca="false">IF(Q298="No","IV only (no ID, IM or SC route)",IF(AND(AE298&gt;0,AF298=0),"Price ≤ USD 5",""))</f>
        <v>IV only (no ID, IM or SC route)</v>
      </c>
      <c r="I298" s="18" t="n">
        <f aca="false">IF(AF298&gt;0,ROUND(AVERAGEIFS('Shortlisted Drugs X Company (7)'!$N$3:$N$698,'Shortlisted Drugs X Company (7)'!$C$3:$C$698,$B298,'Shortlisted Drugs X Company (7)'!$E$3:$E$698,$AA298,'Shortlisted Drugs X Company (7)'!$N$3:$N$698,"&gt;5"),2),"")</f>
        <v>29.39</v>
      </c>
      <c r="J298" s="17" t="str">
        <f aca="false">IF(COUNTIFS('Shortlisted Drugs X Company (7)'!$C$3:$C$698,$B298,'Shortlisted Drugs X Company (7)'!$E$3:$E$698,$AA298,'Shortlisted Drugs X Company (7)'!$P$3:$P$698,"Exact")&gt;0,"Exact",IF(COUNTIFS('Shortlisted Drugs X Company (7)'!$C$3:$C$698,$B298,'Shortlisted Drugs X Company (7)'!$E$3:$E$698,$AA298,'Shortlisted Drugs X Company (7)'!$P$3:$P$698,"Same-market proxy")&gt;0,"Same-market proxy",IF(COUNTIFS('Shortlisted Drugs X Company (7)'!$C$3:$C$698,$B298,'Shortlisted Drugs X Company (7)'!$E$3:$E$698,$AA298,'Shortlisted Drugs X Company (7)'!$P$3:$P$698,"Cross-market proxy")&gt;0,"Cross-market proxy",IF(COUNTIFS('Shortlisted Drugs X Company (7)'!$C$3:$C$698,$B298,'Shortlisted Drugs X Company (7)'!$E$3:$E$698,$AA298,'Shortlisted Drugs X Company (7)'!$P$3:$P$698,"Source not found")&gt;0,"Source not found","No price found"))))</f>
        <v>Same-market proxy</v>
      </c>
      <c r="K298" s="19" t="n">
        <f aca="false">IFERROR(INDEX('Injectable Value'!$AB$28:$AB$178,MATCH(B298,'Injectable Value'!$A$28:$A$178,0)),"")</f>
        <v>15</v>
      </c>
      <c r="L298" s="77" t="n">
        <f aca="false">IFERROR(INDEX('Injectable Value'!$Z$28:$Z$178,MATCH(B298,'Injectable Value'!$A$28:$A$178,0)),"")</f>
        <v>0.833333333333333</v>
      </c>
      <c r="M298" s="19" t="n">
        <f aca="false">IFERROR(INDEX('Injectable Value'!$AC$28:$AC$178,MATCH(B298,'Injectable Value'!$A$28:$A$178,0)),"")</f>
        <v>13</v>
      </c>
      <c r="N298" s="19" t="n">
        <f aca="false">IFERROR(INDEX('Injectable Value'!$C$28:$C$178,MATCH(B298,'Injectable Value'!$A$28:$A$178,0)),"")</f>
        <v>3589.61</v>
      </c>
      <c r="O298" s="19" t="n">
        <f aca="false">IFERROR(ROUND(INDEX('Injectable Value'!$AA$28:$AA$178,MATCH(B298,'Injectable Value'!$A$28:$A$178,0)),1),"")</f>
        <v>2991.3</v>
      </c>
      <c r="P298" s="16" t="str">
        <f aca="false">IFERROR(INDEX('Route of Administration'!$C$5:$C$155,MATCH(B298,'Route of Administration'!$A$5:$A$155,0)),"")</f>
        <v>IV</v>
      </c>
      <c r="Q298" s="15" t="str">
        <f aca="false">IFERROR(INDEX('Route of Administration'!$D$5:$D$155,MATCH(B298,'Route of Administration'!$A$5:$A$155,0)),"")</f>
        <v>No</v>
      </c>
      <c r="R298" s="16" t="s">
        <v>281</v>
      </c>
      <c r="S298" s="17" t="s">
        <v>1340</v>
      </c>
      <c r="T298" s="16" t="s">
        <v>359</v>
      </c>
      <c r="U298" s="17" t="str">
        <f aca="false">"Reconstitution"&amp;IF(AE298=0,"; No price found","")&amp;IF(AND(AE298&gt;0,AF298=0,AG298=0),"; Low price comes from another market – confirm with the company","")</f>
        <v>Reconstitution</v>
      </c>
      <c r="V298" s="17" t="s">
        <v>284</v>
      </c>
      <c r="W298" s="15" t="n">
        <v>1</v>
      </c>
      <c r="X298" s="17" t="s">
        <v>284</v>
      </c>
      <c r="Y298" s="17" t="s">
        <v>284</v>
      </c>
      <c r="Z298" s="17" t="s">
        <v>321</v>
      </c>
      <c r="AA298" s="16" t="s">
        <v>241</v>
      </c>
      <c r="AB298" s="78" t="s">
        <v>1341</v>
      </c>
      <c r="AC298" s="20" t="n">
        <f aca="false">IF(AE298&gt;0,ROUND(AVERAGEIFS('Shortlisted Drugs X Company (7)'!$N$3:$N$698,'Shortlisted Drugs X Company (7)'!$C$3:$C$698,$B298,'Shortlisted Drugs X Company (7)'!$E$3:$E$698,$AA298,'Shortlisted Drugs X Company (7)'!$N$3:$N$698,"&gt;=0"),2),"")</f>
        <v>29.39</v>
      </c>
      <c r="AD298" s="79" t="str">
        <f aca="false">B298&amp;"|"&amp;AA298</f>
        <v>Chlorothiazide|Sun Pharma</v>
      </c>
      <c r="AE298" s="22" t="n">
        <f aca="false">COUNTIFS('Shortlisted Drugs X Company (7)'!$C$3:$C$698,$B298,'Shortlisted Drugs X Company (7)'!$E$3:$E$698,$AA298,'Shortlisted Drugs X Company (7)'!$N$3:$N$698,"&gt;=0")</f>
        <v>1</v>
      </c>
      <c r="AF298" s="22" t="n">
        <f aca="false">COUNTIFS('Shortlisted Drugs X Company (7)'!$C$3:$C$698,$B298,'Shortlisted Drugs X Company (7)'!$E$3:$E$698,$AA298,'Shortlisted Drugs X Company (7)'!$N$3:$N$698,"&gt;5")</f>
        <v>1</v>
      </c>
      <c r="AG298" s="22" t="n">
        <f aca="false">COUNTIFS('Shortlisted Drugs X Company (7)'!$C$3:$C$698,$B298,'Shortlisted Drugs X Company (7)'!$E$3:$E$698,$AA298,'Shortlisted Drugs X Company (7)'!$P$3:$P$698,"Exact")+COUNTIFS('Shortlisted Drugs X Company (7)'!$C$3:$C$698,$B298,'Shortlisted Drugs X Company (7)'!$E$3:$E$698,$AA298,'Shortlisted Drugs X Company (7)'!$P$3:$P$698,"Same-market proxy")</f>
        <v>1</v>
      </c>
      <c r="AH298" s="22" t="n">
        <f aca="false">INDEX($G$7:$G$25,MATCH(A298,$A$7:$A$25,0))</f>
        <v>10</v>
      </c>
      <c r="AI298" s="79" t="str">
        <f aca="false">IF(OR(Q298="No",LEFT(H298,7)="IV only"),"",AH298*1000+IF(F298="",900+COUNTIFS($A$29:A298,A298,$H$29:H298,"Price*"),F298))</f>
        <v/>
      </c>
      <c r="AJ298" s="79" t="str">
        <f aca="false">IF(H298&lt;&gt;"","",(4-VALUE(RIGHT(E298,1)))*10^7+N(O298))</f>
        <v/>
      </c>
      <c r="AK298" s="79" t="str">
        <f aca="false">IF(AND(H298="",ISNUMBER(I298)),I298,"")</f>
        <v/>
      </c>
      <c r="AL298" s="79" t="str">
        <f aca="false">IF(H298="",M298,"")</f>
        <v/>
      </c>
    </row>
    <row r="299" customFormat="false" ht="28.35" hidden="false" customHeight="false" outlineLevel="0" collapsed="false">
      <c r="A299" s="16" t="s">
        <v>241</v>
      </c>
      <c r="B299" s="16" t="s">
        <v>394</v>
      </c>
      <c r="C299" s="17" t="s">
        <v>1342</v>
      </c>
      <c r="D299" s="17" t="s">
        <v>396</v>
      </c>
      <c r="E299" s="15" t="str">
        <f aca="false">IF(H299&lt;&gt;"",IF(LEFT(H299,5)="Price","Excluded – price ≤ USD 5","Excluded – IV only"),IF(ISNUMBER(I299),IF(AND(I299&gt;=$C$3,M299&gt;=$E$3),"Priority 1",IF(OR(I299&gt;=$C$3,M299&gt;=$E$3),"Priority 2","Priority 3")),IF(M299&gt;=$E$3,"Priority 2","Priority 3")))</f>
        <v>Excluded – IV only</v>
      </c>
      <c r="F299" s="15" t="str">
        <f aca="false">IF(H299&lt;&gt;"","",COUNTIFS($A$29:$A$361,A299,$H$29:$H$361,"",$AJ$29:$AJ$361,"&gt;"&amp;AJ299)+COUNTIFS($A$29:A299,A299,$H$29:H299,"",$AJ$29:AJ299,AJ299))</f>
        <v/>
      </c>
      <c r="G299" s="17" t="str">
        <f aca="false">IF(H299&lt;&gt;"","",IF(ISNUMBER(I299),IF(I299&gt;=$C$3,"High price","Lower price"),"No price")&amp;", "&amp;IF(M299&gt;=$E$3,"high volume","lower volume"))</f>
        <v/>
      </c>
      <c r="H299" s="17" t="str">
        <f aca="false">IF(Q299="No","IV only (no ID, IM or SC route)",IF(AND(AE299&gt;0,AF299=0),"Price ≤ USD 5",""))</f>
        <v>IV only (no ID, IM or SC route)</v>
      </c>
      <c r="I299" s="18" t="n">
        <f aca="false">IF(AF299&gt;0,ROUND(AVERAGEIFS('Shortlisted Drugs X Company (7)'!$N$3:$N$698,'Shortlisted Drugs X Company (7)'!$C$3:$C$698,$B299,'Shortlisted Drugs X Company (7)'!$E$3:$E$698,$AA299,'Shortlisted Drugs X Company (7)'!$N$3:$N$698,"&gt;5"),2),"")</f>
        <v>15.95</v>
      </c>
      <c r="J299" s="17" t="str">
        <f aca="false">IF(COUNTIFS('Shortlisted Drugs X Company (7)'!$C$3:$C$698,$B299,'Shortlisted Drugs X Company (7)'!$E$3:$E$698,$AA299,'Shortlisted Drugs X Company (7)'!$P$3:$P$698,"Exact")&gt;0,"Exact",IF(COUNTIFS('Shortlisted Drugs X Company (7)'!$C$3:$C$698,$B299,'Shortlisted Drugs X Company (7)'!$E$3:$E$698,$AA299,'Shortlisted Drugs X Company (7)'!$P$3:$P$698,"Same-market proxy")&gt;0,"Same-market proxy",IF(COUNTIFS('Shortlisted Drugs X Company (7)'!$C$3:$C$698,$B299,'Shortlisted Drugs X Company (7)'!$E$3:$E$698,$AA299,'Shortlisted Drugs X Company (7)'!$P$3:$P$698,"Cross-market proxy")&gt;0,"Cross-market proxy",IF(COUNTIFS('Shortlisted Drugs X Company (7)'!$C$3:$C$698,$B299,'Shortlisted Drugs X Company (7)'!$E$3:$E$698,$AA299,'Shortlisted Drugs X Company (7)'!$P$3:$P$698,"Source not found")&gt;0,"Source not found","No price found"))))</f>
        <v>Same-market proxy</v>
      </c>
      <c r="K299" s="19" t="n">
        <f aca="false">IFERROR(INDEX('Injectable Value'!$AB$28:$AB$178,MATCH(B299,'Injectable Value'!$A$28:$A$178,0)),"")</f>
        <v>1644</v>
      </c>
      <c r="L299" s="77" t="n">
        <f aca="false">IFERROR(INDEX('Injectable Value'!$Z$28:$Z$178,MATCH(B299,'Injectable Value'!$A$28:$A$178,0)),"")</f>
        <v>0.990783410138249</v>
      </c>
      <c r="M299" s="19" t="n">
        <f aca="false">IFERROR(INDEX('Injectable Value'!$AC$28:$AC$178,MATCH(B299,'Injectable Value'!$A$28:$A$178,0)),"")</f>
        <v>1629</v>
      </c>
      <c r="N299" s="19" t="n">
        <f aca="false">IFERROR(INDEX('Injectable Value'!$C$28:$C$178,MATCH(B299,'Injectable Value'!$A$28:$A$178,0)),"")</f>
        <v>41889.23</v>
      </c>
      <c r="O299" s="19" t="n">
        <f aca="false">IFERROR(ROUND(INDEX('Injectable Value'!$AA$28:$AA$178,MATCH(B299,'Injectable Value'!$A$28:$A$178,0)),1),"")</f>
        <v>41503.2</v>
      </c>
      <c r="P299" s="16" t="str">
        <f aca="false">IFERROR(INDEX('Route of Administration'!$C$5:$C$155,MATCH(B299,'Route of Administration'!$A$5:$A$155,0)),"")</f>
        <v>IV</v>
      </c>
      <c r="Q299" s="15" t="str">
        <f aca="false">IFERROR(INDEX('Route of Administration'!$D$5:$D$155,MATCH(B299,'Route of Administration'!$A$5:$A$155,0)),"")</f>
        <v>No</v>
      </c>
      <c r="R299" s="16" t="s">
        <v>281</v>
      </c>
      <c r="S299" s="17" t="s">
        <v>411</v>
      </c>
      <c r="T299" s="16" t="s">
        <v>318</v>
      </c>
      <c r="U299" s="17" t="str">
        <f aca="false">"Cancer drug (cytotoxic) – less relevant"&amp;IF(AE299=0,"; No price found","")&amp;IF(AND(AE299&gt;0,AF299=0,AG299=0),"; Low price comes from another market – confirm with the company","")</f>
        <v>Cancer drug (cytotoxic) – less relevant</v>
      </c>
      <c r="V299" s="17" t="s">
        <v>1343</v>
      </c>
      <c r="W299" s="15" t="n">
        <v>2</v>
      </c>
      <c r="X299" s="17" t="s">
        <v>1343</v>
      </c>
      <c r="Y299" s="17" t="s">
        <v>1343</v>
      </c>
      <c r="Z299" s="17" t="s">
        <v>286</v>
      </c>
      <c r="AA299" s="16" t="s">
        <v>241</v>
      </c>
      <c r="AB299" s="78" t="s">
        <v>400</v>
      </c>
      <c r="AC299" s="20" t="n">
        <f aca="false">IF(AE299&gt;0,ROUND(AVERAGEIFS('Shortlisted Drugs X Company (7)'!$N$3:$N$698,'Shortlisted Drugs X Company (7)'!$C$3:$C$698,$B299,'Shortlisted Drugs X Company (7)'!$E$3:$E$698,$AA299,'Shortlisted Drugs X Company (7)'!$N$3:$N$698,"&gt;=0"),2),"")</f>
        <v>15.95</v>
      </c>
      <c r="AD299" s="79" t="str">
        <f aca="false">B299&amp;"|"&amp;AA299</f>
        <v>Doxorubicin|Sun Pharma</v>
      </c>
      <c r="AE299" s="22" t="n">
        <f aca="false">COUNTIFS('Shortlisted Drugs X Company (7)'!$C$3:$C$698,$B299,'Shortlisted Drugs X Company (7)'!$E$3:$E$698,$AA299,'Shortlisted Drugs X Company (7)'!$N$3:$N$698,"&gt;=0")</f>
        <v>1</v>
      </c>
      <c r="AF299" s="22" t="n">
        <f aca="false">COUNTIFS('Shortlisted Drugs X Company (7)'!$C$3:$C$698,$B299,'Shortlisted Drugs X Company (7)'!$E$3:$E$698,$AA299,'Shortlisted Drugs X Company (7)'!$N$3:$N$698,"&gt;5")</f>
        <v>1</v>
      </c>
      <c r="AG299" s="22" t="n">
        <f aca="false">COUNTIFS('Shortlisted Drugs X Company (7)'!$C$3:$C$698,$B299,'Shortlisted Drugs X Company (7)'!$E$3:$E$698,$AA299,'Shortlisted Drugs X Company (7)'!$P$3:$P$698,"Exact")+COUNTIFS('Shortlisted Drugs X Company (7)'!$C$3:$C$698,$B299,'Shortlisted Drugs X Company (7)'!$E$3:$E$698,$AA299,'Shortlisted Drugs X Company (7)'!$P$3:$P$698,"Same-market proxy")</f>
        <v>1</v>
      </c>
      <c r="AH299" s="22" t="n">
        <f aca="false">INDEX($G$7:$G$25,MATCH(A299,$A$7:$A$25,0))</f>
        <v>10</v>
      </c>
      <c r="AI299" s="79" t="str">
        <f aca="false">IF(OR(Q299="No",LEFT(H299,7)="IV only"),"",AH299*1000+IF(F299="",900+COUNTIFS($A$29:A299,A299,$H$29:H299,"Price*"),F299))</f>
        <v/>
      </c>
      <c r="AJ299" s="79" t="str">
        <f aca="false">IF(H299&lt;&gt;"","",(4-VALUE(RIGHT(E299,1)))*10^7+N(O299))</f>
        <v/>
      </c>
      <c r="AK299" s="79" t="str">
        <f aca="false">IF(AND(H299="",ISNUMBER(I299)),I299,"")</f>
        <v/>
      </c>
      <c r="AL299" s="79" t="str">
        <f aca="false">IF(H299="",M299,"")</f>
        <v/>
      </c>
    </row>
    <row r="300" customFormat="false" ht="41.75" hidden="false" customHeight="false" outlineLevel="0" collapsed="false">
      <c r="A300" s="16" t="s">
        <v>241</v>
      </c>
      <c r="B300" s="16" t="s">
        <v>804</v>
      </c>
      <c r="C300" s="17" t="s">
        <v>1344</v>
      </c>
      <c r="D300" s="17" t="s">
        <v>806</v>
      </c>
      <c r="E300" s="15" t="str">
        <f aca="false">IF(H300&lt;&gt;"",IF(LEFT(H300,5)="Price","Excluded – price ≤ USD 5","Excluded – IV only"),IF(ISNUMBER(I300),IF(AND(I300&gt;=$C$3,M300&gt;=$E$3),"Priority 1",IF(OR(I300&gt;=$C$3,M300&gt;=$E$3),"Priority 2","Priority 3")),IF(M300&gt;=$E$3,"Priority 2","Priority 3")))</f>
        <v>Excluded – IV only</v>
      </c>
      <c r="F300" s="15" t="str">
        <f aca="false">IF(H300&lt;&gt;"","",COUNTIFS($A$29:$A$361,A300,$H$29:$H$361,"",$AJ$29:$AJ$361,"&gt;"&amp;AJ300)+COUNTIFS($A$29:A300,A300,$H$29:H300,"",$AJ$29:AJ300,AJ300))</f>
        <v/>
      </c>
      <c r="G300" s="17" t="str">
        <f aca="false">IF(H300&lt;&gt;"","",IF(ISNUMBER(I300),IF(I300&gt;=$C$3,"High price","Lower price"),"No price")&amp;", "&amp;IF(M300&gt;=$E$3,"high volume","lower volume"))</f>
        <v/>
      </c>
      <c r="H300" s="17" t="str">
        <f aca="false">IF(Q300="No","IV only (no ID, IM or SC route)",IF(AND(AE300&gt;0,AF300=0),"Price ≤ USD 5",""))</f>
        <v>IV only (no ID, IM or SC route)</v>
      </c>
      <c r="I300" s="18" t="n">
        <f aca="false">IF(AF300&gt;0,ROUND(AVERAGEIFS('Shortlisted Drugs X Company (7)'!$N$3:$N$698,'Shortlisted Drugs X Company (7)'!$C$3:$C$698,$B300,'Shortlisted Drugs X Company (7)'!$E$3:$E$698,$AA300,'Shortlisted Drugs X Company (7)'!$N$3:$N$698,"&gt;5"),2),"")</f>
        <v>7.27</v>
      </c>
      <c r="J300" s="17" t="str">
        <f aca="false">IF(COUNTIFS('Shortlisted Drugs X Company (7)'!$C$3:$C$698,$B300,'Shortlisted Drugs X Company (7)'!$E$3:$E$698,$AA300,'Shortlisted Drugs X Company (7)'!$P$3:$P$698,"Exact")&gt;0,"Exact",IF(COUNTIFS('Shortlisted Drugs X Company (7)'!$C$3:$C$698,$B300,'Shortlisted Drugs X Company (7)'!$E$3:$E$698,$AA300,'Shortlisted Drugs X Company (7)'!$P$3:$P$698,"Same-market proxy")&gt;0,"Same-market proxy",IF(COUNTIFS('Shortlisted Drugs X Company (7)'!$C$3:$C$698,$B300,'Shortlisted Drugs X Company (7)'!$E$3:$E$698,$AA300,'Shortlisted Drugs X Company (7)'!$P$3:$P$698,"Cross-market proxy")&gt;0,"Cross-market proxy",IF(COUNTIFS('Shortlisted Drugs X Company (7)'!$C$3:$C$698,$B300,'Shortlisted Drugs X Company (7)'!$E$3:$E$698,$AA300,'Shortlisted Drugs X Company (7)'!$P$3:$P$698,"Source not found")&gt;0,"Source not found","No price found"))))</f>
        <v>Exact</v>
      </c>
      <c r="K300" s="19" t="n">
        <f aca="false">IFERROR(INDEX('Injectable Value'!$AB$28:$AB$178,MATCH(B300,'Injectable Value'!$A$28:$A$178,0)),"")</f>
        <v>3168</v>
      </c>
      <c r="L300" s="77" t="n">
        <f aca="false">IFERROR(INDEX('Injectable Value'!$Z$28:$Z$178,MATCH(B300,'Injectable Value'!$A$28:$A$178,0)),"")</f>
        <v>0.103608949323645</v>
      </c>
      <c r="M300" s="19" t="n">
        <f aca="false">IFERROR(INDEX('Injectable Value'!$AC$28:$AC$178,MATCH(B300,'Injectable Value'!$A$28:$A$178,0)),"")</f>
        <v>328</v>
      </c>
      <c r="N300" s="19" t="n">
        <f aca="false">IFERROR(INDEX('Injectable Value'!$C$28:$C$178,MATCH(B300,'Injectable Value'!$A$28:$A$178,0)),"")</f>
        <v>130453.11</v>
      </c>
      <c r="O300" s="19" t="n">
        <f aca="false">IFERROR(ROUND(INDEX('Injectable Value'!$AA$28:$AA$178,MATCH(B300,'Injectable Value'!$A$28:$A$178,0)),1),"")</f>
        <v>13516.1</v>
      </c>
      <c r="P300" s="16" t="str">
        <f aca="false">IFERROR(INDEX('Route of Administration'!$C$5:$C$155,MATCH(B300,'Route of Administration'!$A$5:$A$155,0)),"")</f>
        <v>IV</v>
      </c>
      <c r="Q300" s="15" t="str">
        <f aca="false">IFERROR(INDEX('Route of Administration'!$D$5:$D$155,MATCH(B300,'Route of Administration'!$A$5:$A$155,0)),"")</f>
        <v>No</v>
      </c>
      <c r="R300" s="16" t="s">
        <v>281</v>
      </c>
      <c r="S300" s="17" t="s">
        <v>807</v>
      </c>
      <c r="T300" s="16" t="s">
        <v>333</v>
      </c>
      <c r="U300" s="17" t="str">
        <f aca="false">"Reconstitution"&amp;IF(AE300=0,"; No price found","")&amp;IF(AND(AE300&gt;0,AF300=0,AG300=0),"; Low price comes from another market – confirm with the company","")</f>
        <v>Reconstitution</v>
      </c>
      <c r="V300" s="17" t="s">
        <v>808</v>
      </c>
      <c r="W300" s="15" t="n">
        <v>10</v>
      </c>
      <c r="X300" s="17" t="s">
        <v>1345</v>
      </c>
      <c r="Y300" s="17" t="s">
        <v>1346</v>
      </c>
      <c r="Z300" s="17" t="s">
        <v>286</v>
      </c>
      <c r="AA300" s="16" t="s">
        <v>241</v>
      </c>
      <c r="AB300" s="78" t="s">
        <v>811</v>
      </c>
      <c r="AC300" s="20" t="n">
        <f aca="false">IF(AE300&gt;0,ROUND(AVERAGEIFS('Shortlisted Drugs X Company (7)'!$N$3:$N$698,'Shortlisted Drugs X Company (7)'!$C$3:$C$698,$B300,'Shortlisted Drugs X Company (7)'!$E$3:$E$698,$AA300,'Shortlisted Drugs X Company (7)'!$N$3:$N$698,"&gt;=0"),2),"")</f>
        <v>7.27</v>
      </c>
      <c r="AD300" s="79" t="str">
        <f aca="false">B300&amp;"|"&amp;AA300</f>
        <v>Esomeprazole|Sun Pharma</v>
      </c>
      <c r="AE300" s="22" t="n">
        <f aca="false">COUNTIFS('Shortlisted Drugs X Company (7)'!$C$3:$C$698,$B300,'Shortlisted Drugs X Company (7)'!$E$3:$E$698,$AA300,'Shortlisted Drugs X Company (7)'!$N$3:$N$698,"&gt;=0")</f>
        <v>1</v>
      </c>
      <c r="AF300" s="22" t="n">
        <f aca="false">COUNTIFS('Shortlisted Drugs X Company (7)'!$C$3:$C$698,$B300,'Shortlisted Drugs X Company (7)'!$E$3:$E$698,$AA300,'Shortlisted Drugs X Company (7)'!$N$3:$N$698,"&gt;5")</f>
        <v>1</v>
      </c>
      <c r="AG300" s="22" t="n">
        <f aca="false">COUNTIFS('Shortlisted Drugs X Company (7)'!$C$3:$C$698,$B300,'Shortlisted Drugs X Company (7)'!$E$3:$E$698,$AA300,'Shortlisted Drugs X Company (7)'!$P$3:$P$698,"Exact")+COUNTIFS('Shortlisted Drugs X Company (7)'!$C$3:$C$698,$B300,'Shortlisted Drugs X Company (7)'!$E$3:$E$698,$AA300,'Shortlisted Drugs X Company (7)'!$P$3:$P$698,"Same-market proxy")</f>
        <v>1</v>
      </c>
      <c r="AH300" s="22" t="n">
        <f aca="false">INDEX($G$7:$G$25,MATCH(A300,$A$7:$A$25,0))</f>
        <v>10</v>
      </c>
      <c r="AI300" s="79" t="str">
        <f aca="false">IF(OR(Q300="No",LEFT(H300,7)="IV only"),"",AH300*1000+IF(F300="",900+COUNTIFS($A$29:A300,A300,$H$29:H300,"Price*"),F300))</f>
        <v/>
      </c>
      <c r="AJ300" s="79" t="str">
        <f aca="false">IF(H300&lt;&gt;"","",(4-VALUE(RIGHT(E300,1)))*10^7+N(O300))</f>
        <v/>
      </c>
      <c r="AK300" s="79" t="str">
        <f aca="false">IF(AND(H300="",ISNUMBER(I300)),I300,"")</f>
        <v/>
      </c>
      <c r="AL300" s="79" t="str">
        <f aca="false">IF(H300="",M300,"")</f>
        <v/>
      </c>
    </row>
    <row r="301" customFormat="false" ht="41.75" hidden="false" customHeight="false" outlineLevel="0" collapsed="false">
      <c r="A301" s="16" t="s">
        <v>241</v>
      </c>
      <c r="B301" s="16" t="s">
        <v>295</v>
      </c>
      <c r="C301" s="17" t="s">
        <v>1347</v>
      </c>
      <c r="D301" s="17" t="s">
        <v>296</v>
      </c>
      <c r="E301" s="15" t="str">
        <f aca="false">IF(H301&lt;&gt;"",IF(LEFT(H301,5)="Price","Excluded – price ≤ USD 5","Excluded – IV only"),IF(ISNUMBER(I301),IF(AND(I301&gt;=$C$3,M301&gt;=$E$3),"Priority 1",IF(OR(I301&gt;=$C$3,M301&gt;=$E$3),"Priority 2","Priority 3")),IF(M301&gt;=$E$3,"Priority 2","Priority 3")))</f>
        <v>Priority 1</v>
      </c>
      <c r="F301" s="15" t="n">
        <f aca="false">IF(H301&lt;&gt;"","",COUNTIFS($A$29:$A$361,A301,$H$29:$H$361,"",$AJ$29:$AJ$361,"&gt;"&amp;AJ301)+COUNTIFS($A$29:A301,A301,$H$29:H301,"",$AJ$29:AJ301,AJ301))</f>
        <v>2</v>
      </c>
      <c r="G301" s="17" t="str">
        <f aca="false">IF(H301&lt;&gt;"","",IF(ISNUMBER(I301),IF(I301&gt;=$C$3,"High price","Lower price"),"No price")&amp;", "&amp;IF(M301&gt;=$E$3,"high volume","lower volume"))</f>
        <v>High price, high volume</v>
      </c>
      <c r="H301" s="17" t="str">
        <f aca="false">IF(Q301="No","IV only (no ID, IM or SC route)",IF(AND(AE301&gt;0,AF301=0),"Price ≤ USD 5",""))</f>
        <v/>
      </c>
      <c r="I301" s="18" t="n">
        <f aca="false">IF(AF301&gt;0,ROUND(AVERAGEIFS('Shortlisted Drugs X Company (7)'!$N$3:$N$698,'Shortlisted Drugs X Company (7)'!$C$3:$C$698,$B301,'Shortlisted Drugs X Company (7)'!$E$3:$E$698,$AA301,'Shortlisted Drugs X Company (7)'!$N$3:$N$698,"&gt;5"),2),"")</f>
        <v>438.59</v>
      </c>
      <c r="J301" s="17" t="str">
        <f aca="false">IF(COUNTIFS('Shortlisted Drugs X Company (7)'!$C$3:$C$698,$B301,'Shortlisted Drugs X Company (7)'!$E$3:$E$698,$AA301,'Shortlisted Drugs X Company (7)'!$P$3:$P$698,"Exact")&gt;0,"Exact",IF(COUNTIFS('Shortlisted Drugs X Company (7)'!$C$3:$C$698,$B301,'Shortlisted Drugs X Company (7)'!$E$3:$E$698,$AA301,'Shortlisted Drugs X Company (7)'!$P$3:$P$698,"Same-market proxy")&gt;0,"Same-market proxy",IF(COUNTIFS('Shortlisted Drugs X Company (7)'!$C$3:$C$698,$B301,'Shortlisted Drugs X Company (7)'!$E$3:$E$698,$AA301,'Shortlisted Drugs X Company (7)'!$P$3:$P$698,"Cross-market proxy")&gt;0,"Cross-market proxy",IF(COUNTIFS('Shortlisted Drugs X Company (7)'!$C$3:$C$698,$B301,'Shortlisted Drugs X Company (7)'!$E$3:$E$698,$AA301,'Shortlisted Drugs X Company (7)'!$P$3:$P$698,"Source not found")&gt;0,"Source not found","No price found"))))</f>
        <v>Same-market proxy</v>
      </c>
      <c r="K301" s="19" t="n">
        <f aca="false">IFERROR(INDEX('Injectable Value'!$AB$28:$AB$178,MATCH(B301,'Injectable Value'!$A$28:$A$178,0)),"")</f>
        <v>146</v>
      </c>
      <c r="L301" s="77" t="n">
        <f aca="false">IFERROR(INDEX('Injectable Value'!$Z$28:$Z$178,MATCH(B301,'Injectable Value'!$A$28:$A$178,0)),"")</f>
        <v>1</v>
      </c>
      <c r="M301" s="19" t="n">
        <f aca="false">IFERROR(INDEX('Injectable Value'!$AC$28:$AC$178,MATCH(B301,'Injectable Value'!$A$28:$A$178,0)),"")</f>
        <v>146</v>
      </c>
      <c r="N301" s="19" t="n">
        <f aca="false">IFERROR(INDEX('Injectable Value'!$C$28:$C$178,MATCH(B301,'Injectable Value'!$A$28:$A$178,0)),"")</f>
        <v>11366.06</v>
      </c>
      <c r="O301" s="19" t="n">
        <f aca="false">IFERROR(ROUND(INDEX('Injectable Value'!$AA$28:$AA$178,MATCH(B301,'Injectable Value'!$A$28:$A$178,0)),1),"")</f>
        <v>11366.1</v>
      </c>
      <c r="P301" s="16" t="str">
        <f aca="false">IFERROR(INDEX('Route of Administration'!$C$5:$C$155,MATCH(B301,'Route of Administration'!$A$5:$A$155,0)),"")</f>
        <v>IM</v>
      </c>
      <c r="Q301" s="15" t="str">
        <f aca="false">IFERROR(INDEX('Route of Administration'!$D$5:$D$155,MATCH(B301,'Route of Administration'!$A$5:$A$155,0)),"")</f>
        <v>Yes</v>
      </c>
      <c r="R301" s="16" t="s">
        <v>291</v>
      </c>
      <c r="S301" s="17" t="s">
        <v>297</v>
      </c>
      <c r="T301" s="16" t="s">
        <v>283</v>
      </c>
      <c r="U301" s="17" t="str">
        <f aca="false">"Prefilled only"&amp;IF(AE301=0,"; No price found","")&amp;IF(AND(AE301&gt;0,AF301=0,AG301=0),"; Low price comes from another market – confirm with the company","")</f>
        <v>Prefilled only</v>
      </c>
      <c r="V301" s="17" t="s">
        <v>1031</v>
      </c>
      <c r="W301" s="15" t="n">
        <v>7</v>
      </c>
      <c r="X301" s="17" t="s">
        <v>1348</v>
      </c>
      <c r="Y301" s="17" t="s">
        <v>1348</v>
      </c>
      <c r="Z301" s="17" t="s">
        <v>293</v>
      </c>
      <c r="AA301" s="16" t="s">
        <v>241</v>
      </c>
      <c r="AB301" s="78" t="s">
        <v>298</v>
      </c>
      <c r="AC301" s="20" t="n">
        <f aca="false">IF(AE301&gt;0,ROUND(AVERAGEIFS('Shortlisted Drugs X Company (7)'!$N$3:$N$698,'Shortlisted Drugs X Company (7)'!$C$3:$C$698,$B301,'Shortlisted Drugs X Company (7)'!$E$3:$E$698,$AA301,'Shortlisted Drugs X Company (7)'!$N$3:$N$698,"&gt;=0"),2),"")</f>
        <v>438.59</v>
      </c>
      <c r="AD301" s="79" t="str">
        <f aca="false">B301&amp;"|"&amp;AA301</f>
        <v>Fulvestrant|Sun Pharma</v>
      </c>
      <c r="AE301" s="22" t="n">
        <f aca="false">COUNTIFS('Shortlisted Drugs X Company (7)'!$C$3:$C$698,$B301,'Shortlisted Drugs X Company (7)'!$E$3:$E$698,$AA301,'Shortlisted Drugs X Company (7)'!$N$3:$N$698,"&gt;=0")</f>
        <v>2</v>
      </c>
      <c r="AF301" s="22" t="n">
        <f aca="false">COUNTIFS('Shortlisted Drugs X Company (7)'!$C$3:$C$698,$B301,'Shortlisted Drugs X Company (7)'!$E$3:$E$698,$AA301,'Shortlisted Drugs X Company (7)'!$N$3:$N$698,"&gt;5")</f>
        <v>2</v>
      </c>
      <c r="AG301" s="22" t="n">
        <f aca="false">COUNTIFS('Shortlisted Drugs X Company (7)'!$C$3:$C$698,$B301,'Shortlisted Drugs X Company (7)'!$E$3:$E$698,$AA301,'Shortlisted Drugs X Company (7)'!$P$3:$P$698,"Exact")+COUNTIFS('Shortlisted Drugs X Company (7)'!$C$3:$C$698,$B301,'Shortlisted Drugs X Company (7)'!$E$3:$E$698,$AA301,'Shortlisted Drugs X Company (7)'!$P$3:$P$698,"Same-market proxy")</f>
        <v>1</v>
      </c>
      <c r="AH301" s="22" t="n">
        <f aca="false">INDEX($G$7:$G$25,MATCH(A301,$A$7:$A$25,0))</f>
        <v>10</v>
      </c>
      <c r="AI301" s="79" t="n">
        <f aca="false">IF(OR(Q301="No",LEFT(H301,7)="IV only"),"",AH301*1000+IF(F301="",900+COUNTIFS($A$29:A301,A301,$H$29:H301,"Price*"),F301))</f>
        <v>10002</v>
      </c>
      <c r="AJ301" s="79" t="n">
        <f aca="false">IF(H301&lt;&gt;"","",(4-VALUE(RIGHT(E301,1)))*10^7+N(O301))</f>
        <v>30011366.1</v>
      </c>
      <c r="AK301" s="20" t="n">
        <f aca="false">IF(AND(H301="",ISNUMBER(I301)),I301,"")</f>
        <v>438.59</v>
      </c>
      <c r="AL301" s="21" t="n">
        <f aca="false">IF(H301="",M301,"")</f>
        <v>146</v>
      </c>
    </row>
    <row r="302" customFormat="false" ht="41.75" hidden="false" customHeight="false" outlineLevel="0" collapsed="false">
      <c r="A302" s="16" t="s">
        <v>241</v>
      </c>
      <c r="B302" s="16" t="s">
        <v>476</v>
      </c>
      <c r="C302" s="17" t="s">
        <v>1349</v>
      </c>
      <c r="D302" s="17" t="s">
        <v>478</v>
      </c>
      <c r="E302" s="15" t="str">
        <f aca="false">IF(H302&lt;&gt;"",IF(LEFT(H302,5)="Price","Excluded – price ≤ USD 5","Excluded – IV only"),IF(ISNUMBER(I302),IF(AND(I302&gt;=$C$3,M302&gt;=$E$3),"Priority 1",IF(OR(I302&gt;=$C$3,M302&gt;=$E$3),"Priority 2","Priority 3")),IF(M302&gt;=$E$3,"Priority 2","Priority 3")))</f>
        <v>Excluded – IV only</v>
      </c>
      <c r="F302" s="15" t="str">
        <f aca="false">IF(H302&lt;&gt;"","",COUNTIFS($A$29:$A$361,A302,$H$29:$H$361,"",$AJ$29:$AJ$361,"&gt;"&amp;AJ302)+COUNTIFS($A$29:A302,A302,$H$29:H302,"",$AJ$29:AJ302,AJ302))</f>
        <v/>
      </c>
      <c r="G302" s="17" t="str">
        <f aca="false">IF(H302&lt;&gt;"","",IF(ISNUMBER(I302),IF(I302&gt;=$C$3,"High price","Lower price"),"No price")&amp;", "&amp;IF(M302&gt;=$E$3,"high volume","lower volume"))</f>
        <v/>
      </c>
      <c r="H302" s="17" t="str">
        <f aca="false">IF(Q302="No","IV only (no ID, IM or SC route)",IF(AND(AE302&gt;0,AF302=0),"Price ≤ USD 5",""))</f>
        <v>IV only (no ID, IM or SC route)</v>
      </c>
      <c r="I302" s="18" t="n">
        <f aca="false">IF(AF302&gt;0,ROUND(AVERAGEIFS('Shortlisted Drugs X Company (7)'!$N$3:$N$698,'Shortlisted Drugs X Company (7)'!$C$3:$C$698,$B302,'Shortlisted Drugs X Company (7)'!$E$3:$E$698,$AA302,'Shortlisted Drugs X Company (7)'!$N$3:$N$698,"&gt;5"),2),"")</f>
        <v>180.42</v>
      </c>
      <c r="J302" s="17" t="str">
        <f aca="false">IF(COUNTIFS('Shortlisted Drugs X Company (7)'!$C$3:$C$698,$B302,'Shortlisted Drugs X Company (7)'!$E$3:$E$698,$AA302,'Shortlisted Drugs X Company (7)'!$P$3:$P$698,"Exact")&gt;0,"Exact",IF(COUNTIFS('Shortlisted Drugs X Company (7)'!$C$3:$C$698,$B302,'Shortlisted Drugs X Company (7)'!$E$3:$E$698,$AA302,'Shortlisted Drugs X Company (7)'!$P$3:$P$698,"Same-market proxy")&gt;0,"Same-market proxy",IF(COUNTIFS('Shortlisted Drugs X Company (7)'!$C$3:$C$698,$B302,'Shortlisted Drugs X Company (7)'!$E$3:$E$698,$AA302,'Shortlisted Drugs X Company (7)'!$P$3:$P$698,"Cross-market proxy")&gt;0,"Cross-market proxy",IF(COUNTIFS('Shortlisted Drugs X Company (7)'!$C$3:$C$698,$B302,'Shortlisted Drugs X Company (7)'!$E$3:$E$698,$AA302,'Shortlisted Drugs X Company (7)'!$P$3:$P$698,"Source not found")&gt;0,"Source not found","No price found"))))</f>
        <v>Exact</v>
      </c>
      <c r="K302" s="19" t="n">
        <f aca="false">IFERROR(INDEX('Injectable Value'!$AB$28:$AB$178,MATCH(B302,'Injectable Value'!$A$28:$A$178,0)),"")</f>
        <v>257</v>
      </c>
      <c r="L302" s="77" t="n">
        <f aca="false">IFERROR(INDEX('Injectable Value'!$Z$28:$Z$178,MATCH(B302,'Injectable Value'!$A$28:$A$178,0)),"")</f>
        <v>0.689888576486515</v>
      </c>
      <c r="M302" s="19" t="n">
        <f aca="false">IFERROR(INDEX('Injectable Value'!$AC$28:$AC$178,MATCH(B302,'Injectable Value'!$A$28:$A$178,0)),"")</f>
        <v>177</v>
      </c>
      <c r="N302" s="19" t="n">
        <f aca="false">IFERROR(INDEX('Injectable Value'!$C$28:$C$178,MATCH(B302,'Injectable Value'!$A$28:$A$178,0)),"")</f>
        <v>4183.29</v>
      </c>
      <c r="O302" s="19" t="n">
        <f aca="false">IFERROR(ROUND(INDEX('Injectable Value'!$AA$28:$AA$178,MATCH(B302,'Injectable Value'!$A$28:$A$178,0)),1),"")</f>
        <v>2886</v>
      </c>
      <c r="P302" s="16" t="str">
        <f aca="false">IFERROR(INDEX('Route of Administration'!$C$5:$C$155,MATCH(B302,'Route of Administration'!$A$5:$A$155,0)),"")</f>
        <v>IV</v>
      </c>
      <c r="Q302" s="15" t="str">
        <f aca="false">IFERROR(INDEX('Route of Administration'!$D$5:$D$155,MATCH(B302,'Route of Administration'!$A$5:$A$155,0)),"")</f>
        <v>No</v>
      </c>
      <c r="R302" s="16" t="s">
        <v>281</v>
      </c>
      <c r="S302" s="17" t="s">
        <v>479</v>
      </c>
      <c r="T302" s="16" t="s">
        <v>283</v>
      </c>
      <c r="U302" s="17" t="str">
        <f aca="false">"Cancer drug (cytotoxic) – less relevant; Reconstitution"&amp;IF(AE302=0,"; No price found","")&amp;IF(AND(AE302&gt;0,AF302=0,AG302=0),"; Low price comes from another market – confirm with the company","")</f>
        <v>Cancer drug (cytotoxic) – less relevant; Reconstitution</v>
      </c>
      <c r="V302" s="17" t="s">
        <v>1350</v>
      </c>
      <c r="W302" s="15" t="n">
        <v>9</v>
      </c>
      <c r="X302" s="17" t="s">
        <v>1351</v>
      </c>
      <c r="Y302" s="17" t="s">
        <v>1352</v>
      </c>
      <c r="Z302" s="17" t="s">
        <v>286</v>
      </c>
      <c r="AA302" s="16" t="s">
        <v>241</v>
      </c>
      <c r="AB302" s="78" t="s">
        <v>482</v>
      </c>
      <c r="AC302" s="20" t="n">
        <f aca="false">IF(AE302&gt;0,ROUND(AVERAGEIFS('Shortlisted Drugs X Company (7)'!$N$3:$N$698,'Shortlisted Drugs X Company (7)'!$C$3:$C$698,$B302,'Shortlisted Drugs X Company (7)'!$E$3:$E$698,$AA302,'Shortlisted Drugs X Company (7)'!$N$3:$N$698,"&gt;=0"),2),"")</f>
        <v>180.42</v>
      </c>
      <c r="AD302" s="79" t="str">
        <f aca="false">B302&amp;"|"&amp;AA302</f>
        <v>Melphalan|Sun Pharma</v>
      </c>
      <c r="AE302" s="22" t="n">
        <f aca="false">COUNTIFS('Shortlisted Drugs X Company (7)'!$C$3:$C$698,$B302,'Shortlisted Drugs X Company (7)'!$E$3:$E$698,$AA302,'Shortlisted Drugs X Company (7)'!$N$3:$N$698,"&gt;=0")</f>
        <v>2</v>
      </c>
      <c r="AF302" s="22" t="n">
        <f aca="false">COUNTIFS('Shortlisted Drugs X Company (7)'!$C$3:$C$698,$B302,'Shortlisted Drugs X Company (7)'!$E$3:$E$698,$AA302,'Shortlisted Drugs X Company (7)'!$N$3:$N$698,"&gt;5")</f>
        <v>2</v>
      </c>
      <c r="AG302" s="22" t="n">
        <f aca="false">COUNTIFS('Shortlisted Drugs X Company (7)'!$C$3:$C$698,$B302,'Shortlisted Drugs X Company (7)'!$E$3:$E$698,$AA302,'Shortlisted Drugs X Company (7)'!$P$3:$P$698,"Exact")+COUNTIFS('Shortlisted Drugs X Company (7)'!$C$3:$C$698,$B302,'Shortlisted Drugs X Company (7)'!$E$3:$E$698,$AA302,'Shortlisted Drugs X Company (7)'!$P$3:$P$698,"Same-market proxy")</f>
        <v>2</v>
      </c>
      <c r="AH302" s="22" t="n">
        <f aca="false">INDEX($G$7:$G$25,MATCH(A302,$A$7:$A$25,0))</f>
        <v>10</v>
      </c>
      <c r="AI302" s="79" t="str">
        <f aca="false">IF(OR(Q302="No",LEFT(H302,7)="IV only"),"",AH302*1000+IF(F302="",900+COUNTIFS($A$29:A302,A302,$H$29:H302,"Price*"),F302))</f>
        <v/>
      </c>
      <c r="AJ302" s="79" t="str">
        <f aca="false">IF(H302&lt;&gt;"","",(4-VALUE(RIGHT(E302,1)))*10^7+N(O302))</f>
        <v/>
      </c>
      <c r="AK302" s="79" t="str">
        <f aca="false">IF(AND(H302="",ISNUMBER(I302)),I302,"")</f>
        <v/>
      </c>
      <c r="AL302" s="79" t="str">
        <f aca="false">IF(H302="",M302,"")</f>
        <v/>
      </c>
    </row>
    <row r="303" customFormat="false" ht="55.2" hidden="false" customHeight="false" outlineLevel="0" collapsed="false">
      <c r="A303" s="16" t="s">
        <v>241</v>
      </c>
      <c r="B303" s="16" t="s">
        <v>483</v>
      </c>
      <c r="C303" s="17" t="s">
        <v>1353</v>
      </c>
      <c r="D303" s="17" t="s">
        <v>485</v>
      </c>
      <c r="E303" s="15" t="str">
        <f aca="false">IF(H303&lt;&gt;"",IF(LEFT(H303,5)="Price","Excluded – price ≤ USD 5","Excluded – IV only"),IF(ISNUMBER(I303),IF(AND(I303&gt;=$C$3,M303&gt;=$E$3),"Priority 1",IF(OR(I303&gt;=$C$3,M303&gt;=$E$3),"Priority 2","Priority 3")),IF(M303&gt;=$E$3,"Priority 2","Priority 3")))</f>
        <v>Excluded – IV only</v>
      </c>
      <c r="F303" s="15" t="str">
        <f aca="false">IF(H303&lt;&gt;"","",COUNTIFS($A$29:$A$361,A303,$H$29:$H$361,"",$AJ$29:$AJ$361,"&gt;"&amp;AJ303)+COUNTIFS($A$29:A303,A303,$H$29:H303,"",$AJ$29:AJ303,AJ303))</f>
        <v/>
      </c>
      <c r="G303" s="17" t="str">
        <f aca="false">IF(H303&lt;&gt;"","",IF(ISNUMBER(I303),IF(I303&gt;=$C$3,"High price","Lower price"),"No price")&amp;", "&amp;IF(M303&gt;=$E$3,"high volume","lower volume"))</f>
        <v/>
      </c>
      <c r="H303" s="17" t="str">
        <f aca="false">IF(Q303="No","IV only (no ID, IM or SC route)",IF(AND(AE303&gt;0,AF303=0),"Price ≤ USD 5",""))</f>
        <v>IV only (no ID, IM or SC route)</v>
      </c>
      <c r="I303" s="18" t="n">
        <f aca="false">IF(AF303&gt;0,ROUND(AVERAGEIFS('Shortlisted Drugs X Company (7)'!$N$3:$N$698,'Shortlisted Drugs X Company (7)'!$C$3:$C$698,$B303,'Shortlisted Drugs X Company (7)'!$E$3:$E$698,$AA303,'Shortlisted Drugs X Company (7)'!$N$3:$N$698,"&gt;5"),2),"")</f>
        <v>11.91</v>
      </c>
      <c r="J303" s="17" t="str">
        <f aca="false">IF(COUNTIFS('Shortlisted Drugs X Company (7)'!$C$3:$C$698,$B303,'Shortlisted Drugs X Company (7)'!$E$3:$E$698,$AA303,'Shortlisted Drugs X Company (7)'!$P$3:$P$698,"Exact")&gt;0,"Exact",IF(COUNTIFS('Shortlisted Drugs X Company (7)'!$C$3:$C$698,$B303,'Shortlisted Drugs X Company (7)'!$E$3:$E$698,$AA303,'Shortlisted Drugs X Company (7)'!$P$3:$P$698,"Same-market proxy")&gt;0,"Same-market proxy",IF(COUNTIFS('Shortlisted Drugs X Company (7)'!$C$3:$C$698,$B303,'Shortlisted Drugs X Company (7)'!$E$3:$E$698,$AA303,'Shortlisted Drugs X Company (7)'!$P$3:$P$698,"Cross-market proxy")&gt;0,"Cross-market proxy",IF(COUNTIFS('Shortlisted Drugs X Company (7)'!$C$3:$C$698,$B303,'Shortlisted Drugs X Company (7)'!$E$3:$E$698,$AA303,'Shortlisted Drugs X Company (7)'!$P$3:$P$698,"Source not found")&gt;0,"Source not found","No price found"))))</f>
        <v>Exact</v>
      </c>
      <c r="K303" s="19" t="n">
        <f aca="false">IFERROR(INDEX('Injectable Value'!$AB$28:$AB$178,MATCH(B303,'Injectable Value'!$A$28:$A$178,0)),"")</f>
        <v>1185</v>
      </c>
      <c r="L303" s="77" t="n">
        <f aca="false">IFERROR(INDEX('Injectable Value'!$Z$28:$Z$178,MATCH(B303,'Injectable Value'!$A$28:$A$178,0)),"")</f>
        <v>0.991808067465962</v>
      </c>
      <c r="M303" s="19" t="n">
        <f aca="false">IFERROR(INDEX('Injectable Value'!$AC$28:$AC$178,MATCH(B303,'Injectable Value'!$A$28:$A$178,0)),"")</f>
        <v>1175</v>
      </c>
      <c r="N303" s="19" t="n">
        <f aca="false">IFERROR(INDEX('Injectable Value'!$C$28:$C$178,MATCH(B303,'Injectable Value'!$A$28:$A$178,0)),"")</f>
        <v>59407.06</v>
      </c>
      <c r="O303" s="19" t="n">
        <f aca="false">IFERROR(ROUND(INDEX('Injectable Value'!$AA$28:$AA$178,MATCH(B303,'Injectable Value'!$A$28:$A$178,0)),1),"")</f>
        <v>58920.4</v>
      </c>
      <c r="P303" s="16" t="str">
        <f aca="false">IFERROR(INDEX('Route of Administration'!$C$5:$C$155,MATCH(B303,'Route of Administration'!$A$5:$A$155,0)),"")</f>
        <v>IV</v>
      </c>
      <c r="Q303" s="15" t="str">
        <f aca="false">IFERROR(INDEX('Route of Administration'!$D$5:$D$155,MATCH(B303,'Route of Administration'!$A$5:$A$155,0)),"")</f>
        <v>No</v>
      </c>
      <c r="R303" s="16" t="s">
        <v>281</v>
      </c>
      <c r="S303" s="17" t="s">
        <v>1354</v>
      </c>
      <c r="T303" s="16" t="s">
        <v>359</v>
      </c>
      <c r="U303" s="17" t="str">
        <f aca="false">"Reconstitution"&amp;IF(AE303=0,"; No price found","")&amp;IF(AND(AE303&gt;0,AF303=0,AG303=0),"; Low price comes from another market – confirm with the company","")</f>
        <v>Reconstitution</v>
      </c>
      <c r="V303" s="17" t="s">
        <v>1355</v>
      </c>
      <c r="W303" s="15" t="n">
        <v>18</v>
      </c>
      <c r="X303" s="17" t="s">
        <v>1356</v>
      </c>
      <c r="Y303" s="17" t="s">
        <v>1357</v>
      </c>
      <c r="Z303" s="17" t="s">
        <v>286</v>
      </c>
      <c r="AA303" s="16" t="s">
        <v>241</v>
      </c>
      <c r="AB303" s="78" t="s">
        <v>490</v>
      </c>
      <c r="AC303" s="20" t="n">
        <f aca="false">IF(AE303&gt;0,ROUND(AVERAGEIFS('Shortlisted Drugs X Company (7)'!$N$3:$N$698,'Shortlisted Drugs X Company (7)'!$C$3:$C$698,$B303,'Shortlisted Drugs X Company (7)'!$E$3:$E$698,$AA303,'Shortlisted Drugs X Company (7)'!$N$3:$N$698,"&gt;=0"),2),"")</f>
        <v>11.91</v>
      </c>
      <c r="AD303" s="79" t="str">
        <f aca="false">B303&amp;"|"&amp;AA303</f>
        <v>Meropenem|Sun Pharma</v>
      </c>
      <c r="AE303" s="22" t="n">
        <f aca="false">COUNTIFS('Shortlisted Drugs X Company (7)'!$C$3:$C$698,$B303,'Shortlisted Drugs X Company (7)'!$E$3:$E$698,$AA303,'Shortlisted Drugs X Company (7)'!$N$3:$N$698,"&gt;=0")</f>
        <v>8</v>
      </c>
      <c r="AF303" s="22" t="n">
        <f aca="false">COUNTIFS('Shortlisted Drugs X Company (7)'!$C$3:$C$698,$B303,'Shortlisted Drugs X Company (7)'!$E$3:$E$698,$AA303,'Shortlisted Drugs X Company (7)'!$N$3:$N$698,"&gt;5")</f>
        <v>8</v>
      </c>
      <c r="AG303" s="22" t="n">
        <f aca="false">COUNTIFS('Shortlisted Drugs X Company (7)'!$C$3:$C$698,$B303,'Shortlisted Drugs X Company (7)'!$E$3:$E$698,$AA303,'Shortlisted Drugs X Company (7)'!$P$3:$P$698,"Exact")+COUNTIFS('Shortlisted Drugs X Company (7)'!$C$3:$C$698,$B303,'Shortlisted Drugs X Company (7)'!$E$3:$E$698,$AA303,'Shortlisted Drugs X Company (7)'!$P$3:$P$698,"Same-market proxy")</f>
        <v>6</v>
      </c>
      <c r="AH303" s="22" t="n">
        <f aca="false">INDEX($G$7:$G$25,MATCH(A303,$A$7:$A$25,0))</f>
        <v>10</v>
      </c>
      <c r="AI303" s="79" t="str">
        <f aca="false">IF(OR(Q303="No",LEFT(H303,7)="IV only"),"",AH303*1000+IF(F303="",900+COUNTIFS($A$29:A303,A303,$H$29:H303,"Price*"),F303))</f>
        <v/>
      </c>
      <c r="AJ303" s="79" t="str">
        <f aca="false">IF(H303&lt;&gt;"","",(4-VALUE(RIGHT(E303,1)))*10^7+N(O303))</f>
        <v/>
      </c>
      <c r="AK303" s="79" t="str">
        <f aca="false">IF(AND(H303="",ISNUMBER(I303)),I303,"")</f>
        <v/>
      </c>
      <c r="AL303" s="79" t="str">
        <f aca="false">IF(H303="",M303,"")</f>
        <v/>
      </c>
    </row>
    <row r="304" customFormat="false" ht="41.75" hidden="false" customHeight="false" outlineLevel="0" collapsed="false">
      <c r="A304" s="16" t="s">
        <v>241</v>
      </c>
      <c r="B304" s="16" t="s">
        <v>1358</v>
      </c>
      <c r="C304" s="17" t="s">
        <v>1359</v>
      </c>
      <c r="D304" s="17" t="s">
        <v>1360</v>
      </c>
      <c r="E304" s="15" t="str">
        <f aca="false">IF(H304&lt;&gt;"",IF(LEFT(H304,5)="Price","Excluded – price ≤ USD 5","Excluded – IV only"),IF(ISNUMBER(I304),IF(AND(I304&gt;=$C$3,M304&gt;=$E$3),"Priority 1",IF(OR(I304&gt;=$C$3,M304&gt;=$E$3),"Priority 2","Priority 3")),IF(M304&gt;=$E$3,"Priority 2","Priority 3")))</f>
        <v>Priority 2</v>
      </c>
      <c r="F304" s="15" t="n">
        <f aca="false">IF(H304&lt;&gt;"","",COUNTIFS($A$29:$A$361,A304,$H$29:$H$361,"",$AJ$29:$AJ$361,"&gt;"&amp;AJ304)+COUNTIFS($A$29:A304,A304,$H$29:H304,"",$AJ$29:AJ304,AJ304))</f>
        <v>3</v>
      </c>
      <c r="G304" s="17" t="str">
        <f aca="false">IF(H304&lt;&gt;"","",IF(ISNUMBER(I304),IF(I304&gt;=$C$3,"High price","Lower price"),"No price")&amp;", "&amp;IF(M304&gt;=$E$3,"high volume","lower volume"))</f>
        <v>Lower price, high volume</v>
      </c>
      <c r="H304" s="17" t="str">
        <f aca="false">IF(Q304="No","IV only (no ID, IM or SC route)",IF(AND(AE304&gt;0,AF304=0),"Price ≤ USD 5",""))</f>
        <v/>
      </c>
      <c r="I304" s="18" t="n">
        <f aca="false">IF(AF304&gt;0,ROUND(AVERAGEIFS('Shortlisted Drugs X Company (7)'!$N$3:$N$698,'Shortlisted Drugs X Company (7)'!$C$3:$C$698,$B304,'Shortlisted Drugs X Company (7)'!$E$3:$E$698,$AA304,'Shortlisted Drugs X Company (7)'!$N$3:$N$698,"&gt;5"),2),"")</f>
        <v>14.55</v>
      </c>
      <c r="J304" s="17" t="str">
        <f aca="false">IF(COUNTIFS('Shortlisted Drugs X Company (7)'!$C$3:$C$698,$B304,'Shortlisted Drugs X Company (7)'!$E$3:$E$698,$AA304,'Shortlisted Drugs X Company (7)'!$P$3:$P$698,"Exact")&gt;0,"Exact",IF(COUNTIFS('Shortlisted Drugs X Company (7)'!$C$3:$C$698,$B304,'Shortlisted Drugs X Company (7)'!$E$3:$E$698,$AA304,'Shortlisted Drugs X Company (7)'!$P$3:$P$698,"Same-market proxy")&gt;0,"Same-market proxy",IF(COUNTIFS('Shortlisted Drugs X Company (7)'!$C$3:$C$698,$B304,'Shortlisted Drugs X Company (7)'!$E$3:$E$698,$AA304,'Shortlisted Drugs X Company (7)'!$P$3:$P$698,"Cross-market proxy")&gt;0,"Cross-market proxy",IF(COUNTIFS('Shortlisted Drugs X Company (7)'!$C$3:$C$698,$B304,'Shortlisted Drugs X Company (7)'!$E$3:$E$698,$AA304,'Shortlisted Drugs X Company (7)'!$P$3:$P$698,"Source not found")&gt;0,"Source not found","No price found"))))</f>
        <v>Exact</v>
      </c>
      <c r="K304" s="19" t="n">
        <f aca="false">IFERROR(INDEX('Injectable Value'!$AB$28:$AB$178,MATCH(B304,'Injectable Value'!$A$28:$A$178,0)),"")</f>
        <v>344</v>
      </c>
      <c r="L304" s="77" t="n">
        <f aca="false">IFERROR(INDEX('Injectable Value'!$Z$28:$Z$178,MATCH(B304,'Injectable Value'!$A$28:$A$178,0)),"")</f>
        <v>0.981298701298701</v>
      </c>
      <c r="M304" s="19" t="n">
        <f aca="false">IFERROR(INDEX('Injectable Value'!$AC$28:$AC$178,MATCH(B304,'Injectable Value'!$A$28:$A$178,0)),"")</f>
        <v>338</v>
      </c>
      <c r="N304" s="19" t="n">
        <f aca="false">IFERROR(INDEX('Injectable Value'!$C$28:$C$178,MATCH(B304,'Injectable Value'!$A$28:$A$178,0)),"")</f>
        <v>8758.04</v>
      </c>
      <c r="O304" s="19" t="n">
        <f aca="false">IFERROR(ROUND(INDEX('Injectable Value'!$AA$28:$AA$178,MATCH(B304,'Injectable Value'!$A$28:$A$178,0)),1),"")</f>
        <v>8594.3</v>
      </c>
      <c r="P304" s="16" t="str">
        <f aca="false">IFERROR(INDEX('Route of Administration'!$C$5:$C$155,MATCH(B304,'Route of Administration'!$A$5:$A$155,0)),"")</f>
        <v>IV, SC (IM for long-acting depot)</v>
      </c>
      <c r="Q304" s="15" t="str">
        <f aca="false">IFERROR(INDEX('Route of Administration'!$D$5:$D$155,MATCH(B304,'Route of Administration'!$A$5:$A$155,0)),"")</f>
        <v>Yes</v>
      </c>
      <c r="R304" s="16" t="s">
        <v>349</v>
      </c>
      <c r="S304" s="17" t="s">
        <v>1361</v>
      </c>
      <c r="T304" s="16" t="s">
        <v>283</v>
      </c>
      <c r="U304" s="17" t="str">
        <f aca="false">""&amp;IF(AE304=0,"No price found","")&amp;IF(AND(AE304&gt;0,AF304=0,AG304=0),"Low price comes from another market – confirm with the company","")</f>
        <v/>
      </c>
      <c r="V304" s="17" t="s">
        <v>1049</v>
      </c>
      <c r="W304" s="15" t="n">
        <v>7</v>
      </c>
      <c r="X304" s="17" t="s">
        <v>1362</v>
      </c>
      <c r="Y304" s="17" t="s">
        <v>1362</v>
      </c>
      <c r="Z304" s="17" t="s">
        <v>321</v>
      </c>
      <c r="AA304" s="16" t="s">
        <v>241</v>
      </c>
      <c r="AB304" s="78" t="s">
        <v>1363</v>
      </c>
      <c r="AC304" s="20" t="n">
        <f aca="false">IF(AE304&gt;0,ROUND(AVERAGEIFS('Shortlisted Drugs X Company (7)'!$N$3:$N$698,'Shortlisted Drugs X Company (7)'!$C$3:$C$698,$B304,'Shortlisted Drugs X Company (7)'!$E$3:$E$698,$AA304,'Shortlisted Drugs X Company (7)'!$N$3:$N$698,"&gt;=0"),2),"")</f>
        <v>14.55</v>
      </c>
      <c r="AD304" s="79" t="str">
        <f aca="false">B304&amp;"|"&amp;AA304</f>
        <v>Octreotide|Sun Pharma</v>
      </c>
      <c r="AE304" s="22" t="n">
        <f aca="false">COUNTIFS('Shortlisted Drugs X Company (7)'!$C$3:$C$698,$B304,'Shortlisted Drugs X Company (7)'!$E$3:$E$698,$AA304,'Shortlisted Drugs X Company (7)'!$N$3:$N$698,"&gt;=0")</f>
        <v>1</v>
      </c>
      <c r="AF304" s="22" t="n">
        <f aca="false">COUNTIFS('Shortlisted Drugs X Company (7)'!$C$3:$C$698,$B304,'Shortlisted Drugs X Company (7)'!$E$3:$E$698,$AA304,'Shortlisted Drugs X Company (7)'!$N$3:$N$698,"&gt;5")</f>
        <v>1</v>
      </c>
      <c r="AG304" s="22" t="n">
        <f aca="false">COUNTIFS('Shortlisted Drugs X Company (7)'!$C$3:$C$698,$B304,'Shortlisted Drugs X Company (7)'!$E$3:$E$698,$AA304,'Shortlisted Drugs X Company (7)'!$P$3:$P$698,"Exact")+COUNTIFS('Shortlisted Drugs X Company (7)'!$C$3:$C$698,$B304,'Shortlisted Drugs X Company (7)'!$E$3:$E$698,$AA304,'Shortlisted Drugs X Company (7)'!$P$3:$P$698,"Same-market proxy")</f>
        <v>1</v>
      </c>
      <c r="AH304" s="22" t="n">
        <f aca="false">INDEX($G$7:$G$25,MATCH(A304,$A$7:$A$25,0))</f>
        <v>10</v>
      </c>
      <c r="AI304" s="79" t="n">
        <f aca="false">IF(OR(Q304="No",LEFT(H304,7)="IV only"),"",AH304*1000+IF(F304="",900+COUNTIFS($A$29:A304,A304,$H$29:H304,"Price*"),F304))</f>
        <v>10003</v>
      </c>
      <c r="AJ304" s="79" t="n">
        <f aca="false">IF(H304&lt;&gt;"","",(4-VALUE(RIGHT(E304,1)))*10^7+N(O304))</f>
        <v>20008594.3</v>
      </c>
      <c r="AK304" s="20" t="n">
        <f aca="false">IF(AND(H304="",ISNUMBER(I304)),I304,"")</f>
        <v>14.55</v>
      </c>
      <c r="AL304" s="21" t="n">
        <f aca="false">IF(H304="",M304,"")</f>
        <v>338</v>
      </c>
    </row>
    <row r="305" customFormat="false" ht="41.75" hidden="false" customHeight="false" outlineLevel="0" collapsed="false">
      <c r="A305" s="16" t="s">
        <v>241</v>
      </c>
      <c r="B305" s="16" t="s">
        <v>534</v>
      </c>
      <c r="C305" s="17" t="s">
        <v>1364</v>
      </c>
      <c r="D305" s="17" t="s">
        <v>535</v>
      </c>
      <c r="E305" s="15" t="str">
        <f aca="false">IF(H305&lt;&gt;"",IF(LEFT(H305,5)="Price","Excluded – price ≤ USD 5","Excluded – IV only"),IF(ISNUMBER(I305),IF(AND(I305&gt;=$C$3,M305&gt;=$E$3),"Priority 1",IF(OR(I305&gt;=$C$3,M305&gt;=$E$3),"Priority 2","Priority 3")),IF(M305&gt;=$E$3,"Priority 2","Priority 3")))</f>
        <v>Excluded – IV only</v>
      </c>
      <c r="F305" s="15" t="str">
        <f aca="false">IF(H305&lt;&gt;"","",COUNTIFS($A$29:$A$361,A305,$H$29:$H$361,"",$AJ$29:$AJ$361,"&gt;"&amp;AJ305)+COUNTIFS($A$29:A305,A305,$H$29:H305,"",$AJ$29:AJ305,AJ305))</f>
        <v/>
      </c>
      <c r="G305" s="17" t="str">
        <f aca="false">IF(H305&lt;&gt;"","",IF(ISNUMBER(I305),IF(I305&gt;=$C$3,"High price","Lower price"),"No price")&amp;", "&amp;IF(M305&gt;=$E$3,"high volume","lower volume"))</f>
        <v/>
      </c>
      <c r="H305" s="17" t="str">
        <f aca="false">IF(Q305="No","IV only (no ID, IM or SC route)",IF(AND(AE305&gt;0,AF305=0),"Price ≤ USD 5",""))</f>
        <v>IV only (no ID, IM or SC route)</v>
      </c>
      <c r="I305" s="18" t="n">
        <f aca="false">IF(AF305&gt;0,ROUND(AVERAGEIFS('Shortlisted Drugs X Company (7)'!$N$3:$N$698,'Shortlisted Drugs X Company (7)'!$C$3:$C$698,$B305,'Shortlisted Drugs X Company (7)'!$E$3:$E$698,$AA305,'Shortlisted Drugs X Company (7)'!$N$3:$N$698,"&gt;5"),2),"")</f>
        <v>6.08</v>
      </c>
      <c r="J305" s="17" t="str">
        <f aca="false">IF(COUNTIFS('Shortlisted Drugs X Company (7)'!$C$3:$C$698,$B305,'Shortlisted Drugs X Company (7)'!$E$3:$E$698,$AA305,'Shortlisted Drugs X Company (7)'!$P$3:$P$698,"Exact")&gt;0,"Exact",IF(COUNTIFS('Shortlisted Drugs X Company (7)'!$C$3:$C$698,$B305,'Shortlisted Drugs X Company (7)'!$E$3:$E$698,$AA305,'Shortlisted Drugs X Company (7)'!$P$3:$P$698,"Same-market proxy")&gt;0,"Same-market proxy",IF(COUNTIFS('Shortlisted Drugs X Company (7)'!$C$3:$C$698,$B305,'Shortlisted Drugs X Company (7)'!$E$3:$E$698,$AA305,'Shortlisted Drugs X Company (7)'!$P$3:$P$698,"Cross-market proxy")&gt;0,"Cross-market proxy",IF(COUNTIFS('Shortlisted Drugs X Company (7)'!$C$3:$C$698,$B305,'Shortlisted Drugs X Company (7)'!$E$3:$E$698,$AA305,'Shortlisted Drugs X Company (7)'!$P$3:$P$698,"Source not found")&gt;0,"Source not found","No price found"))))</f>
        <v>Exact</v>
      </c>
      <c r="K305" s="19" t="n">
        <f aca="false">IFERROR(INDEX('Injectable Value'!$AB$28:$AB$178,MATCH(B305,'Injectable Value'!$A$28:$A$178,0)),"")</f>
        <v>3515</v>
      </c>
      <c r="L305" s="77" t="n">
        <f aca="false">IFERROR(INDEX('Injectable Value'!$Z$28:$Z$178,MATCH(B305,'Injectable Value'!$A$28:$A$178,0)),"")</f>
        <v>0.251824206147514</v>
      </c>
      <c r="M305" s="19" t="n">
        <f aca="false">IFERROR(INDEX('Injectable Value'!$AC$28:$AC$178,MATCH(B305,'Injectable Value'!$A$28:$A$178,0)),"")</f>
        <v>885</v>
      </c>
      <c r="N305" s="19" t="n">
        <f aca="false">IFERROR(INDEX('Injectable Value'!$C$28:$C$178,MATCH(B305,'Injectable Value'!$A$28:$A$178,0)),"")</f>
        <v>140084.73</v>
      </c>
      <c r="O305" s="19" t="n">
        <f aca="false">IFERROR(ROUND(INDEX('Injectable Value'!$AA$28:$AA$178,MATCH(B305,'Injectable Value'!$A$28:$A$178,0)),1),"")</f>
        <v>35276.7</v>
      </c>
      <c r="P305" s="16" t="str">
        <f aca="false">IFERROR(INDEX('Route of Administration'!$C$5:$C$155,MATCH(B305,'Route of Administration'!$A$5:$A$155,0)),"")</f>
        <v>IV</v>
      </c>
      <c r="Q305" s="15" t="str">
        <f aca="false">IFERROR(INDEX('Route of Administration'!$D$5:$D$155,MATCH(B305,'Route of Administration'!$A$5:$A$155,0)),"")</f>
        <v>No</v>
      </c>
      <c r="R305" s="16" t="s">
        <v>281</v>
      </c>
      <c r="S305" s="17" t="s">
        <v>807</v>
      </c>
      <c r="T305" s="16" t="s">
        <v>333</v>
      </c>
      <c r="U305" s="17" t="str">
        <f aca="false">"Reconstitution"&amp;IF(AE305=0,"; No price found","")&amp;IF(AND(AE305&gt;0,AF305=0,AG305=0),"; Low price comes from another market – confirm with the company","")</f>
        <v>Reconstitution</v>
      </c>
      <c r="V305" s="17" t="s">
        <v>334</v>
      </c>
      <c r="W305" s="15" t="n">
        <v>14</v>
      </c>
      <c r="X305" s="17" t="s">
        <v>1365</v>
      </c>
      <c r="Y305" s="17" t="s">
        <v>1366</v>
      </c>
      <c r="Z305" s="17" t="s">
        <v>286</v>
      </c>
      <c r="AA305" s="16" t="s">
        <v>241</v>
      </c>
      <c r="AB305" s="78" t="s">
        <v>540</v>
      </c>
      <c r="AC305" s="20" t="n">
        <f aca="false">IF(AE305&gt;0,ROUND(AVERAGEIFS('Shortlisted Drugs X Company (7)'!$N$3:$N$698,'Shortlisted Drugs X Company (7)'!$C$3:$C$698,$B305,'Shortlisted Drugs X Company (7)'!$E$3:$E$698,$AA305,'Shortlisted Drugs X Company (7)'!$N$3:$N$698,"&gt;=0"),2),"")</f>
        <v>6.08</v>
      </c>
      <c r="AD305" s="79" t="str">
        <f aca="false">B305&amp;"|"&amp;AA305</f>
        <v>Pantoprazole|Sun Pharma</v>
      </c>
      <c r="AE305" s="22" t="n">
        <f aca="false">COUNTIFS('Shortlisted Drugs X Company (7)'!$C$3:$C$698,$B305,'Shortlisted Drugs X Company (7)'!$E$3:$E$698,$AA305,'Shortlisted Drugs X Company (7)'!$N$3:$N$698,"&gt;=0")</f>
        <v>2</v>
      </c>
      <c r="AF305" s="22" t="n">
        <f aca="false">COUNTIFS('Shortlisted Drugs X Company (7)'!$C$3:$C$698,$B305,'Shortlisted Drugs X Company (7)'!$E$3:$E$698,$AA305,'Shortlisted Drugs X Company (7)'!$N$3:$N$698,"&gt;5")</f>
        <v>2</v>
      </c>
      <c r="AG305" s="22" t="n">
        <f aca="false">COUNTIFS('Shortlisted Drugs X Company (7)'!$C$3:$C$698,$B305,'Shortlisted Drugs X Company (7)'!$E$3:$E$698,$AA305,'Shortlisted Drugs X Company (7)'!$P$3:$P$698,"Exact")+COUNTIFS('Shortlisted Drugs X Company (7)'!$C$3:$C$698,$B305,'Shortlisted Drugs X Company (7)'!$E$3:$E$698,$AA305,'Shortlisted Drugs X Company (7)'!$P$3:$P$698,"Same-market proxy")</f>
        <v>2</v>
      </c>
      <c r="AH305" s="22" t="n">
        <f aca="false">INDEX($G$7:$G$25,MATCH(A305,$A$7:$A$25,0))</f>
        <v>10</v>
      </c>
      <c r="AI305" s="79" t="str">
        <f aca="false">IF(OR(Q305="No",LEFT(H305,7)="IV only"),"",AH305*1000+IF(F305="",900+COUNTIFS($A$29:A305,A305,$H$29:H305,"Price*"),F305))</f>
        <v/>
      </c>
      <c r="AJ305" s="79" t="str">
        <f aca="false">IF(H305&lt;&gt;"","",(4-VALUE(RIGHT(E305,1)))*10^7+N(O305))</f>
        <v/>
      </c>
      <c r="AK305" s="79" t="str">
        <f aca="false">IF(AND(H305="",ISNUMBER(I305)),I305,"")</f>
        <v/>
      </c>
      <c r="AL305" s="79" t="str">
        <f aca="false">IF(H305="",M305,"")</f>
        <v/>
      </c>
    </row>
    <row r="306" customFormat="false" ht="41.75" hidden="false" customHeight="false" outlineLevel="0" collapsed="false">
      <c r="A306" s="16" t="s">
        <v>241</v>
      </c>
      <c r="B306" s="16" t="s">
        <v>1120</v>
      </c>
      <c r="C306" s="17" t="s">
        <v>1367</v>
      </c>
      <c r="D306" s="17" t="s">
        <v>1121</v>
      </c>
      <c r="E306" s="15" t="str">
        <f aca="false">IF(H306&lt;&gt;"",IF(LEFT(H306,5)="Price","Excluded – price ≤ USD 5","Excluded – IV only"),IF(ISNUMBER(I306),IF(AND(I306&gt;=$C$3,M306&gt;=$E$3),"Priority 1",IF(OR(I306&gt;=$C$3,M306&gt;=$E$3),"Priority 2","Priority 3")),IF(M306&gt;=$E$3,"Priority 2","Priority 3")))</f>
        <v>Excluded – IV only</v>
      </c>
      <c r="F306" s="15" t="str">
        <f aca="false">IF(H306&lt;&gt;"","",COUNTIFS($A$29:$A$361,A306,$H$29:$H$361,"",$AJ$29:$AJ$361,"&gt;"&amp;AJ306)+COUNTIFS($A$29:A306,A306,$H$29:H306,"",$AJ$29:AJ306,AJ306))</f>
        <v/>
      </c>
      <c r="G306" s="17" t="str">
        <f aca="false">IF(H306&lt;&gt;"","",IF(ISNUMBER(I306),IF(I306&gt;=$C$3,"High price","Lower price"),"No price")&amp;", "&amp;IF(M306&gt;=$E$3,"high volume","lower volume"))</f>
        <v/>
      </c>
      <c r="H306" s="17" t="str">
        <f aca="false">IF(Q306="No","IV only (no ID, IM or SC route)",IF(AND(AE306&gt;0,AF306=0),"Price ≤ USD 5",""))</f>
        <v>IV only (no ID, IM or SC route)</v>
      </c>
      <c r="I306" s="18" t="n">
        <f aca="false">IF(AF306&gt;0,ROUND(AVERAGEIFS('Shortlisted Drugs X Company (7)'!$N$3:$N$698,'Shortlisted Drugs X Company (7)'!$C$3:$C$698,$B306,'Shortlisted Drugs X Company (7)'!$E$3:$E$698,$AA306,'Shortlisted Drugs X Company (7)'!$N$3:$N$698,"&gt;5"),2),"")</f>
        <v>17.63</v>
      </c>
      <c r="J306" s="17" t="str">
        <f aca="false">IF(COUNTIFS('Shortlisted Drugs X Company (7)'!$C$3:$C$698,$B306,'Shortlisted Drugs X Company (7)'!$E$3:$E$698,$AA306,'Shortlisted Drugs X Company (7)'!$P$3:$P$698,"Exact")&gt;0,"Exact",IF(COUNTIFS('Shortlisted Drugs X Company (7)'!$C$3:$C$698,$B306,'Shortlisted Drugs X Company (7)'!$E$3:$E$698,$AA306,'Shortlisted Drugs X Company (7)'!$P$3:$P$698,"Same-market proxy")&gt;0,"Same-market proxy",IF(COUNTIFS('Shortlisted Drugs X Company (7)'!$C$3:$C$698,$B306,'Shortlisted Drugs X Company (7)'!$E$3:$E$698,$AA306,'Shortlisted Drugs X Company (7)'!$P$3:$P$698,"Cross-market proxy")&gt;0,"Cross-market proxy",IF(COUNTIFS('Shortlisted Drugs X Company (7)'!$C$3:$C$698,$B306,'Shortlisted Drugs X Company (7)'!$E$3:$E$698,$AA306,'Shortlisted Drugs X Company (7)'!$P$3:$P$698,"Source not found")&gt;0,"Source not found","No price found"))))</f>
        <v>Same-market proxy</v>
      </c>
      <c r="K306" s="19" t="n">
        <f aca="false">IFERROR(INDEX('Injectable Value'!$AB$28:$AB$178,MATCH(B306,'Injectable Value'!$A$28:$A$178,0)),"")</f>
        <v>55</v>
      </c>
      <c r="L306" s="77" t="n">
        <f aca="false">IFERROR(INDEX('Injectable Value'!$Z$28:$Z$178,MATCH(B306,'Injectable Value'!$A$28:$A$178,0)),"")</f>
        <v>0.449896846448571</v>
      </c>
      <c r="M306" s="19" t="n">
        <f aca="false">IFERROR(INDEX('Injectable Value'!$AC$28:$AC$178,MATCH(B306,'Injectable Value'!$A$28:$A$178,0)),"")</f>
        <v>25</v>
      </c>
      <c r="N306" s="19" t="n">
        <f aca="false">IFERROR(INDEX('Injectable Value'!$C$28:$C$178,MATCH(B306,'Injectable Value'!$A$28:$A$178,0)),"")</f>
        <v>6450.54</v>
      </c>
      <c r="O306" s="19" t="n">
        <f aca="false">IFERROR(ROUND(INDEX('Injectable Value'!$AA$28:$AA$178,MATCH(B306,'Injectable Value'!$A$28:$A$178,0)),1),"")</f>
        <v>2902.1</v>
      </c>
      <c r="P306" s="16" t="str">
        <f aca="false">IFERROR(INDEX('Route of Administration'!$C$5:$C$155,MATCH(B306,'Route of Administration'!$A$5:$A$155,0)),"")</f>
        <v>IV</v>
      </c>
      <c r="Q306" s="15" t="str">
        <f aca="false">IFERROR(INDEX('Route of Administration'!$D$5:$D$155,MATCH(B306,'Route of Administration'!$A$5:$A$155,0)),"")</f>
        <v>No</v>
      </c>
      <c r="R306" s="16" t="s">
        <v>281</v>
      </c>
      <c r="S306" s="17" t="s">
        <v>1368</v>
      </c>
      <c r="T306" s="16" t="s">
        <v>283</v>
      </c>
      <c r="U306" s="17" t="str">
        <f aca="false">""&amp;IF(AE306=0,"No price found","")&amp;IF(AND(AE306&gt;0,AF306=0,AG306=0),"Low price comes from another market – confirm with the company","")</f>
        <v/>
      </c>
      <c r="V306" s="17" t="s">
        <v>452</v>
      </c>
      <c r="W306" s="15" t="n">
        <v>2</v>
      </c>
      <c r="X306" s="17" t="s">
        <v>1369</v>
      </c>
      <c r="Y306" s="17" t="s">
        <v>1369</v>
      </c>
      <c r="Z306" s="17" t="s">
        <v>321</v>
      </c>
      <c r="AA306" s="16" t="s">
        <v>241</v>
      </c>
      <c r="AB306" s="78" t="s">
        <v>1125</v>
      </c>
      <c r="AC306" s="20" t="n">
        <f aca="false">IF(AE306&gt;0,ROUND(AVERAGEIFS('Shortlisted Drugs X Company (7)'!$N$3:$N$698,'Shortlisted Drugs X Company (7)'!$C$3:$C$698,$B306,'Shortlisted Drugs X Company (7)'!$E$3:$E$698,$AA306,'Shortlisted Drugs X Company (7)'!$N$3:$N$698,"&gt;=0"),2),"")</f>
        <v>17.63</v>
      </c>
      <c r="AD306" s="79" t="str">
        <f aca="false">B306&amp;"|"&amp;AA306</f>
        <v>Paricalcitol|Sun Pharma</v>
      </c>
      <c r="AE306" s="22" t="n">
        <f aca="false">COUNTIFS('Shortlisted Drugs X Company (7)'!$C$3:$C$698,$B306,'Shortlisted Drugs X Company (7)'!$E$3:$E$698,$AA306,'Shortlisted Drugs X Company (7)'!$N$3:$N$698,"&gt;=0")</f>
        <v>1</v>
      </c>
      <c r="AF306" s="22" t="n">
        <f aca="false">COUNTIFS('Shortlisted Drugs X Company (7)'!$C$3:$C$698,$B306,'Shortlisted Drugs X Company (7)'!$E$3:$E$698,$AA306,'Shortlisted Drugs X Company (7)'!$N$3:$N$698,"&gt;5")</f>
        <v>1</v>
      </c>
      <c r="AG306" s="22" t="n">
        <f aca="false">COUNTIFS('Shortlisted Drugs X Company (7)'!$C$3:$C$698,$B306,'Shortlisted Drugs X Company (7)'!$E$3:$E$698,$AA306,'Shortlisted Drugs X Company (7)'!$P$3:$P$698,"Exact")+COUNTIFS('Shortlisted Drugs X Company (7)'!$C$3:$C$698,$B306,'Shortlisted Drugs X Company (7)'!$E$3:$E$698,$AA306,'Shortlisted Drugs X Company (7)'!$P$3:$P$698,"Same-market proxy")</f>
        <v>1</v>
      </c>
      <c r="AH306" s="22" t="n">
        <f aca="false">INDEX($G$7:$G$25,MATCH(A306,$A$7:$A$25,0))</f>
        <v>10</v>
      </c>
      <c r="AI306" s="79" t="str">
        <f aca="false">IF(OR(Q306="No",LEFT(H306,7)="IV only"),"",AH306*1000+IF(F306="",900+COUNTIFS($A$29:A306,A306,$H$29:H306,"Price*"),F306))</f>
        <v/>
      </c>
      <c r="AJ306" s="79" t="str">
        <f aca="false">IF(H306&lt;&gt;"","",(4-VALUE(RIGHT(E306,1)))*10^7+N(O306))</f>
        <v/>
      </c>
      <c r="AK306" s="79" t="str">
        <f aca="false">IF(AND(H306="",ISNUMBER(I306)),I306,"")</f>
        <v/>
      </c>
      <c r="AL306" s="79" t="str">
        <f aca="false">IF(H306="",M306,"")</f>
        <v/>
      </c>
    </row>
    <row r="307" customFormat="false" ht="41.75" hidden="false" customHeight="false" outlineLevel="0" collapsed="false">
      <c r="A307" s="16" t="s">
        <v>241</v>
      </c>
      <c r="B307" s="16" t="s">
        <v>665</v>
      </c>
      <c r="C307" s="17" t="s">
        <v>1370</v>
      </c>
      <c r="D307" s="17" t="s">
        <v>667</v>
      </c>
      <c r="E307" s="15" t="str">
        <f aca="false">IF(H307&lt;&gt;"",IF(LEFT(H307,5)="Price","Excluded – price ≤ USD 5","Excluded – IV only"),IF(ISNUMBER(I307),IF(AND(I307&gt;=$C$3,M307&gt;=$E$3),"Priority 1",IF(OR(I307&gt;=$C$3,M307&gt;=$E$3),"Priority 2","Priority 3")),IF(M307&gt;=$E$3,"Priority 2","Priority 3")))</f>
        <v>Excluded – IV only</v>
      </c>
      <c r="F307" s="15" t="str">
        <f aca="false">IF(H307&lt;&gt;"","",COUNTIFS($A$29:$A$361,A307,$H$29:$H$361,"",$AJ$29:$AJ$361,"&gt;"&amp;AJ307)+COUNTIFS($A$29:A307,A307,$H$29:H307,"",$AJ$29:AJ307,AJ307))</f>
        <v/>
      </c>
      <c r="G307" s="17" t="str">
        <f aca="false">IF(H307&lt;&gt;"","",IF(ISNUMBER(I307),IF(I307&gt;=$C$3,"High price","Lower price"),"No price")&amp;", "&amp;IF(M307&gt;=$E$3,"high volume","lower volume"))</f>
        <v/>
      </c>
      <c r="H307" s="17" t="str">
        <f aca="false">IF(Q307="No","IV only (no ID, IM or SC route)",IF(AND(AE307&gt;0,AF307=0),"Price ≤ USD 5",""))</f>
        <v>IV only (no ID, IM or SC route)</v>
      </c>
      <c r="I307" s="18" t="n">
        <f aca="false">IF(AF307&gt;0,ROUND(AVERAGEIFS('Shortlisted Drugs X Company (7)'!$N$3:$N$698,'Shortlisted Drugs X Company (7)'!$C$3:$C$698,$B307,'Shortlisted Drugs X Company (7)'!$E$3:$E$698,$AA307,'Shortlisted Drugs X Company (7)'!$N$3:$N$698,"&gt;5"),2),"")</f>
        <v>40.14</v>
      </c>
      <c r="J307" s="17" t="str">
        <f aca="false">IF(COUNTIFS('Shortlisted Drugs X Company (7)'!$C$3:$C$698,$B307,'Shortlisted Drugs X Company (7)'!$E$3:$E$698,$AA307,'Shortlisted Drugs X Company (7)'!$P$3:$P$698,"Exact")&gt;0,"Exact",IF(COUNTIFS('Shortlisted Drugs X Company (7)'!$C$3:$C$698,$B307,'Shortlisted Drugs X Company (7)'!$E$3:$E$698,$AA307,'Shortlisted Drugs X Company (7)'!$P$3:$P$698,"Same-market proxy")&gt;0,"Same-market proxy",IF(COUNTIFS('Shortlisted Drugs X Company (7)'!$C$3:$C$698,$B307,'Shortlisted Drugs X Company (7)'!$E$3:$E$698,$AA307,'Shortlisted Drugs X Company (7)'!$P$3:$P$698,"Cross-market proxy")&gt;0,"Cross-market proxy",IF(COUNTIFS('Shortlisted Drugs X Company (7)'!$C$3:$C$698,$B307,'Shortlisted Drugs X Company (7)'!$E$3:$E$698,$AA307,'Shortlisted Drugs X Company (7)'!$P$3:$P$698,"Source not found")&gt;0,"Source not found","No price found"))))</f>
        <v>Exact</v>
      </c>
      <c r="K307" s="19" t="n">
        <f aca="false">IFERROR(INDEX('Injectable Value'!$AB$28:$AB$178,MATCH(B307,'Injectable Value'!$A$28:$A$178,0)),"")</f>
        <v>346</v>
      </c>
      <c r="L307" s="77" t="n">
        <f aca="false">IFERROR(INDEX('Injectable Value'!$Z$28:$Z$178,MATCH(B307,'Injectable Value'!$A$28:$A$178,0)),"")</f>
        <v>1</v>
      </c>
      <c r="M307" s="19" t="n">
        <f aca="false">IFERROR(INDEX('Injectable Value'!$AC$28:$AC$178,MATCH(B307,'Injectable Value'!$A$28:$A$178,0)),"")</f>
        <v>346</v>
      </c>
      <c r="N307" s="19" t="n">
        <f aca="false">IFERROR(INDEX('Injectable Value'!$C$28:$C$178,MATCH(B307,'Injectable Value'!$A$28:$A$178,0)),"")</f>
        <v>32830.17</v>
      </c>
      <c r="O307" s="19" t="n">
        <f aca="false">IFERROR(ROUND(INDEX('Injectable Value'!$AA$28:$AA$178,MATCH(B307,'Injectable Value'!$A$28:$A$178,0)),1),"")</f>
        <v>32830.2</v>
      </c>
      <c r="P307" s="16" t="str">
        <f aca="false">IFERROR(INDEX('Route of Administration'!$C$5:$C$155,MATCH(B307,'Route of Administration'!$A$5:$A$155,0)),"")</f>
        <v>IV</v>
      </c>
      <c r="Q307" s="15" t="str">
        <f aca="false">IFERROR(INDEX('Route of Administration'!$D$5:$D$155,MATCH(B307,'Route of Administration'!$A$5:$A$155,0)),"")</f>
        <v>No</v>
      </c>
      <c r="R307" s="16" t="s">
        <v>281</v>
      </c>
      <c r="S307" s="17" t="s">
        <v>668</v>
      </c>
      <c r="T307" s="16" t="s">
        <v>283</v>
      </c>
      <c r="U307" s="17" t="str">
        <f aca="false">""&amp;IF(AE307=0,"No price found","")&amp;IF(AND(AE307&gt;0,AF307=0,AG307=0),"Low price comes from another market – confirm with the company","")</f>
        <v/>
      </c>
      <c r="V307" s="17" t="s">
        <v>1371</v>
      </c>
      <c r="W307" s="15" t="n">
        <v>7</v>
      </c>
      <c r="X307" s="17" t="s">
        <v>1372</v>
      </c>
      <c r="Y307" s="17" t="s">
        <v>1372</v>
      </c>
      <c r="Z307" s="17" t="s">
        <v>286</v>
      </c>
      <c r="AA307" s="16" t="s">
        <v>241</v>
      </c>
      <c r="AB307" s="78" t="s">
        <v>670</v>
      </c>
      <c r="AC307" s="20" t="n">
        <f aca="false">IF(AE307&gt;0,ROUND(AVERAGEIFS('Shortlisted Drugs X Company (7)'!$N$3:$N$698,'Shortlisted Drugs X Company (7)'!$C$3:$C$698,$B307,'Shortlisted Drugs X Company (7)'!$E$3:$E$698,$AA307,'Shortlisted Drugs X Company (7)'!$N$3:$N$698,"&gt;=0"),2),"")</f>
        <v>40.14</v>
      </c>
      <c r="AD307" s="79" t="str">
        <f aca="false">B307&amp;"|"&amp;AA307</f>
        <v>Sugammadex|Sun Pharma</v>
      </c>
      <c r="AE307" s="22" t="n">
        <f aca="false">COUNTIFS('Shortlisted Drugs X Company (7)'!$C$3:$C$698,$B307,'Shortlisted Drugs X Company (7)'!$E$3:$E$698,$AA307,'Shortlisted Drugs X Company (7)'!$N$3:$N$698,"&gt;=0")</f>
        <v>4</v>
      </c>
      <c r="AF307" s="22" t="n">
        <f aca="false">COUNTIFS('Shortlisted Drugs X Company (7)'!$C$3:$C$698,$B307,'Shortlisted Drugs X Company (7)'!$E$3:$E$698,$AA307,'Shortlisted Drugs X Company (7)'!$N$3:$N$698,"&gt;5")</f>
        <v>4</v>
      </c>
      <c r="AG307" s="22" t="n">
        <f aca="false">COUNTIFS('Shortlisted Drugs X Company (7)'!$C$3:$C$698,$B307,'Shortlisted Drugs X Company (7)'!$E$3:$E$698,$AA307,'Shortlisted Drugs X Company (7)'!$P$3:$P$698,"Exact")+COUNTIFS('Shortlisted Drugs X Company (7)'!$C$3:$C$698,$B307,'Shortlisted Drugs X Company (7)'!$E$3:$E$698,$AA307,'Shortlisted Drugs X Company (7)'!$P$3:$P$698,"Same-market proxy")</f>
        <v>4</v>
      </c>
      <c r="AH307" s="22" t="n">
        <f aca="false">INDEX($G$7:$G$25,MATCH(A307,$A$7:$A$25,0))</f>
        <v>10</v>
      </c>
      <c r="AI307" s="79" t="str">
        <f aca="false">IF(OR(Q307="No",LEFT(H307,7)="IV only"),"",AH307*1000+IF(F307="",900+COUNTIFS($A$29:A307,A307,$H$29:H307,"Price*"),F307))</f>
        <v/>
      </c>
      <c r="AJ307" s="79" t="str">
        <f aca="false">IF(H307&lt;&gt;"","",(4-VALUE(RIGHT(E307,1)))*10^7+N(O307))</f>
        <v/>
      </c>
      <c r="AK307" s="79" t="str">
        <f aca="false">IF(AND(H307="",ISNUMBER(I307)),I307,"")</f>
        <v/>
      </c>
      <c r="AL307" s="79" t="str">
        <f aca="false">IF(H307="",M307,"")</f>
        <v/>
      </c>
    </row>
    <row r="308" customFormat="false" ht="28.35" hidden="false" customHeight="false" outlineLevel="0" collapsed="false">
      <c r="A308" s="16" t="s">
        <v>241</v>
      </c>
      <c r="B308" s="16" t="s">
        <v>671</v>
      </c>
      <c r="C308" s="17" t="s">
        <v>1373</v>
      </c>
      <c r="D308" s="17" t="s">
        <v>673</v>
      </c>
      <c r="E308" s="15" t="str">
        <f aca="false">IF(H308&lt;&gt;"",IF(LEFT(H308,5)="Price","Excluded – price ≤ USD 5","Excluded – IV only"),IF(ISNUMBER(I308),IF(AND(I308&gt;=$C$3,M308&gt;=$E$3),"Priority 1",IF(OR(I308&gt;=$C$3,M308&gt;=$E$3),"Priority 2","Priority 3")),IF(M308&gt;=$E$3,"Priority 2","Priority 3")))</f>
        <v>Priority 2</v>
      </c>
      <c r="F308" s="15" t="n">
        <f aca="false">IF(H308&lt;&gt;"","",COUNTIFS($A$29:$A$361,A308,$H$29:$H$361,"",$AJ$29:$AJ$361,"&gt;"&amp;AJ308)+COUNTIFS($A$29:A308,A308,$H$29:H308,"",$AJ$29:AJ308,AJ308))</f>
        <v>5</v>
      </c>
      <c r="G308" s="17" t="str">
        <f aca="false">IF(H308&lt;&gt;"","",IF(ISNUMBER(I308),IF(I308&gt;=$C$3,"High price","Lower price"),"No price")&amp;", "&amp;IF(M308&gt;=$E$3,"high volume","lower volume"))</f>
        <v>High price, lower volume</v>
      </c>
      <c r="H308" s="17" t="str">
        <f aca="false">IF(Q308="No","IV only (no ID, IM or SC route)",IF(AND(AE308&gt;0,AF308=0),"Price ≤ USD 5",""))</f>
        <v/>
      </c>
      <c r="I308" s="18" t="n">
        <f aca="false">IF(AF308&gt;0,ROUND(AVERAGEIFS('Shortlisted Drugs X Company (7)'!$N$3:$N$698,'Shortlisted Drugs X Company (7)'!$C$3:$C$698,$B308,'Shortlisted Drugs X Company (7)'!$E$3:$E$698,$AA308,'Shortlisted Drugs X Company (7)'!$N$3:$N$698,"&gt;5"),2),"")</f>
        <v>36.53</v>
      </c>
      <c r="J308" s="17" t="str">
        <f aca="false">IF(COUNTIFS('Shortlisted Drugs X Company (7)'!$C$3:$C$698,$B308,'Shortlisted Drugs X Company (7)'!$E$3:$E$698,$AA308,'Shortlisted Drugs X Company (7)'!$P$3:$P$698,"Exact")&gt;0,"Exact",IF(COUNTIFS('Shortlisted Drugs X Company (7)'!$C$3:$C$698,$B308,'Shortlisted Drugs X Company (7)'!$E$3:$E$698,$AA308,'Shortlisted Drugs X Company (7)'!$P$3:$P$698,"Same-market proxy")&gt;0,"Same-market proxy",IF(COUNTIFS('Shortlisted Drugs X Company (7)'!$C$3:$C$698,$B308,'Shortlisted Drugs X Company (7)'!$E$3:$E$698,$AA308,'Shortlisted Drugs X Company (7)'!$P$3:$P$698,"Cross-market proxy")&gt;0,"Cross-market proxy",IF(COUNTIFS('Shortlisted Drugs X Company (7)'!$C$3:$C$698,$B308,'Shortlisted Drugs X Company (7)'!$E$3:$E$698,$AA308,'Shortlisted Drugs X Company (7)'!$P$3:$P$698,"Source not found")&gt;0,"Source not found","No price found"))))</f>
        <v>Same-market proxy</v>
      </c>
      <c r="K308" s="19" t="n">
        <f aca="false">IFERROR(INDEX('Injectable Value'!$AB$28:$AB$178,MATCH(B308,'Injectable Value'!$A$28:$A$178,0)),"")</f>
        <v>106</v>
      </c>
      <c r="L308" s="77" t="n">
        <f aca="false">IFERROR(INDEX('Injectable Value'!$Z$28:$Z$178,MATCH(B308,'Injectable Value'!$A$28:$A$178,0)),"")</f>
        <v>0.9375</v>
      </c>
      <c r="M308" s="19" t="n">
        <f aca="false">IFERROR(INDEX('Injectable Value'!$AC$28:$AC$178,MATCH(B308,'Injectable Value'!$A$28:$A$178,0)),"")</f>
        <v>99</v>
      </c>
      <c r="N308" s="19" t="n">
        <f aca="false">IFERROR(INDEX('Injectable Value'!$C$28:$C$178,MATCH(B308,'Injectable Value'!$A$28:$A$178,0)),"")</f>
        <v>7074.72</v>
      </c>
      <c r="O308" s="19" t="n">
        <f aca="false">IFERROR(ROUND(INDEX('Injectable Value'!$AA$28:$AA$178,MATCH(B308,'Injectable Value'!$A$28:$A$178,0)),1),"")</f>
        <v>6632.6</v>
      </c>
      <c r="P308" s="16" t="str">
        <f aca="false">IFERROR(INDEX('Route of Administration'!$C$5:$C$155,MATCH(B308,'Route of Administration'!$A$5:$A$155,0)),"")</f>
        <v>IV, IM</v>
      </c>
      <c r="Q308" s="15" t="str">
        <f aca="false">IFERROR(INDEX('Route of Administration'!$D$5:$D$155,MATCH(B308,'Route of Administration'!$A$5:$A$155,0)),"")</f>
        <v>Yes</v>
      </c>
      <c r="R308" s="16" t="s">
        <v>281</v>
      </c>
      <c r="S308" s="17" t="s">
        <v>1374</v>
      </c>
      <c r="T308" s="16" t="s">
        <v>283</v>
      </c>
      <c r="U308" s="17" t="str">
        <f aca="false">"Reconstitution"&amp;IF(AE308=0,"; No price found","")&amp;IF(AND(AE308&gt;0,AF308=0,AG308=0),"; Low price comes from another market – confirm with the company","")</f>
        <v>Reconstitution</v>
      </c>
      <c r="V308" s="17" t="s">
        <v>1031</v>
      </c>
      <c r="W308" s="15" t="n">
        <v>4</v>
      </c>
      <c r="X308" s="17" t="s">
        <v>1375</v>
      </c>
      <c r="Y308" s="17" t="s">
        <v>1375</v>
      </c>
      <c r="Z308" s="17" t="s">
        <v>286</v>
      </c>
      <c r="AA308" s="16" t="s">
        <v>241</v>
      </c>
      <c r="AB308" s="78" t="s">
        <v>675</v>
      </c>
      <c r="AC308" s="20" t="n">
        <f aca="false">IF(AE308&gt;0,ROUND(AVERAGEIFS('Shortlisted Drugs X Company (7)'!$N$3:$N$698,'Shortlisted Drugs X Company (7)'!$C$3:$C$698,$B308,'Shortlisted Drugs X Company (7)'!$E$3:$E$698,$AA308,'Shortlisted Drugs X Company (7)'!$N$3:$N$698,"&gt;=0"),2),"")</f>
        <v>36.53</v>
      </c>
      <c r="AD308" s="79" t="str">
        <f aca="false">B308&amp;"|"&amp;AA308</f>
        <v>Teicoplanin|Sun Pharma</v>
      </c>
      <c r="AE308" s="22" t="n">
        <f aca="false">COUNTIFS('Shortlisted Drugs X Company (7)'!$C$3:$C$698,$B308,'Shortlisted Drugs X Company (7)'!$E$3:$E$698,$AA308,'Shortlisted Drugs X Company (7)'!$N$3:$N$698,"&gt;=0")</f>
        <v>2</v>
      </c>
      <c r="AF308" s="22" t="n">
        <f aca="false">COUNTIFS('Shortlisted Drugs X Company (7)'!$C$3:$C$698,$B308,'Shortlisted Drugs X Company (7)'!$E$3:$E$698,$AA308,'Shortlisted Drugs X Company (7)'!$N$3:$N$698,"&gt;5")</f>
        <v>2</v>
      </c>
      <c r="AG308" s="22" t="n">
        <f aca="false">COUNTIFS('Shortlisted Drugs X Company (7)'!$C$3:$C$698,$B308,'Shortlisted Drugs X Company (7)'!$E$3:$E$698,$AA308,'Shortlisted Drugs X Company (7)'!$P$3:$P$698,"Exact")+COUNTIFS('Shortlisted Drugs X Company (7)'!$C$3:$C$698,$B308,'Shortlisted Drugs X Company (7)'!$E$3:$E$698,$AA308,'Shortlisted Drugs X Company (7)'!$P$3:$P$698,"Same-market proxy")</f>
        <v>2</v>
      </c>
      <c r="AH308" s="22" t="n">
        <f aca="false">INDEX($G$7:$G$25,MATCH(A308,$A$7:$A$25,0))</f>
        <v>10</v>
      </c>
      <c r="AI308" s="79" t="n">
        <f aca="false">IF(OR(Q308="No",LEFT(H308,7)="IV only"),"",AH308*1000+IF(F308="",900+COUNTIFS($A$29:A308,A308,$H$29:H308,"Price*"),F308))</f>
        <v>10005</v>
      </c>
      <c r="AJ308" s="79" t="n">
        <f aca="false">IF(H308&lt;&gt;"","",(4-VALUE(RIGHT(E308,1)))*10^7+N(O308))</f>
        <v>20006632.6</v>
      </c>
      <c r="AK308" s="20" t="n">
        <f aca="false">IF(AND(H308="",ISNUMBER(I308)),I308,"")</f>
        <v>36.53</v>
      </c>
      <c r="AL308" s="21" t="n">
        <f aca="false">IF(H308="",M308,"")</f>
        <v>99</v>
      </c>
    </row>
    <row r="309" customFormat="false" ht="41.75" hidden="false" customHeight="false" outlineLevel="0" collapsed="false">
      <c r="A309" s="16" t="s">
        <v>241</v>
      </c>
      <c r="B309" s="16" t="s">
        <v>1376</v>
      </c>
      <c r="C309" s="17" t="s">
        <v>1377</v>
      </c>
      <c r="D309" s="17" t="s">
        <v>1378</v>
      </c>
      <c r="E309" s="15" t="str">
        <f aca="false">IF(H309&lt;&gt;"",IF(LEFT(H309,5)="Price","Excluded – price ≤ USD 5","Excluded – IV only"),IF(ISNUMBER(I309),IF(AND(I309&gt;=$C$3,M309&gt;=$E$3),"Priority 1",IF(OR(I309&gt;=$C$3,M309&gt;=$E$3),"Priority 2","Priority 3")),IF(M309&gt;=$E$3,"Priority 2","Priority 3")))</f>
        <v>Excluded – IV only</v>
      </c>
      <c r="F309" s="15" t="str">
        <f aca="false">IF(H309&lt;&gt;"","",COUNTIFS($A$29:$A$361,A309,$H$29:$H$361,"",$AJ$29:$AJ$361,"&gt;"&amp;AJ309)+COUNTIFS($A$29:A309,A309,$H$29:H309,"",$AJ$29:AJ309,AJ309))</f>
        <v/>
      </c>
      <c r="G309" s="17" t="str">
        <f aca="false">IF(H309&lt;&gt;"","",IF(ISNUMBER(I309),IF(I309&gt;=$C$3,"High price","Lower price"),"No price")&amp;", "&amp;IF(M309&gt;=$E$3,"high volume","lower volume"))</f>
        <v/>
      </c>
      <c r="H309" s="17" t="str">
        <f aca="false">IF(Q309="No","IV only (no ID, IM or SC route)",IF(AND(AE309&gt;0,AF309=0),"Price ≤ USD 5",""))</f>
        <v>IV only (no ID, IM or SC route)</v>
      </c>
      <c r="I309" s="18" t="n">
        <f aca="false">IF(AF309&gt;0,ROUND(AVERAGEIFS('Shortlisted Drugs X Company (7)'!$N$3:$N$698,'Shortlisted Drugs X Company (7)'!$C$3:$C$698,$B309,'Shortlisted Drugs X Company (7)'!$E$3:$E$698,$AA309,'Shortlisted Drugs X Company (7)'!$N$3:$N$698,"&gt;5"),2),"")</f>
        <v>30.66</v>
      </c>
      <c r="J309" s="17" t="str">
        <f aca="false">IF(COUNTIFS('Shortlisted Drugs X Company (7)'!$C$3:$C$698,$B309,'Shortlisted Drugs X Company (7)'!$E$3:$E$698,$AA309,'Shortlisted Drugs X Company (7)'!$P$3:$P$698,"Exact")&gt;0,"Exact",IF(COUNTIFS('Shortlisted Drugs X Company (7)'!$C$3:$C$698,$B309,'Shortlisted Drugs X Company (7)'!$E$3:$E$698,$AA309,'Shortlisted Drugs X Company (7)'!$P$3:$P$698,"Same-market proxy")&gt;0,"Same-market proxy",IF(COUNTIFS('Shortlisted Drugs X Company (7)'!$C$3:$C$698,$B309,'Shortlisted Drugs X Company (7)'!$E$3:$E$698,$AA309,'Shortlisted Drugs X Company (7)'!$P$3:$P$698,"Cross-market proxy")&gt;0,"Cross-market proxy",IF(COUNTIFS('Shortlisted Drugs X Company (7)'!$C$3:$C$698,$B309,'Shortlisted Drugs X Company (7)'!$E$3:$E$698,$AA309,'Shortlisted Drugs X Company (7)'!$P$3:$P$698,"Source not found")&gt;0,"Source not found","No price found"))))</f>
        <v>Exact</v>
      </c>
      <c r="K309" s="19" t="n">
        <f aca="false">IFERROR(INDEX('Injectable Value'!$AB$28:$AB$178,MATCH(B309,'Injectable Value'!$A$28:$A$178,0)),"")</f>
        <v>18</v>
      </c>
      <c r="L309" s="77" t="n">
        <f aca="false">IFERROR(INDEX('Injectable Value'!$Z$28:$Z$178,MATCH(B309,'Injectable Value'!$A$28:$A$178,0)),"")</f>
        <v>1</v>
      </c>
      <c r="M309" s="19" t="n">
        <f aca="false">IFERROR(INDEX('Injectable Value'!$AC$28:$AC$178,MATCH(B309,'Injectable Value'!$A$28:$A$178,0)),"")</f>
        <v>18</v>
      </c>
      <c r="N309" s="19" t="n">
        <f aca="false">IFERROR(INDEX('Injectable Value'!$C$28:$C$178,MATCH(B309,'Injectable Value'!$A$28:$A$178,0)),"")</f>
        <v>77.4</v>
      </c>
      <c r="O309" s="19" t="n">
        <f aca="false">IFERROR(ROUND(INDEX('Injectable Value'!$AA$28:$AA$178,MATCH(B309,'Injectable Value'!$A$28:$A$178,0)),1),"")</f>
        <v>77.4</v>
      </c>
      <c r="P309" s="16" t="str">
        <f aca="false">IFERROR(INDEX('Route of Administration'!$C$5:$C$155,MATCH(B309,'Route of Administration'!$A$5:$A$155,0)),"")</f>
        <v>IV</v>
      </c>
      <c r="Q309" s="15" t="str">
        <f aca="false">IFERROR(INDEX('Route of Administration'!$D$5:$D$155,MATCH(B309,'Route of Administration'!$A$5:$A$155,0)),"")</f>
        <v>No</v>
      </c>
      <c r="R309" s="16" t="s">
        <v>349</v>
      </c>
      <c r="S309" s="17" t="s">
        <v>1379</v>
      </c>
      <c r="T309" s="16" t="s">
        <v>283</v>
      </c>
      <c r="U309" s="17" t="str">
        <f aca="false">""&amp;IF(AE309=0,"No price found","")&amp;IF(AND(AE309&gt;0,AF309=0,AG309=0),"Low price comes from another market – confirm with the company","")</f>
        <v/>
      </c>
      <c r="V309" s="17" t="s">
        <v>785</v>
      </c>
      <c r="W309" s="15" t="n">
        <v>11</v>
      </c>
      <c r="X309" s="17" t="s">
        <v>1380</v>
      </c>
      <c r="Y309" s="17" t="s">
        <v>1381</v>
      </c>
      <c r="Z309" s="17" t="s">
        <v>321</v>
      </c>
      <c r="AA309" s="16" t="s">
        <v>241</v>
      </c>
      <c r="AB309" s="78" t="s">
        <v>1382</v>
      </c>
      <c r="AC309" s="20" t="n">
        <f aca="false">IF(AE309&gt;0,ROUND(AVERAGEIFS('Shortlisted Drugs X Company (7)'!$N$3:$N$698,'Shortlisted Drugs X Company (7)'!$C$3:$C$698,$B309,'Shortlisted Drugs X Company (7)'!$E$3:$E$698,$AA309,'Shortlisted Drugs X Company (7)'!$N$3:$N$698,"&gt;=0"),2),"")</f>
        <v>30.66</v>
      </c>
      <c r="AD309" s="79" t="str">
        <f aca="false">B309&amp;"|"&amp;AA309</f>
        <v>Terlipressin|Sun Pharma</v>
      </c>
      <c r="AE309" s="22" t="n">
        <f aca="false">COUNTIFS('Shortlisted Drugs X Company (7)'!$C$3:$C$698,$B309,'Shortlisted Drugs X Company (7)'!$E$3:$E$698,$AA309,'Shortlisted Drugs X Company (7)'!$N$3:$N$698,"&gt;=0")</f>
        <v>2</v>
      </c>
      <c r="AF309" s="22" t="n">
        <f aca="false">COUNTIFS('Shortlisted Drugs X Company (7)'!$C$3:$C$698,$B309,'Shortlisted Drugs X Company (7)'!$E$3:$E$698,$AA309,'Shortlisted Drugs X Company (7)'!$N$3:$N$698,"&gt;5")</f>
        <v>2</v>
      </c>
      <c r="AG309" s="22" t="n">
        <f aca="false">COUNTIFS('Shortlisted Drugs X Company (7)'!$C$3:$C$698,$B309,'Shortlisted Drugs X Company (7)'!$E$3:$E$698,$AA309,'Shortlisted Drugs X Company (7)'!$P$3:$P$698,"Exact")+COUNTIFS('Shortlisted Drugs X Company (7)'!$C$3:$C$698,$B309,'Shortlisted Drugs X Company (7)'!$E$3:$E$698,$AA309,'Shortlisted Drugs X Company (7)'!$P$3:$P$698,"Same-market proxy")</f>
        <v>2</v>
      </c>
      <c r="AH309" s="22" t="n">
        <f aca="false">INDEX($G$7:$G$25,MATCH(A309,$A$7:$A$25,0))</f>
        <v>10</v>
      </c>
      <c r="AI309" s="79" t="str">
        <f aca="false">IF(OR(Q309="No",LEFT(H309,7)="IV only"),"",AH309*1000+IF(F309="",900+COUNTIFS($A$29:A309,A309,$H$29:H309,"Price*"),F309))</f>
        <v/>
      </c>
      <c r="AJ309" s="79" t="str">
        <f aca="false">IF(H309&lt;&gt;"","",(4-VALUE(RIGHT(E309,1)))*10^7+N(O309))</f>
        <v/>
      </c>
      <c r="AK309" s="79" t="str">
        <f aca="false">IF(AND(H309="",ISNUMBER(I309)),I309,"")</f>
        <v/>
      </c>
      <c r="AL309" s="79" t="str">
        <f aca="false">IF(H309="",M309,"")</f>
        <v/>
      </c>
    </row>
    <row r="310" customFormat="false" ht="41.75" hidden="false" customHeight="false" outlineLevel="0" collapsed="false">
      <c r="A310" s="16" t="s">
        <v>241</v>
      </c>
      <c r="B310" s="16" t="s">
        <v>573</v>
      </c>
      <c r="C310" s="17" t="s">
        <v>1383</v>
      </c>
      <c r="D310" s="17" t="s">
        <v>574</v>
      </c>
      <c r="E310" s="15" t="str">
        <f aca="false">IF(H310&lt;&gt;"",IF(LEFT(H310,5)="Price","Excluded – price ≤ USD 5","Excluded – IV only"),IF(ISNUMBER(I310),IF(AND(I310&gt;=$C$3,M310&gt;=$E$3),"Priority 1",IF(OR(I310&gt;=$C$3,M310&gt;=$E$3),"Priority 2","Priority 3")),IF(M310&gt;=$E$3,"Priority 2","Priority 3")))</f>
        <v>Priority 2</v>
      </c>
      <c r="F310" s="15" t="n">
        <f aca="false">IF(H310&lt;&gt;"","",COUNTIFS($A$29:$A$361,A310,$H$29:$H$361,"",$AJ$29:$AJ$361,"&gt;"&amp;AJ310)+COUNTIFS($A$29:A310,A310,$H$29:H310,"",$AJ$29:AJ310,AJ310))</f>
        <v>4</v>
      </c>
      <c r="G310" s="17" t="str">
        <f aca="false">IF(H310&lt;&gt;"","",IF(ISNUMBER(I310),IF(I310&gt;=$C$3,"High price","Lower price"),"No price")&amp;", "&amp;IF(M310&gt;=$E$3,"high volume","lower volume"))</f>
        <v>Lower price, high volume</v>
      </c>
      <c r="H310" s="17" t="str">
        <f aca="false">IF(Q310="No","IV only (no ID, IM or SC route)",IF(AND(AE310&gt;0,AF310=0),"Price ≤ USD 5",""))</f>
        <v/>
      </c>
      <c r="I310" s="18" t="n">
        <f aca="false">IF(AF310&gt;0,ROUND(AVERAGEIFS('Shortlisted Drugs X Company (7)'!$N$3:$N$698,'Shortlisted Drugs X Company (7)'!$C$3:$C$698,$B310,'Shortlisted Drugs X Company (7)'!$E$3:$E$698,$AA310,'Shortlisted Drugs X Company (7)'!$N$3:$N$698,"&gt;5"),2),"")</f>
        <v>24.41</v>
      </c>
      <c r="J310" s="17" t="str">
        <f aca="false">IF(COUNTIFS('Shortlisted Drugs X Company (7)'!$C$3:$C$698,$B310,'Shortlisted Drugs X Company (7)'!$E$3:$E$698,$AA310,'Shortlisted Drugs X Company (7)'!$P$3:$P$698,"Exact")&gt;0,"Exact",IF(COUNTIFS('Shortlisted Drugs X Company (7)'!$C$3:$C$698,$B310,'Shortlisted Drugs X Company (7)'!$E$3:$E$698,$AA310,'Shortlisted Drugs X Company (7)'!$P$3:$P$698,"Same-market proxy")&gt;0,"Same-market proxy",IF(COUNTIFS('Shortlisted Drugs X Company (7)'!$C$3:$C$698,$B310,'Shortlisted Drugs X Company (7)'!$E$3:$E$698,$AA310,'Shortlisted Drugs X Company (7)'!$P$3:$P$698,"Cross-market proxy")&gt;0,"Cross-market proxy",IF(COUNTIFS('Shortlisted Drugs X Company (7)'!$C$3:$C$698,$B310,'Shortlisted Drugs X Company (7)'!$E$3:$E$698,$AA310,'Shortlisted Drugs X Company (7)'!$P$3:$P$698,"Source not found")&gt;0,"Source not found","No price found"))))</f>
        <v>Exact</v>
      </c>
      <c r="K310" s="19" t="n">
        <f aca="false">IFERROR(INDEX('Injectable Value'!$AB$28:$AB$178,MATCH(B310,'Injectable Value'!$A$28:$A$178,0)),"")</f>
        <v>307</v>
      </c>
      <c r="L310" s="77" t="n">
        <f aca="false">IFERROR(INDEX('Injectable Value'!$Z$28:$Z$178,MATCH(B310,'Injectable Value'!$A$28:$A$178,0)),"")</f>
        <v>0.947368421052632</v>
      </c>
      <c r="M310" s="19" t="n">
        <f aca="false">IFERROR(INDEX('Injectable Value'!$AC$28:$AC$178,MATCH(B310,'Injectable Value'!$A$28:$A$178,0)),"")</f>
        <v>291</v>
      </c>
      <c r="N310" s="19" t="n">
        <f aca="false">IFERROR(INDEX('Injectable Value'!$C$28:$C$178,MATCH(B310,'Injectable Value'!$A$28:$A$178,0)),"")</f>
        <v>7276.73</v>
      </c>
      <c r="O310" s="19" t="n">
        <f aca="false">IFERROR(ROUND(INDEX('Injectable Value'!$AA$28:$AA$178,MATCH(B310,'Injectable Value'!$A$28:$A$178,0)),1),"")</f>
        <v>6893.7</v>
      </c>
      <c r="P310" s="16" t="str">
        <f aca="false">IFERROR(INDEX('Route of Administration'!$C$5:$C$155,MATCH(B310,'Route of Administration'!$A$5:$A$155,0)),"")</f>
        <v>IM</v>
      </c>
      <c r="Q310" s="15" t="str">
        <f aca="false">IFERROR(INDEX('Route of Administration'!$D$5:$D$155,MATCH(B310,'Route of Administration'!$A$5:$A$155,0)),"")</f>
        <v>Yes</v>
      </c>
      <c r="R310" s="16" t="s">
        <v>281</v>
      </c>
      <c r="S310" s="17" t="s">
        <v>493</v>
      </c>
      <c r="T310" s="16" t="s">
        <v>283</v>
      </c>
      <c r="U310" s="17" t="str">
        <f aca="false">""&amp;IF(AE310=0,"No price found","")&amp;IF(AND(AE310&gt;0,AF310=0,AG310=0),"Low price comes from another market – confirm with the company","")</f>
        <v/>
      </c>
      <c r="V310" s="17" t="s">
        <v>463</v>
      </c>
      <c r="W310" s="15" t="n">
        <v>1</v>
      </c>
      <c r="X310" s="17" t="s">
        <v>464</v>
      </c>
      <c r="Y310" s="17" t="s">
        <v>464</v>
      </c>
      <c r="Z310" s="17" t="s">
        <v>286</v>
      </c>
      <c r="AA310" s="16" t="s">
        <v>241</v>
      </c>
      <c r="AB310" s="78" t="s">
        <v>576</v>
      </c>
      <c r="AC310" s="20" t="n">
        <f aca="false">IF(AE310&gt;0,ROUND(AVERAGEIFS('Shortlisted Drugs X Company (7)'!$N$3:$N$698,'Shortlisted Drugs X Company (7)'!$C$3:$C$698,$B310,'Shortlisted Drugs X Company (7)'!$E$3:$E$698,$AA310,'Shortlisted Drugs X Company (7)'!$N$3:$N$698,"&gt;=0"),2),"")</f>
        <v>24.41</v>
      </c>
      <c r="AD310" s="79" t="str">
        <f aca="false">B310&amp;"|"&amp;AA310</f>
        <v>Testosterone Cypionate|Sun Pharma</v>
      </c>
      <c r="AE310" s="22" t="n">
        <f aca="false">COUNTIFS('Shortlisted Drugs X Company (7)'!$C$3:$C$698,$B310,'Shortlisted Drugs X Company (7)'!$E$3:$E$698,$AA310,'Shortlisted Drugs X Company (7)'!$N$3:$N$698,"&gt;=0")</f>
        <v>1</v>
      </c>
      <c r="AF310" s="22" t="n">
        <f aca="false">COUNTIFS('Shortlisted Drugs X Company (7)'!$C$3:$C$698,$B310,'Shortlisted Drugs X Company (7)'!$E$3:$E$698,$AA310,'Shortlisted Drugs X Company (7)'!$N$3:$N$698,"&gt;5")</f>
        <v>1</v>
      </c>
      <c r="AG310" s="22" t="n">
        <f aca="false">COUNTIFS('Shortlisted Drugs X Company (7)'!$C$3:$C$698,$B310,'Shortlisted Drugs X Company (7)'!$E$3:$E$698,$AA310,'Shortlisted Drugs X Company (7)'!$P$3:$P$698,"Exact")+COUNTIFS('Shortlisted Drugs X Company (7)'!$C$3:$C$698,$B310,'Shortlisted Drugs X Company (7)'!$E$3:$E$698,$AA310,'Shortlisted Drugs X Company (7)'!$P$3:$P$698,"Same-market proxy")</f>
        <v>1</v>
      </c>
      <c r="AH310" s="22" t="n">
        <f aca="false">INDEX($G$7:$G$25,MATCH(A310,$A$7:$A$25,0))</f>
        <v>10</v>
      </c>
      <c r="AI310" s="79" t="n">
        <f aca="false">IF(OR(Q310="No",LEFT(H310,7)="IV only"),"",AH310*1000+IF(F310="",900+COUNTIFS($A$29:A310,A310,$H$29:H310,"Price*"),F310))</f>
        <v>10004</v>
      </c>
      <c r="AJ310" s="79" t="n">
        <f aca="false">IF(H310&lt;&gt;"","",(4-VALUE(RIGHT(E310,1)))*10^7+N(O310))</f>
        <v>20006893.7</v>
      </c>
      <c r="AK310" s="20" t="n">
        <f aca="false">IF(AND(H310="",ISNUMBER(I310)),I310,"")</f>
        <v>24.41</v>
      </c>
      <c r="AL310" s="21" t="n">
        <f aca="false">IF(H310="",M310,"")</f>
        <v>291</v>
      </c>
    </row>
    <row r="311" customFormat="false" ht="41.75" hidden="false" customHeight="false" outlineLevel="0" collapsed="false">
      <c r="A311" s="16" t="s">
        <v>241</v>
      </c>
      <c r="B311" s="16" t="s">
        <v>676</v>
      </c>
      <c r="C311" s="17" t="s">
        <v>1384</v>
      </c>
      <c r="D311" s="17" t="s">
        <v>678</v>
      </c>
      <c r="E311" s="15" t="str">
        <f aca="false">IF(H311&lt;&gt;"",IF(LEFT(H311,5)="Price","Excluded – price ≤ USD 5","Excluded – IV only"),IF(ISNUMBER(I311),IF(AND(I311&gt;=$C$3,M311&gt;=$E$3),"Priority 1",IF(OR(I311&gt;=$C$3,M311&gt;=$E$3),"Priority 2","Priority 3")),IF(M311&gt;=$E$3,"Priority 2","Priority 3")))</f>
        <v>Priority 2</v>
      </c>
      <c r="F311" s="15" t="n">
        <f aca="false">IF(H311&lt;&gt;"","",COUNTIFS($A$29:$A$361,A311,$H$29:$H$361,"",$AJ$29:$AJ$361,"&gt;"&amp;AJ311)+COUNTIFS($A$29:A311,A311,$H$29:H311,"",$AJ$29:AJ311,AJ311))</f>
        <v>7</v>
      </c>
      <c r="G311" s="17" t="str">
        <f aca="false">IF(H311&lt;&gt;"","",IF(ISNUMBER(I311),IF(I311&gt;=$C$3,"High price","Lower price"),"No price")&amp;", "&amp;IF(M311&gt;=$E$3,"high volume","lower volume"))</f>
        <v>High price, lower volume</v>
      </c>
      <c r="H311" s="17" t="str">
        <f aca="false">IF(Q311="No","IV only (no ID, IM or SC route)",IF(AND(AE311&gt;0,AF311=0),"Price ≤ USD 5",""))</f>
        <v/>
      </c>
      <c r="I311" s="18" t="n">
        <f aca="false">IF(AF311&gt;0,ROUND(AVERAGEIFS('Shortlisted Drugs X Company (7)'!$N$3:$N$698,'Shortlisted Drugs X Company (7)'!$C$3:$C$698,$B311,'Shortlisted Drugs X Company (7)'!$E$3:$E$698,$AA311,'Shortlisted Drugs X Company (7)'!$N$3:$N$698,"&gt;5"),2),"")</f>
        <v>64.26</v>
      </c>
      <c r="J311" s="17" t="str">
        <f aca="false">IF(COUNTIFS('Shortlisted Drugs X Company (7)'!$C$3:$C$698,$B311,'Shortlisted Drugs X Company (7)'!$E$3:$E$698,$AA311,'Shortlisted Drugs X Company (7)'!$P$3:$P$698,"Exact")&gt;0,"Exact",IF(COUNTIFS('Shortlisted Drugs X Company (7)'!$C$3:$C$698,$B311,'Shortlisted Drugs X Company (7)'!$E$3:$E$698,$AA311,'Shortlisted Drugs X Company (7)'!$P$3:$P$698,"Same-market proxy")&gt;0,"Same-market proxy",IF(COUNTIFS('Shortlisted Drugs X Company (7)'!$C$3:$C$698,$B311,'Shortlisted Drugs X Company (7)'!$E$3:$E$698,$AA311,'Shortlisted Drugs X Company (7)'!$P$3:$P$698,"Cross-market proxy")&gt;0,"Cross-market proxy",IF(COUNTIFS('Shortlisted Drugs X Company (7)'!$C$3:$C$698,$B311,'Shortlisted Drugs X Company (7)'!$E$3:$E$698,$AA311,'Shortlisted Drugs X Company (7)'!$P$3:$P$698,"Source not found")&gt;0,"Source not found","No price found"))))</f>
        <v>Exact</v>
      </c>
      <c r="K311" s="19" t="n">
        <f aca="false">IFERROR(INDEX('Injectable Value'!$AB$28:$AB$178,MATCH(B311,'Injectable Value'!$A$28:$A$178,0)),"")</f>
        <v>188</v>
      </c>
      <c r="L311" s="77" t="n">
        <f aca="false">IFERROR(INDEX('Injectable Value'!$Z$28:$Z$178,MATCH(B311,'Injectable Value'!$A$28:$A$178,0)),"")</f>
        <v>0.703571428571429</v>
      </c>
      <c r="M311" s="19" t="n">
        <f aca="false">IFERROR(INDEX('Injectable Value'!$AC$28:$AC$178,MATCH(B311,'Injectable Value'!$A$28:$A$178,0)),"")</f>
        <v>132</v>
      </c>
      <c r="N311" s="19" t="n">
        <f aca="false">IFERROR(INDEX('Injectable Value'!$C$28:$C$178,MATCH(B311,'Injectable Value'!$A$28:$A$178,0)),"")</f>
        <v>262.84</v>
      </c>
      <c r="O311" s="19" t="n">
        <f aca="false">IFERROR(ROUND(INDEX('Injectable Value'!$AA$28:$AA$178,MATCH(B311,'Injectable Value'!$A$28:$A$178,0)),1),"")</f>
        <v>184.9</v>
      </c>
      <c r="P311" s="16" t="str">
        <f aca="false">IFERROR(INDEX('Route of Administration'!$C$5:$C$155,MATCH(B311,'Route of Administration'!$A$5:$A$155,0)),"")</f>
        <v>IM</v>
      </c>
      <c r="Q311" s="15" t="str">
        <f aca="false">IFERROR(INDEX('Route of Administration'!$D$5:$D$155,MATCH(B311,'Route of Administration'!$A$5:$A$155,0)),"")</f>
        <v>Yes</v>
      </c>
      <c r="R311" s="16" t="s">
        <v>281</v>
      </c>
      <c r="S311" s="17" t="s">
        <v>679</v>
      </c>
      <c r="T311" s="16" t="s">
        <v>283</v>
      </c>
      <c r="U311" s="17" t="str">
        <f aca="false">""&amp;IF(AE311=0,"No price found","")&amp;IF(AND(AE311&gt;0,AF311=0,AG311=0),"Low price comes from another market – confirm with the company","")</f>
        <v/>
      </c>
      <c r="V311" s="17" t="s">
        <v>1385</v>
      </c>
      <c r="W311" s="15" t="n">
        <v>12</v>
      </c>
      <c r="X311" s="17" t="s">
        <v>1386</v>
      </c>
      <c r="Y311" s="17" t="s">
        <v>1387</v>
      </c>
      <c r="Z311" s="17" t="s">
        <v>286</v>
      </c>
      <c r="AA311" s="16" t="s">
        <v>241</v>
      </c>
      <c r="AB311" s="78" t="s">
        <v>680</v>
      </c>
      <c r="AC311" s="20" t="n">
        <f aca="false">IF(AE311&gt;0,ROUND(AVERAGEIFS('Shortlisted Drugs X Company (7)'!$N$3:$N$698,'Shortlisted Drugs X Company (7)'!$C$3:$C$698,$B311,'Shortlisted Drugs X Company (7)'!$E$3:$E$698,$AA311,'Shortlisted Drugs X Company (7)'!$N$3:$N$698,"&gt;=0"),2),"")</f>
        <v>64.26</v>
      </c>
      <c r="AD311" s="79" t="str">
        <f aca="false">B311&amp;"|"&amp;AA311</f>
        <v>Testosterone Undecanoate|Sun Pharma</v>
      </c>
      <c r="AE311" s="22" t="n">
        <f aca="false">COUNTIFS('Shortlisted Drugs X Company (7)'!$C$3:$C$698,$B311,'Shortlisted Drugs X Company (7)'!$E$3:$E$698,$AA311,'Shortlisted Drugs X Company (7)'!$N$3:$N$698,"&gt;=0")</f>
        <v>3</v>
      </c>
      <c r="AF311" s="22" t="n">
        <f aca="false">COUNTIFS('Shortlisted Drugs X Company (7)'!$C$3:$C$698,$B311,'Shortlisted Drugs X Company (7)'!$E$3:$E$698,$AA311,'Shortlisted Drugs X Company (7)'!$N$3:$N$698,"&gt;5")</f>
        <v>3</v>
      </c>
      <c r="AG311" s="22" t="n">
        <f aca="false">COUNTIFS('Shortlisted Drugs X Company (7)'!$C$3:$C$698,$B311,'Shortlisted Drugs X Company (7)'!$E$3:$E$698,$AA311,'Shortlisted Drugs X Company (7)'!$P$3:$P$698,"Exact")+COUNTIFS('Shortlisted Drugs X Company (7)'!$C$3:$C$698,$B311,'Shortlisted Drugs X Company (7)'!$E$3:$E$698,$AA311,'Shortlisted Drugs X Company (7)'!$P$3:$P$698,"Same-market proxy")</f>
        <v>3</v>
      </c>
      <c r="AH311" s="22" t="n">
        <f aca="false">INDEX($G$7:$G$25,MATCH(A311,$A$7:$A$25,0))</f>
        <v>10</v>
      </c>
      <c r="AI311" s="79" t="n">
        <f aca="false">IF(OR(Q311="No",LEFT(H311,7)="IV only"),"",AH311*1000+IF(F311="",900+COUNTIFS($A$29:A311,A311,$H$29:H311,"Price*"),F311))</f>
        <v>10007</v>
      </c>
      <c r="AJ311" s="79" t="n">
        <f aca="false">IF(H311&lt;&gt;"","",(4-VALUE(RIGHT(E311,1)))*10^7+N(O311))</f>
        <v>20000184.9</v>
      </c>
      <c r="AK311" s="20" t="n">
        <f aca="false">IF(AND(H311="",ISNUMBER(I311)),I311,"")</f>
        <v>64.26</v>
      </c>
      <c r="AL311" s="21" t="n">
        <f aca="false">IF(H311="",M311,"")</f>
        <v>132</v>
      </c>
    </row>
    <row r="312" customFormat="false" ht="28.35" hidden="false" customHeight="false" outlineLevel="0" collapsed="false">
      <c r="A312" s="16" t="s">
        <v>241</v>
      </c>
      <c r="B312" s="16" t="s">
        <v>594</v>
      </c>
      <c r="C312" s="17" t="s">
        <v>1388</v>
      </c>
      <c r="D312" s="17" t="s">
        <v>596</v>
      </c>
      <c r="E312" s="15" t="str">
        <f aca="false">IF(H312&lt;&gt;"",IF(LEFT(H312,5)="Price","Excluded – price ≤ USD 5","Excluded – IV only"),IF(ISNUMBER(I312),IF(AND(I312&gt;=$C$3,M312&gt;=$E$3),"Priority 1",IF(OR(I312&gt;=$C$3,M312&gt;=$E$3),"Priority 2","Priority 3")),IF(M312&gt;=$E$3,"Priority 2","Priority 3")))</f>
        <v>Excluded – IV only</v>
      </c>
      <c r="F312" s="15" t="str">
        <f aca="false">IF(H312&lt;&gt;"","",COUNTIFS($A$29:$A$361,A312,$H$29:$H$361,"",$AJ$29:$AJ$361,"&gt;"&amp;AJ312)+COUNTIFS($A$29:A312,A312,$H$29:H312,"",$AJ$29:AJ312,AJ312))</f>
        <v/>
      </c>
      <c r="G312" s="17" t="str">
        <f aca="false">IF(H312&lt;&gt;"","",IF(ISNUMBER(I312),IF(I312&gt;=$C$3,"High price","Lower price"),"No price")&amp;", "&amp;IF(M312&gt;=$E$3,"high volume","lower volume"))</f>
        <v/>
      </c>
      <c r="H312" s="17" t="str">
        <f aca="false">IF(Q312="No","IV only (no ID, IM or SC route)",IF(AND(AE312&gt;0,AF312=0),"Price ≤ USD 5",""))</f>
        <v>IV only (no ID, IM or SC route)</v>
      </c>
      <c r="I312" s="18" t="n">
        <f aca="false">IF(AF312&gt;0,ROUND(AVERAGEIFS('Shortlisted Drugs X Company (7)'!$N$3:$N$698,'Shortlisted Drugs X Company (7)'!$C$3:$C$698,$B312,'Shortlisted Drugs X Company (7)'!$E$3:$E$698,$AA312,'Shortlisted Drugs X Company (7)'!$N$3:$N$698,"&gt;5"),2),"")</f>
        <v>9.75</v>
      </c>
      <c r="J312" s="17" t="str">
        <f aca="false">IF(COUNTIFS('Shortlisted Drugs X Company (7)'!$C$3:$C$698,$B312,'Shortlisted Drugs X Company (7)'!$E$3:$E$698,$AA312,'Shortlisted Drugs X Company (7)'!$P$3:$P$698,"Exact")&gt;0,"Exact",IF(COUNTIFS('Shortlisted Drugs X Company (7)'!$C$3:$C$698,$B312,'Shortlisted Drugs X Company (7)'!$E$3:$E$698,$AA312,'Shortlisted Drugs X Company (7)'!$P$3:$P$698,"Same-market proxy")&gt;0,"Same-market proxy",IF(COUNTIFS('Shortlisted Drugs X Company (7)'!$C$3:$C$698,$B312,'Shortlisted Drugs X Company (7)'!$E$3:$E$698,$AA312,'Shortlisted Drugs X Company (7)'!$P$3:$P$698,"Cross-market proxy")&gt;0,"Cross-market proxy",IF(COUNTIFS('Shortlisted Drugs X Company (7)'!$C$3:$C$698,$B312,'Shortlisted Drugs X Company (7)'!$E$3:$E$698,$AA312,'Shortlisted Drugs X Company (7)'!$P$3:$P$698,"Source not found")&gt;0,"Source not found","No price found"))))</f>
        <v>Exact</v>
      </c>
      <c r="K312" s="19" t="n">
        <f aca="false">IFERROR(INDEX('Injectable Value'!$AB$28:$AB$178,MATCH(B312,'Injectable Value'!$A$28:$A$178,0)),"")</f>
        <v>208</v>
      </c>
      <c r="L312" s="77" t="n">
        <f aca="false">IFERROR(INDEX('Injectable Value'!$Z$28:$Z$178,MATCH(B312,'Injectable Value'!$A$28:$A$178,0)),"")</f>
        <v>1</v>
      </c>
      <c r="M312" s="19" t="n">
        <f aca="false">IFERROR(INDEX('Injectable Value'!$AC$28:$AC$178,MATCH(B312,'Injectable Value'!$A$28:$A$178,0)),"")</f>
        <v>208</v>
      </c>
      <c r="N312" s="19" t="n">
        <f aca="false">IFERROR(INDEX('Injectable Value'!$C$28:$C$178,MATCH(B312,'Injectable Value'!$A$28:$A$178,0)),"")</f>
        <v>3923.58</v>
      </c>
      <c r="O312" s="19" t="n">
        <f aca="false">IFERROR(ROUND(INDEX('Injectable Value'!$AA$28:$AA$178,MATCH(B312,'Injectable Value'!$A$28:$A$178,0)),1),"")</f>
        <v>3923.6</v>
      </c>
      <c r="P312" s="16" t="str">
        <f aca="false">IFERROR(INDEX('Route of Administration'!$C$5:$C$155,MATCH(B312,'Route of Administration'!$A$5:$A$155,0)),"")</f>
        <v>IV</v>
      </c>
      <c r="Q312" s="15" t="str">
        <f aca="false">IFERROR(INDEX('Route of Administration'!$D$5:$D$155,MATCH(B312,'Route of Administration'!$A$5:$A$155,0)),"")</f>
        <v>No</v>
      </c>
      <c r="R312" s="16" t="s">
        <v>281</v>
      </c>
      <c r="S312" s="17" t="s">
        <v>1389</v>
      </c>
      <c r="T312" s="16" t="s">
        <v>283</v>
      </c>
      <c r="U312" s="17" t="str">
        <f aca="false">"Reconstitution"&amp;IF(AE312=0,"; No price found","")&amp;IF(AND(AE312&gt;0,AF312=0,AG312=0),"; Low price comes from another market – confirm with the company","")</f>
        <v>Reconstitution</v>
      </c>
      <c r="V312" s="17" t="s">
        <v>1031</v>
      </c>
      <c r="W312" s="15" t="n">
        <v>5</v>
      </c>
      <c r="X312" s="17" t="s">
        <v>1390</v>
      </c>
      <c r="Y312" s="17" t="s">
        <v>1390</v>
      </c>
      <c r="Z312" s="17" t="s">
        <v>321</v>
      </c>
      <c r="AA312" s="16" t="s">
        <v>241</v>
      </c>
      <c r="AB312" s="78" t="s">
        <v>598</v>
      </c>
      <c r="AC312" s="20" t="n">
        <f aca="false">IF(AE312&gt;0,ROUND(AVERAGEIFS('Shortlisted Drugs X Company (7)'!$N$3:$N$698,'Shortlisted Drugs X Company (7)'!$C$3:$C$698,$B312,'Shortlisted Drugs X Company (7)'!$E$3:$E$698,$AA312,'Shortlisted Drugs X Company (7)'!$N$3:$N$698,"&gt;=0"),2),"")</f>
        <v>9.75</v>
      </c>
      <c r="AD312" s="79" t="str">
        <f aca="false">B312&amp;"|"&amp;AA312</f>
        <v>Vecuronium|Sun Pharma</v>
      </c>
      <c r="AE312" s="22" t="n">
        <f aca="false">COUNTIFS('Shortlisted Drugs X Company (7)'!$C$3:$C$698,$B312,'Shortlisted Drugs X Company (7)'!$E$3:$E$698,$AA312,'Shortlisted Drugs X Company (7)'!$N$3:$N$698,"&gt;=0")</f>
        <v>4</v>
      </c>
      <c r="AF312" s="22" t="n">
        <f aca="false">COUNTIFS('Shortlisted Drugs X Company (7)'!$C$3:$C$698,$B312,'Shortlisted Drugs X Company (7)'!$E$3:$E$698,$AA312,'Shortlisted Drugs X Company (7)'!$N$3:$N$698,"&gt;5")</f>
        <v>4</v>
      </c>
      <c r="AG312" s="22" t="n">
        <f aca="false">COUNTIFS('Shortlisted Drugs X Company (7)'!$C$3:$C$698,$B312,'Shortlisted Drugs X Company (7)'!$E$3:$E$698,$AA312,'Shortlisted Drugs X Company (7)'!$P$3:$P$698,"Exact")+COUNTIFS('Shortlisted Drugs X Company (7)'!$C$3:$C$698,$B312,'Shortlisted Drugs X Company (7)'!$E$3:$E$698,$AA312,'Shortlisted Drugs X Company (7)'!$P$3:$P$698,"Same-market proxy")</f>
        <v>3</v>
      </c>
      <c r="AH312" s="22" t="n">
        <f aca="false">INDEX($G$7:$G$25,MATCH(A312,$A$7:$A$25,0))</f>
        <v>10</v>
      </c>
      <c r="AI312" s="79" t="str">
        <f aca="false">IF(OR(Q312="No",LEFT(H312,7)="IV only"),"",AH312*1000+IF(F312="",900+COUNTIFS($A$29:A312,A312,$H$29:H312,"Price*"),F312))</f>
        <v/>
      </c>
      <c r="AJ312" s="79" t="str">
        <f aca="false">IF(H312&lt;&gt;"","",(4-VALUE(RIGHT(E312,1)))*10^7+N(O312))</f>
        <v/>
      </c>
      <c r="AK312" s="79" t="str">
        <f aca="false">IF(AND(H312="",ISNUMBER(I312)),I312,"")</f>
        <v/>
      </c>
      <c r="AL312" s="79" t="str">
        <f aca="false">IF(H312="",M312,"")</f>
        <v/>
      </c>
    </row>
    <row r="313" customFormat="false" ht="28.35" hidden="false" customHeight="false" outlineLevel="0" collapsed="false">
      <c r="A313" s="16" t="s">
        <v>242</v>
      </c>
      <c r="B313" s="16" t="s">
        <v>295</v>
      </c>
      <c r="C313" s="17" t="s">
        <v>1391</v>
      </c>
      <c r="D313" s="17" t="s">
        <v>296</v>
      </c>
      <c r="E313" s="15" t="str">
        <f aca="false">IF(H313&lt;&gt;"",IF(LEFT(H313,5)="Price","Excluded – price ≤ USD 5","Excluded – IV only"),IF(ISNUMBER(I313),IF(AND(I313&gt;=$C$3,M313&gt;=$E$3),"Priority 1",IF(OR(I313&gt;=$C$3,M313&gt;=$E$3),"Priority 2","Priority 3")),IF(M313&gt;=$E$3,"Priority 2","Priority 3")))</f>
        <v>Priority 1</v>
      </c>
      <c r="F313" s="15" t="n">
        <f aca="false">IF(H313&lt;&gt;"","",COUNTIFS($A$29:$A$361,A313,$H$29:$H$361,"",$AJ$29:$AJ$361,"&gt;"&amp;AJ313)+COUNTIFS($A$29:A313,A313,$H$29:H313,"",$AJ$29:AJ313,AJ313))</f>
        <v>1</v>
      </c>
      <c r="G313" s="17" t="str">
        <f aca="false">IF(H313&lt;&gt;"","",IF(ISNUMBER(I313),IF(I313&gt;=$C$3,"High price","Lower price"),"No price")&amp;", "&amp;IF(M313&gt;=$E$3,"high volume","lower volume"))</f>
        <v>High price, high volume</v>
      </c>
      <c r="H313" s="17" t="str">
        <f aca="false">IF(Q313="No","IV only (no ID, IM or SC route)",IF(AND(AE313&gt;0,AF313=0),"Price ≤ USD 5",""))</f>
        <v/>
      </c>
      <c r="I313" s="18" t="n">
        <f aca="false">IF(AF313&gt;0,ROUND(AVERAGEIFS('Shortlisted Drugs X Company (7)'!$N$3:$N$698,'Shortlisted Drugs X Company (7)'!$C$3:$C$698,$B313,'Shortlisted Drugs X Company (7)'!$E$3:$E$698,$AA313,'Shortlisted Drugs X Company (7)'!$N$3:$N$698,"&gt;5"),2),"")</f>
        <v>77.33</v>
      </c>
      <c r="J313" s="17" t="str">
        <f aca="false">IF(COUNTIFS('Shortlisted Drugs X Company (7)'!$C$3:$C$698,$B313,'Shortlisted Drugs X Company (7)'!$E$3:$E$698,$AA313,'Shortlisted Drugs X Company (7)'!$P$3:$P$698,"Exact")&gt;0,"Exact",IF(COUNTIFS('Shortlisted Drugs X Company (7)'!$C$3:$C$698,$B313,'Shortlisted Drugs X Company (7)'!$E$3:$E$698,$AA313,'Shortlisted Drugs X Company (7)'!$P$3:$P$698,"Same-market proxy")&gt;0,"Same-market proxy",IF(COUNTIFS('Shortlisted Drugs X Company (7)'!$C$3:$C$698,$B313,'Shortlisted Drugs X Company (7)'!$E$3:$E$698,$AA313,'Shortlisted Drugs X Company (7)'!$P$3:$P$698,"Cross-market proxy")&gt;0,"Cross-market proxy",IF(COUNTIFS('Shortlisted Drugs X Company (7)'!$C$3:$C$698,$B313,'Shortlisted Drugs X Company (7)'!$E$3:$E$698,$AA313,'Shortlisted Drugs X Company (7)'!$P$3:$P$698,"Source not found")&gt;0,"Source not found","No price found"))))</f>
        <v>Exact</v>
      </c>
      <c r="K313" s="19" t="n">
        <f aca="false">IFERROR(INDEX('Injectable Value'!$AB$28:$AB$178,MATCH(B313,'Injectable Value'!$A$28:$A$178,0)),"")</f>
        <v>146</v>
      </c>
      <c r="L313" s="77" t="n">
        <f aca="false">IFERROR(INDEX('Injectable Value'!$Z$28:$Z$178,MATCH(B313,'Injectable Value'!$A$28:$A$178,0)),"")</f>
        <v>1</v>
      </c>
      <c r="M313" s="19" t="n">
        <f aca="false">IFERROR(INDEX('Injectable Value'!$AC$28:$AC$178,MATCH(B313,'Injectable Value'!$A$28:$A$178,0)),"")</f>
        <v>146</v>
      </c>
      <c r="N313" s="19" t="n">
        <f aca="false">IFERROR(INDEX('Injectable Value'!$C$28:$C$178,MATCH(B313,'Injectable Value'!$A$28:$A$178,0)),"")</f>
        <v>11366.06</v>
      </c>
      <c r="O313" s="19" t="n">
        <f aca="false">IFERROR(ROUND(INDEX('Injectable Value'!$AA$28:$AA$178,MATCH(B313,'Injectable Value'!$A$28:$A$178,0)),1),"")</f>
        <v>11366.1</v>
      </c>
      <c r="P313" s="16" t="str">
        <f aca="false">IFERROR(INDEX('Route of Administration'!$C$5:$C$155,MATCH(B313,'Route of Administration'!$A$5:$A$155,0)),"")</f>
        <v>IM</v>
      </c>
      <c r="Q313" s="15" t="str">
        <f aca="false">IFERROR(INDEX('Route of Administration'!$D$5:$D$155,MATCH(B313,'Route of Administration'!$A$5:$A$155,0)),"")</f>
        <v>Yes</v>
      </c>
      <c r="R313" s="16" t="s">
        <v>291</v>
      </c>
      <c r="S313" s="17" t="s">
        <v>297</v>
      </c>
      <c r="T313" s="16" t="s">
        <v>283</v>
      </c>
      <c r="U313" s="17" t="str">
        <f aca="false">"Prefilled only"&amp;IF(AE313=0,"; No price found","")&amp;IF(AND(AE313&gt;0,AF313=0,AG313=0),"; Low price comes from another market – confirm with the company","")</f>
        <v>Prefilled only</v>
      </c>
      <c r="V313" s="17" t="s">
        <v>452</v>
      </c>
      <c r="W313" s="15" t="n">
        <v>1</v>
      </c>
      <c r="X313" s="17" t="s">
        <v>453</v>
      </c>
      <c r="Y313" s="17" t="s">
        <v>453</v>
      </c>
      <c r="Z313" s="17" t="s">
        <v>293</v>
      </c>
      <c r="AA313" s="16" t="s">
        <v>1392</v>
      </c>
      <c r="AB313" s="78" t="s">
        <v>298</v>
      </c>
      <c r="AC313" s="20" t="n">
        <f aca="false">IF(AE313&gt;0,ROUND(AVERAGEIFS('Shortlisted Drugs X Company (7)'!$N$3:$N$698,'Shortlisted Drugs X Company (7)'!$C$3:$C$698,$B313,'Shortlisted Drugs X Company (7)'!$E$3:$E$698,$AA313,'Shortlisted Drugs X Company (7)'!$N$3:$N$698,"&gt;=0"),2),"")</f>
        <v>77.33</v>
      </c>
      <c r="AD313" s="79" t="str">
        <f aca="false">B313&amp;"|"&amp;AA313</f>
        <v>Fulvestrant|Torrent Pharmaceuticals</v>
      </c>
      <c r="AE313" s="22" t="n">
        <f aca="false">COUNTIFS('Shortlisted Drugs X Company (7)'!$C$3:$C$698,$B313,'Shortlisted Drugs X Company (7)'!$E$3:$E$698,$AA313,'Shortlisted Drugs X Company (7)'!$N$3:$N$698,"&gt;=0")</f>
        <v>1</v>
      </c>
      <c r="AF313" s="22" t="n">
        <f aca="false">COUNTIFS('Shortlisted Drugs X Company (7)'!$C$3:$C$698,$B313,'Shortlisted Drugs X Company (7)'!$E$3:$E$698,$AA313,'Shortlisted Drugs X Company (7)'!$N$3:$N$698,"&gt;5")</f>
        <v>1</v>
      </c>
      <c r="AG313" s="22" t="n">
        <f aca="false">COUNTIFS('Shortlisted Drugs X Company (7)'!$C$3:$C$698,$B313,'Shortlisted Drugs X Company (7)'!$E$3:$E$698,$AA313,'Shortlisted Drugs X Company (7)'!$P$3:$P$698,"Exact")+COUNTIFS('Shortlisted Drugs X Company (7)'!$C$3:$C$698,$B313,'Shortlisted Drugs X Company (7)'!$E$3:$E$698,$AA313,'Shortlisted Drugs X Company (7)'!$P$3:$P$698,"Same-market proxy")</f>
        <v>1</v>
      </c>
      <c r="AH313" s="22" t="n">
        <f aca="false">INDEX($G$7:$G$25,MATCH(A313,$A$7:$A$25,0))</f>
        <v>13</v>
      </c>
      <c r="AI313" s="79" t="n">
        <f aca="false">IF(OR(Q313="No",LEFT(H313,7)="IV only"),"",AH313*1000+IF(F313="",900+COUNTIFS($A$29:A313,A313,$H$29:H313,"Price*"),F313))</f>
        <v>13001</v>
      </c>
      <c r="AJ313" s="79" t="n">
        <f aca="false">IF(H313&lt;&gt;"","",(4-VALUE(RIGHT(E313,1)))*10^7+N(O313))</f>
        <v>30011366.1</v>
      </c>
      <c r="AK313" s="20" t="n">
        <f aca="false">IF(AND(H313="",ISNUMBER(I313)),I313,"")</f>
        <v>77.33</v>
      </c>
      <c r="AL313" s="21" t="n">
        <f aca="false">IF(H313="",M313,"")</f>
        <v>146</v>
      </c>
    </row>
    <row r="314" customFormat="false" ht="41.75" hidden="false" customHeight="false" outlineLevel="0" collapsed="false">
      <c r="A314" s="16" t="s">
        <v>242</v>
      </c>
      <c r="B314" s="16" t="s">
        <v>1393</v>
      </c>
      <c r="C314" s="17" t="s">
        <v>1394</v>
      </c>
      <c r="D314" s="17" t="s">
        <v>520</v>
      </c>
      <c r="E314" s="15" t="str">
        <f aca="false">IF(H314&lt;&gt;"",IF(LEFT(H314,5)="Price","Excluded – price ≤ USD 5","Excluded – IV only"),IF(ISNUMBER(I314),IF(AND(I314&gt;=$C$3,M314&gt;=$E$3),"Priority 1",IF(OR(I314&gt;=$C$3,M314&gt;=$E$3),"Priority 2","Priority 3")),IF(M314&gt;=$E$3,"Priority 2","Priority 3")))</f>
        <v>Excluded – IV only</v>
      </c>
      <c r="F314" s="15" t="str">
        <f aca="false">IF(H314&lt;&gt;"","",COUNTIFS($A$29:$A$361,A314,$H$29:$H$361,"",$AJ$29:$AJ$361,"&gt;"&amp;AJ314)+COUNTIFS($A$29:A314,A314,$H$29:H314,"",$AJ$29:AJ314,AJ314))</f>
        <v/>
      </c>
      <c r="G314" s="17" t="str">
        <f aca="false">IF(H314&lt;&gt;"","",IF(ISNUMBER(I314),IF(I314&gt;=$C$3,"High price","Lower price"),"No price")&amp;", "&amp;IF(M314&gt;=$E$3,"high volume","lower volume"))</f>
        <v/>
      </c>
      <c r="H314" s="17" t="str">
        <f aca="false">IF(Q314="No","IV only (no ID, IM or SC route)",IF(AND(AE314&gt;0,AF314=0),"Price ≤ USD 5",""))</f>
        <v>IV only (no ID, IM or SC route)</v>
      </c>
      <c r="I314" s="18" t="n">
        <f aca="false">IF(AF314&gt;0,ROUND(AVERAGEIFS('Shortlisted Drugs X Company (7)'!$N$3:$N$698,'Shortlisted Drugs X Company (7)'!$C$3:$C$698,$B314,'Shortlisted Drugs X Company (7)'!$E$3:$E$698,$AA314,'Shortlisted Drugs X Company (7)'!$N$3:$N$698,"&gt;5"),2),"")</f>
        <v>12.21</v>
      </c>
      <c r="J314" s="17" t="str">
        <f aca="false">IF(COUNTIFS('Shortlisted Drugs X Company (7)'!$C$3:$C$698,$B314,'Shortlisted Drugs X Company (7)'!$E$3:$E$698,$AA314,'Shortlisted Drugs X Company (7)'!$P$3:$P$698,"Exact")&gt;0,"Exact",IF(COUNTIFS('Shortlisted Drugs X Company (7)'!$C$3:$C$698,$B314,'Shortlisted Drugs X Company (7)'!$E$3:$E$698,$AA314,'Shortlisted Drugs X Company (7)'!$P$3:$P$698,"Same-market proxy")&gt;0,"Same-market proxy",IF(COUNTIFS('Shortlisted Drugs X Company (7)'!$C$3:$C$698,$B314,'Shortlisted Drugs X Company (7)'!$E$3:$E$698,$AA314,'Shortlisted Drugs X Company (7)'!$P$3:$P$698,"Cross-market proxy")&gt;0,"Cross-market proxy",IF(COUNTIFS('Shortlisted Drugs X Company (7)'!$C$3:$C$698,$B314,'Shortlisted Drugs X Company (7)'!$E$3:$E$698,$AA314,'Shortlisted Drugs X Company (7)'!$P$3:$P$698,"Source not found")&gt;0,"Source not found","No price found"))))</f>
        <v>Same-market proxy</v>
      </c>
      <c r="K314" s="19" t="n">
        <f aca="false">IFERROR(INDEX('Injectable Value'!$AB$28:$AB$178,MATCH(B314,'Injectable Value'!$A$28:$A$178,0)),"")</f>
        <v>59</v>
      </c>
      <c r="L314" s="77" t="n">
        <f aca="false">IFERROR(INDEX('Injectable Value'!$Z$28:$Z$178,MATCH(B314,'Injectable Value'!$A$28:$A$178,0)),"")</f>
        <v>0.581244456320444</v>
      </c>
      <c r="M314" s="19" t="n">
        <f aca="false">IFERROR(INDEX('Injectable Value'!$AC$28:$AC$178,MATCH(B314,'Injectable Value'!$A$28:$A$178,0)),"")</f>
        <v>34</v>
      </c>
      <c r="N314" s="19" t="n">
        <f aca="false">IFERROR(INDEX('Injectable Value'!$C$28:$C$178,MATCH(B314,'Injectable Value'!$A$28:$A$178,0)),"")</f>
        <v>1206.55</v>
      </c>
      <c r="O314" s="19" t="n">
        <f aca="false">IFERROR(ROUND(INDEX('Injectable Value'!$AA$28:$AA$178,MATCH(B314,'Injectable Value'!$A$28:$A$178,0)),1),"")</f>
        <v>701.3</v>
      </c>
      <c r="P314" s="16" t="str">
        <f aca="false">IFERROR(INDEX('Route of Administration'!$C$5:$C$155,MATCH(B314,'Route of Administration'!$A$5:$A$155,0)),"")</f>
        <v>IV</v>
      </c>
      <c r="Q314" s="15" t="str">
        <f aca="false">IFERROR(INDEX('Route of Administration'!$D$5:$D$155,MATCH(B314,'Route of Administration'!$A$5:$A$155,0)),"")</f>
        <v>No</v>
      </c>
      <c r="R314" s="16" t="s">
        <v>349</v>
      </c>
      <c r="S314" s="17" t="s">
        <v>1395</v>
      </c>
      <c r="T314" s="16" t="s">
        <v>283</v>
      </c>
      <c r="U314" s="17" t="str">
        <f aca="false">""&amp;IF(AE314=0,"No price found","")&amp;IF(AND(AE314&gt;0,AF314=0,AG314=0),"Low price comes from another market – confirm with the company","")</f>
        <v/>
      </c>
      <c r="V314" s="17" t="s">
        <v>772</v>
      </c>
      <c r="W314" s="15" t="n">
        <v>2</v>
      </c>
      <c r="X314" s="17" t="s">
        <v>772</v>
      </c>
      <c r="Y314" s="17" t="s">
        <v>772</v>
      </c>
      <c r="Z314" s="17" t="s">
        <v>321</v>
      </c>
      <c r="AA314" s="16" t="s">
        <v>1392</v>
      </c>
      <c r="AB314" s="78" t="s">
        <v>1396</v>
      </c>
      <c r="AC314" s="20" t="n">
        <f aca="false">IF(AE314&gt;0,ROUND(AVERAGEIFS('Shortlisted Drugs X Company (7)'!$N$3:$N$698,'Shortlisted Drugs X Company (7)'!$C$3:$C$698,$B314,'Shortlisted Drugs X Company (7)'!$E$3:$E$698,$AA314,'Shortlisted Drugs X Company (7)'!$N$3:$N$698,"&gt;=0"),2),"")</f>
        <v>12.21</v>
      </c>
      <c r="AD314" s="79" t="str">
        <f aca="false">B314&amp;"|"&amp;AA314</f>
        <v>Granisetron|Torrent Pharmaceuticals</v>
      </c>
      <c r="AE314" s="22" t="n">
        <f aca="false">COUNTIFS('Shortlisted Drugs X Company (7)'!$C$3:$C$698,$B314,'Shortlisted Drugs X Company (7)'!$E$3:$E$698,$AA314,'Shortlisted Drugs X Company (7)'!$N$3:$N$698,"&gt;=0")</f>
        <v>2</v>
      </c>
      <c r="AF314" s="22" t="n">
        <f aca="false">COUNTIFS('Shortlisted Drugs X Company (7)'!$C$3:$C$698,$B314,'Shortlisted Drugs X Company (7)'!$E$3:$E$698,$AA314,'Shortlisted Drugs X Company (7)'!$N$3:$N$698,"&gt;5")</f>
        <v>2</v>
      </c>
      <c r="AG314" s="22" t="n">
        <f aca="false">COUNTIFS('Shortlisted Drugs X Company (7)'!$C$3:$C$698,$B314,'Shortlisted Drugs X Company (7)'!$E$3:$E$698,$AA314,'Shortlisted Drugs X Company (7)'!$P$3:$P$698,"Exact")+COUNTIFS('Shortlisted Drugs X Company (7)'!$C$3:$C$698,$B314,'Shortlisted Drugs X Company (7)'!$E$3:$E$698,$AA314,'Shortlisted Drugs X Company (7)'!$P$3:$P$698,"Same-market proxy")</f>
        <v>1</v>
      </c>
      <c r="AH314" s="22" t="n">
        <f aca="false">INDEX($G$7:$G$25,MATCH(A314,$A$7:$A$25,0))</f>
        <v>13</v>
      </c>
      <c r="AI314" s="79" t="str">
        <f aca="false">IF(OR(Q314="No",LEFT(H314,7)="IV only"),"",AH314*1000+IF(F314="",900+COUNTIFS($A$29:A314,A314,$H$29:H314,"Price*"),F314))</f>
        <v/>
      </c>
      <c r="AJ314" s="79" t="str">
        <f aca="false">IF(H314&lt;&gt;"","",(4-VALUE(RIGHT(E314,1)))*10^7+N(O314))</f>
        <v/>
      </c>
      <c r="AK314" s="79" t="str">
        <f aca="false">IF(AND(H314="",ISNUMBER(I314)),I314,"")</f>
        <v/>
      </c>
      <c r="AL314" s="79" t="str">
        <f aca="false">IF(H314="",M314,"")</f>
        <v/>
      </c>
    </row>
    <row r="315" customFormat="false" ht="41.75" hidden="false" customHeight="false" outlineLevel="0" collapsed="false">
      <c r="A315" s="16" t="s">
        <v>242</v>
      </c>
      <c r="B315" s="16" t="s">
        <v>1266</v>
      </c>
      <c r="C315" s="17" t="s">
        <v>1397</v>
      </c>
      <c r="D315" s="17" t="s">
        <v>1268</v>
      </c>
      <c r="E315" s="15" t="str">
        <f aca="false">IF(H315&lt;&gt;"",IF(LEFT(H315,5)="Price","Excluded – price ≤ USD 5","Excluded – IV only"),IF(ISNUMBER(I315),IF(AND(I315&gt;=$C$3,M315&gt;=$E$3),"Priority 1",IF(OR(I315&gt;=$C$3,M315&gt;=$E$3),"Priority 2","Priority 3")),IF(M315&gt;=$E$3,"Priority 2","Priority 3")))</f>
        <v>Excluded – IV only</v>
      </c>
      <c r="F315" s="15" t="str">
        <f aca="false">IF(H315&lt;&gt;"","",COUNTIFS($A$29:$A$361,A315,$H$29:$H$361,"",$AJ$29:$AJ$361,"&gt;"&amp;AJ315)+COUNTIFS($A$29:A315,A315,$H$29:H315,"",$AJ$29:AJ315,AJ315))</f>
        <v/>
      </c>
      <c r="G315" s="17" t="str">
        <f aca="false">IF(H315&lt;&gt;"","",IF(ISNUMBER(I315),IF(I315&gt;=$C$3,"High price","Lower price"),"No price")&amp;", "&amp;IF(M315&gt;=$E$3,"high volume","lower volume"))</f>
        <v/>
      </c>
      <c r="H315" s="17" t="str">
        <f aca="false">IF(Q315="No","IV only (no ID, IM or SC route)",IF(AND(AE315&gt;0,AF315=0),"Price ≤ USD 5",""))</f>
        <v>IV only (no ID, IM or SC route)</v>
      </c>
      <c r="I315" s="18" t="n">
        <f aca="false">IF(AF315&gt;0,ROUND(AVERAGEIFS('Shortlisted Drugs X Company (7)'!$N$3:$N$698,'Shortlisted Drugs X Company (7)'!$C$3:$C$698,$B315,'Shortlisted Drugs X Company (7)'!$E$3:$E$698,$AA315,'Shortlisted Drugs X Company (7)'!$N$3:$N$698,"&gt;5"),2),"")</f>
        <v>20.65</v>
      </c>
      <c r="J315" s="17" t="str">
        <f aca="false">IF(COUNTIFS('Shortlisted Drugs X Company (7)'!$C$3:$C$698,$B315,'Shortlisted Drugs X Company (7)'!$E$3:$E$698,$AA315,'Shortlisted Drugs X Company (7)'!$P$3:$P$698,"Exact")&gt;0,"Exact",IF(COUNTIFS('Shortlisted Drugs X Company (7)'!$C$3:$C$698,$B315,'Shortlisted Drugs X Company (7)'!$E$3:$E$698,$AA315,'Shortlisted Drugs X Company (7)'!$P$3:$P$698,"Same-market proxy")&gt;0,"Same-market proxy",IF(COUNTIFS('Shortlisted Drugs X Company (7)'!$C$3:$C$698,$B315,'Shortlisted Drugs X Company (7)'!$E$3:$E$698,$AA315,'Shortlisted Drugs X Company (7)'!$P$3:$P$698,"Cross-market proxy")&gt;0,"Cross-market proxy",IF(COUNTIFS('Shortlisted Drugs X Company (7)'!$C$3:$C$698,$B315,'Shortlisted Drugs X Company (7)'!$E$3:$E$698,$AA315,'Shortlisted Drugs X Company (7)'!$P$3:$P$698,"Source not found")&gt;0,"Source not found","No price found"))))</f>
        <v>Same-market proxy</v>
      </c>
      <c r="K315" s="19" t="n">
        <f aca="false">IFERROR(INDEX('Injectable Value'!$AB$28:$AB$178,MATCH(B315,'Injectable Value'!$A$28:$A$178,0)),"")</f>
        <v>2286</v>
      </c>
      <c r="L315" s="77" t="n">
        <f aca="false">IFERROR(INDEX('Injectable Value'!$Z$28:$Z$178,MATCH(B315,'Injectable Value'!$A$28:$A$178,0)),"")</f>
        <v>0.174359744408496</v>
      </c>
      <c r="M315" s="19" t="n">
        <f aca="false">IFERROR(INDEX('Injectable Value'!$AC$28:$AC$178,MATCH(B315,'Injectable Value'!$A$28:$A$178,0)),"")</f>
        <v>399</v>
      </c>
      <c r="N315" s="19" t="n">
        <f aca="false">IFERROR(INDEX('Injectable Value'!$C$28:$C$178,MATCH(B315,'Injectable Value'!$A$28:$A$178,0)),"")</f>
        <v>106496.78</v>
      </c>
      <c r="O315" s="19" t="n">
        <f aca="false">IFERROR(ROUND(INDEX('Injectable Value'!$AA$28:$AA$178,MATCH(B315,'Injectable Value'!$A$28:$A$178,0)),1),"")</f>
        <v>18568.8</v>
      </c>
      <c r="P315" s="16" t="str">
        <f aca="false">IFERROR(INDEX('Route of Administration'!$C$5:$C$155,MATCH(B315,'Route of Administration'!$A$5:$A$155,0)),"")</f>
        <v>IV</v>
      </c>
      <c r="Q315" s="15" t="str">
        <f aca="false">IFERROR(INDEX('Route of Administration'!$D$5:$D$155,MATCH(B315,'Route of Administration'!$A$5:$A$155,0)),"")</f>
        <v>No</v>
      </c>
      <c r="R315" s="16" t="s">
        <v>310</v>
      </c>
      <c r="S315" s="17" t="s">
        <v>310</v>
      </c>
      <c r="T315" s="16" t="s">
        <v>310</v>
      </c>
      <c r="U315" s="17" t="str">
        <f aca="false">""&amp;IF(AE315=0,"No price found","")&amp;IF(AND(AE315&gt;0,AF315=0,AG315=0),"Low price comes from another market – confirm with the company","")</f>
        <v/>
      </c>
      <c r="V315" s="17" t="s">
        <v>452</v>
      </c>
      <c r="W315" s="15" t="n">
        <v>1</v>
      </c>
      <c r="X315" s="17" t="s">
        <v>453</v>
      </c>
      <c r="Y315" s="17" t="s">
        <v>453</v>
      </c>
      <c r="Z315" s="17" t="s">
        <v>312</v>
      </c>
      <c r="AA315" s="16" t="s">
        <v>1392</v>
      </c>
      <c r="AB315" s="78" t="s">
        <v>1271</v>
      </c>
      <c r="AC315" s="20" t="n">
        <f aca="false">IF(AE315&gt;0,ROUND(AVERAGEIFS('Shortlisted Drugs X Company (7)'!$N$3:$N$698,'Shortlisted Drugs X Company (7)'!$C$3:$C$698,$B315,'Shortlisted Drugs X Company (7)'!$E$3:$E$698,$AA315,'Shortlisted Drugs X Company (7)'!$N$3:$N$698,"&gt;=0"),2),"")</f>
        <v>20.65</v>
      </c>
      <c r="AD315" s="79" t="str">
        <f aca="false">B315&amp;"|"&amp;AA315</f>
        <v>Levetiracetam|Torrent Pharmaceuticals</v>
      </c>
      <c r="AE315" s="22" t="n">
        <f aca="false">COUNTIFS('Shortlisted Drugs X Company (7)'!$C$3:$C$698,$B315,'Shortlisted Drugs X Company (7)'!$E$3:$E$698,$AA315,'Shortlisted Drugs X Company (7)'!$N$3:$N$698,"&gt;=0")</f>
        <v>1</v>
      </c>
      <c r="AF315" s="22" t="n">
        <f aca="false">COUNTIFS('Shortlisted Drugs X Company (7)'!$C$3:$C$698,$B315,'Shortlisted Drugs X Company (7)'!$E$3:$E$698,$AA315,'Shortlisted Drugs X Company (7)'!$N$3:$N$698,"&gt;5")</f>
        <v>1</v>
      </c>
      <c r="AG315" s="22" t="n">
        <f aca="false">COUNTIFS('Shortlisted Drugs X Company (7)'!$C$3:$C$698,$B315,'Shortlisted Drugs X Company (7)'!$E$3:$E$698,$AA315,'Shortlisted Drugs X Company (7)'!$P$3:$P$698,"Exact")+COUNTIFS('Shortlisted Drugs X Company (7)'!$C$3:$C$698,$B315,'Shortlisted Drugs X Company (7)'!$E$3:$E$698,$AA315,'Shortlisted Drugs X Company (7)'!$P$3:$P$698,"Same-market proxy")</f>
        <v>1</v>
      </c>
      <c r="AH315" s="22" t="n">
        <f aca="false">INDEX($G$7:$G$25,MATCH(A315,$A$7:$A$25,0))</f>
        <v>13</v>
      </c>
      <c r="AI315" s="79" t="str">
        <f aca="false">IF(OR(Q315="No",LEFT(H315,7)="IV only"),"",AH315*1000+IF(F315="",900+COUNTIFS($A$29:A315,A315,$H$29:H315,"Price*"),F315))</f>
        <v/>
      </c>
      <c r="AJ315" s="79" t="str">
        <f aca="false">IF(H315&lt;&gt;"","",(4-VALUE(RIGHT(E315,1)))*10^7+N(O315))</f>
        <v/>
      </c>
      <c r="AK315" s="79" t="str">
        <f aca="false">IF(AND(H315="",ISNUMBER(I315)),I315,"")</f>
        <v/>
      </c>
      <c r="AL315" s="79" t="str">
        <f aca="false">IF(H315="",M315,"")</f>
        <v/>
      </c>
    </row>
    <row r="316" customFormat="false" ht="28.35" hidden="false" customHeight="false" outlineLevel="0" collapsed="false">
      <c r="A316" s="16" t="s">
        <v>242</v>
      </c>
      <c r="B316" s="16" t="s">
        <v>483</v>
      </c>
      <c r="C316" s="17" t="s">
        <v>1398</v>
      </c>
      <c r="D316" s="17" t="s">
        <v>485</v>
      </c>
      <c r="E316" s="15" t="str">
        <f aca="false">IF(H316&lt;&gt;"",IF(LEFT(H316,5)="Price","Excluded – price ≤ USD 5","Excluded – IV only"),IF(ISNUMBER(I316),IF(AND(I316&gt;=$C$3,M316&gt;=$E$3),"Priority 1",IF(OR(I316&gt;=$C$3,M316&gt;=$E$3),"Priority 2","Priority 3")),IF(M316&gt;=$E$3,"Priority 2","Priority 3")))</f>
        <v>Excluded – IV only</v>
      </c>
      <c r="F316" s="15" t="str">
        <f aca="false">IF(H316&lt;&gt;"","",COUNTIFS($A$29:$A$361,A316,$H$29:$H$361,"",$AJ$29:$AJ$361,"&gt;"&amp;AJ316)+COUNTIFS($A$29:A316,A316,$H$29:H316,"",$AJ$29:AJ316,AJ316))</f>
        <v/>
      </c>
      <c r="G316" s="17" t="str">
        <f aca="false">IF(H316&lt;&gt;"","",IF(ISNUMBER(I316),IF(I316&gt;=$C$3,"High price","Lower price"),"No price")&amp;", "&amp;IF(M316&gt;=$E$3,"high volume","lower volume"))</f>
        <v/>
      </c>
      <c r="H316" s="17" t="str">
        <f aca="false">IF(Q316="No","IV only (no ID, IM or SC route)",IF(AND(AE316&gt;0,AF316=0),"Price ≤ USD 5",""))</f>
        <v>IV only (no ID, IM or SC route)</v>
      </c>
      <c r="I316" s="18" t="n">
        <f aca="false">IF(AF316&gt;0,ROUND(AVERAGEIFS('Shortlisted Drugs X Company (7)'!$N$3:$N$698,'Shortlisted Drugs X Company (7)'!$C$3:$C$698,$B316,'Shortlisted Drugs X Company (7)'!$E$3:$E$698,$AA316,'Shortlisted Drugs X Company (7)'!$N$3:$N$698,"&gt;5"),2),"")</f>
        <v>12.08</v>
      </c>
      <c r="J316" s="17" t="str">
        <f aca="false">IF(COUNTIFS('Shortlisted Drugs X Company (7)'!$C$3:$C$698,$B316,'Shortlisted Drugs X Company (7)'!$E$3:$E$698,$AA316,'Shortlisted Drugs X Company (7)'!$P$3:$P$698,"Exact")&gt;0,"Exact",IF(COUNTIFS('Shortlisted Drugs X Company (7)'!$C$3:$C$698,$B316,'Shortlisted Drugs X Company (7)'!$E$3:$E$698,$AA316,'Shortlisted Drugs X Company (7)'!$P$3:$P$698,"Same-market proxy")&gt;0,"Same-market proxy",IF(COUNTIFS('Shortlisted Drugs X Company (7)'!$C$3:$C$698,$B316,'Shortlisted Drugs X Company (7)'!$E$3:$E$698,$AA316,'Shortlisted Drugs X Company (7)'!$P$3:$P$698,"Cross-market proxy")&gt;0,"Cross-market proxy",IF(COUNTIFS('Shortlisted Drugs X Company (7)'!$C$3:$C$698,$B316,'Shortlisted Drugs X Company (7)'!$E$3:$E$698,$AA316,'Shortlisted Drugs X Company (7)'!$P$3:$P$698,"Source not found")&gt;0,"Source not found","No price found"))))</f>
        <v>Cross-market proxy</v>
      </c>
      <c r="K316" s="19" t="n">
        <f aca="false">IFERROR(INDEX('Injectable Value'!$AB$28:$AB$178,MATCH(B316,'Injectable Value'!$A$28:$A$178,0)),"")</f>
        <v>1185</v>
      </c>
      <c r="L316" s="77" t="n">
        <f aca="false">IFERROR(INDEX('Injectable Value'!$Z$28:$Z$178,MATCH(B316,'Injectable Value'!$A$28:$A$178,0)),"")</f>
        <v>0.991808067465962</v>
      </c>
      <c r="M316" s="19" t="n">
        <f aca="false">IFERROR(INDEX('Injectable Value'!$AC$28:$AC$178,MATCH(B316,'Injectable Value'!$A$28:$A$178,0)),"")</f>
        <v>1175</v>
      </c>
      <c r="N316" s="19" t="n">
        <f aca="false">IFERROR(INDEX('Injectable Value'!$C$28:$C$178,MATCH(B316,'Injectable Value'!$A$28:$A$178,0)),"")</f>
        <v>59407.06</v>
      </c>
      <c r="O316" s="19" t="n">
        <f aca="false">IFERROR(ROUND(INDEX('Injectable Value'!$AA$28:$AA$178,MATCH(B316,'Injectable Value'!$A$28:$A$178,0)),1),"")</f>
        <v>58920.4</v>
      </c>
      <c r="P316" s="16" t="str">
        <f aca="false">IFERROR(INDEX('Route of Administration'!$C$5:$C$155,MATCH(B316,'Route of Administration'!$A$5:$A$155,0)),"")</f>
        <v>IV</v>
      </c>
      <c r="Q316" s="15" t="str">
        <f aca="false">IFERROR(INDEX('Route of Administration'!$D$5:$D$155,MATCH(B316,'Route of Administration'!$A$5:$A$155,0)),"")</f>
        <v>No</v>
      </c>
      <c r="R316" s="16" t="s">
        <v>281</v>
      </c>
      <c r="S316" s="17" t="s">
        <v>771</v>
      </c>
      <c r="T316" s="16" t="s">
        <v>333</v>
      </c>
      <c r="U316" s="17" t="str">
        <f aca="false">"Reconstitution"&amp;IF(AE316=0,"; No price found","")&amp;IF(AND(AE316&gt;0,AF316=0,AG316=0),"; Low price comes from another market – confirm with the company","")</f>
        <v>Reconstitution</v>
      </c>
      <c r="V316" s="17" t="s">
        <v>452</v>
      </c>
      <c r="W316" s="15" t="n">
        <v>1</v>
      </c>
      <c r="X316" s="17" t="s">
        <v>453</v>
      </c>
      <c r="Y316" s="17" t="s">
        <v>453</v>
      </c>
      <c r="Z316" s="17" t="s">
        <v>286</v>
      </c>
      <c r="AA316" s="16" t="s">
        <v>1392</v>
      </c>
      <c r="AB316" s="78" t="s">
        <v>490</v>
      </c>
      <c r="AC316" s="20" t="n">
        <f aca="false">IF(AE316&gt;0,ROUND(AVERAGEIFS('Shortlisted Drugs X Company (7)'!$N$3:$N$698,'Shortlisted Drugs X Company (7)'!$C$3:$C$698,$B316,'Shortlisted Drugs X Company (7)'!$E$3:$E$698,$AA316,'Shortlisted Drugs X Company (7)'!$N$3:$N$698,"&gt;=0"),2),"")</f>
        <v>12.08</v>
      </c>
      <c r="AD316" s="79" t="str">
        <f aca="false">B316&amp;"|"&amp;AA316</f>
        <v>Meropenem|Torrent Pharmaceuticals</v>
      </c>
      <c r="AE316" s="22" t="n">
        <f aca="false">COUNTIFS('Shortlisted Drugs X Company (7)'!$C$3:$C$698,$B316,'Shortlisted Drugs X Company (7)'!$E$3:$E$698,$AA316,'Shortlisted Drugs X Company (7)'!$N$3:$N$698,"&gt;=0")</f>
        <v>1</v>
      </c>
      <c r="AF316" s="22" t="n">
        <f aca="false">COUNTIFS('Shortlisted Drugs X Company (7)'!$C$3:$C$698,$B316,'Shortlisted Drugs X Company (7)'!$E$3:$E$698,$AA316,'Shortlisted Drugs X Company (7)'!$N$3:$N$698,"&gt;5")</f>
        <v>1</v>
      </c>
      <c r="AG316" s="22" t="n">
        <f aca="false">COUNTIFS('Shortlisted Drugs X Company (7)'!$C$3:$C$698,$B316,'Shortlisted Drugs X Company (7)'!$E$3:$E$698,$AA316,'Shortlisted Drugs X Company (7)'!$P$3:$P$698,"Exact")+COUNTIFS('Shortlisted Drugs X Company (7)'!$C$3:$C$698,$B316,'Shortlisted Drugs X Company (7)'!$E$3:$E$698,$AA316,'Shortlisted Drugs X Company (7)'!$P$3:$P$698,"Same-market proxy")</f>
        <v>0</v>
      </c>
      <c r="AH316" s="22" t="n">
        <f aca="false">INDEX($G$7:$G$25,MATCH(A316,$A$7:$A$25,0))</f>
        <v>13</v>
      </c>
      <c r="AI316" s="79" t="str">
        <f aca="false">IF(OR(Q316="No",LEFT(H316,7)="IV only"),"",AH316*1000+IF(F316="",900+COUNTIFS($A$29:A316,A316,$H$29:H316,"Price*"),F316))</f>
        <v/>
      </c>
      <c r="AJ316" s="79" t="str">
        <f aca="false">IF(H316&lt;&gt;"","",(4-VALUE(RIGHT(E316,1)))*10^7+N(O316))</f>
        <v/>
      </c>
      <c r="AK316" s="79" t="str">
        <f aca="false">IF(AND(H316="",ISNUMBER(I316)),I316,"")</f>
        <v/>
      </c>
      <c r="AL316" s="79" t="str">
        <f aca="false">IF(H316="",M316,"")</f>
        <v/>
      </c>
    </row>
    <row r="317" customFormat="false" ht="28.35" hidden="false" customHeight="false" outlineLevel="0" collapsed="false">
      <c r="A317" s="16" t="s">
        <v>242</v>
      </c>
      <c r="B317" s="16" t="s">
        <v>1399</v>
      </c>
      <c r="C317" s="17" t="s">
        <v>1400</v>
      </c>
      <c r="D317" s="17" t="s">
        <v>1401</v>
      </c>
      <c r="E317" s="15" t="str">
        <f aca="false">IF(H317&lt;&gt;"",IF(LEFT(H317,5)="Price","Excluded – price ≤ USD 5","Excluded – IV only"),IF(ISNUMBER(I317),IF(AND(I317&gt;=$C$3,M317&gt;=$E$3),"Priority 1",IF(OR(I317&gt;=$C$3,M317&gt;=$E$3),"Priority 2","Priority 3")),IF(M317&gt;=$E$3,"Priority 2","Priority 3")))</f>
        <v>Priority 2</v>
      </c>
      <c r="F317" s="15" t="n">
        <f aca="false">IF(H317&lt;&gt;"","",COUNTIFS($A$29:$A$361,A317,$H$29:$H$361,"",$AJ$29:$AJ$361,"&gt;"&amp;AJ317)+COUNTIFS($A$29:A317,A317,$H$29:H317,"",$AJ$29:AJ317,AJ317))</f>
        <v>2</v>
      </c>
      <c r="G317" s="17" t="str">
        <f aca="false">IF(H317&lt;&gt;"","",IF(ISNUMBER(I317),IF(I317&gt;=$C$3,"High price","Lower price"),"No price")&amp;", "&amp;IF(M317&gt;=$E$3,"high volume","lower volume"))</f>
        <v>High price, lower volume</v>
      </c>
      <c r="H317" s="17" t="str">
        <f aca="false">IF(Q317="No","IV only (no ID, IM or SC route)",IF(AND(AE317&gt;0,AF317=0),"Price ≤ USD 5",""))</f>
        <v/>
      </c>
      <c r="I317" s="18" t="n">
        <f aca="false">IF(AF317&gt;0,ROUND(AVERAGEIFS('Shortlisted Drugs X Company (7)'!$N$3:$N$698,'Shortlisted Drugs X Company (7)'!$C$3:$C$698,$B317,'Shortlisted Drugs X Company (7)'!$E$3:$E$698,$AA317,'Shortlisted Drugs X Company (7)'!$N$3:$N$698,"&gt;5"),2),"")</f>
        <v>118.34</v>
      </c>
      <c r="J317" s="17" t="str">
        <f aca="false">IF(COUNTIFS('Shortlisted Drugs X Company (7)'!$C$3:$C$698,$B317,'Shortlisted Drugs X Company (7)'!$E$3:$E$698,$AA317,'Shortlisted Drugs X Company (7)'!$P$3:$P$698,"Exact")&gt;0,"Exact",IF(COUNTIFS('Shortlisted Drugs X Company (7)'!$C$3:$C$698,$B317,'Shortlisted Drugs X Company (7)'!$E$3:$E$698,$AA317,'Shortlisted Drugs X Company (7)'!$P$3:$P$698,"Same-market proxy")&gt;0,"Same-market proxy",IF(COUNTIFS('Shortlisted Drugs X Company (7)'!$C$3:$C$698,$B317,'Shortlisted Drugs X Company (7)'!$E$3:$E$698,$AA317,'Shortlisted Drugs X Company (7)'!$P$3:$P$698,"Cross-market proxy")&gt;0,"Cross-market proxy",IF(COUNTIFS('Shortlisted Drugs X Company (7)'!$C$3:$C$698,$B317,'Shortlisted Drugs X Company (7)'!$E$3:$E$698,$AA317,'Shortlisted Drugs X Company (7)'!$P$3:$P$698,"Source not found")&gt;0,"Source not found","No price found"))))</f>
        <v>Cross-market proxy</v>
      </c>
      <c r="K317" s="19" t="n">
        <f aca="false">IFERROR(INDEX('Injectable Value'!$AB$28:$AB$178,MATCH(B317,'Injectable Value'!$A$28:$A$178,0)),"")</f>
        <v>153</v>
      </c>
      <c r="L317" s="77" t="n">
        <f aca="false">IFERROR(INDEX('Injectable Value'!$Z$28:$Z$178,MATCH(B317,'Injectable Value'!$A$28:$A$178,0)),"")</f>
        <v>0.749979206504154</v>
      </c>
      <c r="M317" s="19" t="n">
        <f aca="false">IFERROR(INDEX('Injectable Value'!$AC$28:$AC$178,MATCH(B317,'Injectable Value'!$A$28:$A$178,0)),"")</f>
        <v>115</v>
      </c>
      <c r="N317" s="19" t="n">
        <f aca="false">IFERROR(INDEX('Injectable Value'!$C$28:$C$178,MATCH(B317,'Injectable Value'!$A$28:$A$178,0)),"")</f>
        <v>8244.44</v>
      </c>
      <c r="O317" s="19" t="n">
        <f aca="false">IFERROR(ROUND(INDEX('Injectable Value'!$AA$28:$AA$178,MATCH(B317,'Injectable Value'!$A$28:$A$178,0)),1),"")</f>
        <v>6183.2</v>
      </c>
      <c r="P317" s="16" t="str">
        <f aca="false">IFERROR(INDEX('Route of Administration'!$C$5:$C$155,MATCH(B317,'Route of Administration'!$A$5:$A$155,0)),"")</f>
        <v>IM</v>
      </c>
      <c r="Q317" s="15" t="str">
        <f aca="false">IFERROR(INDEX('Route of Administration'!$D$5:$D$155,MATCH(B317,'Route of Administration'!$A$5:$A$155,0)),"")</f>
        <v>Yes</v>
      </c>
      <c r="R317" s="16" t="s">
        <v>291</v>
      </c>
      <c r="S317" s="17" t="s">
        <v>1402</v>
      </c>
      <c r="T317" s="16" t="s">
        <v>283</v>
      </c>
      <c r="U317" s="17" t="str">
        <f aca="false">"Prefilled only"&amp;IF(AE317=0,"; No price found","")&amp;IF(AND(AE317&gt;0,AF317=0,AG317=0),"; Low price comes from another market – confirm with the company","")</f>
        <v>Prefilled only</v>
      </c>
      <c r="V317" s="17" t="s">
        <v>452</v>
      </c>
      <c r="W317" s="15" t="n">
        <v>2</v>
      </c>
      <c r="X317" s="17" t="s">
        <v>1403</v>
      </c>
      <c r="Y317" s="17" t="s">
        <v>1403</v>
      </c>
      <c r="Z317" s="17" t="s">
        <v>293</v>
      </c>
      <c r="AA317" s="16" t="s">
        <v>1392</v>
      </c>
      <c r="AB317" s="78" t="s">
        <v>1404</v>
      </c>
      <c r="AC317" s="20" t="n">
        <f aca="false">IF(AE317&gt;0,ROUND(AVERAGEIFS('Shortlisted Drugs X Company (7)'!$N$3:$N$698,'Shortlisted Drugs X Company (7)'!$C$3:$C$698,$B317,'Shortlisted Drugs X Company (7)'!$E$3:$E$698,$AA317,'Shortlisted Drugs X Company (7)'!$N$3:$N$698,"&gt;=0"),2),"")</f>
        <v>118.34</v>
      </c>
      <c r="AD317" s="79" t="str">
        <f aca="false">B317&amp;"|"&amp;AA317</f>
        <v>Paliperidone|Torrent Pharmaceuticals</v>
      </c>
      <c r="AE317" s="22" t="n">
        <f aca="false">COUNTIFS('Shortlisted Drugs X Company (7)'!$C$3:$C$698,$B317,'Shortlisted Drugs X Company (7)'!$E$3:$E$698,$AA317,'Shortlisted Drugs X Company (7)'!$N$3:$N$698,"&gt;=0")</f>
        <v>1</v>
      </c>
      <c r="AF317" s="22" t="n">
        <f aca="false">COUNTIFS('Shortlisted Drugs X Company (7)'!$C$3:$C$698,$B317,'Shortlisted Drugs X Company (7)'!$E$3:$E$698,$AA317,'Shortlisted Drugs X Company (7)'!$N$3:$N$698,"&gt;5")</f>
        <v>1</v>
      </c>
      <c r="AG317" s="22" t="n">
        <f aca="false">COUNTIFS('Shortlisted Drugs X Company (7)'!$C$3:$C$698,$B317,'Shortlisted Drugs X Company (7)'!$E$3:$E$698,$AA317,'Shortlisted Drugs X Company (7)'!$P$3:$P$698,"Exact")+COUNTIFS('Shortlisted Drugs X Company (7)'!$C$3:$C$698,$B317,'Shortlisted Drugs X Company (7)'!$E$3:$E$698,$AA317,'Shortlisted Drugs X Company (7)'!$P$3:$P$698,"Same-market proxy")</f>
        <v>0</v>
      </c>
      <c r="AH317" s="22" t="n">
        <f aca="false">INDEX($G$7:$G$25,MATCH(A317,$A$7:$A$25,0))</f>
        <v>13</v>
      </c>
      <c r="AI317" s="79" t="n">
        <f aca="false">IF(OR(Q317="No",LEFT(H317,7)="IV only"),"",AH317*1000+IF(F317="",900+COUNTIFS($A$29:A317,A317,$H$29:H317,"Price*"),F317))</f>
        <v>13002</v>
      </c>
      <c r="AJ317" s="79" t="n">
        <f aca="false">IF(H317&lt;&gt;"","",(4-VALUE(RIGHT(E317,1)))*10^7+N(O317))</f>
        <v>20006183.2</v>
      </c>
      <c r="AK317" s="20" t="n">
        <f aca="false">IF(AND(H317="",ISNUMBER(I317)),I317,"")</f>
        <v>118.34</v>
      </c>
      <c r="AL317" s="21" t="n">
        <f aca="false">IF(H317="",M317,"")</f>
        <v>115</v>
      </c>
    </row>
    <row r="318" customFormat="false" ht="28.35" hidden="false" customHeight="false" outlineLevel="0" collapsed="false">
      <c r="A318" s="16" t="s">
        <v>242</v>
      </c>
      <c r="B318" s="16" t="s">
        <v>910</v>
      </c>
      <c r="C318" s="17" t="s">
        <v>1405</v>
      </c>
      <c r="D318" s="17" t="s">
        <v>596</v>
      </c>
      <c r="E318" s="15" t="str">
        <f aca="false">IF(H318&lt;&gt;"",IF(LEFT(H318,5)="Price","Excluded – price ≤ USD 5","Excluded – IV only"),IF(ISNUMBER(I318),IF(AND(I318&gt;=$C$3,M318&gt;=$E$3),"Priority 1",IF(OR(I318&gt;=$C$3,M318&gt;=$E$3),"Priority 2","Priority 3")),IF(M318&gt;=$E$3,"Priority 2","Priority 3")))</f>
        <v>Excluded – IV only</v>
      </c>
      <c r="F318" s="15" t="str">
        <f aca="false">IF(H318&lt;&gt;"","",COUNTIFS($A$29:$A$361,A318,$H$29:$H$361,"",$AJ$29:$AJ$361,"&gt;"&amp;AJ318)+COUNTIFS($A$29:A318,A318,$H$29:H318,"",$AJ$29:AJ318,AJ318))</f>
        <v/>
      </c>
      <c r="G318" s="17" t="str">
        <f aca="false">IF(H318&lt;&gt;"","",IF(ISNUMBER(I318),IF(I318&gt;=$C$3,"High price","Lower price"),"No price")&amp;", "&amp;IF(M318&gt;=$E$3,"high volume","lower volume"))</f>
        <v/>
      </c>
      <c r="H318" s="17" t="str">
        <f aca="false">IF(Q318="No","IV only (no ID, IM or SC route)",IF(AND(AE318&gt;0,AF318=0),"Price ≤ USD 5",""))</f>
        <v>IV only (no ID, IM or SC route)</v>
      </c>
      <c r="I318" s="18" t="n">
        <f aca="false">IF(AF318&gt;0,ROUND(AVERAGEIFS('Shortlisted Drugs X Company (7)'!$N$3:$N$698,'Shortlisted Drugs X Company (7)'!$C$3:$C$698,$B318,'Shortlisted Drugs X Company (7)'!$E$3:$E$698,$AA318,'Shortlisted Drugs X Company (7)'!$N$3:$N$698,"&gt;5"),2),"")</f>
        <v>7.72</v>
      </c>
      <c r="J318" s="17" t="str">
        <f aca="false">IF(COUNTIFS('Shortlisted Drugs X Company (7)'!$C$3:$C$698,$B318,'Shortlisted Drugs X Company (7)'!$E$3:$E$698,$AA318,'Shortlisted Drugs X Company (7)'!$P$3:$P$698,"Exact")&gt;0,"Exact",IF(COUNTIFS('Shortlisted Drugs X Company (7)'!$C$3:$C$698,$B318,'Shortlisted Drugs X Company (7)'!$E$3:$E$698,$AA318,'Shortlisted Drugs X Company (7)'!$P$3:$P$698,"Same-market proxy")&gt;0,"Same-market proxy",IF(COUNTIFS('Shortlisted Drugs X Company (7)'!$C$3:$C$698,$B318,'Shortlisted Drugs X Company (7)'!$E$3:$E$698,$AA318,'Shortlisted Drugs X Company (7)'!$P$3:$P$698,"Cross-market proxy")&gt;0,"Cross-market proxy",IF(COUNTIFS('Shortlisted Drugs X Company (7)'!$C$3:$C$698,$B318,'Shortlisted Drugs X Company (7)'!$E$3:$E$698,$AA318,'Shortlisted Drugs X Company (7)'!$P$3:$P$698,"Source not found")&gt;0,"Source not found","No price found"))))</f>
        <v>Exact</v>
      </c>
      <c r="K318" s="19" t="n">
        <f aca="false">IFERROR(INDEX('Injectable Value'!$AB$28:$AB$178,MATCH(B318,'Injectable Value'!$A$28:$A$178,0)),"")</f>
        <v>264</v>
      </c>
      <c r="L318" s="77" t="n">
        <f aca="false">IFERROR(INDEX('Injectable Value'!$Z$28:$Z$178,MATCH(B318,'Injectable Value'!$A$28:$A$178,0)),"")</f>
        <v>0.989010989010989</v>
      </c>
      <c r="M318" s="19" t="n">
        <f aca="false">IFERROR(INDEX('Injectable Value'!$AC$28:$AC$178,MATCH(B318,'Injectable Value'!$A$28:$A$178,0)),"")</f>
        <v>261</v>
      </c>
      <c r="N318" s="19" t="n">
        <f aca="false">IFERROR(INDEX('Injectable Value'!$C$28:$C$178,MATCH(B318,'Injectable Value'!$A$28:$A$178,0)),"")</f>
        <v>20408.58</v>
      </c>
      <c r="O318" s="19" t="n">
        <f aca="false">IFERROR(ROUND(INDEX('Injectable Value'!$AA$28:$AA$178,MATCH(B318,'Injectable Value'!$A$28:$A$178,0)),1),"")</f>
        <v>20184.3</v>
      </c>
      <c r="P318" s="16" t="str">
        <f aca="false">IFERROR(INDEX('Route of Administration'!$C$5:$C$155,MATCH(B318,'Route of Administration'!$A$5:$A$155,0)),"")</f>
        <v>IV</v>
      </c>
      <c r="Q318" s="15" t="str">
        <f aca="false">IFERROR(INDEX('Route of Administration'!$D$5:$D$155,MATCH(B318,'Route of Administration'!$A$5:$A$155,0)),"")</f>
        <v>No</v>
      </c>
      <c r="R318" s="16" t="s">
        <v>281</v>
      </c>
      <c r="S318" s="17" t="s">
        <v>877</v>
      </c>
      <c r="T318" s="16" t="s">
        <v>283</v>
      </c>
      <c r="U318" s="17" t="str">
        <f aca="false">""&amp;IF(AE318=0,"No price found","")&amp;IF(AND(AE318&gt;0,AF318=0,AG318=0),"Low price comes from another market – confirm with the company","")</f>
        <v/>
      </c>
      <c r="V318" s="17" t="s">
        <v>112</v>
      </c>
      <c r="W318" s="15" t="n">
        <v>1</v>
      </c>
      <c r="X318" s="17" t="s">
        <v>360</v>
      </c>
      <c r="Y318" s="17" t="s">
        <v>360</v>
      </c>
      <c r="Z318" s="17" t="s">
        <v>286</v>
      </c>
      <c r="AA318" s="16" t="s">
        <v>1392</v>
      </c>
      <c r="AB318" s="78" t="s">
        <v>913</v>
      </c>
      <c r="AC318" s="20" t="n">
        <f aca="false">IF(AE318&gt;0,ROUND(AVERAGEIFS('Shortlisted Drugs X Company (7)'!$N$3:$N$698,'Shortlisted Drugs X Company (7)'!$C$3:$C$698,$B318,'Shortlisted Drugs X Company (7)'!$E$3:$E$698,$AA318,'Shortlisted Drugs X Company (7)'!$N$3:$N$698,"&gt;=0"),2),"")</f>
        <v>7.72</v>
      </c>
      <c r="AD318" s="79" t="str">
        <f aca="false">B318&amp;"|"&amp;AA318</f>
        <v>Rocuronium|Torrent Pharmaceuticals</v>
      </c>
      <c r="AE318" s="22" t="n">
        <f aca="false">COUNTIFS('Shortlisted Drugs X Company (7)'!$C$3:$C$698,$B318,'Shortlisted Drugs X Company (7)'!$E$3:$E$698,$AA318,'Shortlisted Drugs X Company (7)'!$N$3:$N$698,"&gt;=0")</f>
        <v>1</v>
      </c>
      <c r="AF318" s="22" t="n">
        <f aca="false">COUNTIFS('Shortlisted Drugs X Company (7)'!$C$3:$C$698,$B318,'Shortlisted Drugs X Company (7)'!$E$3:$E$698,$AA318,'Shortlisted Drugs X Company (7)'!$N$3:$N$698,"&gt;5")</f>
        <v>1</v>
      </c>
      <c r="AG318" s="22" t="n">
        <f aca="false">COUNTIFS('Shortlisted Drugs X Company (7)'!$C$3:$C$698,$B318,'Shortlisted Drugs X Company (7)'!$E$3:$E$698,$AA318,'Shortlisted Drugs X Company (7)'!$P$3:$P$698,"Exact")+COUNTIFS('Shortlisted Drugs X Company (7)'!$C$3:$C$698,$B318,'Shortlisted Drugs X Company (7)'!$E$3:$E$698,$AA318,'Shortlisted Drugs X Company (7)'!$P$3:$P$698,"Same-market proxy")</f>
        <v>1</v>
      </c>
      <c r="AH318" s="22" t="n">
        <f aca="false">INDEX($G$7:$G$25,MATCH(A318,$A$7:$A$25,0))</f>
        <v>13</v>
      </c>
      <c r="AI318" s="79" t="str">
        <f aca="false">IF(OR(Q318="No",LEFT(H318,7)="IV only"),"",AH318*1000+IF(F318="",900+COUNTIFS($A$29:A318,A318,$H$29:H318,"Price*"),F318))</f>
        <v/>
      </c>
      <c r="AJ318" s="79" t="str">
        <f aca="false">IF(H318&lt;&gt;"","",(4-VALUE(RIGHT(E318,1)))*10^7+N(O318))</f>
        <v/>
      </c>
      <c r="AK318" s="79" t="str">
        <f aca="false">IF(AND(H318="",ISNUMBER(I318)),I318,"")</f>
        <v/>
      </c>
      <c r="AL318" s="79" t="str">
        <f aca="false">IF(H318="",M318,"")</f>
        <v/>
      </c>
    </row>
    <row r="319" customFormat="false" ht="41.75" hidden="false" customHeight="false" outlineLevel="0" collapsed="false">
      <c r="A319" s="16" t="s">
        <v>242</v>
      </c>
      <c r="B319" s="16" t="s">
        <v>1406</v>
      </c>
      <c r="C319" s="17" t="s">
        <v>1407</v>
      </c>
      <c r="D319" s="17" t="s">
        <v>1408</v>
      </c>
      <c r="E319" s="15" t="str">
        <f aca="false">IF(H319&lt;&gt;"",IF(LEFT(H319,5)="Price","Excluded – price ≤ USD 5","Excluded – IV only"),IF(ISNUMBER(I319),IF(AND(I319&gt;=$C$3,M319&gt;=$E$3),"Priority 1",IF(OR(I319&gt;=$C$3,M319&gt;=$E$3),"Priority 2","Priority 3")),IF(M319&gt;=$E$3,"Priority 2","Priority 3")))</f>
        <v>Excluded – IV only</v>
      </c>
      <c r="F319" s="15" t="str">
        <f aca="false">IF(H319&lt;&gt;"","",COUNTIFS($A$29:$A$361,A319,$H$29:$H$361,"",$AJ$29:$AJ$361,"&gt;"&amp;AJ319)+COUNTIFS($A$29:A319,A319,$H$29:H319,"",$AJ$29:AJ319,AJ319))</f>
        <v/>
      </c>
      <c r="G319" s="17" t="str">
        <f aca="false">IF(H319&lt;&gt;"","",IF(ISNUMBER(I319),IF(I319&gt;=$C$3,"High price","Lower price"),"No price")&amp;", "&amp;IF(M319&gt;=$E$3,"high volume","lower volume"))</f>
        <v/>
      </c>
      <c r="H319" s="17" t="str">
        <f aca="false">IF(Q319="No","IV only (no ID, IM or SC route)",IF(AND(AE319&gt;0,AF319=0),"Price ≤ USD 5",""))</f>
        <v>IV only (no ID, IM or SC route)</v>
      </c>
      <c r="I319" s="18" t="n">
        <f aca="false">IF(AF319&gt;0,ROUND(AVERAGEIFS('Shortlisted Drugs X Company (7)'!$N$3:$N$698,'Shortlisted Drugs X Company (7)'!$C$3:$C$698,$B319,'Shortlisted Drugs X Company (7)'!$E$3:$E$698,$AA319,'Shortlisted Drugs X Company (7)'!$N$3:$N$698,"&gt;5"),2),"")</f>
        <v>10.96</v>
      </c>
      <c r="J319" s="17" t="str">
        <f aca="false">IF(COUNTIFS('Shortlisted Drugs X Company (7)'!$C$3:$C$698,$B319,'Shortlisted Drugs X Company (7)'!$E$3:$E$698,$AA319,'Shortlisted Drugs X Company (7)'!$P$3:$P$698,"Exact")&gt;0,"Exact",IF(COUNTIFS('Shortlisted Drugs X Company (7)'!$C$3:$C$698,$B319,'Shortlisted Drugs X Company (7)'!$E$3:$E$698,$AA319,'Shortlisted Drugs X Company (7)'!$P$3:$P$698,"Same-market proxy")&gt;0,"Same-market proxy",IF(COUNTIFS('Shortlisted Drugs X Company (7)'!$C$3:$C$698,$B319,'Shortlisted Drugs X Company (7)'!$E$3:$E$698,$AA319,'Shortlisted Drugs X Company (7)'!$P$3:$P$698,"Cross-market proxy")&gt;0,"Cross-market proxy",IF(COUNTIFS('Shortlisted Drugs X Company (7)'!$C$3:$C$698,$B319,'Shortlisted Drugs X Company (7)'!$E$3:$E$698,$AA319,'Shortlisted Drugs X Company (7)'!$P$3:$P$698,"Source not found")&gt;0,"Source not found","No price found"))))</f>
        <v>Cross-market proxy</v>
      </c>
      <c r="K319" s="19" t="n">
        <f aca="false">IFERROR(INDEX('Injectable Value'!$AB$28:$AB$178,MATCH(B319,'Injectable Value'!$A$28:$A$178,0)),"")</f>
        <v>565</v>
      </c>
      <c r="L319" s="77" t="n">
        <f aca="false">IFERROR(INDEX('Injectable Value'!$Z$28:$Z$178,MATCH(B319,'Injectable Value'!$A$28:$A$178,0)),"")</f>
        <v>0.419074437219412</v>
      </c>
      <c r="M319" s="19" t="n">
        <f aca="false">IFERROR(INDEX('Injectable Value'!$AC$28:$AC$178,MATCH(B319,'Injectable Value'!$A$28:$A$178,0)),"")</f>
        <v>237</v>
      </c>
      <c r="N319" s="19" t="n">
        <f aca="false">IFERROR(INDEX('Injectable Value'!$C$28:$C$178,MATCH(B319,'Injectable Value'!$A$28:$A$178,0)),"")</f>
        <v>17324.19</v>
      </c>
      <c r="O319" s="19" t="n">
        <f aca="false">IFERROR(ROUND(INDEX('Injectable Value'!$AA$28:$AA$178,MATCH(B319,'Injectable Value'!$A$28:$A$178,0)),1),"")</f>
        <v>7260.1</v>
      </c>
      <c r="P319" s="16" t="str">
        <f aca="false">IFERROR(INDEX('Route of Administration'!$C$5:$C$155,MATCH(B319,'Route of Administration'!$A$5:$A$155,0)),"")</f>
        <v>IV</v>
      </c>
      <c r="Q319" s="15" t="str">
        <f aca="false">IFERROR(INDEX('Route of Administration'!$D$5:$D$155,MATCH(B319,'Route of Administration'!$A$5:$A$155,0)),"")</f>
        <v>No</v>
      </c>
      <c r="R319" s="16" t="s">
        <v>310</v>
      </c>
      <c r="S319" s="17" t="s">
        <v>310</v>
      </c>
      <c r="T319" s="16" t="s">
        <v>310</v>
      </c>
      <c r="U319" s="17" t="str">
        <f aca="false">""&amp;IF(AE319=0,"No price found","")&amp;IF(AND(AE319&gt;0,AF319=0,AG319=0),"Low price comes from another market – confirm with the company","")</f>
        <v/>
      </c>
      <c r="V319" s="17" t="s">
        <v>452</v>
      </c>
      <c r="W319" s="15" t="n">
        <v>1</v>
      </c>
      <c r="X319" s="17" t="s">
        <v>453</v>
      </c>
      <c r="Y319" s="17" t="s">
        <v>453</v>
      </c>
      <c r="Z319" s="17" t="s">
        <v>312</v>
      </c>
      <c r="AA319" s="16" t="s">
        <v>1392</v>
      </c>
      <c r="AB319" s="78" t="s">
        <v>1409</v>
      </c>
      <c r="AC319" s="20" t="n">
        <f aca="false">IF(AE319&gt;0,ROUND(AVERAGEIFS('Shortlisted Drugs X Company (7)'!$N$3:$N$698,'Shortlisted Drugs X Company (7)'!$C$3:$C$698,$B319,'Shortlisted Drugs X Company (7)'!$E$3:$E$698,$AA319,'Shortlisted Drugs X Company (7)'!$N$3:$N$698,"&gt;=0"),2),"")</f>
        <v>10.96</v>
      </c>
      <c r="AD319" s="79" t="str">
        <f aca="false">B319&amp;"|"&amp;AA319</f>
        <v>Voriconazole|Torrent Pharmaceuticals</v>
      </c>
      <c r="AE319" s="22" t="n">
        <f aca="false">COUNTIFS('Shortlisted Drugs X Company (7)'!$C$3:$C$698,$B319,'Shortlisted Drugs X Company (7)'!$E$3:$E$698,$AA319,'Shortlisted Drugs X Company (7)'!$N$3:$N$698,"&gt;=0")</f>
        <v>1</v>
      </c>
      <c r="AF319" s="22" t="n">
        <f aca="false">COUNTIFS('Shortlisted Drugs X Company (7)'!$C$3:$C$698,$B319,'Shortlisted Drugs X Company (7)'!$E$3:$E$698,$AA319,'Shortlisted Drugs X Company (7)'!$N$3:$N$698,"&gt;5")</f>
        <v>1</v>
      </c>
      <c r="AG319" s="22" t="n">
        <f aca="false">COUNTIFS('Shortlisted Drugs X Company (7)'!$C$3:$C$698,$B319,'Shortlisted Drugs X Company (7)'!$E$3:$E$698,$AA319,'Shortlisted Drugs X Company (7)'!$P$3:$P$698,"Exact")+COUNTIFS('Shortlisted Drugs X Company (7)'!$C$3:$C$698,$B319,'Shortlisted Drugs X Company (7)'!$E$3:$E$698,$AA319,'Shortlisted Drugs X Company (7)'!$P$3:$P$698,"Same-market proxy")</f>
        <v>0</v>
      </c>
      <c r="AH319" s="22" t="n">
        <f aca="false">INDEX($G$7:$G$25,MATCH(A319,$A$7:$A$25,0))</f>
        <v>13</v>
      </c>
      <c r="AI319" s="79" t="str">
        <f aca="false">IF(OR(Q319="No",LEFT(H319,7)="IV only"),"",AH319*1000+IF(F319="",900+COUNTIFS($A$29:A319,A319,$H$29:H319,"Price*"),F319))</f>
        <v/>
      </c>
      <c r="AJ319" s="79" t="str">
        <f aca="false">IF(H319&lt;&gt;"","",(4-VALUE(RIGHT(E319,1)))*10^7+N(O319))</f>
        <v/>
      </c>
      <c r="AK319" s="79" t="str">
        <f aca="false">IF(AND(H319="",ISNUMBER(I319)),I319,"")</f>
        <v/>
      </c>
      <c r="AL319" s="79" t="str">
        <f aca="false">IF(H319="",M319,"")</f>
        <v/>
      </c>
    </row>
    <row r="320" customFormat="false" ht="41.75" hidden="false" customHeight="false" outlineLevel="0" collapsed="false">
      <c r="A320" s="16" t="s">
        <v>243</v>
      </c>
      <c r="B320" s="16" t="s">
        <v>615</v>
      </c>
      <c r="C320" s="17" t="s">
        <v>1410</v>
      </c>
      <c r="D320" s="17" t="s">
        <v>617</v>
      </c>
      <c r="E320" s="15" t="str">
        <f aca="false">IF(H320&lt;&gt;"",IF(LEFT(H320,5)="Price","Excluded – price ≤ USD 5","Excluded – IV only"),IF(ISNUMBER(I320),IF(AND(I320&gt;=$C$3,M320&gt;=$E$3),"Priority 1",IF(OR(I320&gt;=$C$3,M320&gt;=$E$3),"Priority 2","Priority 3")),IF(M320&gt;=$E$3,"Priority 2","Priority 3")))</f>
        <v>Priority 1</v>
      </c>
      <c r="F320" s="15" t="n">
        <f aca="false">IF(H320&lt;&gt;"","",COUNTIFS($A$29:$A$361,A320,$H$29:$H$361,"",$AJ$29:$AJ$361,"&gt;"&amp;AJ320)+COUNTIFS($A$29:A320,A320,$H$29:H320,"",$AJ$29:AJ320,AJ320))</f>
        <v>2</v>
      </c>
      <c r="G320" s="17" t="str">
        <f aca="false">IF(H320&lt;&gt;"","",IF(ISNUMBER(I320),IF(I320&gt;=$C$3,"High price","Lower price"),"No price")&amp;", "&amp;IF(M320&gt;=$E$3,"high volume","lower volume"))</f>
        <v>High price, high volume</v>
      </c>
      <c r="H320" s="17" t="str">
        <f aca="false">IF(Q320="No","IV only (no ID, IM or SC route)",IF(AND(AE320&gt;0,AF320=0),"Price ≤ USD 5",""))</f>
        <v/>
      </c>
      <c r="I320" s="18" t="n">
        <f aca="false">IF(AF320&gt;0,ROUND(AVERAGEIFS('Shortlisted Drugs X Company (7)'!$N$3:$N$698,'Shortlisted Drugs X Company (7)'!$C$3:$C$698,$B320,'Shortlisted Drugs X Company (7)'!$E$3:$E$698,$AA320,'Shortlisted Drugs X Company (7)'!$N$3:$N$698,"&gt;5"),2),"")</f>
        <v>81.96</v>
      </c>
      <c r="J320" s="17" t="str">
        <f aca="false">IF(COUNTIFS('Shortlisted Drugs X Company (7)'!$C$3:$C$698,$B320,'Shortlisted Drugs X Company (7)'!$E$3:$E$698,$AA320,'Shortlisted Drugs X Company (7)'!$P$3:$P$698,"Exact")&gt;0,"Exact",IF(COUNTIFS('Shortlisted Drugs X Company (7)'!$C$3:$C$698,$B320,'Shortlisted Drugs X Company (7)'!$E$3:$E$698,$AA320,'Shortlisted Drugs X Company (7)'!$P$3:$P$698,"Same-market proxy")&gt;0,"Same-market proxy",IF(COUNTIFS('Shortlisted Drugs X Company (7)'!$C$3:$C$698,$B320,'Shortlisted Drugs X Company (7)'!$E$3:$E$698,$AA320,'Shortlisted Drugs X Company (7)'!$P$3:$P$698,"Cross-market proxy")&gt;0,"Cross-market proxy",IF(COUNTIFS('Shortlisted Drugs X Company (7)'!$C$3:$C$698,$B320,'Shortlisted Drugs X Company (7)'!$E$3:$E$698,$AA320,'Shortlisted Drugs X Company (7)'!$P$3:$P$698,"Source not found")&gt;0,"Source not found","No price found"))))</f>
        <v>Same-market proxy</v>
      </c>
      <c r="K320" s="19" t="n">
        <f aca="false">IFERROR(INDEX('Injectable Value'!$AB$28:$AB$178,MATCH(B320,'Injectable Value'!$A$28:$A$178,0)),"")</f>
        <v>441</v>
      </c>
      <c r="L320" s="77" t="n">
        <f aca="false">IFERROR(INDEX('Injectable Value'!$Z$28:$Z$178,MATCH(B320,'Injectable Value'!$A$28:$A$178,0)),"")</f>
        <v>1</v>
      </c>
      <c r="M320" s="19" t="n">
        <f aca="false">IFERROR(INDEX('Injectable Value'!$AC$28:$AC$178,MATCH(B320,'Injectable Value'!$A$28:$A$178,0)),"")</f>
        <v>441</v>
      </c>
      <c r="N320" s="19" t="n">
        <f aca="false">IFERROR(INDEX('Injectable Value'!$C$28:$C$178,MATCH(B320,'Injectable Value'!$A$28:$A$178,0)),"")</f>
        <v>3973.65</v>
      </c>
      <c r="O320" s="19" t="n">
        <f aca="false">IFERROR(ROUND(INDEX('Injectable Value'!$AA$28:$AA$178,MATCH(B320,'Injectable Value'!$A$28:$A$178,0)),1),"")</f>
        <v>3973.7</v>
      </c>
      <c r="P320" s="16" t="str">
        <f aca="false">IFERROR(INDEX('Route of Administration'!$C$5:$C$155,MATCH(B320,'Route of Administration'!$A$5:$A$155,0)),"")</f>
        <v>IV, IM, SC</v>
      </c>
      <c r="Q320" s="15" t="str">
        <f aca="false">IFERROR(INDEX('Route of Administration'!$D$5:$D$155,MATCH(B320,'Route of Administration'!$A$5:$A$155,0)),"")</f>
        <v>Yes</v>
      </c>
      <c r="R320" s="16" t="s">
        <v>281</v>
      </c>
      <c r="S320" s="17" t="s">
        <v>956</v>
      </c>
      <c r="T320" s="16" t="s">
        <v>333</v>
      </c>
      <c r="U320" s="17" t="str">
        <f aca="false">"Cancer drug (cytotoxic) – less relevant; Reconstitution"&amp;IF(AE320=0,"; No price found","")&amp;IF(AND(AE320&gt;0,AF320=0,AG320=0),"; Low price comes from another market – confirm with the company","")</f>
        <v>Cancer drug (cytotoxic) – less relevant; Reconstitution</v>
      </c>
      <c r="V320" s="17" t="s">
        <v>1144</v>
      </c>
      <c r="W320" s="15" t="n">
        <v>1</v>
      </c>
      <c r="X320" s="17" t="s">
        <v>1144</v>
      </c>
      <c r="Y320" s="17" t="s">
        <v>1144</v>
      </c>
      <c r="Z320" s="17" t="s">
        <v>286</v>
      </c>
      <c r="AA320" s="16" t="s">
        <v>243</v>
      </c>
      <c r="AB320" s="78" t="s">
        <v>620</v>
      </c>
      <c r="AC320" s="20" t="n">
        <f aca="false">IF(AE320&gt;0,ROUND(AVERAGEIFS('Shortlisted Drugs X Company (7)'!$N$3:$N$698,'Shortlisted Drugs X Company (7)'!$C$3:$C$698,$B320,'Shortlisted Drugs X Company (7)'!$E$3:$E$698,$AA320,'Shortlisted Drugs X Company (7)'!$N$3:$N$698,"&gt;=0"),2),"")</f>
        <v>81.96</v>
      </c>
      <c r="AD320" s="79" t="str">
        <f aca="false">B320&amp;"|"&amp;AA320</f>
        <v>Bleomycin|Venus Remedies</v>
      </c>
      <c r="AE320" s="22" t="n">
        <f aca="false">COUNTIFS('Shortlisted Drugs X Company (7)'!$C$3:$C$698,$B320,'Shortlisted Drugs X Company (7)'!$E$3:$E$698,$AA320,'Shortlisted Drugs X Company (7)'!$N$3:$N$698,"&gt;=0")</f>
        <v>1</v>
      </c>
      <c r="AF320" s="22" t="n">
        <f aca="false">COUNTIFS('Shortlisted Drugs X Company (7)'!$C$3:$C$698,$B320,'Shortlisted Drugs X Company (7)'!$E$3:$E$698,$AA320,'Shortlisted Drugs X Company (7)'!$N$3:$N$698,"&gt;5")</f>
        <v>1</v>
      </c>
      <c r="AG320" s="22" t="n">
        <f aca="false">COUNTIFS('Shortlisted Drugs X Company (7)'!$C$3:$C$698,$B320,'Shortlisted Drugs X Company (7)'!$E$3:$E$698,$AA320,'Shortlisted Drugs X Company (7)'!$P$3:$P$698,"Exact")+COUNTIFS('Shortlisted Drugs X Company (7)'!$C$3:$C$698,$B320,'Shortlisted Drugs X Company (7)'!$E$3:$E$698,$AA320,'Shortlisted Drugs X Company (7)'!$P$3:$P$698,"Same-market proxy")</f>
        <v>1</v>
      </c>
      <c r="AH320" s="22" t="n">
        <f aca="false">INDEX($G$7:$G$25,MATCH(A320,$A$7:$A$25,0))</f>
        <v>9</v>
      </c>
      <c r="AI320" s="79" t="n">
        <f aca="false">IF(OR(Q320="No",LEFT(H320,7)="IV only"),"",AH320*1000+IF(F320="",900+COUNTIFS($A$29:A320,A320,$H$29:H320,"Price*"),F320))</f>
        <v>9002</v>
      </c>
      <c r="AJ320" s="79" t="n">
        <f aca="false">IF(H320&lt;&gt;"","",(4-VALUE(RIGHT(E320,1)))*10^7+N(O320))</f>
        <v>30003973.7</v>
      </c>
      <c r="AK320" s="20" t="n">
        <f aca="false">IF(AND(H320="",ISNUMBER(I320)),I320,"")</f>
        <v>81.96</v>
      </c>
      <c r="AL320" s="21" t="n">
        <f aca="false">IF(H320="",M320,"")</f>
        <v>441</v>
      </c>
    </row>
    <row r="321" customFormat="false" ht="68.65" hidden="false" customHeight="false" outlineLevel="0" collapsed="false">
      <c r="A321" s="16" t="s">
        <v>243</v>
      </c>
      <c r="B321" s="16" t="s">
        <v>362</v>
      </c>
      <c r="C321" s="17" t="s">
        <v>1411</v>
      </c>
      <c r="D321" s="17" t="s">
        <v>364</v>
      </c>
      <c r="E321" s="15" t="str">
        <f aca="false">IF(H321&lt;&gt;"",IF(LEFT(H321,5)="Price","Excluded – price ≤ USD 5","Excluded – IV only"),IF(ISNUMBER(I321),IF(AND(I321&gt;=$C$3,M321&gt;=$E$3),"Priority 1",IF(OR(I321&gt;=$C$3,M321&gt;=$E$3),"Priority 2","Priority 3")),IF(M321&gt;=$E$3,"Priority 2","Priority 3")))</f>
        <v>Excluded – IV only</v>
      </c>
      <c r="F321" s="15" t="str">
        <f aca="false">IF(H321&lt;&gt;"","",COUNTIFS($A$29:$A$361,A321,$H$29:$H$361,"",$AJ$29:$AJ$361,"&gt;"&amp;AJ321)+COUNTIFS($A$29:A321,A321,$H$29:H321,"",$AJ$29:AJ321,AJ321))</f>
        <v/>
      </c>
      <c r="G321" s="17" t="str">
        <f aca="false">IF(H321&lt;&gt;"","",IF(ISNUMBER(I321),IF(I321&gt;=$C$3,"High price","Lower price"),"No price")&amp;", "&amp;IF(M321&gt;=$E$3,"high volume","lower volume"))</f>
        <v/>
      </c>
      <c r="H321" s="17" t="str">
        <f aca="false">IF(Q321="No","IV only (no ID, IM or SC route)","IV only – the company's product (see Route of Administration, step 2)")</f>
        <v>IV only – the company's product (see Route of Administration, step 2)</v>
      </c>
      <c r="I321" s="18" t="n">
        <f aca="false">IF(AF321&gt;0,ROUND(AVERAGEIFS('Shortlisted Drugs X Company (7)'!$N$3:$N$698,'Shortlisted Drugs X Company (7)'!$C$3:$C$698,$B321,'Shortlisted Drugs X Company (7)'!$E$3:$E$698,$AA321,'Shortlisted Drugs X Company (7)'!$N$3:$N$698,"&gt;5"),2),"")</f>
        <v>34.58</v>
      </c>
      <c r="J321" s="17" t="str">
        <f aca="false">IF(COUNTIFS('Shortlisted Drugs X Company (7)'!$C$3:$C$698,$B321,'Shortlisted Drugs X Company (7)'!$E$3:$E$698,$AA321,'Shortlisted Drugs X Company (7)'!$P$3:$P$698,"Exact")&gt;0,"Exact",IF(COUNTIFS('Shortlisted Drugs X Company (7)'!$C$3:$C$698,$B321,'Shortlisted Drugs X Company (7)'!$E$3:$E$698,$AA321,'Shortlisted Drugs X Company (7)'!$P$3:$P$698,"Same-market proxy")&gt;0,"Same-market proxy",IF(COUNTIFS('Shortlisted Drugs X Company (7)'!$C$3:$C$698,$B321,'Shortlisted Drugs X Company (7)'!$E$3:$E$698,$AA321,'Shortlisted Drugs X Company (7)'!$P$3:$P$698,"Cross-market proxy")&gt;0,"Cross-market proxy",IF(COUNTIFS('Shortlisted Drugs X Company (7)'!$C$3:$C$698,$B321,'Shortlisted Drugs X Company (7)'!$E$3:$E$698,$AA321,'Shortlisted Drugs X Company (7)'!$P$3:$P$698,"Source not found")&gt;0,"Source not found","No price found"))))</f>
        <v>Same-market proxy</v>
      </c>
      <c r="K321" s="19" t="n">
        <f aca="false">IFERROR(INDEX('Injectable Value'!$AB$28:$AB$178,MATCH(B321,'Injectable Value'!$A$28:$A$178,0)),"")</f>
        <v>335</v>
      </c>
      <c r="L321" s="77" t="n">
        <f aca="false">IFERROR(INDEX('Injectable Value'!$Z$28:$Z$178,MATCH(B321,'Injectable Value'!$A$28:$A$178,0)),"")</f>
        <v>1</v>
      </c>
      <c r="M321" s="19" t="n">
        <f aca="false">IFERROR(INDEX('Injectable Value'!$AC$28:$AC$178,MATCH(B321,'Injectable Value'!$A$28:$A$178,0)),"")</f>
        <v>335</v>
      </c>
      <c r="N321" s="19" t="n">
        <f aca="false">IFERROR(INDEX('Injectable Value'!$C$28:$C$178,MATCH(B321,'Injectable Value'!$A$28:$A$178,0)),"")</f>
        <v>5713.56</v>
      </c>
      <c r="O321" s="19" t="n">
        <f aca="false">IFERROR(ROUND(INDEX('Injectable Value'!$AA$28:$AA$178,MATCH(B321,'Injectable Value'!$A$28:$A$178,0)),1),"")</f>
        <v>5713.6</v>
      </c>
      <c r="P321" s="16" t="str">
        <f aca="false">IFERROR(INDEX('Route of Administration'!$C$5:$C$155,MATCH(B321,'Route of Administration'!$A$5:$A$155,0)),"")</f>
        <v>IV, IM</v>
      </c>
      <c r="Q321" s="15" t="str">
        <f aca="false">IFERROR(INDEX('Route of Administration'!$D$5:$D$155,MATCH(B321,'Route of Administration'!$A$5:$A$155,0)),"")</f>
        <v>Yes</v>
      </c>
      <c r="R321" s="16" t="s">
        <v>281</v>
      </c>
      <c r="S321" s="17" t="s">
        <v>1412</v>
      </c>
      <c r="T321" s="16" t="s">
        <v>310</v>
      </c>
      <c r="U321" s="17" t="str">
        <f aca="false">""&amp;IF(AE321=0,"No price found","")&amp;IF(AND(AE321&gt;0,AF321=0,AG321=0),"Low price comes from another market – confirm with the company","")</f>
        <v/>
      </c>
      <c r="V321" s="17" t="s">
        <v>1144</v>
      </c>
      <c r="W321" s="15" t="n">
        <v>1</v>
      </c>
      <c r="X321" s="17" t="s">
        <v>1144</v>
      </c>
      <c r="Y321" s="17" t="s">
        <v>1144</v>
      </c>
      <c r="Z321" s="17" t="s">
        <v>286</v>
      </c>
      <c r="AA321" s="16" t="s">
        <v>243</v>
      </c>
      <c r="AB321" s="78" t="s">
        <v>368</v>
      </c>
      <c r="AC321" s="20" t="n">
        <f aca="false">IF(AE321&gt;0,ROUND(AVERAGEIFS('Shortlisted Drugs X Company (7)'!$N$3:$N$698,'Shortlisted Drugs X Company (7)'!$C$3:$C$698,$B321,'Shortlisted Drugs X Company (7)'!$E$3:$E$698,$AA321,'Shortlisted Drugs X Company (7)'!$N$3:$N$698,"&gt;=0"),2),"")</f>
        <v>34.58</v>
      </c>
      <c r="AD321" s="79" t="str">
        <f aca="false">B321&amp;"|"&amp;AA321</f>
        <v>Ceftazidime|Venus Remedies</v>
      </c>
      <c r="AE321" s="22" t="n">
        <f aca="false">COUNTIFS('Shortlisted Drugs X Company (7)'!$C$3:$C$698,$B321,'Shortlisted Drugs X Company (7)'!$E$3:$E$698,$AA321,'Shortlisted Drugs X Company (7)'!$N$3:$N$698,"&gt;=0")</f>
        <v>1</v>
      </c>
      <c r="AF321" s="22" t="n">
        <f aca="false">COUNTIFS('Shortlisted Drugs X Company (7)'!$C$3:$C$698,$B321,'Shortlisted Drugs X Company (7)'!$E$3:$E$698,$AA321,'Shortlisted Drugs X Company (7)'!$N$3:$N$698,"&gt;5")</f>
        <v>1</v>
      </c>
      <c r="AG321" s="22" t="n">
        <f aca="false">COUNTIFS('Shortlisted Drugs X Company (7)'!$C$3:$C$698,$B321,'Shortlisted Drugs X Company (7)'!$E$3:$E$698,$AA321,'Shortlisted Drugs X Company (7)'!$P$3:$P$698,"Exact")+COUNTIFS('Shortlisted Drugs X Company (7)'!$C$3:$C$698,$B321,'Shortlisted Drugs X Company (7)'!$E$3:$E$698,$AA321,'Shortlisted Drugs X Company (7)'!$P$3:$P$698,"Same-market proxy")</f>
        <v>1</v>
      </c>
      <c r="AH321" s="22" t="n">
        <f aca="false">INDEX($G$7:$G$25,MATCH(A321,$A$7:$A$25,0))</f>
        <v>9</v>
      </c>
      <c r="AI321" s="79" t="str">
        <f aca="false">IF(OR(Q321="No",LEFT(H321,7)="IV only"),"",AH321*1000+IF(F321="",900+COUNTIFS($A$29:A321,A321,$H$29:H321,"Price*"),F321))</f>
        <v/>
      </c>
      <c r="AJ321" s="79" t="str">
        <f aca="false">IF(H321&lt;&gt;"","",(4-VALUE(RIGHT(E321,1)))*10^7+N(O321))</f>
        <v/>
      </c>
      <c r="AK321" s="79" t="str">
        <f aca="false">IF(AND(H321="",ISNUMBER(I321)),I321,"")</f>
        <v/>
      </c>
      <c r="AL321" s="79" t="str">
        <f aca="false">IF(H321="",M321,"")</f>
        <v/>
      </c>
    </row>
    <row r="322" customFormat="false" ht="41.75" hidden="false" customHeight="false" outlineLevel="0" collapsed="false">
      <c r="A322" s="16" t="s">
        <v>243</v>
      </c>
      <c r="B322" s="16" t="s">
        <v>76</v>
      </c>
      <c r="C322" s="17" t="s">
        <v>76</v>
      </c>
      <c r="D322" s="17" t="s">
        <v>370</v>
      </c>
      <c r="E322" s="15" t="str">
        <f aca="false">IF(H322&lt;&gt;"",IF(LEFT(H322,5)="Price","Excluded – price ≤ USD 5","Excluded – IV only"),IF(ISNUMBER(I322),IF(AND(I322&gt;=$C$3,M322&gt;=$E$3),"Priority 1",IF(OR(I322&gt;=$C$3,M322&gt;=$E$3),"Priority 2","Priority 3")),IF(M322&gt;=$E$3,"Priority 2","Priority 3")))</f>
        <v>Priority 1</v>
      </c>
      <c r="F322" s="15" t="n">
        <f aca="false">IF(H322&lt;&gt;"","",COUNTIFS($A$29:$A$361,A322,$H$29:$H$361,"",$AJ$29:$AJ$361,"&gt;"&amp;AJ322)+COUNTIFS($A$29:A322,A322,$H$29:H322,"",$AJ$29:AJ322,AJ322))</f>
        <v>1</v>
      </c>
      <c r="G322" s="17" t="str">
        <f aca="false">IF(H322&lt;&gt;"","",IF(ISNUMBER(I322),IF(I322&gt;=$C$3,"High price","Lower price"),"No price")&amp;", "&amp;IF(M322&gt;=$E$3,"high volume","lower volume"))</f>
        <v>High price, high volume</v>
      </c>
      <c r="H322" s="17" t="str">
        <f aca="false">IF(Q322="No","IV only (no ID, IM or SC route)",IF(AND(AE322&gt;0,AF322=0),"Price ≤ USD 5",""))</f>
        <v/>
      </c>
      <c r="I322" s="18" t="n">
        <f aca="false">IF(AF322&gt;0,ROUND(AVERAGEIFS('Shortlisted Drugs X Company (7)'!$N$3:$N$698,'Shortlisted Drugs X Company (7)'!$C$3:$C$698,$B322,'Shortlisted Drugs X Company (7)'!$E$3:$E$698,$AA322,'Shortlisted Drugs X Company (7)'!$N$3:$N$698,"&gt;5"),2),"")</f>
        <v>25.36</v>
      </c>
      <c r="J322" s="17" t="str">
        <f aca="false">IF(COUNTIFS('Shortlisted Drugs X Company (7)'!$C$3:$C$698,$B322,'Shortlisted Drugs X Company (7)'!$E$3:$E$698,$AA322,'Shortlisted Drugs X Company (7)'!$P$3:$P$698,"Exact")&gt;0,"Exact",IF(COUNTIFS('Shortlisted Drugs X Company (7)'!$C$3:$C$698,$B322,'Shortlisted Drugs X Company (7)'!$E$3:$E$698,$AA322,'Shortlisted Drugs X Company (7)'!$P$3:$P$698,"Same-market proxy")&gt;0,"Same-market proxy",IF(COUNTIFS('Shortlisted Drugs X Company (7)'!$C$3:$C$698,$B322,'Shortlisted Drugs X Company (7)'!$E$3:$E$698,$AA322,'Shortlisted Drugs X Company (7)'!$P$3:$P$698,"Cross-market proxy")&gt;0,"Cross-market proxy",IF(COUNTIFS('Shortlisted Drugs X Company (7)'!$C$3:$C$698,$B322,'Shortlisted Drugs X Company (7)'!$E$3:$E$698,$AA322,'Shortlisted Drugs X Company (7)'!$P$3:$P$698,"Source not found")&gt;0,"Source not found","No price found"))))</f>
        <v>Same-market proxy</v>
      </c>
      <c r="K322" s="19" t="n">
        <f aca="false">IFERROR(INDEX('Injectable Value'!$AB$28:$AB$178,MATCH(B322,'Injectable Value'!$A$28:$A$178,0)),"")</f>
        <v>3110</v>
      </c>
      <c r="L322" s="77" t="n">
        <f aca="false">IFERROR(INDEX('Injectable Value'!$Z$28:$Z$178,MATCH(B322,'Injectable Value'!$A$28:$A$178,0)),"")</f>
        <v>1</v>
      </c>
      <c r="M322" s="19" t="n">
        <f aca="false">IFERROR(INDEX('Injectable Value'!$AC$28:$AC$178,MATCH(B322,'Injectable Value'!$A$28:$A$178,0)),"")</f>
        <v>3110</v>
      </c>
      <c r="N322" s="19" t="n">
        <f aca="false">IFERROR(INDEX('Injectable Value'!$C$28:$C$178,MATCH(B322,'Injectable Value'!$A$28:$A$178,0)),"")</f>
        <v>93119.22</v>
      </c>
      <c r="O322" s="19" t="n">
        <f aca="false">IFERROR(ROUND(INDEX('Injectable Value'!$AA$28:$AA$178,MATCH(B322,'Injectable Value'!$A$28:$A$178,0)),1),"")</f>
        <v>93119.2</v>
      </c>
      <c r="P322" s="16" t="str">
        <f aca="false">IFERROR(INDEX('Route of Administration'!$C$5:$C$155,MATCH(B322,'Route of Administration'!$A$5:$A$155,0)),"")</f>
        <v>IV, IM</v>
      </c>
      <c r="Q322" s="15" t="str">
        <f aca="false">IFERROR(INDEX('Route of Administration'!$D$5:$D$155,MATCH(B322,'Route of Administration'!$A$5:$A$155,0)),"")</f>
        <v>Yes</v>
      </c>
      <c r="R322" s="16" t="s">
        <v>281</v>
      </c>
      <c r="S322" s="17" t="s">
        <v>1413</v>
      </c>
      <c r="T322" s="16" t="s">
        <v>333</v>
      </c>
      <c r="U322" s="17" t="str">
        <f aca="false">"Reconstitution"&amp;IF(AE322=0,"; No price found","")&amp;IF(AND(AE322&gt;0,AF322=0,AG322=0),"; Low price comes from another market – confirm with the company","")</f>
        <v>Reconstitution</v>
      </c>
      <c r="V322" s="17" t="s">
        <v>1144</v>
      </c>
      <c r="W322" s="15" t="n">
        <v>1</v>
      </c>
      <c r="X322" s="17" t="s">
        <v>1144</v>
      </c>
      <c r="Y322" s="17" t="s">
        <v>1144</v>
      </c>
      <c r="Z322" s="17" t="s">
        <v>286</v>
      </c>
      <c r="AA322" s="16" t="s">
        <v>243</v>
      </c>
      <c r="AB322" s="78" t="s">
        <v>374</v>
      </c>
      <c r="AC322" s="20" t="n">
        <f aca="false">IF(AE322&gt;0,ROUND(AVERAGEIFS('Shortlisted Drugs X Company (7)'!$N$3:$N$698,'Shortlisted Drugs X Company (7)'!$C$3:$C$698,$B322,'Shortlisted Drugs X Company (7)'!$E$3:$E$698,$AA322,'Shortlisted Drugs X Company (7)'!$N$3:$N$698,"&gt;=0"),2),"")</f>
        <v>25.36</v>
      </c>
      <c r="AD322" s="79" t="str">
        <f aca="false">B322&amp;"|"&amp;AA322</f>
        <v>Ceftriaxone|Venus Remedies</v>
      </c>
      <c r="AE322" s="22" t="n">
        <f aca="false">COUNTIFS('Shortlisted Drugs X Company (7)'!$C$3:$C$698,$B322,'Shortlisted Drugs X Company (7)'!$E$3:$E$698,$AA322,'Shortlisted Drugs X Company (7)'!$N$3:$N$698,"&gt;=0")</f>
        <v>1</v>
      </c>
      <c r="AF322" s="22" t="n">
        <f aca="false">COUNTIFS('Shortlisted Drugs X Company (7)'!$C$3:$C$698,$B322,'Shortlisted Drugs X Company (7)'!$E$3:$E$698,$AA322,'Shortlisted Drugs X Company (7)'!$N$3:$N$698,"&gt;5")</f>
        <v>1</v>
      </c>
      <c r="AG322" s="22" t="n">
        <f aca="false">COUNTIFS('Shortlisted Drugs X Company (7)'!$C$3:$C$698,$B322,'Shortlisted Drugs X Company (7)'!$E$3:$E$698,$AA322,'Shortlisted Drugs X Company (7)'!$P$3:$P$698,"Exact")+COUNTIFS('Shortlisted Drugs X Company (7)'!$C$3:$C$698,$B322,'Shortlisted Drugs X Company (7)'!$E$3:$E$698,$AA322,'Shortlisted Drugs X Company (7)'!$P$3:$P$698,"Same-market proxy")</f>
        <v>1</v>
      </c>
      <c r="AH322" s="22" t="n">
        <f aca="false">INDEX($G$7:$G$25,MATCH(A322,$A$7:$A$25,0))</f>
        <v>9</v>
      </c>
      <c r="AI322" s="79" t="n">
        <f aca="false">IF(OR(Q322="No",LEFT(H322,7)="IV only"),"",AH322*1000+IF(F322="",900+COUNTIFS($A$29:A322,A322,$H$29:H322,"Price*"),F322))</f>
        <v>9001</v>
      </c>
      <c r="AJ322" s="79" t="n">
        <f aca="false">IF(H322&lt;&gt;"","",(4-VALUE(RIGHT(E322,1)))*10^7+N(O322))</f>
        <v>30093119.2</v>
      </c>
      <c r="AK322" s="20" t="n">
        <f aca="false">IF(AND(H322="",ISNUMBER(I322)),I322,"")</f>
        <v>25.36</v>
      </c>
      <c r="AL322" s="21" t="n">
        <f aca="false">IF(H322="",M322,"")</f>
        <v>3110</v>
      </c>
    </row>
    <row r="323" customFormat="false" ht="41.75" hidden="false" customHeight="false" outlineLevel="0" collapsed="false">
      <c r="A323" s="16" t="s">
        <v>243</v>
      </c>
      <c r="B323" s="16" t="s">
        <v>483</v>
      </c>
      <c r="C323" s="17" t="s">
        <v>1414</v>
      </c>
      <c r="D323" s="17" t="s">
        <v>485</v>
      </c>
      <c r="E323" s="15" t="str">
        <f aca="false">IF(H323&lt;&gt;"",IF(LEFT(H323,5)="Price","Excluded – price ≤ USD 5","Excluded – IV only"),IF(ISNUMBER(I323),IF(AND(I323&gt;=$C$3,M323&gt;=$E$3),"Priority 1",IF(OR(I323&gt;=$C$3,M323&gt;=$E$3),"Priority 2","Priority 3")),IF(M323&gt;=$E$3,"Priority 2","Priority 3")))</f>
        <v>Excluded – IV only</v>
      </c>
      <c r="F323" s="15" t="str">
        <f aca="false">IF(H323&lt;&gt;"","",COUNTIFS($A$29:$A$361,A323,$H$29:$H$361,"",$AJ$29:$AJ$361,"&gt;"&amp;AJ323)+COUNTIFS($A$29:A323,A323,$H$29:H323,"",$AJ$29:AJ323,AJ323))</f>
        <v/>
      </c>
      <c r="G323" s="17" t="str">
        <f aca="false">IF(H323&lt;&gt;"","",IF(ISNUMBER(I323),IF(I323&gt;=$C$3,"High price","Lower price"),"No price")&amp;", "&amp;IF(M323&gt;=$E$3,"high volume","lower volume"))</f>
        <v/>
      </c>
      <c r="H323" s="17" t="str">
        <f aca="false">IF(Q323="No","IV only (no ID, IM or SC route)",IF(AND(AE323&gt;0,AF323=0),"Price ≤ USD 5",""))</f>
        <v>IV only (no ID, IM or SC route)</v>
      </c>
      <c r="I323" s="18" t="n">
        <f aca="false">IF(AF323&gt;0,ROUND(AVERAGEIFS('Shortlisted Drugs X Company (7)'!$N$3:$N$698,'Shortlisted Drugs X Company (7)'!$C$3:$C$698,$B323,'Shortlisted Drugs X Company (7)'!$E$3:$E$698,$AA323,'Shortlisted Drugs X Company (7)'!$N$3:$N$698,"&gt;5"),2),"")</f>
        <v>11.71</v>
      </c>
      <c r="J323" s="17" t="str">
        <f aca="false">IF(COUNTIFS('Shortlisted Drugs X Company (7)'!$C$3:$C$698,$B323,'Shortlisted Drugs X Company (7)'!$E$3:$E$698,$AA323,'Shortlisted Drugs X Company (7)'!$P$3:$P$698,"Exact")&gt;0,"Exact",IF(COUNTIFS('Shortlisted Drugs X Company (7)'!$C$3:$C$698,$B323,'Shortlisted Drugs X Company (7)'!$E$3:$E$698,$AA323,'Shortlisted Drugs X Company (7)'!$P$3:$P$698,"Same-market proxy")&gt;0,"Same-market proxy",IF(COUNTIFS('Shortlisted Drugs X Company (7)'!$C$3:$C$698,$B323,'Shortlisted Drugs X Company (7)'!$E$3:$E$698,$AA323,'Shortlisted Drugs X Company (7)'!$P$3:$P$698,"Cross-market proxy")&gt;0,"Cross-market proxy",IF(COUNTIFS('Shortlisted Drugs X Company (7)'!$C$3:$C$698,$B323,'Shortlisted Drugs X Company (7)'!$E$3:$E$698,$AA323,'Shortlisted Drugs X Company (7)'!$P$3:$P$698,"Source not found")&gt;0,"Source not found","No price found"))))</f>
        <v>Exact</v>
      </c>
      <c r="K323" s="19" t="n">
        <f aca="false">IFERROR(INDEX('Injectable Value'!$AB$28:$AB$178,MATCH(B323,'Injectable Value'!$A$28:$A$178,0)),"")</f>
        <v>1185</v>
      </c>
      <c r="L323" s="77" t="n">
        <f aca="false">IFERROR(INDEX('Injectable Value'!$Z$28:$Z$178,MATCH(B323,'Injectable Value'!$A$28:$A$178,0)),"")</f>
        <v>0.991808067465962</v>
      </c>
      <c r="M323" s="19" t="n">
        <f aca="false">IFERROR(INDEX('Injectable Value'!$AC$28:$AC$178,MATCH(B323,'Injectable Value'!$A$28:$A$178,0)),"")</f>
        <v>1175</v>
      </c>
      <c r="N323" s="19" t="n">
        <f aca="false">IFERROR(INDEX('Injectable Value'!$C$28:$C$178,MATCH(B323,'Injectable Value'!$A$28:$A$178,0)),"")</f>
        <v>59407.06</v>
      </c>
      <c r="O323" s="19" t="n">
        <f aca="false">IFERROR(ROUND(INDEX('Injectable Value'!$AA$28:$AA$178,MATCH(B323,'Injectable Value'!$A$28:$A$178,0)),1),"")</f>
        <v>58920.4</v>
      </c>
      <c r="P323" s="16" t="str">
        <f aca="false">IFERROR(INDEX('Route of Administration'!$C$5:$C$155,MATCH(B323,'Route of Administration'!$A$5:$A$155,0)),"")</f>
        <v>IV</v>
      </c>
      <c r="Q323" s="15" t="str">
        <f aca="false">IFERROR(INDEX('Route of Administration'!$D$5:$D$155,MATCH(B323,'Route of Administration'!$A$5:$A$155,0)),"")</f>
        <v>No</v>
      </c>
      <c r="R323" s="16" t="s">
        <v>281</v>
      </c>
      <c r="S323" s="17" t="s">
        <v>771</v>
      </c>
      <c r="T323" s="16" t="s">
        <v>333</v>
      </c>
      <c r="U323" s="17" t="str">
        <f aca="false">"Reconstitution"&amp;IF(AE323=0,"; No price found","")&amp;IF(AND(AE323&gt;0,AF323=0,AG323=0),"; Low price comes from another market – confirm with the company","")</f>
        <v>Reconstitution</v>
      </c>
      <c r="V323" s="17" t="s">
        <v>334</v>
      </c>
      <c r="W323" s="15" t="n">
        <v>10</v>
      </c>
      <c r="X323" s="17" t="s">
        <v>1415</v>
      </c>
      <c r="Y323" s="17" t="s">
        <v>1416</v>
      </c>
      <c r="Z323" s="17" t="s">
        <v>286</v>
      </c>
      <c r="AA323" s="16" t="s">
        <v>243</v>
      </c>
      <c r="AB323" s="78" t="s">
        <v>490</v>
      </c>
      <c r="AC323" s="20" t="n">
        <f aca="false">IF(AE323&gt;0,ROUND(AVERAGEIFS('Shortlisted Drugs X Company (7)'!$N$3:$N$698,'Shortlisted Drugs X Company (7)'!$C$3:$C$698,$B323,'Shortlisted Drugs X Company (7)'!$E$3:$E$698,$AA323,'Shortlisted Drugs X Company (7)'!$N$3:$N$698,"&gt;=0"),2),"")</f>
        <v>11.71</v>
      </c>
      <c r="AD323" s="79" t="str">
        <f aca="false">B323&amp;"|"&amp;AA323</f>
        <v>Meropenem|Venus Remedies</v>
      </c>
      <c r="AE323" s="22" t="n">
        <f aca="false">COUNTIFS('Shortlisted Drugs X Company (7)'!$C$3:$C$698,$B323,'Shortlisted Drugs X Company (7)'!$E$3:$E$698,$AA323,'Shortlisted Drugs X Company (7)'!$N$3:$N$698,"&gt;=0")</f>
        <v>3</v>
      </c>
      <c r="AF323" s="22" t="n">
        <f aca="false">COUNTIFS('Shortlisted Drugs X Company (7)'!$C$3:$C$698,$B323,'Shortlisted Drugs X Company (7)'!$E$3:$E$698,$AA323,'Shortlisted Drugs X Company (7)'!$N$3:$N$698,"&gt;5")</f>
        <v>3</v>
      </c>
      <c r="AG323" s="22" t="n">
        <f aca="false">COUNTIFS('Shortlisted Drugs X Company (7)'!$C$3:$C$698,$B323,'Shortlisted Drugs X Company (7)'!$E$3:$E$698,$AA323,'Shortlisted Drugs X Company (7)'!$P$3:$P$698,"Exact")+COUNTIFS('Shortlisted Drugs X Company (7)'!$C$3:$C$698,$B323,'Shortlisted Drugs X Company (7)'!$E$3:$E$698,$AA323,'Shortlisted Drugs X Company (7)'!$P$3:$P$698,"Same-market proxy")</f>
        <v>3</v>
      </c>
      <c r="AH323" s="22" t="n">
        <f aca="false">INDEX($G$7:$G$25,MATCH(A323,$A$7:$A$25,0))</f>
        <v>9</v>
      </c>
      <c r="AI323" s="79" t="str">
        <f aca="false">IF(OR(Q323="No",LEFT(H323,7)="IV only"),"",AH323*1000+IF(F323="",900+COUNTIFS($A$29:A323,A323,$H$29:H323,"Price*"),F323))</f>
        <v/>
      </c>
      <c r="AJ323" s="79" t="str">
        <f aca="false">IF(H323&lt;&gt;"","",(4-VALUE(RIGHT(E323,1)))*10^7+N(O323))</f>
        <v/>
      </c>
      <c r="AK323" s="79" t="str">
        <f aca="false">IF(AND(H323="",ISNUMBER(I323)),I323,"")</f>
        <v/>
      </c>
      <c r="AL323" s="79" t="str">
        <f aca="false">IF(H323="",M323,"")</f>
        <v/>
      </c>
    </row>
    <row r="324" customFormat="false" ht="41.75" hidden="false" customHeight="false" outlineLevel="0" collapsed="false">
      <c r="A324" s="16" t="s">
        <v>244</v>
      </c>
      <c r="B324" s="16" t="s">
        <v>1417</v>
      </c>
      <c r="C324" s="17" t="s">
        <v>1418</v>
      </c>
      <c r="D324" s="17" t="s">
        <v>1419</v>
      </c>
      <c r="E324" s="15" t="str">
        <f aca="false">IF(H324&lt;&gt;"",IF(LEFT(H324,5)="Price","Excluded – price ≤ USD 5","Excluded – IV only"),IF(ISNUMBER(I324),IF(AND(I324&gt;=$C$3,M324&gt;=$E$3),"Priority 1",IF(OR(I324&gt;=$C$3,M324&gt;=$E$3),"Priority 2","Priority 3")),IF(M324&gt;=$E$3,"Priority 2","Priority 3")))</f>
        <v>Excluded – IV only</v>
      </c>
      <c r="F324" s="15" t="str">
        <f aca="false">IF(H324&lt;&gt;"","",COUNTIFS($A$29:$A$361,A324,$H$29:$H$361,"",$AJ$29:$AJ$361,"&gt;"&amp;AJ324)+COUNTIFS($A$29:A324,A324,$H$29:H324,"",$AJ$29:AJ324,AJ324))</f>
        <v/>
      </c>
      <c r="G324" s="17" t="str">
        <f aca="false">IF(H324&lt;&gt;"","",IF(ISNUMBER(I324),IF(I324&gt;=$C$3,"High price","Lower price"),"No price")&amp;", "&amp;IF(M324&gt;=$E$3,"high volume","lower volume"))</f>
        <v/>
      </c>
      <c r="H324" s="17" t="str">
        <f aca="false">IF(Q324="No","IV only (no ID, IM or SC route)",IF(AND(AE324&gt;0,AF324=0),"Price ≤ USD 5",""))</f>
        <v>IV only (no ID, IM or SC route)</v>
      </c>
      <c r="I324" s="18" t="n">
        <f aca="false">IF(AF324&gt;0,ROUND(AVERAGEIFS('Shortlisted Drugs X Company (7)'!$N$3:$N$698,'Shortlisted Drugs X Company (7)'!$C$3:$C$698,$B324,'Shortlisted Drugs X Company (7)'!$E$3:$E$698,$AA324,'Shortlisted Drugs X Company (7)'!$N$3:$N$698,"&gt;5"),2),"")</f>
        <v>6.79</v>
      </c>
      <c r="J324" s="17" t="str">
        <f aca="false">IF(COUNTIFS('Shortlisted Drugs X Company (7)'!$C$3:$C$698,$B324,'Shortlisted Drugs X Company (7)'!$E$3:$E$698,$AA324,'Shortlisted Drugs X Company (7)'!$P$3:$P$698,"Exact")&gt;0,"Exact",IF(COUNTIFS('Shortlisted Drugs X Company (7)'!$C$3:$C$698,$B324,'Shortlisted Drugs X Company (7)'!$E$3:$E$698,$AA324,'Shortlisted Drugs X Company (7)'!$P$3:$P$698,"Same-market proxy")&gt;0,"Same-market proxy",IF(COUNTIFS('Shortlisted Drugs X Company (7)'!$C$3:$C$698,$B324,'Shortlisted Drugs X Company (7)'!$E$3:$E$698,$AA324,'Shortlisted Drugs X Company (7)'!$P$3:$P$698,"Cross-market proxy")&gt;0,"Cross-market proxy",IF(COUNTIFS('Shortlisted Drugs X Company (7)'!$C$3:$C$698,$B324,'Shortlisted Drugs X Company (7)'!$E$3:$E$698,$AA324,'Shortlisted Drugs X Company (7)'!$P$3:$P$698,"Source not found")&gt;0,"Source not found","No price found"))))</f>
        <v>Exact</v>
      </c>
      <c r="K324" s="19" t="n">
        <f aca="false">IFERROR(INDEX('Injectable Value'!$AB$28:$AB$178,MATCH(B324,'Injectable Value'!$A$28:$A$178,0)),"")</f>
        <v>251</v>
      </c>
      <c r="L324" s="77" t="n">
        <f aca="false">IFERROR(INDEX('Injectable Value'!$Z$28:$Z$178,MATCH(B324,'Injectable Value'!$A$28:$A$178,0)),"")</f>
        <v>0.679653957913821</v>
      </c>
      <c r="M324" s="19" t="n">
        <f aca="false">IFERROR(INDEX('Injectable Value'!$AC$28:$AC$178,MATCH(B324,'Injectable Value'!$A$28:$A$178,0)),"")</f>
        <v>171</v>
      </c>
      <c r="N324" s="19" t="n">
        <f aca="false">IFERROR(INDEX('Injectable Value'!$C$28:$C$178,MATCH(B324,'Injectable Value'!$A$28:$A$178,0)),"")</f>
        <v>4229.67</v>
      </c>
      <c r="O324" s="19" t="n">
        <f aca="false">IFERROR(ROUND(INDEX('Injectable Value'!$AA$28:$AA$178,MATCH(B324,'Injectable Value'!$A$28:$A$178,0)),1),"")</f>
        <v>2874.7</v>
      </c>
      <c r="P324" s="16" t="str">
        <f aca="false">IFERROR(INDEX('Route of Administration'!$C$5:$C$155,MATCH(B324,'Route of Administration'!$A$5:$A$155,0)),"")</f>
        <v>IV</v>
      </c>
      <c r="Q324" s="15" t="str">
        <f aca="false">IFERROR(INDEX('Route of Administration'!$D$5:$D$155,MATCH(B324,'Route of Administration'!$A$5:$A$155,0)),"")</f>
        <v>No</v>
      </c>
      <c r="R324" s="16" t="s">
        <v>281</v>
      </c>
      <c r="S324" s="17" t="s">
        <v>1420</v>
      </c>
      <c r="T324" s="16" t="s">
        <v>283</v>
      </c>
      <c r="U324" s="17" t="str">
        <f aca="false">""&amp;IF(AE324=0,"No price found","")&amp;IF(AND(AE324&gt;0,AF324=0,AG324=0),"Low price comes from another market – confirm with the company","")</f>
        <v/>
      </c>
      <c r="V324" s="17" t="s">
        <v>772</v>
      </c>
      <c r="W324" s="15" t="n">
        <v>2</v>
      </c>
      <c r="X324" s="17" t="s">
        <v>772</v>
      </c>
      <c r="Y324" s="17" t="s">
        <v>772</v>
      </c>
      <c r="Z324" s="17" t="s">
        <v>321</v>
      </c>
      <c r="AA324" s="16" t="s">
        <v>244</v>
      </c>
      <c r="AB324" s="78" t="s">
        <v>1421</v>
      </c>
      <c r="AC324" s="20" t="n">
        <f aca="false">IF(AE324&gt;0,ROUND(AVERAGEIFS('Shortlisted Drugs X Company (7)'!$N$3:$N$698,'Shortlisted Drugs X Company (7)'!$C$3:$C$698,$B324,'Shortlisted Drugs X Company (7)'!$E$3:$E$698,$AA324,'Shortlisted Drugs X Company (7)'!$N$3:$N$698,"&gt;=0"),2),"")</f>
        <v>6.79</v>
      </c>
      <c r="AD324" s="79" t="str">
        <f aca="false">B324&amp;"|"&amp;AA324</f>
        <v>Adenosine|Wockhardt</v>
      </c>
      <c r="AE324" s="22" t="n">
        <f aca="false">COUNTIFS('Shortlisted Drugs X Company (7)'!$C$3:$C$698,$B324,'Shortlisted Drugs X Company (7)'!$E$3:$E$698,$AA324,'Shortlisted Drugs X Company (7)'!$N$3:$N$698,"&gt;=0")</f>
        <v>2</v>
      </c>
      <c r="AF324" s="22" t="n">
        <f aca="false">COUNTIFS('Shortlisted Drugs X Company (7)'!$C$3:$C$698,$B324,'Shortlisted Drugs X Company (7)'!$E$3:$E$698,$AA324,'Shortlisted Drugs X Company (7)'!$N$3:$N$698,"&gt;5")</f>
        <v>2</v>
      </c>
      <c r="AG324" s="22" t="n">
        <f aca="false">COUNTIFS('Shortlisted Drugs X Company (7)'!$C$3:$C$698,$B324,'Shortlisted Drugs X Company (7)'!$E$3:$E$698,$AA324,'Shortlisted Drugs X Company (7)'!$P$3:$P$698,"Exact")+COUNTIFS('Shortlisted Drugs X Company (7)'!$C$3:$C$698,$B324,'Shortlisted Drugs X Company (7)'!$E$3:$E$698,$AA324,'Shortlisted Drugs X Company (7)'!$P$3:$P$698,"Same-market proxy")</f>
        <v>1</v>
      </c>
      <c r="AH324" s="22" t="n">
        <f aca="false">INDEX($G$7:$G$25,MATCH(A324,$A$7:$A$25,0))</f>
        <v>14</v>
      </c>
      <c r="AI324" s="79" t="str">
        <f aca="false">IF(OR(Q324="No",LEFT(H324,7)="IV only"),"",AH324*1000+IF(F324="",900+COUNTIFS($A$29:A324,A324,$H$29:H324,"Price*"),F324))</f>
        <v/>
      </c>
      <c r="AJ324" s="79" t="str">
        <f aca="false">IF(H324&lt;&gt;"","",(4-VALUE(RIGHT(E324,1)))*10^7+N(O324))</f>
        <v/>
      </c>
      <c r="AK324" s="79" t="str">
        <f aca="false">IF(AND(H324="",ISNUMBER(I324)),I324,"")</f>
        <v/>
      </c>
      <c r="AL324" s="79" t="str">
        <f aca="false">IF(H324="",M324,"")</f>
        <v/>
      </c>
    </row>
    <row r="325" customFormat="false" ht="41.75" hidden="false" customHeight="false" outlineLevel="0" collapsed="false">
      <c r="A325" s="16" t="s">
        <v>244</v>
      </c>
      <c r="B325" s="16" t="s">
        <v>775</v>
      </c>
      <c r="C325" s="17" t="s">
        <v>1422</v>
      </c>
      <c r="D325" s="17" t="s">
        <v>777</v>
      </c>
      <c r="E325" s="15" t="str">
        <f aca="false">IF(H325&lt;&gt;"",IF(LEFT(H325,5)="Price","Excluded – price ≤ USD 5","Excluded – IV only"),IF(ISNUMBER(I325),IF(AND(I325&gt;=$C$3,M325&gt;=$E$3),"Priority 1",IF(OR(I325&gt;=$C$3,M325&gt;=$E$3),"Priority 2","Priority 3")),IF(M325&gt;=$E$3,"Priority 2","Priority 3")))</f>
        <v>Excluded – price ≤ USD 5</v>
      </c>
      <c r="F325" s="15" t="str">
        <f aca="false">IF(H325&lt;&gt;"","",COUNTIFS($A$29:$A$361,A325,$H$29:$H$361,"",$AJ$29:$AJ$361,"&gt;"&amp;AJ325)+COUNTIFS($A$29:A325,A325,$H$29:H325,"",$AJ$29:AJ325,AJ325))</f>
        <v/>
      </c>
      <c r="G325" s="17" t="str">
        <f aca="false">IF(H325&lt;&gt;"","",IF(ISNUMBER(I325),IF(I325&gt;=$C$3,"High price","Lower price"),"No price")&amp;", "&amp;IF(M325&gt;=$E$3,"high volume","lower volume"))</f>
        <v/>
      </c>
      <c r="H325" s="17" t="str">
        <f aca="false">IF(Q325="No","IV only (no ID, IM or SC route)",IF(AND(AE325&gt;0,AF325=0),"Price ≤ USD 5",""))</f>
        <v>Price ≤ USD 5</v>
      </c>
      <c r="I325" s="18" t="str">
        <f aca="false">IF(AF325&gt;0,ROUND(AVERAGEIFS('Shortlisted Drugs X Company (7)'!$N$3:$N$698,'Shortlisted Drugs X Company (7)'!$C$3:$C$698,$B325,'Shortlisted Drugs X Company (7)'!$E$3:$E$698,$AA325,'Shortlisted Drugs X Company (7)'!$N$3:$N$698,"&gt;5"),2),"")</f>
        <v/>
      </c>
      <c r="J325" s="17" t="str">
        <f aca="false">IF(COUNTIFS('Shortlisted Drugs X Company (7)'!$C$3:$C$698,$B325,'Shortlisted Drugs X Company (7)'!$E$3:$E$698,$AA325,'Shortlisted Drugs X Company (7)'!$P$3:$P$698,"Exact")&gt;0,"Exact",IF(COUNTIFS('Shortlisted Drugs X Company (7)'!$C$3:$C$698,$B325,'Shortlisted Drugs X Company (7)'!$E$3:$E$698,$AA325,'Shortlisted Drugs X Company (7)'!$P$3:$P$698,"Same-market proxy")&gt;0,"Same-market proxy",IF(COUNTIFS('Shortlisted Drugs X Company (7)'!$C$3:$C$698,$B325,'Shortlisted Drugs X Company (7)'!$E$3:$E$698,$AA325,'Shortlisted Drugs X Company (7)'!$P$3:$P$698,"Cross-market proxy")&gt;0,"Cross-market proxy",IF(COUNTIFS('Shortlisted Drugs X Company (7)'!$C$3:$C$698,$B325,'Shortlisted Drugs X Company (7)'!$E$3:$E$698,$AA325,'Shortlisted Drugs X Company (7)'!$P$3:$P$698,"Source not found")&gt;0,"Source not found","No price found"))))</f>
        <v>Cross-market proxy</v>
      </c>
      <c r="K325" s="19" t="n">
        <f aca="false">IFERROR(INDEX('Injectable Value'!$AB$28:$AB$178,MATCH(B325,'Injectable Value'!$A$28:$A$178,0)),"")</f>
        <v>684</v>
      </c>
      <c r="L325" s="77" t="n">
        <f aca="false">IFERROR(INDEX('Injectable Value'!$Z$28:$Z$178,MATCH(B325,'Injectable Value'!$A$28:$A$178,0)),"")</f>
        <v>0.959959846916369</v>
      </c>
      <c r="M325" s="19" t="n">
        <f aca="false">IFERROR(INDEX('Injectable Value'!$AC$28:$AC$178,MATCH(B325,'Injectable Value'!$A$28:$A$178,0)),"")</f>
        <v>657</v>
      </c>
      <c r="N325" s="19" t="n">
        <f aca="false">IFERROR(INDEX('Injectable Value'!$C$28:$C$178,MATCH(B325,'Injectable Value'!$A$28:$A$178,0)),"")</f>
        <v>8785.35</v>
      </c>
      <c r="O325" s="19" t="n">
        <f aca="false">IFERROR(ROUND(INDEX('Injectable Value'!$AA$28:$AA$178,MATCH(B325,'Injectable Value'!$A$28:$A$178,0)),1),"")</f>
        <v>8433.6</v>
      </c>
      <c r="P325" s="16" t="str">
        <f aca="false">IFERROR(INDEX('Route of Administration'!$C$5:$C$155,MATCH(B325,'Route of Administration'!$A$5:$A$155,0)),"")</f>
        <v>IV, IM</v>
      </c>
      <c r="Q325" s="15" t="str">
        <f aca="false">IFERROR(INDEX('Route of Administration'!$D$5:$D$155,MATCH(B325,'Route of Administration'!$A$5:$A$155,0)),"")</f>
        <v>Yes</v>
      </c>
      <c r="R325" s="16" t="s">
        <v>281</v>
      </c>
      <c r="S325" s="17" t="s">
        <v>778</v>
      </c>
      <c r="T325" s="16" t="s">
        <v>283</v>
      </c>
      <c r="U325" s="17" t="str">
        <f aca="false">""&amp;IF(AE325=0,"No price found","")&amp;IF(AND(AE325&gt;0,AF325=0,AG325=0),"Low price comes from another market – confirm with the company","")</f>
        <v>Low price comes from another market – confirm with the company</v>
      </c>
      <c r="V325" s="17" t="s">
        <v>112</v>
      </c>
      <c r="W325" s="15" t="n">
        <v>1</v>
      </c>
      <c r="X325" s="17" t="s">
        <v>614</v>
      </c>
      <c r="Y325" s="17" t="s">
        <v>614</v>
      </c>
      <c r="Z325" s="17" t="s">
        <v>321</v>
      </c>
      <c r="AA325" s="16" t="s">
        <v>244</v>
      </c>
      <c r="AB325" s="78" t="s">
        <v>781</v>
      </c>
      <c r="AC325" s="20" t="n">
        <f aca="false">IF(AE325&gt;0,ROUND(AVERAGEIFS('Shortlisted Drugs X Company (7)'!$N$3:$N$698,'Shortlisted Drugs X Company (7)'!$C$3:$C$698,$B325,'Shortlisted Drugs X Company (7)'!$E$3:$E$698,$AA325,'Shortlisted Drugs X Company (7)'!$N$3:$N$698,"&gt;=0"),2),"")</f>
        <v>3.06</v>
      </c>
      <c r="AD325" s="79" t="str">
        <f aca="false">B325&amp;"|"&amp;AA325</f>
        <v>Amikacin|Wockhardt</v>
      </c>
      <c r="AE325" s="22" t="n">
        <f aca="false">COUNTIFS('Shortlisted Drugs X Company (7)'!$C$3:$C$698,$B325,'Shortlisted Drugs X Company (7)'!$E$3:$E$698,$AA325,'Shortlisted Drugs X Company (7)'!$N$3:$N$698,"&gt;=0")</f>
        <v>1</v>
      </c>
      <c r="AF325" s="22" t="n">
        <f aca="false">COUNTIFS('Shortlisted Drugs X Company (7)'!$C$3:$C$698,$B325,'Shortlisted Drugs X Company (7)'!$E$3:$E$698,$AA325,'Shortlisted Drugs X Company (7)'!$N$3:$N$698,"&gt;5")</f>
        <v>0</v>
      </c>
      <c r="AG325" s="22" t="n">
        <f aca="false">COUNTIFS('Shortlisted Drugs X Company (7)'!$C$3:$C$698,$B325,'Shortlisted Drugs X Company (7)'!$E$3:$E$698,$AA325,'Shortlisted Drugs X Company (7)'!$P$3:$P$698,"Exact")+COUNTIFS('Shortlisted Drugs X Company (7)'!$C$3:$C$698,$B325,'Shortlisted Drugs X Company (7)'!$E$3:$E$698,$AA325,'Shortlisted Drugs X Company (7)'!$P$3:$P$698,"Same-market proxy")</f>
        <v>0</v>
      </c>
      <c r="AH325" s="22" t="n">
        <f aca="false">INDEX($G$7:$G$25,MATCH(A325,$A$7:$A$25,0))</f>
        <v>14</v>
      </c>
      <c r="AI325" s="79" t="n">
        <f aca="false">IF(OR(Q325="No",LEFT(H325,7)="IV only"),"",AH325*1000+IF(F325="",900+COUNTIFS($A$29:A325,A325,$H$29:H325,"Price*"),F325))</f>
        <v>14901</v>
      </c>
      <c r="AJ325" s="79" t="str">
        <f aca="false">IF(H325&lt;&gt;"","",(4-VALUE(RIGHT(E325,1)))*10^7+N(O325))</f>
        <v/>
      </c>
      <c r="AK325" s="79" t="str">
        <f aca="false">IF(AND(H325="",ISNUMBER(I325)),I325,"")</f>
        <v/>
      </c>
      <c r="AL325" s="79" t="str">
        <f aca="false">IF(H325="",M325,"")</f>
        <v/>
      </c>
    </row>
    <row r="326" customFormat="false" ht="28.35" hidden="false" customHeight="false" outlineLevel="0" collapsed="false">
      <c r="A326" s="16" t="s">
        <v>244</v>
      </c>
      <c r="B326" s="16" t="s">
        <v>1250</v>
      </c>
      <c r="C326" s="17" t="s">
        <v>1423</v>
      </c>
      <c r="D326" s="17" t="s">
        <v>1252</v>
      </c>
      <c r="E326" s="15" t="str">
        <f aca="false">IF(H326&lt;&gt;"",IF(LEFT(H326,5)="Price","Excluded – price ≤ USD 5","Excluded – IV only"),IF(ISNUMBER(I326),IF(AND(I326&gt;=$C$3,M326&gt;=$E$3),"Priority 1",IF(OR(I326&gt;=$C$3,M326&gt;=$E$3),"Priority 2","Priority 3")),IF(M326&gt;=$E$3,"Priority 2","Priority 3")))</f>
        <v>Excluded – IV only</v>
      </c>
      <c r="F326" s="15" t="str">
        <f aca="false">IF(H326&lt;&gt;"","",COUNTIFS($A$29:$A$361,A326,$H$29:$H$361,"",$AJ$29:$AJ$361,"&gt;"&amp;AJ326)+COUNTIFS($A$29:A326,A326,$H$29:H326,"",$AJ$29:AJ326,AJ326))</f>
        <v/>
      </c>
      <c r="G326" s="17" t="str">
        <f aca="false">IF(H326&lt;&gt;"","",IF(ISNUMBER(I326),IF(I326&gt;=$C$3,"High price","Lower price"),"No price")&amp;", "&amp;IF(M326&gt;=$E$3,"high volume","lower volume"))</f>
        <v/>
      </c>
      <c r="H326" s="17" t="str">
        <f aca="false">IF(Q326="No","IV only (no ID, IM or SC route)",IF(AND(AE326&gt;0,AF326=0),"Price ≤ USD 5",""))</f>
        <v>IV only (no ID, IM or SC route)</v>
      </c>
      <c r="I326" s="18" t="n">
        <f aca="false">IF(AF326&gt;0,ROUND(AVERAGEIFS('Shortlisted Drugs X Company (7)'!$N$3:$N$698,'Shortlisted Drugs X Company (7)'!$C$3:$C$698,$B326,'Shortlisted Drugs X Company (7)'!$E$3:$E$698,$AA326,'Shortlisted Drugs X Company (7)'!$N$3:$N$698,"&gt;5"),2),"")</f>
        <v>6.45</v>
      </c>
      <c r="J326" s="17" t="str">
        <f aca="false">IF(COUNTIFS('Shortlisted Drugs X Company (7)'!$C$3:$C$698,$B326,'Shortlisted Drugs X Company (7)'!$E$3:$E$698,$AA326,'Shortlisted Drugs X Company (7)'!$P$3:$P$698,"Exact")&gt;0,"Exact",IF(COUNTIFS('Shortlisted Drugs X Company (7)'!$C$3:$C$698,$B326,'Shortlisted Drugs X Company (7)'!$E$3:$E$698,$AA326,'Shortlisted Drugs X Company (7)'!$P$3:$P$698,"Same-market proxy")&gt;0,"Same-market proxy",IF(COUNTIFS('Shortlisted Drugs X Company (7)'!$C$3:$C$698,$B326,'Shortlisted Drugs X Company (7)'!$E$3:$E$698,$AA326,'Shortlisted Drugs X Company (7)'!$P$3:$P$698,"Cross-market proxy")&gt;0,"Cross-market proxy",IF(COUNTIFS('Shortlisted Drugs X Company (7)'!$C$3:$C$698,$B326,'Shortlisted Drugs X Company (7)'!$E$3:$E$698,$AA326,'Shortlisted Drugs X Company (7)'!$P$3:$P$698,"Source not found")&gt;0,"Source not found","No price found"))))</f>
        <v>Same-market proxy</v>
      </c>
      <c r="K326" s="19" t="n">
        <f aca="false">IFERROR(INDEX('Injectable Value'!$AB$28:$AB$178,MATCH(B326,'Injectable Value'!$A$28:$A$178,0)),"")</f>
        <v>2221</v>
      </c>
      <c r="L326" s="77" t="n">
        <f aca="false">IFERROR(INDEX('Injectable Value'!$Z$28:$Z$178,MATCH(B326,'Injectable Value'!$A$28:$A$178,0)),"")</f>
        <v>0.0524659711687654</v>
      </c>
      <c r="M326" s="19" t="n">
        <f aca="false">IFERROR(INDEX('Injectable Value'!$AC$28:$AC$178,MATCH(B326,'Injectable Value'!$A$28:$A$178,0)),"")</f>
        <v>117</v>
      </c>
      <c r="N326" s="19" t="n">
        <f aca="false">IFERROR(INDEX('Injectable Value'!$C$28:$C$178,MATCH(B326,'Injectable Value'!$A$28:$A$178,0)),"")</f>
        <v>49989.33</v>
      </c>
      <c r="O326" s="19" t="n">
        <f aca="false">IFERROR(ROUND(INDEX('Injectable Value'!$AA$28:$AA$178,MATCH(B326,'Injectable Value'!$A$28:$A$178,0)),1),"")</f>
        <v>2622.7</v>
      </c>
      <c r="P326" s="16" t="str">
        <f aca="false">IFERROR(INDEX('Route of Administration'!$C$5:$C$155,MATCH(B326,'Route of Administration'!$A$5:$A$155,0)),"")</f>
        <v>IV</v>
      </c>
      <c r="Q326" s="15" t="str">
        <f aca="false">IFERROR(INDEX('Route of Administration'!$D$5:$D$155,MATCH(B326,'Route of Administration'!$A$5:$A$155,0)),"")</f>
        <v>No</v>
      </c>
      <c r="R326" s="16" t="s">
        <v>349</v>
      </c>
      <c r="S326" s="17" t="s">
        <v>1424</v>
      </c>
      <c r="T326" s="16" t="s">
        <v>283</v>
      </c>
      <c r="U326" s="17" t="str">
        <f aca="false">""&amp;IF(AE326=0,"No price found","")&amp;IF(AND(AE326&gt;0,AF326=0,AG326=0),"Low price comes from another market – confirm with the company","")</f>
        <v/>
      </c>
      <c r="V326" s="17" t="s">
        <v>772</v>
      </c>
      <c r="W326" s="15" t="n">
        <v>2</v>
      </c>
      <c r="X326" s="17" t="s">
        <v>772</v>
      </c>
      <c r="Y326" s="17" t="s">
        <v>772</v>
      </c>
      <c r="Z326" s="17" t="s">
        <v>321</v>
      </c>
      <c r="AA326" s="16" t="s">
        <v>244</v>
      </c>
      <c r="AB326" s="78" t="s">
        <v>1254</v>
      </c>
      <c r="AC326" s="20" t="n">
        <f aca="false">IF(AE326&gt;0,ROUND(AVERAGEIFS('Shortlisted Drugs X Company (7)'!$N$3:$N$698,'Shortlisted Drugs X Company (7)'!$C$3:$C$698,$B326,'Shortlisted Drugs X Company (7)'!$E$3:$E$698,$AA326,'Shortlisted Drugs X Company (7)'!$N$3:$N$698,"&gt;=0"),2),"")</f>
        <v>6.45</v>
      </c>
      <c r="AD326" s="79" t="str">
        <f aca="false">B326&amp;"|"&amp;AA326</f>
        <v>Caffeine|Wockhardt</v>
      </c>
      <c r="AE326" s="22" t="n">
        <f aca="false">COUNTIFS('Shortlisted Drugs X Company (7)'!$C$3:$C$698,$B326,'Shortlisted Drugs X Company (7)'!$E$3:$E$698,$AA326,'Shortlisted Drugs X Company (7)'!$N$3:$N$698,"&gt;=0")</f>
        <v>1</v>
      </c>
      <c r="AF326" s="22" t="n">
        <f aca="false">COUNTIFS('Shortlisted Drugs X Company (7)'!$C$3:$C$698,$B326,'Shortlisted Drugs X Company (7)'!$E$3:$E$698,$AA326,'Shortlisted Drugs X Company (7)'!$N$3:$N$698,"&gt;5")</f>
        <v>1</v>
      </c>
      <c r="AG326" s="22" t="n">
        <f aca="false">COUNTIFS('Shortlisted Drugs X Company (7)'!$C$3:$C$698,$B326,'Shortlisted Drugs X Company (7)'!$E$3:$E$698,$AA326,'Shortlisted Drugs X Company (7)'!$P$3:$P$698,"Exact")+COUNTIFS('Shortlisted Drugs X Company (7)'!$C$3:$C$698,$B326,'Shortlisted Drugs X Company (7)'!$E$3:$E$698,$AA326,'Shortlisted Drugs X Company (7)'!$P$3:$P$698,"Same-market proxy")</f>
        <v>1</v>
      </c>
      <c r="AH326" s="22" t="n">
        <f aca="false">INDEX($G$7:$G$25,MATCH(A326,$A$7:$A$25,0))</f>
        <v>14</v>
      </c>
      <c r="AI326" s="79" t="str">
        <f aca="false">IF(OR(Q326="No",LEFT(H326,7)="IV only"),"",AH326*1000+IF(F326="",900+COUNTIFS($A$29:A326,A326,$H$29:H326,"Price*"),F326))</f>
        <v/>
      </c>
      <c r="AJ326" s="79" t="str">
        <f aca="false">IF(H326&lt;&gt;"","",(4-VALUE(RIGHT(E326,1)))*10^7+N(O326))</f>
        <v/>
      </c>
      <c r="AK326" s="79" t="str">
        <f aca="false">IF(AND(H326="",ISNUMBER(I326)),I326,"")</f>
        <v/>
      </c>
      <c r="AL326" s="79" t="str">
        <f aca="false">IF(H326="",M326,"")</f>
        <v/>
      </c>
    </row>
    <row r="327" customFormat="false" ht="41.75" hidden="false" customHeight="false" outlineLevel="0" collapsed="false">
      <c r="A327" s="16" t="s">
        <v>244</v>
      </c>
      <c r="B327" s="16" t="s">
        <v>362</v>
      </c>
      <c r="C327" s="17" t="s">
        <v>362</v>
      </c>
      <c r="D327" s="17" t="s">
        <v>364</v>
      </c>
      <c r="E327" s="15" t="str">
        <f aca="false">IF(H327&lt;&gt;"",IF(LEFT(H327,5)="Price","Excluded – price ≤ USD 5","Excluded – IV only"),IF(ISNUMBER(I327),IF(AND(I327&gt;=$C$3,M327&gt;=$E$3),"Priority 1",IF(OR(I327&gt;=$C$3,M327&gt;=$E$3),"Priority 2","Priority 3")),IF(M327&gt;=$E$3,"Priority 2","Priority 3")))</f>
        <v>Priority 2</v>
      </c>
      <c r="F327" s="15" t="n">
        <f aca="false">IF(H327&lt;&gt;"","",COUNTIFS($A$29:$A$361,A327,$H$29:$H$361,"",$AJ$29:$AJ$361,"&gt;"&amp;AJ327)+COUNTIFS($A$29:A327,A327,$H$29:H327,"",$AJ$29:AJ327,AJ327))</f>
        <v>3</v>
      </c>
      <c r="G327" s="17" t="str">
        <f aca="false">IF(H327&lt;&gt;"","",IF(ISNUMBER(I327),IF(I327&gt;=$C$3,"High price","Lower price"),"No price")&amp;", "&amp;IF(M327&gt;=$E$3,"high volume","lower volume"))</f>
        <v>Lower price, high volume</v>
      </c>
      <c r="H327" s="17" t="str">
        <f aca="false">IF(Q327="No","IV only (no ID, IM or SC route)",IF(AND(AE327&gt;0,AF327=0),"Price ≤ USD 5",""))</f>
        <v/>
      </c>
      <c r="I327" s="18" t="n">
        <f aca="false">IF(AF327&gt;0,ROUND(AVERAGEIFS('Shortlisted Drugs X Company (7)'!$N$3:$N$698,'Shortlisted Drugs X Company (7)'!$C$3:$C$698,$B327,'Shortlisted Drugs X Company (7)'!$E$3:$E$698,$AA327,'Shortlisted Drugs X Company (7)'!$N$3:$N$698,"&gt;5"),2),"")</f>
        <v>20.27</v>
      </c>
      <c r="J327" s="17" t="str">
        <f aca="false">IF(COUNTIFS('Shortlisted Drugs X Company (7)'!$C$3:$C$698,$B327,'Shortlisted Drugs X Company (7)'!$E$3:$E$698,$AA327,'Shortlisted Drugs X Company (7)'!$P$3:$P$698,"Exact")&gt;0,"Exact",IF(COUNTIFS('Shortlisted Drugs X Company (7)'!$C$3:$C$698,$B327,'Shortlisted Drugs X Company (7)'!$E$3:$E$698,$AA327,'Shortlisted Drugs X Company (7)'!$P$3:$P$698,"Same-market proxy")&gt;0,"Same-market proxy",IF(COUNTIFS('Shortlisted Drugs X Company (7)'!$C$3:$C$698,$B327,'Shortlisted Drugs X Company (7)'!$E$3:$E$698,$AA327,'Shortlisted Drugs X Company (7)'!$P$3:$P$698,"Cross-market proxy")&gt;0,"Cross-market proxy",IF(COUNTIFS('Shortlisted Drugs X Company (7)'!$C$3:$C$698,$B327,'Shortlisted Drugs X Company (7)'!$E$3:$E$698,$AA327,'Shortlisted Drugs X Company (7)'!$P$3:$P$698,"Source not found")&gt;0,"Source not found","No price found"))))</f>
        <v>Exact</v>
      </c>
      <c r="K327" s="19" t="n">
        <f aca="false">IFERROR(INDEX('Injectable Value'!$AB$28:$AB$178,MATCH(B327,'Injectable Value'!$A$28:$A$178,0)),"")</f>
        <v>335</v>
      </c>
      <c r="L327" s="77" t="n">
        <f aca="false">IFERROR(INDEX('Injectable Value'!$Z$28:$Z$178,MATCH(B327,'Injectable Value'!$A$28:$A$178,0)),"")</f>
        <v>1</v>
      </c>
      <c r="M327" s="19" t="n">
        <f aca="false">IFERROR(INDEX('Injectable Value'!$AC$28:$AC$178,MATCH(B327,'Injectable Value'!$A$28:$A$178,0)),"")</f>
        <v>335</v>
      </c>
      <c r="N327" s="19" t="n">
        <f aca="false">IFERROR(INDEX('Injectable Value'!$C$28:$C$178,MATCH(B327,'Injectable Value'!$A$28:$A$178,0)),"")</f>
        <v>5713.56</v>
      </c>
      <c r="O327" s="19" t="n">
        <f aca="false">IFERROR(ROUND(INDEX('Injectable Value'!$AA$28:$AA$178,MATCH(B327,'Injectable Value'!$A$28:$A$178,0)),1),"")</f>
        <v>5713.6</v>
      </c>
      <c r="P327" s="16" t="str">
        <f aca="false">IFERROR(INDEX('Route of Administration'!$C$5:$C$155,MATCH(B327,'Route of Administration'!$A$5:$A$155,0)),"")</f>
        <v>IV, IM</v>
      </c>
      <c r="Q327" s="15" t="str">
        <f aca="false">IFERROR(INDEX('Route of Administration'!$D$5:$D$155,MATCH(B327,'Route of Administration'!$A$5:$A$155,0)),"")</f>
        <v>Yes</v>
      </c>
      <c r="R327" s="16" t="s">
        <v>281</v>
      </c>
      <c r="S327" s="17" t="s">
        <v>1413</v>
      </c>
      <c r="T327" s="16" t="s">
        <v>333</v>
      </c>
      <c r="U327" s="17" t="str">
        <f aca="false">"Reconstitution"&amp;IF(AE327=0,"; No price found","")&amp;IF(AND(AE327&gt;0,AF327=0,AG327=0),"; Low price comes from another market – confirm with the company","")</f>
        <v>Reconstitution</v>
      </c>
      <c r="V327" s="17" t="s">
        <v>772</v>
      </c>
      <c r="W327" s="15" t="n">
        <v>4</v>
      </c>
      <c r="X327" s="17" t="s">
        <v>1425</v>
      </c>
      <c r="Y327" s="17" t="s">
        <v>1425</v>
      </c>
      <c r="Z327" s="17" t="s">
        <v>286</v>
      </c>
      <c r="AA327" s="16" t="s">
        <v>244</v>
      </c>
      <c r="AB327" s="78" t="s">
        <v>368</v>
      </c>
      <c r="AC327" s="20" t="n">
        <f aca="false">IF(AE327&gt;0,ROUND(AVERAGEIFS('Shortlisted Drugs X Company (7)'!$N$3:$N$698,'Shortlisted Drugs X Company (7)'!$C$3:$C$698,$B327,'Shortlisted Drugs X Company (7)'!$E$3:$E$698,$AA327,'Shortlisted Drugs X Company (7)'!$N$3:$N$698,"&gt;=0"),2),"")</f>
        <v>20.27</v>
      </c>
      <c r="AD327" s="79" t="str">
        <f aca="false">B327&amp;"|"&amp;AA327</f>
        <v>Ceftazidime|Wockhardt</v>
      </c>
      <c r="AE327" s="22" t="n">
        <f aca="false">COUNTIFS('Shortlisted Drugs X Company (7)'!$C$3:$C$698,$B327,'Shortlisted Drugs X Company (7)'!$E$3:$E$698,$AA327,'Shortlisted Drugs X Company (7)'!$N$3:$N$698,"&gt;=0")</f>
        <v>2</v>
      </c>
      <c r="AF327" s="22" t="n">
        <f aca="false">COUNTIFS('Shortlisted Drugs X Company (7)'!$C$3:$C$698,$B327,'Shortlisted Drugs X Company (7)'!$E$3:$E$698,$AA327,'Shortlisted Drugs X Company (7)'!$N$3:$N$698,"&gt;5")</f>
        <v>2</v>
      </c>
      <c r="AG327" s="22" t="n">
        <f aca="false">COUNTIFS('Shortlisted Drugs X Company (7)'!$C$3:$C$698,$B327,'Shortlisted Drugs X Company (7)'!$E$3:$E$698,$AA327,'Shortlisted Drugs X Company (7)'!$P$3:$P$698,"Exact")+COUNTIFS('Shortlisted Drugs X Company (7)'!$C$3:$C$698,$B327,'Shortlisted Drugs X Company (7)'!$E$3:$E$698,$AA327,'Shortlisted Drugs X Company (7)'!$P$3:$P$698,"Same-market proxy")</f>
        <v>1</v>
      </c>
      <c r="AH327" s="22" t="n">
        <f aca="false">INDEX($G$7:$G$25,MATCH(A327,$A$7:$A$25,0))</f>
        <v>14</v>
      </c>
      <c r="AI327" s="79" t="n">
        <f aca="false">IF(OR(Q327="No",LEFT(H327,7)="IV only"),"",AH327*1000+IF(F327="",900+COUNTIFS($A$29:A327,A327,$H$29:H327,"Price*"),F327))</f>
        <v>14003</v>
      </c>
      <c r="AJ327" s="79" t="n">
        <f aca="false">IF(H327&lt;&gt;"","",(4-VALUE(RIGHT(E327,1)))*10^7+N(O327))</f>
        <v>20005713.6</v>
      </c>
      <c r="AK327" s="20" t="n">
        <f aca="false">IF(AND(H327="",ISNUMBER(I327)),I327,"")</f>
        <v>20.27</v>
      </c>
      <c r="AL327" s="21" t="n">
        <f aca="false">IF(H327="",M327,"")</f>
        <v>335</v>
      </c>
    </row>
    <row r="328" customFormat="false" ht="41.75" hidden="false" customHeight="false" outlineLevel="0" collapsed="false">
      <c r="A328" s="16" t="s">
        <v>244</v>
      </c>
      <c r="B328" s="16" t="s">
        <v>76</v>
      </c>
      <c r="C328" s="17" t="s">
        <v>76</v>
      </c>
      <c r="D328" s="17" t="s">
        <v>370</v>
      </c>
      <c r="E328" s="15" t="str">
        <f aca="false">IF(H328&lt;&gt;"",IF(LEFT(H328,5)="Price","Excluded – price ≤ USD 5","Excluded – IV only"),IF(ISNUMBER(I328),IF(AND(I328&gt;=$C$3,M328&gt;=$E$3),"Priority 1",IF(OR(I328&gt;=$C$3,M328&gt;=$E$3),"Priority 2","Priority 3")),IF(M328&gt;=$E$3,"Priority 2","Priority 3")))</f>
        <v>Priority 2</v>
      </c>
      <c r="F328" s="15" t="n">
        <f aca="false">IF(H328&lt;&gt;"","",COUNTIFS($A$29:$A$361,A328,$H$29:$H$361,"",$AJ$29:$AJ$361,"&gt;"&amp;AJ328)+COUNTIFS($A$29:A328,A328,$H$29:H328,"",$AJ$29:AJ328,AJ328))</f>
        <v>1</v>
      </c>
      <c r="G328" s="17" t="str">
        <f aca="false">IF(H328&lt;&gt;"","",IF(ISNUMBER(I328),IF(I328&gt;=$C$3,"High price","Lower price"),"No price")&amp;", "&amp;IF(M328&gt;=$E$3,"high volume","lower volume"))</f>
        <v>Lower price, high volume</v>
      </c>
      <c r="H328" s="17" t="str">
        <f aca="false">IF(Q328="No","IV only (no ID, IM or SC route)",IF(AND(AE328&gt;0,AF328=0),"Price ≤ USD 5",""))</f>
        <v/>
      </c>
      <c r="I328" s="18" t="n">
        <f aca="false">IF(AF328&gt;0,ROUND(AVERAGEIFS('Shortlisted Drugs X Company (7)'!$N$3:$N$698,'Shortlisted Drugs X Company (7)'!$C$3:$C$698,$B328,'Shortlisted Drugs X Company (7)'!$E$3:$E$698,$AA328,'Shortlisted Drugs X Company (7)'!$N$3:$N$698,"&gt;5"),2),"")</f>
        <v>12.3</v>
      </c>
      <c r="J328" s="17" t="str">
        <f aca="false">IF(COUNTIFS('Shortlisted Drugs X Company (7)'!$C$3:$C$698,$B328,'Shortlisted Drugs X Company (7)'!$E$3:$E$698,$AA328,'Shortlisted Drugs X Company (7)'!$P$3:$P$698,"Exact")&gt;0,"Exact",IF(COUNTIFS('Shortlisted Drugs X Company (7)'!$C$3:$C$698,$B328,'Shortlisted Drugs X Company (7)'!$E$3:$E$698,$AA328,'Shortlisted Drugs X Company (7)'!$P$3:$P$698,"Same-market proxy")&gt;0,"Same-market proxy",IF(COUNTIFS('Shortlisted Drugs X Company (7)'!$C$3:$C$698,$B328,'Shortlisted Drugs X Company (7)'!$E$3:$E$698,$AA328,'Shortlisted Drugs X Company (7)'!$P$3:$P$698,"Cross-market proxy")&gt;0,"Cross-market proxy",IF(COUNTIFS('Shortlisted Drugs X Company (7)'!$C$3:$C$698,$B328,'Shortlisted Drugs X Company (7)'!$E$3:$E$698,$AA328,'Shortlisted Drugs X Company (7)'!$P$3:$P$698,"Source not found")&gt;0,"Source not found","No price found"))))</f>
        <v>Exact</v>
      </c>
      <c r="K328" s="19" t="n">
        <f aca="false">IFERROR(INDEX('Injectable Value'!$AB$28:$AB$178,MATCH(B328,'Injectable Value'!$A$28:$A$178,0)),"")</f>
        <v>3110</v>
      </c>
      <c r="L328" s="77" t="n">
        <f aca="false">IFERROR(INDEX('Injectable Value'!$Z$28:$Z$178,MATCH(B328,'Injectable Value'!$A$28:$A$178,0)),"")</f>
        <v>1</v>
      </c>
      <c r="M328" s="19" t="n">
        <f aca="false">IFERROR(INDEX('Injectable Value'!$AC$28:$AC$178,MATCH(B328,'Injectable Value'!$A$28:$A$178,0)),"")</f>
        <v>3110</v>
      </c>
      <c r="N328" s="19" t="n">
        <f aca="false">IFERROR(INDEX('Injectable Value'!$C$28:$C$178,MATCH(B328,'Injectable Value'!$A$28:$A$178,0)),"")</f>
        <v>93119.22</v>
      </c>
      <c r="O328" s="19" t="n">
        <f aca="false">IFERROR(ROUND(INDEX('Injectable Value'!$AA$28:$AA$178,MATCH(B328,'Injectable Value'!$A$28:$A$178,0)),1),"")</f>
        <v>93119.2</v>
      </c>
      <c r="P328" s="16" t="str">
        <f aca="false">IFERROR(INDEX('Route of Administration'!$C$5:$C$155,MATCH(B328,'Route of Administration'!$A$5:$A$155,0)),"")</f>
        <v>IV, IM</v>
      </c>
      <c r="Q328" s="15" t="str">
        <f aca="false">IFERROR(INDEX('Route of Administration'!$D$5:$D$155,MATCH(B328,'Route of Administration'!$A$5:$A$155,0)),"")</f>
        <v>Yes</v>
      </c>
      <c r="R328" s="16" t="s">
        <v>281</v>
      </c>
      <c r="S328" s="17" t="s">
        <v>1426</v>
      </c>
      <c r="T328" s="16" t="s">
        <v>333</v>
      </c>
      <c r="U328" s="17" t="str">
        <f aca="false">"Reconstitution"&amp;IF(AE328=0,"; No price found","")&amp;IF(AND(AE328&gt;0,AF328=0,AG328=0),"; Low price comes from another market – confirm with the company","")</f>
        <v>Reconstitution</v>
      </c>
      <c r="V328" s="17" t="s">
        <v>855</v>
      </c>
      <c r="W328" s="15" t="n">
        <v>5</v>
      </c>
      <c r="X328" s="17" t="s">
        <v>1427</v>
      </c>
      <c r="Y328" s="17" t="s">
        <v>1427</v>
      </c>
      <c r="Z328" s="17" t="s">
        <v>286</v>
      </c>
      <c r="AA328" s="16" t="s">
        <v>244</v>
      </c>
      <c r="AB328" s="78" t="s">
        <v>374</v>
      </c>
      <c r="AC328" s="20" t="n">
        <f aca="false">IF(AE328&gt;0,ROUND(AVERAGEIFS('Shortlisted Drugs X Company (7)'!$N$3:$N$698,'Shortlisted Drugs X Company (7)'!$C$3:$C$698,$B328,'Shortlisted Drugs X Company (7)'!$E$3:$E$698,$AA328,'Shortlisted Drugs X Company (7)'!$N$3:$N$698,"&gt;=0"),2),"")</f>
        <v>12.3</v>
      </c>
      <c r="AD328" s="79" t="str">
        <f aca="false">B328&amp;"|"&amp;AA328</f>
        <v>Ceftriaxone|Wockhardt</v>
      </c>
      <c r="AE328" s="22" t="n">
        <f aca="false">COUNTIFS('Shortlisted Drugs X Company (7)'!$C$3:$C$698,$B328,'Shortlisted Drugs X Company (7)'!$E$3:$E$698,$AA328,'Shortlisted Drugs X Company (7)'!$N$3:$N$698,"&gt;=0")</f>
        <v>3</v>
      </c>
      <c r="AF328" s="22" t="n">
        <f aca="false">COUNTIFS('Shortlisted Drugs X Company (7)'!$C$3:$C$698,$B328,'Shortlisted Drugs X Company (7)'!$E$3:$E$698,$AA328,'Shortlisted Drugs X Company (7)'!$N$3:$N$698,"&gt;5")</f>
        <v>3</v>
      </c>
      <c r="AG328" s="22" t="n">
        <f aca="false">COUNTIFS('Shortlisted Drugs X Company (7)'!$C$3:$C$698,$B328,'Shortlisted Drugs X Company (7)'!$E$3:$E$698,$AA328,'Shortlisted Drugs X Company (7)'!$P$3:$P$698,"Exact")+COUNTIFS('Shortlisted Drugs X Company (7)'!$C$3:$C$698,$B328,'Shortlisted Drugs X Company (7)'!$E$3:$E$698,$AA328,'Shortlisted Drugs X Company (7)'!$P$3:$P$698,"Same-market proxy")</f>
        <v>3</v>
      </c>
      <c r="AH328" s="22" t="n">
        <f aca="false">INDEX($G$7:$G$25,MATCH(A328,$A$7:$A$25,0))</f>
        <v>14</v>
      </c>
      <c r="AI328" s="79" t="n">
        <f aca="false">IF(OR(Q328="No",LEFT(H328,7)="IV only"),"",AH328*1000+IF(F328="",900+COUNTIFS($A$29:A328,A328,$H$29:H328,"Price*"),F328))</f>
        <v>14001</v>
      </c>
      <c r="AJ328" s="79" t="n">
        <f aca="false">IF(H328&lt;&gt;"","",(4-VALUE(RIGHT(E328,1)))*10^7+N(O328))</f>
        <v>20093119.2</v>
      </c>
      <c r="AK328" s="20" t="n">
        <f aca="false">IF(AND(H328="",ISNUMBER(I328)),I328,"")</f>
        <v>12.3</v>
      </c>
      <c r="AL328" s="21" t="n">
        <f aca="false">IF(H328="",M328,"")</f>
        <v>3110</v>
      </c>
    </row>
    <row r="329" customFormat="false" ht="28.35" hidden="false" customHeight="false" outlineLevel="0" collapsed="false">
      <c r="A329" s="16" t="s">
        <v>244</v>
      </c>
      <c r="B329" s="16" t="s">
        <v>1428</v>
      </c>
      <c r="C329" s="17" t="s">
        <v>1428</v>
      </c>
      <c r="D329" s="17" t="s">
        <v>1429</v>
      </c>
      <c r="E329" s="15" t="str">
        <f aca="false">IF(H329&lt;&gt;"",IF(LEFT(H329,5)="Price","Excluded – price ≤ USD 5","Excluded – IV only"),IF(ISNUMBER(I329),IF(AND(I329&gt;=$C$3,M329&gt;=$E$3),"Priority 1",IF(OR(I329&gt;=$C$3,M329&gt;=$E$3),"Priority 2","Priority 3")),IF(M329&gt;=$E$3,"Priority 2","Priority 3")))</f>
        <v>Priority 3</v>
      </c>
      <c r="F329" s="15" t="n">
        <f aca="false">IF(H329&lt;&gt;"","",COUNTIFS($A$29:$A$361,A329,$H$29:$H$361,"",$AJ$29:$AJ$361,"&gt;"&amp;AJ329)+COUNTIFS($A$29:A329,A329,$H$29:H329,"",$AJ$29:AJ329,AJ329))</f>
        <v>9</v>
      </c>
      <c r="G329" s="17" t="str">
        <f aca="false">IF(H329&lt;&gt;"","",IF(ISNUMBER(I329),IF(I329&gt;=$C$3,"High price","Lower price"),"No price")&amp;", "&amp;IF(M329&gt;=$E$3,"high volume","lower volume"))</f>
        <v>Lower price, lower volume</v>
      </c>
      <c r="H329" s="17" t="str">
        <f aca="false">IF(Q329="No","IV only (no ID, IM or SC route)",IF(AND(AE329&gt;0,AF329=0),"Price ≤ USD 5",""))</f>
        <v/>
      </c>
      <c r="I329" s="18" t="n">
        <f aca="false">IF(AF329&gt;0,ROUND(AVERAGEIFS('Shortlisted Drugs X Company (7)'!$N$3:$N$698,'Shortlisted Drugs X Company (7)'!$C$3:$C$698,$B329,'Shortlisted Drugs X Company (7)'!$E$3:$E$698,$AA329,'Shortlisted Drugs X Company (7)'!$N$3:$N$698,"&gt;5"),2),"")</f>
        <v>6.74</v>
      </c>
      <c r="J329" s="17" t="str">
        <f aca="false">IF(COUNTIFS('Shortlisted Drugs X Company (7)'!$C$3:$C$698,$B329,'Shortlisted Drugs X Company (7)'!$E$3:$E$698,$AA329,'Shortlisted Drugs X Company (7)'!$P$3:$P$698,"Exact")&gt;0,"Exact",IF(COUNTIFS('Shortlisted Drugs X Company (7)'!$C$3:$C$698,$B329,'Shortlisted Drugs X Company (7)'!$E$3:$E$698,$AA329,'Shortlisted Drugs X Company (7)'!$P$3:$P$698,"Same-market proxy")&gt;0,"Same-market proxy",IF(COUNTIFS('Shortlisted Drugs X Company (7)'!$C$3:$C$698,$B329,'Shortlisted Drugs X Company (7)'!$E$3:$E$698,$AA329,'Shortlisted Drugs X Company (7)'!$P$3:$P$698,"Cross-market proxy")&gt;0,"Cross-market proxy",IF(COUNTIFS('Shortlisted Drugs X Company (7)'!$C$3:$C$698,$B329,'Shortlisted Drugs X Company (7)'!$E$3:$E$698,$AA329,'Shortlisted Drugs X Company (7)'!$P$3:$P$698,"Source not found")&gt;0,"Source not found","No price found"))))</f>
        <v>Same-market proxy</v>
      </c>
      <c r="K329" s="19" t="n">
        <f aca="false">IFERROR(INDEX('Injectable Value'!$AB$28:$AB$178,MATCH(B329,'Injectable Value'!$A$28:$A$178,0)),"")</f>
        <v>435</v>
      </c>
      <c r="L329" s="77" t="n">
        <f aca="false">IFERROR(INDEX('Injectable Value'!$Z$28:$Z$178,MATCH(B329,'Injectable Value'!$A$28:$A$178,0)),"")</f>
        <v>0.0201374081971097</v>
      </c>
      <c r="M329" s="19" t="n">
        <f aca="false">IFERROR(INDEX('Injectable Value'!$AC$28:$AC$178,MATCH(B329,'Injectable Value'!$A$28:$A$178,0)),"")</f>
        <v>9</v>
      </c>
      <c r="N329" s="19" t="n">
        <f aca="false">IFERROR(INDEX('Injectable Value'!$C$28:$C$178,MATCH(B329,'Injectable Value'!$A$28:$A$178,0)),"")</f>
        <v>7691.34</v>
      </c>
      <c r="O329" s="19" t="n">
        <f aca="false">IFERROR(ROUND(INDEX('Injectable Value'!$AA$28:$AA$178,MATCH(B329,'Injectable Value'!$A$28:$A$178,0)),1),"")</f>
        <v>154.9</v>
      </c>
      <c r="P329" s="16" t="str">
        <f aca="false">IFERROR(INDEX('Route of Administration'!$C$5:$C$155,MATCH(B329,'Route of Administration'!$A$5:$A$155,0)),"")</f>
        <v>IV, IM, SC</v>
      </c>
      <c r="Q329" s="15" t="str">
        <f aca="false">IFERROR(INDEX('Route of Administration'!$D$5:$D$155,MATCH(B329,'Route of Administration'!$A$5:$A$155,0)),"")</f>
        <v>Yes</v>
      </c>
      <c r="R329" s="16" t="s">
        <v>349</v>
      </c>
      <c r="S329" s="17" t="s">
        <v>1430</v>
      </c>
      <c r="T329" s="16" t="s">
        <v>283</v>
      </c>
      <c r="U329" s="17" t="str">
        <f aca="false">""&amp;IF(AE329=0,"No price found","")&amp;IF(AND(AE329&gt;0,AF329=0,AG329=0),"Low price comes from another market – confirm with the company","")</f>
        <v/>
      </c>
      <c r="V329" s="17" t="s">
        <v>772</v>
      </c>
      <c r="W329" s="15" t="n">
        <v>2</v>
      </c>
      <c r="X329" s="17" t="s">
        <v>772</v>
      </c>
      <c r="Y329" s="17" t="s">
        <v>772</v>
      </c>
      <c r="Z329" s="17" t="s">
        <v>321</v>
      </c>
      <c r="AA329" s="16" t="s">
        <v>244</v>
      </c>
      <c r="AB329" s="78" t="s">
        <v>1431</v>
      </c>
      <c r="AC329" s="20" t="n">
        <f aca="false">IF(AE329&gt;0,ROUND(AVERAGEIFS('Shortlisted Drugs X Company (7)'!$N$3:$N$698,'Shortlisted Drugs X Company (7)'!$C$3:$C$698,$B329,'Shortlisted Drugs X Company (7)'!$E$3:$E$698,$AA329,'Shortlisted Drugs X Company (7)'!$N$3:$N$698,"&gt;=0"),2),"")</f>
        <v>6.74</v>
      </c>
      <c r="AD329" s="79" t="str">
        <f aca="false">B329&amp;"|"&amp;AA329</f>
        <v>Chlorphenamine|Wockhardt</v>
      </c>
      <c r="AE329" s="22" t="n">
        <f aca="false">COUNTIFS('Shortlisted Drugs X Company (7)'!$C$3:$C$698,$B329,'Shortlisted Drugs X Company (7)'!$E$3:$E$698,$AA329,'Shortlisted Drugs X Company (7)'!$N$3:$N$698,"&gt;=0")</f>
        <v>1</v>
      </c>
      <c r="AF329" s="22" t="n">
        <f aca="false">COUNTIFS('Shortlisted Drugs X Company (7)'!$C$3:$C$698,$B329,'Shortlisted Drugs X Company (7)'!$E$3:$E$698,$AA329,'Shortlisted Drugs X Company (7)'!$N$3:$N$698,"&gt;5")</f>
        <v>1</v>
      </c>
      <c r="AG329" s="22" t="n">
        <f aca="false">COUNTIFS('Shortlisted Drugs X Company (7)'!$C$3:$C$698,$B329,'Shortlisted Drugs X Company (7)'!$E$3:$E$698,$AA329,'Shortlisted Drugs X Company (7)'!$P$3:$P$698,"Exact")+COUNTIFS('Shortlisted Drugs X Company (7)'!$C$3:$C$698,$B329,'Shortlisted Drugs X Company (7)'!$E$3:$E$698,$AA329,'Shortlisted Drugs X Company (7)'!$P$3:$P$698,"Same-market proxy")</f>
        <v>1</v>
      </c>
      <c r="AH329" s="22" t="n">
        <f aca="false">INDEX($G$7:$G$25,MATCH(A329,$A$7:$A$25,0))</f>
        <v>14</v>
      </c>
      <c r="AI329" s="79" t="n">
        <f aca="false">IF(OR(Q329="No",LEFT(H329,7)="IV only"),"",AH329*1000+IF(F329="",900+COUNTIFS($A$29:A329,A329,$H$29:H329,"Price*"),F329))</f>
        <v>14009</v>
      </c>
      <c r="AJ329" s="79" t="n">
        <f aca="false">IF(H329&lt;&gt;"","",(4-VALUE(RIGHT(E329,1)))*10^7+N(O329))</f>
        <v>10000154.9</v>
      </c>
      <c r="AK329" s="20" t="n">
        <f aca="false">IF(AND(H329="",ISNUMBER(I329)),I329,"")</f>
        <v>6.74</v>
      </c>
      <c r="AL329" s="21" t="n">
        <f aca="false">IF(H329="",M329,"")</f>
        <v>9</v>
      </c>
    </row>
    <row r="330" customFormat="false" ht="41.75" hidden="false" customHeight="false" outlineLevel="0" collapsed="false">
      <c r="A330" s="16" t="s">
        <v>244</v>
      </c>
      <c r="B330" s="16" t="s">
        <v>388</v>
      </c>
      <c r="C330" s="17" t="s">
        <v>1432</v>
      </c>
      <c r="D330" s="17" t="s">
        <v>390</v>
      </c>
      <c r="E330" s="15" t="str">
        <f aca="false">IF(H330&lt;&gt;"",IF(LEFT(H330,5)="Price","Excluded – price ≤ USD 5","Excluded – IV only"),IF(ISNUMBER(I330),IF(AND(I330&gt;=$C$3,M330&gt;=$E$3),"Priority 1",IF(OR(I330&gt;=$C$3,M330&gt;=$E$3),"Priority 2","Priority 3")),IF(M330&gt;=$E$3,"Priority 2","Priority 3")))</f>
        <v>Excluded – IV only</v>
      </c>
      <c r="F330" s="15" t="str">
        <f aca="false">IF(H330&lt;&gt;"","",COUNTIFS($A$29:$A$361,A330,$H$29:$H$361,"",$AJ$29:$AJ$361,"&gt;"&amp;AJ330)+COUNTIFS($A$29:A330,A330,$H$29:H330,"",$AJ$29:AJ330,AJ330))</f>
        <v/>
      </c>
      <c r="G330" s="17" t="str">
        <f aca="false">IF(H330&lt;&gt;"","",IF(ISNUMBER(I330),IF(I330&gt;=$C$3,"High price","Lower price"),"No price")&amp;", "&amp;IF(M330&gt;=$E$3,"high volume","lower volume"))</f>
        <v/>
      </c>
      <c r="H330" s="17" t="str">
        <f aca="false">IF(Q330="No","IV only (no ID, IM or SC route)",IF(AND(AE330&gt;0,AF330=0),"Price ≤ USD 5",""))</f>
        <v>IV only (no ID, IM or SC route)</v>
      </c>
      <c r="I330" s="18" t="n">
        <f aca="false">IF(AF330&gt;0,ROUND(AVERAGEIFS('Shortlisted Drugs X Company (7)'!$N$3:$N$698,'Shortlisted Drugs X Company (7)'!$C$3:$C$698,$B330,'Shortlisted Drugs X Company (7)'!$E$3:$E$698,$AA330,'Shortlisted Drugs X Company (7)'!$N$3:$N$698,"&gt;5"),2),"")</f>
        <v>87.85</v>
      </c>
      <c r="J330" s="17" t="str">
        <f aca="false">IF(COUNTIFS('Shortlisted Drugs X Company (7)'!$C$3:$C$698,$B330,'Shortlisted Drugs X Company (7)'!$E$3:$E$698,$AA330,'Shortlisted Drugs X Company (7)'!$P$3:$P$698,"Exact")&gt;0,"Exact",IF(COUNTIFS('Shortlisted Drugs X Company (7)'!$C$3:$C$698,$B330,'Shortlisted Drugs X Company (7)'!$E$3:$E$698,$AA330,'Shortlisted Drugs X Company (7)'!$P$3:$P$698,"Same-market proxy")&gt;0,"Same-market proxy",IF(COUNTIFS('Shortlisted Drugs X Company (7)'!$C$3:$C$698,$B330,'Shortlisted Drugs X Company (7)'!$E$3:$E$698,$AA330,'Shortlisted Drugs X Company (7)'!$P$3:$P$698,"Cross-market proxy")&gt;0,"Cross-market proxy",IF(COUNTIFS('Shortlisted Drugs X Company (7)'!$C$3:$C$698,$B330,'Shortlisted Drugs X Company (7)'!$E$3:$E$698,$AA330,'Shortlisted Drugs X Company (7)'!$P$3:$P$698,"Source not found")&gt;0,"Source not found","No price found"))))</f>
        <v>Exact</v>
      </c>
      <c r="K330" s="19" t="n">
        <f aca="false">IFERROR(INDEX('Injectable Value'!$AB$28:$AB$178,MATCH(B330,'Injectable Value'!$A$28:$A$178,0)),"")</f>
        <v>312</v>
      </c>
      <c r="L330" s="77" t="n">
        <f aca="false">IFERROR(INDEX('Injectable Value'!$Z$28:$Z$178,MATCH(B330,'Injectable Value'!$A$28:$A$178,0)),"")</f>
        <v>1</v>
      </c>
      <c r="M330" s="19" t="n">
        <f aca="false">IFERROR(INDEX('Injectable Value'!$AC$28:$AC$178,MATCH(B330,'Injectable Value'!$A$28:$A$178,0)),"")</f>
        <v>312</v>
      </c>
      <c r="N330" s="19" t="n">
        <f aca="false">IFERROR(INDEX('Injectable Value'!$C$28:$C$178,MATCH(B330,'Injectable Value'!$A$28:$A$178,0)),"")</f>
        <v>59827.18</v>
      </c>
      <c r="O330" s="19" t="n">
        <f aca="false">IFERROR(ROUND(INDEX('Injectable Value'!$AA$28:$AA$178,MATCH(B330,'Injectable Value'!$A$28:$A$178,0)),1),"")</f>
        <v>59827.2</v>
      </c>
      <c r="P330" s="16" t="str">
        <f aca="false">IFERROR(INDEX('Route of Administration'!$C$5:$C$155,MATCH(B330,'Route of Administration'!$A$5:$A$155,0)),"")</f>
        <v>IV</v>
      </c>
      <c r="Q330" s="15" t="str">
        <f aca="false">IFERROR(INDEX('Route of Administration'!$D$5:$D$155,MATCH(B330,'Route of Administration'!$A$5:$A$155,0)),"")</f>
        <v>No</v>
      </c>
      <c r="R330" s="16" t="s">
        <v>281</v>
      </c>
      <c r="S330" s="17" t="s">
        <v>715</v>
      </c>
      <c r="T330" s="16" t="s">
        <v>333</v>
      </c>
      <c r="U330" s="17" t="str">
        <f aca="false">"Reconstitution"&amp;IF(AE330=0,"; No price found","")&amp;IF(AND(AE330&gt;0,AF330=0,AG330=0),"; Low price comes from another market – confirm with the company","")</f>
        <v>Reconstitution</v>
      </c>
      <c r="V330" s="17" t="s">
        <v>772</v>
      </c>
      <c r="W330" s="15" t="n">
        <v>3</v>
      </c>
      <c r="X330" s="17" t="s">
        <v>1433</v>
      </c>
      <c r="Y330" s="17" t="s">
        <v>1433</v>
      </c>
      <c r="Z330" s="17" t="s">
        <v>286</v>
      </c>
      <c r="AA330" s="16" t="s">
        <v>244</v>
      </c>
      <c r="AB330" s="78" t="s">
        <v>393</v>
      </c>
      <c r="AC330" s="20" t="n">
        <f aca="false">IF(AE330&gt;0,ROUND(AVERAGEIFS('Shortlisted Drugs X Company (7)'!$N$3:$N$698,'Shortlisted Drugs X Company (7)'!$C$3:$C$698,$B330,'Shortlisted Drugs X Company (7)'!$E$3:$E$698,$AA330,'Shortlisted Drugs X Company (7)'!$N$3:$N$698,"&gt;=0"),2),"")</f>
        <v>87.85</v>
      </c>
      <c r="AD330" s="79" t="str">
        <f aca="false">B330&amp;"|"&amp;AA330</f>
        <v>Daptomycin|Wockhardt</v>
      </c>
      <c r="AE330" s="22" t="n">
        <f aca="false">COUNTIFS('Shortlisted Drugs X Company (7)'!$C$3:$C$698,$B330,'Shortlisted Drugs X Company (7)'!$E$3:$E$698,$AA330,'Shortlisted Drugs X Company (7)'!$N$3:$N$698,"&gt;=0")</f>
        <v>2</v>
      </c>
      <c r="AF330" s="22" t="n">
        <f aca="false">COUNTIFS('Shortlisted Drugs X Company (7)'!$C$3:$C$698,$B330,'Shortlisted Drugs X Company (7)'!$E$3:$E$698,$AA330,'Shortlisted Drugs X Company (7)'!$N$3:$N$698,"&gt;5")</f>
        <v>2</v>
      </c>
      <c r="AG330" s="22" t="n">
        <f aca="false">COUNTIFS('Shortlisted Drugs X Company (7)'!$C$3:$C$698,$B330,'Shortlisted Drugs X Company (7)'!$E$3:$E$698,$AA330,'Shortlisted Drugs X Company (7)'!$P$3:$P$698,"Exact")+COUNTIFS('Shortlisted Drugs X Company (7)'!$C$3:$C$698,$B330,'Shortlisted Drugs X Company (7)'!$E$3:$E$698,$AA330,'Shortlisted Drugs X Company (7)'!$P$3:$P$698,"Same-market proxy")</f>
        <v>1</v>
      </c>
      <c r="AH330" s="22" t="n">
        <f aca="false">INDEX($G$7:$G$25,MATCH(A330,$A$7:$A$25,0))</f>
        <v>14</v>
      </c>
      <c r="AI330" s="79" t="str">
        <f aca="false">IF(OR(Q330="No",LEFT(H330,7)="IV only"),"",AH330*1000+IF(F330="",900+COUNTIFS($A$29:A330,A330,$H$29:H330,"Price*"),F330))</f>
        <v/>
      </c>
      <c r="AJ330" s="79" t="str">
        <f aca="false">IF(H330&lt;&gt;"","",(4-VALUE(RIGHT(E330,1)))*10^7+N(O330))</f>
        <v/>
      </c>
      <c r="AK330" s="79" t="str">
        <f aca="false">IF(AND(H330="",ISNUMBER(I330)),I330,"")</f>
        <v/>
      </c>
      <c r="AL330" s="79" t="str">
        <f aca="false">IF(H330="",M330,"")</f>
        <v/>
      </c>
    </row>
    <row r="331" customFormat="false" ht="28.35" hidden="false" customHeight="false" outlineLevel="0" collapsed="false">
      <c r="A331" s="16" t="s">
        <v>244</v>
      </c>
      <c r="B331" s="16" t="s">
        <v>1434</v>
      </c>
      <c r="C331" s="17" t="s">
        <v>1434</v>
      </c>
      <c r="D331" s="17" t="s">
        <v>1435</v>
      </c>
      <c r="E331" s="15" t="str">
        <f aca="false">IF(H331&lt;&gt;"",IF(LEFT(H331,5)="Price","Excluded – price ≤ USD 5","Excluded – IV only"),IF(ISNUMBER(I331),IF(AND(I331&gt;=$C$3,M331&gt;=$E$3),"Priority 1",IF(OR(I331&gt;=$C$3,M331&gt;=$E$3),"Priority 2","Priority 3")),IF(M331&gt;=$E$3,"Priority 2","Priority 3")))</f>
        <v>Priority 2</v>
      </c>
      <c r="F331" s="15" t="n">
        <f aca="false">IF(H331&lt;&gt;"","",COUNTIFS($A$29:$A$361,A331,$H$29:$H$361,"",$AJ$29:$AJ$361,"&gt;"&amp;AJ331)+COUNTIFS($A$29:A331,A331,$H$29:H331,"",$AJ$29:AJ331,AJ331))</f>
        <v>4</v>
      </c>
      <c r="G331" s="17" t="str">
        <f aca="false">IF(H331&lt;&gt;"","",IF(ISNUMBER(I331),IF(I331&gt;=$C$3,"High price","Lower price"),"No price")&amp;", "&amp;IF(M331&gt;=$E$3,"high volume","lower volume"))</f>
        <v>Lower price, high volume</v>
      </c>
      <c r="H331" s="17" t="str">
        <f aca="false">IF(Q331="No","IV only (no ID, IM or SC route)",IF(AND(AE331&gt;0,AF331=0),"Price ≤ USD 5",""))</f>
        <v/>
      </c>
      <c r="I331" s="18" t="n">
        <f aca="false">IF(AF331&gt;0,ROUND(AVERAGEIFS('Shortlisted Drugs X Company (7)'!$N$3:$N$698,'Shortlisted Drugs X Company (7)'!$C$3:$C$698,$B331,'Shortlisted Drugs X Company (7)'!$E$3:$E$698,$AA331,'Shortlisted Drugs X Company (7)'!$N$3:$N$698,"&gt;5"),2),"")</f>
        <v>8.98</v>
      </c>
      <c r="J331" s="17" t="str">
        <f aca="false">IF(COUNTIFS('Shortlisted Drugs X Company (7)'!$C$3:$C$698,$B331,'Shortlisted Drugs X Company (7)'!$E$3:$E$698,$AA331,'Shortlisted Drugs X Company (7)'!$P$3:$P$698,"Exact")&gt;0,"Exact",IF(COUNTIFS('Shortlisted Drugs X Company (7)'!$C$3:$C$698,$B331,'Shortlisted Drugs X Company (7)'!$E$3:$E$698,$AA331,'Shortlisted Drugs X Company (7)'!$P$3:$P$698,"Same-market proxy")&gt;0,"Same-market proxy",IF(COUNTIFS('Shortlisted Drugs X Company (7)'!$C$3:$C$698,$B331,'Shortlisted Drugs X Company (7)'!$E$3:$E$698,$AA331,'Shortlisted Drugs X Company (7)'!$P$3:$P$698,"Cross-market proxy")&gt;0,"Cross-market proxy",IF(COUNTIFS('Shortlisted Drugs X Company (7)'!$C$3:$C$698,$B331,'Shortlisted Drugs X Company (7)'!$E$3:$E$698,$AA331,'Shortlisted Drugs X Company (7)'!$P$3:$P$698,"Source not found")&gt;0,"Source not found","No price found"))))</f>
        <v>Exact</v>
      </c>
      <c r="K331" s="19" t="n">
        <f aca="false">IFERROR(INDEX('Injectable Value'!$AB$28:$AB$178,MATCH(B331,'Injectable Value'!$A$28:$A$178,0)),"")</f>
        <v>669</v>
      </c>
      <c r="L331" s="77" t="n">
        <f aca="false">IFERROR(INDEX('Injectable Value'!$Z$28:$Z$178,MATCH(B331,'Injectable Value'!$A$28:$A$178,0)),"")</f>
        <v>0.407590557590558</v>
      </c>
      <c r="M331" s="19" t="n">
        <f aca="false">IFERROR(INDEX('Injectable Value'!$AC$28:$AC$178,MATCH(B331,'Injectable Value'!$A$28:$A$178,0)),"")</f>
        <v>273</v>
      </c>
      <c r="N331" s="19" t="n">
        <f aca="false">IFERROR(INDEX('Injectable Value'!$C$28:$C$178,MATCH(B331,'Injectable Value'!$A$28:$A$178,0)),"")</f>
        <v>11022.87</v>
      </c>
      <c r="O331" s="19" t="n">
        <f aca="false">IFERROR(ROUND(INDEX('Injectable Value'!$AA$28:$AA$178,MATCH(B331,'Injectable Value'!$A$28:$A$178,0)),1),"")</f>
        <v>4492.8</v>
      </c>
      <c r="P331" s="16" t="str">
        <f aca="false">IFERROR(INDEX('Route of Administration'!$C$5:$C$155,MATCH(B331,'Route of Administration'!$A$5:$A$155,0)),"")</f>
        <v>IM</v>
      </c>
      <c r="Q331" s="15" t="str">
        <f aca="false">IFERROR(INDEX('Route of Administration'!$D$5:$D$155,MATCH(B331,'Route of Administration'!$A$5:$A$155,0)),"")</f>
        <v>Yes</v>
      </c>
      <c r="R331" s="16" t="s">
        <v>349</v>
      </c>
      <c r="S331" s="17" t="s">
        <v>1436</v>
      </c>
      <c r="T331" s="16" t="s">
        <v>283</v>
      </c>
      <c r="U331" s="17" t="str">
        <f aca="false">""&amp;IF(AE331=0,"No price found","")&amp;IF(AND(AE331&gt;0,AF331=0,AG331=0),"Low price comes from another market – confirm with the company","")</f>
        <v/>
      </c>
      <c r="V331" s="17" t="s">
        <v>772</v>
      </c>
      <c r="W331" s="15" t="n">
        <v>2</v>
      </c>
      <c r="X331" s="17" t="s">
        <v>772</v>
      </c>
      <c r="Y331" s="17" t="s">
        <v>772</v>
      </c>
      <c r="Z331" s="17" t="s">
        <v>321</v>
      </c>
      <c r="AA331" s="16" t="s">
        <v>244</v>
      </c>
      <c r="AB331" s="78" t="s">
        <v>1437</v>
      </c>
      <c r="AC331" s="20" t="n">
        <f aca="false">IF(AE331&gt;0,ROUND(AVERAGEIFS('Shortlisted Drugs X Company (7)'!$N$3:$N$698,'Shortlisted Drugs X Company (7)'!$C$3:$C$698,$B331,'Shortlisted Drugs X Company (7)'!$E$3:$E$698,$AA331,'Shortlisted Drugs X Company (7)'!$N$3:$N$698,"&gt;=0"),2),"")</f>
        <v>8.98</v>
      </c>
      <c r="AD331" s="79" t="str">
        <f aca="false">B331&amp;"|"&amp;AA331</f>
        <v>Haloperidol|Wockhardt</v>
      </c>
      <c r="AE331" s="22" t="n">
        <f aca="false">COUNTIFS('Shortlisted Drugs X Company (7)'!$C$3:$C$698,$B331,'Shortlisted Drugs X Company (7)'!$E$3:$E$698,$AA331,'Shortlisted Drugs X Company (7)'!$N$3:$N$698,"&gt;=0")</f>
        <v>1</v>
      </c>
      <c r="AF331" s="22" t="n">
        <f aca="false">COUNTIFS('Shortlisted Drugs X Company (7)'!$C$3:$C$698,$B331,'Shortlisted Drugs X Company (7)'!$E$3:$E$698,$AA331,'Shortlisted Drugs X Company (7)'!$N$3:$N$698,"&gt;5")</f>
        <v>1</v>
      </c>
      <c r="AG331" s="22" t="n">
        <f aca="false">COUNTIFS('Shortlisted Drugs X Company (7)'!$C$3:$C$698,$B331,'Shortlisted Drugs X Company (7)'!$E$3:$E$698,$AA331,'Shortlisted Drugs X Company (7)'!$P$3:$P$698,"Exact")+COUNTIFS('Shortlisted Drugs X Company (7)'!$C$3:$C$698,$B331,'Shortlisted Drugs X Company (7)'!$E$3:$E$698,$AA331,'Shortlisted Drugs X Company (7)'!$P$3:$P$698,"Same-market proxy")</f>
        <v>1</v>
      </c>
      <c r="AH331" s="22" t="n">
        <f aca="false">INDEX($G$7:$G$25,MATCH(A331,$A$7:$A$25,0))</f>
        <v>14</v>
      </c>
      <c r="AI331" s="79" t="n">
        <f aca="false">IF(OR(Q331="No",LEFT(H331,7)="IV only"),"",AH331*1000+IF(F331="",900+COUNTIFS($A$29:A331,A331,$H$29:H331,"Price*"),F331))</f>
        <v>14004</v>
      </c>
      <c r="AJ331" s="79" t="n">
        <f aca="false">IF(H331&lt;&gt;"","",(4-VALUE(RIGHT(E331,1)))*10^7+N(O331))</f>
        <v>20004492.8</v>
      </c>
      <c r="AK331" s="20" t="n">
        <f aca="false">IF(AND(H331="",ISNUMBER(I331)),I331,"")</f>
        <v>8.98</v>
      </c>
      <c r="AL331" s="21" t="n">
        <f aca="false">IF(H331="",M331,"")</f>
        <v>273</v>
      </c>
    </row>
    <row r="332" customFormat="false" ht="28.35" hidden="false" customHeight="false" outlineLevel="0" collapsed="false">
      <c r="A332" s="16" t="s">
        <v>244</v>
      </c>
      <c r="B332" s="16" t="s">
        <v>1438</v>
      </c>
      <c r="C332" s="17" t="s">
        <v>1439</v>
      </c>
      <c r="D332" s="17" t="s">
        <v>1440</v>
      </c>
      <c r="E332" s="15" t="str">
        <f aca="false">IF(H332&lt;&gt;"",IF(LEFT(H332,5)="Price","Excluded – price ≤ USD 5","Excluded – IV only"),IF(ISNUMBER(I332),IF(AND(I332&gt;=$C$3,M332&gt;=$E$3),"Priority 1",IF(OR(I332&gt;=$C$3,M332&gt;=$E$3),"Priority 2","Priority 3")),IF(M332&gt;=$E$3,"Priority 2","Priority 3")))</f>
        <v>Priority 2</v>
      </c>
      <c r="F332" s="15" t="n">
        <f aca="false">IF(H332&lt;&gt;"","",COUNTIFS($A$29:$A$361,A332,$H$29:$H$361,"",$AJ$29:$AJ$361,"&gt;"&amp;AJ332)+COUNTIFS($A$29:A332,A332,$H$29:H332,"",$AJ$29:AJ332,AJ332))</f>
        <v>5</v>
      </c>
      <c r="G332" s="17" t="str">
        <f aca="false">IF(H332&lt;&gt;"","",IF(ISNUMBER(I332),IF(I332&gt;=$C$3,"High price","Lower price"),"No price")&amp;", "&amp;IF(M332&gt;=$E$3,"high volume","lower volume"))</f>
        <v>High price, lower volume</v>
      </c>
      <c r="H332" s="17" t="str">
        <f aca="false">IF(Q332="No","IV only (no ID, IM or SC route)",IF(AND(AE332&gt;0,AF332=0),"Price ≤ USD 5",""))</f>
        <v/>
      </c>
      <c r="I332" s="18" t="n">
        <f aca="false">IF(AF332&gt;0,ROUND(AVERAGEIFS('Shortlisted Drugs X Company (7)'!$N$3:$N$698,'Shortlisted Drugs X Company (7)'!$C$3:$C$698,$B332,'Shortlisted Drugs X Company (7)'!$E$3:$E$698,$AA332,'Shortlisted Drugs X Company (7)'!$N$3:$N$698,"&gt;5"),2),"")</f>
        <v>59.12</v>
      </c>
      <c r="J332" s="17" t="str">
        <f aca="false">IF(COUNTIFS('Shortlisted Drugs X Company (7)'!$C$3:$C$698,$B332,'Shortlisted Drugs X Company (7)'!$E$3:$E$698,$AA332,'Shortlisted Drugs X Company (7)'!$P$3:$P$698,"Exact")&gt;0,"Exact",IF(COUNTIFS('Shortlisted Drugs X Company (7)'!$C$3:$C$698,$B332,'Shortlisted Drugs X Company (7)'!$E$3:$E$698,$AA332,'Shortlisted Drugs X Company (7)'!$P$3:$P$698,"Same-market proxy")&gt;0,"Same-market proxy",IF(COUNTIFS('Shortlisted Drugs X Company (7)'!$C$3:$C$698,$B332,'Shortlisted Drugs X Company (7)'!$E$3:$E$698,$AA332,'Shortlisted Drugs X Company (7)'!$P$3:$P$698,"Cross-market proxy")&gt;0,"Cross-market proxy",IF(COUNTIFS('Shortlisted Drugs X Company (7)'!$C$3:$C$698,$B332,'Shortlisted Drugs X Company (7)'!$E$3:$E$698,$AA332,'Shortlisted Drugs X Company (7)'!$P$3:$P$698,"Source not found")&gt;0,"Source not found","No price found"))))</f>
        <v>Cross-market proxy</v>
      </c>
      <c r="K332" s="19" t="n">
        <f aca="false">IFERROR(INDEX('Injectable Value'!$AB$28:$AB$178,MATCH(B332,'Injectable Value'!$A$28:$A$178,0)),"")</f>
        <v>106</v>
      </c>
      <c r="L332" s="77" t="n">
        <f aca="false">IFERROR(INDEX('Injectable Value'!$Z$28:$Z$178,MATCH(B332,'Injectable Value'!$A$28:$A$178,0)),"")</f>
        <v>1</v>
      </c>
      <c r="M332" s="19" t="n">
        <f aca="false">IFERROR(INDEX('Injectable Value'!$AC$28:$AC$178,MATCH(B332,'Injectable Value'!$A$28:$A$178,0)),"")</f>
        <v>106</v>
      </c>
      <c r="N332" s="19" t="n">
        <f aca="false">IFERROR(INDEX('Injectable Value'!$C$28:$C$178,MATCH(B332,'Injectable Value'!$A$28:$A$178,0)),"")</f>
        <v>175.06</v>
      </c>
      <c r="O332" s="19" t="n">
        <f aca="false">IFERROR(ROUND(INDEX('Injectable Value'!$AA$28:$AA$178,MATCH(B332,'Injectable Value'!$A$28:$A$178,0)),1),"")</f>
        <v>175.1</v>
      </c>
      <c r="P332" s="16" t="str">
        <f aca="false">IFERROR(INDEX('Route of Administration'!$C$5:$C$155,MATCH(B332,'Route of Administration'!$A$5:$A$155,0)),"")</f>
        <v>SC</v>
      </c>
      <c r="Q332" s="15" t="str">
        <f aca="false">IFERROR(INDEX('Route of Administration'!$D$5:$D$155,MATCH(B332,'Route of Administration'!$A$5:$A$155,0)),"")</f>
        <v>Yes</v>
      </c>
      <c r="R332" s="16" t="s">
        <v>349</v>
      </c>
      <c r="S332" s="17" t="s">
        <v>1441</v>
      </c>
      <c r="T332" s="16" t="s">
        <v>333</v>
      </c>
      <c r="U332" s="17" t="str">
        <f aca="false">"Reconstitution"&amp;IF(AE332=0,"; No price found","")&amp;IF(AND(AE332&gt;0,AF332=0,AG332=0),"; Low price comes from another market – confirm with the company","")</f>
        <v>Reconstitution</v>
      </c>
      <c r="V332" s="17" t="s">
        <v>912</v>
      </c>
      <c r="W332" s="15" t="n">
        <v>3</v>
      </c>
      <c r="X332" s="17" t="s">
        <v>1442</v>
      </c>
      <c r="Y332" s="17" t="s">
        <v>1442</v>
      </c>
      <c r="Z332" s="17" t="s">
        <v>321</v>
      </c>
      <c r="AA332" s="16" t="s">
        <v>244</v>
      </c>
      <c r="AB332" s="78" t="s">
        <v>1443</v>
      </c>
      <c r="AC332" s="20" t="n">
        <f aca="false">IF(AE332&gt;0,ROUND(AVERAGEIFS('Shortlisted Drugs X Company (7)'!$N$3:$N$698,'Shortlisted Drugs X Company (7)'!$C$3:$C$698,$B332,'Shortlisted Drugs X Company (7)'!$E$3:$E$698,$AA332,'Shortlisted Drugs X Company (7)'!$N$3:$N$698,"&gt;=0"),2),"")</f>
        <v>59.12</v>
      </c>
      <c r="AD332" s="79" t="str">
        <f aca="false">B332&amp;"|"&amp;AA332</f>
        <v>Hyaluronidase|Wockhardt</v>
      </c>
      <c r="AE332" s="22" t="n">
        <f aca="false">COUNTIFS('Shortlisted Drugs X Company (7)'!$C$3:$C$698,$B332,'Shortlisted Drugs X Company (7)'!$E$3:$E$698,$AA332,'Shortlisted Drugs X Company (7)'!$N$3:$N$698,"&gt;=0")</f>
        <v>1</v>
      </c>
      <c r="AF332" s="22" t="n">
        <f aca="false">COUNTIFS('Shortlisted Drugs X Company (7)'!$C$3:$C$698,$B332,'Shortlisted Drugs X Company (7)'!$E$3:$E$698,$AA332,'Shortlisted Drugs X Company (7)'!$N$3:$N$698,"&gt;5")</f>
        <v>1</v>
      </c>
      <c r="AG332" s="22" t="n">
        <f aca="false">COUNTIFS('Shortlisted Drugs X Company (7)'!$C$3:$C$698,$B332,'Shortlisted Drugs X Company (7)'!$E$3:$E$698,$AA332,'Shortlisted Drugs X Company (7)'!$P$3:$P$698,"Exact")+COUNTIFS('Shortlisted Drugs X Company (7)'!$C$3:$C$698,$B332,'Shortlisted Drugs X Company (7)'!$E$3:$E$698,$AA332,'Shortlisted Drugs X Company (7)'!$P$3:$P$698,"Same-market proxy")</f>
        <v>0</v>
      </c>
      <c r="AH332" s="22" t="n">
        <f aca="false">INDEX($G$7:$G$25,MATCH(A332,$A$7:$A$25,0))</f>
        <v>14</v>
      </c>
      <c r="AI332" s="79" t="n">
        <f aca="false">IF(OR(Q332="No",LEFT(H332,7)="IV only"),"",AH332*1000+IF(F332="",900+COUNTIFS($A$29:A332,A332,$H$29:H332,"Price*"),F332))</f>
        <v>14005</v>
      </c>
      <c r="AJ332" s="79" t="n">
        <f aca="false">IF(H332&lt;&gt;"","",(4-VALUE(RIGHT(E332,1)))*10^7+N(O332))</f>
        <v>20000175.1</v>
      </c>
      <c r="AK332" s="20" t="n">
        <f aca="false">IF(AND(H332="",ISNUMBER(I332)),I332,"")</f>
        <v>59.12</v>
      </c>
      <c r="AL332" s="21" t="n">
        <f aca="false">IF(H332="",M332,"")</f>
        <v>106</v>
      </c>
    </row>
    <row r="333" customFormat="false" ht="28.35" hidden="false" customHeight="false" outlineLevel="0" collapsed="false">
      <c r="A333" s="16" t="s">
        <v>244</v>
      </c>
      <c r="B333" s="16" t="s">
        <v>1444</v>
      </c>
      <c r="C333" s="17" t="s">
        <v>1444</v>
      </c>
      <c r="D333" s="17" t="s">
        <v>1445</v>
      </c>
      <c r="E333" s="15" t="str">
        <f aca="false">IF(H333&lt;&gt;"",IF(LEFT(H333,5)="Price","Excluded – price ≤ USD 5","Excluded – IV only"),IF(ISNUMBER(I333),IF(AND(I333&gt;=$C$3,M333&gt;=$E$3),"Priority 1",IF(OR(I333&gt;=$C$3,M333&gt;=$E$3),"Priority 2","Priority 3")),IF(M333&gt;=$E$3,"Priority 2","Priority 3")))</f>
        <v>Priority 2</v>
      </c>
      <c r="F333" s="15" t="n">
        <f aca="false">IF(H333&lt;&gt;"","",COUNTIFS($A$29:$A$361,A333,$H$29:$H$361,"",$AJ$29:$AJ$361,"&gt;"&amp;AJ333)+COUNTIFS($A$29:A333,A333,$H$29:H333,"",$AJ$29:AJ333,AJ333))</f>
        <v>6</v>
      </c>
      <c r="G333" s="17" t="str">
        <f aca="false">IF(H333&lt;&gt;"","",IF(ISNUMBER(I333),IF(I333&gt;=$C$3,"High price","Lower price"),"No price")&amp;", "&amp;IF(M333&gt;=$E$3,"high volume","lower volume"))</f>
        <v>High price, lower volume</v>
      </c>
      <c r="H333" s="17" t="str">
        <f aca="false">IF(Q333="No","IV only (no ID, IM or SC route)",IF(AND(AE333&gt;0,AF333=0),"Price ≤ USD 5",""))</f>
        <v/>
      </c>
      <c r="I333" s="18" t="n">
        <f aca="false">IF(AF333&gt;0,ROUND(AVERAGEIFS('Shortlisted Drugs X Company (7)'!$N$3:$N$698,'Shortlisted Drugs X Company (7)'!$C$3:$C$698,$B333,'Shortlisted Drugs X Company (7)'!$E$3:$E$698,$AA333,'Shortlisted Drugs X Company (7)'!$N$3:$N$698,"&gt;5"),2),"")</f>
        <v>29.63</v>
      </c>
      <c r="J333" s="17" t="str">
        <f aca="false">IF(COUNTIFS('Shortlisted Drugs X Company (7)'!$C$3:$C$698,$B333,'Shortlisted Drugs X Company (7)'!$E$3:$E$698,$AA333,'Shortlisted Drugs X Company (7)'!$P$3:$P$698,"Exact")&gt;0,"Exact",IF(COUNTIFS('Shortlisted Drugs X Company (7)'!$C$3:$C$698,$B333,'Shortlisted Drugs X Company (7)'!$E$3:$E$698,$AA333,'Shortlisted Drugs X Company (7)'!$P$3:$P$698,"Same-market proxy")&gt;0,"Same-market proxy",IF(COUNTIFS('Shortlisted Drugs X Company (7)'!$C$3:$C$698,$B333,'Shortlisted Drugs X Company (7)'!$E$3:$E$698,$AA333,'Shortlisted Drugs X Company (7)'!$P$3:$P$698,"Cross-market proxy")&gt;0,"Cross-market proxy",IF(COUNTIFS('Shortlisted Drugs X Company (7)'!$C$3:$C$698,$B333,'Shortlisted Drugs X Company (7)'!$E$3:$E$698,$AA333,'Shortlisted Drugs X Company (7)'!$P$3:$P$698,"Source not found")&gt;0,"Source not found","No price found"))))</f>
        <v>Same-market proxy</v>
      </c>
      <c r="K333" s="19" t="n">
        <f aca="false">IFERROR(INDEX('Injectable Value'!$AB$28:$AB$178,MATCH(B333,'Injectable Value'!$A$28:$A$178,0)),"")</f>
        <v>77</v>
      </c>
      <c r="L333" s="77" t="n">
        <f aca="false">IFERROR(INDEX('Injectable Value'!$Z$28:$Z$178,MATCH(B333,'Injectable Value'!$A$28:$A$178,0)),"")</f>
        <v>0.292735042735043</v>
      </c>
      <c r="M333" s="19" t="n">
        <f aca="false">IFERROR(INDEX('Injectable Value'!$AC$28:$AC$178,MATCH(B333,'Injectable Value'!$A$28:$A$178,0)),"")</f>
        <v>23</v>
      </c>
      <c r="N333" s="19" t="n">
        <f aca="false">IFERROR(INDEX('Injectable Value'!$C$28:$C$178,MATCH(B333,'Injectable Value'!$A$28:$A$178,0)),"")</f>
        <v>64.81</v>
      </c>
      <c r="O333" s="19" t="n">
        <f aca="false">IFERROR(ROUND(INDEX('Injectable Value'!$AA$28:$AA$178,MATCH(B333,'Injectable Value'!$A$28:$A$178,0)),1),"")</f>
        <v>19</v>
      </c>
      <c r="P333" s="16" t="str">
        <f aca="false">IFERROR(INDEX('Route of Administration'!$C$5:$C$155,MATCH(B333,'Route of Administration'!$A$5:$A$155,0)),"")</f>
        <v>SC, IM (IV if required)</v>
      </c>
      <c r="Q333" s="15" t="str">
        <f aca="false">IFERROR(INDEX('Route of Administration'!$D$5:$D$155,MATCH(B333,'Route of Administration'!$A$5:$A$155,0)),"")</f>
        <v>Yes</v>
      </c>
      <c r="R333" s="16" t="s">
        <v>349</v>
      </c>
      <c r="S333" s="17" t="s">
        <v>1446</v>
      </c>
      <c r="T333" s="16" t="s">
        <v>283</v>
      </c>
      <c r="U333" s="17" t="str">
        <f aca="false">""&amp;IF(AE333=0,"No price found","")&amp;IF(AND(AE333&gt;0,AF333=0,AG333=0),"Low price comes from another market – confirm with the company","")</f>
        <v/>
      </c>
      <c r="V333" s="17" t="s">
        <v>772</v>
      </c>
      <c r="W333" s="15" t="n">
        <v>2</v>
      </c>
      <c r="X333" s="17" t="s">
        <v>772</v>
      </c>
      <c r="Y333" s="17" t="s">
        <v>772</v>
      </c>
      <c r="Z333" s="17" t="s">
        <v>321</v>
      </c>
      <c r="AA333" s="16" t="s">
        <v>244</v>
      </c>
      <c r="AB333" s="78" t="s">
        <v>1447</v>
      </c>
      <c r="AC333" s="20" t="n">
        <f aca="false">IF(AE333&gt;0,ROUND(AVERAGEIFS('Shortlisted Drugs X Company (7)'!$N$3:$N$698,'Shortlisted Drugs X Company (7)'!$C$3:$C$698,$B333,'Shortlisted Drugs X Company (7)'!$E$3:$E$698,$AA333,'Shortlisted Drugs X Company (7)'!$N$3:$N$698,"&gt;=0"),2),"")</f>
        <v>29.63</v>
      </c>
      <c r="AD333" s="79" t="str">
        <f aca="false">B333&amp;"|"&amp;AA333</f>
        <v>Hyoscine Hydrobromide|Wockhardt</v>
      </c>
      <c r="AE333" s="22" t="n">
        <f aca="false">COUNTIFS('Shortlisted Drugs X Company (7)'!$C$3:$C$698,$B333,'Shortlisted Drugs X Company (7)'!$E$3:$E$698,$AA333,'Shortlisted Drugs X Company (7)'!$N$3:$N$698,"&gt;=0")</f>
        <v>1</v>
      </c>
      <c r="AF333" s="22" t="n">
        <f aca="false">COUNTIFS('Shortlisted Drugs X Company (7)'!$C$3:$C$698,$B333,'Shortlisted Drugs X Company (7)'!$E$3:$E$698,$AA333,'Shortlisted Drugs X Company (7)'!$N$3:$N$698,"&gt;5")</f>
        <v>1</v>
      </c>
      <c r="AG333" s="22" t="n">
        <f aca="false">COUNTIFS('Shortlisted Drugs X Company (7)'!$C$3:$C$698,$B333,'Shortlisted Drugs X Company (7)'!$E$3:$E$698,$AA333,'Shortlisted Drugs X Company (7)'!$P$3:$P$698,"Exact")+COUNTIFS('Shortlisted Drugs X Company (7)'!$C$3:$C$698,$B333,'Shortlisted Drugs X Company (7)'!$E$3:$E$698,$AA333,'Shortlisted Drugs X Company (7)'!$P$3:$P$698,"Same-market proxy")</f>
        <v>1</v>
      </c>
      <c r="AH333" s="22" t="n">
        <f aca="false">INDEX($G$7:$G$25,MATCH(A333,$A$7:$A$25,0))</f>
        <v>14</v>
      </c>
      <c r="AI333" s="79" t="n">
        <f aca="false">IF(OR(Q333="No",LEFT(H333,7)="IV only"),"",AH333*1000+IF(F333="",900+COUNTIFS($A$29:A333,A333,$H$29:H333,"Price*"),F333))</f>
        <v>14006</v>
      </c>
      <c r="AJ333" s="79" t="n">
        <f aca="false">IF(H333&lt;&gt;"","",(4-VALUE(RIGHT(E333,1)))*10^7+N(O333))</f>
        <v>20000019</v>
      </c>
      <c r="AK333" s="20" t="n">
        <f aca="false">IF(AND(H333="",ISNUMBER(I333)),I333,"")</f>
        <v>29.63</v>
      </c>
      <c r="AL333" s="21" t="n">
        <f aca="false">IF(H333="",M333,"")</f>
        <v>23</v>
      </c>
    </row>
    <row r="334" customFormat="false" ht="28.35" hidden="false" customHeight="false" outlineLevel="0" collapsed="false">
      <c r="A334" s="16" t="s">
        <v>244</v>
      </c>
      <c r="B334" s="16" t="s">
        <v>1448</v>
      </c>
      <c r="C334" s="17" t="s">
        <v>1449</v>
      </c>
      <c r="D334" s="17" t="s">
        <v>657</v>
      </c>
      <c r="E334" s="15" t="str">
        <f aca="false">IF(H334&lt;&gt;"",IF(LEFT(H334,5)="Price","Excluded – price ≤ USD 5","Excluded – IV only"),IF(ISNUMBER(I334),IF(AND(I334&gt;=$C$3,M334&gt;=$E$3),"Priority 1",IF(OR(I334&gt;=$C$3,M334&gt;=$E$3),"Priority 2","Priority 3")),IF(M334&gt;=$E$3,"Priority 2","Priority 3")))</f>
        <v>Excluded – IV only</v>
      </c>
      <c r="F334" s="15" t="str">
        <f aca="false">IF(H334&lt;&gt;"","",COUNTIFS($A$29:$A$361,A334,$H$29:$H$361,"",$AJ$29:$AJ$361,"&gt;"&amp;AJ334)+COUNTIFS($A$29:A334,A334,$H$29:H334,"",$AJ$29:AJ334,AJ334))</f>
        <v/>
      </c>
      <c r="G334" s="17" t="str">
        <f aca="false">IF(H334&lt;&gt;"","",IF(ISNUMBER(I334),IF(I334&gt;=$C$3,"High price","Lower price"),"No price")&amp;", "&amp;IF(M334&gt;=$E$3,"high volume","lower volume"))</f>
        <v/>
      </c>
      <c r="H334" s="17" t="str">
        <f aca="false">IF(Q334="No","IV only (no ID, IM or SC route)",IF(AND(AE334&gt;0,AF334=0),"Price ≤ USD 5",""))</f>
        <v>IV only (no ID, IM or SC route)</v>
      </c>
      <c r="I334" s="18" t="n">
        <f aca="false">IF(AF334&gt;0,ROUND(AVERAGEIFS('Shortlisted Drugs X Company (7)'!$N$3:$N$698,'Shortlisted Drugs X Company (7)'!$C$3:$C$698,$B334,'Shortlisted Drugs X Company (7)'!$E$3:$E$698,$AA334,'Shortlisted Drugs X Company (7)'!$N$3:$N$698,"&gt;5"),2),"")</f>
        <v>13.9</v>
      </c>
      <c r="J334" s="17" t="str">
        <f aca="false">IF(COUNTIFS('Shortlisted Drugs X Company (7)'!$C$3:$C$698,$B334,'Shortlisted Drugs X Company (7)'!$E$3:$E$698,$AA334,'Shortlisted Drugs X Company (7)'!$P$3:$P$698,"Exact")&gt;0,"Exact",IF(COUNTIFS('Shortlisted Drugs X Company (7)'!$C$3:$C$698,$B334,'Shortlisted Drugs X Company (7)'!$E$3:$E$698,$AA334,'Shortlisted Drugs X Company (7)'!$P$3:$P$698,"Same-market proxy")&gt;0,"Same-market proxy",IF(COUNTIFS('Shortlisted Drugs X Company (7)'!$C$3:$C$698,$B334,'Shortlisted Drugs X Company (7)'!$E$3:$E$698,$AA334,'Shortlisted Drugs X Company (7)'!$P$3:$P$698,"Cross-market proxy")&gt;0,"Cross-market proxy",IF(COUNTIFS('Shortlisted Drugs X Company (7)'!$C$3:$C$698,$B334,'Shortlisted Drugs X Company (7)'!$E$3:$E$698,$AA334,'Shortlisted Drugs X Company (7)'!$P$3:$P$698,"Source not found")&gt;0,"Source not found","No price found"))))</f>
        <v>Cross-market proxy</v>
      </c>
      <c r="K334" s="19" t="n">
        <f aca="false">IFERROR(INDEX('Injectable Value'!$AB$28:$AB$178,MATCH(B334,'Injectable Value'!$A$28:$A$178,0)),"")</f>
        <v>9</v>
      </c>
      <c r="L334" s="77" t="n">
        <f aca="false">IFERROR(INDEX('Injectable Value'!$Z$28:$Z$178,MATCH(B334,'Injectable Value'!$A$28:$A$178,0)),"")</f>
        <v>1</v>
      </c>
      <c r="M334" s="19" t="n">
        <f aca="false">IFERROR(INDEX('Injectable Value'!$AC$28:$AC$178,MATCH(B334,'Injectable Value'!$A$28:$A$178,0)),"")</f>
        <v>9</v>
      </c>
      <c r="N334" s="19" t="n">
        <f aca="false">IFERROR(INDEX('Injectable Value'!$C$28:$C$178,MATCH(B334,'Injectable Value'!$A$28:$A$178,0)),"")</f>
        <v>1894.78</v>
      </c>
      <c r="O334" s="19" t="n">
        <f aca="false">IFERROR(ROUND(INDEX('Injectable Value'!$AA$28:$AA$178,MATCH(B334,'Injectable Value'!$A$28:$A$178,0)),1),"")</f>
        <v>1894.8</v>
      </c>
      <c r="P334" s="16" t="str">
        <f aca="false">IFERROR(INDEX('Route of Administration'!$C$5:$C$155,MATCH(B334,'Route of Administration'!$A$5:$A$155,0)),"")</f>
        <v>IV</v>
      </c>
      <c r="Q334" s="15" t="str">
        <f aca="false">IFERROR(INDEX('Route of Administration'!$D$5:$D$155,MATCH(B334,'Route of Administration'!$A$5:$A$155,0)),"")</f>
        <v>No</v>
      </c>
      <c r="R334" s="16" t="s">
        <v>349</v>
      </c>
      <c r="S334" s="17" t="s">
        <v>1450</v>
      </c>
      <c r="T334" s="16" t="s">
        <v>283</v>
      </c>
      <c r="U334" s="17" t="str">
        <f aca="false">""&amp;IF(AE334=0,"No price found","")&amp;IF(AND(AE334&gt;0,AF334=0,AG334=0),"Low price comes from another market – confirm with the company","")</f>
        <v/>
      </c>
      <c r="V334" s="17" t="s">
        <v>912</v>
      </c>
      <c r="W334" s="15" t="n">
        <v>2</v>
      </c>
      <c r="X334" s="17" t="s">
        <v>1259</v>
      </c>
      <c r="Y334" s="17" t="s">
        <v>1259</v>
      </c>
      <c r="Z334" s="17" t="s">
        <v>321</v>
      </c>
      <c r="AA334" s="16" t="s">
        <v>244</v>
      </c>
      <c r="AB334" s="78" t="s">
        <v>1451</v>
      </c>
      <c r="AC334" s="20" t="n">
        <f aca="false">IF(AE334&gt;0,ROUND(AVERAGEIFS('Shortlisted Drugs X Company (7)'!$N$3:$N$698,'Shortlisted Drugs X Company (7)'!$C$3:$C$698,$B334,'Shortlisted Drugs X Company (7)'!$E$3:$E$698,$AA334,'Shortlisted Drugs X Company (7)'!$N$3:$N$698,"&gt;=0"),2),"")</f>
        <v>13.9</v>
      </c>
      <c r="AD334" s="79" t="str">
        <f aca="false">B334&amp;"|"&amp;AA334</f>
        <v>Metaraminol|Wockhardt</v>
      </c>
      <c r="AE334" s="22" t="n">
        <f aca="false">COUNTIFS('Shortlisted Drugs X Company (7)'!$C$3:$C$698,$B334,'Shortlisted Drugs X Company (7)'!$E$3:$E$698,$AA334,'Shortlisted Drugs X Company (7)'!$N$3:$N$698,"&gt;=0")</f>
        <v>1</v>
      </c>
      <c r="AF334" s="22" t="n">
        <f aca="false">COUNTIFS('Shortlisted Drugs X Company (7)'!$C$3:$C$698,$B334,'Shortlisted Drugs X Company (7)'!$E$3:$E$698,$AA334,'Shortlisted Drugs X Company (7)'!$N$3:$N$698,"&gt;5")</f>
        <v>1</v>
      </c>
      <c r="AG334" s="22" t="n">
        <f aca="false">COUNTIFS('Shortlisted Drugs X Company (7)'!$C$3:$C$698,$B334,'Shortlisted Drugs X Company (7)'!$E$3:$E$698,$AA334,'Shortlisted Drugs X Company (7)'!$P$3:$P$698,"Exact")+COUNTIFS('Shortlisted Drugs X Company (7)'!$C$3:$C$698,$B334,'Shortlisted Drugs X Company (7)'!$E$3:$E$698,$AA334,'Shortlisted Drugs X Company (7)'!$P$3:$P$698,"Same-market proxy")</f>
        <v>0</v>
      </c>
      <c r="AH334" s="22" t="n">
        <f aca="false">INDEX($G$7:$G$25,MATCH(A334,$A$7:$A$25,0))</f>
        <v>14</v>
      </c>
      <c r="AI334" s="79" t="str">
        <f aca="false">IF(OR(Q334="No",LEFT(H334,7)="IV only"),"",AH334*1000+IF(F334="",900+COUNTIFS($A$29:A334,A334,$H$29:H334,"Price*"),F334))</f>
        <v/>
      </c>
      <c r="AJ334" s="79" t="str">
        <f aca="false">IF(H334&lt;&gt;"","",(4-VALUE(RIGHT(E334,1)))*10^7+N(O334))</f>
        <v/>
      </c>
      <c r="AK334" s="79" t="str">
        <f aca="false">IF(AND(H334="",ISNUMBER(I334)),I334,"")</f>
        <v/>
      </c>
      <c r="AL334" s="79" t="str">
        <f aca="false">IF(H334="",M334,"")</f>
        <v/>
      </c>
    </row>
    <row r="335" customFormat="false" ht="28.35" hidden="false" customHeight="false" outlineLevel="0" collapsed="false">
      <c r="A335" s="16" t="s">
        <v>244</v>
      </c>
      <c r="B335" s="16" t="s">
        <v>819</v>
      </c>
      <c r="C335" s="17" t="s">
        <v>1452</v>
      </c>
      <c r="D335" s="17" t="s">
        <v>821</v>
      </c>
      <c r="E335" s="15" t="str">
        <f aca="false">IF(H335&lt;&gt;"",IF(LEFT(H335,5)="Price","Excluded – price ≤ USD 5","Excluded – IV only"),IF(ISNUMBER(I335),IF(AND(I335&gt;=$C$3,M335&gt;=$E$3),"Priority 1",IF(OR(I335&gt;=$C$3,M335&gt;=$E$3),"Priority 2","Priority 3")),IF(M335&gt;=$E$3,"Priority 2","Priority 3")))</f>
        <v>Excluded – IV only</v>
      </c>
      <c r="F335" s="15" t="str">
        <f aca="false">IF(H335&lt;&gt;"","",COUNTIFS($A$29:$A$361,A335,$H$29:$H$361,"",$AJ$29:$AJ$361,"&gt;"&amp;AJ335)+COUNTIFS($A$29:A335,A335,$H$29:H335,"",$AJ$29:AJ335,AJ335))</f>
        <v/>
      </c>
      <c r="G335" s="17" t="str">
        <f aca="false">IF(H335&lt;&gt;"","",IF(ISNUMBER(I335),IF(I335&gt;=$C$3,"High price","Lower price"),"No price")&amp;", "&amp;IF(M335&gt;=$E$3,"high volume","lower volume"))</f>
        <v/>
      </c>
      <c r="H335" s="17" t="str">
        <f aca="false">IF(Q335="No","IV only (no ID, IM or SC route)",IF(AND(AE335&gt;0,AF335=0),"Price ≤ USD 5",""))</f>
        <v>IV only (no ID, IM or SC route)</v>
      </c>
      <c r="I335" s="18" t="n">
        <f aca="false">IF(AF335&gt;0,ROUND(AVERAGEIFS('Shortlisted Drugs X Company (7)'!$N$3:$N$698,'Shortlisted Drugs X Company (7)'!$C$3:$C$698,$B335,'Shortlisted Drugs X Company (7)'!$E$3:$E$698,$AA335,'Shortlisted Drugs X Company (7)'!$N$3:$N$698,"&gt;5"),2),"")</f>
        <v>23.71</v>
      </c>
      <c r="J335" s="17" t="str">
        <f aca="false">IF(COUNTIFS('Shortlisted Drugs X Company (7)'!$C$3:$C$698,$B335,'Shortlisted Drugs X Company (7)'!$E$3:$E$698,$AA335,'Shortlisted Drugs X Company (7)'!$P$3:$P$698,"Exact")&gt;0,"Exact",IF(COUNTIFS('Shortlisted Drugs X Company (7)'!$C$3:$C$698,$B335,'Shortlisted Drugs X Company (7)'!$E$3:$E$698,$AA335,'Shortlisted Drugs X Company (7)'!$P$3:$P$698,"Same-market proxy")&gt;0,"Same-market proxy",IF(COUNTIFS('Shortlisted Drugs X Company (7)'!$C$3:$C$698,$B335,'Shortlisted Drugs X Company (7)'!$E$3:$E$698,$AA335,'Shortlisted Drugs X Company (7)'!$P$3:$P$698,"Cross-market proxy")&gt;0,"Cross-market proxy",IF(COUNTIFS('Shortlisted Drugs X Company (7)'!$C$3:$C$698,$B335,'Shortlisted Drugs X Company (7)'!$E$3:$E$698,$AA335,'Shortlisted Drugs X Company (7)'!$P$3:$P$698,"Source not found")&gt;0,"Source not found","No price found"))))</f>
        <v>Exact</v>
      </c>
      <c r="K335" s="19" t="n">
        <f aca="false">IFERROR(INDEX('Injectable Value'!$AB$28:$AB$178,MATCH(B335,'Injectable Value'!$A$28:$A$178,0)),"")</f>
        <v>133</v>
      </c>
      <c r="L335" s="77" t="n">
        <f aca="false">IFERROR(INDEX('Injectable Value'!$Z$28:$Z$178,MATCH(B335,'Injectable Value'!$A$28:$A$178,0)),"")</f>
        <v>1</v>
      </c>
      <c r="M335" s="19" t="n">
        <f aca="false">IFERROR(INDEX('Injectable Value'!$AC$28:$AC$178,MATCH(B335,'Injectable Value'!$A$28:$A$178,0)),"")</f>
        <v>133</v>
      </c>
      <c r="N335" s="19" t="n">
        <f aca="false">IFERROR(INDEX('Injectable Value'!$C$28:$C$178,MATCH(B335,'Injectable Value'!$A$28:$A$178,0)),"")</f>
        <v>4036.55</v>
      </c>
      <c r="O335" s="19" t="n">
        <f aca="false">IFERROR(ROUND(INDEX('Injectable Value'!$AA$28:$AA$178,MATCH(B335,'Injectable Value'!$A$28:$A$178,0)),1),"")</f>
        <v>4036.6</v>
      </c>
      <c r="P335" s="16" t="str">
        <f aca="false">IFERROR(INDEX('Route of Administration'!$C$5:$C$155,MATCH(B335,'Route of Administration'!$A$5:$A$155,0)),"")</f>
        <v>IV</v>
      </c>
      <c r="Q335" s="15" t="str">
        <f aca="false">IFERROR(INDEX('Route of Administration'!$D$5:$D$155,MATCH(B335,'Route of Administration'!$A$5:$A$155,0)),"")</f>
        <v>No</v>
      </c>
      <c r="R335" s="16" t="s">
        <v>349</v>
      </c>
      <c r="S335" s="17" t="s">
        <v>1219</v>
      </c>
      <c r="T335" s="16" t="s">
        <v>283</v>
      </c>
      <c r="U335" s="17" t="str">
        <f aca="false">""&amp;IF(AE335=0,"No price found","")&amp;IF(AND(AE335&gt;0,AF335=0,AG335=0),"Low price comes from another market – confirm with the company","")</f>
        <v/>
      </c>
      <c r="V335" s="17" t="s">
        <v>772</v>
      </c>
      <c r="W335" s="15" t="n">
        <v>3</v>
      </c>
      <c r="X335" s="17" t="s">
        <v>1453</v>
      </c>
      <c r="Y335" s="17" t="s">
        <v>1453</v>
      </c>
      <c r="Z335" s="17" t="s">
        <v>286</v>
      </c>
      <c r="AA335" s="16" t="s">
        <v>244</v>
      </c>
      <c r="AB335" s="78" t="s">
        <v>823</v>
      </c>
      <c r="AC335" s="20" t="n">
        <f aca="false">IF(AE335&gt;0,ROUND(AVERAGEIFS('Shortlisted Drugs X Company (7)'!$N$3:$N$698,'Shortlisted Drugs X Company (7)'!$C$3:$C$698,$B335,'Shortlisted Drugs X Company (7)'!$E$3:$E$698,$AA335,'Shortlisted Drugs X Company (7)'!$N$3:$N$698,"&gt;=0"),2),"")</f>
        <v>23.71</v>
      </c>
      <c r="AD335" s="79" t="str">
        <f aca="false">B335&amp;"|"&amp;AA335</f>
        <v>Milrinone|Wockhardt</v>
      </c>
      <c r="AE335" s="22" t="n">
        <f aca="false">COUNTIFS('Shortlisted Drugs X Company (7)'!$C$3:$C$698,$B335,'Shortlisted Drugs X Company (7)'!$E$3:$E$698,$AA335,'Shortlisted Drugs X Company (7)'!$N$3:$N$698,"&gt;=0")</f>
        <v>2</v>
      </c>
      <c r="AF335" s="22" t="n">
        <f aca="false">COUNTIFS('Shortlisted Drugs X Company (7)'!$C$3:$C$698,$B335,'Shortlisted Drugs X Company (7)'!$E$3:$E$698,$AA335,'Shortlisted Drugs X Company (7)'!$N$3:$N$698,"&gt;5")</f>
        <v>2</v>
      </c>
      <c r="AG335" s="22" t="n">
        <f aca="false">COUNTIFS('Shortlisted Drugs X Company (7)'!$C$3:$C$698,$B335,'Shortlisted Drugs X Company (7)'!$E$3:$E$698,$AA335,'Shortlisted Drugs X Company (7)'!$P$3:$P$698,"Exact")+COUNTIFS('Shortlisted Drugs X Company (7)'!$C$3:$C$698,$B335,'Shortlisted Drugs X Company (7)'!$E$3:$E$698,$AA335,'Shortlisted Drugs X Company (7)'!$P$3:$P$698,"Same-market proxy")</f>
        <v>1</v>
      </c>
      <c r="AH335" s="22" t="n">
        <f aca="false">INDEX($G$7:$G$25,MATCH(A335,$A$7:$A$25,0))</f>
        <v>14</v>
      </c>
      <c r="AI335" s="79" t="str">
        <f aca="false">IF(OR(Q335="No",LEFT(H335,7)="IV only"),"",AH335*1000+IF(F335="",900+COUNTIFS($A$29:A335,A335,$H$29:H335,"Price*"),F335))</f>
        <v/>
      </c>
      <c r="AJ335" s="79" t="str">
        <f aca="false">IF(H335&lt;&gt;"","",(4-VALUE(RIGHT(E335,1)))*10^7+N(O335))</f>
        <v/>
      </c>
      <c r="AK335" s="79" t="str">
        <f aca="false">IF(AND(H335="",ISNUMBER(I335)),I335,"")</f>
        <v/>
      </c>
      <c r="AL335" s="79" t="str">
        <f aca="false">IF(H335="",M335,"")</f>
        <v/>
      </c>
    </row>
    <row r="336" customFormat="false" ht="28.35" hidden="false" customHeight="false" outlineLevel="0" collapsed="false">
      <c r="A336" s="16" t="s">
        <v>244</v>
      </c>
      <c r="B336" s="16" t="s">
        <v>1454</v>
      </c>
      <c r="C336" s="17" t="s">
        <v>1455</v>
      </c>
      <c r="D336" s="17" t="s">
        <v>1456</v>
      </c>
      <c r="E336" s="15" t="str">
        <f aca="false">IF(H336&lt;&gt;"",IF(LEFT(H336,5)="Price","Excluded – price ≤ USD 5","Excluded – IV only"),IF(ISNUMBER(I336),IF(AND(I336&gt;=$C$3,M336&gt;=$E$3),"Priority 1",IF(OR(I336&gt;=$C$3,M336&gt;=$E$3),"Priority 2","Priority 3")),IF(M336&gt;=$E$3,"Priority 2","Priority 3")))</f>
        <v>Priority 3</v>
      </c>
      <c r="F336" s="15" t="n">
        <f aca="false">IF(H336&lt;&gt;"","",COUNTIFS($A$29:$A$361,A336,$H$29:$H$361,"",$AJ$29:$AJ$361,"&gt;"&amp;AJ336)+COUNTIFS($A$29:A336,A336,$H$29:H336,"",$AJ$29:AJ336,AJ336))</f>
        <v>7</v>
      </c>
      <c r="G336" s="17" t="str">
        <f aca="false">IF(H336&lt;&gt;"","",IF(ISNUMBER(I336),IF(I336&gt;=$C$3,"High price","Lower price"),"No price")&amp;", "&amp;IF(M336&gt;=$E$3,"high volume","lower volume"))</f>
        <v>Lower price, lower volume</v>
      </c>
      <c r="H336" s="17" t="str">
        <f aca="false">IF(Q336="No","IV only (no ID, IM or SC route)",IF(AND(AE336&gt;0,AF336=0),"Price ≤ USD 5",""))</f>
        <v/>
      </c>
      <c r="I336" s="18" t="n">
        <f aca="false">IF(AF336&gt;0,ROUND(AVERAGEIFS('Shortlisted Drugs X Company (7)'!$N$3:$N$698,'Shortlisted Drugs X Company (7)'!$C$3:$C$698,$B336,'Shortlisted Drugs X Company (7)'!$E$3:$E$698,$AA336,'Shortlisted Drugs X Company (7)'!$N$3:$N$698,"&gt;5"),2),"")</f>
        <v>6.4</v>
      </c>
      <c r="J336" s="17" t="str">
        <f aca="false">IF(COUNTIFS('Shortlisted Drugs X Company (7)'!$C$3:$C$698,$B336,'Shortlisted Drugs X Company (7)'!$E$3:$E$698,$AA336,'Shortlisted Drugs X Company (7)'!$P$3:$P$698,"Exact")&gt;0,"Exact",IF(COUNTIFS('Shortlisted Drugs X Company (7)'!$C$3:$C$698,$B336,'Shortlisted Drugs X Company (7)'!$E$3:$E$698,$AA336,'Shortlisted Drugs X Company (7)'!$P$3:$P$698,"Same-market proxy")&gt;0,"Same-market proxy",IF(COUNTIFS('Shortlisted Drugs X Company (7)'!$C$3:$C$698,$B336,'Shortlisted Drugs X Company (7)'!$E$3:$E$698,$AA336,'Shortlisted Drugs X Company (7)'!$P$3:$P$698,"Cross-market proxy")&gt;0,"Cross-market proxy",IF(COUNTIFS('Shortlisted Drugs X Company (7)'!$C$3:$C$698,$B336,'Shortlisted Drugs X Company (7)'!$E$3:$E$698,$AA336,'Shortlisted Drugs X Company (7)'!$P$3:$P$698,"Source not found")&gt;0,"Source not found","No price found"))))</f>
        <v>Same-market proxy</v>
      </c>
      <c r="K336" s="19" t="n">
        <f aca="false">IFERROR(INDEX('Injectable Value'!$AB$28:$AB$178,MATCH(B336,'Injectable Value'!$A$28:$A$178,0)),"")</f>
        <v>128</v>
      </c>
      <c r="L336" s="77" t="n">
        <f aca="false">IFERROR(INDEX('Injectable Value'!$Z$28:$Z$178,MATCH(B336,'Injectable Value'!$A$28:$A$178,0)),"")</f>
        <v>0.485928583569446</v>
      </c>
      <c r="M336" s="19" t="n">
        <f aca="false">IFERROR(INDEX('Injectable Value'!$AC$28:$AC$178,MATCH(B336,'Injectable Value'!$A$28:$A$178,0)),"")</f>
        <v>62</v>
      </c>
      <c r="N336" s="19" t="n">
        <f aca="false">IFERROR(INDEX('Injectable Value'!$C$28:$C$178,MATCH(B336,'Injectable Value'!$A$28:$A$178,0)),"")</f>
        <v>3640.13</v>
      </c>
      <c r="O336" s="19" t="n">
        <f aca="false">IFERROR(ROUND(INDEX('Injectable Value'!$AA$28:$AA$178,MATCH(B336,'Injectable Value'!$A$28:$A$178,0)),1),"")</f>
        <v>1768.8</v>
      </c>
      <c r="P336" s="16" t="str">
        <f aca="false">IFERROR(INDEX('Route of Administration'!$C$5:$C$155,MATCH(B336,'Route of Administration'!$A$5:$A$155,0)),"")</f>
        <v>IV, IM</v>
      </c>
      <c r="Q336" s="15" t="str">
        <f aca="false">IFERROR(INDEX('Route of Administration'!$D$5:$D$155,MATCH(B336,'Route of Administration'!$A$5:$A$155,0)),"")</f>
        <v>Yes</v>
      </c>
      <c r="R336" s="16" t="s">
        <v>349</v>
      </c>
      <c r="S336" s="17" t="s">
        <v>1457</v>
      </c>
      <c r="T336" s="16" t="s">
        <v>283</v>
      </c>
      <c r="U336" s="17" t="str">
        <f aca="false">""&amp;IF(AE336=0,"No price found","")&amp;IF(AND(AE336&gt;0,AF336=0,AG336=0),"Low price comes from another market – confirm with the company","")</f>
        <v/>
      </c>
      <c r="V336" s="17" t="s">
        <v>772</v>
      </c>
      <c r="W336" s="15" t="n">
        <v>2</v>
      </c>
      <c r="X336" s="17" t="s">
        <v>772</v>
      </c>
      <c r="Y336" s="17" t="s">
        <v>772</v>
      </c>
      <c r="Z336" s="17" t="s">
        <v>321</v>
      </c>
      <c r="AA336" s="16" t="s">
        <v>244</v>
      </c>
      <c r="AB336" s="78" t="s">
        <v>1458</v>
      </c>
      <c r="AC336" s="20" t="n">
        <f aca="false">IF(AE336&gt;0,ROUND(AVERAGEIFS('Shortlisted Drugs X Company (7)'!$N$3:$N$698,'Shortlisted Drugs X Company (7)'!$C$3:$C$698,$B336,'Shortlisted Drugs X Company (7)'!$E$3:$E$698,$AA336,'Shortlisted Drugs X Company (7)'!$N$3:$N$698,"&gt;=0"),2),"")</f>
        <v>6.4</v>
      </c>
      <c r="AD336" s="79" t="str">
        <f aca="false">B336&amp;"|"&amp;AA336</f>
        <v>Morphine|Wockhardt</v>
      </c>
      <c r="AE336" s="22" t="n">
        <f aca="false">COUNTIFS('Shortlisted Drugs X Company (7)'!$C$3:$C$698,$B336,'Shortlisted Drugs X Company (7)'!$E$3:$E$698,$AA336,'Shortlisted Drugs X Company (7)'!$N$3:$N$698,"&gt;=0")</f>
        <v>1</v>
      </c>
      <c r="AF336" s="22" t="n">
        <f aca="false">COUNTIFS('Shortlisted Drugs X Company (7)'!$C$3:$C$698,$B336,'Shortlisted Drugs X Company (7)'!$E$3:$E$698,$AA336,'Shortlisted Drugs X Company (7)'!$N$3:$N$698,"&gt;5")</f>
        <v>1</v>
      </c>
      <c r="AG336" s="22" t="n">
        <f aca="false">COUNTIFS('Shortlisted Drugs X Company (7)'!$C$3:$C$698,$B336,'Shortlisted Drugs X Company (7)'!$E$3:$E$698,$AA336,'Shortlisted Drugs X Company (7)'!$P$3:$P$698,"Exact")+COUNTIFS('Shortlisted Drugs X Company (7)'!$C$3:$C$698,$B336,'Shortlisted Drugs X Company (7)'!$E$3:$E$698,$AA336,'Shortlisted Drugs X Company (7)'!$P$3:$P$698,"Same-market proxy")</f>
        <v>1</v>
      </c>
      <c r="AH336" s="22" t="n">
        <f aca="false">INDEX($G$7:$G$25,MATCH(A336,$A$7:$A$25,0))</f>
        <v>14</v>
      </c>
      <c r="AI336" s="79" t="n">
        <f aca="false">IF(OR(Q336="No",LEFT(H336,7)="IV only"),"",AH336*1000+IF(F336="",900+COUNTIFS($A$29:A336,A336,$H$29:H336,"Price*"),F336))</f>
        <v>14007</v>
      </c>
      <c r="AJ336" s="79" t="n">
        <f aca="false">IF(H336&lt;&gt;"","",(4-VALUE(RIGHT(E336,1)))*10^7+N(O336))</f>
        <v>10001768.8</v>
      </c>
      <c r="AK336" s="20" t="n">
        <f aca="false">IF(AND(H336="",ISNUMBER(I336)),I336,"")</f>
        <v>6.4</v>
      </c>
      <c r="AL336" s="21" t="n">
        <f aca="false">IF(H336="",M336,"")</f>
        <v>62</v>
      </c>
    </row>
    <row r="337" customFormat="false" ht="41.75" hidden="false" customHeight="false" outlineLevel="0" collapsed="false">
      <c r="A337" s="16" t="s">
        <v>244</v>
      </c>
      <c r="B337" s="16" t="s">
        <v>518</v>
      </c>
      <c r="C337" s="17" t="s">
        <v>1459</v>
      </c>
      <c r="D337" s="17" t="s">
        <v>520</v>
      </c>
      <c r="E337" s="15" t="str">
        <f aca="false">IF(H337&lt;&gt;"",IF(LEFT(H337,5)="Price","Excluded – price ≤ USD 5","Excluded – IV only"),IF(ISNUMBER(I337),IF(AND(I337&gt;=$C$3,M337&gt;=$E$3),"Priority 1",IF(OR(I337&gt;=$C$3,M337&gt;=$E$3),"Priority 2","Priority 3")),IF(M337&gt;=$E$3,"Priority 2","Priority 3")))</f>
        <v>Priority 2</v>
      </c>
      <c r="F337" s="15" t="n">
        <f aca="false">IF(H337&lt;&gt;"","",COUNTIFS($A$29:$A$361,A337,$H$29:$H$361,"",$AJ$29:$AJ$361,"&gt;"&amp;AJ337)+COUNTIFS($A$29:A337,A337,$H$29:H337,"",$AJ$29:AJ337,AJ337))</f>
        <v>2</v>
      </c>
      <c r="G337" s="17" t="str">
        <f aca="false">IF(H337&lt;&gt;"","",IF(ISNUMBER(I337),IF(I337&gt;=$C$3,"High price","Lower price"),"No price")&amp;", "&amp;IF(M337&gt;=$E$3,"high volume","lower volume"))</f>
        <v>Lower price, high volume</v>
      </c>
      <c r="H337" s="17" t="str">
        <f aca="false">IF(Q337="No","IV only (no ID, IM or SC route)",IF(AND(AE337&gt;0,AF337=0),"Price ≤ USD 5",""))</f>
        <v/>
      </c>
      <c r="I337" s="18" t="n">
        <f aca="false">IF(AF337&gt;0,ROUND(AVERAGEIFS('Shortlisted Drugs X Company (7)'!$N$3:$N$698,'Shortlisted Drugs X Company (7)'!$C$3:$C$698,$B337,'Shortlisted Drugs X Company (7)'!$E$3:$E$698,$AA337,'Shortlisted Drugs X Company (7)'!$N$3:$N$698,"&gt;5"),2),"")</f>
        <v>5.32</v>
      </c>
      <c r="J337" s="17" t="str">
        <f aca="false">IF(COUNTIFS('Shortlisted Drugs X Company (7)'!$C$3:$C$698,$B337,'Shortlisted Drugs X Company (7)'!$E$3:$E$698,$AA337,'Shortlisted Drugs X Company (7)'!$P$3:$P$698,"Exact")&gt;0,"Exact",IF(COUNTIFS('Shortlisted Drugs X Company (7)'!$C$3:$C$698,$B337,'Shortlisted Drugs X Company (7)'!$E$3:$E$698,$AA337,'Shortlisted Drugs X Company (7)'!$P$3:$P$698,"Same-market proxy")&gt;0,"Same-market proxy",IF(COUNTIFS('Shortlisted Drugs X Company (7)'!$C$3:$C$698,$B337,'Shortlisted Drugs X Company (7)'!$E$3:$E$698,$AA337,'Shortlisted Drugs X Company (7)'!$P$3:$P$698,"Cross-market proxy")&gt;0,"Cross-market proxy",IF(COUNTIFS('Shortlisted Drugs X Company (7)'!$C$3:$C$698,$B337,'Shortlisted Drugs X Company (7)'!$E$3:$E$698,$AA337,'Shortlisted Drugs X Company (7)'!$P$3:$P$698,"Source not found")&gt;0,"Source not found","No price found"))))</f>
        <v>Cross-market proxy</v>
      </c>
      <c r="K337" s="19" t="n">
        <f aca="false">IFERROR(INDEX('Injectable Value'!$AB$28:$AB$178,MATCH(B337,'Injectable Value'!$A$28:$A$178,0)),"")</f>
        <v>2546</v>
      </c>
      <c r="L337" s="77" t="n">
        <f aca="false">IFERROR(INDEX('Injectable Value'!$Z$28:$Z$178,MATCH(B337,'Injectable Value'!$A$28:$A$178,0)),"")</f>
        <v>0.378228374732698</v>
      </c>
      <c r="M337" s="19" t="n">
        <f aca="false">IFERROR(INDEX('Injectable Value'!$AC$28:$AC$178,MATCH(B337,'Injectable Value'!$A$28:$A$178,0)),"")</f>
        <v>963</v>
      </c>
      <c r="N337" s="19" t="n">
        <f aca="false">IFERROR(INDEX('Injectable Value'!$C$28:$C$178,MATCH(B337,'Injectable Value'!$A$28:$A$178,0)),"")</f>
        <v>46507.62</v>
      </c>
      <c r="O337" s="19" t="n">
        <f aca="false">IFERROR(ROUND(INDEX('Injectable Value'!$AA$28:$AA$178,MATCH(B337,'Injectable Value'!$A$28:$A$178,0)),1),"")</f>
        <v>17590.5</v>
      </c>
      <c r="P337" s="16" t="str">
        <f aca="false">IFERROR(INDEX('Route of Administration'!$C$5:$C$155,MATCH(B337,'Route of Administration'!$A$5:$A$155,0)),"")</f>
        <v>IV, IM</v>
      </c>
      <c r="Q337" s="15" t="str">
        <f aca="false">IFERROR(INDEX('Route of Administration'!$D$5:$D$155,MATCH(B337,'Route of Administration'!$A$5:$A$155,0)),"")</f>
        <v>Yes</v>
      </c>
      <c r="R337" s="16" t="s">
        <v>349</v>
      </c>
      <c r="S337" s="17" t="s">
        <v>826</v>
      </c>
      <c r="T337" s="16" t="s">
        <v>283</v>
      </c>
      <c r="U337" s="17" t="str">
        <f aca="false">""&amp;IF(AE337=0,"No price found","")&amp;IF(AND(AE337&gt;0,AF337=0,AG337=0),"Low price comes from another market – confirm with the company","")</f>
        <v/>
      </c>
      <c r="V337" s="17" t="s">
        <v>912</v>
      </c>
      <c r="W337" s="15" t="n">
        <v>1</v>
      </c>
      <c r="X337" s="17" t="s">
        <v>912</v>
      </c>
      <c r="Y337" s="17" t="s">
        <v>912</v>
      </c>
      <c r="Z337" s="17" t="s">
        <v>286</v>
      </c>
      <c r="AA337" s="16" t="s">
        <v>244</v>
      </c>
      <c r="AB337" s="78" t="s">
        <v>525</v>
      </c>
      <c r="AC337" s="20" t="n">
        <f aca="false">IF(AE337&gt;0,ROUND(AVERAGEIFS('Shortlisted Drugs X Company (7)'!$N$3:$N$698,'Shortlisted Drugs X Company (7)'!$C$3:$C$698,$B337,'Shortlisted Drugs X Company (7)'!$E$3:$E$698,$AA337,'Shortlisted Drugs X Company (7)'!$N$3:$N$698,"&gt;=0"),2),"")</f>
        <v>5.32</v>
      </c>
      <c r="AD337" s="79" t="str">
        <f aca="false">B337&amp;"|"&amp;AA337</f>
        <v>Ondansetron|Wockhardt</v>
      </c>
      <c r="AE337" s="22" t="n">
        <f aca="false">COUNTIFS('Shortlisted Drugs X Company (7)'!$C$3:$C$698,$B337,'Shortlisted Drugs X Company (7)'!$E$3:$E$698,$AA337,'Shortlisted Drugs X Company (7)'!$N$3:$N$698,"&gt;=0")</f>
        <v>1</v>
      </c>
      <c r="AF337" s="22" t="n">
        <f aca="false">COUNTIFS('Shortlisted Drugs X Company (7)'!$C$3:$C$698,$B337,'Shortlisted Drugs X Company (7)'!$E$3:$E$698,$AA337,'Shortlisted Drugs X Company (7)'!$N$3:$N$698,"&gt;5")</f>
        <v>1</v>
      </c>
      <c r="AG337" s="22" t="n">
        <f aca="false">COUNTIFS('Shortlisted Drugs X Company (7)'!$C$3:$C$698,$B337,'Shortlisted Drugs X Company (7)'!$E$3:$E$698,$AA337,'Shortlisted Drugs X Company (7)'!$P$3:$P$698,"Exact")+COUNTIFS('Shortlisted Drugs X Company (7)'!$C$3:$C$698,$B337,'Shortlisted Drugs X Company (7)'!$E$3:$E$698,$AA337,'Shortlisted Drugs X Company (7)'!$P$3:$P$698,"Same-market proxy")</f>
        <v>0</v>
      </c>
      <c r="AH337" s="22" t="n">
        <f aca="false">INDEX($G$7:$G$25,MATCH(A337,$A$7:$A$25,0))</f>
        <v>14</v>
      </c>
      <c r="AI337" s="79" t="n">
        <f aca="false">IF(OR(Q337="No",LEFT(H337,7)="IV only"),"",AH337*1000+IF(F337="",900+COUNTIFS($A$29:A337,A337,$H$29:H337,"Price*"),F337))</f>
        <v>14002</v>
      </c>
      <c r="AJ337" s="79" t="n">
        <f aca="false">IF(H337&lt;&gt;"","",(4-VALUE(RIGHT(E337,1)))*10^7+N(O337))</f>
        <v>20017590.5</v>
      </c>
      <c r="AK337" s="20" t="n">
        <f aca="false">IF(AND(H337="",ISNUMBER(I337)),I337,"")</f>
        <v>5.32</v>
      </c>
      <c r="AL337" s="21" t="n">
        <f aca="false">IF(H337="",M337,"")</f>
        <v>963</v>
      </c>
    </row>
    <row r="338" customFormat="false" ht="28.35" hidden="false" customHeight="false" outlineLevel="0" collapsed="false">
      <c r="A338" s="16" t="s">
        <v>244</v>
      </c>
      <c r="B338" s="16" t="s">
        <v>526</v>
      </c>
      <c r="C338" s="17" t="s">
        <v>527</v>
      </c>
      <c r="D338" s="17" t="s">
        <v>509</v>
      </c>
      <c r="E338" s="15" t="str">
        <f aca="false">IF(H338&lt;&gt;"",IF(LEFT(H338,5)="Price","Excluded – price ≤ USD 5","Excluded – IV only"),IF(ISNUMBER(I338),IF(AND(I338&gt;=$C$3,M338&gt;=$E$3),"Priority 1",IF(OR(I338&gt;=$C$3,M338&gt;=$E$3),"Priority 2","Priority 3")),IF(M338&gt;=$E$3,"Priority 2","Priority 3")))</f>
        <v>Priority 3</v>
      </c>
      <c r="F338" s="15" t="n">
        <f aca="false">IF(H338&lt;&gt;"","",COUNTIFS($A$29:$A$361,A338,$H$29:$H$361,"",$AJ$29:$AJ$361,"&gt;"&amp;AJ338)+COUNTIFS($A$29:A338,A338,$H$29:H338,"",$AJ$29:AJ338,AJ338))</f>
        <v>8</v>
      </c>
      <c r="G338" s="17" t="str">
        <f aca="false">IF(H338&lt;&gt;"","",IF(ISNUMBER(I338),IF(I338&gt;=$C$3,"High price","Lower price"),"No price")&amp;", "&amp;IF(M338&gt;=$E$3,"high volume","lower volume"))</f>
        <v>Lower price, lower volume</v>
      </c>
      <c r="H338" s="17" t="str">
        <f aca="false">IF(Q338="No","IV only (no ID, IM or SC route)",IF(AND(AE338&gt;0,AF338=0),"Price ≤ USD 5",""))</f>
        <v/>
      </c>
      <c r="I338" s="18" t="n">
        <f aca="false">IF(AF338&gt;0,ROUND(AVERAGEIFS('Shortlisted Drugs X Company (7)'!$N$3:$N$698,'Shortlisted Drugs X Company (7)'!$C$3:$C$698,$B338,'Shortlisted Drugs X Company (7)'!$E$3:$E$698,$AA338,'Shortlisted Drugs X Company (7)'!$N$3:$N$698,"&gt;5"),2),"")</f>
        <v>10.93</v>
      </c>
      <c r="J338" s="17" t="str">
        <f aca="false">IF(COUNTIFS('Shortlisted Drugs X Company (7)'!$C$3:$C$698,$B338,'Shortlisted Drugs X Company (7)'!$E$3:$E$698,$AA338,'Shortlisted Drugs X Company (7)'!$P$3:$P$698,"Exact")&gt;0,"Exact",IF(COUNTIFS('Shortlisted Drugs X Company (7)'!$C$3:$C$698,$B338,'Shortlisted Drugs X Company (7)'!$E$3:$E$698,$AA338,'Shortlisted Drugs X Company (7)'!$P$3:$P$698,"Same-market proxy")&gt;0,"Same-market proxy",IF(COUNTIFS('Shortlisted Drugs X Company (7)'!$C$3:$C$698,$B338,'Shortlisted Drugs X Company (7)'!$E$3:$E$698,$AA338,'Shortlisted Drugs X Company (7)'!$P$3:$P$698,"Cross-market proxy")&gt;0,"Cross-market proxy",IF(COUNTIFS('Shortlisted Drugs X Company (7)'!$C$3:$C$698,$B338,'Shortlisted Drugs X Company (7)'!$E$3:$E$698,$AA338,'Shortlisted Drugs X Company (7)'!$P$3:$P$698,"Source not found")&gt;0,"Source not found","No price found"))))</f>
        <v>Same-market proxy</v>
      </c>
      <c r="K338" s="19" t="n">
        <f aca="false">IFERROR(INDEX('Injectable Value'!$AB$28:$AB$178,MATCH(B338,'Injectable Value'!$A$28:$A$178,0)),"")</f>
        <v>10</v>
      </c>
      <c r="L338" s="77" t="n">
        <f aca="false">IFERROR(INDEX('Injectable Value'!$Z$28:$Z$178,MATCH(B338,'Injectable Value'!$A$28:$A$178,0)),"")</f>
        <v>0.928571428571429</v>
      </c>
      <c r="M338" s="19" t="n">
        <f aca="false">IFERROR(INDEX('Injectable Value'!$AC$28:$AC$178,MATCH(B338,'Injectable Value'!$A$28:$A$178,0)),"")</f>
        <v>9</v>
      </c>
      <c r="N338" s="19" t="n">
        <f aca="false">IFERROR(INDEX('Injectable Value'!$C$28:$C$178,MATCH(B338,'Injectable Value'!$A$28:$A$178,0)),"")</f>
        <v>280.98</v>
      </c>
      <c r="O338" s="19" t="n">
        <f aca="false">IFERROR(ROUND(INDEX('Injectable Value'!$AA$28:$AA$178,MATCH(B338,'Injectable Value'!$A$28:$A$178,0)),1),"")</f>
        <v>260.9</v>
      </c>
      <c r="P338" s="16" t="str">
        <f aca="false">IFERROR(INDEX('Route of Administration'!$C$5:$C$155,MATCH(B338,'Route of Administration'!$A$5:$A$155,0)),"")</f>
        <v>IV, IM</v>
      </c>
      <c r="Q338" s="15" t="str">
        <f aca="false">IFERROR(INDEX('Route of Administration'!$D$5:$D$155,MATCH(B338,'Route of Administration'!$A$5:$A$155,0)),"")</f>
        <v>Yes</v>
      </c>
      <c r="R338" s="16" t="s">
        <v>281</v>
      </c>
      <c r="S338" s="17" t="s">
        <v>510</v>
      </c>
      <c r="T338" s="16" t="s">
        <v>333</v>
      </c>
      <c r="U338" s="17" t="str">
        <f aca="false">"Reconstitution"&amp;IF(AE338=0,"; No price found","")&amp;IF(AND(AE338&gt;0,AF338=0,AG338=0),"; Low price comes from another market – confirm with the company","")</f>
        <v>Reconstitution</v>
      </c>
      <c r="V338" s="17" t="s">
        <v>284</v>
      </c>
      <c r="W338" s="15" t="n">
        <v>1</v>
      </c>
      <c r="X338" s="17" t="s">
        <v>284</v>
      </c>
      <c r="Y338" s="17" t="s">
        <v>284</v>
      </c>
      <c r="Z338" s="17" t="s">
        <v>321</v>
      </c>
      <c r="AA338" s="16" t="s">
        <v>244</v>
      </c>
      <c r="AB338" s="78" t="s">
        <v>528</v>
      </c>
      <c r="AC338" s="20" t="n">
        <f aca="false">IF(AE338&gt;0,ROUND(AVERAGEIFS('Shortlisted Drugs X Company (7)'!$N$3:$N$698,'Shortlisted Drugs X Company (7)'!$C$3:$C$698,$B338,'Shortlisted Drugs X Company (7)'!$E$3:$E$698,$AA338,'Shortlisted Drugs X Company (7)'!$N$3:$N$698,"&gt;=0"),2),"")</f>
        <v>10.93</v>
      </c>
      <c r="AD338" s="79" t="str">
        <f aca="false">B338&amp;"|"&amp;AA338</f>
        <v>Oxacillin|Wockhardt</v>
      </c>
      <c r="AE338" s="22" t="n">
        <f aca="false">COUNTIFS('Shortlisted Drugs X Company (7)'!$C$3:$C$698,$B338,'Shortlisted Drugs X Company (7)'!$E$3:$E$698,$AA338,'Shortlisted Drugs X Company (7)'!$N$3:$N$698,"&gt;=0")</f>
        <v>1</v>
      </c>
      <c r="AF338" s="22" t="n">
        <f aca="false">COUNTIFS('Shortlisted Drugs X Company (7)'!$C$3:$C$698,$B338,'Shortlisted Drugs X Company (7)'!$E$3:$E$698,$AA338,'Shortlisted Drugs X Company (7)'!$N$3:$N$698,"&gt;5")</f>
        <v>1</v>
      </c>
      <c r="AG338" s="22" t="n">
        <f aca="false">COUNTIFS('Shortlisted Drugs X Company (7)'!$C$3:$C$698,$B338,'Shortlisted Drugs X Company (7)'!$E$3:$E$698,$AA338,'Shortlisted Drugs X Company (7)'!$P$3:$P$698,"Exact")+COUNTIFS('Shortlisted Drugs X Company (7)'!$C$3:$C$698,$B338,'Shortlisted Drugs X Company (7)'!$E$3:$E$698,$AA338,'Shortlisted Drugs X Company (7)'!$P$3:$P$698,"Same-market proxy")</f>
        <v>1</v>
      </c>
      <c r="AH338" s="22" t="n">
        <f aca="false">INDEX($G$7:$G$25,MATCH(A338,$A$7:$A$25,0))</f>
        <v>14</v>
      </c>
      <c r="AI338" s="79" t="n">
        <f aca="false">IF(OR(Q338="No",LEFT(H338,7)="IV only"),"",AH338*1000+IF(F338="",900+COUNTIFS($A$29:A338,A338,$H$29:H338,"Price*"),F338))</f>
        <v>14008</v>
      </c>
      <c r="AJ338" s="79" t="n">
        <f aca="false">IF(H338&lt;&gt;"","",(4-VALUE(RIGHT(E338,1)))*10^7+N(O338))</f>
        <v>10000260.9</v>
      </c>
      <c r="AK338" s="20" t="n">
        <f aca="false">IF(AND(H338="",ISNUMBER(I338)),I338,"")</f>
        <v>10.93</v>
      </c>
      <c r="AL338" s="21" t="n">
        <f aca="false">IF(H338="",M338,"")</f>
        <v>9</v>
      </c>
    </row>
    <row r="339" customFormat="false" ht="28.35" hidden="false" customHeight="false" outlineLevel="0" collapsed="false">
      <c r="A339" s="16" t="s">
        <v>244</v>
      </c>
      <c r="B339" s="16" t="s">
        <v>1460</v>
      </c>
      <c r="C339" s="17" t="s">
        <v>1461</v>
      </c>
      <c r="D339" s="17" t="s">
        <v>1462</v>
      </c>
      <c r="E339" s="15" t="str">
        <f aca="false">IF(H339&lt;&gt;"",IF(LEFT(H339,5)="Price","Excluded – price ≤ USD 5","Excluded – IV only"),IF(ISNUMBER(I339),IF(AND(I339&gt;=$C$3,M339&gt;=$E$3),"Priority 1",IF(OR(I339&gt;=$C$3,M339&gt;=$E$3),"Priority 2","Priority 3")),IF(M339&gt;=$E$3,"Priority 2","Priority 3")))</f>
        <v>Excluded – IV only</v>
      </c>
      <c r="F339" s="15" t="str">
        <f aca="false">IF(H339&lt;&gt;"","",COUNTIFS($A$29:$A$361,A339,$H$29:$H$361,"",$AJ$29:$AJ$361,"&gt;"&amp;AJ339)+COUNTIFS($A$29:A339,A339,$H$29:H339,"",$AJ$29:AJ339,AJ339))</f>
        <v/>
      </c>
      <c r="G339" s="17" t="str">
        <f aca="false">IF(H339&lt;&gt;"","",IF(ISNUMBER(I339),IF(I339&gt;=$C$3,"High price","Lower price"),"No price")&amp;", "&amp;IF(M339&gt;=$E$3,"high volume","lower volume"))</f>
        <v/>
      </c>
      <c r="H339" s="17" t="str">
        <f aca="false">IF(Q339="No","IV only (no ID, IM or SC route)",IF(AND(AE339&gt;0,AF339=0),"Price ≤ USD 5",""))</f>
        <v>IV only (no ID, IM or SC route)</v>
      </c>
      <c r="I339" s="18" t="n">
        <f aca="false">IF(AF339&gt;0,ROUND(AVERAGEIFS('Shortlisted Drugs X Company (7)'!$N$3:$N$698,'Shortlisted Drugs X Company (7)'!$C$3:$C$698,$B339,'Shortlisted Drugs X Company (7)'!$E$3:$E$698,$AA339,'Shortlisted Drugs X Company (7)'!$N$3:$N$698,"&gt;5"),2),"")</f>
        <v>17.44</v>
      </c>
      <c r="J339" s="17" t="str">
        <f aca="false">IF(COUNTIFS('Shortlisted Drugs X Company (7)'!$C$3:$C$698,$B339,'Shortlisted Drugs X Company (7)'!$E$3:$E$698,$AA339,'Shortlisted Drugs X Company (7)'!$P$3:$P$698,"Exact")&gt;0,"Exact",IF(COUNTIFS('Shortlisted Drugs X Company (7)'!$C$3:$C$698,$B339,'Shortlisted Drugs X Company (7)'!$E$3:$E$698,$AA339,'Shortlisted Drugs X Company (7)'!$P$3:$P$698,"Same-market proxy")&gt;0,"Same-market proxy",IF(COUNTIFS('Shortlisted Drugs X Company (7)'!$C$3:$C$698,$B339,'Shortlisted Drugs X Company (7)'!$E$3:$E$698,$AA339,'Shortlisted Drugs X Company (7)'!$P$3:$P$698,"Cross-market proxy")&gt;0,"Cross-market proxy",IF(COUNTIFS('Shortlisted Drugs X Company (7)'!$C$3:$C$698,$B339,'Shortlisted Drugs X Company (7)'!$E$3:$E$698,$AA339,'Shortlisted Drugs X Company (7)'!$P$3:$P$698,"Source not found")&gt;0,"Source not found","No price found"))))</f>
        <v>Exact</v>
      </c>
      <c r="K339" s="19" t="n">
        <f aca="false">IFERROR(INDEX('Injectable Value'!$AB$28:$AB$178,MATCH(B339,'Injectable Value'!$A$28:$A$178,0)),"")</f>
        <v>186</v>
      </c>
      <c r="L339" s="77" t="n">
        <f aca="false">IFERROR(INDEX('Injectable Value'!$Z$28:$Z$178,MATCH(B339,'Injectable Value'!$A$28:$A$178,0)),"")</f>
        <v>0.857142857142857</v>
      </c>
      <c r="M339" s="19" t="n">
        <f aca="false">IFERROR(INDEX('Injectable Value'!$AC$28:$AC$178,MATCH(B339,'Injectable Value'!$A$28:$A$178,0)),"")</f>
        <v>159</v>
      </c>
      <c r="N339" s="19" t="n">
        <f aca="false">IFERROR(INDEX('Injectable Value'!$C$28:$C$178,MATCH(B339,'Injectable Value'!$A$28:$A$178,0)),"")</f>
        <v>1176.33</v>
      </c>
      <c r="O339" s="19" t="n">
        <f aca="false">IFERROR(ROUND(INDEX('Injectable Value'!$AA$28:$AA$178,MATCH(B339,'Injectable Value'!$A$28:$A$178,0)),1),"")</f>
        <v>1008.3</v>
      </c>
      <c r="P339" s="16" t="str">
        <f aca="false">IFERROR(INDEX('Route of Administration'!$C$5:$C$155,MATCH(B339,'Route of Administration'!$A$5:$A$155,0)),"")</f>
        <v>IV</v>
      </c>
      <c r="Q339" s="15" t="str">
        <f aca="false">IFERROR(INDEX('Route of Administration'!$D$5:$D$155,MATCH(B339,'Route of Administration'!$A$5:$A$155,0)),"")</f>
        <v>No</v>
      </c>
      <c r="R339" s="16" t="s">
        <v>349</v>
      </c>
      <c r="S339" s="17" t="s">
        <v>1147</v>
      </c>
      <c r="T339" s="16" t="s">
        <v>283</v>
      </c>
      <c r="U339" s="17" t="str">
        <f aca="false">""&amp;IF(AE339=0,"No price found","")&amp;IF(AND(AE339&gt;0,AF339=0,AG339=0),"Low price comes from another market – confirm with the company","")</f>
        <v/>
      </c>
      <c r="V339" s="17" t="s">
        <v>772</v>
      </c>
      <c r="W339" s="15" t="n">
        <v>2</v>
      </c>
      <c r="X339" s="17" t="s">
        <v>772</v>
      </c>
      <c r="Y339" s="17" t="s">
        <v>772</v>
      </c>
      <c r="Z339" s="17" t="s">
        <v>321</v>
      </c>
      <c r="AA339" s="16" t="s">
        <v>244</v>
      </c>
      <c r="AB339" s="78" t="s">
        <v>1463</v>
      </c>
      <c r="AC339" s="20" t="n">
        <f aca="false">IF(AE339&gt;0,ROUND(AVERAGEIFS('Shortlisted Drugs X Company (7)'!$N$3:$N$698,'Shortlisted Drugs X Company (7)'!$C$3:$C$698,$B339,'Shortlisted Drugs X Company (7)'!$E$3:$E$698,$AA339,'Shortlisted Drugs X Company (7)'!$N$3:$N$698,"&gt;=0"),2),"")</f>
        <v>17.44</v>
      </c>
      <c r="AD339" s="79" t="str">
        <f aca="false">B339&amp;"|"&amp;AA339</f>
        <v>Protamine|Wockhardt</v>
      </c>
      <c r="AE339" s="22" t="n">
        <f aca="false">COUNTIFS('Shortlisted Drugs X Company (7)'!$C$3:$C$698,$B339,'Shortlisted Drugs X Company (7)'!$E$3:$E$698,$AA339,'Shortlisted Drugs X Company (7)'!$N$3:$N$698,"&gt;=0")</f>
        <v>2</v>
      </c>
      <c r="AF339" s="22" t="n">
        <f aca="false">COUNTIFS('Shortlisted Drugs X Company (7)'!$C$3:$C$698,$B339,'Shortlisted Drugs X Company (7)'!$E$3:$E$698,$AA339,'Shortlisted Drugs X Company (7)'!$N$3:$N$698,"&gt;5")</f>
        <v>2</v>
      </c>
      <c r="AG339" s="22" t="n">
        <f aca="false">COUNTIFS('Shortlisted Drugs X Company (7)'!$C$3:$C$698,$B339,'Shortlisted Drugs X Company (7)'!$E$3:$E$698,$AA339,'Shortlisted Drugs X Company (7)'!$P$3:$P$698,"Exact")+COUNTIFS('Shortlisted Drugs X Company (7)'!$C$3:$C$698,$B339,'Shortlisted Drugs X Company (7)'!$E$3:$E$698,$AA339,'Shortlisted Drugs X Company (7)'!$P$3:$P$698,"Same-market proxy")</f>
        <v>1</v>
      </c>
      <c r="AH339" s="22" t="n">
        <f aca="false">INDEX($G$7:$G$25,MATCH(A339,$A$7:$A$25,0))</f>
        <v>14</v>
      </c>
      <c r="AI339" s="79" t="str">
        <f aca="false">IF(OR(Q339="No",LEFT(H339,7)="IV only"),"",AH339*1000+IF(F339="",900+COUNTIFS($A$29:A339,A339,$H$29:H339,"Price*"),F339))</f>
        <v/>
      </c>
      <c r="AJ339" s="79" t="str">
        <f aca="false">IF(H339&lt;&gt;"","",(4-VALUE(RIGHT(E339,1)))*10^7+N(O339))</f>
        <v/>
      </c>
      <c r="AK339" s="79" t="str">
        <f aca="false">IF(AND(H339="",ISNUMBER(I339)),I339,"")</f>
        <v/>
      </c>
      <c r="AL339" s="79" t="str">
        <f aca="false">IF(H339="",M339,"")</f>
        <v/>
      </c>
    </row>
    <row r="340" customFormat="false" ht="28.35" hidden="false" customHeight="false" outlineLevel="0" collapsed="false">
      <c r="A340" s="16" t="s">
        <v>244</v>
      </c>
      <c r="B340" s="16" t="s">
        <v>556</v>
      </c>
      <c r="C340" s="17" t="s">
        <v>1464</v>
      </c>
      <c r="D340" s="17" t="s">
        <v>558</v>
      </c>
      <c r="E340" s="15" t="str">
        <f aca="false">IF(H340&lt;&gt;"",IF(LEFT(H340,5)="Price","Excluded – price ≤ USD 5","Excluded – IV only"),IF(ISNUMBER(I340),IF(AND(I340&gt;=$C$3,M340&gt;=$E$3),"Priority 1",IF(OR(I340&gt;=$C$3,M340&gt;=$E$3),"Priority 2","Priority 3")),IF(M340&gt;=$E$3,"Priority 2","Priority 3")))</f>
        <v>Excluded – IV only</v>
      </c>
      <c r="F340" s="15" t="str">
        <f aca="false">IF(H340&lt;&gt;"","",COUNTIFS($A$29:$A$361,A340,$H$29:$H$361,"",$AJ$29:$AJ$361,"&gt;"&amp;AJ340)+COUNTIFS($A$29:A340,A340,$H$29:H340,"",$AJ$29:AJ340,AJ340))</f>
        <v/>
      </c>
      <c r="G340" s="17" t="str">
        <f aca="false">IF(H340&lt;&gt;"","",IF(ISNUMBER(I340),IF(I340&gt;=$C$3,"High price","Lower price"),"No price")&amp;", "&amp;IF(M340&gt;=$E$3,"high volume","lower volume"))</f>
        <v/>
      </c>
      <c r="H340" s="17" t="str">
        <f aca="false">IF(Q340="No","IV only (no ID, IM or SC route)",IF(AND(AE340&gt;0,AF340=0),"Price ≤ USD 5",""))</f>
        <v>IV only (no ID, IM or SC route)</v>
      </c>
      <c r="I340" s="18" t="n">
        <f aca="false">IF(AF340&gt;0,ROUND(AVERAGEIFS('Shortlisted Drugs X Company (7)'!$N$3:$N$698,'Shortlisted Drugs X Company (7)'!$C$3:$C$698,$B340,'Shortlisted Drugs X Company (7)'!$E$3:$E$698,$AA340,'Shortlisted Drugs X Company (7)'!$N$3:$N$698,"&gt;5"),2),"")</f>
        <v>33.18</v>
      </c>
      <c r="J340" s="17" t="str">
        <f aca="false">IF(COUNTIFS('Shortlisted Drugs X Company (7)'!$C$3:$C$698,$B340,'Shortlisted Drugs X Company (7)'!$E$3:$E$698,$AA340,'Shortlisted Drugs X Company (7)'!$P$3:$P$698,"Exact")&gt;0,"Exact",IF(COUNTIFS('Shortlisted Drugs X Company (7)'!$C$3:$C$698,$B340,'Shortlisted Drugs X Company (7)'!$E$3:$E$698,$AA340,'Shortlisted Drugs X Company (7)'!$P$3:$P$698,"Same-market proxy")&gt;0,"Same-market proxy",IF(COUNTIFS('Shortlisted Drugs X Company (7)'!$C$3:$C$698,$B340,'Shortlisted Drugs X Company (7)'!$E$3:$E$698,$AA340,'Shortlisted Drugs X Company (7)'!$P$3:$P$698,"Cross-market proxy")&gt;0,"Cross-market proxy",IF(COUNTIFS('Shortlisted Drugs X Company (7)'!$C$3:$C$698,$B340,'Shortlisted Drugs X Company (7)'!$E$3:$E$698,$AA340,'Shortlisted Drugs X Company (7)'!$P$3:$P$698,"Source not found")&gt;0,"Source not found","No price found"))))</f>
        <v>Exact</v>
      </c>
      <c r="K340" s="19" t="n">
        <f aca="false">IFERROR(INDEX('Injectable Value'!$AB$28:$AB$178,MATCH(B340,'Injectable Value'!$A$28:$A$178,0)),"")</f>
        <v>2</v>
      </c>
      <c r="L340" s="77" t="n">
        <f aca="false">IFERROR(INDEX('Injectable Value'!$Z$28:$Z$178,MATCH(B340,'Injectable Value'!$A$28:$A$178,0)),"")</f>
        <v>0.996078431372549</v>
      </c>
      <c r="M340" s="19" t="n">
        <f aca="false">IFERROR(INDEX('Injectable Value'!$AC$28:$AC$178,MATCH(B340,'Injectable Value'!$A$28:$A$178,0)),"")</f>
        <v>2</v>
      </c>
      <c r="N340" s="19" t="n">
        <f aca="false">IFERROR(INDEX('Injectable Value'!$C$28:$C$178,MATCH(B340,'Injectable Value'!$A$28:$A$178,0)),"")</f>
        <v>71.73</v>
      </c>
      <c r="O340" s="19" t="n">
        <f aca="false">IFERROR(ROUND(INDEX('Injectable Value'!$AA$28:$AA$178,MATCH(B340,'Injectable Value'!$A$28:$A$178,0)),1),"")</f>
        <v>71.4</v>
      </c>
      <c r="P340" s="16" t="str">
        <f aca="false">IFERROR(INDEX('Route of Administration'!$C$5:$C$155,MATCH(B340,'Route of Administration'!$A$5:$A$155,0)),"")</f>
        <v>IV</v>
      </c>
      <c r="Q340" s="15" t="str">
        <f aca="false">IFERROR(INDEX('Route of Administration'!$D$5:$D$155,MATCH(B340,'Route of Administration'!$A$5:$A$155,0)),"")</f>
        <v>No</v>
      </c>
      <c r="R340" s="16" t="s">
        <v>281</v>
      </c>
      <c r="S340" s="17" t="s">
        <v>1465</v>
      </c>
      <c r="T340" s="16" t="s">
        <v>333</v>
      </c>
      <c r="U340" s="17" t="str">
        <f aca="false">"Reconstitution"&amp;IF(AE340=0,"; No price found","")&amp;IF(AND(AE340&gt;0,AF340=0,AG340=0),"; Low price comes from another market – confirm with the company","")</f>
        <v>Reconstitution</v>
      </c>
      <c r="V340" s="17" t="s">
        <v>772</v>
      </c>
      <c r="W340" s="15" t="n">
        <v>2</v>
      </c>
      <c r="X340" s="17" t="s">
        <v>772</v>
      </c>
      <c r="Y340" s="17" t="s">
        <v>772</v>
      </c>
      <c r="Z340" s="17" t="s">
        <v>286</v>
      </c>
      <c r="AA340" s="16" t="s">
        <v>244</v>
      </c>
      <c r="AB340" s="78" t="s">
        <v>562</v>
      </c>
      <c r="AC340" s="20" t="n">
        <f aca="false">IF(AE340&gt;0,ROUND(AVERAGEIFS('Shortlisted Drugs X Company (7)'!$N$3:$N$698,'Shortlisted Drugs X Company (7)'!$C$3:$C$698,$B340,'Shortlisted Drugs X Company (7)'!$E$3:$E$698,$AA340,'Shortlisted Drugs X Company (7)'!$N$3:$N$698,"&gt;=0"),2),"")</f>
        <v>33.18</v>
      </c>
      <c r="AD340" s="79" t="str">
        <f aca="false">B340&amp;"|"&amp;AA340</f>
        <v>Remifentanil|Wockhardt</v>
      </c>
      <c r="AE340" s="22" t="n">
        <f aca="false">COUNTIFS('Shortlisted Drugs X Company (7)'!$C$3:$C$698,$B340,'Shortlisted Drugs X Company (7)'!$E$3:$E$698,$AA340,'Shortlisted Drugs X Company (7)'!$N$3:$N$698,"&gt;=0")</f>
        <v>2</v>
      </c>
      <c r="AF340" s="22" t="n">
        <f aca="false">COUNTIFS('Shortlisted Drugs X Company (7)'!$C$3:$C$698,$B340,'Shortlisted Drugs X Company (7)'!$E$3:$E$698,$AA340,'Shortlisted Drugs X Company (7)'!$N$3:$N$698,"&gt;5")</f>
        <v>2</v>
      </c>
      <c r="AG340" s="22" t="n">
        <f aca="false">COUNTIFS('Shortlisted Drugs X Company (7)'!$C$3:$C$698,$B340,'Shortlisted Drugs X Company (7)'!$E$3:$E$698,$AA340,'Shortlisted Drugs X Company (7)'!$P$3:$P$698,"Exact")+COUNTIFS('Shortlisted Drugs X Company (7)'!$C$3:$C$698,$B340,'Shortlisted Drugs X Company (7)'!$E$3:$E$698,$AA340,'Shortlisted Drugs X Company (7)'!$P$3:$P$698,"Same-market proxy")</f>
        <v>1</v>
      </c>
      <c r="AH340" s="22" t="n">
        <f aca="false">INDEX($G$7:$G$25,MATCH(A340,$A$7:$A$25,0))</f>
        <v>14</v>
      </c>
      <c r="AI340" s="79" t="str">
        <f aca="false">IF(OR(Q340="No",LEFT(H340,7)="IV only"),"",AH340*1000+IF(F340="",900+COUNTIFS($A$29:A340,A340,$H$29:H340,"Price*"),F340))</f>
        <v/>
      </c>
      <c r="AJ340" s="79" t="str">
        <f aca="false">IF(H340&lt;&gt;"","",(4-VALUE(RIGHT(E340,1)))*10^7+N(O340))</f>
        <v/>
      </c>
      <c r="AK340" s="79" t="str">
        <f aca="false">IF(AND(H340="",ISNUMBER(I340)),I340,"")</f>
        <v/>
      </c>
      <c r="AL340" s="79" t="str">
        <f aca="false">IF(H340="",M340,"")</f>
        <v/>
      </c>
    </row>
    <row r="341" customFormat="false" ht="41.75" hidden="false" customHeight="false" outlineLevel="0" collapsed="false">
      <c r="A341" s="16" t="s">
        <v>244</v>
      </c>
      <c r="B341" s="16" t="s">
        <v>1466</v>
      </c>
      <c r="C341" s="17" t="s">
        <v>1467</v>
      </c>
      <c r="D341" s="17" t="s">
        <v>1268</v>
      </c>
      <c r="E341" s="15" t="str">
        <f aca="false">IF(H341&lt;&gt;"",IF(LEFT(H341,5)="Price","Excluded – price ≤ USD 5","Excluded – IV only"),IF(ISNUMBER(I341),IF(AND(I341&gt;=$C$3,M341&gt;=$E$3),"Priority 1",IF(OR(I341&gt;=$C$3,M341&gt;=$E$3),"Priority 2","Priority 3")),IF(M341&gt;=$E$3,"Priority 2","Priority 3")))</f>
        <v>Excluded – IV only</v>
      </c>
      <c r="F341" s="15" t="str">
        <f aca="false">IF(H341&lt;&gt;"","",COUNTIFS($A$29:$A$361,A341,$H$29:$H$361,"",$AJ$29:$AJ$361,"&gt;"&amp;AJ341)+COUNTIFS($A$29:A341,A341,$H$29:H341,"",$AJ$29:AJ341,AJ341))</f>
        <v/>
      </c>
      <c r="G341" s="17" t="str">
        <f aca="false">IF(H341&lt;&gt;"","",IF(ISNUMBER(I341),IF(I341&gt;=$C$3,"High price","Lower price"),"No price")&amp;", "&amp;IF(M341&gt;=$E$3,"high volume","lower volume"))</f>
        <v/>
      </c>
      <c r="H341" s="17" t="str">
        <f aca="false">IF(Q341="No","IV only (no ID, IM or SC route)",IF(AND(AE341&gt;0,AF341=0),"Price ≤ USD 5",""))</f>
        <v>IV only (no ID, IM or SC route)</v>
      </c>
      <c r="I341" s="18" t="n">
        <f aca="false">IF(AF341&gt;0,ROUND(AVERAGEIFS('Shortlisted Drugs X Company (7)'!$N$3:$N$698,'Shortlisted Drugs X Company (7)'!$C$3:$C$698,$B341,'Shortlisted Drugs X Company (7)'!$E$3:$E$698,$AA341,'Shortlisted Drugs X Company (7)'!$N$3:$N$698,"&gt;5"),2),"")</f>
        <v>33.71</v>
      </c>
      <c r="J341" s="17" t="str">
        <f aca="false">IF(COUNTIFS('Shortlisted Drugs X Company (7)'!$C$3:$C$698,$B341,'Shortlisted Drugs X Company (7)'!$E$3:$E$698,$AA341,'Shortlisted Drugs X Company (7)'!$P$3:$P$698,"Exact")&gt;0,"Exact",IF(COUNTIFS('Shortlisted Drugs X Company (7)'!$C$3:$C$698,$B341,'Shortlisted Drugs X Company (7)'!$E$3:$E$698,$AA341,'Shortlisted Drugs X Company (7)'!$P$3:$P$698,"Same-market proxy")&gt;0,"Same-market proxy",IF(COUNTIFS('Shortlisted Drugs X Company (7)'!$C$3:$C$698,$B341,'Shortlisted Drugs X Company (7)'!$E$3:$E$698,$AA341,'Shortlisted Drugs X Company (7)'!$P$3:$P$698,"Cross-market proxy")&gt;0,"Cross-market proxy",IF(COUNTIFS('Shortlisted Drugs X Company (7)'!$C$3:$C$698,$B341,'Shortlisted Drugs X Company (7)'!$E$3:$E$698,$AA341,'Shortlisted Drugs X Company (7)'!$P$3:$P$698,"Source not found")&gt;0,"Source not found","No price found"))))</f>
        <v>Exact</v>
      </c>
      <c r="K341" s="19" t="n">
        <f aca="false">IFERROR(INDEX('Injectable Value'!$AB$28:$AB$178,MATCH(B341,'Injectable Value'!$A$28:$A$178,0)),"")</f>
        <v>780</v>
      </c>
      <c r="L341" s="77" t="n">
        <f aca="false">IFERROR(INDEX('Injectable Value'!$Z$28:$Z$178,MATCH(B341,'Injectable Value'!$A$28:$A$178,0)),"")</f>
        <v>0.194160055301433</v>
      </c>
      <c r="M341" s="19" t="n">
        <f aca="false">IFERROR(INDEX('Injectable Value'!$AC$28:$AC$178,MATCH(B341,'Injectable Value'!$A$28:$A$178,0)),"")</f>
        <v>151</v>
      </c>
      <c r="N341" s="19" t="n">
        <f aca="false">IFERROR(INDEX('Injectable Value'!$C$28:$C$178,MATCH(B341,'Injectable Value'!$A$28:$A$178,0)),"")</f>
        <v>18439.5</v>
      </c>
      <c r="O341" s="19" t="n">
        <f aca="false">IFERROR(ROUND(INDEX('Injectable Value'!$AA$28:$AA$178,MATCH(B341,'Injectable Value'!$A$28:$A$178,0)),1),"")</f>
        <v>3580.2</v>
      </c>
      <c r="P341" s="16" t="str">
        <f aca="false">IFERROR(INDEX('Route of Administration'!$C$5:$C$155,MATCH(B341,'Route of Administration'!$A$5:$A$155,0)),"")</f>
        <v>IV</v>
      </c>
      <c r="Q341" s="15" t="str">
        <f aca="false">IFERROR(INDEX('Route of Administration'!$D$5:$D$155,MATCH(B341,'Route of Administration'!$A$5:$A$155,0)),"")</f>
        <v>No</v>
      </c>
      <c r="R341" s="16" t="s">
        <v>371</v>
      </c>
      <c r="S341" s="17" t="s">
        <v>1468</v>
      </c>
      <c r="T341" s="16" t="s">
        <v>283</v>
      </c>
      <c r="U341" s="17" t="str">
        <f aca="false">""&amp;IF(AE341=0,"No price found","")&amp;IF(AND(AE341&gt;0,AF341=0,AG341=0),"Low price comes from another market – confirm with the company","")</f>
        <v/>
      </c>
      <c r="V341" s="17" t="s">
        <v>772</v>
      </c>
      <c r="W341" s="15" t="n">
        <v>3</v>
      </c>
      <c r="X341" s="17" t="s">
        <v>1433</v>
      </c>
      <c r="Y341" s="17" t="s">
        <v>1433</v>
      </c>
      <c r="Z341" s="17" t="s">
        <v>321</v>
      </c>
      <c r="AA341" s="16" t="s">
        <v>244</v>
      </c>
      <c r="AB341" s="78" t="s">
        <v>1469</v>
      </c>
      <c r="AC341" s="20" t="n">
        <f aca="false">IF(AE341&gt;0,ROUND(AVERAGEIFS('Shortlisted Drugs X Company (7)'!$N$3:$N$698,'Shortlisted Drugs X Company (7)'!$C$3:$C$698,$B341,'Shortlisted Drugs X Company (7)'!$E$3:$E$698,$AA341,'Shortlisted Drugs X Company (7)'!$N$3:$N$698,"&gt;=0"),2),"")</f>
        <v>33.71</v>
      </c>
      <c r="AD341" s="79" t="str">
        <f aca="false">B341&amp;"|"&amp;AA341</f>
        <v>Sodium Valproate|Wockhardt</v>
      </c>
      <c r="AE341" s="22" t="n">
        <f aca="false">COUNTIFS('Shortlisted Drugs X Company (7)'!$C$3:$C$698,$B341,'Shortlisted Drugs X Company (7)'!$E$3:$E$698,$AA341,'Shortlisted Drugs X Company (7)'!$N$3:$N$698,"&gt;=0")</f>
        <v>3</v>
      </c>
      <c r="AF341" s="22" t="n">
        <f aca="false">COUNTIFS('Shortlisted Drugs X Company (7)'!$C$3:$C$698,$B341,'Shortlisted Drugs X Company (7)'!$E$3:$E$698,$AA341,'Shortlisted Drugs X Company (7)'!$N$3:$N$698,"&gt;5")</f>
        <v>3</v>
      </c>
      <c r="AG341" s="22" t="n">
        <f aca="false">COUNTIFS('Shortlisted Drugs X Company (7)'!$C$3:$C$698,$B341,'Shortlisted Drugs X Company (7)'!$E$3:$E$698,$AA341,'Shortlisted Drugs X Company (7)'!$P$3:$P$698,"Exact")+COUNTIFS('Shortlisted Drugs X Company (7)'!$C$3:$C$698,$B341,'Shortlisted Drugs X Company (7)'!$E$3:$E$698,$AA341,'Shortlisted Drugs X Company (7)'!$P$3:$P$698,"Same-market proxy")</f>
        <v>2</v>
      </c>
      <c r="AH341" s="22" t="n">
        <f aca="false">INDEX($G$7:$G$25,MATCH(A341,$A$7:$A$25,0))</f>
        <v>14</v>
      </c>
      <c r="AI341" s="79" t="str">
        <f aca="false">IF(OR(Q341="No",LEFT(H341,7)="IV only"),"",AH341*1000+IF(F341="",900+COUNTIFS($A$29:A341,A341,$H$29:H341,"Price*"),F341))</f>
        <v/>
      </c>
      <c r="AJ341" s="79" t="str">
        <f aca="false">IF(H341&lt;&gt;"","",(4-VALUE(RIGHT(E341,1)))*10^7+N(O341))</f>
        <v/>
      </c>
      <c r="AK341" s="79" t="str">
        <f aca="false">IF(AND(H341="",ISNUMBER(I341)),I341,"")</f>
        <v/>
      </c>
      <c r="AL341" s="79" t="str">
        <f aca="false">IF(H341="",M341,"")</f>
        <v/>
      </c>
    </row>
    <row r="342" customFormat="false" ht="28.35" hidden="false" customHeight="false" outlineLevel="0" collapsed="false">
      <c r="A342" s="16" t="s">
        <v>244</v>
      </c>
      <c r="B342" s="16" t="s">
        <v>665</v>
      </c>
      <c r="C342" s="17" t="s">
        <v>665</v>
      </c>
      <c r="D342" s="17" t="s">
        <v>667</v>
      </c>
      <c r="E342" s="15" t="str">
        <f aca="false">IF(H342&lt;&gt;"",IF(LEFT(H342,5)="Price","Excluded – price ≤ USD 5","Excluded – IV only"),IF(ISNUMBER(I342),IF(AND(I342&gt;=$C$3,M342&gt;=$E$3),"Priority 1",IF(OR(I342&gt;=$C$3,M342&gt;=$E$3),"Priority 2","Priority 3")),IF(M342&gt;=$E$3,"Priority 2","Priority 3")))</f>
        <v>Excluded – IV only</v>
      </c>
      <c r="F342" s="15" t="str">
        <f aca="false">IF(H342&lt;&gt;"","",COUNTIFS($A$29:$A$361,A342,$H$29:$H$361,"",$AJ$29:$AJ$361,"&gt;"&amp;AJ342)+COUNTIFS($A$29:A342,A342,$H$29:H342,"",$AJ$29:AJ342,AJ342))</f>
        <v/>
      </c>
      <c r="G342" s="17" t="str">
        <f aca="false">IF(H342&lt;&gt;"","",IF(ISNUMBER(I342),IF(I342&gt;=$C$3,"High price","Lower price"),"No price")&amp;", "&amp;IF(M342&gt;=$E$3,"high volume","lower volume"))</f>
        <v/>
      </c>
      <c r="H342" s="17" t="str">
        <f aca="false">IF(Q342="No","IV only (no ID, IM or SC route)",IF(AND(AE342&gt;0,AF342=0),"Price ≤ USD 5",""))</f>
        <v>IV only (no ID, IM or SC route)</v>
      </c>
      <c r="I342" s="18" t="n">
        <f aca="false">IF(AF342&gt;0,ROUND(AVERAGEIFS('Shortlisted Drugs X Company (7)'!$N$3:$N$698,'Shortlisted Drugs X Company (7)'!$C$3:$C$698,$B342,'Shortlisted Drugs X Company (7)'!$E$3:$E$698,$AA342,'Shortlisted Drugs X Company (7)'!$N$3:$N$698,"&gt;5"),2),"")</f>
        <v>140.09</v>
      </c>
      <c r="J342" s="17" t="str">
        <f aca="false">IF(COUNTIFS('Shortlisted Drugs X Company (7)'!$C$3:$C$698,$B342,'Shortlisted Drugs X Company (7)'!$E$3:$E$698,$AA342,'Shortlisted Drugs X Company (7)'!$P$3:$P$698,"Exact")&gt;0,"Exact",IF(COUNTIFS('Shortlisted Drugs X Company (7)'!$C$3:$C$698,$B342,'Shortlisted Drugs X Company (7)'!$E$3:$E$698,$AA342,'Shortlisted Drugs X Company (7)'!$P$3:$P$698,"Same-market proxy")&gt;0,"Same-market proxy",IF(COUNTIFS('Shortlisted Drugs X Company (7)'!$C$3:$C$698,$B342,'Shortlisted Drugs X Company (7)'!$E$3:$E$698,$AA342,'Shortlisted Drugs X Company (7)'!$P$3:$P$698,"Cross-market proxy")&gt;0,"Cross-market proxy",IF(COUNTIFS('Shortlisted Drugs X Company (7)'!$C$3:$C$698,$B342,'Shortlisted Drugs X Company (7)'!$E$3:$E$698,$AA342,'Shortlisted Drugs X Company (7)'!$P$3:$P$698,"Source not found")&gt;0,"Source not found","No price found"))))</f>
        <v>Exact</v>
      </c>
      <c r="K342" s="19" t="n">
        <f aca="false">IFERROR(INDEX('Injectable Value'!$AB$28:$AB$178,MATCH(B342,'Injectable Value'!$A$28:$A$178,0)),"")</f>
        <v>346</v>
      </c>
      <c r="L342" s="77" t="n">
        <f aca="false">IFERROR(INDEX('Injectable Value'!$Z$28:$Z$178,MATCH(B342,'Injectable Value'!$A$28:$A$178,0)),"")</f>
        <v>1</v>
      </c>
      <c r="M342" s="19" t="n">
        <f aca="false">IFERROR(INDEX('Injectable Value'!$AC$28:$AC$178,MATCH(B342,'Injectable Value'!$A$28:$A$178,0)),"")</f>
        <v>346</v>
      </c>
      <c r="N342" s="19" t="n">
        <f aca="false">IFERROR(INDEX('Injectable Value'!$C$28:$C$178,MATCH(B342,'Injectable Value'!$A$28:$A$178,0)),"")</f>
        <v>32830.17</v>
      </c>
      <c r="O342" s="19" t="n">
        <f aca="false">IFERROR(ROUND(INDEX('Injectable Value'!$AA$28:$AA$178,MATCH(B342,'Injectable Value'!$A$28:$A$178,0)),1),"")</f>
        <v>32830.2</v>
      </c>
      <c r="P342" s="16" t="str">
        <f aca="false">IFERROR(INDEX('Route of Administration'!$C$5:$C$155,MATCH(B342,'Route of Administration'!$A$5:$A$155,0)),"")</f>
        <v>IV</v>
      </c>
      <c r="Q342" s="15" t="str">
        <f aca="false">IFERROR(INDEX('Route of Administration'!$D$5:$D$155,MATCH(B342,'Route of Administration'!$A$5:$A$155,0)),"")</f>
        <v>No</v>
      </c>
      <c r="R342" s="16" t="s">
        <v>371</v>
      </c>
      <c r="S342" s="17" t="s">
        <v>1470</v>
      </c>
      <c r="T342" s="16" t="s">
        <v>283</v>
      </c>
      <c r="U342" s="17" t="str">
        <f aca="false">""&amp;IF(AE342=0,"No price found","")&amp;IF(AND(AE342&gt;0,AF342=0,AG342=0),"Low price comes from another market – confirm with the company","")</f>
        <v/>
      </c>
      <c r="V342" s="17" t="s">
        <v>772</v>
      </c>
      <c r="W342" s="15" t="n">
        <v>2</v>
      </c>
      <c r="X342" s="17" t="s">
        <v>772</v>
      </c>
      <c r="Y342" s="17" t="s">
        <v>772</v>
      </c>
      <c r="Z342" s="17" t="s">
        <v>286</v>
      </c>
      <c r="AA342" s="16" t="s">
        <v>244</v>
      </c>
      <c r="AB342" s="78" t="s">
        <v>670</v>
      </c>
      <c r="AC342" s="20" t="n">
        <f aca="false">IF(AE342&gt;0,ROUND(AVERAGEIFS('Shortlisted Drugs X Company (7)'!$N$3:$N$698,'Shortlisted Drugs X Company (7)'!$C$3:$C$698,$B342,'Shortlisted Drugs X Company (7)'!$E$3:$E$698,$AA342,'Shortlisted Drugs X Company (7)'!$N$3:$N$698,"&gt;=0"),2),"")</f>
        <v>140.09</v>
      </c>
      <c r="AD342" s="79" t="str">
        <f aca="false">B342&amp;"|"&amp;AA342</f>
        <v>Sugammadex|Wockhardt</v>
      </c>
      <c r="AE342" s="22" t="n">
        <f aca="false">COUNTIFS('Shortlisted Drugs X Company (7)'!$C$3:$C$698,$B342,'Shortlisted Drugs X Company (7)'!$E$3:$E$698,$AA342,'Shortlisted Drugs X Company (7)'!$N$3:$N$698,"&gt;=0")</f>
        <v>2</v>
      </c>
      <c r="AF342" s="22" t="n">
        <f aca="false">COUNTIFS('Shortlisted Drugs X Company (7)'!$C$3:$C$698,$B342,'Shortlisted Drugs X Company (7)'!$E$3:$E$698,$AA342,'Shortlisted Drugs X Company (7)'!$N$3:$N$698,"&gt;5")</f>
        <v>2</v>
      </c>
      <c r="AG342" s="22" t="n">
        <f aca="false">COUNTIFS('Shortlisted Drugs X Company (7)'!$C$3:$C$698,$B342,'Shortlisted Drugs X Company (7)'!$E$3:$E$698,$AA342,'Shortlisted Drugs X Company (7)'!$P$3:$P$698,"Exact")+COUNTIFS('Shortlisted Drugs X Company (7)'!$C$3:$C$698,$B342,'Shortlisted Drugs X Company (7)'!$E$3:$E$698,$AA342,'Shortlisted Drugs X Company (7)'!$P$3:$P$698,"Same-market proxy")</f>
        <v>1</v>
      </c>
      <c r="AH342" s="22" t="n">
        <f aca="false">INDEX($G$7:$G$25,MATCH(A342,$A$7:$A$25,0))</f>
        <v>14</v>
      </c>
      <c r="AI342" s="79" t="str">
        <f aca="false">IF(OR(Q342="No",LEFT(H342,7)="IV only"),"",AH342*1000+IF(F342="",900+COUNTIFS($A$29:A342,A342,$H$29:H342,"Price*"),F342))</f>
        <v/>
      </c>
      <c r="AJ342" s="79" t="str">
        <f aca="false">IF(H342&lt;&gt;"","",(4-VALUE(RIGHT(E342,1)))*10^7+N(O342))</f>
        <v/>
      </c>
      <c r="AK342" s="79" t="str">
        <f aca="false">IF(AND(H342="",ISNUMBER(I342)),I342,"")</f>
        <v/>
      </c>
      <c r="AL342" s="79" t="str">
        <f aca="false">IF(H342="",M342,"")</f>
        <v/>
      </c>
    </row>
    <row r="343" customFormat="false" ht="28.35" hidden="false" customHeight="false" outlineLevel="0" collapsed="false">
      <c r="A343" s="16" t="s">
        <v>244</v>
      </c>
      <c r="B343" s="16" t="s">
        <v>1471</v>
      </c>
      <c r="C343" s="17" t="s">
        <v>1472</v>
      </c>
      <c r="D343" s="17" t="s">
        <v>673</v>
      </c>
      <c r="E343" s="15" t="str">
        <f aca="false">IF(H343&lt;&gt;"",IF(LEFT(H343,5)="Price","Excluded – price ≤ USD 5","Excluded – IV only"),IF(ISNUMBER(I343),IF(AND(I343&gt;=$C$3,M343&gt;=$E$3),"Priority 1",IF(OR(I343&gt;=$C$3,M343&gt;=$E$3),"Priority 2","Priority 3")),IF(M343&gt;=$E$3,"Priority 2","Priority 3")))</f>
        <v>Excluded – IV only</v>
      </c>
      <c r="F343" s="15" t="str">
        <f aca="false">IF(H343&lt;&gt;"","",COUNTIFS($A$29:$A$361,A343,$H$29:$H$361,"",$AJ$29:$AJ$361,"&gt;"&amp;AJ343)+COUNTIFS($A$29:A343,A343,$H$29:H343,"",$AJ$29:AJ343,AJ343))</f>
        <v/>
      </c>
      <c r="G343" s="17" t="str">
        <f aca="false">IF(H343&lt;&gt;"","",IF(ISNUMBER(I343),IF(I343&gt;=$C$3,"High price","Lower price"),"No price")&amp;", "&amp;IF(M343&gt;=$E$3,"high volume","lower volume"))</f>
        <v/>
      </c>
      <c r="H343" s="17" t="str">
        <f aca="false">IF(Q343="No","IV only (no ID, IM or SC route)",IF(AND(AE343&gt;0,AF343=0),"Price ≤ USD 5",""))</f>
        <v>IV only (no ID, IM or SC route)</v>
      </c>
      <c r="I343" s="18" t="n">
        <f aca="false">IF(AF343&gt;0,ROUND(AVERAGEIFS('Shortlisted Drugs X Company (7)'!$N$3:$N$698,'Shortlisted Drugs X Company (7)'!$C$3:$C$698,$B343,'Shortlisted Drugs X Company (7)'!$E$3:$E$698,$AA343,'Shortlisted Drugs X Company (7)'!$N$3:$N$698,"&gt;5"),2),"")</f>
        <v>6.73</v>
      </c>
      <c r="J343" s="17" t="str">
        <f aca="false">IF(COUNTIFS('Shortlisted Drugs X Company (7)'!$C$3:$C$698,$B343,'Shortlisted Drugs X Company (7)'!$E$3:$E$698,$AA343,'Shortlisted Drugs X Company (7)'!$P$3:$P$698,"Exact")&gt;0,"Exact",IF(COUNTIFS('Shortlisted Drugs X Company (7)'!$C$3:$C$698,$B343,'Shortlisted Drugs X Company (7)'!$E$3:$E$698,$AA343,'Shortlisted Drugs X Company (7)'!$P$3:$P$698,"Same-market proxy")&gt;0,"Same-market proxy",IF(COUNTIFS('Shortlisted Drugs X Company (7)'!$C$3:$C$698,$B343,'Shortlisted Drugs X Company (7)'!$E$3:$E$698,$AA343,'Shortlisted Drugs X Company (7)'!$P$3:$P$698,"Cross-market proxy")&gt;0,"Cross-market proxy",IF(COUNTIFS('Shortlisted Drugs X Company (7)'!$C$3:$C$698,$B343,'Shortlisted Drugs X Company (7)'!$E$3:$E$698,$AA343,'Shortlisted Drugs X Company (7)'!$P$3:$P$698,"Source not found")&gt;0,"Source not found","No price found"))))</f>
        <v>Cross-market proxy</v>
      </c>
      <c r="K343" s="19" t="n">
        <f aca="false">IFERROR(INDEX('Injectable Value'!$AB$28:$AB$178,MATCH(B343,'Injectable Value'!$A$28:$A$178,0)),"")</f>
        <v>1200</v>
      </c>
      <c r="L343" s="77" t="n">
        <f aca="false">IFERROR(INDEX('Injectable Value'!$Z$28:$Z$178,MATCH(B343,'Injectable Value'!$A$28:$A$178,0)),"")</f>
        <v>0.822746602056947</v>
      </c>
      <c r="M343" s="19" t="n">
        <f aca="false">IFERROR(INDEX('Injectable Value'!$AC$28:$AC$178,MATCH(B343,'Injectable Value'!$A$28:$A$178,0)),"")</f>
        <v>987</v>
      </c>
      <c r="N343" s="19" t="n">
        <f aca="false">IFERROR(INDEX('Injectable Value'!$C$28:$C$178,MATCH(B343,'Injectable Value'!$A$28:$A$178,0)),"")</f>
        <v>53526.71</v>
      </c>
      <c r="O343" s="19" t="n">
        <f aca="false">IFERROR(ROUND(INDEX('Injectable Value'!$AA$28:$AA$178,MATCH(B343,'Injectable Value'!$A$28:$A$178,0)),1),"")</f>
        <v>44038.9</v>
      </c>
      <c r="P343" s="16" t="str">
        <f aca="false">IFERROR(INDEX('Route of Administration'!$C$5:$C$155,MATCH(B343,'Route of Administration'!$A$5:$A$155,0)),"")</f>
        <v>IV</v>
      </c>
      <c r="Q343" s="15" t="str">
        <f aca="false">IFERROR(INDEX('Route of Administration'!$D$5:$D$155,MATCH(B343,'Route of Administration'!$A$5:$A$155,0)),"")</f>
        <v>No</v>
      </c>
      <c r="R343" s="16" t="s">
        <v>281</v>
      </c>
      <c r="S343" s="17" t="s">
        <v>771</v>
      </c>
      <c r="T343" s="16" t="s">
        <v>333</v>
      </c>
      <c r="U343" s="17" t="str">
        <f aca="false">"Reconstitution"&amp;IF(AE343=0,"; No price found","")&amp;IF(AND(AE343&gt;0,AF343=0,AG343=0),"; Low price comes from another market – confirm with the company","")</f>
        <v>Reconstitution</v>
      </c>
      <c r="V343" s="17" t="s">
        <v>912</v>
      </c>
      <c r="W343" s="15" t="n">
        <v>1</v>
      </c>
      <c r="X343" s="17" t="s">
        <v>912</v>
      </c>
      <c r="Y343" s="17" t="s">
        <v>912</v>
      </c>
      <c r="Z343" s="17" t="s">
        <v>321</v>
      </c>
      <c r="AA343" s="16" t="s">
        <v>244</v>
      </c>
      <c r="AB343" s="78" t="s">
        <v>1473</v>
      </c>
      <c r="AC343" s="20" t="n">
        <f aca="false">IF(AE343&gt;0,ROUND(AVERAGEIFS('Shortlisted Drugs X Company (7)'!$N$3:$N$698,'Shortlisted Drugs X Company (7)'!$C$3:$C$698,$B343,'Shortlisted Drugs X Company (7)'!$E$3:$E$698,$AA343,'Shortlisted Drugs X Company (7)'!$N$3:$N$698,"&gt;=0"),2),"")</f>
        <v>6.73</v>
      </c>
      <c r="AD343" s="79" t="str">
        <f aca="false">B343&amp;"|"&amp;AA343</f>
        <v>Vancomycin|Wockhardt</v>
      </c>
      <c r="AE343" s="22" t="n">
        <f aca="false">COUNTIFS('Shortlisted Drugs X Company (7)'!$C$3:$C$698,$B343,'Shortlisted Drugs X Company (7)'!$E$3:$E$698,$AA343,'Shortlisted Drugs X Company (7)'!$N$3:$N$698,"&gt;=0")</f>
        <v>1</v>
      </c>
      <c r="AF343" s="22" t="n">
        <f aca="false">COUNTIFS('Shortlisted Drugs X Company (7)'!$C$3:$C$698,$B343,'Shortlisted Drugs X Company (7)'!$E$3:$E$698,$AA343,'Shortlisted Drugs X Company (7)'!$N$3:$N$698,"&gt;5")</f>
        <v>1</v>
      </c>
      <c r="AG343" s="22" t="n">
        <f aca="false">COUNTIFS('Shortlisted Drugs X Company (7)'!$C$3:$C$698,$B343,'Shortlisted Drugs X Company (7)'!$E$3:$E$698,$AA343,'Shortlisted Drugs X Company (7)'!$P$3:$P$698,"Exact")+COUNTIFS('Shortlisted Drugs X Company (7)'!$C$3:$C$698,$B343,'Shortlisted Drugs X Company (7)'!$E$3:$E$698,$AA343,'Shortlisted Drugs X Company (7)'!$P$3:$P$698,"Same-market proxy")</f>
        <v>0</v>
      </c>
      <c r="AH343" s="22" t="n">
        <f aca="false">INDEX($G$7:$G$25,MATCH(A343,$A$7:$A$25,0))</f>
        <v>14</v>
      </c>
      <c r="AI343" s="79" t="str">
        <f aca="false">IF(OR(Q343="No",LEFT(H343,7)="IV only"),"",AH343*1000+IF(F343="",900+COUNTIFS($A$29:A343,A343,$H$29:H343,"Price*"),F343))</f>
        <v/>
      </c>
      <c r="AJ343" s="79" t="str">
        <f aca="false">IF(H343&lt;&gt;"","",(4-VALUE(RIGHT(E343,1)))*10^7+N(O343))</f>
        <v/>
      </c>
      <c r="AK343" s="79" t="str">
        <f aca="false">IF(AND(H343="",ISNUMBER(I343)),I343,"")</f>
        <v/>
      </c>
      <c r="AL343" s="79" t="str">
        <f aca="false">IF(H343="",M343,"")</f>
        <v/>
      </c>
    </row>
    <row r="344" customFormat="false" ht="68.65" hidden="false" customHeight="false" outlineLevel="0" collapsed="false">
      <c r="A344" s="16" t="s">
        <v>245</v>
      </c>
      <c r="B344" s="16" t="s">
        <v>768</v>
      </c>
      <c r="C344" s="17" t="s">
        <v>1474</v>
      </c>
      <c r="D344" s="17" t="s">
        <v>770</v>
      </c>
      <c r="E344" s="15" t="str">
        <f aca="false">IF(H344&lt;&gt;"",IF(LEFT(H344,5)="Price","Excluded – price ≤ USD 5","Excluded – IV only"),IF(ISNUMBER(I344),IF(AND(I344&gt;=$C$3,M344&gt;=$E$3),"Priority 1",IF(OR(I344&gt;=$C$3,M344&gt;=$E$3),"Priority 2","Priority 3")),IF(M344&gt;=$E$3,"Priority 2","Priority 3")))</f>
        <v>Excluded – IV only</v>
      </c>
      <c r="F344" s="15" t="str">
        <f aca="false">IF(H344&lt;&gt;"","",COUNTIFS($A$29:$A$361,A344,$H$29:$H$361,"",$AJ$29:$AJ$361,"&gt;"&amp;AJ344)+COUNTIFS($A$29:A344,A344,$H$29:H344,"",$AJ$29:AJ344,AJ344))</f>
        <v/>
      </c>
      <c r="G344" s="17" t="str">
        <f aca="false">IF(H344&lt;&gt;"","",IF(ISNUMBER(I344),IF(I344&gt;=$C$3,"High price","Lower price"),"No price")&amp;", "&amp;IF(M344&gt;=$E$3,"high volume","lower volume"))</f>
        <v/>
      </c>
      <c r="H344" s="17" t="str">
        <f aca="false">IF(Q344="No","IV only (no ID, IM or SC route)","IV only – the company's product (see Route of Administration, step 2)")</f>
        <v>IV only – the company's product (see Route of Administration, step 2)</v>
      </c>
      <c r="I344" s="18" t="n">
        <f aca="false">IF(AF344&gt;0,ROUND(AVERAGEIFS('Shortlisted Drugs X Company (7)'!$N$3:$N$698,'Shortlisted Drugs X Company (7)'!$C$3:$C$698,$B344,'Shortlisted Drugs X Company (7)'!$E$3:$E$698,$AA344,'Shortlisted Drugs X Company (7)'!$N$3:$N$698,"&gt;5"),2),"")</f>
        <v>24.95</v>
      </c>
      <c r="J344" s="17" t="str">
        <f aca="false">IF(COUNTIFS('Shortlisted Drugs X Company (7)'!$C$3:$C$698,$B344,'Shortlisted Drugs X Company (7)'!$E$3:$E$698,$AA344,'Shortlisted Drugs X Company (7)'!$P$3:$P$698,"Exact")&gt;0,"Exact",IF(COUNTIFS('Shortlisted Drugs X Company (7)'!$C$3:$C$698,$B344,'Shortlisted Drugs X Company (7)'!$E$3:$E$698,$AA344,'Shortlisted Drugs X Company (7)'!$P$3:$P$698,"Same-market proxy")&gt;0,"Same-market proxy",IF(COUNTIFS('Shortlisted Drugs X Company (7)'!$C$3:$C$698,$B344,'Shortlisted Drugs X Company (7)'!$E$3:$E$698,$AA344,'Shortlisted Drugs X Company (7)'!$P$3:$P$698,"Cross-market proxy")&gt;0,"Cross-market proxy",IF(COUNTIFS('Shortlisted Drugs X Company (7)'!$C$3:$C$698,$B344,'Shortlisted Drugs X Company (7)'!$E$3:$E$698,$AA344,'Shortlisted Drugs X Company (7)'!$P$3:$P$698,"Source not found")&gt;0,"Source not found","No price found"))))</f>
        <v>Same-market proxy</v>
      </c>
      <c r="K344" s="19" t="n">
        <f aca="false">IFERROR(INDEX('Injectable Value'!$AB$28:$AB$178,MATCH(B344,'Injectable Value'!$A$28:$A$178,0)),"")</f>
        <v>310</v>
      </c>
      <c r="L344" s="77" t="n">
        <f aca="false">IFERROR(INDEX('Injectable Value'!$Z$28:$Z$178,MATCH(B344,'Injectable Value'!$A$28:$A$178,0)),"")</f>
        <v>0.156211180124224</v>
      </c>
      <c r="M344" s="19" t="n">
        <f aca="false">IFERROR(INDEX('Injectable Value'!$AC$28:$AC$178,MATCH(B344,'Injectable Value'!$A$28:$A$178,0)),"")</f>
        <v>48</v>
      </c>
      <c r="N344" s="19" t="n">
        <f aca="false">IFERROR(INDEX('Injectable Value'!$C$28:$C$178,MATCH(B344,'Injectable Value'!$A$28:$A$178,0)),"")</f>
        <v>8995.42</v>
      </c>
      <c r="O344" s="19" t="n">
        <f aca="false">IFERROR(ROUND(INDEX('Injectable Value'!$AA$28:$AA$178,MATCH(B344,'Injectable Value'!$A$28:$A$178,0)),1),"")</f>
        <v>1405.2</v>
      </c>
      <c r="P344" s="16" t="str">
        <f aca="false">IFERROR(INDEX('Route of Administration'!$C$5:$C$155,MATCH(B344,'Route of Administration'!$A$5:$A$155,0)),"")</f>
        <v>IV, IM</v>
      </c>
      <c r="Q344" s="15" t="str">
        <f aca="false">IFERROR(INDEX('Route of Administration'!$D$5:$D$155,MATCH(B344,'Route of Administration'!$A$5:$A$155,0)),"")</f>
        <v>Yes</v>
      </c>
      <c r="R344" s="16" t="s">
        <v>310</v>
      </c>
      <c r="S344" s="17" t="s">
        <v>932</v>
      </c>
      <c r="T344" s="16" t="s">
        <v>310</v>
      </c>
      <c r="U344" s="17" t="str">
        <f aca="false">""&amp;IF(AE344=0,"No price found","")&amp;IF(AND(AE344&gt;0,AF344=0,AG344=0),"Low price comes from another market – confirm with the company","")</f>
        <v/>
      </c>
      <c r="V344" s="17" t="s">
        <v>284</v>
      </c>
      <c r="W344" s="15" t="n">
        <v>1</v>
      </c>
      <c r="X344" s="17" t="s">
        <v>284</v>
      </c>
      <c r="Y344" s="17" t="s">
        <v>284</v>
      </c>
      <c r="Z344" s="17" t="s">
        <v>312</v>
      </c>
      <c r="AA344" s="16" t="s">
        <v>1475</v>
      </c>
      <c r="AB344" s="78" t="s">
        <v>774</v>
      </c>
      <c r="AC344" s="20" t="n">
        <f aca="false">IF(AE344&gt;0,ROUND(AVERAGEIFS('Shortlisted Drugs X Company (7)'!$N$3:$N$698,'Shortlisted Drugs X Company (7)'!$C$3:$C$698,$B344,'Shortlisted Drugs X Company (7)'!$E$3:$E$698,$AA344,'Shortlisted Drugs X Company (7)'!$N$3:$N$698,"&gt;=0"),2),"")</f>
        <v>24.95</v>
      </c>
      <c r="AD344" s="79" t="str">
        <f aca="false">B344&amp;"|"&amp;AA344</f>
        <v>Acetazolamide|Zydus Lifesciences</v>
      </c>
      <c r="AE344" s="22" t="n">
        <f aca="false">COUNTIFS('Shortlisted Drugs X Company (7)'!$C$3:$C$698,$B344,'Shortlisted Drugs X Company (7)'!$E$3:$E$698,$AA344,'Shortlisted Drugs X Company (7)'!$N$3:$N$698,"&gt;=0")</f>
        <v>1</v>
      </c>
      <c r="AF344" s="22" t="n">
        <f aca="false">COUNTIFS('Shortlisted Drugs X Company (7)'!$C$3:$C$698,$B344,'Shortlisted Drugs X Company (7)'!$E$3:$E$698,$AA344,'Shortlisted Drugs X Company (7)'!$N$3:$N$698,"&gt;5")</f>
        <v>1</v>
      </c>
      <c r="AG344" s="22" t="n">
        <f aca="false">COUNTIFS('Shortlisted Drugs X Company (7)'!$C$3:$C$698,$B344,'Shortlisted Drugs X Company (7)'!$E$3:$E$698,$AA344,'Shortlisted Drugs X Company (7)'!$P$3:$P$698,"Exact")+COUNTIFS('Shortlisted Drugs X Company (7)'!$C$3:$C$698,$B344,'Shortlisted Drugs X Company (7)'!$E$3:$E$698,$AA344,'Shortlisted Drugs X Company (7)'!$P$3:$P$698,"Same-market proxy")</f>
        <v>1</v>
      </c>
      <c r="AH344" s="22" t="n">
        <f aca="false">INDEX($G$7:$G$25,MATCH(A344,$A$7:$A$25,0))</f>
        <v>7</v>
      </c>
      <c r="AI344" s="79" t="str">
        <f aca="false">IF(OR(Q344="No",LEFT(H344,7)="IV only"),"",AH344*1000+IF(F344="",900+COUNTIFS($A$29:A344,A344,$H$29:H344,"Price*"),F344))</f>
        <v/>
      </c>
      <c r="AJ344" s="79" t="str">
        <f aca="false">IF(H344&lt;&gt;"","",(4-VALUE(RIGHT(E344,1)))*10^7+N(O344))</f>
        <v/>
      </c>
      <c r="AK344" s="79" t="str">
        <f aca="false">IF(AND(H344="",ISNUMBER(I344)),I344,"")</f>
        <v/>
      </c>
      <c r="AL344" s="79" t="str">
        <f aca="false">IF(H344="",M344,"")</f>
        <v/>
      </c>
    </row>
    <row r="345" customFormat="false" ht="28.35" hidden="false" customHeight="false" outlineLevel="0" collapsed="false">
      <c r="A345" s="16" t="s">
        <v>245</v>
      </c>
      <c r="B345" s="16" t="s">
        <v>338</v>
      </c>
      <c r="C345" s="17" t="s">
        <v>1476</v>
      </c>
      <c r="D345" s="17" t="s">
        <v>340</v>
      </c>
      <c r="E345" s="15" t="str">
        <f aca="false">IF(H345&lt;&gt;"",IF(LEFT(H345,5)="Price","Excluded – price ≤ USD 5","Excluded – IV only"),IF(ISNUMBER(I345),IF(AND(I345&gt;=$C$3,M345&gt;=$E$3),"Priority 1",IF(OR(I345&gt;=$C$3,M345&gt;=$E$3),"Priority 2","Priority 3")),IF(M345&gt;=$E$3,"Priority 2","Priority 3")))</f>
        <v>Priority 1</v>
      </c>
      <c r="F345" s="15" t="n">
        <f aca="false">IF(H345&lt;&gt;"","",COUNTIFS($A$29:$A$361,A345,$H$29:$H$361,"",$AJ$29:$AJ$361,"&gt;"&amp;AJ345)+COUNTIFS($A$29:A345,A345,$H$29:H345,"",$AJ$29:AJ345,AJ345))</f>
        <v>1</v>
      </c>
      <c r="G345" s="17" t="str">
        <f aca="false">IF(H345&lt;&gt;"","",IF(ISNUMBER(I345),IF(I345&gt;=$C$3,"High price","Lower price"),"No price")&amp;", "&amp;IF(M345&gt;=$E$3,"high volume","lower volume"))</f>
        <v>High price, high volume</v>
      </c>
      <c r="H345" s="17" t="str">
        <f aca="false">IF(Q345="No","IV only (no ID, IM or SC route)",IF(AND(AE345&gt;0,AF345=0),"Price ≤ USD 5",""))</f>
        <v/>
      </c>
      <c r="I345" s="18" t="n">
        <f aca="false">IF(AF345&gt;0,ROUND(AVERAGEIFS('Shortlisted Drugs X Company (7)'!$N$3:$N$698,'Shortlisted Drugs X Company (7)'!$C$3:$C$698,$B345,'Shortlisted Drugs X Company (7)'!$E$3:$E$698,$AA345,'Shortlisted Drugs X Company (7)'!$N$3:$N$698,"&gt;5"),2),"")</f>
        <v>618.92</v>
      </c>
      <c r="J345" s="17" t="str">
        <f aca="false">IF(COUNTIFS('Shortlisted Drugs X Company (7)'!$C$3:$C$698,$B345,'Shortlisted Drugs X Company (7)'!$E$3:$E$698,$AA345,'Shortlisted Drugs X Company (7)'!$P$3:$P$698,"Exact")&gt;0,"Exact",IF(COUNTIFS('Shortlisted Drugs X Company (7)'!$C$3:$C$698,$B345,'Shortlisted Drugs X Company (7)'!$E$3:$E$698,$AA345,'Shortlisted Drugs X Company (7)'!$P$3:$P$698,"Same-market proxy")&gt;0,"Same-market proxy",IF(COUNTIFS('Shortlisted Drugs X Company (7)'!$C$3:$C$698,$B345,'Shortlisted Drugs X Company (7)'!$E$3:$E$698,$AA345,'Shortlisted Drugs X Company (7)'!$P$3:$P$698,"Cross-market proxy")&gt;0,"Cross-market proxy",IF(COUNTIFS('Shortlisted Drugs X Company (7)'!$C$3:$C$698,$B345,'Shortlisted Drugs X Company (7)'!$E$3:$E$698,$AA345,'Shortlisted Drugs X Company (7)'!$P$3:$P$698,"Source not found")&gt;0,"Source not found","No price found"))))</f>
        <v>Exact</v>
      </c>
      <c r="K345" s="19" t="n">
        <f aca="false">IFERROR(INDEX('Injectable Value'!$AB$28:$AB$178,MATCH(B345,'Injectable Value'!$A$28:$A$178,0)),"")</f>
        <v>905</v>
      </c>
      <c r="L345" s="77" t="n">
        <f aca="false">IFERROR(INDEX('Injectable Value'!$Z$28:$Z$178,MATCH(B345,'Injectable Value'!$A$28:$A$178,0)),"")</f>
        <v>1</v>
      </c>
      <c r="M345" s="19" t="n">
        <f aca="false">IFERROR(INDEX('Injectable Value'!$AC$28:$AC$178,MATCH(B345,'Injectable Value'!$A$28:$A$178,0)),"")</f>
        <v>905</v>
      </c>
      <c r="N345" s="19" t="n">
        <f aca="false">IFERROR(INDEX('Injectable Value'!$C$28:$C$178,MATCH(B345,'Injectable Value'!$A$28:$A$178,0)),"")</f>
        <v>28093.38</v>
      </c>
      <c r="O345" s="19" t="n">
        <f aca="false">IFERROR(ROUND(INDEX('Injectable Value'!$AA$28:$AA$178,MATCH(B345,'Injectable Value'!$A$28:$A$178,0)),1),"")</f>
        <v>28093.4</v>
      </c>
      <c r="P345" s="16" t="str">
        <f aca="false">IFERROR(INDEX('Route of Administration'!$C$5:$C$155,MATCH(B345,'Route of Administration'!$A$5:$A$155,0)),"")</f>
        <v>IV, SC</v>
      </c>
      <c r="Q345" s="15" t="str">
        <f aca="false">IFERROR(INDEX('Route of Administration'!$D$5:$D$155,MATCH(B345,'Route of Administration'!$A$5:$A$155,0)),"")</f>
        <v>Yes</v>
      </c>
      <c r="R345" s="16" t="s">
        <v>281</v>
      </c>
      <c r="S345" s="17" t="s">
        <v>704</v>
      </c>
      <c r="T345" s="16" t="s">
        <v>283</v>
      </c>
      <c r="U345" s="17" t="str">
        <f aca="false">"Cancer drug (cytotoxic) – less relevant; Reconstitution"&amp;IF(AE345=0,"; No price found","")&amp;IF(AND(AE345&gt;0,AF345=0,AG345=0),"; Low price comes from another market – confirm with the company","")</f>
        <v>Cancer drug (cytotoxic) – less relevant; Reconstitution</v>
      </c>
      <c r="V345" s="17" t="s">
        <v>1477</v>
      </c>
      <c r="W345" s="15" t="n">
        <v>6</v>
      </c>
      <c r="X345" s="17" t="s">
        <v>1478</v>
      </c>
      <c r="Y345" s="17" t="s">
        <v>1478</v>
      </c>
      <c r="Z345" s="17" t="s">
        <v>286</v>
      </c>
      <c r="AA345" s="16" t="s">
        <v>1475</v>
      </c>
      <c r="AB345" s="78" t="s">
        <v>345</v>
      </c>
      <c r="AC345" s="20" t="n">
        <f aca="false">IF(AE345&gt;0,ROUND(AVERAGEIFS('Shortlisted Drugs X Company (7)'!$N$3:$N$698,'Shortlisted Drugs X Company (7)'!$C$3:$C$698,$B345,'Shortlisted Drugs X Company (7)'!$E$3:$E$698,$AA345,'Shortlisted Drugs X Company (7)'!$N$3:$N$698,"&gt;=0"),2),"")</f>
        <v>618.92</v>
      </c>
      <c r="AD345" s="79" t="str">
        <f aca="false">B345&amp;"|"&amp;AA345</f>
        <v>Bortezomib|Zydus Lifesciences</v>
      </c>
      <c r="AE345" s="22" t="n">
        <f aca="false">COUNTIFS('Shortlisted Drugs X Company (7)'!$C$3:$C$698,$B345,'Shortlisted Drugs X Company (7)'!$E$3:$E$698,$AA345,'Shortlisted Drugs X Company (7)'!$N$3:$N$698,"&gt;=0")</f>
        <v>4</v>
      </c>
      <c r="AF345" s="22" t="n">
        <f aca="false">COUNTIFS('Shortlisted Drugs X Company (7)'!$C$3:$C$698,$B345,'Shortlisted Drugs X Company (7)'!$E$3:$E$698,$AA345,'Shortlisted Drugs X Company (7)'!$N$3:$N$698,"&gt;5")</f>
        <v>4</v>
      </c>
      <c r="AG345" s="22" t="n">
        <f aca="false">COUNTIFS('Shortlisted Drugs X Company (7)'!$C$3:$C$698,$B345,'Shortlisted Drugs X Company (7)'!$E$3:$E$698,$AA345,'Shortlisted Drugs X Company (7)'!$P$3:$P$698,"Exact")+COUNTIFS('Shortlisted Drugs X Company (7)'!$C$3:$C$698,$B345,'Shortlisted Drugs X Company (7)'!$E$3:$E$698,$AA345,'Shortlisted Drugs X Company (7)'!$P$3:$P$698,"Same-market proxy")</f>
        <v>3</v>
      </c>
      <c r="AH345" s="22" t="n">
        <f aca="false">INDEX($G$7:$G$25,MATCH(A345,$A$7:$A$25,0))</f>
        <v>7</v>
      </c>
      <c r="AI345" s="79" t="n">
        <f aca="false">IF(OR(Q345="No",LEFT(H345,7)="IV only"),"",AH345*1000+IF(F345="",900+COUNTIFS($A$29:A345,A345,$H$29:H345,"Price*"),F345))</f>
        <v>7001</v>
      </c>
      <c r="AJ345" s="79" t="n">
        <f aca="false">IF(H345&lt;&gt;"","",(4-VALUE(RIGHT(E345,1)))*10^7+N(O345))</f>
        <v>30028093.4</v>
      </c>
      <c r="AK345" s="20" t="n">
        <f aca="false">IF(AND(H345="",ISNUMBER(I345)),I345,"")</f>
        <v>618.92</v>
      </c>
      <c r="AL345" s="21" t="n">
        <f aca="false">IF(H345="",M345,"")</f>
        <v>905</v>
      </c>
    </row>
    <row r="346" customFormat="false" ht="41.75" hidden="false" customHeight="false" outlineLevel="0" collapsed="false">
      <c r="A346" s="16" t="s">
        <v>245</v>
      </c>
      <c r="B346" s="16" t="s">
        <v>76</v>
      </c>
      <c r="C346" s="17" t="s">
        <v>1479</v>
      </c>
      <c r="D346" s="17" t="s">
        <v>370</v>
      </c>
      <c r="E346" s="15" t="str">
        <f aca="false">IF(H346&lt;&gt;"",IF(LEFT(H346,5)="Price","Excluded – price ≤ USD 5","Excluded – IV only"),IF(ISNUMBER(I346),IF(AND(I346&gt;=$C$3,M346&gt;=$E$3),"Priority 1",IF(OR(I346&gt;=$C$3,M346&gt;=$E$3),"Priority 2","Priority 3")),IF(M346&gt;=$E$3,"Priority 2","Priority 3")))</f>
        <v>Priority 2</v>
      </c>
      <c r="F346" s="15" t="n">
        <f aca="false">IF(H346&lt;&gt;"","",COUNTIFS($A$29:$A$361,A346,$H$29:$H$361,"",$AJ$29:$AJ$361,"&gt;"&amp;AJ346)+COUNTIFS($A$29:A346,A346,$H$29:H346,"",$AJ$29:AJ346,AJ346))</f>
        <v>3</v>
      </c>
      <c r="G346" s="17" t="str">
        <f aca="false">IF(H346&lt;&gt;"","",IF(ISNUMBER(I346),IF(I346&gt;=$C$3,"High price","Lower price"),"No price")&amp;", "&amp;IF(M346&gt;=$E$3,"high volume","lower volume"))</f>
        <v>Lower price, high volume</v>
      </c>
      <c r="H346" s="17" t="str">
        <f aca="false">IF(Q346="No","IV only (no ID, IM or SC route)",IF(AND(AE346&gt;0,AF346=0),"Price ≤ USD 5",""))</f>
        <v/>
      </c>
      <c r="I346" s="18" t="n">
        <f aca="false">IF(AF346&gt;0,ROUND(AVERAGEIFS('Shortlisted Drugs X Company (7)'!$N$3:$N$698,'Shortlisted Drugs X Company (7)'!$C$3:$C$698,$B346,'Shortlisted Drugs X Company (7)'!$E$3:$E$698,$AA346,'Shortlisted Drugs X Company (7)'!$N$3:$N$698,"&gt;5"),2),"")</f>
        <v>7.82</v>
      </c>
      <c r="J346" s="17" t="str">
        <f aca="false">IF(COUNTIFS('Shortlisted Drugs X Company (7)'!$C$3:$C$698,$B346,'Shortlisted Drugs X Company (7)'!$E$3:$E$698,$AA346,'Shortlisted Drugs X Company (7)'!$P$3:$P$698,"Exact")&gt;0,"Exact",IF(COUNTIFS('Shortlisted Drugs X Company (7)'!$C$3:$C$698,$B346,'Shortlisted Drugs X Company (7)'!$E$3:$E$698,$AA346,'Shortlisted Drugs X Company (7)'!$P$3:$P$698,"Same-market proxy")&gt;0,"Same-market proxy",IF(COUNTIFS('Shortlisted Drugs X Company (7)'!$C$3:$C$698,$B346,'Shortlisted Drugs X Company (7)'!$E$3:$E$698,$AA346,'Shortlisted Drugs X Company (7)'!$P$3:$P$698,"Cross-market proxy")&gt;0,"Cross-market proxy",IF(COUNTIFS('Shortlisted Drugs X Company (7)'!$C$3:$C$698,$B346,'Shortlisted Drugs X Company (7)'!$E$3:$E$698,$AA346,'Shortlisted Drugs X Company (7)'!$P$3:$P$698,"Source not found")&gt;0,"Source not found","No price found"))))</f>
        <v>Exact</v>
      </c>
      <c r="K346" s="19" t="n">
        <f aca="false">IFERROR(INDEX('Injectable Value'!$AB$28:$AB$178,MATCH(B346,'Injectable Value'!$A$28:$A$178,0)),"")</f>
        <v>3110</v>
      </c>
      <c r="L346" s="77" t="n">
        <f aca="false">IFERROR(INDEX('Injectable Value'!$Z$28:$Z$178,MATCH(B346,'Injectable Value'!$A$28:$A$178,0)),"")</f>
        <v>1</v>
      </c>
      <c r="M346" s="19" t="n">
        <f aca="false">IFERROR(INDEX('Injectable Value'!$AC$28:$AC$178,MATCH(B346,'Injectable Value'!$A$28:$A$178,0)),"")</f>
        <v>3110</v>
      </c>
      <c r="N346" s="19" t="n">
        <f aca="false">IFERROR(INDEX('Injectable Value'!$C$28:$C$178,MATCH(B346,'Injectable Value'!$A$28:$A$178,0)),"")</f>
        <v>93119.22</v>
      </c>
      <c r="O346" s="19" t="n">
        <f aca="false">IFERROR(ROUND(INDEX('Injectable Value'!$AA$28:$AA$178,MATCH(B346,'Injectable Value'!$A$28:$A$178,0)),1),"")</f>
        <v>93119.2</v>
      </c>
      <c r="P346" s="16" t="str">
        <f aca="false">IFERROR(INDEX('Route of Administration'!$C$5:$C$155,MATCH(B346,'Route of Administration'!$A$5:$A$155,0)),"")</f>
        <v>IV, IM</v>
      </c>
      <c r="Q346" s="15" t="str">
        <f aca="false">IFERROR(INDEX('Route of Administration'!$D$5:$D$155,MATCH(B346,'Route of Administration'!$A$5:$A$155,0)),"")</f>
        <v>Yes</v>
      </c>
      <c r="R346" s="16" t="s">
        <v>281</v>
      </c>
      <c r="S346" s="17" t="s">
        <v>365</v>
      </c>
      <c r="T346" s="16" t="s">
        <v>283</v>
      </c>
      <c r="U346" s="17" t="str">
        <f aca="false">"Reconstitution"&amp;IF(AE346=0,"; No price found","")&amp;IF(AND(AE346&gt;0,AF346=0,AG346=0),"; Low price comes from another market – confirm with the company","")</f>
        <v>Reconstitution</v>
      </c>
      <c r="V346" s="17" t="s">
        <v>366</v>
      </c>
      <c r="W346" s="15" t="n">
        <v>1</v>
      </c>
      <c r="X346" s="17" t="s">
        <v>367</v>
      </c>
      <c r="Y346" s="17" t="s">
        <v>367</v>
      </c>
      <c r="Z346" s="17" t="s">
        <v>286</v>
      </c>
      <c r="AA346" s="16" t="s">
        <v>1475</v>
      </c>
      <c r="AB346" s="78" t="s">
        <v>374</v>
      </c>
      <c r="AC346" s="20" t="n">
        <f aca="false">IF(AE346&gt;0,ROUND(AVERAGEIFS('Shortlisted Drugs X Company (7)'!$N$3:$N$698,'Shortlisted Drugs X Company (7)'!$C$3:$C$698,$B346,'Shortlisted Drugs X Company (7)'!$E$3:$E$698,$AA346,'Shortlisted Drugs X Company (7)'!$N$3:$N$698,"&gt;=0"),2),"")</f>
        <v>7.82</v>
      </c>
      <c r="AD346" s="79" t="str">
        <f aca="false">B346&amp;"|"&amp;AA346</f>
        <v>Ceftriaxone|Zydus Lifesciences</v>
      </c>
      <c r="AE346" s="22" t="n">
        <f aca="false">COUNTIFS('Shortlisted Drugs X Company (7)'!$C$3:$C$698,$B346,'Shortlisted Drugs X Company (7)'!$E$3:$E$698,$AA346,'Shortlisted Drugs X Company (7)'!$N$3:$N$698,"&gt;=0")</f>
        <v>1</v>
      </c>
      <c r="AF346" s="22" t="n">
        <f aca="false">COUNTIFS('Shortlisted Drugs X Company (7)'!$C$3:$C$698,$B346,'Shortlisted Drugs X Company (7)'!$E$3:$E$698,$AA346,'Shortlisted Drugs X Company (7)'!$N$3:$N$698,"&gt;5")</f>
        <v>1</v>
      </c>
      <c r="AG346" s="22" t="n">
        <f aca="false">COUNTIFS('Shortlisted Drugs X Company (7)'!$C$3:$C$698,$B346,'Shortlisted Drugs X Company (7)'!$E$3:$E$698,$AA346,'Shortlisted Drugs X Company (7)'!$P$3:$P$698,"Exact")+COUNTIFS('Shortlisted Drugs X Company (7)'!$C$3:$C$698,$B346,'Shortlisted Drugs X Company (7)'!$E$3:$E$698,$AA346,'Shortlisted Drugs X Company (7)'!$P$3:$P$698,"Same-market proxy")</f>
        <v>1</v>
      </c>
      <c r="AH346" s="22" t="n">
        <f aca="false">INDEX($G$7:$G$25,MATCH(A346,$A$7:$A$25,0))</f>
        <v>7</v>
      </c>
      <c r="AI346" s="79" t="n">
        <f aca="false">IF(OR(Q346="No",LEFT(H346,7)="IV only"),"",AH346*1000+IF(F346="",900+COUNTIFS($A$29:A346,A346,$H$29:H346,"Price*"),F346))</f>
        <v>7003</v>
      </c>
      <c r="AJ346" s="79" t="n">
        <f aca="false">IF(H346&lt;&gt;"","",(4-VALUE(RIGHT(E346,1)))*10^7+N(O346))</f>
        <v>20093119.2</v>
      </c>
      <c r="AK346" s="20" t="n">
        <f aca="false">IF(AND(H346="",ISNUMBER(I346)),I346,"")</f>
        <v>7.82</v>
      </c>
      <c r="AL346" s="21" t="n">
        <f aca="false">IF(H346="",M346,"")</f>
        <v>3110</v>
      </c>
    </row>
    <row r="347" customFormat="false" ht="41.75" hidden="false" customHeight="false" outlineLevel="0" collapsed="false">
      <c r="A347" s="16" t="s">
        <v>245</v>
      </c>
      <c r="B347" s="16" t="s">
        <v>375</v>
      </c>
      <c r="C347" s="17" t="s">
        <v>376</v>
      </c>
      <c r="D347" s="17" t="s">
        <v>377</v>
      </c>
      <c r="E347" s="15" t="str">
        <f aca="false">IF(H347&lt;&gt;"",IF(LEFT(H347,5)="Price","Excluded – price ≤ USD 5","Excluded – IV only"),IF(ISNUMBER(I347),IF(AND(I347&gt;=$C$3,M347&gt;=$E$3),"Priority 1",IF(OR(I347&gt;=$C$3,M347&gt;=$E$3),"Priority 2","Priority 3")),IF(M347&gt;=$E$3,"Priority 2","Priority 3")))</f>
        <v>Priority 3</v>
      </c>
      <c r="F347" s="15" t="n">
        <f aca="false">IF(H347&lt;&gt;"","",COUNTIFS($A$29:$A$361,A347,$H$29:$H$361,"",$AJ$29:$AJ$361,"&gt;"&amp;AJ347)+COUNTIFS($A$29:A347,A347,$H$29:H347,"",$AJ$29:AJ347,AJ347))</f>
        <v>9</v>
      </c>
      <c r="G347" s="17" t="str">
        <f aca="false">IF(H347&lt;&gt;"","",IF(ISNUMBER(I347),IF(I347&gt;=$C$3,"High price","Lower price"),"No price")&amp;", "&amp;IF(M347&gt;=$E$3,"high volume","lower volume"))</f>
        <v>Lower price, lower volume</v>
      </c>
      <c r="H347" s="17" t="str">
        <f aca="false">IF(Q347="No","IV only (no ID, IM or SC route)",IF(AND(AE347&gt;0,AF347=0),"Price ≤ USD 5",""))</f>
        <v/>
      </c>
      <c r="I347" s="18" t="n">
        <f aca="false">IF(AF347&gt;0,ROUND(AVERAGEIFS('Shortlisted Drugs X Company (7)'!$N$3:$N$698,'Shortlisted Drugs X Company (7)'!$C$3:$C$698,$B347,'Shortlisted Drugs X Company (7)'!$E$3:$E$698,$AA347,'Shortlisted Drugs X Company (7)'!$N$3:$N$698,"&gt;5"),2),"")</f>
        <v>14.96</v>
      </c>
      <c r="J347" s="17" t="str">
        <f aca="false">IF(COUNTIFS('Shortlisted Drugs X Company (7)'!$C$3:$C$698,$B347,'Shortlisted Drugs X Company (7)'!$E$3:$E$698,$AA347,'Shortlisted Drugs X Company (7)'!$P$3:$P$698,"Exact")&gt;0,"Exact",IF(COUNTIFS('Shortlisted Drugs X Company (7)'!$C$3:$C$698,$B347,'Shortlisted Drugs X Company (7)'!$E$3:$E$698,$AA347,'Shortlisted Drugs X Company (7)'!$P$3:$P$698,"Same-market proxy")&gt;0,"Same-market proxy",IF(COUNTIFS('Shortlisted Drugs X Company (7)'!$C$3:$C$698,$B347,'Shortlisted Drugs X Company (7)'!$E$3:$E$698,$AA347,'Shortlisted Drugs X Company (7)'!$P$3:$P$698,"Cross-market proxy")&gt;0,"Cross-market proxy",IF(COUNTIFS('Shortlisted Drugs X Company (7)'!$C$3:$C$698,$B347,'Shortlisted Drugs X Company (7)'!$E$3:$E$698,$AA347,'Shortlisted Drugs X Company (7)'!$P$3:$P$698,"Source not found")&gt;0,"Source not found","No price found"))))</f>
        <v>Same-market proxy</v>
      </c>
      <c r="K347" s="19" t="n">
        <f aca="false">IFERROR(INDEX('Injectable Value'!$AB$28:$AB$178,MATCH(B347,'Injectable Value'!$A$28:$A$178,0)),"")</f>
        <v>472</v>
      </c>
      <c r="L347" s="77" t="n">
        <f aca="false">IFERROR(INDEX('Injectable Value'!$Z$28:$Z$178,MATCH(B347,'Injectable Value'!$A$28:$A$178,0)),"")</f>
        <v>0.1734375</v>
      </c>
      <c r="M347" s="19" t="n">
        <f aca="false">IFERROR(INDEX('Injectable Value'!$AC$28:$AC$178,MATCH(B347,'Injectable Value'!$A$28:$A$178,0)),"")</f>
        <v>82</v>
      </c>
      <c r="N347" s="19" t="n">
        <f aca="false">IFERROR(INDEX('Injectable Value'!$C$28:$C$178,MATCH(B347,'Injectable Value'!$A$28:$A$178,0)),"")</f>
        <v>7831.08</v>
      </c>
      <c r="O347" s="19" t="n">
        <f aca="false">IFERROR(ROUND(INDEX('Injectable Value'!$AA$28:$AA$178,MATCH(B347,'Injectable Value'!$A$28:$A$178,0)),1),"")</f>
        <v>1358.2</v>
      </c>
      <c r="P347" s="16" t="str">
        <f aca="false">IFERROR(INDEX('Route of Administration'!$C$5:$C$155,MATCH(B347,'Route of Administration'!$A$5:$A$155,0)),"")</f>
        <v>IM</v>
      </c>
      <c r="Q347" s="15" t="str">
        <f aca="false">IFERROR(INDEX('Route of Administration'!$D$5:$D$155,MATCH(B347,'Route of Administration'!$A$5:$A$155,0)),"")</f>
        <v>Yes</v>
      </c>
      <c r="R347" s="16" t="s">
        <v>281</v>
      </c>
      <c r="S347" s="17" t="s">
        <v>880</v>
      </c>
      <c r="T347" s="16" t="s">
        <v>283</v>
      </c>
      <c r="U347" s="17" t="str">
        <f aca="false">""&amp;IF(AE347=0,"No price found","")&amp;IF(AND(AE347&gt;0,AF347=0,AG347=0),"Low price comes from another market – confirm with the company","")</f>
        <v/>
      </c>
      <c r="V347" s="17" t="s">
        <v>284</v>
      </c>
      <c r="W347" s="15" t="n">
        <v>1</v>
      </c>
      <c r="X347" s="17" t="s">
        <v>284</v>
      </c>
      <c r="Y347" s="17" t="s">
        <v>284</v>
      </c>
      <c r="Z347" s="17" t="s">
        <v>286</v>
      </c>
      <c r="AA347" s="16" t="s">
        <v>1475</v>
      </c>
      <c r="AB347" s="78" t="s">
        <v>379</v>
      </c>
      <c r="AC347" s="20" t="n">
        <f aca="false">IF(AE347&gt;0,ROUND(AVERAGEIFS('Shortlisted Drugs X Company (7)'!$N$3:$N$698,'Shortlisted Drugs X Company (7)'!$C$3:$C$698,$B347,'Shortlisted Drugs X Company (7)'!$E$3:$E$698,$AA347,'Shortlisted Drugs X Company (7)'!$N$3:$N$698,"&gt;=0"),2),"")</f>
        <v>14.96</v>
      </c>
      <c r="AD347" s="79" t="str">
        <f aca="false">B347&amp;"|"&amp;AA347</f>
        <v>Chlorpromazine|Zydus Lifesciences</v>
      </c>
      <c r="AE347" s="22" t="n">
        <f aca="false">COUNTIFS('Shortlisted Drugs X Company (7)'!$C$3:$C$698,$B347,'Shortlisted Drugs X Company (7)'!$E$3:$E$698,$AA347,'Shortlisted Drugs X Company (7)'!$N$3:$N$698,"&gt;=0")</f>
        <v>1</v>
      </c>
      <c r="AF347" s="22" t="n">
        <f aca="false">COUNTIFS('Shortlisted Drugs X Company (7)'!$C$3:$C$698,$B347,'Shortlisted Drugs X Company (7)'!$E$3:$E$698,$AA347,'Shortlisted Drugs X Company (7)'!$N$3:$N$698,"&gt;5")</f>
        <v>1</v>
      </c>
      <c r="AG347" s="22" t="n">
        <f aca="false">COUNTIFS('Shortlisted Drugs X Company (7)'!$C$3:$C$698,$B347,'Shortlisted Drugs X Company (7)'!$E$3:$E$698,$AA347,'Shortlisted Drugs X Company (7)'!$P$3:$P$698,"Exact")+COUNTIFS('Shortlisted Drugs X Company (7)'!$C$3:$C$698,$B347,'Shortlisted Drugs X Company (7)'!$E$3:$E$698,$AA347,'Shortlisted Drugs X Company (7)'!$P$3:$P$698,"Same-market proxy")</f>
        <v>1</v>
      </c>
      <c r="AH347" s="22" t="n">
        <f aca="false">INDEX($G$7:$G$25,MATCH(A347,$A$7:$A$25,0))</f>
        <v>7</v>
      </c>
      <c r="AI347" s="79" t="n">
        <f aca="false">IF(OR(Q347="No",LEFT(H347,7)="IV only"),"",AH347*1000+IF(F347="",900+COUNTIFS($A$29:A347,A347,$H$29:H347,"Price*"),F347))</f>
        <v>7009</v>
      </c>
      <c r="AJ347" s="79" t="n">
        <f aca="false">IF(H347&lt;&gt;"","",(4-VALUE(RIGHT(E347,1)))*10^7+N(O347))</f>
        <v>10001358.2</v>
      </c>
      <c r="AK347" s="20" t="n">
        <f aca="false">IF(AND(H347="",ISNUMBER(I347)),I347,"")</f>
        <v>14.96</v>
      </c>
      <c r="AL347" s="21" t="n">
        <f aca="false">IF(H347="",M347,"")</f>
        <v>82</v>
      </c>
    </row>
    <row r="348" customFormat="false" ht="28.35" hidden="false" customHeight="false" outlineLevel="0" collapsed="false">
      <c r="A348" s="16" t="s">
        <v>245</v>
      </c>
      <c r="B348" s="16" t="s">
        <v>967</v>
      </c>
      <c r="C348" s="17" t="s">
        <v>1301</v>
      </c>
      <c r="D348" s="17" t="s">
        <v>969</v>
      </c>
      <c r="E348" s="15" t="str">
        <f aca="false">IF(H348&lt;&gt;"",IF(LEFT(H348,5)="Price","Excluded – price ≤ USD 5","Excluded – IV only"),IF(ISNUMBER(I348),IF(AND(I348&gt;=$C$3,M348&gt;=$E$3),"Priority 1",IF(OR(I348&gt;=$C$3,M348&gt;=$E$3),"Priority 2","Priority 3")),IF(M348&gt;=$E$3,"Priority 2","Priority 3")))</f>
        <v>Excluded – IV only</v>
      </c>
      <c r="F348" s="15" t="str">
        <f aca="false">IF(H348&lt;&gt;"","",COUNTIFS($A$29:$A$361,A348,$H$29:$H$361,"",$AJ$29:$AJ$361,"&gt;"&amp;AJ348)+COUNTIFS($A$29:A348,A348,$H$29:H348,"",$AJ$29:AJ348,AJ348))</f>
        <v/>
      </c>
      <c r="G348" s="17" t="str">
        <f aca="false">IF(H348&lt;&gt;"","",IF(ISNUMBER(I348),IF(I348&gt;=$C$3,"High price","Lower price"),"No price")&amp;", "&amp;IF(M348&gt;=$E$3,"high volume","lower volume"))</f>
        <v/>
      </c>
      <c r="H348" s="17" t="str">
        <f aca="false">IF(Q348="No","IV only (no ID, IM or SC route)",IF(AND(AE348&gt;0,AF348=0),"Price ≤ USD 5",""))</f>
        <v>IV only (no ID, IM or SC route)</v>
      </c>
      <c r="I348" s="18" t="n">
        <f aca="false">IF(AF348&gt;0,ROUND(AVERAGEIFS('Shortlisted Drugs X Company (7)'!$N$3:$N$698,'Shortlisted Drugs X Company (7)'!$C$3:$C$698,$B348,'Shortlisted Drugs X Company (7)'!$E$3:$E$698,$AA348,'Shortlisted Drugs X Company (7)'!$N$3:$N$698,"&gt;5"),2),"")</f>
        <v>22.39</v>
      </c>
      <c r="J348" s="17" t="str">
        <f aca="false">IF(COUNTIFS('Shortlisted Drugs X Company (7)'!$C$3:$C$698,$B348,'Shortlisted Drugs X Company (7)'!$E$3:$E$698,$AA348,'Shortlisted Drugs X Company (7)'!$P$3:$P$698,"Exact")&gt;0,"Exact",IF(COUNTIFS('Shortlisted Drugs X Company (7)'!$C$3:$C$698,$B348,'Shortlisted Drugs X Company (7)'!$E$3:$E$698,$AA348,'Shortlisted Drugs X Company (7)'!$P$3:$P$698,"Same-market proxy")&gt;0,"Same-market proxy",IF(COUNTIFS('Shortlisted Drugs X Company (7)'!$C$3:$C$698,$B348,'Shortlisted Drugs X Company (7)'!$E$3:$E$698,$AA348,'Shortlisted Drugs X Company (7)'!$P$3:$P$698,"Cross-market proxy")&gt;0,"Cross-market proxy",IF(COUNTIFS('Shortlisted Drugs X Company (7)'!$C$3:$C$698,$B348,'Shortlisted Drugs X Company (7)'!$E$3:$E$698,$AA348,'Shortlisted Drugs X Company (7)'!$P$3:$P$698,"Source not found")&gt;0,"Source not found","No price found"))))</f>
        <v>Same-market proxy</v>
      </c>
      <c r="K348" s="19" t="n">
        <f aca="false">IFERROR(INDEX('Injectable Value'!$AB$28:$AB$178,MATCH(B348,'Injectable Value'!$A$28:$A$178,0)),"")</f>
        <v>117</v>
      </c>
      <c r="L348" s="77" t="n">
        <f aca="false">IFERROR(INDEX('Injectable Value'!$Z$28:$Z$178,MATCH(B348,'Injectable Value'!$A$28:$A$178,0)),"")</f>
        <v>1</v>
      </c>
      <c r="M348" s="19" t="n">
        <f aca="false">IFERROR(INDEX('Injectable Value'!$AC$28:$AC$178,MATCH(B348,'Injectable Value'!$A$28:$A$178,0)),"")</f>
        <v>117</v>
      </c>
      <c r="N348" s="19" t="n">
        <f aca="false">IFERROR(INDEX('Injectable Value'!$C$28:$C$178,MATCH(B348,'Injectable Value'!$A$28:$A$178,0)),"")</f>
        <v>2508.09</v>
      </c>
      <c r="O348" s="19" t="n">
        <f aca="false">IFERROR(ROUND(INDEX('Injectable Value'!$AA$28:$AA$178,MATCH(B348,'Injectable Value'!$A$28:$A$178,0)),1),"")</f>
        <v>2508.1</v>
      </c>
      <c r="P348" s="16" t="str">
        <f aca="false">IFERROR(INDEX('Route of Administration'!$C$5:$C$155,MATCH(B348,'Route of Administration'!$A$5:$A$155,0)),"")</f>
        <v>IV</v>
      </c>
      <c r="Q348" s="15" t="str">
        <f aca="false">IFERROR(INDEX('Route of Administration'!$D$5:$D$155,MATCH(B348,'Route of Administration'!$A$5:$A$155,0)),"")</f>
        <v>No</v>
      </c>
      <c r="R348" s="16" t="s">
        <v>281</v>
      </c>
      <c r="S348" s="17" t="s">
        <v>1302</v>
      </c>
      <c r="T348" s="16" t="s">
        <v>283</v>
      </c>
      <c r="U348" s="17" t="str">
        <f aca="false">""&amp;IF(AE348=0,"No price found","")&amp;IF(AND(AE348&gt;0,AF348=0,AG348=0),"Low price comes from another market – confirm with the company","")</f>
        <v/>
      </c>
      <c r="V348" s="17" t="s">
        <v>284</v>
      </c>
      <c r="W348" s="15" t="n">
        <v>1</v>
      </c>
      <c r="X348" s="17" t="s">
        <v>284</v>
      </c>
      <c r="Y348" s="17" t="s">
        <v>284</v>
      </c>
      <c r="Z348" s="17" t="s">
        <v>286</v>
      </c>
      <c r="AA348" s="16" t="s">
        <v>1475</v>
      </c>
      <c r="AB348" s="78" t="s">
        <v>974</v>
      </c>
      <c r="AC348" s="20" t="n">
        <f aca="false">IF(AE348&gt;0,ROUND(AVERAGEIFS('Shortlisted Drugs X Company (7)'!$N$3:$N$698,'Shortlisted Drugs X Company (7)'!$C$3:$C$698,$B348,'Shortlisted Drugs X Company (7)'!$E$3:$E$698,$AA348,'Shortlisted Drugs X Company (7)'!$N$3:$N$698,"&gt;=0"),2),"")</f>
        <v>22.39</v>
      </c>
      <c r="AD348" s="79" t="str">
        <f aca="false">B348&amp;"|"&amp;AA348</f>
        <v>Cisatracurium|Zydus Lifesciences</v>
      </c>
      <c r="AE348" s="22" t="n">
        <f aca="false">COUNTIFS('Shortlisted Drugs X Company (7)'!$C$3:$C$698,$B348,'Shortlisted Drugs X Company (7)'!$E$3:$E$698,$AA348,'Shortlisted Drugs X Company (7)'!$N$3:$N$698,"&gt;=0")</f>
        <v>2</v>
      </c>
      <c r="AF348" s="22" t="n">
        <f aca="false">COUNTIFS('Shortlisted Drugs X Company (7)'!$C$3:$C$698,$B348,'Shortlisted Drugs X Company (7)'!$E$3:$E$698,$AA348,'Shortlisted Drugs X Company (7)'!$N$3:$N$698,"&gt;5")</f>
        <v>2</v>
      </c>
      <c r="AG348" s="22" t="n">
        <f aca="false">COUNTIFS('Shortlisted Drugs X Company (7)'!$C$3:$C$698,$B348,'Shortlisted Drugs X Company (7)'!$E$3:$E$698,$AA348,'Shortlisted Drugs X Company (7)'!$P$3:$P$698,"Exact")+COUNTIFS('Shortlisted Drugs X Company (7)'!$C$3:$C$698,$B348,'Shortlisted Drugs X Company (7)'!$E$3:$E$698,$AA348,'Shortlisted Drugs X Company (7)'!$P$3:$P$698,"Same-market proxy")</f>
        <v>2</v>
      </c>
      <c r="AH348" s="22" t="n">
        <f aca="false">INDEX($G$7:$G$25,MATCH(A348,$A$7:$A$25,0))</f>
        <v>7</v>
      </c>
      <c r="AI348" s="79" t="str">
        <f aca="false">IF(OR(Q348="No",LEFT(H348,7)="IV only"),"",AH348*1000+IF(F348="",900+COUNTIFS($A$29:A348,A348,$H$29:H348,"Price*"),F348))</f>
        <v/>
      </c>
      <c r="AJ348" s="79" t="str">
        <f aca="false">IF(H348&lt;&gt;"","",(4-VALUE(RIGHT(E348,1)))*10^7+N(O348))</f>
        <v/>
      </c>
      <c r="AK348" s="79" t="str">
        <f aca="false">IF(AND(H348="",ISNUMBER(I348)),I348,"")</f>
        <v/>
      </c>
      <c r="AL348" s="79" t="str">
        <f aca="false">IF(H348="",M348,"")</f>
        <v/>
      </c>
    </row>
    <row r="349" customFormat="false" ht="28.35" hidden="false" customHeight="false" outlineLevel="0" collapsed="false">
      <c r="A349" s="16" t="s">
        <v>245</v>
      </c>
      <c r="B349" s="16" t="s">
        <v>881</v>
      </c>
      <c r="C349" s="17" t="s">
        <v>881</v>
      </c>
      <c r="D349" s="17" t="s">
        <v>882</v>
      </c>
      <c r="E349" s="15" t="str">
        <f aca="false">IF(H349&lt;&gt;"",IF(LEFT(H349,5)="Price","Excluded – price ≤ USD 5","Excluded – IV only"),IF(ISNUMBER(I349),IF(AND(I349&gt;=$C$3,M349&gt;=$E$3),"Priority 1",IF(OR(I349&gt;=$C$3,M349&gt;=$E$3),"Priority 2","Priority 3")),IF(M349&gt;=$E$3,"Priority 2","Priority 3")))</f>
        <v>Priority 2</v>
      </c>
      <c r="F349" s="15" t="n">
        <f aca="false">IF(H349&lt;&gt;"","",COUNTIFS($A$29:$A$361,A349,$H$29:$H$361,"",$AJ$29:$AJ$361,"&gt;"&amp;AJ349)+COUNTIFS($A$29:A349,A349,$H$29:H349,"",$AJ$29:AJ349,AJ349))</f>
        <v>7</v>
      </c>
      <c r="G349" s="17" t="str">
        <f aca="false">IF(H349&lt;&gt;"","",IF(ISNUMBER(I349),IF(I349&gt;=$C$3,"High price","Lower price"),"No price")&amp;", "&amp;IF(M349&gt;=$E$3,"high volume","lower volume"))</f>
        <v>High price, lower volume</v>
      </c>
      <c r="H349" s="17" t="str">
        <f aca="false">IF(Q349="No","IV only (no ID, IM or SC route)",IF(AND(AE349&gt;0,AF349=0),"Price ≤ USD 5",""))</f>
        <v/>
      </c>
      <c r="I349" s="18" t="n">
        <f aca="false">IF(AF349&gt;0,ROUND(AVERAGEIFS('Shortlisted Drugs X Company (7)'!$N$3:$N$698,'Shortlisted Drugs X Company (7)'!$C$3:$C$698,$B349,'Shortlisted Drugs X Company (7)'!$E$3:$E$698,$AA349,'Shortlisted Drugs X Company (7)'!$N$3:$N$698,"&gt;5"),2),"")</f>
        <v>31.25</v>
      </c>
      <c r="J349" s="17" t="str">
        <f aca="false">IF(COUNTIFS('Shortlisted Drugs X Company (7)'!$C$3:$C$698,$B349,'Shortlisted Drugs X Company (7)'!$E$3:$E$698,$AA349,'Shortlisted Drugs X Company (7)'!$P$3:$P$698,"Exact")&gt;0,"Exact",IF(COUNTIFS('Shortlisted Drugs X Company (7)'!$C$3:$C$698,$B349,'Shortlisted Drugs X Company (7)'!$E$3:$E$698,$AA349,'Shortlisted Drugs X Company (7)'!$P$3:$P$698,"Same-market proxy")&gt;0,"Same-market proxy",IF(COUNTIFS('Shortlisted Drugs X Company (7)'!$C$3:$C$698,$B349,'Shortlisted Drugs X Company (7)'!$E$3:$E$698,$AA349,'Shortlisted Drugs X Company (7)'!$P$3:$P$698,"Cross-market proxy")&gt;0,"Cross-market proxy",IF(COUNTIFS('Shortlisted Drugs X Company (7)'!$C$3:$C$698,$B349,'Shortlisted Drugs X Company (7)'!$E$3:$E$698,$AA349,'Shortlisted Drugs X Company (7)'!$P$3:$P$698,"Source not found")&gt;0,"Source not found","No price found"))))</f>
        <v>Same-market proxy</v>
      </c>
      <c r="K349" s="19" t="n">
        <f aca="false">IFERROR(INDEX('Injectable Value'!$AB$28:$AB$178,MATCH(B349,'Injectable Value'!$A$28:$A$178,0)),"")</f>
        <v>445</v>
      </c>
      <c r="L349" s="77" t="n">
        <f aca="false">IFERROR(INDEX('Injectable Value'!$Z$28:$Z$178,MATCH(B349,'Injectable Value'!$A$28:$A$178,0)),"")</f>
        <v>0.274306714947369</v>
      </c>
      <c r="M349" s="19" t="n">
        <f aca="false">IFERROR(INDEX('Injectable Value'!$AC$28:$AC$178,MATCH(B349,'Injectable Value'!$A$28:$A$178,0)),"")</f>
        <v>122</v>
      </c>
      <c r="N349" s="19" t="n">
        <f aca="false">IFERROR(INDEX('Injectable Value'!$C$28:$C$178,MATCH(B349,'Injectable Value'!$A$28:$A$178,0)),"")</f>
        <v>8796.85</v>
      </c>
      <c r="O349" s="19" t="n">
        <f aca="false">IFERROR(ROUND(INDEX('Injectable Value'!$AA$28:$AA$178,MATCH(B349,'Injectable Value'!$A$28:$A$178,0)),1),"")</f>
        <v>2413</v>
      </c>
      <c r="P349" s="16" t="str">
        <f aca="false">IFERROR(INDEX('Route of Administration'!$C$5:$C$155,MATCH(B349,'Route of Administration'!$A$5:$A$155,0)),"")</f>
        <v>IM, SC</v>
      </c>
      <c r="Q349" s="15" t="str">
        <f aca="false">IFERROR(INDEX('Route of Administration'!$D$5:$D$155,MATCH(B349,'Route of Administration'!$A$5:$A$155,0)),"")</f>
        <v>Yes</v>
      </c>
      <c r="R349" s="16" t="s">
        <v>281</v>
      </c>
      <c r="S349" s="17" t="s">
        <v>1480</v>
      </c>
      <c r="T349" s="16" t="s">
        <v>283</v>
      </c>
      <c r="U349" s="17" t="str">
        <f aca="false">""&amp;IF(AE349=0,"No price found","")&amp;IF(AND(AE349&gt;0,AF349=0,AG349=0),"Low price comes from another market – confirm with the company","")</f>
        <v/>
      </c>
      <c r="V349" s="17" t="s">
        <v>284</v>
      </c>
      <c r="W349" s="15" t="n">
        <v>1</v>
      </c>
      <c r="X349" s="17" t="s">
        <v>284</v>
      </c>
      <c r="Y349" s="17" t="s">
        <v>284</v>
      </c>
      <c r="Z349" s="17" t="s">
        <v>321</v>
      </c>
      <c r="AA349" s="16" t="s">
        <v>1475</v>
      </c>
      <c r="AB349" s="78" t="s">
        <v>884</v>
      </c>
      <c r="AC349" s="20" t="n">
        <f aca="false">IF(AE349&gt;0,ROUND(AVERAGEIFS('Shortlisted Drugs X Company (7)'!$N$3:$N$698,'Shortlisted Drugs X Company (7)'!$C$3:$C$698,$B349,'Shortlisted Drugs X Company (7)'!$E$3:$E$698,$AA349,'Shortlisted Drugs X Company (7)'!$N$3:$N$698,"&gt;=0"),2),"")</f>
        <v>31.25</v>
      </c>
      <c r="AD349" s="79" t="str">
        <f aca="false">B349&amp;"|"&amp;AA349</f>
        <v>Cyanocobalamin|Zydus Lifesciences</v>
      </c>
      <c r="AE349" s="22" t="n">
        <f aca="false">COUNTIFS('Shortlisted Drugs X Company (7)'!$C$3:$C$698,$B349,'Shortlisted Drugs X Company (7)'!$E$3:$E$698,$AA349,'Shortlisted Drugs X Company (7)'!$N$3:$N$698,"&gt;=0")</f>
        <v>1</v>
      </c>
      <c r="AF349" s="22" t="n">
        <f aca="false">COUNTIFS('Shortlisted Drugs X Company (7)'!$C$3:$C$698,$B349,'Shortlisted Drugs X Company (7)'!$E$3:$E$698,$AA349,'Shortlisted Drugs X Company (7)'!$N$3:$N$698,"&gt;5")</f>
        <v>1</v>
      </c>
      <c r="AG349" s="22" t="n">
        <f aca="false">COUNTIFS('Shortlisted Drugs X Company (7)'!$C$3:$C$698,$B349,'Shortlisted Drugs X Company (7)'!$E$3:$E$698,$AA349,'Shortlisted Drugs X Company (7)'!$P$3:$P$698,"Exact")+COUNTIFS('Shortlisted Drugs X Company (7)'!$C$3:$C$698,$B349,'Shortlisted Drugs X Company (7)'!$E$3:$E$698,$AA349,'Shortlisted Drugs X Company (7)'!$P$3:$P$698,"Same-market proxy")</f>
        <v>1</v>
      </c>
      <c r="AH349" s="22" t="n">
        <f aca="false">INDEX($G$7:$G$25,MATCH(A349,$A$7:$A$25,0))</f>
        <v>7</v>
      </c>
      <c r="AI349" s="79" t="n">
        <f aca="false">IF(OR(Q349="No",LEFT(H349,7)="IV only"),"",AH349*1000+IF(F349="",900+COUNTIFS($A$29:A349,A349,$H$29:H349,"Price*"),F349))</f>
        <v>7007</v>
      </c>
      <c r="AJ349" s="79" t="n">
        <f aca="false">IF(H349&lt;&gt;"","",(4-VALUE(RIGHT(E349,1)))*10^7+N(O349))</f>
        <v>20002413</v>
      </c>
      <c r="AK349" s="20" t="n">
        <f aca="false">IF(AND(H349="",ISNUMBER(I349)),I349,"")</f>
        <v>31.25</v>
      </c>
      <c r="AL349" s="21" t="n">
        <f aca="false">IF(H349="",M349,"")</f>
        <v>122</v>
      </c>
    </row>
    <row r="350" customFormat="false" ht="41.75" hidden="false" customHeight="false" outlineLevel="0" collapsed="false">
      <c r="A350" s="16" t="s">
        <v>245</v>
      </c>
      <c r="B350" s="16" t="s">
        <v>1481</v>
      </c>
      <c r="C350" s="17" t="s">
        <v>1481</v>
      </c>
      <c r="D350" s="17" t="s">
        <v>1482</v>
      </c>
      <c r="E350" s="15" t="str">
        <f aca="false">IF(H350&lt;&gt;"",IF(LEFT(H350,5)="Price","Excluded – price ≤ USD 5","Excluded – IV only"),IF(ISNUMBER(I350),IF(AND(I350&gt;=$C$3,M350&gt;=$E$3),"Priority 1",IF(OR(I350&gt;=$C$3,M350&gt;=$E$3),"Priority 2","Priority 3")),IF(M350&gt;=$E$3,"Priority 2","Priority 3")))</f>
        <v>Excluded – IV only</v>
      </c>
      <c r="F350" s="15" t="str">
        <f aca="false">IF(H350&lt;&gt;"","",COUNTIFS($A$29:$A$361,A350,$H$29:$H$361,"",$AJ$29:$AJ$361,"&gt;"&amp;AJ350)+COUNTIFS($A$29:A350,A350,$H$29:H350,"",$AJ$29:AJ350,AJ350))</f>
        <v/>
      </c>
      <c r="G350" s="17" t="str">
        <f aca="false">IF(H350&lt;&gt;"","",IF(ISNUMBER(I350),IF(I350&gt;=$C$3,"High price","Lower price"),"No price")&amp;", "&amp;IF(M350&gt;=$E$3,"high volume","lower volume"))</f>
        <v/>
      </c>
      <c r="H350" s="17" t="str">
        <f aca="false">IF(Q350="No","IV only (no ID, IM or SC route)",IF(AND(AE350&gt;0,AF350=0),"Price ≤ USD 5",""))</f>
        <v>IV only (no ID, IM or SC route)</v>
      </c>
      <c r="I350" s="18" t="n">
        <f aca="false">IF(AF350&gt;0,ROUND(AVERAGEIFS('Shortlisted Drugs X Company (7)'!$N$3:$N$698,'Shortlisted Drugs X Company (7)'!$C$3:$C$698,$B350,'Shortlisted Drugs X Company (7)'!$E$3:$E$698,$AA350,'Shortlisted Drugs X Company (7)'!$N$3:$N$698,"&gt;5"),2),"")</f>
        <v>5289.94</v>
      </c>
      <c r="J350" s="17" t="str">
        <f aca="false">IF(COUNTIFS('Shortlisted Drugs X Company (7)'!$C$3:$C$698,$B350,'Shortlisted Drugs X Company (7)'!$E$3:$E$698,$AA350,'Shortlisted Drugs X Company (7)'!$P$3:$P$698,"Exact")&gt;0,"Exact",IF(COUNTIFS('Shortlisted Drugs X Company (7)'!$C$3:$C$698,$B350,'Shortlisted Drugs X Company (7)'!$E$3:$E$698,$AA350,'Shortlisted Drugs X Company (7)'!$P$3:$P$698,"Same-market proxy")&gt;0,"Same-market proxy",IF(COUNTIFS('Shortlisted Drugs X Company (7)'!$C$3:$C$698,$B350,'Shortlisted Drugs X Company (7)'!$E$3:$E$698,$AA350,'Shortlisted Drugs X Company (7)'!$P$3:$P$698,"Cross-market proxy")&gt;0,"Cross-market proxy",IF(COUNTIFS('Shortlisted Drugs X Company (7)'!$C$3:$C$698,$B350,'Shortlisted Drugs X Company (7)'!$E$3:$E$698,$AA350,'Shortlisted Drugs X Company (7)'!$P$3:$P$698,"Source not found")&gt;0,"Source not found","No price found"))))</f>
        <v>Same-market proxy</v>
      </c>
      <c r="K350" s="19" t="n">
        <f aca="false">IFERROR(INDEX('Injectable Value'!$AB$28:$AB$178,MATCH(B350,'Injectable Value'!$A$28:$A$178,0)),"")</f>
        <v>10</v>
      </c>
      <c r="L350" s="77" t="n">
        <f aca="false">IFERROR(INDEX('Injectable Value'!$Z$28:$Z$178,MATCH(B350,'Injectable Value'!$A$28:$A$178,0)),"")</f>
        <v>0.222222222222222</v>
      </c>
      <c r="M350" s="19" t="n">
        <f aca="false">IFERROR(INDEX('Injectable Value'!$AC$28:$AC$178,MATCH(B350,'Injectable Value'!$A$28:$A$178,0)),"")</f>
        <v>2</v>
      </c>
      <c r="N350" s="19" t="n">
        <f aca="false">IFERROR(INDEX('Injectable Value'!$C$28:$C$178,MATCH(B350,'Injectable Value'!$A$28:$A$178,0)),"")</f>
        <v>662.47</v>
      </c>
      <c r="O350" s="19" t="n">
        <f aca="false">IFERROR(ROUND(INDEX('Injectable Value'!$AA$28:$AA$178,MATCH(B350,'Injectable Value'!$A$28:$A$178,0)),1),"")</f>
        <v>147.2</v>
      </c>
      <c r="P350" s="16" t="str">
        <f aca="false">IFERROR(INDEX('Route of Administration'!$C$5:$C$155,MATCH(B350,'Route of Administration'!$A$5:$A$155,0)),"")</f>
        <v>IV</v>
      </c>
      <c r="Q350" s="15" t="str">
        <f aca="false">IFERROR(INDEX('Route of Administration'!$D$5:$D$155,MATCH(B350,'Route of Administration'!$A$5:$A$155,0)),"")</f>
        <v>No</v>
      </c>
      <c r="R350" s="16" t="s">
        <v>310</v>
      </c>
      <c r="S350" s="17" t="s">
        <v>1483</v>
      </c>
      <c r="T350" s="16" t="s">
        <v>310</v>
      </c>
      <c r="U350" s="17" t="str">
        <f aca="false">""&amp;IF(AE350=0,"No price found","")&amp;IF(AND(AE350&gt;0,AF350=0,AG350=0),"Low price comes from another market – confirm with the company","")</f>
        <v/>
      </c>
      <c r="V350" s="17" t="s">
        <v>284</v>
      </c>
      <c r="W350" s="15" t="n">
        <v>1</v>
      </c>
      <c r="X350" s="17" t="s">
        <v>284</v>
      </c>
      <c r="Y350" s="17" t="s">
        <v>284</v>
      </c>
      <c r="Z350" s="17" t="s">
        <v>312</v>
      </c>
      <c r="AA350" s="16" t="s">
        <v>1475</v>
      </c>
      <c r="AB350" s="78" t="s">
        <v>1484</v>
      </c>
      <c r="AC350" s="20" t="n">
        <f aca="false">IF(AE350&gt;0,ROUND(AVERAGEIFS('Shortlisted Drugs X Company (7)'!$N$3:$N$698,'Shortlisted Drugs X Company (7)'!$C$3:$C$698,$B350,'Shortlisted Drugs X Company (7)'!$E$3:$E$698,$AA350,'Shortlisted Drugs X Company (7)'!$N$3:$N$698,"&gt;=0"),2),"")</f>
        <v>5289.94</v>
      </c>
      <c r="AD350" s="79" t="str">
        <f aca="false">B350&amp;"|"&amp;AA350</f>
        <v>Ethacrynate Sodium|Zydus Lifesciences</v>
      </c>
      <c r="AE350" s="22" t="n">
        <f aca="false">COUNTIFS('Shortlisted Drugs X Company (7)'!$C$3:$C$698,$B350,'Shortlisted Drugs X Company (7)'!$E$3:$E$698,$AA350,'Shortlisted Drugs X Company (7)'!$N$3:$N$698,"&gt;=0")</f>
        <v>1</v>
      </c>
      <c r="AF350" s="22" t="n">
        <f aca="false">COUNTIFS('Shortlisted Drugs X Company (7)'!$C$3:$C$698,$B350,'Shortlisted Drugs X Company (7)'!$E$3:$E$698,$AA350,'Shortlisted Drugs X Company (7)'!$N$3:$N$698,"&gt;5")</f>
        <v>1</v>
      </c>
      <c r="AG350" s="22" t="n">
        <f aca="false">COUNTIFS('Shortlisted Drugs X Company (7)'!$C$3:$C$698,$B350,'Shortlisted Drugs X Company (7)'!$E$3:$E$698,$AA350,'Shortlisted Drugs X Company (7)'!$P$3:$P$698,"Exact")+COUNTIFS('Shortlisted Drugs X Company (7)'!$C$3:$C$698,$B350,'Shortlisted Drugs X Company (7)'!$E$3:$E$698,$AA350,'Shortlisted Drugs X Company (7)'!$P$3:$P$698,"Same-market proxy")</f>
        <v>1</v>
      </c>
      <c r="AH350" s="22" t="n">
        <f aca="false">INDEX($G$7:$G$25,MATCH(A350,$A$7:$A$25,0))</f>
        <v>7</v>
      </c>
      <c r="AI350" s="79" t="str">
        <f aca="false">IF(OR(Q350="No",LEFT(H350,7)="IV only"),"",AH350*1000+IF(F350="",900+COUNTIFS($A$29:A350,A350,$H$29:H350,"Price*"),F350))</f>
        <v/>
      </c>
      <c r="AJ350" s="79" t="str">
        <f aca="false">IF(H350&lt;&gt;"","",(4-VALUE(RIGHT(E350,1)))*10^7+N(O350))</f>
        <v/>
      </c>
      <c r="AK350" s="79" t="str">
        <f aca="false">IF(AND(H350="",ISNUMBER(I350)),I350,"")</f>
        <v/>
      </c>
      <c r="AL350" s="79" t="str">
        <f aca="false">IF(H350="",M350,"")</f>
        <v/>
      </c>
    </row>
    <row r="351" customFormat="false" ht="28.35" hidden="false" customHeight="false" outlineLevel="0" collapsed="false">
      <c r="A351" s="16" t="s">
        <v>245</v>
      </c>
      <c r="B351" s="16" t="s">
        <v>1303</v>
      </c>
      <c r="C351" s="17" t="s">
        <v>1303</v>
      </c>
      <c r="D351" s="17" t="s">
        <v>1305</v>
      </c>
      <c r="E351" s="15" t="str">
        <f aca="false">IF(H351&lt;&gt;"",IF(LEFT(H351,5)="Price","Excluded – price ≤ USD 5","Excluded – IV only"),IF(ISNUMBER(I351),IF(AND(I351&gt;=$C$3,M351&gt;=$E$3),"Priority 1",IF(OR(I351&gt;=$C$3,M351&gt;=$E$3),"Priority 2","Priority 3")),IF(M351&gt;=$E$3,"Priority 2","Priority 3")))</f>
        <v>Excluded – IV only</v>
      </c>
      <c r="F351" s="15" t="str">
        <f aca="false">IF(H351&lt;&gt;"","",COUNTIFS($A$29:$A$361,A351,$H$29:$H$361,"",$AJ$29:$AJ$361,"&gt;"&amp;AJ351)+COUNTIFS($A$29:A351,A351,$H$29:H351,"",$AJ$29:AJ351,AJ351))</f>
        <v/>
      </c>
      <c r="G351" s="17" t="str">
        <f aca="false">IF(H351&lt;&gt;"","",IF(ISNUMBER(I351),IF(I351&gt;=$C$3,"High price","Lower price"),"No price")&amp;", "&amp;IF(M351&gt;=$E$3,"high volume","lower volume"))</f>
        <v/>
      </c>
      <c r="H351" s="17" t="str">
        <f aca="false">IF(Q351="No","IV only (no ID, IM or SC route)",IF(AND(AE351&gt;0,AF351=0),"Price ≤ USD 5",""))</f>
        <v>IV only (no ID, IM or SC route)</v>
      </c>
      <c r="I351" s="18" t="str">
        <f aca="false">IF(AF351&gt;0,ROUND(AVERAGEIFS('Shortlisted Drugs X Company (7)'!$N$3:$N$698,'Shortlisted Drugs X Company (7)'!$C$3:$C$698,$B351,'Shortlisted Drugs X Company (7)'!$E$3:$E$698,$AA351,'Shortlisted Drugs X Company (7)'!$N$3:$N$698,"&gt;5"),2),"")</f>
        <v/>
      </c>
      <c r="J351" s="17" t="str">
        <f aca="false">IF(COUNTIFS('Shortlisted Drugs X Company (7)'!$C$3:$C$698,$B351,'Shortlisted Drugs X Company (7)'!$E$3:$E$698,$AA351,'Shortlisted Drugs X Company (7)'!$P$3:$P$698,"Exact")&gt;0,"Exact",IF(COUNTIFS('Shortlisted Drugs X Company (7)'!$C$3:$C$698,$B351,'Shortlisted Drugs X Company (7)'!$E$3:$E$698,$AA351,'Shortlisted Drugs X Company (7)'!$P$3:$P$698,"Same-market proxy")&gt;0,"Same-market proxy",IF(COUNTIFS('Shortlisted Drugs X Company (7)'!$C$3:$C$698,$B351,'Shortlisted Drugs X Company (7)'!$E$3:$E$698,$AA351,'Shortlisted Drugs X Company (7)'!$P$3:$P$698,"Cross-market proxy")&gt;0,"Cross-market proxy",IF(COUNTIFS('Shortlisted Drugs X Company (7)'!$C$3:$C$698,$B351,'Shortlisted Drugs X Company (7)'!$E$3:$E$698,$AA351,'Shortlisted Drugs X Company (7)'!$P$3:$P$698,"Source not found")&gt;0,"Source not found","No price found"))))</f>
        <v>Same-market proxy</v>
      </c>
      <c r="K351" s="19" t="n">
        <f aca="false">IFERROR(INDEX('Injectable Value'!$AB$28:$AB$178,MATCH(B351,'Injectable Value'!$A$28:$A$178,0)),"")</f>
        <v>69</v>
      </c>
      <c r="L351" s="77" t="n">
        <f aca="false">IFERROR(INDEX('Injectable Value'!$Z$28:$Z$178,MATCH(B351,'Injectable Value'!$A$28:$A$178,0)),"")</f>
        <v>1</v>
      </c>
      <c r="M351" s="19" t="n">
        <f aca="false">IFERROR(INDEX('Injectable Value'!$AC$28:$AC$178,MATCH(B351,'Injectable Value'!$A$28:$A$178,0)),"")</f>
        <v>69</v>
      </c>
      <c r="N351" s="19" t="n">
        <f aca="false">IFERROR(INDEX('Injectable Value'!$C$28:$C$178,MATCH(B351,'Injectable Value'!$A$28:$A$178,0)),"")</f>
        <v>1781.11</v>
      </c>
      <c r="O351" s="19" t="n">
        <f aca="false">IFERROR(ROUND(INDEX('Injectable Value'!$AA$28:$AA$178,MATCH(B351,'Injectable Value'!$A$28:$A$178,0)),1),"")</f>
        <v>1781.1</v>
      </c>
      <c r="P351" s="16" t="str">
        <f aca="false">IFERROR(INDEX('Route of Administration'!$C$5:$C$155,MATCH(B351,'Route of Administration'!$A$5:$A$155,0)),"")</f>
        <v>IV</v>
      </c>
      <c r="Q351" s="15" t="str">
        <f aca="false">IFERROR(INDEX('Route of Administration'!$D$5:$D$155,MATCH(B351,'Route of Administration'!$A$5:$A$155,0)),"")</f>
        <v>No</v>
      </c>
      <c r="R351" s="16" t="s">
        <v>310</v>
      </c>
      <c r="S351" s="17" t="s">
        <v>1485</v>
      </c>
      <c r="T351" s="16" t="s">
        <v>310</v>
      </c>
      <c r="U351" s="17" t="str">
        <f aca="false">""&amp;IF(AE351=0,"No price found","")&amp;IF(AND(AE351&gt;0,AF351=0,AG351=0),"Low price comes from another market – confirm with the company","")</f>
        <v/>
      </c>
      <c r="V351" s="17" t="s">
        <v>284</v>
      </c>
      <c r="W351" s="15" t="n">
        <v>1</v>
      </c>
      <c r="X351" s="17" t="s">
        <v>284</v>
      </c>
      <c r="Y351" s="17" t="s">
        <v>284</v>
      </c>
      <c r="Z351" s="17" t="s">
        <v>312</v>
      </c>
      <c r="AA351" s="16" t="s">
        <v>1475</v>
      </c>
      <c r="AB351" s="78" t="s">
        <v>1309</v>
      </c>
      <c r="AC351" s="20" t="n">
        <f aca="false">IF(AE351&gt;0,ROUND(AVERAGEIFS('Shortlisted Drugs X Company (7)'!$N$3:$N$698,'Shortlisted Drugs X Company (7)'!$C$3:$C$698,$B351,'Shortlisted Drugs X Company (7)'!$E$3:$E$698,$AA351,'Shortlisted Drugs X Company (7)'!$N$3:$N$698,"&gt;=0"),2),"")</f>
        <v>4.02</v>
      </c>
      <c r="AD351" s="79" t="str">
        <f aca="false">B351&amp;"|"&amp;AA351</f>
        <v>Etomidate|Zydus Lifesciences</v>
      </c>
      <c r="AE351" s="22" t="n">
        <f aca="false">COUNTIFS('Shortlisted Drugs X Company (7)'!$C$3:$C$698,$B351,'Shortlisted Drugs X Company (7)'!$E$3:$E$698,$AA351,'Shortlisted Drugs X Company (7)'!$N$3:$N$698,"&gt;=0")</f>
        <v>1</v>
      </c>
      <c r="AF351" s="22" t="n">
        <f aca="false">COUNTIFS('Shortlisted Drugs X Company (7)'!$C$3:$C$698,$B351,'Shortlisted Drugs X Company (7)'!$E$3:$E$698,$AA351,'Shortlisted Drugs X Company (7)'!$N$3:$N$698,"&gt;5")</f>
        <v>0</v>
      </c>
      <c r="AG351" s="22" t="n">
        <f aca="false">COUNTIFS('Shortlisted Drugs X Company (7)'!$C$3:$C$698,$B351,'Shortlisted Drugs X Company (7)'!$E$3:$E$698,$AA351,'Shortlisted Drugs X Company (7)'!$P$3:$P$698,"Exact")+COUNTIFS('Shortlisted Drugs X Company (7)'!$C$3:$C$698,$B351,'Shortlisted Drugs X Company (7)'!$E$3:$E$698,$AA351,'Shortlisted Drugs X Company (7)'!$P$3:$P$698,"Same-market proxy")</f>
        <v>1</v>
      </c>
      <c r="AH351" s="22" t="n">
        <f aca="false">INDEX($G$7:$G$25,MATCH(A351,$A$7:$A$25,0))</f>
        <v>7</v>
      </c>
      <c r="AI351" s="79" t="str">
        <f aca="false">IF(OR(Q351="No",LEFT(H351,7)="IV only"),"",AH351*1000+IF(F351="",900+COUNTIFS($A$29:A351,A351,$H$29:H351,"Price*"),F351))</f>
        <v/>
      </c>
      <c r="AJ351" s="79" t="str">
        <f aca="false">IF(H351&lt;&gt;"","",(4-VALUE(RIGHT(E351,1)))*10^7+N(O351))</f>
        <v/>
      </c>
      <c r="AK351" s="79" t="str">
        <f aca="false">IF(AND(H351="",ISNUMBER(I351)),I351,"")</f>
        <v/>
      </c>
      <c r="AL351" s="79" t="str">
        <f aca="false">IF(H351="",M351,"")</f>
        <v/>
      </c>
    </row>
    <row r="352" customFormat="false" ht="28.35" hidden="false" customHeight="false" outlineLevel="0" collapsed="false">
      <c r="A352" s="16" t="s">
        <v>245</v>
      </c>
      <c r="B352" s="16" t="s">
        <v>1486</v>
      </c>
      <c r="C352" s="17" t="s">
        <v>1486</v>
      </c>
      <c r="D352" s="17" t="s">
        <v>1487</v>
      </c>
      <c r="E352" s="15" t="str">
        <f aca="false">IF(H352&lt;&gt;"",IF(LEFT(H352,5)="Price","Excluded – price ≤ USD 5","Excluded – IV only"),IF(ISNUMBER(I352),IF(AND(I352&gt;=$C$3,M352&gt;=$E$3),"Priority 1",IF(OR(I352&gt;=$C$3,M352&gt;=$E$3),"Priority 2","Priority 3")),IF(M352&gt;=$E$3,"Priority 2","Priority 3")))</f>
        <v>Excluded – IV only</v>
      </c>
      <c r="F352" s="15" t="str">
        <f aca="false">IF(H352&lt;&gt;"","",COUNTIFS($A$29:$A$361,A352,$H$29:$H$361,"",$AJ$29:$AJ$361,"&gt;"&amp;AJ352)+COUNTIFS($A$29:A352,A352,$H$29:H352,"",$AJ$29:AJ352,AJ352))</f>
        <v/>
      </c>
      <c r="G352" s="17" t="str">
        <f aca="false">IF(H352&lt;&gt;"","",IF(ISNUMBER(I352),IF(I352&gt;=$C$3,"High price","Lower price"),"No price")&amp;", "&amp;IF(M352&gt;=$E$3,"high volume","lower volume"))</f>
        <v/>
      </c>
      <c r="H352" s="17" t="str">
        <f aca="false">IF(Q352="No","IV only (no ID, IM or SC route)",IF(AND(AE352&gt;0,AF352=0),"Price ≤ USD 5",""))</f>
        <v>IV only (no ID, IM or SC route)</v>
      </c>
      <c r="I352" s="18" t="n">
        <f aca="false">IF(AF352&gt;0,ROUND(AVERAGEIFS('Shortlisted Drugs X Company (7)'!$N$3:$N$698,'Shortlisted Drugs X Company (7)'!$C$3:$C$698,$B352,'Shortlisted Drugs X Company (7)'!$E$3:$E$698,$AA352,'Shortlisted Drugs X Company (7)'!$N$3:$N$698,"&gt;5"),2),"")</f>
        <v>61.13</v>
      </c>
      <c r="J352" s="17" t="str">
        <f aca="false">IF(COUNTIFS('Shortlisted Drugs X Company (7)'!$C$3:$C$698,$B352,'Shortlisted Drugs X Company (7)'!$E$3:$E$698,$AA352,'Shortlisted Drugs X Company (7)'!$P$3:$P$698,"Exact")&gt;0,"Exact",IF(COUNTIFS('Shortlisted Drugs X Company (7)'!$C$3:$C$698,$B352,'Shortlisted Drugs X Company (7)'!$E$3:$E$698,$AA352,'Shortlisted Drugs X Company (7)'!$P$3:$P$698,"Same-market proxy")&gt;0,"Same-market proxy",IF(COUNTIFS('Shortlisted Drugs X Company (7)'!$C$3:$C$698,$B352,'Shortlisted Drugs X Company (7)'!$E$3:$E$698,$AA352,'Shortlisted Drugs X Company (7)'!$P$3:$P$698,"Cross-market proxy")&gt;0,"Cross-market proxy",IF(COUNTIFS('Shortlisted Drugs X Company (7)'!$C$3:$C$698,$B352,'Shortlisted Drugs X Company (7)'!$E$3:$E$698,$AA352,'Shortlisted Drugs X Company (7)'!$P$3:$P$698,"Source not found")&gt;0,"Source not found","No price found"))))</f>
        <v>Same-market proxy</v>
      </c>
      <c r="K352" s="19" t="n">
        <f aca="false">IFERROR(INDEX('Injectable Value'!$AB$28:$AB$178,MATCH(B352,'Injectable Value'!$A$28:$A$178,0)),"")</f>
        <v>111</v>
      </c>
      <c r="L352" s="77" t="n">
        <f aca="false">IFERROR(INDEX('Injectable Value'!$Z$28:$Z$178,MATCH(B352,'Injectable Value'!$A$28:$A$178,0)),"")</f>
        <v>0.432465091299678</v>
      </c>
      <c r="M352" s="19" t="n">
        <f aca="false">IFERROR(INDEX('Injectable Value'!$AC$28:$AC$178,MATCH(B352,'Injectable Value'!$A$28:$A$178,0)),"")</f>
        <v>48</v>
      </c>
      <c r="N352" s="19" t="n">
        <f aca="false">IFERROR(INDEX('Injectable Value'!$C$28:$C$178,MATCH(B352,'Injectable Value'!$A$28:$A$178,0)),"")</f>
        <v>1044.77</v>
      </c>
      <c r="O352" s="19" t="n">
        <f aca="false">IFERROR(ROUND(INDEX('Injectable Value'!$AA$28:$AA$178,MATCH(B352,'Injectable Value'!$A$28:$A$178,0)),1),"")</f>
        <v>451.8</v>
      </c>
      <c r="P352" s="16" t="str">
        <f aca="false">IFERROR(INDEX('Route of Administration'!$C$5:$C$155,MATCH(B352,'Route of Administration'!$A$5:$A$155,0)),"")</f>
        <v>IV</v>
      </c>
      <c r="Q352" s="15" t="str">
        <f aca="false">IFERROR(INDEX('Route of Administration'!$D$5:$D$155,MATCH(B352,'Route of Administration'!$A$5:$A$155,0)),"")</f>
        <v>No</v>
      </c>
      <c r="R352" s="16" t="s">
        <v>281</v>
      </c>
      <c r="S352" s="17" t="s">
        <v>1488</v>
      </c>
      <c r="T352" s="16" t="s">
        <v>283</v>
      </c>
      <c r="U352" s="17" t="str">
        <f aca="false">""&amp;IF(AE352=0,"No price found","")&amp;IF(AND(AE352&gt;0,AF352=0,AG352=0),"Low price comes from another market – confirm with the company","")</f>
        <v/>
      </c>
      <c r="V352" s="17" t="s">
        <v>284</v>
      </c>
      <c r="W352" s="15" t="n">
        <v>1</v>
      </c>
      <c r="X352" s="17" t="s">
        <v>284</v>
      </c>
      <c r="Y352" s="17" t="s">
        <v>284</v>
      </c>
      <c r="Z352" s="17" t="s">
        <v>321</v>
      </c>
      <c r="AA352" s="16" t="s">
        <v>1475</v>
      </c>
      <c r="AB352" s="78" t="s">
        <v>1489</v>
      </c>
      <c r="AC352" s="20" t="n">
        <f aca="false">IF(AE352&gt;0,ROUND(AVERAGEIFS('Shortlisted Drugs X Company (7)'!$N$3:$N$698,'Shortlisted Drugs X Company (7)'!$C$3:$C$698,$B352,'Shortlisted Drugs X Company (7)'!$E$3:$E$698,$AA352,'Shortlisted Drugs X Company (7)'!$N$3:$N$698,"&gt;=0"),2),"")</f>
        <v>61.13</v>
      </c>
      <c r="AD352" s="79" t="str">
        <f aca="false">B352&amp;"|"&amp;AA352</f>
        <v>Fluorescein Sodium|Zydus Lifesciences</v>
      </c>
      <c r="AE352" s="22" t="n">
        <f aca="false">COUNTIFS('Shortlisted Drugs X Company (7)'!$C$3:$C$698,$B352,'Shortlisted Drugs X Company (7)'!$E$3:$E$698,$AA352,'Shortlisted Drugs X Company (7)'!$N$3:$N$698,"&gt;=0")</f>
        <v>1</v>
      </c>
      <c r="AF352" s="22" t="n">
        <f aca="false">COUNTIFS('Shortlisted Drugs X Company (7)'!$C$3:$C$698,$B352,'Shortlisted Drugs X Company (7)'!$E$3:$E$698,$AA352,'Shortlisted Drugs X Company (7)'!$N$3:$N$698,"&gt;5")</f>
        <v>1</v>
      </c>
      <c r="AG352" s="22" t="n">
        <f aca="false">COUNTIFS('Shortlisted Drugs X Company (7)'!$C$3:$C$698,$B352,'Shortlisted Drugs X Company (7)'!$E$3:$E$698,$AA352,'Shortlisted Drugs X Company (7)'!$P$3:$P$698,"Exact")+COUNTIFS('Shortlisted Drugs X Company (7)'!$C$3:$C$698,$B352,'Shortlisted Drugs X Company (7)'!$E$3:$E$698,$AA352,'Shortlisted Drugs X Company (7)'!$P$3:$P$698,"Same-market proxy")</f>
        <v>1</v>
      </c>
      <c r="AH352" s="22" t="n">
        <f aca="false">INDEX($G$7:$G$25,MATCH(A352,$A$7:$A$25,0))</f>
        <v>7</v>
      </c>
      <c r="AI352" s="79" t="str">
        <f aca="false">IF(OR(Q352="No",LEFT(H352,7)="IV only"),"",AH352*1000+IF(F352="",900+COUNTIFS($A$29:A352,A352,$H$29:H352,"Price*"),F352))</f>
        <v/>
      </c>
      <c r="AJ352" s="79" t="str">
        <f aca="false">IF(H352&lt;&gt;"","",(4-VALUE(RIGHT(E352,1)))*10^7+N(O352))</f>
        <v/>
      </c>
      <c r="AK352" s="79" t="str">
        <f aca="false">IF(AND(H352="",ISNUMBER(I352)),I352,"")</f>
        <v/>
      </c>
      <c r="AL352" s="79" t="str">
        <f aca="false">IF(H352="",M352,"")</f>
        <v/>
      </c>
    </row>
    <row r="353" customFormat="false" ht="28.35" hidden="false" customHeight="false" outlineLevel="0" collapsed="false">
      <c r="A353" s="16" t="s">
        <v>245</v>
      </c>
      <c r="B353" s="16" t="s">
        <v>295</v>
      </c>
      <c r="C353" s="17" t="s">
        <v>295</v>
      </c>
      <c r="D353" s="17" t="s">
        <v>296</v>
      </c>
      <c r="E353" s="15" t="str">
        <f aca="false">IF(H353&lt;&gt;"",IF(LEFT(H353,5)="Price","Excluded – price ≤ USD 5","Excluded – IV only"),IF(ISNUMBER(I353),IF(AND(I353&gt;=$C$3,M353&gt;=$E$3),"Priority 1",IF(OR(I353&gt;=$C$3,M353&gt;=$E$3),"Priority 2","Priority 3")),IF(M353&gt;=$E$3,"Priority 2","Priority 3")))</f>
        <v>Priority 1</v>
      </c>
      <c r="F353" s="15" t="n">
        <f aca="false">IF(H353&lt;&gt;"","",COUNTIFS($A$29:$A$361,A353,$H$29:$H$361,"",$AJ$29:$AJ$361,"&gt;"&amp;AJ353)+COUNTIFS($A$29:A353,A353,$H$29:H353,"",$AJ$29:AJ353,AJ353))</f>
        <v>2</v>
      </c>
      <c r="G353" s="17" t="str">
        <f aca="false">IF(H353&lt;&gt;"","",IF(ISNUMBER(I353),IF(I353&gt;=$C$3,"High price","Lower price"),"No price")&amp;", "&amp;IF(M353&gt;=$E$3,"high volume","lower volume"))</f>
        <v>High price, high volume</v>
      </c>
      <c r="H353" s="17" t="str">
        <f aca="false">IF(Q353="No","IV only (no ID, IM or SC route)",IF(AND(AE353&gt;0,AF353=0),"Price ≤ USD 5",""))</f>
        <v/>
      </c>
      <c r="I353" s="18" t="n">
        <f aca="false">IF(AF353&gt;0,ROUND(AVERAGEIFS('Shortlisted Drugs X Company (7)'!$N$3:$N$698,'Shortlisted Drugs X Company (7)'!$C$3:$C$698,$B353,'Shortlisted Drugs X Company (7)'!$E$3:$E$698,$AA353,'Shortlisted Drugs X Company (7)'!$N$3:$N$698,"&gt;5"),2),"")</f>
        <v>29.97</v>
      </c>
      <c r="J353" s="17" t="str">
        <f aca="false">IF(COUNTIFS('Shortlisted Drugs X Company (7)'!$C$3:$C$698,$B353,'Shortlisted Drugs X Company (7)'!$E$3:$E$698,$AA353,'Shortlisted Drugs X Company (7)'!$P$3:$P$698,"Exact")&gt;0,"Exact",IF(COUNTIFS('Shortlisted Drugs X Company (7)'!$C$3:$C$698,$B353,'Shortlisted Drugs X Company (7)'!$E$3:$E$698,$AA353,'Shortlisted Drugs X Company (7)'!$P$3:$P$698,"Same-market proxy")&gt;0,"Same-market proxy",IF(COUNTIFS('Shortlisted Drugs X Company (7)'!$C$3:$C$698,$B353,'Shortlisted Drugs X Company (7)'!$E$3:$E$698,$AA353,'Shortlisted Drugs X Company (7)'!$P$3:$P$698,"Cross-market proxy")&gt;0,"Cross-market proxy",IF(COUNTIFS('Shortlisted Drugs X Company (7)'!$C$3:$C$698,$B353,'Shortlisted Drugs X Company (7)'!$E$3:$E$698,$AA353,'Shortlisted Drugs X Company (7)'!$P$3:$P$698,"Source not found")&gt;0,"Source not found","No price found"))))</f>
        <v>Same-market proxy</v>
      </c>
      <c r="K353" s="19" t="n">
        <f aca="false">IFERROR(INDEX('Injectable Value'!$AB$28:$AB$178,MATCH(B353,'Injectable Value'!$A$28:$A$178,0)),"")</f>
        <v>146</v>
      </c>
      <c r="L353" s="77" t="n">
        <f aca="false">IFERROR(INDEX('Injectable Value'!$Z$28:$Z$178,MATCH(B353,'Injectable Value'!$A$28:$A$178,0)),"")</f>
        <v>1</v>
      </c>
      <c r="M353" s="19" t="n">
        <f aca="false">IFERROR(INDEX('Injectable Value'!$AC$28:$AC$178,MATCH(B353,'Injectable Value'!$A$28:$A$178,0)),"")</f>
        <v>146</v>
      </c>
      <c r="N353" s="19" t="n">
        <f aca="false">IFERROR(INDEX('Injectable Value'!$C$28:$C$178,MATCH(B353,'Injectable Value'!$A$28:$A$178,0)),"")</f>
        <v>11366.06</v>
      </c>
      <c r="O353" s="19" t="n">
        <f aca="false">IFERROR(ROUND(INDEX('Injectable Value'!$AA$28:$AA$178,MATCH(B353,'Injectable Value'!$A$28:$A$178,0)),1),"")</f>
        <v>11366.1</v>
      </c>
      <c r="P353" s="16" t="str">
        <f aca="false">IFERROR(INDEX('Route of Administration'!$C$5:$C$155,MATCH(B353,'Route of Administration'!$A$5:$A$155,0)),"")</f>
        <v>IM</v>
      </c>
      <c r="Q353" s="15" t="str">
        <f aca="false">IFERROR(INDEX('Route of Administration'!$D$5:$D$155,MATCH(B353,'Route of Administration'!$A$5:$A$155,0)),"")</f>
        <v>Yes</v>
      </c>
      <c r="R353" s="16" t="s">
        <v>291</v>
      </c>
      <c r="S353" s="17" t="s">
        <v>297</v>
      </c>
      <c r="T353" s="16" t="s">
        <v>283</v>
      </c>
      <c r="U353" s="17" t="str">
        <f aca="false">"Prefilled only"&amp;IF(AE353=0,"; No price found","")&amp;IF(AND(AE353&gt;0,AF353=0,AG353=0),"; Low price comes from another market – confirm with the company","")</f>
        <v>Prefilled only</v>
      </c>
      <c r="V353" s="17" t="s">
        <v>284</v>
      </c>
      <c r="W353" s="15" t="n">
        <v>1</v>
      </c>
      <c r="X353" s="17" t="s">
        <v>284</v>
      </c>
      <c r="Y353" s="17" t="s">
        <v>284</v>
      </c>
      <c r="Z353" s="17" t="s">
        <v>293</v>
      </c>
      <c r="AA353" s="16" t="s">
        <v>1475</v>
      </c>
      <c r="AB353" s="78" t="s">
        <v>298</v>
      </c>
      <c r="AC353" s="20" t="n">
        <f aca="false">IF(AE353&gt;0,ROUND(AVERAGEIFS('Shortlisted Drugs X Company (7)'!$N$3:$N$698,'Shortlisted Drugs X Company (7)'!$C$3:$C$698,$B353,'Shortlisted Drugs X Company (7)'!$E$3:$E$698,$AA353,'Shortlisted Drugs X Company (7)'!$N$3:$N$698,"&gt;=0"),2),"")</f>
        <v>29.97</v>
      </c>
      <c r="AD353" s="79" t="str">
        <f aca="false">B353&amp;"|"&amp;AA353</f>
        <v>Fulvestrant|Zydus Lifesciences</v>
      </c>
      <c r="AE353" s="22" t="n">
        <f aca="false">COUNTIFS('Shortlisted Drugs X Company (7)'!$C$3:$C$698,$B353,'Shortlisted Drugs X Company (7)'!$E$3:$E$698,$AA353,'Shortlisted Drugs X Company (7)'!$N$3:$N$698,"&gt;=0")</f>
        <v>1</v>
      </c>
      <c r="AF353" s="22" t="n">
        <f aca="false">COUNTIFS('Shortlisted Drugs X Company (7)'!$C$3:$C$698,$B353,'Shortlisted Drugs X Company (7)'!$E$3:$E$698,$AA353,'Shortlisted Drugs X Company (7)'!$N$3:$N$698,"&gt;5")</f>
        <v>1</v>
      </c>
      <c r="AG353" s="22" t="n">
        <f aca="false">COUNTIFS('Shortlisted Drugs X Company (7)'!$C$3:$C$698,$B353,'Shortlisted Drugs X Company (7)'!$E$3:$E$698,$AA353,'Shortlisted Drugs X Company (7)'!$P$3:$P$698,"Exact")+COUNTIFS('Shortlisted Drugs X Company (7)'!$C$3:$C$698,$B353,'Shortlisted Drugs X Company (7)'!$E$3:$E$698,$AA353,'Shortlisted Drugs X Company (7)'!$P$3:$P$698,"Same-market proxy")</f>
        <v>1</v>
      </c>
      <c r="AH353" s="22" t="n">
        <f aca="false">INDEX($G$7:$G$25,MATCH(A353,$A$7:$A$25,0))</f>
        <v>7</v>
      </c>
      <c r="AI353" s="79" t="n">
        <f aca="false">IF(OR(Q353="No",LEFT(H353,7)="IV only"),"",AH353*1000+IF(F353="",900+COUNTIFS($A$29:A353,A353,$H$29:H353,"Price*"),F353))</f>
        <v>7002</v>
      </c>
      <c r="AJ353" s="79" t="n">
        <f aca="false">IF(H353&lt;&gt;"","",(4-VALUE(RIGHT(E353,1)))*10^7+N(O353))</f>
        <v>30011366.1</v>
      </c>
      <c r="AK353" s="20" t="n">
        <f aca="false">IF(AND(H353="",ISNUMBER(I353)),I353,"")</f>
        <v>29.97</v>
      </c>
      <c r="AL353" s="21" t="n">
        <f aca="false">IF(H353="",M353,"")</f>
        <v>146</v>
      </c>
    </row>
    <row r="354" customFormat="false" ht="41.75" hidden="false" customHeight="false" outlineLevel="0" collapsed="false">
      <c r="A354" s="16" t="s">
        <v>245</v>
      </c>
      <c r="B354" s="16" t="s">
        <v>1490</v>
      </c>
      <c r="C354" s="17" t="s">
        <v>1490</v>
      </c>
      <c r="D354" s="17" t="s">
        <v>445</v>
      </c>
      <c r="E354" s="15" t="str">
        <f aca="false">IF(H354&lt;&gt;"",IF(LEFT(H354,5)="Price","Excluded – price ≤ USD 5","Excluded – IV only"),IF(ISNUMBER(I354),IF(AND(I354&gt;=$C$3,M354&gt;=$E$3),"Priority 1",IF(OR(I354&gt;=$C$3,M354&gt;=$E$3),"Priority 2","Priority 3")),IF(M354&gt;=$E$3,"Priority 2","Priority 3")))</f>
        <v>Priority 3</v>
      </c>
      <c r="F354" s="15" t="n">
        <f aca="false">IF(H354&lt;&gt;"","",COUNTIFS($A$29:$A$361,A354,$H$29:$H$361,"",$AJ$29:$AJ$361,"&gt;"&amp;AJ354)+COUNTIFS($A$29:A354,A354,$H$29:H354,"",$AJ$29:AJ354,AJ354))</f>
        <v>8</v>
      </c>
      <c r="G354" s="17" t="str">
        <f aca="false">IF(H354&lt;&gt;"","",IF(ISNUMBER(I354),IF(I354&gt;=$C$3,"High price","Lower price"),"No price")&amp;", "&amp;IF(M354&gt;=$E$3,"high volume","lower volume"))</f>
        <v>Lower price, lower volume</v>
      </c>
      <c r="H354" s="17" t="str">
        <f aca="false">IF(Q354="No","IV only (no ID, IM or SC route)",IF(AND(AE354&gt;0,AF354=0),"Price ≤ USD 5",""))</f>
        <v/>
      </c>
      <c r="I354" s="18" t="n">
        <f aca="false">IF(AF354&gt;0,ROUND(AVERAGEIFS('Shortlisted Drugs X Company (7)'!$N$3:$N$698,'Shortlisted Drugs X Company (7)'!$C$3:$C$698,$B354,'Shortlisted Drugs X Company (7)'!$E$3:$E$698,$AA354,'Shortlisted Drugs X Company (7)'!$N$3:$N$698,"&gt;5"),2),"")</f>
        <v>14.99</v>
      </c>
      <c r="J354" s="17" t="str">
        <f aca="false">IF(COUNTIFS('Shortlisted Drugs X Company (7)'!$C$3:$C$698,$B354,'Shortlisted Drugs X Company (7)'!$E$3:$E$698,$AA354,'Shortlisted Drugs X Company (7)'!$P$3:$P$698,"Exact")&gt;0,"Exact",IF(COUNTIFS('Shortlisted Drugs X Company (7)'!$C$3:$C$698,$B354,'Shortlisted Drugs X Company (7)'!$E$3:$E$698,$AA354,'Shortlisted Drugs X Company (7)'!$P$3:$P$698,"Same-market proxy")&gt;0,"Same-market proxy",IF(COUNTIFS('Shortlisted Drugs X Company (7)'!$C$3:$C$698,$B354,'Shortlisted Drugs X Company (7)'!$E$3:$E$698,$AA354,'Shortlisted Drugs X Company (7)'!$P$3:$P$698,"Cross-market proxy")&gt;0,"Cross-market proxy",IF(COUNTIFS('Shortlisted Drugs X Company (7)'!$C$3:$C$698,$B354,'Shortlisted Drugs X Company (7)'!$E$3:$E$698,$AA354,'Shortlisted Drugs X Company (7)'!$P$3:$P$698,"Source not found")&gt;0,"Source not found","No price found"))))</f>
        <v>Same-market proxy</v>
      </c>
      <c r="K354" s="19" t="n">
        <f aca="false">IFERROR(INDEX('Injectable Value'!$AB$28:$AB$178,MATCH(B354,'Injectable Value'!$A$28:$A$178,0)),"")</f>
        <v>43</v>
      </c>
      <c r="L354" s="77" t="n">
        <f aca="false">IFERROR(INDEX('Injectable Value'!$Z$28:$Z$178,MATCH(B354,'Injectable Value'!$A$28:$A$178,0)),"")</f>
        <v>0.833333333333333</v>
      </c>
      <c r="M354" s="19" t="n">
        <f aca="false">IFERROR(INDEX('Injectable Value'!$AC$28:$AC$178,MATCH(B354,'Injectable Value'!$A$28:$A$178,0)),"")</f>
        <v>36</v>
      </c>
      <c r="N354" s="19" t="n">
        <f aca="false">IFERROR(INDEX('Injectable Value'!$C$28:$C$178,MATCH(B354,'Injectable Value'!$A$28:$A$178,0)),"")</f>
        <v>1942.31</v>
      </c>
      <c r="O354" s="19" t="n">
        <f aca="false">IFERROR(ROUND(INDEX('Injectable Value'!$AA$28:$AA$178,MATCH(B354,'Injectable Value'!$A$28:$A$178,0)),1),"")</f>
        <v>1618.6</v>
      </c>
      <c r="P354" s="16" t="str">
        <f aca="false">IFERROR(INDEX('Route of Administration'!$C$5:$C$155,MATCH(B354,'Route of Administration'!$A$5:$A$155,0)),"")</f>
        <v>IM</v>
      </c>
      <c r="Q354" s="15" t="str">
        <f aca="false">IFERROR(INDEX('Route of Administration'!$D$5:$D$155,MATCH(B354,'Route of Administration'!$A$5:$A$155,0)),"")</f>
        <v>Yes</v>
      </c>
      <c r="R354" s="16" t="s">
        <v>281</v>
      </c>
      <c r="S354" s="17" t="s">
        <v>1491</v>
      </c>
      <c r="T354" s="16" t="s">
        <v>283</v>
      </c>
      <c r="U354" s="17" t="str">
        <f aca="false">""&amp;IF(AE354=0,"No price found","")&amp;IF(AND(AE354&gt;0,AF354=0,AG354=0),"Low price comes from another market – confirm with the company","")</f>
        <v/>
      </c>
      <c r="V354" s="17" t="s">
        <v>284</v>
      </c>
      <c r="W354" s="15" t="n">
        <v>1</v>
      </c>
      <c r="X354" s="17" t="s">
        <v>284</v>
      </c>
      <c r="Y354" s="17" t="s">
        <v>284</v>
      </c>
      <c r="Z354" s="17" t="s">
        <v>321</v>
      </c>
      <c r="AA354" s="16" t="s">
        <v>1475</v>
      </c>
      <c r="AB354" s="78" t="s">
        <v>1492</v>
      </c>
      <c r="AC354" s="20" t="n">
        <f aca="false">IF(AE354&gt;0,ROUND(AVERAGEIFS('Shortlisted Drugs X Company (7)'!$N$3:$N$698,'Shortlisted Drugs X Company (7)'!$C$3:$C$698,$B354,'Shortlisted Drugs X Company (7)'!$E$3:$E$698,$AA354,'Shortlisted Drugs X Company (7)'!$N$3:$N$698,"&gt;=0"),2),"")</f>
        <v>14.99</v>
      </c>
      <c r="AD354" s="79" t="str">
        <f aca="false">B354&amp;"|"&amp;AA354</f>
        <v>Haloperidol Decanoate|Zydus Lifesciences</v>
      </c>
      <c r="AE354" s="22" t="n">
        <f aca="false">COUNTIFS('Shortlisted Drugs X Company (7)'!$C$3:$C$698,$B354,'Shortlisted Drugs X Company (7)'!$E$3:$E$698,$AA354,'Shortlisted Drugs X Company (7)'!$N$3:$N$698,"&gt;=0")</f>
        <v>2</v>
      </c>
      <c r="AF354" s="22" t="n">
        <f aca="false">COUNTIFS('Shortlisted Drugs X Company (7)'!$C$3:$C$698,$B354,'Shortlisted Drugs X Company (7)'!$E$3:$E$698,$AA354,'Shortlisted Drugs X Company (7)'!$N$3:$N$698,"&gt;5")</f>
        <v>2</v>
      </c>
      <c r="AG354" s="22" t="n">
        <f aca="false">COUNTIFS('Shortlisted Drugs X Company (7)'!$C$3:$C$698,$B354,'Shortlisted Drugs X Company (7)'!$E$3:$E$698,$AA354,'Shortlisted Drugs X Company (7)'!$P$3:$P$698,"Exact")+COUNTIFS('Shortlisted Drugs X Company (7)'!$C$3:$C$698,$B354,'Shortlisted Drugs X Company (7)'!$E$3:$E$698,$AA354,'Shortlisted Drugs X Company (7)'!$P$3:$P$698,"Same-market proxy")</f>
        <v>2</v>
      </c>
      <c r="AH354" s="22" t="n">
        <f aca="false">INDEX($G$7:$G$25,MATCH(A354,$A$7:$A$25,0))</f>
        <v>7</v>
      </c>
      <c r="AI354" s="79" t="n">
        <f aca="false">IF(OR(Q354="No",LEFT(H354,7)="IV only"),"",AH354*1000+IF(F354="",900+COUNTIFS($A$29:A354,A354,$H$29:H354,"Price*"),F354))</f>
        <v>7008</v>
      </c>
      <c r="AJ354" s="79" t="n">
        <f aca="false">IF(H354&lt;&gt;"","",(4-VALUE(RIGHT(E354,1)))*10^7+N(O354))</f>
        <v>10001618.6</v>
      </c>
      <c r="AK354" s="20" t="n">
        <f aca="false">IF(AND(H354="",ISNUMBER(I354)),I354,"")</f>
        <v>14.99</v>
      </c>
      <c r="AL354" s="21" t="n">
        <f aca="false">IF(H354="",M354,"")</f>
        <v>36</v>
      </c>
    </row>
    <row r="355" customFormat="false" ht="41.75" hidden="false" customHeight="false" outlineLevel="0" collapsed="false">
      <c r="A355" s="16" t="s">
        <v>245</v>
      </c>
      <c r="B355" s="16" t="s">
        <v>632</v>
      </c>
      <c r="C355" s="17" t="s">
        <v>1493</v>
      </c>
      <c r="D355" s="17" t="s">
        <v>634</v>
      </c>
      <c r="E355" s="15" t="str">
        <f aca="false">IF(H355&lt;&gt;"",IF(LEFT(H355,5)="Price","Excluded – price ≤ USD 5","Excluded – IV only"),IF(ISNUMBER(I355),IF(AND(I355&gt;=$C$3,M355&gt;=$E$3),"Priority 1",IF(OR(I355&gt;=$C$3,M355&gt;=$E$3),"Priority 2","Priority 3")),IF(M355&gt;=$E$3,"Priority 2","Priority 3")))</f>
        <v>Priority 2</v>
      </c>
      <c r="F355" s="15" t="n">
        <f aca="false">IF(H355&lt;&gt;"","",COUNTIFS($A$29:$A$361,A355,$H$29:$H$361,"",$AJ$29:$AJ$361,"&gt;"&amp;AJ355)+COUNTIFS($A$29:A355,A355,$H$29:H355,"",$AJ$29:AJ355,AJ355))</f>
        <v>5</v>
      </c>
      <c r="G355" s="17" t="str">
        <f aca="false">IF(H355&lt;&gt;"","",IF(ISNUMBER(I355),IF(I355&gt;=$C$3,"High price","Lower price"),"No price")&amp;", "&amp;IF(M355&gt;=$E$3,"high volume","lower volume"))</f>
        <v>Lower price, high volume</v>
      </c>
      <c r="H355" s="17" t="str">
        <f aca="false">IF(Q355="No","IV only (no ID, IM or SC route)",IF(AND(AE355&gt;0,AF355=0),"Price ≤ USD 5",""))</f>
        <v/>
      </c>
      <c r="I355" s="18" t="n">
        <f aca="false">IF(AF355&gt;0,ROUND(AVERAGEIFS('Shortlisted Drugs X Company (7)'!$N$3:$N$698,'Shortlisted Drugs X Company (7)'!$C$3:$C$698,$B355,'Shortlisted Drugs X Company (7)'!$E$3:$E$698,$AA355,'Shortlisted Drugs X Company (7)'!$N$3:$N$698,"&gt;5"),2),"")</f>
        <v>23.15</v>
      </c>
      <c r="J355" s="17" t="str">
        <f aca="false">IF(COUNTIFS('Shortlisted Drugs X Company (7)'!$C$3:$C$698,$B355,'Shortlisted Drugs X Company (7)'!$E$3:$E$698,$AA355,'Shortlisted Drugs X Company (7)'!$P$3:$P$698,"Exact")&gt;0,"Exact",IF(COUNTIFS('Shortlisted Drugs X Company (7)'!$C$3:$C$698,$B355,'Shortlisted Drugs X Company (7)'!$E$3:$E$698,$AA355,'Shortlisted Drugs X Company (7)'!$P$3:$P$698,"Same-market proxy")&gt;0,"Same-market proxy",IF(COUNTIFS('Shortlisted Drugs X Company (7)'!$C$3:$C$698,$B355,'Shortlisted Drugs X Company (7)'!$E$3:$E$698,$AA355,'Shortlisted Drugs X Company (7)'!$P$3:$P$698,"Cross-market proxy")&gt;0,"Cross-market proxy",IF(COUNTIFS('Shortlisted Drugs X Company (7)'!$C$3:$C$698,$B355,'Shortlisted Drugs X Company (7)'!$E$3:$E$698,$AA355,'Shortlisted Drugs X Company (7)'!$P$3:$P$698,"Source not found")&gt;0,"Source not found","No price found"))))</f>
        <v>Same-market proxy</v>
      </c>
      <c r="K355" s="19" t="n">
        <f aca="false">IFERROR(INDEX('Injectable Value'!$AB$28:$AB$178,MATCH(B355,'Injectable Value'!$A$28:$A$178,0)),"")</f>
        <v>2582</v>
      </c>
      <c r="L355" s="77" t="n">
        <f aca="false">IFERROR(INDEX('Injectable Value'!$Z$28:$Z$178,MATCH(B355,'Injectable Value'!$A$28:$A$178,0)),"")</f>
        <v>0.125875590958329</v>
      </c>
      <c r="M355" s="19" t="n">
        <f aca="false">IFERROR(INDEX('Injectable Value'!$AC$28:$AC$178,MATCH(B355,'Injectable Value'!$A$28:$A$178,0)),"")</f>
        <v>325</v>
      </c>
      <c r="N355" s="19" t="n">
        <f aca="false">IFERROR(INDEX('Injectable Value'!$C$28:$C$178,MATCH(B355,'Injectable Value'!$A$28:$A$178,0)),"")</f>
        <v>38106.07</v>
      </c>
      <c r="O355" s="19" t="n">
        <f aca="false">IFERROR(ROUND(INDEX('Injectable Value'!$AA$28:$AA$178,MATCH(B355,'Injectable Value'!$A$28:$A$178,0)),1),"")</f>
        <v>4796.6</v>
      </c>
      <c r="P355" s="16" t="str">
        <f aca="false">IFERROR(INDEX('Route of Administration'!$C$5:$C$155,MATCH(B355,'Route of Administration'!$A$5:$A$155,0)),"")</f>
        <v>IV, IM</v>
      </c>
      <c r="Q355" s="15" t="str">
        <f aca="false">IFERROR(INDEX('Route of Administration'!$D$5:$D$155,MATCH(B355,'Route of Administration'!$A$5:$A$155,0)),"")</f>
        <v>Yes</v>
      </c>
      <c r="R355" s="16" t="s">
        <v>281</v>
      </c>
      <c r="S355" s="17" t="s">
        <v>1494</v>
      </c>
      <c r="T355" s="16" t="s">
        <v>283</v>
      </c>
      <c r="U355" s="17" t="str">
        <f aca="false">""&amp;IF(AE355=0,"No price found","")&amp;IF(AND(AE355&gt;0,AF355=0,AG355=0),"Low price comes from another market – confirm with the company","")</f>
        <v/>
      </c>
      <c r="V355" s="17" t="s">
        <v>284</v>
      </c>
      <c r="W355" s="15" t="n">
        <v>1</v>
      </c>
      <c r="X355" s="17" t="s">
        <v>284</v>
      </c>
      <c r="Y355" s="17" t="s">
        <v>284</v>
      </c>
      <c r="Z355" s="17" t="s">
        <v>286</v>
      </c>
      <c r="AA355" s="16" t="s">
        <v>1475</v>
      </c>
      <c r="AB355" s="78" t="s">
        <v>636</v>
      </c>
      <c r="AC355" s="20" t="n">
        <f aca="false">IF(AE355&gt;0,ROUND(AVERAGEIFS('Shortlisted Drugs X Company (7)'!$N$3:$N$698,'Shortlisted Drugs X Company (7)'!$C$3:$C$698,$B355,'Shortlisted Drugs X Company (7)'!$E$3:$E$698,$AA355,'Shortlisted Drugs X Company (7)'!$N$3:$N$698,"&gt;=0"),2),"")</f>
        <v>23.15</v>
      </c>
      <c r="AD355" s="79" t="str">
        <f aca="false">B355&amp;"|"&amp;AA355</f>
        <v>Hydrocortisone|Zydus Lifesciences</v>
      </c>
      <c r="AE355" s="22" t="n">
        <f aca="false">COUNTIFS('Shortlisted Drugs X Company (7)'!$C$3:$C$698,$B355,'Shortlisted Drugs X Company (7)'!$E$3:$E$698,$AA355,'Shortlisted Drugs X Company (7)'!$N$3:$N$698,"&gt;=0")</f>
        <v>1</v>
      </c>
      <c r="AF355" s="22" t="n">
        <f aca="false">COUNTIFS('Shortlisted Drugs X Company (7)'!$C$3:$C$698,$B355,'Shortlisted Drugs X Company (7)'!$E$3:$E$698,$AA355,'Shortlisted Drugs X Company (7)'!$N$3:$N$698,"&gt;5")</f>
        <v>1</v>
      </c>
      <c r="AG355" s="22" t="n">
        <f aca="false">COUNTIFS('Shortlisted Drugs X Company (7)'!$C$3:$C$698,$B355,'Shortlisted Drugs X Company (7)'!$E$3:$E$698,$AA355,'Shortlisted Drugs X Company (7)'!$P$3:$P$698,"Exact")+COUNTIFS('Shortlisted Drugs X Company (7)'!$C$3:$C$698,$B355,'Shortlisted Drugs X Company (7)'!$E$3:$E$698,$AA355,'Shortlisted Drugs X Company (7)'!$P$3:$P$698,"Same-market proxy")</f>
        <v>1</v>
      </c>
      <c r="AH355" s="22" t="n">
        <f aca="false">INDEX($G$7:$G$25,MATCH(A355,$A$7:$A$25,0))</f>
        <v>7</v>
      </c>
      <c r="AI355" s="79" t="n">
        <f aca="false">IF(OR(Q355="No",LEFT(H355,7)="IV only"),"",AH355*1000+IF(F355="",900+COUNTIFS($A$29:A355,A355,$H$29:H355,"Price*"),F355))</f>
        <v>7005</v>
      </c>
      <c r="AJ355" s="79" t="n">
        <f aca="false">IF(H355&lt;&gt;"","",(4-VALUE(RIGHT(E355,1)))*10^7+N(O355))</f>
        <v>20004796.6</v>
      </c>
      <c r="AK355" s="20" t="n">
        <f aca="false">IF(AND(H355="",ISNUMBER(I355)),I355,"")</f>
        <v>23.15</v>
      </c>
      <c r="AL355" s="21" t="n">
        <f aca="false">IF(H355="",M355,"")</f>
        <v>325</v>
      </c>
    </row>
    <row r="356" customFormat="false" ht="68.65" hidden="false" customHeight="false" outlineLevel="0" collapsed="false">
      <c r="A356" s="16" t="s">
        <v>245</v>
      </c>
      <c r="B356" s="16" t="s">
        <v>1495</v>
      </c>
      <c r="C356" s="17" t="s">
        <v>1495</v>
      </c>
      <c r="D356" s="17" t="s">
        <v>1496</v>
      </c>
      <c r="E356" s="15" t="str">
        <f aca="false">IF(H356&lt;&gt;"",IF(LEFT(H356,5)="Price","Excluded – price ≤ USD 5","Excluded – IV only"),IF(ISNUMBER(I356),IF(AND(I356&gt;=$C$3,M356&gt;=$E$3),"Priority 1",IF(OR(I356&gt;=$C$3,M356&gt;=$E$3),"Priority 2","Priority 3")),IF(M356&gt;=$E$3,"Priority 2","Priority 3")))</f>
        <v>Excluded – IV only</v>
      </c>
      <c r="F356" s="15" t="str">
        <f aca="false">IF(H356&lt;&gt;"","",COUNTIFS($A$29:$A$361,A356,$H$29:$H$361,"",$AJ$29:$AJ$361,"&gt;"&amp;AJ356)+COUNTIFS($A$29:A356,A356,$H$29:H356,"",$AJ$29:AJ356,AJ356))</f>
        <v/>
      </c>
      <c r="G356" s="17" t="str">
        <f aca="false">IF(H356&lt;&gt;"","",IF(ISNUMBER(I356),IF(I356&gt;=$C$3,"High price","Lower price"),"No price")&amp;", "&amp;IF(M356&gt;=$E$3,"high volume","lower volume"))</f>
        <v/>
      </c>
      <c r="H356" s="17" t="str">
        <f aca="false">IF(Q356="No","IV only (no ID, IM or SC route)","IV only – the company's product (see Route of Administration, step 2)")</f>
        <v>IV only – the company's product (see Route of Administration, step 2)</v>
      </c>
      <c r="I356" s="18" t="n">
        <f aca="false">IF(AF356&gt;0,ROUND(AVERAGEIFS('Shortlisted Drugs X Company (7)'!$N$3:$N$698,'Shortlisted Drugs X Company (7)'!$C$3:$C$698,$B356,'Shortlisted Drugs X Company (7)'!$E$3:$E$698,$AA356,'Shortlisted Drugs X Company (7)'!$N$3:$N$698,"&gt;5"),2),"")</f>
        <v>179.58</v>
      </c>
      <c r="J356" s="17" t="str">
        <f aca="false">IF(COUNTIFS('Shortlisted Drugs X Company (7)'!$C$3:$C$698,$B356,'Shortlisted Drugs X Company (7)'!$E$3:$E$698,$AA356,'Shortlisted Drugs X Company (7)'!$P$3:$P$698,"Exact")&gt;0,"Exact",IF(COUNTIFS('Shortlisted Drugs X Company (7)'!$C$3:$C$698,$B356,'Shortlisted Drugs X Company (7)'!$E$3:$E$698,$AA356,'Shortlisted Drugs X Company (7)'!$P$3:$P$698,"Same-market proxy")&gt;0,"Same-market proxy",IF(COUNTIFS('Shortlisted Drugs X Company (7)'!$C$3:$C$698,$B356,'Shortlisted Drugs X Company (7)'!$E$3:$E$698,$AA356,'Shortlisted Drugs X Company (7)'!$P$3:$P$698,"Cross-market proxy")&gt;0,"Cross-market proxy",IF(COUNTIFS('Shortlisted Drugs X Company (7)'!$C$3:$C$698,$B356,'Shortlisted Drugs X Company (7)'!$E$3:$E$698,$AA356,'Shortlisted Drugs X Company (7)'!$P$3:$P$698,"Source not found")&gt;0,"Source not found","No price found"))))</f>
        <v>Same-market proxy</v>
      </c>
      <c r="K356" s="19" t="n">
        <f aca="false">IFERROR(INDEX('Injectable Value'!$AB$28:$AB$178,MATCH(B356,'Injectable Value'!$A$28:$A$178,0)),"")</f>
        <v>48</v>
      </c>
      <c r="L356" s="77" t="n">
        <f aca="false">IFERROR(INDEX('Injectable Value'!$Z$28:$Z$178,MATCH(B356,'Injectable Value'!$A$28:$A$178,0)),"")</f>
        <v>0.702380952380952</v>
      </c>
      <c r="M356" s="19" t="n">
        <f aca="false">IFERROR(INDEX('Injectable Value'!$AC$28:$AC$178,MATCH(B356,'Injectable Value'!$A$28:$A$178,0)),"")</f>
        <v>34</v>
      </c>
      <c r="N356" s="19" t="n">
        <f aca="false">IFERROR(INDEX('Injectable Value'!$C$28:$C$178,MATCH(B356,'Injectable Value'!$A$28:$A$178,0)),"")</f>
        <v>304.87</v>
      </c>
      <c r="O356" s="19" t="n">
        <f aca="false">IFERROR(ROUND(INDEX('Injectable Value'!$AA$28:$AA$178,MATCH(B356,'Injectable Value'!$A$28:$A$178,0)),1),"")</f>
        <v>214.1</v>
      </c>
      <c r="P356" s="16" t="str">
        <f aca="false">IFERROR(INDEX('Route of Administration'!$C$5:$C$155,MATCH(B356,'Route of Administration'!$A$5:$A$155,0)),"")</f>
        <v>IV, ID, SC</v>
      </c>
      <c r="Q356" s="15" t="str">
        <f aca="false">IFERROR(INDEX('Route of Administration'!$D$5:$D$155,MATCH(B356,'Route of Administration'!$A$5:$A$155,0)),"")</f>
        <v>Yes</v>
      </c>
      <c r="R356" s="16" t="s">
        <v>310</v>
      </c>
      <c r="S356" s="17" t="s">
        <v>1497</v>
      </c>
      <c r="T356" s="16" t="s">
        <v>310</v>
      </c>
      <c r="U356" s="17" t="str">
        <f aca="false">""&amp;IF(AE356=0,"No price found","")&amp;IF(AND(AE356&gt;0,AF356=0,AG356=0),"Low price comes from another market – confirm with the company","")</f>
        <v/>
      </c>
      <c r="V356" s="17" t="s">
        <v>284</v>
      </c>
      <c r="W356" s="15" t="n">
        <v>1</v>
      </c>
      <c r="X356" s="17" t="s">
        <v>284</v>
      </c>
      <c r="Y356" s="17" t="s">
        <v>284</v>
      </c>
      <c r="Z356" s="17" t="s">
        <v>312</v>
      </c>
      <c r="AA356" s="16" t="s">
        <v>1475</v>
      </c>
      <c r="AB356" s="78" t="s">
        <v>1498</v>
      </c>
      <c r="AC356" s="20" t="n">
        <f aca="false">IF(AE356&gt;0,ROUND(AVERAGEIFS('Shortlisted Drugs X Company (7)'!$N$3:$N$698,'Shortlisted Drugs X Company (7)'!$C$3:$C$698,$B356,'Shortlisted Drugs X Company (7)'!$E$3:$E$698,$AA356,'Shortlisted Drugs X Company (7)'!$N$3:$N$698,"&gt;=0"),2),"")</f>
        <v>179.58</v>
      </c>
      <c r="AD356" s="79" t="str">
        <f aca="false">B356&amp;"|"&amp;AA356</f>
        <v>Indocyanine Green|Zydus Lifesciences</v>
      </c>
      <c r="AE356" s="22" t="n">
        <f aca="false">COUNTIFS('Shortlisted Drugs X Company (7)'!$C$3:$C$698,$B356,'Shortlisted Drugs X Company (7)'!$E$3:$E$698,$AA356,'Shortlisted Drugs X Company (7)'!$N$3:$N$698,"&gt;=0")</f>
        <v>1</v>
      </c>
      <c r="AF356" s="22" t="n">
        <f aca="false">COUNTIFS('Shortlisted Drugs X Company (7)'!$C$3:$C$698,$B356,'Shortlisted Drugs X Company (7)'!$E$3:$E$698,$AA356,'Shortlisted Drugs X Company (7)'!$N$3:$N$698,"&gt;5")</f>
        <v>1</v>
      </c>
      <c r="AG356" s="22" t="n">
        <f aca="false">COUNTIFS('Shortlisted Drugs X Company (7)'!$C$3:$C$698,$B356,'Shortlisted Drugs X Company (7)'!$E$3:$E$698,$AA356,'Shortlisted Drugs X Company (7)'!$P$3:$P$698,"Exact")+COUNTIFS('Shortlisted Drugs X Company (7)'!$C$3:$C$698,$B356,'Shortlisted Drugs X Company (7)'!$E$3:$E$698,$AA356,'Shortlisted Drugs X Company (7)'!$P$3:$P$698,"Same-market proxy")</f>
        <v>1</v>
      </c>
      <c r="AH356" s="22" t="n">
        <f aca="false">INDEX($G$7:$G$25,MATCH(A356,$A$7:$A$25,0))</f>
        <v>7</v>
      </c>
      <c r="AI356" s="79" t="str">
        <f aca="false">IF(OR(Q356="No",LEFT(H356,7)="IV only"),"",AH356*1000+IF(F356="",900+COUNTIFS($A$29:A356,A356,$H$29:H356,"Price*"),F356))</f>
        <v/>
      </c>
      <c r="AJ356" s="79" t="str">
        <f aca="false">IF(H356&lt;&gt;"","",(4-VALUE(RIGHT(E356,1)))*10^7+N(O356))</f>
        <v/>
      </c>
      <c r="AK356" s="79" t="str">
        <f aca="false">IF(AND(H356="",ISNUMBER(I356)),I356,"")</f>
        <v/>
      </c>
      <c r="AL356" s="79" t="str">
        <f aca="false">IF(H356="",M356,"")</f>
        <v/>
      </c>
    </row>
    <row r="357" customFormat="false" ht="41.75" hidden="false" customHeight="false" outlineLevel="0" collapsed="false">
      <c r="A357" s="16" t="s">
        <v>245</v>
      </c>
      <c r="B357" s="16" t="s">
        <v>1499</v>
      </c>
      <c r="C357" s="17" t="s">
        <v>1500</v>
      </c>
      <c r="D357" s="17" t="s">
        <v>1501</v>
      </c>
      <c r="E357" s="15" t="str">
        <f aca="false">IF(H357&lt;&gt;"",IF(LEFT(H357,5)="Price","Excluded – price ≤ USD 5","Excluded – IV only"),IF(ISNUMBER(I357),IF(AND(I357&gt;=$C$3,M357&gt;=$E$3),"Priority 1",IF(OR(I357&gt;=$C$3,M357&gt;=$E$3),"Priority 2","Priority 3")),IF(M357&gt;=$E$3,"Priority 2","Priority 3")))</f>
        <v>Excluded – IV only</v>
      </c>
      <c r="F357" s="15" t="str">
        <f aca="false">IF(H357&lt;&gt;"","",COUNTIFS($A$29:$A$361,A357,$H$29:$H$361,"",$AJ$29:$AJ$361,"&gt;"&amp;AJ357)+COUNTIFS($A$29:A357,A357,$H$29:H357,"",$AJ$29:AJ357,AJ357))</f>
        <v/>
      </c>
      <c r="G357" s="17" t="str">
        <f aca="false">IF(H357&lt;&gt;"","",IF(ISNUMBER(I357),IF(I357&gt;=$C$3,"High price","Lower price"),"No price")&amp;", "&amp;IF(M357&gt;=$E$3,"high volume","lower volume"))</f>
        <v/>
      </c>
      <c r="H357" s="17" t="str">
        <f aca="false">IF(Q357="No","IV only (no ID, IM or SC route)",IF(AND(AE357&gt;0,AF357=0),"Price ≤ USD 5",""))</f>
        <v>IV only (no ID, IM or SC route)</v>
      </c>
      <c r="I357" s="18" t="n">
        <f aca="false">IF(AF357&gt;0,ROUND(AVERAGEIFS('Shortlisted Drugs X Company (7)'!$N$3:$N$698,'Shortlisted Drugs X Company (7)'!$C$3:$C$698,$B357,'Shortlisted Drugs X Company (7)'!$E$3:$E$698,$AA357,'Shortlisted Drugs X Company (7)'!$N$3:$N$698,"&gt;5"),2),"")</f>
        <v>7.58</v>
      </c>
      <c r="J357" s="17" t="str">
        <f aca="false">IF(COUNTIFS('Shortlisted Drugs X Company (7)'!$C$3:$C$698,$B357,'Shortlisted Drugs X Company (7)'!$E$3:$E$698,$AA357,'Shortlisted Drugs X Company (7)'!$P$3:$P$698,"Exact")&gt;0,"Exact",IF(COUNTIFS('Shortlisted Drugs X Company (7)'!$C$3:$C$698,$B357,'Shortlisted Drugs X Company (7)'!$E$3:$E$698,$AA357,'Shortlisted Drugs X Company (7)'!$P$3:$P$698,"Same-market proxy")&gt;0,"Same-market proxy",IF(COUNTIFS('Shortlisted Drugs X Company (7)'!$C$3:$C$698,$B357,'Shortlisted Drugs X Company (7)'!$E$3:$E$698,$AA357,'Shortlisted Drugs X Company (7)'!$P$3:$P$698,"Cross-market proxy")&gt;0,"Cross-market proxy",IF(COUNTIFS('Shortlisted Drugs X Company (7)'!$C$3:$C$698,$B357,'Shortlisted Drugs X Company (7)'!$E$3:$E$698,$AA357,'Shortlisted Drugs X Company (7)'!$P$3:$P$698,"Source not found")&gt;0,"Source not found","No price found"))))</f>
        <v>Exact</v>
      </c>
      <c r="K357" s="19" t="n">
        <f aca="false">IFERROR(INDEX('Injectable Value'!$AB$28:$AB$178,MATCH(B357,'Injectable Value'!$A$28:$A$178,0)),"")</f>
        <v>565</v>
      </c>
      <c r="L357" s="77" t="n">
        <f aca="false">IFERROR(INDEX('Injectable Value'!$Z$28:$Z$178,MATCH(B357,'Injectable Value'!$A$28:$A$178,0)),"")</f>
        <v>0.95</v>
      </c>
      <c r="M357" s="19" t="n">
        <f aca="false">IFERROR(INDEX('Injectable Value'!$AC$28:$AC$178,MATCH(B357,'Injectable Value'!$A$28:$A$178,0)),"")</f>
        <v>537</v>
      </c>
      <c r="N357" s="19" t="n">
        <f aca="false">IFERROR(INDEX('Injectable Value'!$C$28:$C$178,MATCH(B357,'Injectable Value'!$A$28:$A$178,0)),"")</f>
        <v>12587.3</v>
      </c>
      <c r="O357" s="19" t="n">
        <f aca="false">IFERROR(ROUND(INDEX('Injectable Value'!$AA$28:$AA$178,MATCH(B357,'Injectable Value'!$A$28:$A$178,0)),1),"")</f>
        <v>11957.9</v>
      </c>
      <c r="P357" s="16" t="str">
        <f aca="false">IFERROR(INDEX('Route of Administration'!$C$5:$C$155,MATCH(B357,'Route of Administration'!$A$5:$A$155,0)),"")</f>
        <v>IV</v>
      </c>
      <c r="Q357" s="15" t="str">
        <f aca="false">IFERROR(INDEX('Route of Administration'!$D$5:$D$155,MATCH(B357,'Route of Administration'!$A$5:$A$155,0)),"")</f>
        <v>No</v>
      </c>
      <c r="R357" s="16" t="s">
        <v>281</v>
      </c>
      <c r="S357" s="17" t="s">
        <v>1202</v>
      </c>
      <c r="T357" s="16" t="s">
        <v>283</v>
      </c>
      <c r="U357" s="17" t="str">
        <f aca="false">""&amp;IF(AE357=0,"No price found","")&amp;IF(AND(AE357&gt;0,AF357=0,AG357=0),"Low price comes from another market – confirm with the company","")</f>
        <v/>
      </c>
      <c r="V357" s="17" t="s">
        <v>112</v>
      </c>
      <c r="W357" s="15" t="n">
        <v>1</v>
      </c>
      <c r="X357" s="17" t="s">
        <v>360</v>
      </c>
      <c r="Y357" s="17" t="s">
        <v>360</v>
      </c>
      <c r="Z357" s="17" t="s">
        <v>321</v>
      </c>
      <c r="AA357" s="16" t="s">
        <v>1475</v>
      </c>
      <c r="AB357" s="78" t="s">
        <v>1203</v>
      </c>
      <c r="AC357" s="20" t="n">
        <f aca="false">IF(AE357&gt;0,ROUND(AVERAGEIFS('Shortlisted Drugs X Company (7)'!$N$3:$N$698,'Shortlisted Drugs X Company (7)'!$C$3:$C$698,$B357,'Shortlisted Drugs X Company (7)'!$E$3:$E$698,$AA357,'Shortlisted Drugs X Company (7)'!$N$3:$N$698,"&gt;=0"),2),"")</f>
        <v>7.58</v>
      </c>
      <c r="AD357" s="79" t="str">
        <f aca="false">B357&amp;"|"&amp;AA357</f>
        <v>Iron Sucrose|Zydus Lifesciences</v>
      </c>
      <c r="AE357" s="22" t="n">
        <f aca="false">COUNTIFS('Shortlisted Drugs X Company (7)'!$C$3:$C$698,$B357,'Shortlisted Drugs X Company (7)'!$E$3:$E$698,$AA357,'Shortlisted Drugs X Company (7)'!$N$3:$N$698,"&gt;=0")</f>
        <v>1</v>
      </c>
      <c r="AF357" s="22" t="n">
        <f aca="false">COUNTIFS('Shortlisted Drugs X Company (7)'!$C$3:$C$698,$B357,'Shortlisted Drugs X Company (7)'!$E$3:$E$698,$AA357,'Shortlisted Drugs X Company (7)'!$N$3:$N$698,"&gt;5")</f>
        <v>1</v>
      </c>
      <c r="AG357" s="22" t="n">
        <f aca="false">COUNTIFS('Shortlisted Drugs X Company (7)'!$C$3:$C$698,$B357,'Shortlisted Drugs X Company (7)'!$E$3:$E$698,$AA357,'Shortlisted Drugs X Company (7)'!$P$3:$P$698,"Exact")+COUNTIFS('Shortlisted Drugs X Company (7)'!$C$3:$C$698,$B357,'Shortlisted Drugs X Company (7)'!$E$3:$E$698,$AA357,'Shortlisted Drugs X Company (7)'!$P$3:$P$698,"Same-market proxy")</f>
        <v>1</v>
      </c>
      <c r="AH357" s="22" t="n">
        <f aca="false">INDEX($G$7:$G$25,MATCH(A357,$A$7:$A$25,0))</f>
        <v>7</v>
      </c>
      <c r="AI357" s="79" t="str">
        <f aca="false">IF(OR(Q357="No",LEFT(H357,7)="IV only"),"",AH357*1000+IF(F357="",900+COUNTIFS($A$29:A357,A357,$H$29:H357,"Price*"),F357))</f>
        <v/>
      </c>
      <c r="AJ357" s="79" t="str">
        <f aca="false">IF(H357&lt;&gt;"","",(4-VALUE(RIGHT(E357,1)))*10^7+N(O357))</f>
        <v/>
      </c>
      <c r="AK357" s="79" t="str">
        <f aca="false">IF(AND(H357="",ISNUMBER(I357)),I357,"")</f>
        <v/>
      </c>
      <c r="AL357" s="79" t="str">
        <f aca="false">IF(H357="",M357,"")</f>
        <v/>
      </c>
    </row>
    <row r="358" customFormat="false" ht="41.75" hidden="false" customHeight="false" outlineLevel="0" collapsed="false">
      <c r="A358" s="16" t="s">
        <v>245</v>
      </c>
      <c r="B358" s="16" t="s">
        <v>518</v>
      </c>
      <c r="C358" s="17" t="s">
        <v>1502</v>
      </c>
      <c r="D358" s="17" t="s">
        <v>520</v>
      </c>
      <c r="E358" s="15" t="str">
        <f aca="false">IF(H358&lt;&gt;"",IF(LEFT(H358,5)="Price","Excluded – price ≤ USD 5","Excluded – IV only"),IF(ISNUMBER(I358),IF(AND(I358&gt;=$C$3,M358&gt;=$E$3),"Priority 1",IF(OR(I358&gt;=$C$3,M358&gt;=$E$3),"Priority 2","Priority 3")),IF(M358&gt;=$E$3,"Priority 2","Priority 3")))</f>
        <v>Priority 2</v>
      </c>
      <c r="F358" s="15" t="n">
        <f aca="false">IF(H358&lt;&gt;"","",COUNTIFS($A$29:$A$361,A358,$H$29:$H$361,"",$AJ$29:$AJ$361,"&gt;"&amp;AJ358)+COUNTIFS($A$29:A358,A358,$H$29:H358,"",$AJ$29:AJ358,AJ358))</f>
        <v>4</v>
      </c>
      <c r="G358" s="17" t="str">
        <f aca="false">IF(H358&lt;&gt;"","",IF(ISNUMBER(I358),IF(I358&gt;=$C$3,"High price","Lower price"),"No price")&amp;", "&amp;IF(M358&gt;=$E$3,"high volume","lower volume"))</f>
        <v>Lower price, high volume</v>
      </c>
      <c r="H358" s="17" t="str">
        <f aca="false">IF(Q358="No","IV only (no ID, IM or SC route)",IF(AND(AE358&gt;0,AF358=0),"Price ≤ USD 5",""))</f>
        <v/>
      </c>
      <c r="I358" s="18" t="n">
        <f aca="false">IF(AF358&gt;0,ROUND(AVERAGEIFS('Shortlisted Drugs X Company (7)'!$N$3:$N$698,'Shortlisted Drugs X Company (7)'!$C$3:$C$698,$B358,'Shortlisted Drugs X Company (7)'!$E$3:$E$698,$AA358,'Shortlisted Drugs X Company (7)'!$N$3:$N$698,"&gt;5"),2),"")</f>
        <v>6.29</v>
      </c>
      <c r="J358" s="17" t="str">
        <f aca="false">IF(COUNTIFS('Shortlisted Drugs X Company (7)'!$C$3:$C$698,$B358,'Shortlisted Drugs X Company (7)'!$E$3:$E$698,$AA358,'Shortlisted Drugs X Company (7)'!$P$3:$P$698,"Exact")&gt;0,"Exact",IF(COUNTIFS('Shortlisted Drugs X Company (7)'!$C$3:$C$698,$B358,'Shortlisted Drugs X Company (7)'!$E$3:$E$698,$AA358,'Shortlisted Drugs X Company (7)'!$P$3:$P$698,"Same-market proxy")&gt;0,"Same-market proxy",IF(COUNTIFS('Shortlisted Drugs X Company (7)'!$C$3:$C$698,$B358,'Shortlisted Drugs X Company (7)'!$E$3:$E$698,$AA358,'Shortlisted Drugs X Company (7)'!$P$3:$P$698,"Cross-market proxy")&gt;0,"Cross-market proxy",IF(COUNTIFS('Shortlisted Drugs X Company (7)'!$C$3:$C$698,$B358,'Shortlisted Drugs X Company (7)'!$E$3:$E$698,$AA358,'Shortlisted Drugs X Company (7)'!$P$3:$P$698,"Source not found")&gt;0,"Source not found","No price found"))))</f>
        <v>Exact</v>
      </c>
      <c r="K358" s="19" t="n">
        <f aca="false">IFERROR(INDEX('Injectable Value'!$AB$28:$AB$178,MATCH(B358,'Injectable Value'!$A$28:$A$178,0)),"")</f>
        <v>2546</v>
      </c>
      <c r="L358" s="77" t="n">
        <f aca="false">IFERROR(INDEX('Injectable Value'!$Z$28:$Z$178,MATCH(B358,'Injectable Value'!$A$28:$A$178,0)),"")</f>
        <v>0.378228374732698</v>
      </c>
      <c r="M358" s="19" t="n">
        <f aca="false">IFERROR(INDEX('Injectable Value'!$AC$28:$AC$178,MATCH(B358,'Injectable Value'!$A$28:$A$178,0)),"")</f>
        <v>963</v>
      </c>
      <c r="N358" s="19" t="n">
        <f aca="false">IFERROR(INDEX('Injectable Value'!$C$28:$C$178,MATCH(B358,'Injectable Value'!$A$28:$A$178,0)),"")</f>
        <v>46507.62</v>
      </c>
      <c r="O358" s="19" t="n">
        <f aca="false">IFERROR(ROUND(INDEX('Injectable Value'!$AA$28:$AA$178,MATCH(B358,'Injectable Value'!$A$28:$A$178,0)),1),"")</f>
        <v>17590.5</v>
      </c>
      <c r="P358" s="16" t="str">
        <f aca="false">IFERROR(INDEX('Route of Administration'!$C$5:$C$155,MATCH(B358,'Route of Administration'!$A$5:$A$155,0)),"")</f>
        <v>IV, IM</v>
      </c>
      <c r="Q358" s="15" t="str">
        <f aca="false">IFERROR(INDEX('Route of Administration'!$D$5:$D$155,MATCH(B358,'Route of Administration'!$A$5:$A$155,0)),"")</f>
        <v>Yes</v>
      </c>
      <c r="R358" s="16" t="s">
        <v>281</v>
      </c>
      <c r="S358" s="17" t="s">
        <v>1503</v>
      </c>
      <c r="T358" s="16" t="s">
        <v>310</v>
      </c>
      <c r="U358" s="17" t="str">
        <f aca="false">""&amp;IF(AE358=0,"No price found","")&amp;IF(AND(AE358&gt;0,AF358=0,AG358=0),"Low price comes from another market – confirm with the company","")</f>
        <v/>
      </c>
      <c r="V358" s="17" t="s">
        <v>112</v>
      </c>
      <c r="W358" s="15" t="n">
        <v>1</v>
      </c>
      <c r="X358" s="17" t="s">
        <v>360</v>
      </c>
      <c r="Y358" s="17" t="s">
        <v>360</v>
      </c>
      <c r="Z358" s="17" t="s">
        <v>286</v>
      </c>
      <c r="AA358" s="16" t="s">
        <v>1475</v>
      </c>
      <c r="AB358" s="78" t="s">
        <v>525</v>
      </c>
      <c r="AC358" s="20" t="n">
        <f aca="false">IF(AE358&gt;0,ROUND(AVERAGEIFS('Shortlisted Drugs X Company (7)'!$N$3:$N$698,'Shortlisted Drugs X Company (7)'!$C$3:$C$698,$B358,'Shortlisted Drugs X Company (7)'!$E$3:$E$698,$AA358,'Shortlisted Drugs X Company (7)'!$N$3:$N$698,"&gt;=0"),2),"")</f>
        <v>6.29</v>
      </c>
      <c r="AD358" s="79" t="str">
        <f aca="false">B358&amp;"|"&amp;AA358</f>
        <v>Ondansetron|Zydus Lifesciences</v>
      </c>
      <c r="AE358" s="22" t="n">
        <f aca="false">COUNTIFS('Shortlisted Drugs X Company (7)'!$C$3:$C$698,$B358,'Shortlisted Drugs X Company (7)'!$E$3:$E$698,$AA358,'Shortlisted Drugs X Company (7)'!$N$3:$N$698,"&gt;=0")</f>
        <v>1</v>
      </c>
      <c r="AF358" s="22" t="n">
        <f aca="false">COUNTIFS('Shortlisted Drugs X Company (7)'!$C$3:$C$698,$B358,'Shortlisted Drugs X Company (7)'!$E$3:$E$698,$AA358,'Shortlisted Drugs X Company (7)'!$N$3:$N$698,"&gt;5")</f>
        <v>1</v>
      </c>
      <c r="AG358" s="22" t="n">
        <f aca="false">COUNTIFS('Shortlisted Drugs X Company (7)'!$C$3:$C$698,$B358,'Shortlisted Drugs X Company (7)'!$E$3:$E$698,$AA358,'Shortlisted Drugs X Company (7)'!$P$3:$P$698,"Exact")+COUNTIFS('Shortlisted Drugs X Company (7)'!$C$3:$C$698,$B358,'Shortlisted Drugs X Company (7)'!$E$3:$E$698,$AA358,'Shortlisted Drugs X Company (7)'!$P$3:$P$698,"Same-market proxy")</f>
        <v>1</v>
      </c>
      <c r="AH358" s="22" t="n">
        <f aca="false">INDEX($G$7:$G$25,MATCH(A358,$A$7:$A$25,0))</f>
        <v>7</v>
      </c>
      <c r="AI358" s="79" t="n">
        <f aca="false">IF(OR(Q358="No",LEFT(H358,7)="IV only"),"",AH358*1000+IF(F358="",900+COUNTIFS($A$29:A358,A358,$H$29:H358,"Price*"),F358))</f>
        <v>7004</v>
      </c>
      <c r="AJ358" s="79" t="n">
        <f aca="false">IF(H358&lt;&gt;"","",(4-VALUE(RIGHT(E358,1)))*10^7+N(O358))</f>
        <v>20017590.5</v>
      </c>
      <c r="AK358" s="20" t="n">
        <f aca="false">IF(AND(H358="",ISNUMBER(I358)),I358,"")</f>
        <v>6.29</v>
      </c>
      <c r="AL358" s="21" t="n">
        <f aca="false">IF(H358="",M358,"")</f>
        <v>963</v>
      </c>
    </row>
    <row r="359" customFormat="false" ht="28.35" hidden="false" customHeight="false" outlineLevel="0" collapsed="false">
      <c r="A359" s="16" t="s">
        <v>245</v>
      </c>
      <c r="B359" s="16" t="s">
        <v>754</v>
      </c>
      <c r="C359" s="17" t="s">
        <v>755</v>
      </c>
      <c r="D359" s="17" t="s">
        <v>756</v>
      </c>
      <c r="E359" s="15" t="str">
        <f aca="false">IF(H359&lt;&gt;"",IF(LEFT(H359,5)="Price","Excluded – price ≤ USD 5","Excluded – IV only"),IF(ISNUMBER(I359),IF(AND(I359&gt;=$C$3,M359&gt;=$E$3),"Priority 1",IF(OR(I359&gt;=$C$3,M359&gt;=$E$3),"Priority 2","Priority 3")),IF(M359&gt;=$E$3,"Priority 2","Priority 3")))</f>
        <v>Priority 2</v>
      </c>
      <c r="F359" s="15" t="n">
        <f aca="false">IF(H359&lt;&gt;"","",COUNTIFS($A$29:$A$361,A359,$H$29:$H$361,"",$AJ$29:$AJ$361,"&gt;"&amp;AJ359)+COUNTIFS($A$29:A359,A359,$H$29:H359,"",$AJ$29:AJ359,AJ359))</f>
        <v>6</v>
      </c>
      <c r="G359" s="17" t="str">
        <f aca="false">IF(H359&lt;&gt;"","",IF(ISNUMBER(I359),IF(I359&gt;=$C$3,"High price","Lower price"),"No price")&amp;", "&amp;IF(M359&gt;=$E$3,"high volume","lower volume"))</f>
        <v>Lower price, high volume</v>
      </c>
      <c r="H359" s="17" t="str">
        <f aca="false">IF(Q359="No","IV only (no ID, IM or SC route)",IF(AND(AE359&gt;0,AF359=0),"Price ≤ USD 5",""))</f>
        <v/>
      </c>
      <c r="I359" s="18" t="n">
        <f aca="false">IF(AF359&gt;0,ROUND(AVERAGEIFS('Shortlisted Drugs X Company (7)'!$N$3:$N$698,'Shortlisted Drugs X Company (7)'!$C$3:$C$698,$B359,'Shortlisted Drugs X Company (7)'!$E$3:$E$698,$AA359,'Shortlisted Drugs X Company (7)'!$N$3:$N$698,"&gt;5"),2),"")</f>
        <v>5.03</v>
      </c>
      <c r="J359" s="17" t="str">
        <f aca="false">IF(COUNTIFS('Shortlisted Drugs X Company (7)'!$C$3:$C$698,$B359,'Shortlisted Drugs X Company (7)'!$E$3:$E$698,$AA359,'Shortlisted Drugs X Company (7)'!$P$3:$P$698,"Exact")&gt;0,"Exact",IF(COUNTIFS('Shortlisted Drugs X Company (7)'!$C$3:$C$698,$B359,'Shortlisted Drugs X Company (7)'!$E$3:$E$698,$AA359,'Shortlisted Drugs X Company (7)'!$P$3:$P$698,"Same-market proxy")&gt;0,"Same-market proxy",IF(COUNTIFS('Shortlisted Drugs X Company (7)'!$C$3:$C$698,$B359,'Shortlisted Drugs X Company (7)'!$E$3:$E$698,$AA359,'Shortlisted Drugs X Company (7)'!$P$3:$P$698,"Cross-market proxy")&gt;0,"Cross-market proxy",IF(COUNTIFS('Shortlisted Drugs X Company (7)'!$C$3:$C$698,$B359,'Shortlisted Drugs X Company (7)'!$E$3:$E$698,$AA359,'Shortlisted Drugs X Company (7)'!$P$3:$P$698,"Source not found")&gt;0,"Source not found","No price found"))))</f>
        <v>Same-market proxy</v>
      </c>
      <c r="K359" s="19" t="n">
        <f aca="false">IFERROR(INDEX('Injectable Value'!$AB$28:$AB$178,MATCH(B359,'Injectable Value'!$A$28:$A$178,0)),"")</f>
        <v>286</v>
      </c>
      <c r="L359" s="77" t="n">
        <f aca="false">IFERROR(INDEX('Injectable Value'!$Z$28:$Z$178,MATCH(B359,'Injectable Value'!$A$28:$A$178,0)),"")</f>
        <v>1</v>
      </c>
      <c r="M359" s="19" t="n">
        <f aca="false">IFERROR(INDEX('Injectable Value'!$AC$28:$AC$178,MATCH(B359,'Injectable Value'!$A$28:$A$178,0)),"")</f>
        <v>286</v>
      </c>
      <c r="N359" s="19" t="n">
        <f aca="false">IFERROR(INDEX('Injectable Value'!$C$28:$C$178,MATCH(B359,'Injectable Value'!$A$28:$A$178,0)),"")</f>
        <v>3067.39</v>
      </c>
      <c r="O359" s="19" t="n">
        <f aca="false">IFERROR(ROUND(INDEX('Injectable Value'!$AA$28:$AA$178,MATCH(B359,'Injectable Value'!$A$28:$A$178,0)),1),"")</f>
        <v>3067.4</v>
      </c>
      <c r="P359" s="16" t="str">
        <f aca="false">IFERROR(INDEX('Route of Administration'!$C$5:$C$155,MATCH(B359,'Route of Administration'!$A$5:$A$155,0)),"")</f>
        <v>IV, IM</v>
      </c>
      <c r="Q359" s="15" t="str">
        <f aca="false">IFERROR(INDEX('Route of Administration'!$D$5:$D$155,MATCH(B359,'Route of Administration'!$A$5:$A$155,0)),"")</f>
        <v>Yes</v>
      </c>
      <c r="R359" s="16" t="s">
        <v>281</v>
      </c>
      <c r="S359" s="17" t="s">
        <v>757</v>
      </c>
      <c r="T359" s="16" t="s">
        <v>283</v>
      </c>
      <c r="U359" s="17" t="str">
        <f aca="false">""&amp;IF(AE359=0,"No price found","")&amp;IF(AND(AE359&gt;0,AF359=0,AG359=0),"Low price comes from another market – confirm with the company","")</f>
        <v/>
      </c>
      <c r="V359" s="17" t="s">
        <v>284</v>
      </c>
      <c r="W359" s="15" t="n">
        <v>1</v>
      </c>
      <c r="X359" s="17" t="s">
        <v>284</v>
      </c>
      <c r="Y359" s="17" t="s">
        <v>284</v>
      </c>
      <c r="Z359" s="17" t="s">
        <v>286</v>
      </c>
      <c r="AA359" s="16" t="s">
        <v>1475</v>
      </c>
      <c r="AB359" s="78" t="s">
        <v>758</v>
      </c>
      <c r="AC359" s="20" t="n">
        <f aca="false">IF(AE359&gt;0,ROUND(AVERAGEIFS('Shortlisted Drugs X Company (7)'!$N$3:$N$698,'Shortlisted Drugs X Company (7)'!$C$3:$C$698,$B359,'Shortlisted Drugs X Company (7)'!$E$3:$E$698,$AA359,'Shortlisted Drugs X Company (7)'!$N$3:$N$698,"&gt;=0"),2),"")</f>
        <v>5.03</v>
      </c>
      <c r="AD359" s="79" t="str">
        <f aca="false">B359&amp;"|"&amp;AA359</f>
        <v>Succinylcholine (Suxamethonium)|Zydus Lifesciences</v>
      </c>
      <c r="AE359" s="22" t="n">
        <f aca="false">COUNTIFS('Shortlisted Drugs X Company (7)'!$C$3:$C$698,$B359,'Shortlisted Drugs X Company (7)'!$E$3:$E$698,$AA359,'Shortlisted Drugs X Company (7)'!$N$3:$N$698,"&gt;=0")</f>
        <v>1</v>
      </c>
      <c r="AF359" s="22" t="n">
        <f aca="false">COUNTIFS('Shortlisted Drugs X Company (7)'!$C$3:$C$698,$B359,'Shortlisted Drugs X Company (7)'!$E$3:$E$698,$AA359,'Shortlisted Drugs X Company (7)'!$N$3:$N$698,"&gt;5")</f>
        <v>1</v>
      </c>
      <c r="AG359" s="22" t="n">
        <f aca="false">COUNTIFS('Shortlisted Drugs X Company (7)'!$C$3:$C$698,$B359,'Shortlisted Drugs X Company (7)'!$E$3:$E$698,$AA359,'Shortlisted Drugs X Company (7)'!$P$3:$P$698,"Exact")+COUNTIFS('Shortlisted Drugs X Company (7)'!$C$3:$C$698,$B359,'Shortlisted Drugs X Company (7)'!$E$3:$E$698,$AA359,'Shortlisted Drugs X Company (7)'!$P$3:$P$698,"Same-market proxy")</f>
        <v>1</v>
      </c>
      <c r="AH359" s="22" t="n">
        <f aca="false">INDEX($G$7:$G$25,MATCH(A359,$A$7:$A$25,0))</f>
        <v>7</v>
      </c>
      <c r="AI359" s="79" t="n">
        <f aca="false">IF(OR(Q359="No",LEFT(H359,7)="IV only"),"",AH359*1000+IF(F359="",900+COUNTIFS($A$29:A359,A359,$H$29:H359,"Price*"),F359))</f>
        <v>7006</v>
      </c>
      <c r="AJ359" s="79" t="n">
        <f aca="false">IF(H359&lt;&gt;"","",(4-VALUE(RIGHT(E359,1)))*10^7+N(O359))</f>
        <v>20003067.4</v>
      </c>
      <c r="AK359" s="20" t="n">
        <f aca="false">IF(AND(H359="",ISNUMBER(I359)),I359,"")</f>
        <v>5.03</v>
      </c>
      <c r="AL359" s="21" t="n">
        <f aca="false">IF(H359="",M359,"")</f>
        <v>286</v>
      </c>
    </row>
    <row r="360" customFormat="false" ht="28.35" hidden="false" customHeight="false" outlineLevel="0" collapsed="false">
      <c r="A360" s="16" t="s">
        <v>245</v>
      </c>
      <c r="B360" s="16" t="s">
        <v>665</v>
      </c>
      <c r="C360" s="17" t="s">
        <v>1504</v>
      </c>
      <c r="D360" s="17" t="s">
        <v>667</v>
      </c>
      <c r="E360" s="15" t="str">
        <f aca="false">IF(H360&lt;&gt;"",IF(LEFT(H360,5)="Price","Excluded – price ≤ USD 5","Excluded – IV only"),IF(ISNUMBER(I360),IF(AND(I360&gt;=$C$3,M360&gt;=$E$3),"Priority 1",IF(OR(I360&gt;=$C$3,M360&gt;=$E$3),"Priority 2","Priority 3")),IF(M360&gt;=$E$3,"Priority 2","Priority 3")))</f>
        <v>Excluded – IV only</v>
      </c>
      <c r="F360" s="15" t="str">
        <f aca="false">IF(H360&lt;&gt;"","",COUNTIFS($A$29:$A$361,A360,$H$29:$H$361,"",$AJ$29:$AJ$361,"&gt;"&amp;AJ360)+COUNTIFS($A$29:A360,A360,$H$29:H360,"",$AJ$29:AJ360,AJ360))</f>
        <v/>
      </c>
      <c r="G360" s="17" t="str">
        <f aca="false">IF(H360&lt;&gt;"","",IF(ISNUMBER(I360),IF(I360&gt;=$C$3,"High price","Lower price"),"No price")&amp;", "&amp;IF(M360&gt;=$E$3,"high volume","lower volume"))</f>
        <v/>
      </c>
      <c r="H360" s="17" t="str">
        <f aca="false">IF(Q360="No","IV only (no ID, IM or SC route)",IF(AND(AE360&gt;0,AF360=0),"Price ≤ USD 5",""))</f>
        <v>IV only (no ID, IM or SC route)</v>
      </c>
      <c r="I360" s="18" t="n">
        <f aca="false">IF(AF360&gt;0,ROUND(AVERAGEIFS('Shortlisted Drugs X Company (7)'!$N$3:$N$698,'Shortlisted Drugs X Company (7)'!$C$3:$C$698,$B360,'Shortlisted Drugs X Company (7)'!$E$3:$E$698,$AA360,'Shortlisted Drugs X Company (7)'!$N$3:$N$698,"&gt;5"),2),"")</f>
        <v>35.03</v>
      </c>
      <c r="J360" s="17" t="str">
        <f aca="false">IF(COUNTIFS('Shortlisted Drugs X Company (7)'!$C$3:$C$698,$B360,'Shortlisted Drugs X Company (7)'!$E$3:$E$698,$AA360,'Shortlisted Drugs X Company (7)'!$P$3:$P$698,"Exact")&gt;0,"Exact",IF(COUNTIFS('Shortlisted Drugs X Company (7)'!$C$3:$C$698,$B360,'Shortlisted Drugs X Company (7)'!$E$3:$E$698,$AA360,'Shortlisted Drugs X Company (7)'!$P$3:$P$698,"Same-market proxy")&gt;0,"Same-market proxy",IF(COUNTIFS('Shortlisted Drugs X Company (7)'!$C$3:$C$698,$B360,'Shortlisted Drugs X Company (7)'!$E$3:$E$698,$AA360,'Shortlisted Drugs X Company (7)'!$P$3:$P$698,"Cross-market proxy")&gt;0,"Cross-market proxy",IF(COUNTIFS('Shortlisted Drugs X Company (7)'!$C$3:$C$698,$B360,'Shortlisted Drugs X Company (7)'!$E$3:$E$698,$AA360,'Shortlisted Drugs X Company (7)'!$P$3:$P$698,"Source not found")&gt;0,"Source not found","No price found"))))</f>
        <v>Same-market proxy</v>
      </c>
      <c r="K360" s="19" t="n">
        <f aca="false">IFERROR(INDEX('Injectable Value'!$AB$28:$AB$178,MATCH(B360,'Injectable Value'!$A$28:$A$178,0)),"")</f>
        <v>346</v>
      </c>
      <c r="L360" s="77" t="n">
        <f aca="false">IFERROR(INDEX('Injectable Value'!$Z$28:$Z$178,MATCH(B360,'Injectable Value'!$A$28:$A$178,0)),"")</f>
        <v>1</v>
      </c>
      <c r="M360" s="19" t="n">
        <f aca="false">IFERROR(INDEX('Injectable Value'!$AC$28:$AC$178,MATCH(B360,'Injectable Value'!$A$28:$A$178,0)),"")</f>
        <v>346</v>
      </c>
      <c r="N360" s="19" t="n">
        <f aca="false">IFERROR(INDEX('Injectable Value'!$C$28:$C$178,MATCH(B360,'Injectable Value'!$A$28:$A$178,0)),"")</f>
        <v>32830.17</v>
      </c>
      <c r="O360" s="19" t="n">
        <f aca="false">IFERROR(ROUND(INDEX('Injectable Value'!$AA$28:$AA$178,MATCH(B360,'Injectable Value'!$A$28:$A$178,0)),1),"")</f>
        <v>32830.2</v>
      </c>
      <c r="P360" s="16" t="str">
        <f aca="false">IFERROR(INDEX('Route of Administration'!$C$5:$C$155,MATCH(B360,'Route of Administration'!$A$5:$A$155,0)),"")</f>
        <v>IV</v>
      </c>
      <c r="Q360" s="15" t="str">
        <f aca="false">IFERROR(INDEX('Route of Administration'!$D$5:$D$155,MATCH(B360,'Route of Administration'!$A$5:$A$155,0)),"")</f>
        <v>No</v>
      </c>
      <c r="R360" s="16" t="s">
        <v>281</v>
      </c>
      <c r="S360" s="17" t="s">
        <v>668</v>
      </c>
      <c r="T360" s="16" t="s">
        <v>283</v>
      </c>
      <c r="U360" s="17" t="str">
        <f aca="false">""&amp;IF(AE360=0,"No price found","")&amp;IF(AND(AE360&gt;0,AF360=0,AG360=0),"Low price comes from another market – confirm with the company","")</f>
        <v/>
      </c>
      <c r="V360" s="17" t="s">
        <v>284</v>
      </c>
      <c r="W360" s="15" t="n">
        <v>1</v>
      </c>
      <c r="X360" s="17" t="s">
        <v>284</v>
      </c>
      <c r="Y360" s="17" t="s">
        <v>284</v>
      </c>
      <c r="Z360" s="17" t="s">
        <v>286</v>
      </c>
      <c r="AA360" s="16" t="s">
        <v>1475</v>
      </c>
      <c r="AB360" s="78" t="s">
        <v>670</v>
      </c>
      <c r="AC360" s="20" t="n">
        <f aca="false">IF(AE360&gt;0,ROUND(AVERAGEIFS('Shortlisted Drugs X Company (7)'!$N$3:$N$698,'Shortlisted Drugs X Company (7)'!$C$3:$C$698,$B360,'Shortlisted Drugs X Company (7)'!$E$3:$E$698,$AA360,'Shortlisted Drugs X Company (7)'!$N$3:$N$698,"&gt;=0"),2),"")</f>
        <v>35.03</v>
      </c>
      <c r="AD360" s="79" t="str">
        <f aca="false">B360&amp;"|"&amp;AA360</f>
        <v>Sugammadex|Zydus Lifesciences</v>
      </c>
      <c r="AE360" s="22" t="n">
        <f aca="false">COUNTIFS('Shortlisted Drugs X Company (7)'!$C$3:$C$698,$B360,'Shortlisted Drugs X Company (7)'!$E$3:$E$698,$AA360,'Shortlisted Drugs X Company (7)'!$N$3:$N$698,"&gt;=0")</f>
        <v>2</v>
      </c>
      <c r="AF360" s="22" t="n">
        <f aca="false">COUNTIFS('Shortlisted Drugs X Company (7)'!$C$3:$C$698,$B360,'Shortlisted Drugs X Company (7)'!$E$3:$E$698,$AA360,'Shortlisted Drugs X Company (7)'!$N$3:$N$698,"&gt;5")</f>
        <v>2</v>
      </c>
      <c r="AG360" s="22" t="n">
        <f aca="false">COUNTIFS('Shortlisted Drugs X Company (7)'!$C$3:$C$698,$B360,'Shortlisted Drugs X Company (7)'!$E$3:$E$698,$AA360,'Shortlisted Drugs X Company (7)'!$P$3:$P$698,"Exact")+COUNTIFS('Shortlisted Drugs X Company (7)'!$C$3:$C$698,$B360,'Shortlisted Drugs X Company (7)'!$E$3:$E$698,$AA360,'Shortlisted Drugs X Company (7)'!$P$3:$P$698,"Same-market proxy")</f>
        <v>2</v>
      </c>
      <c r="AH360" s="22" t="n">
        <f aca="false">INDEX($G$7:$G$25,MATCH(A360,$A$7:$A$25,0))</f>
        <v>7</v>
      </c>
      <c r="AI360" s="79" t="str">
        <f aca="false">IF(OR(Q360="No",LEFT(H360,7)="IV only"),"",AH360*1000+IF(F360="",900+COUNTIFS($A$29:A360,A360,$H$29:H360,"Price*"),F360))</f>
        <v/>
      </c>
      <c r="AJ360" s="79" t="str">
        <f aca="false">IF(H360&lt;&gt;"","",(4-VALUE(RIGHT(E360,1)))*10^7+N(O360))</f>
        <v/>
      </c>
      <c r="AK360" s="79" t="str">
        <f aca="false">IF(AND(H360="",ISNUMBER(I360)),I360,"")</f>
        <v/>
      </c>
      <c r="AL360" s="79" t="str">
        <f aca="false">IF(H360="",M360,"")</f>
        <v/>
      </c>
    </row>
    <row r="361" customFormat="false" ht="41.75" hidden="false" customHeight="false" outlineLevel="0" collapsed="false">
      <c r="A361" s="16" t="s">
        <v>245</v>
      </c>
      <c r="B361" s="16" t="s">
        <v>599</v>
      </c>
      <c r="C361" s="17" t="s">
        <v>600</v>
      </c>
      <c r="D361" s="17" t="s">
        <v>601</v>
      </c>
      <c r="E361" s="15" t="str">
        <f aca="false">IF(H361&lt;&gt;"",IF(LEFT(H361,5)="Price","Excluded – price ≤ USD 5","Excluded – IV only"),IF(ISNUMBER(I361),IF(AND(I361&gt;=$C$3,M361&gt;=$E$3),"Priority 1",IF(OR(I361&gt;=$C$3,M361&gt;=$E$3),"Priority 2","Priority 3")),IF(M361&gt;=$E$3,"Priority 2","Priority 3")))</f>
        <v>Excluded – IV only</v>
      </c>
      <c r="F361" s="15" t="str">
        <f aca="false">IF(H361&lt;&gt;"","",COUNTIFS($A$29:$A$361,A361,$H$29:$H$361,"",$AJ$29:$AJ$361,"&gt;"&amp;AJ361)+COUNTIFS($A$29:A361,A361,$H$29:H361,"",$AJ$29:AJ361,AJ361))</f>
        <v/>
      </c>
      <c r="G361" s="17" t="str">
        <f aca="false">IF(H361&lt;&gt;"","",IF(ISNUMBER(I361),IF(I361&gt;=$C$3,"High price","Lower price"),"No price")&amp;", "&amp;IF(M361&gt;=$E$3,"high volume","lower volume"))</f>
        <v/>
      </c>
      <c r="H361" s="17" t="str">
        <f aca="false">IF(Q361="No","IV only (no ID, IM or SC route)",IF(AND(AE361&gt;0,AF361=0),"Price ≤ USD 5",""))</f>
        <v>IV only (no ID, IM or SC route)</v>
      </c>
      <c r="I361" s="18" t="str">
        <f aca="false">IF(AF361&gt;0,ROUND(AVERAGEIFS('Shortlisted Drugs X Company (7)'!$N$3:$N$698,'Shortlisted Drugs X Company (7)'!$C$3:$C$698,$B361,'Shortlisted Drugs X Company (7)'!$E$3:$E$698,$AA361,'Shortlisted Drugs X Company (7)'!$N$3:$N$698,"&gt;5"),2),"")</f>
        <v/>
      </c>
      <c r="J361" s="17" t="str">
        <f aca="false">IF(COUNTIFS('Shortlisted Drugs X Company (7)'!$C$3:$C$698,$B361,'Shortlisted Drugs X Company (7)'!$E$3:$E$698,$AA361,'Shortlisted Drugs X Company (7)'!$P$3:$P$698,"Exact")&gt;0,"Exact",IF(COUNTIFS('Shortlisted Drugs X Company (7)'!$C$3:$C$698,$B361,'Shortlisted Drugs X Company (7)'!$E$3:$E$698,$AA361,'Shortlisted Drugs X Company (7)'!$P$3:$P$698,"Same-market proxy")&gt;0,"Same-market proxy",IF(COUNTIFS('Shortlisted Drugs X Company (7)'!$C$3:$C$698,$B361,'Shortlisted Drugs X Company (7)'!$E$3:$E$698,$AA361,'Shortlisted Drugs X Company (7)'!$P$3:$P$698,"Cross-market proxy")&gt;0,"Cross-market proxy",IF(COUNTIFS('Shortlisted Drugs X Company (7)'!$C$3:$C$698,$B361,'Shortlisted Drugs X Company (7)'!$E$3:$E$698,$AA361,'Shortlisted Drugs X Company (7)'!$P$3:$P$698,"Source not found")&gt;0,"Source not found","No price found"))))</f>
        <v>Same-market proxy</v>
      </c>
      <c r="K361" s="19" t="n">
        <f aca="false">IFERROR(INDEX('Injectable Value'!$AB$28:$AB$178,MATCH(B361,'Injectable Value'!$A$28:$A$178,0)),"")</f>
        <v>374</v>
      </c>
      <c r="L361" s="77" t="n">
        <f aca="false">IFERROR(INDEX('Injectable Value'!$Z$28:$Z$178,MATCH(B361,'Injectable Value'!$A$28:$A$178,0)),"")</f>
        <v>0.18191811645244</v>
      </c>
      <c r="M361" s="19" t="n">
        <f aca="false">IFERROR(INDEX('Injectable Value'!$AC$28:$AC$178,MATCH(B361,'Injectable Value'!$A$28:$A$178,0)),"")</f>
        <v>68</v>
      </c>
      <c r="N361" s="19" t="n">
        <f aca="false">IFERROR(INDEX('Injectable Value'!$C$28:$C$178,MATCH(B361,'Injectable Value'!$A$28:$A$178,0)),"")</f>
        <v>13615.47</v>
      </c>
      <c r="O361" s="19" t="n">
        <f aca="false">IFERROR(ROUND(INDEX('Injectable Value'!$AA$28:$AA$178,MATCH(B361,'Injectable Value'!$A$28:$A$178,0)),1),"")</f>
        <v>2476.9</v>
      </c>
      <c r="P361" s="16" t="str">
        <f aca="false">IFERROR(INDEX('Route of Administration'!$C$5:$C$155,MATCH(B361,'Route of Administration'!$A$5:$A$155,0)),"")</f>
        <v>IV</v>
      </c>
      <c r="Q361" s="15" t="str">
        <f aca="false">IFERROR(INDEX('Route of Administration'!$D$5:$D$155,MATCH(B361,'Route of Administration'!$A$5:$A$155,0)),"")</f>
        <v>No</v>
      </c>
      <c r="R361" s="16" t="s">
        <v>281</v>
      </c>
      <c r="S361" s="17" t="s">
        <v>1505</v>
      </c>
      <c r="T361" s="16" t="s">
        <v>310</v>
      </c>
      <c r="U361" s="17" t="str">
        <f aca="false">""&amp;IF(AE361=0,"No price found","")&amp;IF(AND(AE361&gt;0,AF361=0,AG361=0),"Low price comes from another market – confirm with the company","")</f>
        <v/>
      </c>
      <c r="V361" s="17" t="s">
        <v>284</v>
      </c>
      <c r="W361" s="15" t="n">
        <v>1</v>
      </c>
      <c r="X361" s="17" t="s">
        <v>284</v>
      </c>
      <c r="Y361" s="17" t="s">
        <v>284</v>
      </c>
      <c r="Z361" s="17" t="s">
        <v>286</v>
      </c>
      <c r="AA361" s="16" t="s">
        <v>1475</v>
      </c>
      <c r="AB361" s="78" t="s">
        <v>603</v>
      </c>
      <c r="AC361" s="20" t="n">
        <f aca="false">IF(AE361&gt;0,ROUND(AVERAGEIFS('Shortlisted Drugs X Company (7)'!$N$3:$N$698,'Shortlisted Drugs X Company (7)'!$C$3:$C$698,$B361,'Shortlisted Drugs X Company (7)'!$E$3:$E$698,$AA361,'Shortlisted Drugs X Company (7)'!$N$3:$N$698,"&gt;=0"),2),"")</f>
        <v>2.67</v>
      </c>
      <c r="AD361" s="79" t="str">
        <f aca="false">B361&amp;"|"&amp;AA361</f>
        <v>Verapamil|Zydus Lifesciences</v>
      </c>
      <c r="AE361" s="22" t="n">
        <f aca="false">COUNTIFS('Shortlisted Drugs X Company (7)'!$C$3:$C$698,$B361,'Shortlisted Drugs X Company (7)'!$E$3:$E$698,$AA361,'Shortlisted Drugs X Company (7)'!$N$3:$N$698,"&gt;=0")</f>
        <v>1</v>
      </c>
      <c r="AF361" s="22" t="n">
        <f aca="false">COUNTIFS('Shortlisted Drugs X Company (7)'!$C$3:$C$698,$B361,'Shortlisted Drugs X Company (7)'!$E$3:$E$698,$AA361,'Shortlisted Drugs X Company (7)'!$N$3:$N$698,"&gt;5")</f>
        <v>0</v>
      </c>
      <c r="AG361" s="22" t="n">
        <f aca="false">COUNTIFS('Shortlisted Drugs X Company (7)'!$C$3:$C$698,$B361,'Shortlisted Drugs X Company (7)'!$E$3:$E$698,$AA361,'Shortlisted Drugs X Company (7)'!$P$3:$P$698,"Exact")+COUNTIFS('Shortlisted Drugs X Company (7)'!$C$3:$C$698,$B361,'Shortlisted Drugs X Company (7)'!$E$3:$E$698,$AA361,'Shortlisted Drugs X Company (7)'!$P$3:$P$698,"Same-market proxy")</f>
        <v>1</v>
      </c>
      <c r="AH361" s="22" t="n">
        <f aca="false">INDEX($G$7:$G$25,MATCH(A361,$A$7:$A$25,0))</f>
        <v>7</v>
      </c>
      <c r="AI361" s="79" t="str">
        <f aca="false">IF(OR(Q361="No",LEFT(H361,7)="IV only"),"",AH361*1000+IF(F361="",900+COUNTIFS($A$29:A361,A361,$H$29:H361,"Price*"),F361))</f>
        <v/>
      </c>
      <c r="AJ361" s="79" t="str">
        <f aca="false">IF(H361&lt;&gt;"","",(4-VALUE(RIGHT(E361,1)))*10^7+N(O361))</f>
        <v/>
      </c>
      <c r="AK361" s="79" t="str">
        <f aca="false">IF(AND(H361="",ISNUMBER(I361)),I361,"")</f>
        <v/>
      </c>
      <c r="AL361" s="79" t="str">
        <f aca="false">IF(H361="",M361,"")</f>
        <v/>
      </c>
    </row>
    <row r="363" customFormat="false" ht="15" hidden="false" customHeight="false" outlineLevel="0" collapsed="false">
      <c r="A363" s="63" t="s">
        <v>1506</v>
      </c>
    </row>
  </sheetData>
  <autoFilter ref="A28:AL361"/>
  <mergeCells count="7">
    <mergeCell ref="A27:H27"/>
    <mergeCell ref="I27:J27"/>
    <mergeCell ref="K27:M27"/>
    <mergeCell ref="N27:O27"/>
    <mergeCell ref="P27:U27"/>
    <mergeCell ref="V27:AB27"/>
    <mergeCell ref="AC27:AL27"/>
  </mergeCells>
  <conditionalFormatting sqref="A29:AB361">
    <cfRule type="expression" priority="2" aboveAverage="0" equalAverage="0" bottom="0" percent="0" rank="0" text="" dxfId="5">
      <formula>$E29="Priority 1"</formula>
    </cfRule>
  </conditionalFormatting>
  <conditionalFormatting sqref="A29:AL361">
    <cfRule type="expression" priority="3" aboveAverage="0" equalAverage="0" bottom="0" percent="0" rank="0" text="" dxfId="6">
      <formula>LEFT($E29,8)="Excluded"</formula>
    </cfRule>
  </conditionalFormatting>
  <hyperlinks>
    <hyperlink ref="AB29" r:id="rId1" display="https://dailymed.nlm.nih.gov/dailymed/search.cfm?labeltype=all&amp;query=carboprost"/>
    <hyperlink ref="AB30" r:id="rId2" display="https://dailymed.nlm.nih.gov/dailymed/search.cfm?labeltype=all&amp;query=diazepam+injection"/>
    <hyperlink ref="AB31" r:id="rId3" display="https://dailymed.nlm.nih.gov/dailymed/search.cfm?labeltype=all&amp;query=fulvestrant"/>
    <hyperlink ref="AB32" r:id="rId4" display="https://dailymed.nlm.nih.gov/dailymed/search.cfm?labeltype=all&amp;query=methotrexate+injection"/>
    <hyperlink ref="AB33" r:id="rId5" display="https://dailymed.nlm.nih.gov/dailymed/search.cfm?labeltype=all&amp;query=phytonadione"/>
    <hyperlink ref="AB34" r:id="rId6" display="https://dailymed.nlm.nih.gov/dailymed/search.cfm?labeltype=all&amp;query=triamcinolone+acetonide+injectable+suspension"/>
    <hyperlink ref="AB35" r:id="rId7" display="https://dailymed.nlm.nih.gov/dailymed/search.cfm?labeltype=all&amp;query=ampicillin"/>
    <hyperlink ref="AB36" r:id="rId8" display="https://dailymed.nlm.nih.gov/dailymed/search.cfm?labeltype=all&amp;query=argatroban"/>
    <hyperlink ref="AB37" r:id="rId9" display="https://dailymed.nlm.nih.gov/dailymed/search.cfm?labeltype=all&amp;query=azacitidine"/>
    <hyperlink ref="AB38" r:id="rId10" display="https://dailymed.nlm.nih.gov/dailymed/search.cfm?labeltype=all&amp;query=bortezomib"/>
    <hyperlink ref="AB39" r:id="rId11" display="https://dailymed.nlm.nih.gov/dailymed/search.cfm?labeltype=all&amp;query=bupivacaine"/>
    <hyperlink ref="AB40" r:id="rId12" display="https://dailymed.nlm.nih.gov/dailymed/search.cfm?labeltype=all&amp;query=carboprost"/>
    <hyperlink ref="AB41" r:id="rId13" display="https://dailymed.nlm.nih.gov/dailymed/search.cfm?labeltype=all&amp;query=cefepime"/>
    <hyperlink ref="AB42" r:id="rId14" display="https://dailymed.nlm.nih.gov/dailymed/search.cfm?labeltype=all&amp;query=ceftazidime"/>
    <hyperlink ref="AB43" r:id="rId15" display="https://dailymed.nlm.nih.gov/dailymed/search.cfm?labeltype=all&amp;query=ceftriaxone"/>
    <hyperlink ref="AB44" r:id="rId16" display="https://dailymed.nlm.nih.gov/dailymed/search.cfm?labeltype=all&amp;query=chlorpromazine"/>
    <hyperlink ref="AB45" r:id="rId17" display="https://dailymed.nlm.nih.gov/dailymed/search.cfm?labeltype=all&amp;query=cyclophosphamide"/>
    <hyperlink ref="AB46" r:id="rId18" display="https://dailymed.nlm.nih.gov/dailymed/search.cfm?labeltype=all&amp;query=dactinomycin"/>
    <hyperlink ref="AB47" r:id="rId19" display="https://dailymed.nlm.nih.gov/dailymed/search.cfm?labeltype=all&amp;query=daptomycin"/>
    <hyperlink ref="AB48" r:id="rId20" display="https://dailymed.nlm.nih.gov/dailymed/search.cfm?labeltype=all&amp;query=doxorubicin"/>
    <hyperlink ref="AB49" r:id="rId21" display="https://dailymed.nlm.nih.gov/dailymed/search.cfm?labeltype=all&amp;query=ephedrine+sulfate+injection"/>
    <hyperlink ref="AB50" r:id="rId22" display="https://dailymed.nlm.nih.gov/dailymed/search.cfm?labeltype=all&amp;query=epirubicin"/>
    <hyperlink ref="AB51" r:id="rId23" display="https://dailymed.nlm.nih.gov/dailymed/search.cfm?labeltype=all&amp;query=eptifibatide"/>
    <hyperlink ref="AB52" r:id="rId24" display="https://dailymed.nlm.nih.gov/dailymed/search.cfm?labeltype=all&amp;query=ertapenem"/>
    <hyperlink ref="AB53" r:id="rId25" display="https://dailymed.nlm.nih.gov/dailymed/search.cfm?labeltype=all&amp;query=esmolol"/>
    <hyperlink ref="AB54" r:id="rId26" display="https://mhraproducts4853.blob.core.windows.net/docs/b81aa75bd80aa32a460d7fedc1706f40ed574da1"/>
    <hyperlink ref="AB55" r:id="rId27" display="https://dailymed.nlm.nih.gov/dailymed/search.cfm?labeltype=all&amp;query=fluorouracil+injection"/>
    <hyperlink ref="AB56" r:id="rId28" display="https://dailymed.nlm.nih.gov/dailymed/search.cfm?labeltype=all&amp;query=fluphenazine+decanoate"/>
    <hyperlink ref="AB57" r:id="rId29" display="https://dailymed.nlm.nih.gov/dailymed/search.cfm?labeltype=all&amp;query=leucovorin+calcium+injection"/>
    <hyperlink ref="AB58" r:id="rId30" display="https://dailymed.nlm.nih.gov/dailymed/search.cfm?labeltype=all&amp;query=fulvestrant"/>
    <hyperlink ref="AB59" r:id="rId31" display="https://dailymed.nlm.nih.gov/dailymed/search.cfm?labeltype=all&amp;query=hydralazine+injection"/>
    <hyperlink ref="AB60" r:id="rId32" display="https://dailymed.nlm.nih.gov/dailymed/search.cfm?labeltype=all&amp;query=ibandronate+injection"/>
    <hyperlink ref="AB61" r:id="rId33" display="https://dailymed.nlm.nih.gov/dailymed/search.cfm?labeltype=all&amp;query=medroxyprogesterone+acetate+injectable"/>
    <hyperlink ref="AB62" r:id="rId34" display="https://dailymed.nlm.nih.gov/dailymed/search.cfm?labeltype=all&amp;query=melphalan+hydrochloride"/>
    <hyperlink ref="AB63" r:id="rId35" display="https://dailymed.nlm.nih.gov/dailymed/search.cfm?labeltype=all&amp;query=meropenem"/>
    <hyperlink ref="AB64" r:id="rId36" display="https://dailymed.nlm.nih.gov/dailymed/search.cfm?labeltype=all&amp;query=mesna"/>
    <hyperlink ref="AB65" r:id="rId37" display="https://dailymed.nlm.nih.gov/dailymed/search.cfm?labeltype=all&amp;query=methotrexate+injection"/>
    <hyperlink ref="AB66" r:id="rId38" display="https://dailymed.nlm.nih.gov/dailymed/search.cfm?labeltype=all&amp;query=methylprednisolone+acetate"/>
    <hyperlink ref="AB67" r:id="rId39" display="https://dailymed.nlm.nih.gov/dailymed/search.cfm?labeltype=all&amp;query=mitomycin"/>
    <hyperlink ref="AB68" r:id="rId40" display="https://dailymed.nlm.nih.gov/dailymed/search.cfm?labeltype=all&amp;query=nafcillin"/>
    <hyperlink ref="AB69" r:id="rId41" display="https://dailymed.nlm.nih.gov/dailymed/search.cfm?labeltype=all&amp;query=naloxone+hydrochloride+injection"/>
    <hyperlink ref="AB70" r:id="rId42" display="https://dailymed.nlm.nih.gov/dailymed/search.cfm?labeltype=all&amp;query=ondansetron+injection"/>
    <hyperlink ref="AB71" r:id="rId43" display="https://dailymed.nlm.nih.gov/dailymed/search.cfm?labeltype=all&amp;query=oxacillin"/>
    <hyperlink ref="AB72" r:id="rId44" display="https://dailymed.nlm.nih.gov/dailymed/search.cfm?labeltype=all&amp;query=palonosetron"/>
    <hyperlink ref="AB73" r:id="rId45" display="https://dailymed.nlm.nih.gov/dailymed/search.cfm?labeltype=all&amp;query=pantoprazole+sodium+for+injection"/>
    <hyperlink ref="AB74" r:id="rId46" display="https://dailymed.nlm.nih.gov/dailymed/search.cfm?labeltype=all&amp;query=plerixafor"/>
    <hyperlink ref="AB75" r:id="rId47" display="https://dailymed.nlm.nih.gov/dailymed/search.cfm?labeltype=all&amp;query=progesterone+injection"/>
    <hyperlink ref="AB76" r:id="rId48" display="https://dailymed.nlm.nih.gov/dailymed/search.cfm?labeltype=all&amp;query=regadenoson"/>
    <hyperlink ref="AB77" r:id="rId49" display="https://dailymed.nlm.nih.gov/dailymed/search.cfm?labeltype=all&amp;query=remifentanil"/>
    <hyperlink ref="AB78" r:id="rId50" display="https://dailymed.nlm.nih.gov/dailymed/search.cfm?labeltype=all&amp;query=ropivacaine"/>
    <hyperlink ref="AB79" r:id="rId51" display="https://dailymed.nlm.nih.gov/dailymed/search.cfm?labeltype=all&amp;query=sildenafil+injection"/>
    <hyperlink ref="AB80" r:id="rId52" display="https://dailymed.nlm.nih.gov/dailymed/search.cfm?labeltype=all&amp;query=testosterone+cypionate"/>
    <hyperlink ref="AB81" r:id="rId53" display="https://dailymed.nlm.nih.gov/dailymed/search.cfm?labeltype=all&amp;query=testosterone+enanthate"/>
    <hyperlink ref="AB82" r:id="rId54" display="https://dailymed.nlm.nih.gov/dailymed/search.cfm?labeltype=all&amp;query=tirofiban"/>
    <hyperlink ref="AB83" r:id="rId55" display="https://dailymed.nlm.nih.gov/dailymed/search.cfm?labeltype=all&amp;query=tranexamic+acid+injection"/>
    <hyperlink ref="AB84" r:id="rId56" display="https://dailymed.nlm.nih.gov/dailymed/search.cfm?labeltype=all&amp;query=triamcinolone+acetonide+injectable+suspension"/>
    <hyperlink ref="AB85" r:id="rId57" display="https://dailymed.nlm.nih.gov/dailymed/search.cfm?labeltype=all&amp;query=vecuronium"/>
    <hyperlink ref="AB86" r:id="rId58" display="https://dailymed.nlm.nih.gov/dailymed/search.cfm?labeltype=all&amp;query=verapamil+hydrochloride+injection"/>
    <hyperlink ref="AB87" r:id="rId59" display="https://dailymed.nlm.nih.gov/dailymed/search.cfm?labeltype=all&amp;query=vinorelbine"/>
    <hyperlink ref="AB88" r:id="rId60" display="https://dailymed.nlm.nih.gov/dailymed/search.cfm?labeltype=all&amp;query=azacitidine"/>
    <hyperlink ref="AB89" r:id="rId61" display="https://dailymed.nlm.nih.gov/dailymed/search.cfm?labeltype=all&amp;query=bleomycin"/>
    <hyperlink ref="AB90" r:id="rId62" display="https://dailymed.nlm.nih.gov/dailymed/search.cfm?labeltype=all&amp;query=bortezomib"/>
    <hyperlink ref="AB91" r:id="rId63" display="https://dailymed.nlm.nih.gov/dailymed/search.cfm?labeltype=all&amp;query=cefepime"/>
    <hyperlink ref="AB92" r:id="rId64" display="https://dailymed.nlm.nih.gov/dailymed/search.cfm?labeltype=all&amp;query=daptomycin"/>
    <hyperlink ref="AB93" r:id="rId65" display="https://dailymed.nlm.nih.gov/dailymed/search.cfm?labeltype=all&amp;query=doxorubicin"/>
    <hyperlink ref="AB94" r:id="rId66" display="https://dailymed.nlm.nih.gov/dailymed/search.cfm?labeltype=all&amp;query=fulvestrant"/>
    <hyperlink ref="AB95" r:id="rId67" display="https://dailymed.nlm.nih.gov/dailymed/search.cfm?labeltype=all&amp;query=hydrocortisone+sodium+succinate"/>
    <hyperlink ref="AB96" r:id="rId68" display="https://dailymed.nlm.nih.gov/dailymed/search.cfm?labeltype=all&amp;query=isoproterenol"/>
    <hyperlink ref="AB97" r:id="rId69" display="https://dailymed.nlm.nih.gov/dailymed/search.cfm?labeltype=all&amp;query=lanreotide"/>
    <hyperlink ref="AB98" r:id="rId70" display="https://www.who.int/news-room/fact-sheets/detail/measles"/>
    <hyperlink ref="AB99" r:id="rId71" display="https://dailymed.nlm.nih.gov/dailymed/search.cfm?labeltype=all&amp;query=medroxyprogesterone+acetate+injectable"/>
    <hyperlink ref="AB100" r:id="rId72" display="https://dailymed.nlm.nih.gov/dailymed/search.cfm?labeltype=all&amp;query=palonosetron"/>
    <hyperlink ref="AB101" r:id="rId73" display="https://dailymed.nlm.nih.gov/dailymed/search.cfm?labeltype=all&amp;query=phenylephrine+hydrochloride+injection"/>
    <hyperlink ref="AB102" r:id="rId74" display="https://dailymed.nlm.nih.gov/dailymed/search.cfm?labeltype=all&amp;query=phytonadione"/>
    <hyperlink ref="AB103" r:id="rId75" display="https://list.essentialmeds.org/?query=streptokinase"/>
    <hyperlink ref="AB104" r:id="rId76" display="https://dailymed.nlm.nih.gov/dailymed/search.cfm?labeltype=all&amp;query=sugammadex"/>
    <hyperlink ref="AB105" r:id="rId77" display="https://mhraproducts4853.blob.core.windows.net/docs/45a310f5c66d09f20d9d1eb3a5d48c17c486ac7b"/>
    <hyperlink ref="AB106" r:id="rId78" display="https://dailymed.nlm.nih.gov/dailymed/search.cfm?labeltype=all&amp;query=testosterone+cypionate"/>
    <hyperlink ref="AB107" r:id="rId79" display="https://dailymed.nlm.nih.gov/dailymed/search.cfm?labeltype=all&amp;query=testosterone+undecanoate"/>
    <hyperlink ref="AB108" r:id="rId80" display="https://dailymed.nlm.nih.gov/dailymed/search.cfm?labeltype=all&amp;query=trastuzumab"/>
    <hyperlink ref="AB109" r:id="rId81" display="https://dailymed.nlm.nih.gov/dailymed/search.cfm?labeltype=all&amp;query=vinblastine"/>
    <hyperlink ref="AB110" r:id="rId82" display="https://dailymed.nlm.nih.gov/dailymed/search.cfm?labeltype=all&amp;query=vinorelbine"/>
    <hyperlink ref="AB111" r:id="rId83" display="https://dailymed.nlm.nih.gov/dailymed/search.cfm?labeltype=all&amp;query=azacitidine"/>
    <hyperlink ref="AB112" r:id="rId84" display="https://dailymed.nlm.nih.gov/dailymed/search.cfm?labeltype=all&amp;query=bivalirudin"/>
    <hyperlink ref="AB113" r:id="rId85" display="https://dailymed.nlm.nih.gov/dailymed/search.cfm?labeltype=all&amp;query=bortezomib"/>
    <hyperlink ref="AB114" r:id="rId86" display="https://dailymed.nlm.nih.gov/dailymed/search.cfm?labeltype=all&amp;query=carboprost"/>
    <hyperlink ref="AB115" r:id="rId87" display="https://dailymed.nlm.nih.gov/dailymed/search.cfm?labeltype=all&amp;query=cyclophosphamide"/>
    <hyperlink ref="AB116" r:id="rId88" display="https://dailymed.nlm.nih.gov/dailymed/search.cfm?labeltype=all&amp;query=daptomycin"/>
    <hyperlink ref="AB117" r:id="rId89" display="https://dailymed.nlm.nih.gov/dailymed/search.cfm?labeltype=all&amp;query=desmopressin"/>
    <hyperlink ref="AB118" r:id="rId90" display="https://dailymed.nlm.nih.gov/dailymed/search.cfm?labeltype=all&amp;query=diazepam+injection"/>
    <hyperlink ref="AB119" r:id="rId91" display="https://dailymed.nlm.nih.gov/dailymed/search.cfm?labeltype=all&amp;query=ephedrine+sulfate+injection"/>
    <hyperlink ref="AB120" r:id="rId92" display="https://dailymed.nlm.nih.gov/dailymed/search.cfm?labeltype=all&amp;query=eribulin"/>
    <hyperlink ref="AB121" r:id="rId93" display="https://dailymed.nlm.nih.gov/dailymed/search.cfm?labeltype=all&amp;query=ertapenem"/>
    <hyperlink ref="AB122" r:id="rId94" display="https://dailymed.nlm.nih.gov/dailymed/search.cfm?labeltype=all&amp;query=ferric+carboxymaltose"/>
    <hyperlink ref="AB123" r:id="rId95" display="https://dailymed.nlm.nih.gov/dailymed/search.cfm?labeltype=all&amp;query=fulvestrant"/>
    <hyperlink ref="AB124" r:id="rId96" display="https://dailymed.nlm.nih.gov/dailymed/search.cfm?labeltype=all&amp;query=ibandronate+injection"/>
    <hyperlink ref="AB125" r:id="rId97" display="https://dailymed.nlm.nih.gov/dailymed/search.cfm?labeltype=all&amp;query=naloxone+hydrochloride+injection"/>
    <hyperlink ref="AB126" r:id="rId98" display="https://dailymed.nlm.nih.gov/dailymed/search.cfm?labeltype=all&amp;query=neostigmine"/>
    <hyperlink ref="AB127" r:id="rId99" display="https://dailymed.nlm.nih.gov/dailymed/search.cfm?labeltype=all&amp;query=palonosetron"/>
    <hyperlink ref="AB128" r:id="rId100" display="https://dailymed.nlm.nih.gov/dailymed/search.cfm?labeltype=all&amp;query=phytonadione"/>
    <hyperlink ref="AB129" r:id="rId101" display="https://dailymed.nlm.nih.gov/dailymed/search.cfm?labeltype=all&amp;query=plerixafor"/>
    <hyperlink ref="AB130" r:id="rId102" display="https://dailymed.nlm.nih.gov/dailymed/search.cfm?labeltype=all&amp;query=regadenoson"/>
    <hyperlink ref="AB131" r:id="rId103" display="https://dailymed.nlm.nih.gov/dailymed/search.cfm?labeltype=all&amp;query=succinylcholine"/>
    <hyperlink ref="AB132" r:id="rId104" display="https://dailymed.nlm.nih.gov/dailymed/search.cfm?labeltype=all&amp;query=sugammadex"/>
    <hyperlink ref="AB133" r:id="rId105" display="https://dailymed.nlm.nih.gov/dailymed/search.cfm?labeltype=all&amp;query=thiotepa"/>
    <hyperlink ref="AB134" r:id="rId106" display="https://dailymed.nlm.nih.gov/dailymed/search.cfm?labeltype=all&amp;query=triamcinolone+acetonide+injectable+suspension"/>
    <hyperlink ref="AB135" r:id="rId107" display="https://dailymed.nlm.nih.gov/dailymed/search.cfm?labeltype=all&amp;query=acetazolamide"/>
    <hyperlink ref="AB136" r:id="rId108" display="https://dailymed.nlm.nih.gov/dailymed/search.cfm?labeltype=all&amp;query=amikacin"/>
    <hyperlink ref="AB137" r:id="rId109" display="https://dailymed.nlm.nih.gov/dailymed/search.cfm?labeltype=all&amp;query=ampicillin"/>
    <hyperlink ref="AB138" r:id="rId110" display="https://dailymed.nlm.nih.gov/dailymed/search.cfm?labeltype=all&amp;query=azacitidine"/>
    <hyperlink ref="AB139" r:id="rId111" display="https://dailymed.nlm.nih.gov/dailymed/search.cfm?labeltype=all&amp;query=bortezomib"/>
    <hyperlink ref="AB140" r:id="rId112" display="https://dailymed.nlm.nih.gov/dailymed/search.cfm?labeltype=all&amp;query=colistimethate"/>
    <hyperlink ref="AB141" r:id="rId113" display="https://dailymed.nlm.nih.gov/dailymed/search.cfm?labeltype=all&amp;query=cyclophosphamide"/>
    <hyperlink ref="AB142" r:id="rId114" display="https://dailymed.nlm.nih.gov/dailymed/search.cfm?labeltype=all&amp;query=daptomycin"/>
    <hyperlink ref="AB143" r:id="rId115" display="https://dailymed.nlm.nih.gov/dailymed/search.cfm?labeltype=all&amp;query=eribulin"/>
    <hyperlink ref="AB144" r:id="rId116" display="https://dailymed.nlm.nih.gov/dailymed/search.cfm?labeltype=all&amp;query=esomeprazole+sodium"/>
    <hyperlink ref="AB145" r:id="rId117" display="https://dailymed.nlm.nih.gov/dailymed/search.cfm?labeltype=all&amp;query=isoproterenol"/>
    <hyperlink ref="AB146" r:id="rId118" display="https://dailymed.nlm.nih.gov/dailymed/search.cfm?labeltype=all&amp;query=melphalan+hydrochloride"/>
    <hyperlink ref="AB147" r:id="rId119" display="https://dailymed.nlm.nih.gov/dailymed/search.cfm?labeltype=all&amp;query=milrinone"/>
    <hyperlink ref="AB148" r:id="rId120" display="https://dailymed.nlm.nih.gov/dailymed/search.cfm?labeltype=all&amp;query=neostigmine"/>
    <hyperlink ref="AB149" r:id="rId121" display="https://dailymed.nlm.nih.gov/dailymed/search.cfm?labeltype=all&amp;query=ondansetron+injection"/>
    <hyperlink ref="AB150" r:id="rId122" display="https://dailymed.nlm.nih.gov/dailymed/search.cfm?labeltype=all&amp;query=pantoprazole+sodium+for+injection"/>
    <hyperlink ref="AB151" r:id="rId123" display="https://dailymed.nlm.nih.gov/dailymed/search.cfm?labeltype=all&amp;query=pentamidine"/>
    <hyperlink ref="AB152" r:id="rId124" display="https://dailymed.nlm.nih.gov/dailymed/search.cfm?labeltype=all&amp;query=plerixafor"/>
    <hyperlink ref="AB153" r:id="rId125" display="https://dailymed.nlm.nih.gov/dailymed/search.cfm?labeltype=all&amp;query=propofol"/>
    <hyperlink ref="AB154" r:id="rId126" display="https://dailymed.nlm.nih.gov/dailymed/search.cfm?labeltype=all&amp;query=sugammadex"/>
    <hyperlink ref="AB155" r:id="rId127" display="https://dailymed.nlm.nih.gov/dailymed/search.cfm?labeltype=all&amp;query=azacitidine"/>
    <hyperlink ref="AB156" r:id="rId128" display="https://dailymed.nlm.nih.gov/dailymed/search.cfm?labeltype=all&amp;query=bortezomib"/>
    <hyperlink ref="AB157" r:id="rId129" display="https://dailymed.nlm.nih.gov/dailymed/search.cfm?labeltype=all&amp;query=eribulin"/>
    <hyperlink ref="AB158" r:id="rId130" display="https://dailymed.nlm.nih.gov/dailymed/search.cfm?labeltype=all&amp;query=fulvestrant"/>
    <hyperlink ref="AB159" r:id="rId131" display="https://dailymed.nlm.nih.gov/dailymed/search.cfm?labeltype=all&amp;query=plerixafor"/>
    <hyperlink ref="AB160" r:id="rId132" display="https://dailymed.nlm.nih.gov/dailymed/search.cfm?labeltype=all&amp;query=sugammadex"/>
    <hyperlink ref="AB161" r:id="rId133" display="https://dailymed.nlm.nih.gov/dailymed/search.cfm?labeltype=all&amp;query=azacitidine"/>
    <hyperlink ref="AB162" r:id="rId134" display="https://dailymed.nlm.nih.gov/dailymed/search.cfm?labeltype=all&amp;query=bortezomib"/>
    <hyperlink ref="AB163" r:id="rId135" display="https://dailymed.nlm.nih.gov/dailymed/search.cfm?labeltype=all&amp;query=brivaracetam"/>
    <hyperlink ref="AB164" r:id="rId136" display="https://dailymed.nlm.nih.gov/dailymed/search.cfm?labeltype=all&amp;query=chlorpromazine"/>
    <hyperlink ref="AB165" r:id="rId137" display="https://dailymed.nlm.nih.gov/dailymed/search.cfm?labeltype=all&amp;query=cyanocobalamin+injection"/>
    <hyperlink ref="AB166" r:id="rId138" display="https://dailymed.nlm.nih.gov/dailymed/search.cfm?labeltype=all&amp;query=daptomycin"/>
    <hyperlink ref="AB167" r:id="rId139" display="https://dailymed.nlm.nih.gov/dailymed/search.cfm?labeltype=all&amp;query=glycopyrrolate+injection"/>
    <hyperlink ref="AB168" r:id="rId140" display="https://dailymed.nlm.nih.gov/dailymed/search.cfm?labeltype=all&amp;query=isoproterenol"/>
    <hyperlink ref="AB169" r:id="rId141" display="https://dailymed.nlm.nih.gov/dailymed/search.cfm?labeltype=all&amp;query=lidocaine+hydrochloride+injection"/>
    <hyperlink ref="AB170" r:id="rId142" display="https://dailymed.nlm.nih.gov/dailymed/search.cfm?labeltype=all&amp;query=magnesium+sulfate+injection"/>
    <hyperlink ref="AB171" r:id="rId143" display="https://dailymed.nlm.nih.gov/dailymed/search.cfm?labeltype=all&amp;query=melphalan+hydrochloride"/>
    <hyperlink ref="AB172" r:id="rId144" display="https://dailymed.nlm.nih.gov/dailymed/search.cfm?labeltype=all&amp;query=methotrexate+injection"/>
    <hyperlink ref="AB173" r:id="rId145" display="https://dailymed.nlm.nih.gov/dailymed/search.cfm?labeltype=all&amp;query=palonosetron"/>
    <hyperlink ref="AB174" r:id="rId146" display="https://dailymed.nlm.nih.gov/dailymed/search.cfm?labeltype=all&amp;query=pantoprazole+sodium+for+injection"/>
    <hyperlink ref="AB175" r:id="rId147" display="https://dailymed.nlm.nih.gov/dailymed/search.cfm?labeltype=all&amp;query=plerixafor"/>
    <hyperlink ref="AB176" r:id="rId148" display="https://dailymed.nlm.nih.gov/dailymed/search.cfm?labeltype=all&amp;query=propofol"/>
    <hyperlink ref="AB177" r:id="rId149" display="https://dailymed.nlm.nih.gov/dailymed/search.cfm?labeltype=all&amp;query=rocuronium"/>
    <hyperlink ref="AB178" r:id="rId150" display="https://dailymed.nlm.nih.gov/dailymed/search.cfm?labeltype=all&amp;query=sodium+bicarbonate+injection"/>
    <hyperlink ref="AB179" r:id="rId151" display="https://dailymed.nlm.nih.gov/dailymed/search.cfm?labeltype=all&amp;query=succinylcholine"/>
    <hyperlink ref="AB180" r:id="rId152" display="https://dailymed.nlm.nih.gov/dailymed/search.cfm?labeltype=all&amp;query=sugammadex"/>
    <hyperlink ref="AB181" r:id="rId153" display="https://mhraproducts4853.blob.core.windows.net/docs/45a310f5c66d09f20d9d1eb3a5d48c17c486ac7b"/>
    <hyperlink ref="AB182" r:id="rId154" display="https://dailymed.nlm.nih.gov/dailymed/search.cfm?labeltype=all&amp;query=verapamil+hydrochloride+injection"/>
    <hyperlink ref="AB183" r:id="rId155" display="https://dailymed.nlm.nih.gov/dailymed/search.cfm?labeltype=all&amp;query=amiodarone"/>
    <hyperlink ref="AB184" r:id="rId156" display="https://mhraproducts4853.blob.core.windows.net/docs/dd5428de28a35789b58d7a7229157959b1e135fb"/>
    <hyperlink ref="AB185" r:id="rId157" display="https://dailymed.nlm.nih.gov/dailymed/search.cfm?labeltype=all&amp;query=argatroban"/>
    <hyperlink ref="AB186" r:id="rId158" display="https://mhraproducts4853.blob.core.windows.net/docs/924d70784a8c922753ed49a78a38c605f536521c"/>
    <hyperlink ref="AB187" r:id="rId159" display="https://dailymed.nlm.nih.gov/dailymed/search.cfm?labeltype=all&amp;query=atropine"/>
    <hyperlink ref="AB188" r:id="rId160" display="https://dailymed.nlm.nih.gov/dailymed/search.cfm?labeltype=all&amp;query=azacitidine"/>
    <hyperlink ref="AB189" r:id="rId161" display="https://dailymed.nlm.nih.gov/dailymed/search.cfm?labeltype=all&amp;query=bivalirudin"/>
    <hyperlink ref="AB190" r:id="rId162" display="https://dailymed.nlm.nih.gov/dailymed/search.cfm?labeltype=all&amp;query=bleomycin"/>
    <hyperlink ref="AB191" r:id="rId163" display="https://dailymed.nlm.nih.gov/dailymed/search.cfm?labeltype=all&amp;query=bortezomib"/>
    <hyperlink ref="AB192" r:id="rId164" display="https://dailymed.nlm.nih.gov/dailymed/search.cfm?labeltype=all&amp;query=cefepime"/>
    <hyperlink ref="AB193" r:id="rId165" display="https://dailymed.nlm.nih.gov/dailymed/search.cfm?labeltype=all&amp;query=ceftriaxone"/>
    <hyperlink ref="AB194" r:id="rId166" display="https://dailymed.nlm.nih.gov/dailymed/search.cfm?labeltype=all&amp;query=cisatracurium"/>
    <hyperlink ref="AB195" r:id="rId167" display="https://dailymed.nlm.nih.gov/dailymed/search.cfm?labeltype=all&amp;query=colistimethate"/>
    <hyperlink ref="AB196" r:id="rId168" display="https://dailymed.nlm.nih.gov/dailymed/search.cfm?labeltype=all&amp;query=cyclophosphamide"/>
    <hyperlink ref="AB197" r:id="rId169" display="https://dailymed.nlm.nih.gov/dailymed/search.cfm?labeltype=all&amp;query=cytarabine"/>
    <hyperlink ref="AB198" r:id="rId170" display="https://dailymed.nlm.nih.gov/dailymed/search.cfm?labeltype=all&amp;query=daptomycin"/>
    <hyperlink ref="AB199" r:id="rId171" display="https://dailymed.nlm.nih.gov/dailymed/search.cfm?labeltype=all&amp;query=degarelix"/>
    <hyperlink ref="AB200" r:id="rId172" display="https://dailymed.nlm.nih.gov/dailymed/search.cfm?labeltype=all&amp;query=denosumab"/>
    <hyperlink ref="AB201" r:id="rId173" display="https://dailymed.nlm.nih.gov/dailymed/search.cfm?labeltype=all&amp;query=doxorubicin"/>
    <hyperlink ref="AB202" r:id="rId174" display="https://dailymed.nlm.nih.gov/dailymed/search.cfm?labeltype=all&amp;query=epinephrine+injection"/>
    <hyperlink ref="AB203" r:id="rId175" display="https://dailymed.nlm.nih.gov/dailymed/search.cfm?labeltype=all&amp;query=epirubicin"/>
    <hyperlink ref="AB204" r:id="rId176" display="https://dailymed.nlm.nih.gov/dailymed/search.cfm?labeltype=all&amp;query=eptifibatide"/>
    <hyperlink ref="AB205" r:id="rId177" display="https://dailymed.nlm.nih.gov/dailymed/search.cfm?labeltype=all&amp;query=eribulin"/>
    <hyperlink ref="AB206" r:id="rId178" display="https://dailymed.nlm.nih.gov/dailymed/search.cfm?labeltype=all&amp;query=esomeprazole+sodium"/>
    <hyperlink ref="AB207" r:id="rId179" display="https://mhraproducts4853.blob.core.windows.net/docs/b81aa75bd80aa32a460d7fedc1706f40ed574da1"/>
    <hyperlink ref="AB208" r:id="rId180" display="https://dailymed.nlm.nih.gov/dailymed/search.cfm?labeltype=all&amp;query=fludarabine"/>
    <hyperlink ref="AB209" r:id="rId181" display="https://dailymed.nlm.nih.gov/dailymed/search.cfm?labeltype=all&amp;query=fluorouracil+injection"/>
    <hyperlink ref="AB210" r:id="rId182" display="https://dailymed.nlm.nih.gov/dailymed/search.cfm?labeltype=all&amp;query=fulvestrant"/>
    <hyperlink ref="AB211" r:id="rId183" display="https://dailymed.nlm.nih.gov/dailymed/search.cfm?labeltype=all&amp;query=glycopyrrolate+injection"/>
    <hyperlink ref="AB212" r:id="rId184" display="https://mhraproducts4853.blob.core.windows.net/docs/263d32f81753d60c17b4d841aa3115ebcf5eabd7"/>
    <hyperlink ref="AB213" r:id="rId185" display="https://dailymed.nlm.nih.gov/dailymed/search.cfm?labeltype=all&amp;query=ibandronate+injection"/>
    <hyperlink ref="AB214" r:id="rId186" display="https://dailymed.nlm.nih.gov/dailymed/search.cfm?labeltype=all&amp;query=idarubicin"/>
    <hyperlink ref="AB215" r:id="rId187" display="https://dailymed.nlm.nih.gov/dailymed/search.cfm?labeltype=all&amp;query=leuprolide"/>
    <hyperlink ref="AB216" r:id="rId188" display="https://dailymed.nlm.nih.gov/dailymed/search.cfm?labeltype=all&amp;query=lidocaine+hydrochloride+injection"/>
    <hyperlink ref="AB217" r:id="rId189" display="https://dailymed.nlm.nih.gov/dailymed/search.cfm?labeltype=all&amp;query=melphalan+hydrochloride"/>
    <hyperlink ref="AB218" r:id="rId190" display="https://dailymed.nlm.nih.gov/dailymed/search.cfm?labeltype=all&amp;query=methotrexate+injection"/>
    <hyperlink ref="AB219" r:id="rId191" display="https://dailymed.nlm.nih.gov/dailymed/search.cfm?labeltype=all&amp;query=midazolam+injection"/>
    <hyperlink ref="AB220" r:id="rId192" display="https://dailymed.nlm.nih.gov/dailymed/search.cfm?labeltype=all&amp;query=mitomycin"/>
    <hyperlink ref="AB221" r:id="rId193" display="https://dailymed.nlm.nih.gov/dailymed/search.cfm?labeltype=all&amp;query=mitoxantrone"/>
    <hyperlink ref="AB222" r:id="rId194" display="https://dailymed.nlm.nih.gov/dailymed/search.cfm?labeltype=all&amp;query=naloxone+hydrochloride+injection"/>
    <hyperlink ref="AB223" r:id="rId195" display="https://dailymed.nlm.nih.gov/dailymed/search.cfm?labeltype=all&amp;query=ondansetron+injection"/>
    <hyperlink ref="AB224" r:id="rId196" display="https://dailymed.nlm.nih.gov/dailymed/search.cfm?labeltype=all&amp;query=paclitaxel"/>
    <hyperlink ref="AB225" r:id="rId197" display="https://dailymed.nlm.nih.gov/dailymed/search.cfm?labeltype=all&amp;query=palonosetron"/>
    <hyperlink ref="AB226" r:id="rId198" display="https://dailymed.nlm.nih.gov/dailymed/search.cfm?labeltype=all&amp;query=pantoprazole+sodium+for+injection"/>
    <hyperlink ref="AB227" r:id="rId199" display="https://dailymed.nlm.nih.gov/dailymed/search.cfm?labeltype=all&amp;query=paricalcitol+injection"/>
    <hyperlink ref="AB228" r:id="rId200" display="https://dailymed.nlm.nih.gov/dailymed/search.cfm?labeltype=all&amp;query=pegfilgrastim"/>
    <hyperlink ref="AB229" r:id="rId201" display="https://dailymed.nlm.nih.gov/dailymed/search.cfm?labeltype=all&amp;query=phenylephrine+hydrochloride+injection"/>
    <hyperlink ref="AB230" r:id="rId202" display="https://dailymed.nlm.nih.gov/dailymed/search.cfm?labeltype=all&amp;query=phenytoin+sodium+injection"/>
    <hyperlink ref="AB231" r:id="rId203" display="https://dailymed.nlm.nih.gov/dailymed/search.cfm?labeltype=all&amp;query=plerixafor"/>
    <hyperlink ref="AB232" r:id="rId204" display="https://dailymed.nlm.nih.gov/dailymed/search.cfm?labeltype=all&amp;query=progesterone+injection"/>
    <hyperlink ref="AB233" r:id="rId205" display="https://dailymed.nlm.nih.gov/dailymed/search.cfm?labeltype=all&amp;query=ranibizumab"/>
    <hyperlink ref="AB234" r:id="rId206" display="https://dailymed.nlm.nih.gov/dailymed/search.cfm?labeltype=all&amp;query=regadenoson"/>
    <hyperlink ref="AB235" r:id="rId207" display="https://dailymed.nlm.nih.gov/dailymed/search.cfm?labeltype=all&amp;query=rocuronium"/>
    <hyperlink ref="AB236" r:id="rId208" display="https://dailymed.nlm.nih.gov/dailymed/search.cfm?labeltype=all&amp;query=succinylcholine"/>
    <hyperlink ref="AB237" r:id="rId209" display="https://dailymed.nlm.nih.gov/dailymed/search.cfm?labeltype=all&amp;query=sugammadex"/>
    <hyperlink ref="AB238" r:id="rId210" display="https://mhraproducts4853.blob.core.windows.net/docs/45a310f5c66d09f20d9d1eb3a5d48c17c486ac7b"/>
    <hyperlink ref="AB239" r:id="rId211" display="https://dailymed.nlm.nih.gov/dailymed/search.cfm?labeltype=all&amp;query=tigecycline"/>
    <hyperlink ref="AB240" r:id="rId212" display="https://dailymed.nlm.nih.gov/dailymed/search.cfm?labeltype=all&amp;query=ustekinumab"/>
    <hyperlink ref="AB241" r:id="rId213" display="https://dailymed.nlm.nih.gov/dailymed/search.cfm?labeltype=all&amp;query=vincristine"/>
    <hyperlink ref="AB242" r:id="rId214" display="https://dailymed.nlm.nih.gov/dailymed/search.cfm?labeltype=all&amp;query=vinorelbine"/>
    <hyperlink ref="AB243" r:id="rId215" display="https://dailymed.nlm.nih.gov/dailymed/search.cfm?labeltype=all&amp;query=alfentanil"/>
    <hyperlink ref="AB244" r:id="rId216" display="https://dailymed.nlm.nih.gov/dailymed/search.cfm?labeltype=all&amp;query=cefazolin"/>
    <hyperlink ref="AB245" r:id="rId217" display="https://dailymed.nlm.nih.gov/dailymed/search.cfm?labeltype=all&amp;query=cisatracurium"/>
    <hyperlink ref="AB246" r:id="rId218" display="https://dailymed.nlm.nih.gov/dailymed/search.cfm?labeltype=all&amp;query=daptomycin"/>
    <hyperlink ref="AB247" r:id="rId219" display="https://dailymed.nlm.nih.gov/dailymed/search.cfm?labeltype=all&amp;query=diazepam+injection"/>
    <hyperlink ref="AB248" r:id="rId220" display="https://dailymed.nlm.nih.gov/dailymed/search.cfm?labeltype=all&amp;query=droperidol"/>
    <hyperlink ref="AB249" r:id="rId221" display="https://dailymed.nlm.nih.gov/dailymed/search.cfm?labeltype=all&amp;query=iron+sucrose"/>
    <hyperlink ref="AB250" r:id="rId222" display="https://dailymed.nlm.nih.gov/dailymed/search.cfm?labeltype=all&amp;query=ephedrine+sulfate+injection"/>
    <hyperlink ref="AB251" r:id="rId223" display="https://dailymed.nlm.nih.gov/dailymed/search.cfm?labeltype=all&amp;query=ertapenem"/>
    <hyperlink ref="AB252" r:id="rId224" display="https://dailymed.nlm.nih.gov/dailymed/search.cfm?labeltype=all&amp;query=famotidine+injection"/>
    <hyperlink ref="AB253" r:id="rId225" display="https://dailymed.nlm.nih.gov/dailymed/search.cfm?labeltype=all&amp;query=fentanyl+citrate+injection"/>
    <hyperlink ref="AB254" r:id="rId226" display="https://dailymed.nlm.nih.gov/dailymed/search.cfm?labeltype=all&amp;query=meropenem"/>
    <hyperlink ref="AB255" r:id="rId227" display="https://dailymed.nlm.nih.gov/dailymed/search.cfm?labeltype=all&amp;query=milrinone"/>
    <hyperlink ref="AB256" r:id="rId228" display="https://dailymed.nlm.nih.gov/dailymed/search.cfm?labeltype=all&amp;query=olanzapine+for+injection"/>
    <hyperlink ref="AB257" r:id="rId229" display="https://dailymed.nlm.nih.gov/dailymed/search.cfm?labeltype=all&amp;query=oxytocin"/>
    <hyperlink ref="AB258" r:id="rId230" display="https://dailymed.nlm.nih.gov/dailymed/search.cfm?labeltype=all&amp;query=remifentanil"/>
    <hyperlink ref="AB259" r:id="rId231" display="https://dailymed.nlm.nih.gov/dailymed/search.cfm?labeltype=all&amp;query=sugammadex"/>
    <hyperlink ref="AB260" r:id="rId232" display="https://mhraproducts4853.blob.core.windows.net/docs/45a310f5c66d09f20d9d1eb3a5d48c17c486ac7b"/>
    <hyperlink ref="AB261" r:id="rId233" display="https://dailymed.nlm.nih.gov/dailymed/search.cfm?labeltype=all&amp;query=testosterone+undecanoate"/>
    <hyperlink ref="AB262" r:id="rId234" display="https://dailymed.nlm.nih.gov/dailymed/search.cfm?labeltype=all&amp;query=bortezomib"/>
    <hyperlink ref="AB263" r:id="rId235" display="https://dailymed.nlm.nih.gov/dailymed/search.cfm?labeltype=all&amp;query=brivaracetam"/>
    <hyperlink ref="AB264" r:id="rId236" display="https://dailymed.nlm.nih.gov/dailymed/search.cfm?labeltype=all&amp;query=chlorpromazine"/>
    <hyperlink ref="AB265" r:id="rId237" display="https://dailymed.nlm.nih.gov/dailymed/search.cfm?labeltype=all&amp;query=fluphenazine+decanoate"/>
    <hyperlink ref="AB266" r:id="rId238" display="https://dailymed.nlm.nih.gov/dailymed/search.cfm?labeltype=all&amp;query=gadobutrol"/>
    <hyperlink ref="AB267" r:id="rId239" display="https://dailymed.nlm.nih.gov/dailymed/search.cfm?labeltype=all&amp;query=plerixafor"/>
    <hyperlink ref="AB268" r:id="rId240" display="https://dailymed.nlm.nih.gov/dailymed/search.cfm?labeltype=all&amp;query=sugammadex"/>
    <hyperlink ref="AB269" r:id="rId241" display="https://dailymed.nlm.nih.gov/dailymed/search.cfm?labeltype=all&amp;query=brivaracetam"/>
    <hyperlink ref="AB270" r:id="rId242" display="https://dailymed.nlm.nih.gov/dailymed/search.cfm?labeltype=all&amp;query=caffeine+citrate"/>
    <hyperlink ref="AB271" r:id="rId243" display="https://dailymed.nlm.nih.gov/dailymed/search.cfm?labeltype=all&amp;query=carboprost"/>
    <hyperlink ref="AB272" r:id="rId244" display="https://mhraproducts4853.blob.core.windows.net/docs/925bc4c8a8d4a507b955b633951acf444692f0ea"/>
    <hyperlink ref="AB273" r:id="rId245" display="https://dailymed.nlm.nih.gov/dailymed/search.cfm?labeltype=all&amp;query=diphenhydramine+injection"/>
    <hyperlink ref="AB274" r:id="rId246" display="https://dailymed.nlm.nih.gov/dailymed/search.cfm?labeltype=all&amp;query=isoproterenol"/>
    <hyperlink ref="AB275" r:id="rId247" display="https://dailymed.nlm.nih.gov/dailymed/search.cfm?labeltype=all&amp;query=levetiracetam+injection"/>
    <hyperlink ref="AB276" r:id="rId248" display="https://dailymed.nlm.nih.gov/dailymed/search.cfm?labeltype=all&amp;query=lincomycin"/>
    <hyperlink ref="AB277" r:id="rId249" display="https://dailymed.nlm.nih.gov/dailymed/search.cfm?labeltype=all&amp;query=succinylcholine"/>
    <hyperlink ref="AB278" r:id="rId250" display="https://dailymed.nlm.nih.gov/dailymed/search.cfm?labeltype=all&amp;query=verapamil+hydrochloride+injection"/>
    <hyperlink ref="AB279" r:id="rId251" display="https://dailymed.nlm.nih.gov/dailymed/search.cfm?labeltype=all&amp;query=bupivacaine"/>
    <hyperlink ref="AB280" r:id="rId252" display="https://dailymed.nlm.nih.gov/dailymed/search.cfm?labeltype=all&amp;query=carboprost"/>
    <hyperlink ref="AB281" r:id="rId253" display="https://dailymed.nlm.nih.gov/dailymed/search.cfm?labeltype=all&amp;query=meropenem"/>
    <hyperlink ref="AB282" r:id="rId254" display="https://dailymed.nlm.nih.gov/dailymed/search.cfm?labeltype=all&amp;query=methohexital"/>
    <hyperlink ref="AB283" r:id="rId255" display="https://dailymed.nlm.nih.gov/dailymed/search.cfm?labeltype=all&amp;query=nafcillin"/>
    <hyperlink ref="AB284" r:id="rId256" display="https://dailymed.nlm.nih.gov/dailymed/search.cfm?labeltype=all&amp;query=alfentanil"/>
    <hyperlink ref="AB285" r:id="rId257" display="https://dailymed.nlm.nih.gov/dailymed/search.cfm?labeltype=all&amp;query=baclofen"/>
    <hyperlink ref="AB286" r:id="rId258" display="https://dailymed.nlm.nih.gov/dailymed/search.cfm?labeltype=all&amp;query=cisatracurium"/>
    <hyperlink ref="AB287" r:id="rId259" display="https://dailymed.nlm.nih.gov/dailymed/search.cfm?labeltype=all&amp;query=etomidate"/>
    <hyperlink ref="AB288" r:id="rId260" display="https://dailymed.nlm.nih.gov/dailymed/search.cfm?labeltype=all&amp;query=fentanyl+citrate+injection"/>
    <hyperlink ref="AB289" r:id="rId261" display="https://dailymed.nlm.nih.gov/dailymed/search.cfm?labeltype=all&amp;query=remifentanil"/>
    <hyperlink ref="AB290" r:id="rId262" display="https://dailymed.nlm.nih.gov/dailymed/search.cfm?labeltype=all&amp;query=sugammadex"/>
    <hyperlink ref="AB291" r:id="rId263" display="https://dailymed.nlm.nih.gov/dailymed/search.cfm?labeltype=all&amp;query=cefepime"/>
    <hyperlink ref="AB292" r:id="rId264" display="https://dailymed.nlm.nih.gov/dailymed/search.cfm?labeltype=all&amp;query=ceftazidime"/>
    <hyperlink ref="AB293" r:id="rId265" display="https://dailymed.nlm.nih.gov/dailymed/search.cfm?labeltype=all&amp;query=hydrocortisone+sodium+succinate"/>
    <hyperlink ref="AB294" r:id="rId266" display="https://dailymed.nlm.nih.gov/dailymed/search.cfm?labeltype=all&amp;query=meropenem"/>
    <hyperlink ref="AB295" r:id="rId267" display="https://dailymed.nlm.nih.gov/dailymed/search.cfm?labeltype=all&amp;query=piperacillin+and+tazobactam"/>
    <hyperlink ref="AB296" r:id="rId268" display="https://dailymed.nlm.nih.gov/dailymed/search.cfm?labeltype=all&amp;query=aripiprazole"/>
    <hyperlink ref="AB297" r:id="rId269" display="https://dailymed.nlm.nih.gov/dailymed/search.cfm?labeltype=all&amp;query=bortezomib"/>
    <hyperlink ref="AB298" r:id="rId270" display="https://dailymed.nlm.nih.gov/dailymed/search.cfm?labeltype=all&amp;query=chlorothiazide"/>
    <hyperlink ref="AB299" r:id="rId271" display="https://dailymed.nlm.nih.gov/dailymed/search.cfm?labeltype=all&amp;query=doxorubicin"/>
    <hyperlink ref="AB300" r:id="rId272" display="https://dailymed.nlm.nih.gov/dailymed/search.cfm?labeltype=all&amp;query=esomeprazole+sodium"/>
    <hyperlink ref="AB301" r:id="rId273" display="https://dailymed.nlm.nih.gov/dailymed/search.cfm?labeltype=all&amp;query=fulvestrant"/>
    <hyperlink ref="AB302" r:id="rId274" display="https://dailymed.nlm.nih.gov/dailymed/search.cfm?labeltype=all&amp;query=melphalan+hydrochloride"/>
    <hyperlink ref="AB303" r:id="rId275" display="https://dailymed.nlm.nih.gov/dailymed/search.cfm?labeltype=all&amp;query=meropenem"/>
    <hyperlink ref="AB304" r:id="rId276" display="https://dailymed.nlm.nih.gov/dailymed/search.cfm?labeltype=all&amp;query=octreotide"/>
    <hyperlink ref="AB305" r:id="rId277" display="https://dailymed.nlm.nih.gov/dailymed/search.cfm?labeltype=all&amp;query=pantoprazole+sodium+for+injection"/>
    <hyperlink ref="AB306" r:id="rId278" display="https://dailymed.nlm.nih.gov/dailymed/search.cfm?labeltype=all&amp;query=paricalcitol+injection"/>
    <hyperlink ref="AB307" r:id="rId279" display="https://dailymed.nlm.nih.gov/dailymed/search.cfm?labeltype=all&amp;query=sugammadex"/>
    <hyperlink ref="AB308" r:id="rId280" display="https://mhraproducts4853.blob.core.windows.net/docs/45a310f5c66d09f20d9d1eb3a5d48c17c486ac7b"/>
    <hyperlink ref="AB309" r:id="rId281" display="https://dailymed.nlm.nih.gov/dailymed/search.cfm?labeltype=all&amp;query=terlipressin"/>
    <hyperlink ref="AB310" r:id="rId282" display="https://dailymed.nlm.nih.gov/dailymed/search.cfm?labeltype=all&amp;query=testosterone+cypionate"/>
    <hyperlink ref="AB311" r:id="rId283" display="https://dailymed.nlm.nih.gov/dailymed/search.cfm?labeltype=all&amp;query=testosterone+undecanoate"/>
    <hyperlink ref="AB312" r:id="rId284" display="https://dailymed.nlm.nih.gov/dailymed/search.cfm?labeltype=all&amp;query=vecuronium"/>
    <hyperlink ref="AB313" r:id="rId285" display="https://dailymed.nlm.nih.gov/dailymed/search.cfm?labeltype=all&amp;query=fulvestrant"/>
    <hyperlink ref="AB314" r:id="rId286" display="https://dailymed.nlm.nih.gov/dailymed/search.cfm?labeltype=all&amp;query=granisetron"/>
    <hyperlink ref="AB315" r:id="rId287" display="https://dailymed.nlm.nih.gov/dailymed/search.cfm?labeltype=all&amp;query=levetiracetam+injection"/>
    <hyperlink ref="AB316" r:id="rId288" display="https://dailymed.nlm.nih.gov/dailymed/search.cfm?labeltype=all&amp;query=meropenem"/>
    <hyperlink ref="AB317" r:id="rId289" display="https://dailymed.nlm.nih.gov/dailymed/search.cfm?labeltype=all&amp;query=paliperidone+palmitate"/>
    <hyperlink ref="AB318" r:id="rId290" display="https://dailymed.nlm.nih.gov/dailymed/search.cfm?labeltype=all&amp;query=rocuronium"/>
    <hyperlink ref="AB319" r:id="rId291" display="https://dailymed.nlm.nih.gov/dailymed/search.cfm?labeltype=all&amp;query=voriconazole"/>
    <hyperlink ref="AB320" r:id="rId292" display="https://dailymed.nlm.nih.gov/dailymed/search.cfm?labeltype=all&amp;query=bleomycin"/>
    <hyperlink ref="AB321" r:id="rId293" display="https://dailymed.nlm.nih.gov/dailymed/search.cfm?labeltype=all&amp;query=ceftazidime"/>
    <hyperlink ref="AB322" r:id="rId294" display="https://dailymed.nlm.nih.gov/dailymed/search.cfm?labeltype=all&amp;query=ceftriaxone"/>
    <hyperlink ref="AB323" r:id="rId295" display="https://dailymed.nlm.nih.gov/dailymed/search.cfm?labeltype=all&amp;query=meropenem"/>
    <hyperlink ref="AB324" r:id="rId296" display="https://dailymed.nlm.nih.gov/dailymed/search.cfm?labeltype=all&amp;query=adenosine"/>
    <hyperlink ref="AB325" r:id="rId297" display="https://dailymed.nlm.nih.gov/dailymed/search.cfm?labeltype=all&amp;query=amikacin"/>
    <hyperlink ref="AB326" r:id="rId298" display="https://dailymed.nlm.nih.gov/dailymed/search.cfm?labeltype=all&amp;query=caffeine+citrate"/>
    <hyperlink ref="AB327" r:id="rId299" display="https://dailymed.nlm.nih.gov/dailymed/search.cfm?labeltype=all&amp;query=ceftazidime"/>
    <hyperlink ref="AB328" r:id="rId300" display="https://dailymed.nlm.nih.gov/dailymed/search.cfm?labeltype=all&amp;query=ceftriaxone"/>
    <hyperlink ref="AB329" r:id="rId301" display="https://mhraproducts4853.blob.core.windows.net/docs/468e5b0a68665f15d3d30982865bab14c0c28588"/>
    <hyperlink ref="AB330" r:id="rId302" display="https://dailymed.nlm.nih.gov/dailymed/search.cfm?labeltype=all&amp;query=daptomycin"/>
    <hyperlink ref="AB331" r:id="rId303" display="https://dailymed.nlm.nih.gov/dailymed/search.cfm?labeltype=all&amp;query=haloperidol+lactate"/>
    <hyperlink ref="AB332" r:id="rId304" display="https://mhraproducts4853.blob.core.windows.net/docs/04229266643a571563250bd73f7732fba1560cbb"/>
    <hyperlink ref="AB333" r:id="rId305" display="https://mhraproducts4853.blob.core.windows.net/docs/a59d41ba1edb90eeb695d447eeb35327147df3f6"/>
    <hyperlink ref="AB334" r:id="rId306" display="https://mhraproducts4853.blob.core.windows.net/docs/a53d61c3e391300f35f11ce363395170f019a5c5"/>
    <hyperlink ref="AB335" r:id="rId307" display="https://dailymed.nlm.nih.gov/dailymed/search.cfm?labeltype=all&amp;query=milrinone"/>
    <hyperlink ref="AB336" r:id="rId308" display="https://dailymed.nlm.nih.gov/dailymed/search.cfm?labeltype=all&amp;query=morphine+sulfate+injection"/>
    <hyperlink ref="AB337" r:id="rId309" display="https://dailymed.nlm.nih.gov/dailymed/search.cfm?labeltype=all&amp;query=ondansetron+injection"/>
    <hyperlink ref="AB338" r:id="rId310" display="https://dailymed.nlm.nih.gov/dailymed/search.cfm?labeltype=all&amp;query=oxacillin"/>
    <hyperlink ref="AB339" r:id="rId311" display="https://dailymed.nlm.nih.gov/dailymed/search.cfm?labeltype=all&amp;query=protamine"/>
    <hyperlink ref="AB340" r:id="rId312" display="https://dailymed.nlm.nih.gov/dailymed/search.cfm?labeltype=all&amp;query=remifentanil"/>
    <hyperlink ref="AB341" r:id="rId313" display="https://dailymed.nlm.nih.gov/dailymed/search.cfm?labeltype=all&amp;query=valproate+sodium+injection"/>
    <hyperlink ref="AB342" r:id="rId314" display="https://dailymed.nlm.nih.gov/dailymed/search.cfm?labeltype=all&amp;query=sugammadex"/>
    <hyperlink ref="AB343" r:id="rId315" display="https://dailymed.nlm.nih.gov/dailymed/search.cfm?labeltype=all&amp;query=vancomycin+injection"/>
    <hyperlink ref="AB344" r:id="rId316" display="https://dailymed.nlm.nih.gov/dailymed/search.cfm?labeltype=all&amp;query=acetazolamide"/>
    <hyperlink ref="AB345" r:id="rId317" display="https://dailymed.nlm.nih.gov/dailymed/search.cfm?labeltype=all&amp;query=bortezomib"/>
    <hyperlink ref="AB346" r:id="rId318" display="https://dailymed.nlm.nih.gov/dailymed/search.cfm?labeltype=all&amp;query=ceftriaxone"/>
    <hyperlink ref="AB347" r:id="rId319" display="https://dailymed.nlm.nih.gov/dailymed/search.cfm?labeltype=all&amp;query=chlorpromazine"/>
    <hyperlink ref="AB348" r:id="rId320" display="https://dailymed.nlm.nih.gov/dailymed/search.cfm?labeltype=all&amp;query=cisatracurium"/>
    <hyperlink ref="AB349" r:id="rId321" display="https://dailymed.nlm.nih.gov/dailymed/search.cfm?labeltype=all&amp;query=cyanocobalamin+injection"/>
    <hyperlink ref="AB350" r:id="rId322" display="https://dailymed.nlm.nih.gov/dailymed/search.cfm?labeltype=all&amp;query=ethacrynate+sodium"/>
    <hyperlink ref="AB351" r:id="rId323" display="https://dailymed.nlm.nih.gov/dailymed/search.cfm?labeltype=all&amp;query=etomidate"/>
    <hyperlink ref="AB352" r:id="rId324" display="https://dailymed.nlm.nih.gov/dailymed/search.cfm?labeltype=all&amp;query=fluorescein"/>
    <hyperlink ref="AB353" r:id="rId325" display="https://dailymed.nlm.nih.gov/dailymed/search.cfm?labeltype=all&amp;query=fulvestrant"/>
    <hyperlink ref="AB354" r:id="rId326" display="https://dailymed.nlm.nih.gov/dailymed/search.cfm?labeltype=all&amp;query=haloperidol+decanoate"/>
    <hyperlink ref="AB355" r:id="rId327" display="https://dailymed.nlm.nih.gov/dailymed/search.cfm?labeltype=all&amp;query=hydrocortisone+sodium+succinate"/>
    <hyperlink ref="AB356" r:id="rId328" display="https://dailymed.nlm.nih.gov/dailymed/search.cfm?labeltype=all&amp;query=indocyanine+green"/>
    <hyperlink ref="AB357" r:id="rId329" display="https://dailymed.nlm.nih.gov/dailymed/search.cfm?labeltype=all&amp;query=iron+sucrose"/>
    <hyperlink ref="AB358" r:id="rId330" display="https://dailymed.nlm.nih.gov/dailymed/search.cfm?labeltype=all&amp;query=ondansetron+injection"/>
    <hyperlink ref="AB359" r:id="rId331" display="https://dailymed.nlm.nih.gov/dailymed/search.cfm?labeltype=all&amp;query=succinylcholine"/>
    <hyperlink ref="AB360" r:id="rId332" display="https://dailymed.nlm.nih.gov/dailymed/search.cfm?labeltype=all&amp;query=sugammadex"/>
    <hyperlink ref="AB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10"/>
    <col collapsed="false" customWidth="true" hidden="false" outlineLevel="0" max="29" min="29" style="0" width="18"/>
    <col collapsed="false" customWidth="true" hidden="false" outlineLevel="0" max="30" min="30" style="0" width="12"/>
    <col collapsed="false" customWidth="true" hidden="false" outlineLevel="0" max="31" min="31" style="0" width="22"/>
  </cols>
  <sheetData>
    <row r="1" customFormat="false" ht="15" hidden="false" customHeight="false" outlineLevel="0" collapsed="false">
      <c r="K1" s="0" t="s">
        <v>1507</v>
      </c>
      <c r="L1" s="0" t="s">
        <v>1508</v>
      </c>
      <c r="N1" s="80" t="s">
        <v>1509</v>
      </c>
    </row>
    <row r="2" customFormat="false" ht="45" hidden="false" customHeight="true" outlineLevel="0" collapsed="false">
      <c r="B2" s="3" t="s">
        <v>1510</v>
      </c>
      <c r="C2" s="3" t="s">
        <v>1511</v>
      </c>
      <c r="D2" s="3" t="s">
        <v>1512</v>
      </c>
      <c r="E2" s="3" t="s">
        <v>1513</v>
      </c>
      <c r="F2" s="3" t="s">
        <v>1514</v>
      </c>
      <c r="G2" s="3" t="s">
        <v>1515</v>
      </c>
      <c r="H2" s="3" t="s">
        <v>1516</v>
      </c>
      <c r="I2" s="3" t="s">
        <v>1517</v>
      </c>
      <c r="J2" s="3" t="s">
        <v>1518</v>
      </c>
      <c r="K2" s="3" t="s">
        <v>1519</v>
      </c>
      <c r="L2" s="3" t="s">
        <v>1520</v>
      </c>
      <c r="M2" s="3" t="s">
        <v>1521</v>
      </c>
      <c r="N2" s="81" t="s">
        <v>1522</v>
      </c>
      <c r="O2" s="81" t="s">
        <v>1523</v>
      </c>
      <c r="P2" s="81" t="s">
        <v>256</v>
      </c>
      <c r="Q2" s="81" t="s">
        <v>1524</v>
      </c>
      <c r="R2" s="81" t="s">
        <v>1525</v>
      </c>
      <c r="S2" s="81" t="s">
        <v>59</v>
      </c>
      <c r="T2" s="81" t="s">
        <v>15</v>
      </c>
      <c r="U2" s="81" t="s">
        <v>16</v>
      </c>
      <c r="V2" s="81" t="s">
        <v>264</v>
      </c>
      <c r="W2" s="81" t="s">
        <v>1526</v>
      </c>
      <c r="X2" s="81" t="s">
        <v>11</v>
      </c>
      <c r="Y2" s="81" t="s">
        <v>261</v>
      </c>
      <c r="Z2" s="81" t="s">
        <v>1527</v>
      </c>
      <c r="AA2" s="81" t="s">
        <v>1528</v>
      </c>
      <c r="AB2" s="81" t="s">
        <v>1529</v>
      </c>
      <c r="AC2" s="81" t="s">
        <v>259</v>
      </c>
      <c r="AD2" s="81" t="s">
        <v>260</v>
      </c>
      <c r="AE2" s="81" t="s">
        <v>1530</v>
      </c>
    </row>
    <row r="3" customFormat="false" ht="28.35" hidden="false" customHeight="false" outlineLevel="0" collapsed="false">
      <c r="B3" s="16" t="n">
        <v>1</v>
      </c>
      <c r="C3" s="16" t="s">
        <v>278</v>
      </c>
      <c r="D3" s="16" t="s">
        <v>354</v>
      </c>
      <c r="E3" s="16" t="s">
        <v>287</v>
      </c>
      <c r="F3" s="16" t="s">
        <v>1531</v>
      </c>
      <c r="G3" s="17" t="s">
        <v>1532</v>
      </c>
      <c r="H3" s="16" t="s">
        <v>1533</v>
      </c>
      <c r="I3" s="18" t="n">
        <v>30.01</v>
      </c>
      <c r="J3" s="16" t="n">
        <v>1</v>
      </c>
      <c r="K3" s="16" t="n">
        <v>156</v>
      </c>
      <c r="L3" s="19" t="n">
        <v>3954.83</v>
      </c>
      <c r="M3" s="17" t="s">
        <v>280</v>
      </c>
      <c r="N3" s="18" t="n">
        <v>30.01</v>
      </c>
      <c r="O3" s="16" t="s">
        <v>1534</v>
      </c>
      <c r="P3" s="16" t="s">
        <v>1535</v>
      </c>
      <c r="Q3" s="17" t="s">
        <v>1536</v>
      </c>
      <c r="R3" s="78" t="s">
        <v>1537</v>
      </c>
      <c r="S3" s="77" t="n">
        <f aca="false">IFERROR(INDEX('Injectable Value'!$Z$28:$Z$178,MATCH($C3,'Injectable Value'!$A$28:$A$178,0)),"")</f>
        <v>0.916666666666667</v>
      </c>
      <c r="T3" s="19" t="n">
        <f aca="false">IFERROR(ROUND(INDEX('Injectable Value'!$AA$28:$AA$178,MATCH($C3,'Injectable Value'!$A$28:$A$178,0)),1),"")</f>
        <v>3625.3</v>
      </c>
      <c r="U3" s="17" t="s">
        <v>285</v>
      </c>
      <c r="V3" s="16" t="n">
        <v>3</v>
      </c>
      <c r="W3" s="16" t="s">
        <v>284</v>
      </c>
      <c r="X3" s="16" t="s">
        <v>281</v>
      </c>
      <c r="Y3" s="16" t="s">
        <v>283</v>
      </c>
      <c r="Z3" s="17" t="str">
        <f aca="false">IFERROR(INDEX(Scoring!$U:$U,MATCH($C3&amp;"|"&amp;$E3,Scoring!$AD:$AD,0)),"")</f>
        <v/>
      </c>
      <c r="AA3" s="16" t="str">
        <f aca="false">IFERROR(INDEX(Scoring!$E:$E,MATCH($C3&amp;"|"&amp;$E3,Scoring!$AD:$AD,0)),"")</f>
        <v>Priority 2</v>
      </c>
      <c r="AB3" s="19" t="n">
        <f aca="false">IFERROR(INDEX(Scoring!$M:$M,MATCH($C3&amp;"|"&amp;$E3,Scoring!$AD:$AD,0)),"")</f>
        <v>143</v>
      </c>
      <c r="AC3" s="16" t="str">
        <f aca="false">IFERROR(INDEX('Route of Administration'!$C$5:$C$155,MATCH($C3,'Route of Administration'!$A$5:$A$155,0)),"")</f>
        <v>IM</v>
      </c>
      <c r="AD3" s="15" t="str">
        <f aca="false">IFERROR(INDEX('Route of Administration'!$D$5:$D$155,MATCH($C3,'Route of Administration'!$A$5:$A$155,0)),"")</f>
        <v>Yes</v>
      </c>
      <c r="AE3" s="15" t="str">
        <f aca="false">IF($AD3="No","Not checked – drug is IV only",IFERROR(INDEX('Route of Administration'!$O$5:$O$170,MATCH($E3&amp;"|"&amp;$C3,'Route of Administration'!$S$5:$S$170,0)),"Not checked – price ≤ USD 5"))</f>
        <v>Pass</v>
      </c>
    </row>
    <row r="4" customFormat="false" ht="28.35" hidden="false" customHeight="false" outlineLevel="0" collapsed="false">
      <c r="B4" s="16" t="n">
        <v>2</v>
      </c>
      <c r="C4" s="16" t="s">
        <v>289</v>
      </c>
      <c r="D4" s="16" t="s">
        <v>289</v>
      </c>
      <c r="E4" s="16" t="s">
        <v>287</v>
      </c>
      <c r="F4" s="16" t="s">
        <v>1538</v>
      </c>
      <c r="G4" s="17" t="s">
        <v>1539</v>
      </c>
      <c r="H4" s="16" t="s">
        <v>1540</v>
      </c>
      <c r="I4" s="18"/>
      <c r="J4" s="16" t="n">
        <v>1</v>
      </c>
      <c r="K4" s="16" t="n">
        <v>180</v>
      </c>
      <c r="L4" s="19" t="n">
        <v>5403.25</v>
      </c>
      <c r="M4" s="17" t="s">
        <v>290</v>
      </c>
      <c r="N4" s="82" t="n">
        <v>10.14</v>
      </c>
      <c r="O4" s="64" t="s">
        <v>1541</v>
      </c>
      <c r="P4" s="16" t="s">
        <v>1535</v>
      </c>
      <c r="Q4" s="17" t="s">
        <v>1542</v>
      </c>
      <c r="R4" s="78" t="s">
        <v>1543</v>
      </c>
      <c r="S4" s="77" t="n">
        <f aca="false">IFERROR(INDEX('Injectable Value'!$Z$28:$Z$178,MATCH($C4,'Injectable Value'!$A$28:$A$178,0)),"")</f>
        <v>0.194998811159637</v>
      </c>
      <c r="T4" s="19" t="n">
        <f aca="false">IFERROR(ROUND(INDEX('Injectable Value'!$AA$28:$AA$178,MATCH($C4,'Injectable Value'!$A$28:$A$178,0)),1),"")</f>
        <v>1053.6</v>
      </c>
      <c r="U4" s="17" t="s">
        <v>284</v>
      </c>
      <c r="V4" s="16" t="n">
        <v>1</v>
      </c>
      <c r="W4" s="16" t="s">
        <v>284</v>
      </c>
      <c r="X4" s="16" t="s">
        <v>291</v>
      </c>
      <c r="Y4" s="16" t="s">
        <v>283</v>
      </c>
      <c r="Z4" s="17" t="str">
        <f aca="false">IFERROR(INDEX(Scoring!$U:$U,MATCH($C4&amp;"|"&amp;$E4,Scoring!$AD:$AD,0)),"")</f>
        <v>Prefilled only</v>
      </c>
      <c r="AA4" s="16" t="str">
        <f aca="false">IFERROR(INDEX(Scoring!$E:$E,MATCH($C4&amp;"|"&amp;$E4,Scoring!$AD:$AD,0)),"")</f>
        <v>Priority 3</v>
      </c>
      <c r="AB4" s="19" t="n">
        <f aca="false">IFERROR(INDEX(Scoring!$M:$M,MATCH($C4&amp;"|"&amp;$E4,Scoring!$AD:$AD,0)),"")</f>
        <v>35</v>
      </c>
      <c r="AC4" s="16" t="str">
        <f aca="false">IFERROR(INDEX('Route of Administration'!$C$5:$C$155,MATCH($C4,'Route of Administration'!$A$5:$A$155,0)),"")</f>
        <v>IV, IM</v>
      </c>
      <c r="AD4" s="15" t="str">
        <f aca="false">IFERROR(INDEX('Route of Administration'!$D$5:$D$155,MATCH($C4,'Route of Administration'!$A$5:$A$155,0)),"")</f>
        <v>Yes</v>
      </c>
      <c r="AE4" s="15" t="str">
        <f aca="false">IF($AD4="No","Not checked – drug is IV only",IFERROR(INDEX('Route of Administration'!$O$5:$O$170,MATCH($E4&amp;"|"&amp;$C4,'Route of Administration'!$S$5:$S$170,0)),"Not checked – price ≤ USD 5"))</f>
        <v>Pass</v>
      </c>
    </row>
    <row r="5" customFormat="false" ht="41.75" hidden="false" customHeight="false" outlineLevel="0" collapsed="false">
      <c r="B5" s="16" t="n">
        <v>3</v>
      </c>
      <c r="C5" s="16" t="s">
        <v>299</v>
      </c>
      <c r="D5" s="16" t="s">
        <v>300</v>
      </c>
      <c r="E5" s="16" t="s">
        <v>287</v>
      </c>
      <c r="F5" s="16" t="s">
        <v>1544</v>
      </c>
      <c r="G5" s="17" t="s">
        <v>1545</v>
      </c>
      <c r="H5" s="16" t="s">
        <v>1533</v>
      </c>
      <c r="I5" s="18" t="n">
        <v>15.1</v>
      </c>
      <c r="J5" s="16" t="n">
        <v>1</v>
      </c>
      <c r="K5" s="16" t="n">
        <v>1282</v>
      </c>
      <c r="L5" s="19" t="n">
        <v>16792.84</v>
      </c>
      <c r="M5" s="17" t="s">
        <v>301</v>
      </c>
      <c r="N5" s="18" t="n">
        <v>15.1</v>
      </c>
      <c r="O5" s="16" t="s">
        <v>1534</v>
      </c>
      <c r="P5" s="16" t="s">
        <v>1535</v>
      </c>
      <c r="Q5" s="17" t="s">
        <v>1536</v>
      </c>
      <c r="R5" s="78" t="s">
        <v>1546</v>
      </c>
      <c r="S5" s="77" t="n">
        <f aca="false">IFERROR(INDEX('Injectable Value'!$Z$28:$Z$178,MATCH($C5,'Injectable Value'!$A$28:$A$178,0)),"")</f>
        <v>0.776857437207773</v>
      </c>
      <c r="T5" s="19" t="n">
        <f aca="false">IFERROR(ROUND(INDEX('Injectable Value'!$AA$28:$AA$178,MATCH($C5,'Injectable Value'!$A$28:$A$178,0)),1),"")</f>
        <v>13045.6</v>
      </c>
      <c r="U5" s="17" t="s">
        <v>284</v>
      </c>
      <c r="V5" s="16" t="n">
        <v>1</v>
      </c>
      <c r="W5" s="16" t="s">
        <v>284</v>
      </c>
      <c r="X5" s="16" t="s">
        <v>281</v>
      </c>
      <c r="Y5" s="16" t="s">
        <v>1547</v>
      </c>
      <c r="Z5" s="17" t="str">
        <f aca="false">IFERROR(INDEX(Scoring!$U:$U,MATCH($C5&amp;"|"&amp;$E5,Scoring!$AD:$AD,0)),"")</f>
        <v>Cancer drug (cytotoxic) – less relevant</v>
      </c>
      <c r="AA5" s="16" t="str">
        <f aca="false">IFERROR(INDEX(Scoring!$E:$E,MATCH($C5&amp;"|"&amp;$E5,Scoring!$AD:$AD,0)),"")</f>
        <v>Priority 2</v>
      </c>
      <c r="AB5" s="19" t="n">
        <f aca="false">IFERROR(INDEX(Scoring!$M:$M,MATCH($C5&amp;"|"&amp;$E5,Scoring!$AD:$AD,0)),"")</f>
        <v>996</v>
      </c>
      <c r="AC5" s="16" t="str">
        <f aca="false">IFERROR(INDEX('Route of Administration'!$C$5:$C$155,MATCH($C5,'Route of Administration'!$A$5:$A$155,0)),"")</f>
        <v>IV, IM, SC</v>
      </c>
      <c r="AD5" s="15" t="str">
        <f aca="false">IFERROR(INDEX('Route of Administration'!$D$5:$D$155,MATCH($C5,'Route of Administration'!$A$5:$A$155,0)),"")</f>
        <v>Yes</v>
      </c>
      <c r="AE5" s="15" t="str">
        <f aca="false">IF($AD5="No","Not checked – drug is IV only",IFERROR(INDEX('Route of Administration'!$O$5:$O$170,MATCH($E5&amp;"|"&amp;$C5,'Route of Administration'!$S$5:$S$170,0)),"Not checked – price ≤ USD 5"))</f>
        <v>Pass</v>
      </c>
    </row>
    <row r="6" customFormat="false" ht="41.75" hidden="false" customHeight="false" outlineLevel="0" collapsed="false">
      <c r="B6" s="16" t="n">
        <v>4</v>
      </c>
      <c r="C6" s="16" t="s">
        <v>299</v>
      </c>
      <c r="D6" s="16" t="s">
        <v>300</v>
      </c>
      <c r="E6" s="16" t="s">
        <v>287</v>
      </c>
      <c r="F6" s="16" t="s">
        <v>1548</v>
      </c>
      <c r="G6" s="17" t="s">
        <v>1549</v>
      </c>
      <c r="H6" s="16" t="s">
        <v>1533</v>
      </c>
      <c r="I6" s="18" t="n">
        <v>5.61</v>
      </c>
      <c r="J6" s="16" t="n">
        <v>1</v>
      </c>
      <c r="K6" s="16" t="n">
        <v>1282</v>
      </c>
      <c r="L6" s="19" t="n">
        <v>16792.84</v>
      </c>
      <c r="M6" s="17" t="s">
        <v>301</v>
      </c>
      <c r="N6" s="18" t="n">
        <v>5.61</v>
      </c>
      <c r="O6" s="16" t="s">
        <v>1534</v>
      </c>
      <c r="P6" s="16" t="s">
        <v>1535</v>
      </c>
      <c r="Q6" s="17" t="s">
        <v>1536</v>
      </c>
      <c r="R6" s="78" t="s">
        <v>1546</v>
      </c>
      <c r="S6" s="77" t="n">
        <f aca="false">IFERROR(INDEX('Injectable Value'!$Z$28:$Z$178,MATCH($C6,'Injectable Value'!$A$28:$A$178,0)),"")</f>
        <v>0.776857437207773</v>
      </c>
      <c r="T6" s="19" t="n">
        <f aca="false">IFERROR(ROUND(INDEX('Injectable Value'!$AA$28:$AA$178,MATCH($C6,'Injectable Value'!$A$28:$A$178,0)),1),"")</f>
        <v>13045.6</v>
      </c>
      <c r="U6" s="17" t="s">
        <v>284</v>
      </c>
      <c r="V6" s="16" t="n">
        <v>1</v>
      </c>
      <c r="W6" s="16" t="s">
        <v>284</v>
      </c>
      <c r="X6" s="16" t="s">
        <v>281</v>
      </c>
      <c r="Y6" s="16" t="s">
        <v>283</v>
      </c>
      <c r="Z6" s="17" t="str">
        <f aca="false">IFERROR(INDEX(Scoring!$U:$U,MATCH($C6&amp;"|"&amp;$E6,Scoring!$AD:$AD,0)),"")</f>
        <v>Cancer drug (cytotoxic) – less relevant</v>
      </c>
      <c r="AA6" s="16" t="str">
        <f aca="false">IFERROR(INDEX(Scoring!$E:$E,MATCH($C6&amp;"|"&amp;$E6,Scoring!$AD:$AD,0)),"")</f>
        <v>Priority 2</v>
      </c>
      <c r="AB6" s="19" t="n">
        <f aca="false">IFERROR(INDEX(Scoring!$M:$M,MATCH($C6&amp;"|"&amp;$E6,Scoring!$AD:$AD,0)),"")</f>
        <v>996</v>
      </c>
      <c r="AC6" s="16" t="str">
        <f aca="false">IFERROR(INDEX('Route of Administration'!$C$5:$C$155,MATCH($C6,'Route of Administration'!$A$5:$A$155,0)),"")</f>
        <v>IV, IM, SC</v>
      </c>
      <c r="AD6" s="15" t="str">
        <f aca="false">IFERROR(INDEX('Route of Administration'!$D$5:$D$155,MATCH($C6,'Route of Administration'!$A$5:$A$155,0)),"")</f>
        <v>Yes</v>
      </c>
      <c r="AE6" s="15" t="str">
        <f aca="false">IF($AD6="No","Not checked – drug is IV only",IFERROR(INDEX('Route of Administration'!$O$5:$O$170,MATCH($E6&amp;"|"&amp;$C6,'Route of Administration'!$S$5:$S$170,0)),"Not checked – price ≤ USD 5"))</f>
        <v>Pass</v>
      </c>
    </row>
    <row r="7" customFormat="false" ht="28.35" hidden="false" customHeight="false" outlineLevel="0" collapsed="false">
      <c r="B7" s="16" t="n">
        <v>5</v>
      </c>
      <c r="C7" s="16" t="s">
        <v>304</v>
      </c>
      <c r="D7" s="16" t="s">
        <v>304</v>
      </c>
      <c r="E7" s="16" t="s">
        <v>287</v>
      </c>
      <c r="F7" s="16" t="s">
        <v>1550</v>
      </c>
      <c r="G7" s="17" t="s">
        <v>1551</v>
      </c>
      <c r="H7" s="16" t="s">
        <v>1540</v>
      </c>
      <c r="I7" s="18"/>
      <c r="J7" s="16" t="n">
        <v>1</v>
      </c>
      <c r="K7" s="16" t="n">
        <v>51</v>
      </c>
      <c r="L7" s="19" t="n">
        <v>5770.02</v>
      </c>
      <c r="M7" s="17" t="s">
        <v>305</v>
      </c>
      <c r="N7" s="82" t="n">
        <v>3.99</v>
      </c>
      <c r="O7" s="64" t="s">
        <v>1541</v>
      </c>
      <c r="P7" s="16" t="s">
        <v>1535</v>
      </c>
      <c r="Q7" s="17" t="s">
        <v>1542</v>
      </c>
      <c r="R7" s="78" t="s">
        <v>1543</v>
      </c>
      <c r="S7" s="77" t="n">
        <f aca="false">IFERROR(INDEX('Injectable Value'!$Z$28:$Z$178,MATCH($C7,'Injectable Value'!$A$28:$A$178,0)),"")</f>
        <v>0.468334010008564</v>
      </c>
      <c r="T7" s="19" t="n">
        <f aca="false">IFERROR(ROUND(INDEX('Injectable Value'!$AA$28:$AA$178,MATCH($C7,'Injectable Value'!$A$28:$A$178,0)),1),"")</f>
        <v>2702.3</v>
      </c>
      <c r="U7" s="17" t="s">
        <v>284</v>
      </c>
      <c r="V7" s="16" t="n">
        <v>1</v>
      </c>
      <c r="W7" s="16" t="s">
        <v>284</v>
      </c>
      <c r="X7" s="16" t="s">
        <v>291</v>
      </c>
      <c r="Y7" s="16" t="s">
        <v>283</v>
      </c>
      <c r="Z7" s="17" t="str">
        <f aca="false">IFERROR(INDEX(Scoring!$U:$U,MATCH($C7&amp;"|"&amp;$E7,Scoring!$AD:$AD,0)),"")</f>
        <v>Prefilled only</v>
      </c>
      <c r="AA7" s="16" t="str">
        <f aca="false">IFERROR(INDEX(Scoring!$E:$E,MATCH($C7&amp;"|"&amp;$E7,Scoring!$AD:$AD,0)),"")</f>
        <v>Excluded – price ≤ USD 5</v>
      </c>
      <c r="AB7" s="19" t="n">
        <f aca="false">IFERROR(INDEX(Scoring!$M:$M,MATCH($C7&amp;"|"&amp;$E7,Scoring!$AD:$AD,0)),"")</f>
        <v>24</v>
      </c>
      <c r="AC7" s="16" t="str">
        <f aca="false">IFERROR(INDEX('Route of Administration'!$C$5:$C$155,MATCH($C7,'Route of Administration'!$A$5:$A$155,0)),"")</f>
        <v>IV, IM, SC</v>
      </c>
      <c r="AD7" s="15" t="str">
        <f aca="false">IFERROR(INDEX('Route of Administration'!$D$5:$D$155,MATCH($C7,'Route of Administration'!$A$5:$A$155,0)),"")</f>
        <v>Yes</v>
      </c>
      <c r="AE7" s="15" t="str">
        <f aca="false">IF($AD7="No","Not checked – drug is IV only",IFERROR(INDEX('Route of Administration'!$O$5:$O$170,MATCH($E7&amp;"|"&amp;$C7,'Route of Administration'!$S$5:$S$170,0)),"Not checked – price ≤ USD 5"))</f>
        <v>Not checked – price ≤ USD 5</v>
      </c>
    </row>
    <row r="8" customFormat="false" ht="41.75" hidden="false" customHeight="false" outlineLevel="0" collapsed="false">
      <c r="B8" s="16" t="n">
        <v>6</v>
      </c>
      <c r="C8" s="16" t="s">
        <v>308</v>
      </c>
      <c r="D8" s="16" t="s">
        <v>308</v>
      </c>
      <c r="E8" s="16" t="s">
        <v>287</v>
      </c>
      <c r="F8" s="16" t="s">
        <v>1552</v>
      </c>
      <c r="G8" s="17" t="s">
        <v>1553</v>
      </c>
      <c r="H8" s="16" t="s">
        <v>1533</v>
      </c>
      <c r="I8" s="18"/>
      <c r="J8" s="16" t="n">
        <v>1</v>
      </c>
      <c r="K8" s="16" t="n">
        <v>735</v>
      </c>
      <c r="L8" s="19" t="n">
        <v>16205.48</v>
      </c>
      <c r="M8" s="17" t="s">
        <v>309</v>
      </c>
      <c r="N8" s="82" t="n">
        <v>3.15</v>
      </c>
      <c r="O8" s="64" t="s">
        <v>1541</v>
      </c>
      <c r="P8" s="16" t="s">
        <v>1535</v>
      </c>
      <c r="Q8" s="17" t="s">
        <v>1542</v>
      </c>
      <c r="R8" s="78" t="s">
        <v>1543</v>
      </c>
      <c r="S8" s="77" t="n">
        <f aca="false">IFERROR(INDEX('Injectable Value'!$Z$28:$Z$178,MATCH($C8,'Injectable Value'!$A$28:$A$178,0)),"")</f>
        <v>0.262678151411075</v>
      </c>
      <c r="T8" s="19" t="n">
        <f aca="false">IFERROR(ROUND(INDEX('Injectable Value'!$AA$28:$AA$178,MATCH($C8,'Injectable Value'!$A$28:$A$178,0)),1),"")</f>
        <v>4256.8</v>
      </c>
      <c r="U8" s="17" t="s">
        <v>284</v>
      </c>
      <c r="V8" s="16" t="n">
        <v>1</v>
      </c>
      <c r="W8" s="16" t="s">
        <v>284</v>
      </c>
      <c r="X8" s="16" t="s">
        <v>310</v>
      </c>
      <c r="Y8" s="16" t="s">
        <v>310</v>
      </c>
      <c r="Z8" s="17" t="str">
        <f aca="false">IFERROR(INDEX(Scoring!$U:$U,MATCH($C8&amp;"|"&amp;$E8,Scoring!$AD:$AD,0)),"")</f>
        <v/>
      </c>
      <c r="AA8" s="16" t="str">
        <f aca="false">IFERROR(INDEX(Scoring!$E:$E,MATCH($C8&amp;"|"&amp;$E8,Scoring!$AD:$AD,0)),"")</f>
        <v>Excluded – price ≤ USD 5</v>
      </c>
      <c r="AB8" s="19" t="n">
        <f aca="false">IFERROR(INDEX(Scoring!$M:$M,MATCH($C8&amp;"|"&amp;$E8,Scoring!$AD:$AD,0)),"")</f>
        <v>193</v>
      </c>
      <c r="AC8" s="16" t="str">
        <f aca="false">IFERROR(INDEX('Route of Administration'!$C$5:$C$155,MATCH($C8,'Route of Administration'!$A$5:$A$155,0)),"")</f>
        <v>IM</v>
      </c>
      <c r="AD8" s="15" t="str">
        <f aca="false">IFERROR(INDEX('Route of Administration'!$D$5:$D$155,MATCH($C8,'Route of Administration'!$A$5:$A$155,0)),"")</f>
        <v>Yes</v>
      </c>
      <c r="AE8" s="15" t="str">
        <f aca="false">IF($AD8="No","Not checked – drug is IV only",IFERROR(INDEX('Route of Administration'!$O$5:$O$170,MATCH($E8&amp;"|"&amp;$C8,'Route of Administration'!$S$5:$S$170,0)),"Not checked – price ≤ USD 5"))</f>
        <v>Not checked – price ≤ USD 5</v>
      </c>
    </row>
    <row r="9" customFormat="false" ht="28.35" hidden="false" customHeight="false" outlineLevel="0" collapsed="false">
      <c r="B9" s="16" t="n">
        <v>7</v>
      </c>
      <c r="C9" s="16" t="s">
        <v>295</v>
      </c>
      <c r="D9" s="16" t="s">
        <v>295</v>
      </c>
      <c r="E9" s="16" t="s">
        <v>287</v>
      </c>
      <c r="F9" s="16" t="s">
        <v>1554</v>
      </c>
      <c r="G9" s="17" t="s">
        <v>1555</v>
      </c>
      <c r="H9" s="16" t="s">
        <v>1556</v>
      </c>
      <c r="I9" s="18" t="n">
        <v>29.97</v>
      </c>
      <c r="J9" s="16" t="n">
        <v>1</v>
      </c>
      <c r="K9" s="16" t="n">
        <v>146</v>
      </c>
      <c r="L9" s="19" t="n">
        <v>11366.06</v>
      </c>
      <c r="M9" s="17" t="s">
        <v>296</v>
      </c>
      <c r="N9" s="18" t="n">
        <v>29.97</v>
      </c>
      <c r="O9" s="16" t="s">
        <v>1534</v>
      </c>
      <c r="P9" s="16" t="s">
        <v>1535</v>
      </c>
      <c r="Q9" s="17" t="s">
        <v>1536</v>
      </c>
      <c r="R9" s="78" t="s">
        <v>1557</v>
      </c>
      <c r="S9" s="77" t="n">
        <f aca="false">IFERROR(INDEX('Injectable Value'!$Z$28:$Z$178,MATCH($C9,'Injectable Value'!$A$28:$A$178,0)),"")</f>
        <v>1</v>
      </c>
      <c r="T9" s="19" t="n">
        <f aca="false">IFERROR(ROUND(INDEX('Injectable Value'!$AA$28:$AA$178,MATCH($C9,'Injectable Value'!$A$28:$A$178,0)),1),"")</f>
        <v>11366.1</v>
      </c>
      <c r="U9" s="17" t="s">
        <v>284</v>
      </c>
      <c r="V9" s="16" t="n">
        <v>1</v>
      </c>
      <c r="W9" s="16" t="s">
        <v>284</v>
      </c>
      <c r="X9" s="16" t="s">
        <v>291</v>
      </c>
      <c r="Y9" s="16" t="s">
        <v>283</v>
      </c>
      <c r="Z9" s="17" t="str">
        <f aca="false">IFERROR(INDEX(Scoring!$U:$U,MATCH($C9&amp;"|"&amp;$E9,Scoring!$AD:$AD,0)),"")</f>
        <v>Prefilled only</v>
      </c>
      <c r="AA9" s="16" t="str">
        <f aca="false">IFERROR(INDEX(Scoring!$E:$E,MATCH($C9&amp;"|"&amp;$E9,Scoring!$AD:$AD,0)),"")</f>
        <v>Priority 1</v>
      </c>
      <c r="AB9" s="19" t="n">
        <f aca="false">IFERROR(INDEX(Scoring!$M:$M,MATCH($C9&amp;"|"&amp;$E9,Scoring!$AD:$AD,0)),"")</f>
        <v>146</v>
      </c>
      <c r="AC9" s="16" t="str">
        <f aca="false">IFERROR(INDEX('Route of Administration'!$C$5:$C$155,MATCH($C9,'Route of Administration'!$A$5:$A$155,0)),"")</f>
        <v>IM</v>
      </c>
      <c r="AD9" s="15" t="str">
        <f aca="false">IFERROR(INDEX('Route of Administration'!$D$5:$D$155,MATCH($C9,'Route of Administration'!$A$5:$A$155,0)),"")</f>
        <v>Yes</v>
      </c>
      <c r="AE9" s="15" t="str">
        <f aca="false">IF($AD9="No","Not checked – drug is IV only",IFERROR(INDEX('Route of Administration'!$O$5:$O$170,MATCH($E9&amp;"|"&amp;$C9,'Route of Administration'!$S$5:$S$170,0)),"Not checked – price ≤ USD 5"))</f>
        <v>Pass</v>
      </c>
    </row>
    <row r="10" customFormat="false" ht="28.35" hidden="false" customHeight="false" outlineLevel="0" collapsed="false">
      <c r="B10" s="16" t="n">
        <v>8</v>
      </c>
      <c r="C10" s="16" t="s">
        <v>278</v>
      </c>
      <c r="D10" s="16" t="s">
        <v>1558</v>
      </c>
      <c r="E10" s="16" t="s">
        <v>287</v>
      </c>
      <c r="F10" s="16" t="s">
        <v>1559</v>
      </c>
      <c r="G10" s="17" t="s">
        <v>1560</v>
      </c>
      <c r="H10" s="16" t="s">
        <v>1533</v>
      </c>
      <c r="I10" s="18" t="n">
        <v>74.8286</v>
      </c>
      <c r="J10" s="16" t="n">
        <v>8</v>
      </c>
      <c r="K10" s="16" t="n">
        <v>156</v>
      </c>
      <c r="L10" s="19" t="n">
        <v>3954.83</v>
      </c>
      <c r="M10" s="17" t="s">
        <v>280</v>
      </c>
      <c r="N10" s="18" t="n">
        <v>74.8286</v>
      </c>
      <c r="O10" s="16" t="s">
        <v>1534</v>
      </c>
      <c r="P10" s="16" t="s">
        <v>1561</v>
      </c>
      <c r="Q10" s="17" t="s">
        <v>1536</v>
      </c>
      <c r="R10" s="78" t="s">
        <v>1562</v>
      </c>
      <c r="S10" s="77" t="n">
        <f aca="false">IFERROR(INDEX('Injectable Value'!$Z$28:$Z$178,MATCH($C10,'Injectable Value'!$A$28:$A$178,0)),"")</f>
        <v>0.916666666666667</v>
      </c>
      <c r="T10" s="19" t="n">
        <f aca="false">IFERROR(ROUND(INDEX('Injectable Value'!$AA$28:$AA$178,MATCH($C10,'Injectable Value'!$A$28:$A$178,0)),1),"")</f>
        <v>3625.3</v>
      </c>
      <c r="U10" s="17" t="s">
        <v>285</v>
      </c>
      <c r="V10" s="16" t="n">
        <v>3</v>
      </c>
      <c r="W10" s="16" t="s">
        <v>284</v>
      </c>
      <c r="X10" s="16" t="s">
        <v>281</v>
      </c>
      <c r="Y10" s="16" t="s">
        <v>283</v>
      </c>
      <c r="Z10" s="17" t="str">
        <f aca="false">IFERROR(INDEX(Scoring!$U:$U,MATCH($C10&amp;"|"&amp;$E10,Scoring!$AD:$AD,0)),"")</f>
        <v/>
      </c>
      <c r="AA10" s="16" t="str">
        <f aca="false">IFERROR(INDEX(Scoring!$E:$E,MATCH($C10&amp;"|"&amp;$E10,Scoring!$AD:$AD,0)),"")</f>
        <v>Priority 2</v>
      </c>
      <c r="AB10" s="19" t="n">
        <f aca="false">IFERROR(INDEX(Scoring!$M:$M,MATCH($C10&amp;"|"&amp;$E10,Scoring!$AD:$AD,0)),"")</f>
        <v>143</v>
      </c>
      <c r="AC10" s="16" t="str">
        <f aca="false">IFERROR(INDEX('Route of Administration'!$C$5:$C$155,MATCH($C10,'Route of Administration'!$A$5:$A$155,0)),"")</f>
        <v>IM</v>
      </c>
      <c r="AD10" s="15" t="str">
        <f aca="false">IFERROR(INDEX('Route of Administration'!$D$5:$D$155,MATCH($C10,'Route of Administration'!$A$5:$A$155,0)),"")</f>
        <v>Yes</v>
      </c>
      <c r="AE10" s="15" t="str">
        <f aca="false">IF($AD10="No","Not checked – drug is IV only",IFERROR(INDEX('Route of Administration'!$O$5:$O$170,MATCH($E10&amp;"|"&amp;$C10,'Route of Administration'!$S$5:$S$170,0)),"Not checked – price ≤ USD 5"))</f>
        <v>Pass</v>
      </c>
    </row>
    <row r="11" customFormat="false" ht="28.35" hidden="false" customHeight="false" outlineLevel="0" collapsed="false">
      <c r="B11" s="16" t="n">
        <v>9</v>
      </c>
      <c r="C11" s="16" t="s">
        <v>278</v>
      </c>
      <c r="D11" s="16" t="s">
        <v>354</v>
      </c>
      <c r="E11" s="16" t="s">
        <v>322</v>
      </c>
      <c r="F11" s="16" t="s">
        <v>1531</v>
      </c>
      <c r="G11" s="17" t="s">
        <v>1532</v>
      </c>
      <c r="H11" s="16" t="s">
        <v>1533</v>
      </c>
      <c r="I11" s="18" t="n">
        <v>30.01</v>
      </c>
      <c r="J11" s="16" t="n">
        <v>1</v>
      </c>
      <c r="K11" s="16" t="n">
        <v>156</v>
      </c>
      <c r="L11" s="19" t="n">
        <v>3954.83</v>
      </c>
      <c r="M11" s="17" t="s">
        <v>280</v>
      </c>
      <c r="N11" s="18" t="n">
        <v>30.01</v>
      </c>
      <c r="O11" s="16" t="s">
        <v>1534</v>
      </c>
      <c r="P11" s="16" t="s">
        <v>1535</v>
      </c>
      <c r="Q11" s="17" t="s">
        <v>1536</v>
      </c>
      <c r="R11" s="78" t="s">
        <v>1537</v>
      </c>
      <c r="S11" s="77" t="n">
        <f aca="false">IFERROR(INDEX('Injectable Value'!$Z$28:$Z$178,MATCH($C11,'Injectable Value'!$A$28:$A$178,0)),"")</f>
        <v>0.916666666666667</v>
      </c>
      <c r="T11" s="19" t="n">
        <f aca="false">IFERROR(ROUND(INDEX('Injectable Value'!$AA$28:$AA$178,MATCH($C11,'Injectable Value'!$A$28:$A$178,0)),1),"")</f>
        <v>3625.3</v>
      </c>
      <c r="U11" s="17" t="s">
        <v>284</v>
      </c>
      <c r="V11" s="16" t="n">
        <v>1</v>
      </c>
      <c r="W11" s="16" t="s">
        <v>284</v>
      </c>
      <c r="X11" s="16" t="s">
        <v>281</v>
      </c>
      <c r="Y11" s="16" t="s">
        <v>283</v>
      </c>
      <c r="Z11" s="17" t="str">
        <f aca="false">IFERROR(INDEX(Scoring!$U:$U,MATCH($C11&amp;"|"&amp;$E11,Scoring!$AD:$AD,0)),"")</f>
        <v/>
      </c>
      <c r="AA11" s="16" t="str">
        <f aca="false">IFERROR(INDEX(Scoring!$E:$E,MATCH($C11&amp;"|"&amp;$E11,Scoring!$AD:$AD,0)),"")</f>
        <v>Priority 2</v>
      </c>
      <c r="AB11" s="19" t="n">
        <f aca="false">IFERROR(INDEX(Scoring!$M:$M,MATCH($C11&amp;"|"&amp;$E11,Scoring!$AD:$AD,0)),"")</f>
        <v>143</v>
      </c>
      <c r="AC11" s="16" t="str">
        <f aca="false">IFERROR(INDEX('Route of Administration'!$C$5:$C$155,MATCH($C11,'Route of Administration'!$A$5:$A$155,0)),"")</f>
        <v>IM</v>
      </c>
      <c r="AD11" s="15" t="str">
        <f aca="false">IFERROR(INDEX('Route of Administration'!$D$5:$D$155,MATCH($C11,'Route of Administration'!$A$5:$A$155,0)),"")</f>
        <v>Yes</v>
      </c>
      <c r="AE11" s="15" t="str">
        <f aca="false">IF($AD11="No","Not checked – drug is IV only",IFERROR(INDEX('Route of Administration'!$O$5:$O$170,MATCH($E11&amp;"|"&amp;$C11,'Route of Administration'!$S$5:$S$170,0)),"Not checked – price ≤ USD 5"))</f>
        <v>Pass</v>
      </c>
    </row>
    <row r="12" customFormat="false" ht="28.35" hidden="false" customHeight="false" outlineLevel="0" collapsed="false">
      <c r="B12" s="16" t="n">
        <v>10</v>
      </c>
      <c r="C12" s="16" t="s">
        <v>375</v>
      </c>
      <c r="D12" s="16" t="s">
        <v>376</v>
      </c>
      <c r="E12" s="16" t="s">
        <v>322</v>
      </c>
      <c r="F12" s="16" t="s">
        <v>1563</v>
      </c>
      <c r="G12" s="17" t="s">
        <v>1564</v>
      </c>
      <c r="H12" s="16" t="s">
        <v>1533</v>
      </c>
      <c r="I12" s="18" t="n">
        <v>14.96</v>
      </c>
      <c r="J12" s="16" t="n">
        <v>1</v>
      </c>
      <c r="K12" s="16" t="n">
        <v>472</v>
      </c>
      <c r="L12" s="19" t="n">
        <v>7831.08</v>
      </c>
      <c r="M12" s="17" t="s">
        <v>377</v>
      </c>
      <c r="N12" s="18" t="n">
        <v>14.96</v>
      </c>
      <c r="O12" s="16" t="s">
        <v>1534</v>
      </c>
      <c r="P12" s="16" t="s">
        <v>1535</v>
      </c>
      <c r="Q12" s="17" t="s">
        <v>1536</v>
      </c>
      <c r="R12" s="78" t="s">
        <v>1565</v>
      </c>
      <c r="S12" s="77" t="n">
        <f aca="false">IFERROR(INDEX('Injectable Value'!$Z$28:$Z$178,MATCH($C12,'Injectable Value'!$A$28:$A$178,0)),"")</f>
        <v>0.1734375</v>
      </c>
      <c r="T12" s="19" t="n">
        <f aca="false">IFERROR(ROUND(INDEX('Injectable Value'!$AA$28:$AA$178,MATCH($C12,'Injectable Value'!$A$28:$A$178,0)),1),"")</f>
        <v>1358.2</v>
      </c>
      <c r="U12" s="17" t="s">
        <v>284</v>
      </c>
      <c r="V12" s="16" t="n">
        <v>1</v>
      </c>
      <c r="W12" s="16" t="s">
        <v>284</v>
      </c>
      <c r="X12" s="16" t="s">
        <v>349</v>
      </c>
      <c r="Y12" s="16" t="s">
        <v>283</v>
      </c>
      <c r="Z12" s="17" t="str">
        <f aca="false">IFERROR(INDEX(Scoring!$U:$U,MATCH($C12&amp;"|"&amp;$E12,Scoring!$AD:$AD,0)),"")</f>
        <v/>
      </c>
      <c r="AA12" s="16" t="str">
        <f aca="false">IFERROR(INDEX(Scoring!$E:$E,MATCH($C12&amp;"|"&amp;$E12,Scoring!$AD:$AD,0)),"")</f>
        <v>Priority 3</v>
      </c>
      <c r="AB12" s="19" t="n">
        <f aca="false">IFERROR(INDEX(Scoring!$M:$M,MATCH($C12&amp;"|"&amp;$E12,Scoring!$AD:$AD,0)),"")</f>
        <v>82</v>
      </c>
      <c r="AC12" s="16" t="str">
        <f aca="false">IFERROR(INDEX('Route of Administration'!$C$5:$C$155,MATCH($C12,'Route of Administration'!$A$5:$A$155,0)),"")</f>
        <v>IM</v>
      </c>
      <c r="AD12" s="15" t="str">
        <f aca="false">IFERROR(INDEX('Route of Administration'!$D$5:$D$155,MATCH($C12,'Route of Administration'!$A$5:$A$155,0)),"")</f>
        <v>Yes</v>
      </c>
      <c r="AE12" s="15" t="str">
        <f aca="false">IF($AD12="No","Not checked – drug is IV only",IFERROR(INDEX('Route of Administration'!$O$5:$O$170,MATCH($E12&amp;"|"&amp;$C12,'Route of Administration'!$S$5:$S$170,0)),"Not checked – price ≤ USD 5"))</f>
        <v>Pass</v>
      </c>
    </row>
    <row r="13" customFormat="false" ht="28.35" hidden="false" customHeight="false" outlineLevel="0" collapsed="false">
      <c r="B13" s="16" t="n">
        <v>11</v>
      </c>
      <c r="C13" s="16" t="s">
        <v>384</v>
      </c>
      <c r="D13" s="16" t="s">
        <v>384</v>
      </c>
      <c r="E13" s="16" t="s">
        <v>322</v>
      </c>
      <c r="F13" s="16" t="s">
        <v>1566</v>
      </c>
      <c r="G13" s="17" t="s">
        <v>1567</v>
      </c>
      <c r="H13" s="16" t="s">
        <v>1533</v>
      </c>
      <c r="I13" s="18" t="n">
        <v>427.8</v>
      </c>
      <c r="J13" s="16" t="n">
        <v>1</v>
      </c>
      <c r="K13" s="16" t="n">
        <v>411</v>
      </c>
      <c r="L13" s="19" t="n">
        <v>2151.51</v>
      </c>
      <c r="M13" s="17" t="s">
        <v>385</v>
      </c>
      <c r="N13" s="18" t="n">
        <v>427.8</v>
      </c>
      <c r="O13" s="16" t="s">
        <v>1534</v>
      </c>
      <c r="P13" s="16" t="s">
        <v>1535</v>
      </c>
      <c r="Q13" s="17" t="s">
        <v>1536</v>
      </c>
      <c r="R13" s="78" t="s">
        <v>1568</v>
      </c>
      <c r="S13" s="77" t="n">
        <f aca="false">IFERROR(INDEX('Injectable Value'!$Z$28:$Z$178,MATCH($C13,'Injectable Value'!$A$28:$A$178,0)),"")</f>
        <v>1</v>
      </c>
      <c r="T13" s="19" t="n">
        <f aca="false">IFERROR(ROUND(INDEX('Injectable Value'!$AA$28:$AA$178,MATCH($C13,'Injectable Value'!$A$28:$A$178,0)),1),"")</f>
        <v>2151.5</v>
      </c>
      <c r="U13" s="17" t="s">
        <v>284</v>
      </c>
      <c r="V13" s="16" t="n">
        <v>1</v>
      </c>
      <c r="W13" s="16" t="s">
        <v>284</v>
      </c>
      <c r="X13" s="16" t="s">
        <v>281</v>
      </c>
      <c r="Y13" s="16" t="s">
        <v>333</v>
      </c>
      <c r="Z13" s="17" t="str">
        <f aca="false">IFERROR(INDEX(Scoring!$U:$U,MATCH($C13&amp;"|"&amp;$E13,Scoring!$AD:$AD,0)),"")</f>
        <v>Cancer drug (cytotoxic) – less relevant; Reconstitution</v>
      </c>
      <c r="AA13" s="16" t="str">
        <f aca="false">IFERROR(INDEX(Scoring!$E:$E,MATCH($C13&amp;"|"&amp;$E13,Scoring!$AD:$AD,0)),"")</f>
        <v>Excluded – IV only</v>
      </c>
      <c r="AB13" s="19" t="n">
        <f aca="false">IFERROR(INDEX(Scoring!$M:$M,MATCH($C13&amp;"|"&amp;$E13,Scoring!$AD:$AD,0)),"")</f>
        <v>411</v>
      </c>
      <c r="AC13" s="16" t="str">
        <f aca="false">IFERROR(INDEX('Route of Administration'!$C$5:$C$155,MATCH($C13,'Route of Administration'!$A$5:$A$155,0)),"")</f>
        <v>IV</v>
      </c>
      <c r="AD13" s="15" t="str">
        <f aca="false">IFERROR(INDEX('Route of Administration'!$D$5:$D$155,MATCH($C13,'Route of Administration'!$A$5:$A$155,0)),"")</f>
        <v>No</v>
      </c>
      <c r="AE13" s="15" t="str">
        <f aca="false">IF($AD13="No","Not checked – drug is IV only",IFERROR(INDEX('Route of Administration'!$O$5:$O$170,MATCH($E13&amp;"|"&amp;$C13,'Route of Administration'!$S$5:$S$170,0)),"Not checked – price ≤ USD 5"))</f>
        <v>Not checked – drug is IV only</v>
      </c>
    </row>
    <row r="14" customFormat="false" ht="28.35" hidden="false" customHeight="false" outlineLevel="0" collapsed="false">
      <c r="B14" s="16" t="n">
        <v>12</v>
      </c>
      <c r="C14" s="16" t="s">
        <v>415</v>
      </c>
      <c r="D14" s="16" t="s">
        <v>415</v>
      </c>
      <c r="E14" s="16" t="s">
        <v>322</v>
      </c>
      <c r="F14" s="16" t="s">
        <v>1569</v>
      </c>
      <c r="G14" s="17" t="s">
        <v>1570</v>
      </c>
      <c r="H14" s="16" t="s">
        <v>1533</v>
      </c>
      <c r="I14" s="18" t="n">
        <v>343.8</v>
      </c>
      <c r="J14" s="16" t="n">
        <v>1</v>
      </c>
      <c r="K14" s="16" t="n">
        <v>149</v>
      </c>
      <c r="L14" s="19" t="n">
        <v>5255.61</v>
      </c>
      <c r="M14" s="17" t="s">
        <v>416</v>
      </c>
      <c r="N14" s="18" t="n">
        <v>343.8</v>
      </c>
      <c r="O14" s="16" t="s">
        <v>1534</v>
      </c>
      <c r="P14" s="16" t="s">
        <v>1535</v>
      </c>
      <c r="Q14" s="17" t="s">
        <v>1536</v>
      </c>
      <c r="R14" s="78" t="s">
        <v>1571</v>
      </c>
      <c r="S14" s="77" t="n">
        <f aca="false">IFERROR(INDEX('Injectable Value'!$Z$28:$Z$178,MATCH($C14,'Injectable Value'!$A$28:$A$178,0)),"")</f>
        <v>0.985294117647059</v>
      </c>
      <c r="T14" s="19" t="n">
        <f aca="false">IFERROR(ROUND(INDEX('Injectable Value'!$AA$28:$AA$178,MATCH($C14,'Injectable Value'!$A$28:$A$178,0)),1),"")</f>
        <v>5178.3</v>
      </c>
      <c r="U14" s="17" t="s">
        <v>284</v>
      </c>
      <c r="V14" s="16" t="n">
        <v>1</v>
      </c>
      <c r="W14" s="16" t="s">
        <v>284</v>
      </c>
      <c r="X14" s="16" t="s">
        <v>281</v>
      </c>
      <c r="Y14" s="16" t="s">
        <v>283</v>
      </c>
      <c r="Z14" s="17" t="str">
        <f aca="false">IFERROR(INDEX(Scoring!$U:$U,MATCH($C14&amp;"|"&amp;$E14,Scoring!$AD:$AD,0)),"")</f>
        <v/>
      </c>
      <c r="AA14" s="16" t="str">
        <f aca="false">IFERROR(INDEX(Scoring!$E:$E,MATCH($C14&amp;"|"&amp;$E14,Scoring!$AD:$AD,0)),"")</f>
        <v>Excluded – IV only</v>
      </c>
      <c r="AB14" s="19" t="n">
        <f aca="false">IFERROR(INDEX(Scoring!$M:$M,MATCH($C14&amp;"|"&amp;$E14,Scoring!$AD:$AD,0)),"")</f>
        <v>147</v>
      </c>
      <c r="AC14" s="16" t="str">
        <f aca="false">IFERROR(INDEX('Route of Administration'!$C$5:$C$155,MATCH($C14,'Route of Administration'!$A$5:$A$155,0)),"")</f>
        <v>IV</v>
      </c>
      <c r="AD14" s="15" t="str">
        <f aca="false">IFERROR(INDEX('Route of Administration'!$D$5:$D$155,MATCH($C14,'Route of Administration'!$A$5:$A$155,0)),"")</f>
        <v>No</v>
      </c>
      <c r="AE14" s="15" t="str">
        <f aca="false">IF($AD14="No","Not checked – drug is IV only",IFERROR(INDEX('Route of Administration'!$O$5:$O$170,MATCH($E14&amp;"|"&amp;$C14,'Route of Administration'!$S$5:$S$170,0)),"Not checked – price ≤ USD 5"))</f>
        <v>Not checked – drug is IV only</v>
      </c>
    </row>
    <row r="15" customFormat="false" ht="28.35" hidden="false" customHeight="false" outlineLevel="0" collapsed="false">
      <c r="B15" s="16" t="n">
        <v>13</v>
      </c>
      <c r="C15" s="16" t="s">
        <v>426</v>
      </c>
      <c r="D15" s="16" t="s">
        <v>427</v>
      </c>
      <c r="E15" s="16" t="s">
        <v>322</v>
      </c>
      <c r="F15" s="16" t="s">
        <v>1572</v>
      </c>
      <c r="G15" s="17"/>
      <c r="H15" s="16"/>
      <c r="I15" s="18"/>
      <c r="J15" s="16" t="n">
        <v>1</v>
      </c>
      <c r="K15" s="16" t="n">
        <v>126</v>
      </c>
      <c r="L15" s="19" t="n">
        <v>5896.49</v>
      </c>
      <c r="M15" s="17" t="s">
        <v>428</v>
      </c>
      <c r="N15" s="18"/>
      <c r="O15" s="16" t="s">
        <v>1573</v>
      </c>
      <c r="P15" s="16" t="s">
        <v>112</v>
      </c>
      <c r="Q15" s="17" t="s">
        <v>112</v>
      </c>
      <c r="R15" s="16"/>
      <c r="S15" s="77" t="n">
        <f aca="false">IFERROR(INDEX('Injectable Value'!$Z$28:$Z$178,MATCH($C15,'Injectable Value'!$A$28:$A$178,0)),"")</f>
        <v>1</v>
      </c>
      <c r="T15" s="19" t="n">
        <f aca="false">IFERROR(ROUND(INDEX('Injectable Value'!$AA$28:$AA$178,MATCH($C15,'Injectable Value'!$A$28:$A$178,0)),1),"")</f>
        <v>5896.5</v>
      </c>
      <c r="U15" s="17" t="s">
        <v>431</v>
      </c>
      <c r="V15" s="16" t="n">
        <v>2</v>
      </c>
      <c r="W15" s="16" t="s">
        <v>284</v>
      </c>
      <c r="X15" s="16" t="s">
        <v>310</v>
      </c>
      <c r="Y15" s="16" t="s">
        <v>1547</v>
      </c>
      <c r="Z15" s="17" t="str">
        <f aca="false">IFERROR(INDEX(Scoring!$U:$U,MATCH($C15&amp;"|"&amp;$E15,Scoring!$AD:$AD,0)),"")</f>
        <v/>
      </c>
      <c r="AA15" s="16" t="str">
        <f aca="false">IFERROR(INDEX(Scoring!$E:$E,MATCH($C15&amp;"|"&amp;$E15,Scoring!$AD:$AD,0)),"")</f>
        <v>Excluded – IV only</v>
      </c>
      <c r="AB15" s="19" t="n">
        <f aca="false">IFERROR(INDEX(Scoring!$M:$M,MATCH($C15&amp;"|"&amp;$E15,Scoring!$AD:$AD,0)),"")</f>
        <v>126</v>
      </c>
      <c r="AC15" s="16" t="str">
        <f aca="false">IFERROR(INDEX('Route of Administration'!$C$5:$C$155,MATCH($C15,'Route of Administration'!$A$5:$A$155,0)),"")</f>
        <v>IV</v>
      </c>
      <c r="AD15" s="15" t="str">
        <f aca="false">IFERROR(INDEX('Route of Administration'!$D$5:$D$155,MATCH($C15,'Route of Administration'!$A$5:$A$155,0)),"")</f>
        <v>No</v>
      </c>
      <c r="AE15" s="15" t="str">
        <f aca="false">IF($AD15="No","Not checked – drug is IV only",IFERROR(INDEX('Route of Administration'!$O$5:$O$170,MATCH($E15&amp;"|"&amp;$C15,'Route of Administration'!$S$5:$S$170,0)),"Not checked – price ≤ USD 5"))</f>
        <v>Not checked – drug is IV only</v>
      </c>
    </row>
    <row r="16" customFormat="false" ht="28.35" hidden="false" customHeight="false" outlineLevel="0" collapsed="false">
      <c r="B16" s="16" t="n">
        <v>14</v>
      </c>
      <c r="C16" s="16" t="s">
        <v>426</v>
      </c>
      <c r="D16" s="16" t="s">
        <v>427</v>
      </c>
      <c r="E16" s="16" t="s">
        <v>322</v>
      </c>
      <c r="F16" s="16" t="s">
        <v>1574</v>
      </c>
      <c r="G16" s="17" t="s">
        <v>1575</v>
      </c>
      <c r="H16" s="16" t="s">
        <v>1533</v>
      </c>
      <c r="I16" s="18" t="n">
        <v>54.54</v>
      </c>
      <c r="J16" s="16" t="n">
        <v>1</v>
      </c>
      <c r="K16" s="16" t="n">
        <v>126</v>
      </c>
      <c r="L16" s="19" t="n">
        <v>5896.49</v>
      </c>
      <c r="M16" s="17" t="s">
        <v>428</v>
      </c>
      <c r="N16" s="18" t="n">
        <v>54.54</v>
      </c>
      <c r="O16" s="16" t="s">
        <v>1534</v>
      </c>
      <c r="P16" s="16" t="s">
        <v>1535</v>
      </c>
      <c r="Q16" s="17" t="s">
        <v>1536</v>
      </c>
      <c r="R16" s="78" t="s">
        <v>1576</v>
      </c>
      <c r="S16" s="77" t="n">
        <f aca="false">IFERROR(INDEX('Injectable Value'!$Z$28:$Z$178,MATCH($C16,'Injectable Value'!$A$28:$A$178,0)),"")</f>
        <v>1</v>
      </c>
      <c r="T16" s="19" t="n">
        <f aca="false">IFERROR(ROUND(INDEX('Injectable Value'!$AA$28:$AA$178,MATCH($C16,'Injectable Value'!$A$28:$A$178,0)),1),"")</f>
        <v>5896.5</v>
      </c>
      <c r="U16" s="17" t="s">
        <v>431</v>
      </c>
      <c r="V16" s="16" t="n">
        <v>2</v>
      </c>
      <c r="W16" s="16" t="s">
        <v>284</v>
      </c>
      <c r="X16" s="16" t="s">
        <v>429</v>
      </c>
      <c r="Y16" s="16" t="s">
        <v>1547</v>
      </c>
      <c r="Z16" s="17" t="str">
        <f aca="false">IFERROR(INDEX(Scoring!$U:$U,MATCH($C16&amp;"|"&amp;$E16,Scoring!$AD:$AD,0)),"")</f>
        <v/>
      </c>
      <c r="AA16" s="16" t="str">
        <f aca="false">IFERROR(INDEX(Scoring!$E:$E,MATCH($C16&amp;"|"&amp;$E16,Scoring!$AD:$AD,0)),"")</f>
        <v>Excluded – IV only</v>
      </c>
      <c r="AB16" s="19" t="n">
        <f aca="false">IFERROR(INDEX(Scoring!$M:$M,MATCH($C16&amp;"|"&amp;$E16,Scoring!$AD:$AD,0)),"")</f>
        <v>126</v>
      </c>
      <c r="AC16" s="16" t="str">
        <f aca="false">IFERROR(INDEX('Route of Administration'!$C$5:$C$155,MATCH($C16,'Route of Administration'!$A$5:$A$155,0)),"")</f>
        <v>IV</v>
      </c>
      <c r="AD16" s="15" t="str">
        <f aca="false">IFERROR(INDEX('Route of Administration'!$D$5:$D$155,MATCH($C16,'Route of Administration'!$A$5:$A$155,0)),"")</f>
        <v>No</v>
      </c>
      <c r="AE16" s="15" t="str">
        <f aca="false">IF($AD16="No","Not checked – drug is IV only",IFERROR(INDEX('Route of Administration'!$O$5:$O$170,MATCH($E16&amp;"|"&amp;$C16,'Route of Administration'!$S$5:$S$170,0)),"Not checked – price ≤ USD 5"))</f>
        <v>Not checked – drug is IV only</v>
      </c>
    </row>
    <row r="17" customFormat="false" ht="28.35" hidden="false" customHeight="false" outlineLevel="0" collapsed="false">
      <c r="B17" s="16" t="n">
        <v>15</v>
      </c>
      <c r="C17" s="16" t="s">
        <v>440</v>
      </c>
      <c r="D17" s="16" t="s">
        <v>440</v>
      </c>
      <c r="E17" s="16" t="s">
        <v>322</v>
      </c>
      <c r="F17" s="16" t="s">
        <v>1577</v>
      </c>
      <c r="G17" s="17" t="s">
        <v>1578</v>
      </c>
      <c r="H17" s="16" t="s">
        <v>1533</v>
      </c>
      <c r="I17" s="18" t="n">
        <v>5.68</v>
      </c>
      <c r="J17" s="16" t="n">
        <v>1</v>
      </c>
      <c r="K17" s="16" t="n">
        <v>727</v>
      </c>
      <c r="L17" s="19" t="n">
        <v>7496</v>
      </c>
      <c r="M17" s="17" t="s">
        <v>441</v>
      </c>
      <c r="N17" s="18" t="n">
        <v>5.68</v>
      </c>
      <c r="O17" s="16" t="s">
        <v>1534</v>
      </c>
      <c r="P17" s="16" t="s">
        <v>1535</v>
      </c>
      <c r="Q17" s="17" t="s">
        <v>1536</v>
      </c>
      <c r="R17" s="78" t="s">
        <v>1579</v>
      </c>
      <c r="S17" s="77" t="n">
        <f aca="false">IFERROR(INDEX('Injectable Value'!$Z$28:$Z$178,MATCH($C17,'Injectable Value'!$A$28:$A$178,0)),"")</f>
        <v>0.650751867180439</v>
      </c>
      <c r="T17" s="19" t="n">
        <f aca="false">IFERROR(ROUND(INDEX('Injectable Value'!$AA$28:$AA$178,MATCH($C17,'Injectable Value'!$A$28:$A$178,0)),1),"")</f>
        <v>4878</v>
      </c>
      <c r="U17" s="17" t="s">
        <v>284</v>
      </c>
      <c r="V17" s="16" t="n">
        <v>1</v>
      </c>
      <c r="W17" s="16" t="s">
        <v>284</v>
      </c>
      <c r="X17" s="16" t="s">
        <v>281</v>
      </c>
      <c r="Y17" s="16" t="s">
        <v>1547</v>
      </c>
      <c r="Z17" s="17" t="str">
        <f aca="false">IFERROR(INDEX(Scoring!$U:$U,MATCH($C17&amp;"|"&amp;$E17,Scoring!$AD:$AD,0)),"")</f>
        <v>Cancer drug (cytotoxic) – less relevant</v>
      </c>
      <c r="AA17" s="16" t="str">
        <f aca="false">IFERROR(INDEX(Scoring!$E:$E,MATCH($C17&amp;"|"&amp;$E17,Scoring!$AD:$AD,0)),"")</f>
        <v>Excluded – IV only</v>
      </c>
      <c r="AB17" s="19" t="n">
        <f aca="false">IFERROR(INDEX(Scoring!$M:$M,MATCH($C17&amp;"|"&amp;$E17,Scoring!$AD:$AD,0)),"")</f>
        <v>473</v>
      </c>
      <c r="AC17" s="16" t="str">
        <f aca="false">IFERROR(INDEX('Route of Administration'!$C$5:$C$155,MATCH($C17,'Route of Administration'!$A$5:$A$155,0)),"")</f>
        <v>IV</v>
      </c>
      <c r="AD17" s="15" t="str">
        <f aca="false">IFERROR(INDEX('Route of Administration'!$D$5:$D$155,MATCH($C17,'Route of Administration'!$A$5:$A$155,0)),"")</f>
        <v>No</v>
      </c>
      <c r="AE17" s="15" t="str">
        <f aca="false">IF($AD17="No","Not checked – drug is IV only",IFERROR(INDEX('Route of Administration'!$O$5:$O$170,MATCH($E17&amp;"|"&amp;$C17,'Route of Administration'!$S$5:$S$170,0)),"Not checked – price ≤ USD 5"))</f>
        <v>Not checked – drug is IV only</v>
      </c>
    </row>
    <row r="18" customFormat="false" ht="28.35" hidden="false" customHeight="false" outlineLevel="0" collapsed="false">
      <c r="B18" s="16" t="n">
        <v>16</v>
      </c>
      <c r="C18" s="16" t="s">
        <v>444</v>
      </c>
      <c r="D18" s="16" t="s">
        <v>444</v>
      </c>
      <c r="E18" s="16" t="s">
        <v>322</v>
      </c>
      <c r="F18" s="16" t="s">
        <v>1563</v>
      </c>
      <c r="G18" s="17" t="s">
        <v>1580</v>
      </c>
      <c r="H18" s="16" t="s">
        <v>1533</v>
      </c>
      <c r="I18" s="18" t="n">
        <v>54.55</v>
      </c>
      <c r="J18" s="16" t="n">
        <v>1</v>
      </c>
      <c r="K18" s="16" t="n">
        <v>126</v>
      </c>
      <c r="L18" s="19" t="n">
        <v>3407.51</v>
      </c>
      <c r="M18" s="17" t="s">
        <v>445</v>
      </c>
      <c r="N18" s="18" t="n">
        <v>54.55</v>
      </c>
      <c r="O18" s="16" t="s">
        <v>1534</v>
      </c>
      <c r="P18" s="16" t="s">
        <v>1535</v>
      </c>
      <c r="Q18" s="17" t="s">
        <v>1536</v>
      </c>
      <c r="R18" s="78" t="s">
        <v>1581</v>
      </c>
      <c r="S18" s="77" t="n">
        <f aca="false">IFERROR(INDEX('Injectable Value'!$Z$28:$Z$178,MATCH($C18,'Injectable Value'!$A$28:$A$178,0)),"")</f>
        <v>1</v>
      </c>
      <c r="T18" s="19" t="n">
        <f aca="false">IFERROR(ROUND(INDEX('Injectable Value'!$AA$28:$AA$178,MATCH($C18,'Injectable Value'!$A$28:$A$178,0)),1),"")</f>
        <v>3407.5</v>
      </c>
      <c r="U18" s="17" t="s">
        <v>284</v>
      </c>
      <c r="V18" s="16" t="n">
        <v>1</v>
      </c>
      <c r="W18" s="16" t="s">
        <v>284</v>
      </c>
      <c r="X18" s="16" t="s">
        <v>281</v>
      </c>
      <c r="Y18" s="16" t="s">
        <v>283</v>
      </c>
      <c r="Z18" s="17" t="str">
        <f aca="false">IFERROR(INDEX(Scoring!$U:$U,MATCH($C18&amp;"|"&amp;$E18,Scoring!$AD:$AD,0)),"")</f>
        <v/>
      </c>
      <c r="AA18" s="16" t="str">
        <f aca="false">IFERROR(INDEX(Scoring!$E:$E,MATCH($C18&amp;"|"&amp;$E18,Scoring!$AD:$AD,0)),"")</f>
        <v>Priority 2</v>
      </c>
      <c r="AB18" s="19" t="n">
        <f aca="false">IFERROR(INDEX(Scoring!$M:$M,MATCH($C18&amp;"|"&amp;$E18,Scoring!$AD:$AD,0)),"")</f>
        <v>126</v>
      </c>
      <c r="AC18" s="16" t="str">
        <f aca="false">IFERROR(INDEX('Route of Administration'!$C$5:$C$155,MATCH($C18,'Route of Administration'!$A$5:$A$155,0)),"")</f>
        <v>IM, SC</v>
      </c>
      <c r="AD18" s="15" t="str">
        <f aca="false">IFERROR(INDEX('Route of Administration'!$D$5:$D$155,MATCH($C18,'Route of Administration'!$A$5:$A$155,0)),"")</f>
        <v>Yes</v>
      </c>
      <c r="AE18" s="15" t="str">
        <f aca="false">IF($AD18="No","Not checked – drug is IV only",IFERROR(INDEX('Route of Administration'!$O$5:$O$170,MATCH($E18&amp;"|"&amp;$C18,'Route of Administration'!$S$5:$S$170,0)),"Not checked – price ≤ USD 5"))</f>
        <v>Pass</v>
      </c>
    </row>
    <row r="19" customFormat="false" ht="28.35" hidden="false" customHeight="false" outlineLevel="0" collapsed="false">
      <c r="B19" s="16" t="n">
        <v>17</v>
      </c>
      <c r="C19" s="16" t="s">
        <v>471</v>
      </c>
      <c r="D19" s="16" t="s">
        <v>471</v>
      </c>
      <c r="E19" s="16" t="s">
        <v>322</v>
      </c>
      <c r="F19" s="16" t="s">
        <v>1582</v>
      </c>
      <c r="G19" s="17" t="s">
        <v>1583</v>
      </c>
      <c r="H19" s="16" t="s">
        <v>1533</v>
      </c>
      <c r="I19" s="18" t="n">
        <v>25.66</v>
      </c>
      <c r="J19" s="16" t="n">
        <v>1</v>
      </c>
      <c r="K19" s="16" t="n">
        <v>122</v>
      </c>
      <c r="L19" s="19" t="n">
        <v>8000.57</v>
      </c>
      <c r="M19" s="17" t="s">
        <v>472</v>
      </c>
      <c r="N19" s="18" t="n">
        <v>25.66</v>
      </c>
      <c r="O19" s="16" t="s">
        <v>1534</v>
      </c>
      <c r="P19" s="16" t="s">
        <v>1535</v>
      </c>
      <c r="Q19" s="17" t="s">
        <v>1536</v>
      </c>
      <c r="R19" s="78" t="s">
        <v>1584</v>
      </c>
      <c r="S19" s="77" t="n">
        <f aca="false">IFERROR(INDEX('Injectable Value'!$Z$28:$Z$178,MATCH($C19,'Injectable Value'!$A$28:$A$178,0)),"")</f>
        <v>0.33624222999223</v>
      </c>
      <c r="T19" s="19" t="n">
        <f aca="false">IFERROR(ROUND(INDEX('Injectable Value'!$AA$28:$AA$178,MATCH($C19,'Injectable Value'!$A$28:$A$178,0)),1),"")</f>
        <v>2690.1</v>
      </c>
      <c r="U19" s="17" t="s">
        <v>284</v>
      </c>
      <c r="V19" s="16" t="n">
        <v>1</v>
      </c>
      <c r="W19" s="16" t="s">
        <v>284</v>
      </c>
      <c r="X19" s="16" t="s">
        <v>281</v>
      </c>
      <c r="Y19" s="16" t="s">
        <v>283</v>
      </c>
      <c r="Z19" s="17" t="str">
        <f aca="false">IFERROR(INDEX(Scoring!$U:$U,MATCH($C19&amp;"|"&amp;$E19,Scoring!$AD:$AD,0)),"")</f>
        <v/>
      </c>
      <c r="AA19" s="16" t="str">
        <f aca="false">IFERROR(INDEX(Scoring!$E:$E,MATCH($C19&amp;"|"&amp;$E19,Scoring!$AD:$AD,0)),"")</f>
        <v>Priority 2</v>
      </c>
      <c r="AB19" s="19" t="n">
        <f aca="false">IFERROR(INDEX(Scoring!$M:$M,MATCH($C19&amp;"|"&amp;$E19,Scoring!$AD:$AD,0)),"")</f>
        <v>41</v>
      </c>
      <c r="AC19" s="16" t="str">
        <f aca="false">IFERROR(INDEX('Route of Administration'!$C$5:$C$155,MATCH($C19,'Route of Administration'!$A$5:$A$155,0)),"")</f>
        <v>IM, SC</v>
      </c>
      <c r="AD19" s="15" t="str">
        <f aca="false">IFERROR(INDEX('Route of Administration'!$D$5:$D$155,MATCH($C19,'Route of Administration'!$A$5:$A$155,0)),"")</f>
        <v>Yes</v>
      </c>
      <c r="AE19" s="15" t="str">
        <f aca="false">IF($AD19="No","Not checked – drug is IV only",IFERROR(INDEX('Route of Administration'!$O$5:$O$170,MATCH($E19&amp;"|"&amp;$C19,'Route of Administration'!$S$5:$S$170,0)),"Not checked – price ≤ USD 5"))</f>
        <v>Pass</v>
      </c>
    </row>
    <row r="20" customFormat="false" ht="28.35" hidden="false" customHeight="false" outlineLevel="0" collapsed="false">
      <c r="B20" s="16" t="n">
        <v>18</v>
      </c>
      <c r="C20" s="16" t="s">
        <v>471</v>
      </c>
      <c r="D20" s="16" t="s">
        <v>471</v>
      </c>
      <c r="E20" s="16" t="s">
        <v>322</v>
      </c>
      <c r="F20" s="16" t="s">
        <v>1582</v>
      </c>
      <c r="G20" s="17" t="s">
        <v>1585</v>
      </c>
      <c r="H20" s="16" t="s">
        <v>1540</v>
      </c>
      <c r="I20" s="18" t="n">
        <v>44.85</v>
      </c>
      <c r="J20" s="16" t="n">
        <v>1</v>
      </c>
      <c r="K20" s="16" t="n">
        <v>122</v>
      </c>
      <c r="L20" s="19" t="n">
        <v>8000.57</v>
      </c>
      <c r="M20" s="17" t="s">
        <v>472</v>
      </c>
      <c r="N20" s="18" t="n">
        <v>44.85</v>
      </c>
      <c r="O20" s="16" t="s">
        <v>1534</v>
      </c>
      <c r="P20" s="16" t="s">
        <v>1535</v>
      </c>
      <c r="Q20" s="17" t="s">
        <v>1536</v>
      </c>
      <c r="R20" s="78" t="s">
        <v>1586</v>
      </c>
      <c r="S20" s="77" t="n">
        <f aca="false">IFERROR(INDEX('Injectable Value'!$Z$28:$Z$178,MATCH($C20,'Injectable Value'!$A$28:$A$178,0)),"")</f>
        <v>0.33624222999223</v>
      </c>
      <c r="T20" s="19" t="n">
        <f aca="false">IFERROR(ROUND(INDEX('Injectable Value'!$AA$28:$AA$178,MATCH($C20,'Injectable Value'!$A$28:$A$178,0)),1),"")</f>
        <v>2690.1</v>
      </c>
      <c r="U20" s="17" t="s">
        <v>284</v>
      </c>
      <c r="V20" s="16" t="n">
        <v>1</v>
      </c>
      <c r="W20" s="16" t="s">
        <v>284</v>
      </c>
      <c r="X20" s="16" t="s">
        <v>291</v>
      </c>
      <c r="Y20" s="16" t="s">
        <v>283</v>
      </c>
      <c r="Z20" s="17" t="str">
        <f aca="false">IFERROR(INDEX(Scoring!$U:$U,MATCH($C20&amp;"|"&amp;$E20,Scoring!$AD:$AD,0)),"")</f>
        <v/>
      </c>
      <c r="AA20" s="16" t="str">
        <f aca="false">IFERROR(INDEX(Scoring!$E:$E,MATCH($C20&amp;"|"&amp;$E20,Scoring!$AD:$AD,0)),"")</f>
        <v>Priority 2</v>
      </c>
      <c r="AB20" s="19" t="n">
        <f aca="false">IFERROR(INDEX(Scoring!$M:$M,MATCH($C20&amp;"|"&amp;$E20,Scoring!$AD:$AD,0)),"")</f>
        <v>41</v>
      </c>
      <c r="AC20" s="16" t="str">
        <f aca="false">IFERROR(INDEX('Route of Administration'!$C$5:$C$155,MATCH($C20,'Route of Administration'!$A$5:$A$155,0)),"")</f>
        <v>IM, SC</v>
      </c>
      <c r="AD20" s="15" t="str">
        <f aca="false">IFERROR(INDEX('Route of Administration'!$D$5:$D$155,MATCH($C20,'Route of Administration'!$A$5:$A$155,0)),"")</f>
        <v>Yes</v>
      </c>
      <c r="AE20" s="15" t="str">
        <f aca="false">IF($AD20="No","Not checked – drug is IV only",IFERROR(INDEX('Route of Administration'!$O$5:$O$170,MATCH($E20&amp;"|"&amp;$C20,'Route of Administration'!$S$5:$S$170,0)),"Not checked – price ≤ USD 5"))</f>
        <v>Pass</v>
      </c>
    </row>
    <row r="21" customFormat="false" ht="41.75" hidden="false" customHeight="false" outlineLevel="0" collapsed="false">
      <c r="B21" s="16" t="n">
        <v>19</v>
      </c>
      <c r="C21" s="16" t="s">
        <v>299</v>
      </c>
      <c r="D21" s="16" t="s">
        <v>495</v>
      </c>
      <c r="E21" s="16" t="s">
        <v>322</v>
      </c>
      <c r="F21" s="16" t="s">
        <v>1548</v>
      </c>
      <c r="G21" s="17" t="s">
        <v>1587</v>
      </c>
      <c r="H21" s="16" t="s">
        <v>1533</v>
      </c>
      <c r="I21" s="18" t="n">
        <v>7.15</v>
      </c>
      <c r="J21" s="16" t="n">
        <v>1</v>
      </c>
      <c r="K21" s="16" t="n">
        <v>1282</v>
      </c>
      <c r="L21" s="19" t="n">
        <v>16792.84</v>
      </c>
      <c r="M21" s="17" t="s">
        <v>301</v>
      </c>
      <c r="N21" s="18" t="n">
        <v>7.15</v>
      </c>
      <c r="O21" s="16" t="s">
        <v>1534</v>
      </c>
      <c r="P21" s="16" t="s">
        <v>1535</v>
      </c>
      <c r="Q21" s="17" t="s">
        <v>1536</v>
      </c>
      <c r="R21" s="78" t="s">
        <v>1546</v>
      </c>
      <c r="S21" s="77" t="n">
        <f aca="false">IFERROR(INDEX('Injectable Value'!$Z$28:$Z$178,MATCH($C21,'Injectable Value'!$A$28:$A$178,0)),"")</f>
        <v>0.776857437207773</v>
      </c>
      <c r="T21" s="19" t="n">
        <f aca="false">IFERROR(ROUND(INDEX('Injectable Value'!$AA$28:$AA$178,MATCH($C21,'Injectable Value'!$A$28:$A$178,0)),1),"")</f>
        <v>13045.6</v>
      </c>
      <c r="U21" s="17" t="s">
        <v>284</v>
      </c>
      <c r="V21" s="16" t="n">
        <v>1</v>
      </c>
      <c r="W21" s="16" t="s">
        <v>284</v>
      </c>
      <c r="X21" s="16" t="s">
        <v>281</v>
      </c>
      <c r="Y21" s="16" t="s">
        <v>283</v>
      </c>
      <c r="Z21" s="17" t="str">
        <f aca="false">IFERROR(INDEX(Scoring!$U:$U,MATCH($C21&amp;"|"&amp;$E21,Scoring!$AD:$AD,0)),"")</f>
        <v>Cancer drug (cytotoxic) – less relevant</v>
      </c>
      <c r="AA21" s="16" t="str">
        <f aca="false">IFERROR(INDEX(Scoring!$E:$E,MATCH($C21&amp;"|"&amp;$E21,Scoring!$AD:$AD,0)),"")</f>
        <v>Priority 2</v>
      </c>
      <c r="AB21" s="19" t="n">
        <f aca="false">IFERROR(INDEX(Scoring!$M:$M,MATCH($C21&amp;"|"&amp;$E21,Scoring!$AD:$AD,0)),"")</f>
        <v>996</v>
      </c>
      <c r="AC21" s="16" t="str">
        <f aca="false">IFERROR(INDEX('Route of Administration'!$C$5:$C$155,MATCH($C21,'Route of Administration'!$A$5:$A$155,0)),"")</f>
        <v>IV, IM, SC</v>
      </c>
      <c r="AD21" s="15" t="str">
        <f aca="false">IFERROR(INDEX('Route of Administration'!$D$5:$D$155,MATCH($C21,'Route of Administration'!$A$5:$A$155,0)),"")</f>
        <v>Yes</v>
      </c>
      <c r="AE21" s="15" t="str">
        <f aca="false">IF($AD21="No","Not checked – drug is IV only",IFERROR(INDEX('Route of Administration'!$O$5:$O$170,MATCH($E21&amp;"|"&amp;$C21,'Route of Administration'!$S$5:$S$170,0)),"Not checked – price ≤ USD 5"))</f>
        <v>Pass</v>
      </c>
    </row>
    <row r="22" customFormat="false" ht="41.75" hidden="false" customHeight="false" outlineLevel="0" collapsed="false">
      <c r="B22" s="16" t="n">
        <v>20</v>
      </c>
      <c r="C22" s="16" t="s">
        <v>299</v>
      </c>
      <c r="D22" s="16" t="s">
        <v>495</v>
      </c>
      <c r="E22" s="16" t="s">
        <v>322</v>
      </c>
      <c r="F22" s="16" t="s">
        <v>1588</v>
      </c>
      <c r="G22" s="17" t="s">
        <v>1589</v>
      </c>
      <c r="H22" s="16" t="s">
        <v>1533</v>
      </c>
      <c r="I22" s="18" t="n">
        <v>9.9</v>
      </c>
      <c r="J22" s="16" t="n">
        <v>1</v>
      </c>
      <c r="K22" s="16" t="n">
        <v>1282</v>
      </c>
      <c r="L22" s="19" t="n">
        <v>16792.84</v>
      </c>
      <c r="M22" s="17" t="s">
        <v>301</v>
      </c>
      <c r="N22" s="18" t="n">
        <v>9.9</v>
      </c>
      <c r="O22" s="16" t="s">
        <v>1534</v>
      </c>
      <c r="P22" s="16" t="s">
        <v>1535</v>
      </c>
      <c r="Q22" s="17" t="s">
        <v>1536</v>
      </c>
      <c r="R22" s="78" t="s">
        <v>1546</v>
      </c>
      <c r="S22" s="77" t="n">
        <f aca="false">IFERROR(INDEX('Injectable Value'!$Z$28:$Z$178,MATCH($C22,'Injectable Value'!$A$28:$A$178,0)),"")</f>
        <v>0.776857437207773</v>
      </c>
      <c r="T22" s="19" t="n">
        <f aca="false">IFERROR(ROUND(INDEX('Injectable Value'!$AA$28:$AA$178,MATCH($C22,'Injectable Value'!$A$28:$A$178,0)),1),"")</f>
        <v>13045.6</v>
      </c>
      <c r="U22" s="17" t="s">
        <v>284</v>
      </c>
      <c r="V22" s="16" t="n">
        <v>1</v>
      </c>
      <c r="W22" s="16" t="s">
        <v>284</v>
      </c>
      <c r="X22" s="16" t="s">
        <v>281</v>
      </c>
      <c r="Y22" s="16" t="s">
        <v>283</v>
      </c>
      <c r="Z22" s="17" t="str">
        <f aca="false">IFERROR(INDEX(Scoring!$U:$U,MATCH($C22&amp;"|"&amp;$E22,Scoring!$AD:$AD,0)),"")</f>
        <v>Cancer drug (cytotoxic) – less relevant</v>
      </c>
      <c r="AA22" s="16" t="str">
        <f aca="false">IFERROR(INDEX(Scoring!$E:$E,MATCH($C22&amp;"|"&amp;$E22,Scoring!$AD:$AD,0)),"")</f>
        <v>Priority 2</v>
      </c>
      <c r="AB22" s="19" t="n">
        <f aca="false">IFERROR(INDEX(Scoring!$M:$M,MATCH($C22&amp;"|"&amp;$E22,Scoring!$AD:$AD,0)),"")</f>
        <v>996</v>
      </c>
      <c r="AC22" s="16" t="str">
        <f aca="false">IFERROR(INDEX('Route of Administration'!$C$5:$C$155,MATCH($C22,'Route of Administration'!$A$5:$A$155,0)),"")</f>
        <v>IV, IM, SC</v>
      </c>
      <c r="AD22" s="15" t="str">
        <f aca="false">IFERROR(INDEX('Route of Administration'!$D$5:$D$155,MATCH($C22,'Route of Administration'!$A$5:$A$155,0)),"")</f>
        <v>Yes</v>
      </c>
      <c r="AE22" s="15" t="str">
        <f aca="false">IF($AD22="No","Not checked – drug is IV only",IFERROR(INDEX('Route of Administration'!$O$5:$O$170,MATCH($E22&amp;"|"&amp;$C22,'Route of Administration'!$S$5:$S$170,0)),"Not checked – price ≤ USD 5"))</f>
        <v>Pass</v>
      </c>
    </row>
    <row r="23" customFormat="false" ht="41.75" hidden="false" customHeight="false" outlineLevel="0" collapsed="false">
      <c r="B23" s="16" t="n">
        <v>21</v>
      </c>
      <c r="C23" s="16" t="s">
        <v>299</v>
      </c>
      <c r="D23" s="16" t="s">
        <v>495</v>
      </c>
      <c r="E23" s="16" t="s">
        <v>322</v>
      </c>
      <c r="F23" s="16" t="s">
        <v>1590</v>
      </c>
      <c r="G23" s="17" t="s">
        <v>1591</v>
      </c>
      <c r="H23" s="16" t="s">
        <v>1533</v>
      </c>
      <c r="I23" s="18" t="n">
        <v>12.38</v>
      </c>
      <c r="J23" s="16" t="n">
        <v>1</v>
      </c>
      <c r="K23" s="16" t="n">
        <v>1282</v>
      </c>
      <c r="L23" s="19" t="n">
        <v>16792.84</v>
      </c>
      <c r="M23" s="17" t="s">
        <v>301</v>
      </c>
      <c r="N23" s="18" t="n">
        <v>12.38</v>
      </c>
      <c r="O23" s="16" t="s">
        <v>1534</v>
      </c>
      <c r="P23" s="16" t="s">
        <v>1535</v>
      </c>
      <c r="Q23" s="17" t="s">
        <v>1536</v>
      </c>
      <c r="R23" s="78" t="s">
        <v>1546</v>
      </c>
      <c r="S23" s="77" t="n">
        <f aca="false">IFERROR(INDEX('Injectable Value'!$Z$28:$Z$178,MATCH($C23,'Injectable Value'!$A$28:$A$178,0)),"")</f>
        <v>0.776857437207773</v>
      </c>
      <c r="T23" s="19" t="n">
        <f aca="false">IFERROR(ROUND(INDEX('Injectable Value'!$AA$28:$AA$178,MATCH($C23,'Injectable Value'!$A$28:$A$178,0)),1),"")</f>
        <v>13045.6</v>
      </c>
      <c r="U23" s="17" t="s">
        <v>284</v>
      </c>
      <c r="V23" s="16" t="n">
        <v>1</v>
      </c>
      <c r="W23" s="16" t="s">
        <v>284</v>
      </c>
      <c r="X23" s="16" t="s">
        <v>281</v>
      </c>
      <c r="Y23" s="16" t="s">
        <v>283</v>
      </c>
      <c r="Z23" s="17" t="str">
        <f aca="false">IFERROR(INDEX(Scoring!$U:$U,MATCH($C23&amp;"|"&amp;$E23,Scoring!$AD:$AD,0)),"")</f>
        <v>Cancer drug (cytotoxic) – less relevant</v>
      </c>
      <c r="AA23" s="16" t="str">
        <f aca="false">IFERROR(INDEX(Scoring!$E:$E,MATCH($C23&amp;"|"&amp;$E23,Scoring!$AD:$AD,0)),"")</f>
        <v>Priority 2</v>
      </c>
      <c r="AB23" s="19" t="n">
        <f aca="false">IFERROR(INDEX(Scoring!$M:$M,MATCH($C23&amp;"|"&amp;$E23,Scoring!$AD:$AD,0)),"")</f>
        <v>996</v>
      </c>
      <c r="AC23" s="16" t="str">
        <f aca="false">IFERROR(INDEX('Route of Administration'!$C$5:$C$155,MATCH($C23,'Route of Administration'!$A$5:$A$155,0)),"")</f>
        <v>IV, IM, SC</v>
      </c>
      <c r="AD23" s="15" t="str">
        <f aca="false">IFERROR(INDEX('Route of Administration'!$D$5:$D$155,MATCH($C23,'Route of Administration'!$A$5:$A$155,0)),"")</f>
        <v>Yes</v>
      </c>
      <c r="AE23" s="15" t="str">
        <f aca="false">IF($AD23="No","Not checked – drug is IV only",IFERROR(INDEX('Route of Administration'!$O$5:$O$170,MATCH($E23&amp;"|"&amp;$C23,'Route of Administration'!$S$5:$S$170,0)),"Not checked – price ≤ USD 5"))</f>
        <v>Pass</v>
      </c>
    </row>
    <row r="24" customFormat="false" ht="41.75" hidden="false" customHeight="false" outlineLevel="0" collapsed="false">
      <c r="B24" s="16" t="n">
        <v>22</v>
      </c>
      <c r="C24" s="16" t="s">
        <v>497</v>
      </c>
      <c r="D24" s="16" t="s">
        <v>497</v>
      </c>
      <c r="E24" s="16" t="s">
        <v>322</v>
      </c>
      <c r="F24" s="16" t="s">
        <v>1552</v>
      </c>
      <c r="G24" s="17" t="s">
        <v>1592</v>
      </c>
      <c r="H24" s="16" t="s">
        <v>1533</v>
      </c>
      <c r="I24" s="18"/>
      <c r="J24" s="16" t="n">
        <v>1</v>
      </c>
      <c r="K24" s="16" t="n">
        <v>81</v>
      </c>
      <c r="L24" s="19" t="n">
        <v>4745.88</v>
      </c>
      <c r="M24" s="17" t="s">
        <v>498</v>
      </c>
      <c r="N24" s="82" t="n">
        <v>4.92</v>
      </c>
      <c r="O24" s="64" t="s">
        <v>1541</v>
      </c>
      <c r="P24" s="16" t="s">
        <v>1535</v>
      </c>
      <c r="Q24" s="17" t="s">
        <v>1542</v>
      </c>
      <c r="R24" s="78" t="s">
        <v>1543</v>
      </c>
      <c r="S24" s="77" t="n">
        <f aca="false">IFERROR(INDEX('Injectable Value'!$Z$28:$Z$178,MATCH($C24,'Injectable Value'!$A$28:$A$178,0)),"")</f>
        <v>1</v>
      </c>
      <c r="T24" s="19" t="n">
        <f aca="false">IFERROR(ROUND(INDEX('Injectable Value'!$AA$28:$AA$178,MATCH($C24,'Injectable Value'!$A$28:$A$178,0)),1),"")</f>
        <v>4745.9</v>
      </c>
      <c r="U24" s="17" t="s">
        <v>284</v>
      </c>
      <c r="V24" s="16" t="n">
        <v>1</v>
      </c>
      <c r="W24" s="16" t="s">
        <v>284</v>
      </c>
      <c r="X24" s="16" t="s">
        <v>281</v>
      </c>
      <c r="Y24" s="16" t="s">
        <v>333</v>
      </c>
      <c r="Z24" s="17" t="str">
        <f aca="false">IFERROR(INDEX(Scoring!$U:$U,MATCH($C24&amp;"|"&amp;$E24,Scoring!$AD:$AD,0)),"")</f>
        <v>Reconstitution</v>
      </c>
      <c r="AA24" s="16" t="str">
        <f aca="false">IFERROR(INDEX(Scoring!$E:$E,MATCH($C24&amp;"|"&amp;$E24,Scoring!$AD:$AD,0)),"")</f>
        <v>Priority 3</v>
      </c>
      <c r="AB24" s="19" t="n">
        <f aca="false">IFERROR(INDEX(Scoring!$M:$M,MATCH($C24&amp;"|"&amp;$E24,Scoring!$AD:$AD,0)),"")</f>
        <v>81</v>
      </c>
      <c r="AC24" s="16" t="str">
        <f aca="false">IFERROR(INDEX('Route of Administration'!$C$5:$C$155,MATCH($C24,'Route of Administration'!$A$5:$A$155,0)),"")</f>
        <v>IM</v>
      </c>
      <c r="AD24" s="15" t="str">
        <f aca="false">IFERROR(INDEX('Route of Administration'!$D$5:$D$155,MATCH($C24,'Route of Administration'!$A$5:$A$155,0)),"")</f>
        <v>Yes</v>
      </c>
      <c r="AE24" s="15" t="str">
        <f aca="false">IF($AD24="No","Not checked – drug is IV only",IFERROR(INDEX('Route of Administration'!$O$5:$O$170,MATCH($E24&amp;"|"&amp;$C24,'Route of Administration'!$S$5:$S$170,0)),"Not checked – price ≤ USD 5"))</f>
        <v>Pass</v>
      </c>
    </row>
    <row r="25" customFormat="false" ht="41.75" hidden="false" customHeight="false" outlineLevel="0" collapsed="false">
      <c r="B25" s="16" t="n">
        <v>23</v>
      </c>
      <c r="C25" s="16" t="s">
        <v>497</v>
      </c>
      <c r="D25" s="16" t="s">
        <v>497</v>
      </c>
      <c r="E25" s="16" t="s">
        <v>322</v>
      </c>
      <c r="F25" s="16" t="s">
        <v>1593</v>
      </c>
      <c r="G25" s="17" t="s">
        <v>1594</v>
      </c>
      <c r="H25" s="16" t="s">
        <v>1533</v>
      </c>
      <c r="I25" s="18"/>
      <c r="J25" s="16" t="n">
        <v>1</v>
      </c>
      <c r="K25" s="16" t="n">
        <v>81</v>
      </c>
      <c r="L25" s="19" t="n">
        <v>4745.88</v>
      </c>
      <c r="M25" s="17" t="s">
        <v>498</v>
      </c>
      <c r="N25" s="82" t="n">
        <v>9.84</v>
      </c>
      <c r="O25" s="64" t="s">
        <v>1541</v>
      </c>
      <c r="P25" s="16" t="s">
        <v>1535</v>
      </c>
      <c r="Q25" s="17" t="s">
        <v>1542</v>
      </c>
      <c r="R25" s="78" t="s">
        <v>1543</v>
      </c>
      <c r="S25" s="77" t="n">
        <f aca="false">IFERROR(INDEX('Injectable Value'!$Z$28:$Z$178,MATCH($C25,'Injectable Value'!$A$28:$A$178,0)),"")</f>
        <v>1</v>
      </c>
      <c r="T25" s="19" t="n">
        <f aca="false">IFERROR(ROUND(INDEX('Injectable Value'!$AA$28:$AA$178,MATCH($C25,'Injectable Value'!$A$28:$A$178,0)),1),"")</f>
        <v>4745.9</v>
      </c>
      <c r="U25" s="17" t="s">
        <v>284</v>
      </c>
      <c r="V25" s="16" t="n">
        <v>1</v>
      </c>
      <c r="W25" s="16" t="s">
        <v>284</v>
      </c>
      <c r="X25" s="16" t="s">
        <v>281</v>
      </c>
      <c r="Y25" s="16" t="s">
        <v>333</v>
      </c>
      <c r="Z25" s="17" t="str">
        <f aca="false">IFERROR(INDEX(Scoring!$U:$U,MATCH($C25&amp;"|"&amp;$E25,Scoring!$AD:$AD,0)),"")</f>
        <v>Reconstitution</v>
      </c>
      <c r="AA25" s="16" t="str">
        <f aca="false">IFERROR(INDEX(Scoring!$E:$E,MATCH($C25&amp;"|"&amp;$E25,Scoring!$AD:$AD,0)),"")</f>
        <v>Priority 3</v>
      </c>
      <c r="AB25" s="19" t="n">
        <f aca="false">IFERROR(INDEX(Scoring!$M:$M,MATCH($C25&amp;"|"&amp;$E25,Scoring!$AD:$AD,0)),"")</f>
        <v>81</v>
      </c>
      <c r="AC25" s="16" t="str">
        <f aca="false">IFERROR(INDEX('Route of Administration'!$C$5:$C$155,MATCH($C25,'Route of Administration'!$A$5:$A$155,0)),"")</f>
        <v>IM</v>
      </c>
      <c r="AD25" s="15" t="str">
        <f aca="false">IFERROR(INDEX('Route of Administration'!$D$5:$D$155,MATCH($C25,'Route of Administration'!$A$5:$A$155,0)),"")</f>
        <v>Yes</v>
      </c>
      <c r="AE25" s="15" t="str">
        <f aca="false">IF($AD25="No","Not checked – drug is IV only",IFERROR(INDEX('Route of Administration'!$O$5:$O$170,MATCH($E25&amp;"|"&amp;$C25,'Route of Administration'!$S$5:$S$170,0)),"Not checked – price ≤ USD 5"))</f>
        <v>Pass</v>
      </c>
    </row>
    <row r="26" customFormat="false" ht="15" hidden="false" customHeight="false" outlineLevel="0" collapsed="false">
      <c r="B26" s="16" t="n">
        <v>24</v>
      </c>
      <c r="C26" s="16" t="s">
        <v>507</v>
      </c>
      <c r="D26" s="16" t="s">
        <v>508</v>
      </c>
      <c r="E26" s="16" t="s">
        <v>322</v>
      </c>
      <c r="F26" s="16" t="s">
        <v>1595</v>
      </c>
      <c r="G26" s="17" t="s">
        <v>1596</v>
      </c>
      <c r="H26" s="16" t="s">
        <v>1533</v>
      </c>
      <c r="I26" s="18" t="n">
        <v>8.76</v>
      </c>
      <c r="J26" s="16" t="n">
        <v>1</v>
      </c>
      <c r="K26" s="16" t="n">
        <v>4</v>
      </c>
      <c r="L26" s="19" t="n">
        <v>570.1</v>
      </c>
      <c r="M26" s="17" t="s">
        <v>509</v>
      </c>
      <c r="N26" s="18" t="n">
        <v>8.76</v>
      </c>
      <c r="O26" s="16" t="s">
        <v>1534</v>
      </c>
      <c r="P26" s="16" t="s">
        <v>1535</v>
      </c>
      <c r="Q26" s="17" t="s">
        <v>1536</v>
      </c>
      <c r="R26" s="78" t="s">
        <v>1597</v>
      </c>
      <c r="S26" s="77" t="n">
        <f aca="false">IFERROR(INDEX('Injectable Value'!$Z$28:$Z$178,MATCH($C26,'Injectable Value'!$A$28:$A$178,0)),"")</f>
        <v>1</v>
      </c>
      <c r="T26" s="19" t="n">
        <f aca="false">IFERROR(ROUND(INDEX('Injectable Value'!$AA$28:$AA$178,MATCH($C26,'Injectable Value'!$A$28:$A$178,0)),1),"")</f>
        <v>570.1</v>
      </c>
      <c r="U26" s="17" t="s">
        <v>284</v>
      </c>
      <c r="V26" s="16" t="n">
        <v>1</v>
      </c>
      <c r="W26" s="16" t="s">
        <v>284</v>
      </c>
      <c r="X26" s="16" t="s">
        <v>281</v>
      </c>
      <c r="Y26" s="16" t="s">
        <v>333</v>
      </c>
      <c r="Z26" s="17" t="str">
        <f aca="false">IFERROR(INDEX(Scoring!$U:$U,MATCH($C26&amp;"|"&amp;$E26,Scoring!$AD:$AD,0)),"")</f>
        <v>Reconstitution</v>
      </c>
      <c r="AA26" s="16" t="str">
        <f aca="false">IFERROR(INDEX(Scoring!$E:$E,MATCH($C26&amp;"|"&amp;$E26,Scoring!$AD:$AD,0)),"")</f>
        <v>Priority 3</v>
      </c>
      <c r="AB26" s="19" t="n">
        <f aca="false">IFERROR(INDEX(Scoring!$M:$M,MATCH($C26&amp;"|"&amp;$E26,Scoring!$AD:$AD,0)),"")</f>
        <v>4</v>
      </c>
      <c r="AC26" s="16" t="str">
        <f aca="false">IFERROR(INDEX('Route of Administration'!$C$5:$C$155,MATCH($C26,'Route of Administration'!$A$5:$A$155,0)),"")</f>
        <v>IV, IM</v>
      </c>
      <c r="AD26" s="15" t="str">
        <f aca="false">IFERROR(INDEX('Route of Administration'!$D$5:$D$155,MATCH($C26,'Route of Administration'!$A$5:$A$155,0)),"")</f>
        <v>Yes</v>
      </c>
      <c r="AE26" s="15" t="str">
        <f aca="false">IF($AD26="No","Not checked – drug is IV only",IFERROR(INDEX('Route of Administration'!$O$5:$O$170,MATCH($E26&amp;"|"&amp;$C26,'Route of Administration'!$S$5:$S$170,0)),"Not checked – price ≤ USD 5"))</f>
        <v>Pass</v>
      </c>
    </row>
    <row r="27" customFormat="false" ht="15" hidden="false" customHeight="false" outlineLevel="0" collapsed="false">
      <c r="B27" s="16" t="n">
        <v>25</v>
      </c>
      <c r="C27" s="16" t="s">
        <v>507</v>
      </c>
      <c r="D27" s="16" t="s">
        <v>508</v>
      </c>
      <c r="E27" s="16" t="s">
        <v>322</v>
      </c>
      <c r="F27" s="16" t="s">
        <v>1598</v>
      </c>
      <c r="G27" s="17" t="s">
        <v>1599</v>
      </c>
      <c r="H27" s="16" t="s">
        <v>1533</v>
      </c>
      <c r="I27" s="18" t="n">
        <v>6.06</v>
      </c>
      <c r="J27" s="16" t="n">
        <v>1</v>
      </c>
      <c r="K27" s="16" t="n">
        <v>4</v>
      </c>
      <c r="L27" s="19" t="n">
        <v>570.1</v>
      </c>
      <c r="M27" s="17" t="s">
        <v>509</v>
      </c>
      <c r="N27" s="18" t="n">
        <v>6.06</v>
      </c>
      <c r="O27" s="16" t="s">
        <v>1534</v>
      </c>
      <c r="P27" s="16" t="s">
        <v>1535</v>
      </c>
      <c r="Q27" s="17" t="s">
        <v>1536</v>
      </c>
      <c r="R27" s="78" t="s">
        <v>1597</v>
      </c>
      <c r="S27" s="77" t="n">
        <f aca="false">IFERROR(INDEX('Injectable Value'!$Z$28:$Z$178,MATCH($C27,'Injectable Value'!$A$28:$A$178,0)),"")</f>
        <v>1</v>
      </c>
      <c r="T27" s="19" t="n">
        <f aca="false">IFERROR(ROUND(INDEX('Injectable Value'!$AA$28:$AA$178,MATCH($C27,'Injectable Value'!$A$28:$A$178,0)),1),"")</f>
        <v>570.1</v>
      </c>
      <c r="U27" s="17" t="s">
        <v>284</v>
      </c>
      <c r="V27" s="16" t="n">
        <v>1</v>
      </c>
      <c r="W27" s="16" t="s">
        <v>284</v>
      </c>
      <c r="X27" s="16" t="s">
        <v>281</v>
      </c>
      <c r="Y27" s="16" t="s">
        <v>333</v>
      </c>
      <c r="Z27" s="17" t="str">
        <f aca="false">IFERROR(INDEX(Scoring!$U:$U,MATCH($C27&amp;"|"&amp;$E27,Scoring!$AD:$AD,0)),"")</f>
        <v>Reconstitution</v>
      </c>
      <c r="AA27" s="16" t="str">
        <f aca="false">IFERROR(INDEX(Scoring!$E:$E,MATCH($C27&amp;"|"&amp;$E27,Scoring!$AD:$AD,0)),"")</f>
        <v>Priority 3</v>
      </c>
      <c r="AB27" s="19" t="n">
        <f aca="false">IFERROR(INDEX(Scoring!$M:$M,MATCH($C27&amp;"|"&amp;$E27,Scoring!$AD:$AD,0)),"")</f>
        <v>4</v>
      </c>
      <c r="AC27" s="16" t="str">
        <f aca="false">IFERROR(INDEX('Route of Administration'!$C$5:$C$155,MATCH($C27,'Route of Administration'!$A$5:$A$155,0)),"")</f>
        <v>IV, IM</v>
      </c>
      <c r="AD27" s="15" t="str">
        <f aca="false">IFERROR(INDEX('Route of Administration'!$D$5:$D$155,MATCH($C27,'Route of Administration'!$A$5:$A$155,0)),"")</f>
        <v>Yes</v>
      </c>
      <c r="AE27" s="15" t="str">
        <f aca="false">IF($AD27="No","Not checked – drug is IV only",IFERROR(INDEX('Route of Administration'!$O$5:$O$170,MATCH($E27&amp;"|"&amp;$C27,'Route of Administration'!$S$5:$S$170,0)),"Not checked – price ≤ USD 5"))</f>
        <v>Pass</v>
      </c>
    </row>
    <row r="28" customFormat="false" ht="15" hidden="false" customHeight="false" outlineLevel="0" collapsed="false">
      <c r="B28" s="16" t="n">
        <v>26</v>
      </c>
      <c r="C28" s="16" t="s">
        <v>75</v>
      </c>
      <c r="D28" s="16" t="s">
        <v>512</v>
      </c>
      <c r="E28" s="16" t="s">
        <v>322</v>
      </c>
      <c r="F28" s="16" t="s">
        <v>1600</v>
      </c>
      <c r="G28" s="17" t="s">
        <v>1601</v>
      </c>
      <c r="H28" s="16" t="s">
        <v>1540</v>
      </c>
      <c r="I28" s="18"/>
      <c r="J28" s="16" t="n">
        <v>1</v>
      </c>
      <c r="K28" s="16" t="n">
        <v>365</v>
      </c>
      <c r="L28" s="19" t="n">
        <v>5976.94</v>
      </c>
      <c r="M28" s="17" t="s">
        <v>513</v>
      </c>
      <c r="N28" s="18"/>
      <c r="O28" s="16" t="s">
        <v>1573</v>
      </c>
      <c r="P28" s="16" t="s">
        <v>112</v>
      </c>
      <c r="Q28" s="17" t="s">
        <v>112</v>
      </c>
      <c r="R28" s="16"/>
      <c r="S28" s="77" t="n">
        <f aca="false">IFERROR(INDEX('Injectable Value'!$Z$28:$Z$178,MATCH($C28,'Injectable Value'!$A$28:$A$178,0)),"")</f>
        <v>0.240571827983426</v>
      </c>
      <c r="T28" s="19" t="n">
        <f aca="false">IFERROR(ROUND(INDEX('Injectable Value'!$AA$28:$AA$178,MATCH($C28,'Injectable Value'!$A$28:$A$178,0)),1),"")</f>
        <v>1437.9</v>
      </c>
      <c r="U28" s="17" t="s">
        <v>516</v>
      </c>
      <c r="V28" s="16" t="n">
        <v>2</v>
      </c>
      <c r="W28" s="16" t="s">
        <v>515</v>
      </c>
      <c r="X28" s="16" t="s">
        <v>291</v>
      </c>
      <c r="Y28" s="16" t="s">
        <v>283</v>
      </c>
      <c r="Z28" s="17" t="str">
        <f aca="false">IFERROR(INDEX(Scoring!$U:$U,MATCH($C28&amp;"|"&amp;$E28,Scoring!$AD:$AD,0)),"")</f>
        <v/>
      </c>
      <c r="AA28" s="16" t="str">
        <f aca="false">IFERROR(INDEX(Scoring!$E:$E,MATCH($C28&amp;"|"&amp;$E28,Scoring!$AD:$AD,0)),"")</f>
        <v>Priority 2</v>
      </c>
      <c r="AB28" s="19" t="n">
        <f aca="false">IFERROR(INDEX(Scoring!$M:$M,MATCH($C28&amp;"|"&amp;$E28,Scoring!$AD:$AD,0)),"")</f>
        <v>88</v>
      </c>
      <c r="AC28" s="16" t="str">
        <f aca="false">IFERROR(INDEX('Route of Administration'!$C$5:$C$155,MATCH($C28,'Route of Administration'!$A$5:$A$155,0)),"")</f>
        <v>IV, IM, SC</v>
      </c>
      <c r="AD28" s="15" t="str">
        <f aca="false">IFERROR(INDEX('Route of Administration'!$D$5:$D$155,MATCH($C28,'Route of Administration'!$A$5:$A$155,0)),"")</f>
        <v>Yes</v>
      </c>
      <c r="AE28" s="15" t="str">
        <f aca="false">IF($AD28="No","Not checked – drug is IV only",IFERROR(INDEX('Route of Administration'!$O$5:$O$170,MATCH($E28&amp;"|"&amp;$C28,'Route of Administration'!$S$5:$S$170,0)),"Not checked – price ≤ USD 5"))</f>
        <v>Pass</v>
      </c>
    </row>
    <row r="29" customFormat="false" ht="28.35" hidden="false" customHeight="false" outlineLevel="0" collapsed="false">
      <c r="B29" s="16" t="n">
        <v>27</v>
      </c>
      <c r="C29" s="16" t="s">
        <v>75</v>
      </c>
      <c r="D29" s="16" t="s">
        <v>512</v>
      </c>
      <c r="E29" s="16" t="s">
        <v>322</v>
      </c>
      <c r="F29" s="16" t="s">
        <v>1602</v>
      </c>
      <c r="G29" s="17" t="s">
        <v>1603</v>
      </c>
      <c r="H29" s="16" t="s">
        <v>1533</v>
      </c>
      <c r="I29" s="18" t="n">
        <v>6.43</v>
      </c>
      <c r="J29" s="16" t="n">
        <v>1</v>
      </c>
      <c r="K29" s="16" t="n">
        <v>365</v>
      </c>
      <c r="L29" s="19" t="n">
        <v>5976.94</v>
      </c>
      <c r="M29" s="17" t="s">
        <v>513</v>
      </c>
      <c r="N29" s="18" t="n">
        <v>6.43</v>
      </c>
      <c r="O29" s="16" t="s">
        <v>1534</v>
      </c>
      <c r="P29" s="16" t="s">
        <v>1535</v>
      </c>
      <c r="Q29" s="17" t="s">
        <v>1536</v>
      </c>
      <c r="R29" s="78" t="s">
        <v>1604</v>
      </c>
      <c r="S29" s="77" t="n">
        <f aca="false">IFERROR(INDEX('Injectable Value'!$Z$28:$Z$178,MATCH($C29,'Injectable Value'!$A$28:$A$178,0)),"")</f>
        <v>0.240571827983426</v>
      </c>
      <c r="T29" s="19" t="n">
        <f aca="false">IFERROR(ROUND(INDEX('Injectable Value'!$AA$28:$AA$178,MATCH($C29,'Injectable Value'!$A$28:$A$178,0)),1),"")</f>
        <v>1437.9</v>
      </c>
      <c r="U29" s="17" t="s">
        <v>516</v>
      </c>
      <c r="V29" s="16" t="n">
        <v>2</v>
      </c>
      <c r="W29" s="16" t="s">
        <v>515</v>
      </c>
      <c r="X29" s="16" t="s">
        <v>281</v>
      </c>
      <c r="Y29" s="16" t="s">
        <v>283</v>
      </c>
      <c r="Z29" s="17" t="str">
        <f aca="false">IFERROR(INDEX(Scoring!$U:$U,MATCH($C29&amp;"|"&amp;$E29,Scoring!$AD:$AD,0)),"")</f>
        <v/>
      </c>
      <c r="AA29" s="16" t="str">
        <f aca="false">IFERROR(INDEX(Scoring!$E:$E,MATCH($C29&amp;"|"&amp;$E29,Scoring!$AD:$AD,0)),"")</f>
        <v>Priority 2</v>
      </c>
      <c r="AB29" s="19" t="n">
        <f aca="false">IFERROR(INDEX(Scoring!$M:$M,MATCH($C29&amp;"|"&amp;$E29,Scoring!$AD:$AD,0)),"")</f>
        <v>88</v>
      </c>
      <c r="AC29" s="16" t="str">
        <f aca="false">IFERROR(INDEX('Route of Administration'!$C$5:$C$155,MATCH($C29,'Route of Administration'!$A$5:$A$155,0)),"")</f>
        <v>IV, IM, SC</v>
      </c>
      <c r="AD29" s="15" t="str">
        <f aca="false">IFERROR(INDEX('Route of Administration'!$D$5:$D$155,MATCH($C29,'Route of Administration'!$A$5:$A$155,0)),"")</f>
        <v>Yes</v>
      </c>
      <c r="AE29" s="15" t="str">
        <f aca="false">IF($AD29="No","Not checked – drug is IV only",IFERROR(INDEX('Route of Administration'!$O$5:$O$170,MATCH($E29&amp;"|"&amp;$C29,'Route of Administration'!$S$5:$S$170,0)),"Not checked – price ≤ USD 5"))</f>
        <v>Pass</v>
      </c>
    </row>
    <row r="30" customFormat="false" ht="15" hidden="false" customHeight="false" outlineLevel="0" collapsed="false">
      <c r="B30" s="16" t="n">
        <v>28</v>
      </c>
      <c r="C30" s="16" t="s">
        <v>526</v>
      </c>
      <c r="D30" s="16" t="s">
        <v>527</v>
      </c>
      <c r="E30" s="16" t="s">
        <v>322</v>
      </c>
      <c r="F30" s="16" t="s">
        <v>1595</v>
      </c>
      <c r="G30" s="17" t="s">
        <v>1605</v>
      </c>
      <c r="H30" s="16" t="s">
        <v>1533</v>
      </c>
      <c r="I30" s="18" t="n">
        <v>10.93</v>
      </c>
      <c r="J30" s="16" t="n">
        <v>1</v>
      </c>
      <c r="K30" s="16" t="n">
        <v>10</v>
      </c>
      <c r="L30" s="19" t="n">
        <v>280.98</v>
      </c>
      <c r="M30" s="17" t="s">
        <v>509</v>
      </c>
      <c r="N30" s="18" t="n">
        <v>10.93</v>
      </c>
      <c r="O30" s="16" t="s">
        <v>1534</v>
      </c>
      <c r="P30" s="16" t="s">
        <v>1535</v>
      </c>
      <c r="Q30" s="17" t="s">
        <v>1536</v>
      </c>
      <c r="R30" s="78" t="s">
        <v>1606</v>
      </c>
      <c r="S30" s="77" t="n">
        <f aca="false">IFERROR(INDEX('Injectable Value'!$Z$28:$Z$178,MATCH($C30,'Injectable Value'!$A$28:$A$178,0)),"")</f>
        <v>0.928571428571429</v>
      </c>
      <c r="T30" s="19" t="n">
        <f aca="false">IFERROR(ROUND(INDEX('Injectable Value'!$AA$28:$AA$178,MATCH($C30,'Injectable Value'!$A$28:$A$178,0)),1),"")</f>
        <v>260.9</v>
      </c>
      <c r="U30" s="17" t="s">
        <v>284</v>
      </c>
      <c r="V30" s="16" t="n">
        <v>1</v>
      </c>
      <c r="W30" s="16" t="s">
        <v>284</v>
      </c>
      <c r="X30" s="16" t="s">
        <v>281</v>
      </c>
      <c r="Y30" s="16" t="s">
        <v>333</v>
      </c>
      <c r="Z30" s="17" t="str">
        <f aca="false">IFERROR(INDEX(Scoring!$U:$U,MATCH($C30&amp;"|"&amp;$E30,Scoring!$AD:$AD,0)),"")</f>
        <v>Reconstitution</v>
      </c>
      <c r="AA30" s="16" t="str">
        <f aca="false">IFERROR(INDEX(Scoring!$E:$E,MATCH($C30&amp;"|"&amp;$E30,Scoring!$AD:$AD,0)),"")</f>
        <v>Priority 3</v>
      </c>
      <c r="AB30" s="19" t="n">
        <f aca="false">IFERROR(INDEX(Scoring!$M:$M,MATCH($C30&amp;"|"&amp;$E30,Scoring!$AD:$AD,0)),"")</f>
        <v>9</v>
      </c>
      <c r="AC30" s="16" t="str">
        <f aca="false">IFERROR(INDEX('Route of Administration'!$C$5:$C$155,MATCH($C30,'Route of Administration'!$A$5:$A$155,0)),"")</f>
        <v>IV, IM</v>
      </c>
      <c r="AD30" s="15" t="str">
        <f aca="false">IFERROR(INDEX('Route of Administration'!$D$5:$D$155,MATCH($C30,'Route of Administration'!$A$5:$A$155,0)),"")</f>
        <v>Yes</v>
      </c>
      <c r="AE30" s="15" t="str">
        <f aca="false">IF($AD30="No","Not checked – drug is IV only",IFERROR(INDEX('Route of Administration'!$O$5:$O$170,MATCH($E30&amp;"|"&amp;$C30,'Route of Administration'!$S$5:$S$170,0)),"Not checked – price ≤ USD 5"))</f>
        <v>Pass</v>
      </c>
    </row>
    <row r="31" customFormat="false" ht="28.35" hidden="false" customHeight="false" outlineLevel="0" collapsed="false">
      <c r="B31" s="16" t="n">
        <v>29</v>
      </c>
      <c r="C31" s="16" t="s">
        <v>548</v>
      </c>
      <c r="D31" s="16" t="s">
        <v>548</v>
      </c>
      <c r="E31" s="16" t="s">
        <v>322</v>
      </c>
      <c r="F31" s="16" t="s">
        <v>1607</v>
      </c>
      <c r="G31" s="17" t="s">
        <v>1608</v>
      </c>
      <c r="H31" s="16" t="s">
        <v>1533</v>
      </c>
      <c r="I31" s="18" t="n">
        <v>22.25</v>
      </c>
      <c r="J31" s="16" t="n">
        <v>1</v>
      </c>
      <c r="K31" s="16" t="n">
        <v>736</v>
      </c>
      <c r="L31" s="19" t="n">
        <v>22018.81</v>
      </c>
      <c r="M31" s="17" t="s">
        <v>549</v>
      </c>
      <c r="N31" s="18" t="n">
        <v>22.25</v>
      </c>
      <c r="O31" s="16" t="s">
        <v>1534</v>
      </c>
      <c r="P31" s="16" t="s">
        <v>1535</v>
      </c>
      <c r="Q31" s="17" t="s">
        <v>1536</v>
      </c>
      <c r="R31" s="78" t="s">
        <v>1609</v>
      </c>
      <c r="S31" s="77" t="n">
        <f aca="false">IFERROR(INDEX('Injectable Value'!$Z$28:$Z$178,MATCH($C31,'Injectable Value'!$A$28:$A$178,0)),"")</f>
        <v>0.120198430249293</v>
      </c>
      <c r="T31" s="19" t="n">
        <f aca="false">IFERROR(ROUND(INDEX('Injectable Value'!$AA$28:$AA$178,MATCH($C31,'Injectable Value'!$A$28:$A$178,0)),1),"")</f>
        <v>2646.6</v>
      </c>
      <c r="U31" s="17" t="s">
        <v>284</v>
      </c>
      <c r="V31" s="16" t="n">
        <v>1</v>
      </c>
      <c r="W31" s="16" t="s">
        <v>284</v>
      </c>
      <c r="X31" s="16" t="s">
        <v>281</v>
      </c>
      <c r="Y31" s="16" t="s">
        <v>283</v>
      </c>
      <c r="Z31" s="17" t="str">
        <f aca="false">IFERROR(INDEX(Scoring!$U:$U,MATCH($C31&amp;"|"&amp;$E31,Scoring!$AD:$AD,0)),"")</f>
        <v/>
      </c>
      <c r="AA31" s="16" t="str">
        <f aca="false">IFERROR(INDEX(Scoring!$E:$E,MATCH($C31&amp;"|"&amp;$E31,Scoring!$AD:$AD,0)),"")</f>
        <v>Priority 3</v>
      </c>
      <c r="AB31" s="19" t="n">
        <f aca="false">IFERROR(INDEX(Scoring!$M:$M,MATCH($C31&amp;"|"&amp;$E31,Scoring!$AD:$AD,0)),"")</f>
        <v>88</v>
      </c>
      <c r="AC31" s="16" t="str">
        <f aca="false">IFERROR(INDEX('Route of Administration'!$C$5:$C$155,MATCH($C31,'Route of Administration'!$A$5:$A$155,0)),"")</f>
        <v>IM</v>
      </c>
      <c r="AD31" s="15" t="str">
        <f aca="false">IFERROR(INDEX('Route of Administration'!$D$5:$D$155,MATCH($C31,'Route of Administration'!$A$5:$A$155,0)),"")</f>
        <v>Yes</v>
      </c>
      <c r="AE31" s="15" t="str">
        <f aca="false">IF($AD31="No","Not checked – drug is IV only",IFERROR(INDEX('Route of Administration'!$O$5:$O$170,MATCH($E31&amp;"|"&amp;$C31,'Route of Administration'!$S$5:$S$170,0)),"Not checked – price ≤ USD 5"))</f>
        <v>Pass</v>
      </c>
    </row>
    <row r="32" customFormat="false" ht="41.75" hidden="false" customHeight="false" outlineLevel="0" collapsed="false">
      <c r="B32" s="16" t="n">
        <v>30</v>
      </c>
      <c r="C32" s="16" t="s">
        <v>573</v>
      </c>
      <c r="D32" s="16" t="s">
        <v>573</v>
      </c>
      <c r="E32" s="16" t="s">
        <v>322</v>
      </c>
      <c r="F32" s="16" t="s">
        <v>1610</v>
      </c>
      <c r="G32" s="17" t="s">
        <v>1611</v>
      </c>
      <c r="H32" s="16" t="s">
        <v>1533</v>
      </c>
      <c r="I32" s="18" t="n">
        <v>27.26</v>
      </c>
      <c r="J32" s="16" t="n">
        <v>1</v>
      </c>
      <c r="K32" s="16" t="n">
        <v>307</v>
      </c>
      <c r="L32" s="19" t="n">
        <v>7276.73</v>
      </c>
      <c r="M32" s="17" t="s">
        <v>574</v>
      </c>
      <c r="N32" s="18" t="n">
        <v>27.26</v>
      </c>
      <c r="O32" s="16" t="s">
        <v>1534</v>
      </c>
      <c r="P32" s="16" t="s">
        <v>1535</v>
      </c>
      <c r="Q32" s="17" t="s">
        <v>1536</v>
      </c>
      <c r="R32" s="78" t="s">
        <v>1612</v>
      </c>
      <c r="S32" s="77" t="n">
        <f aca="false">IFERROR(INDEX('Injectable Value'!$Z$28:$Z$178,MATCH($C32,'Injectable Value'!$A$28:$A$178,0)),"")</f>
        <v>0.947368421052632</v>
      </c>
      <c r="T32" s="19" t="n">
        <f aca="false">IFERROR(ROUND(INDEX('Injectable Value'!$AA$28:$AA$178,MATCH($C32,'Injectable Value'!$A$28:$A$178,0)),1),"")</f>
        <v>6893.7</v>
      </c>
      <c r="U32" s="17" t="s">
        <v>284</v>
      </c>
      <c r="V32" s="16" t="n">
        <v>1</v>
      </c>
      <c r="W32" s="16" t="s">
        <v>284</v>
      </c>
      <c r="X32" s="16" t="s">
        <v>281</v>
      </c>
      <c r="Y32" s="16" t="s">
        <v>283</v>
      </c>
      <c r="Z32" s="17" t="str">
        <f aca="false">IFERROR(INDEX(Scoring!$U:$U,MATCH($C32&amp;"|"&amp;$E32,Scoring!$AD:$AD,0)),"")</f>
        <v/>
      </c>
      <c r="AA32" s="16" t="str">
        <f aca="false">IFERROR(INDEX(Scoring!$E:$E,MATCH($C32&amp;"|"&amp;$E32,Scoring!$AD:$AD,0)),"")</f>
        <v>Priority 2</v>
      </c>
      <c r="AB32" s="19" t="n">
        <f aca="false">IFERROR(INDEX(Scoring!$M:$M,MATCH($C32&amp;"|"&amp;$E32,Scoring!$AD:$AD,0)),"")</f>
        <v>291</v>
      </c>
      <c r="AC32" s="16" t="str">
        <f aca="false">IFERROR(INDEX('Route of Administration'!$C$5:$C$155,MATCH($C32,'Route of Administration'!$A$5:$A$155,0)),"")</f>
        <v>IM</v>
      </c>
      <c r="AD32" s="15" t="str">
        <f aca="false">IFERROR(INDEX('Route of Administration'!$D$5:$D$155,MATCH($C32,'Route of Administration'!$A$5:$A$155,0)),"")</f>
        <v>Yes</v>
      </c>
      <c r="AE32" s="15" t="str">
        <f aca="false">IF($AD32="No","Not checked – drug is IV only",IFERROR(INDEX('Route of Administration'!$O$5:$O$170,MATCH($E32&amp;"|"&amp;$C32,'Route of Administration'!$S$5:$S$170,0)),"Not checked – price ≤ USD 5"))</f>
        <v>Pass</v>
      </c>
    </row>
    <row r="33" customFormat="false" ht="55.2" hidden="false" customHeight="false" outlineLevel="0" collapsed="false">
      <c r="B33" s="16" t="n">
        <v>31</v>
      </c>
      <c r="C33" s="16" t="s">
        <v>573</v>
      </c>
      <c r="D33" s="16" t="s">
        <v>573</v>
      </c>
      <c r="E33" s="16" t="s">
        <v>322</v>
      </c>
      <c r="F33" s="16" t="s">
        <v>1613</v>
      </c>
      <c r="G33" s="17" t="s">
        <v>1614</v>
      </c>
      <c r="H33" s="16" t="s">
        <v>1533</v>
      </c>
      <c r="I33" s="18" t="n">
        <v>14</v>
      </c>
      <c r="J33" s="16" t="n">
        <v>1</v>
      </c>
      <c r="K33" s="16" t="n">
        <v>307</v>
      </c>
      <c r="L33" s="19" t="n">
        <v>7276.73</v>
      </c>
      <c r="M33" s="17" t="s">
        <v>574</v>
      </c>
      <c r="N33" s="18" t="n">
        <v>14</v>
      </c>
      <c r="O33" s="16" t="s">
        <v>1534</v>
      </c>
      <c r="P33" s="16" t="s">
        <v>1535</v>
      </c>
      <c r="Q33" s="17" t="s">
        <v>1536</v>
      </c>
      <c r="R33" s="78" t="s">
        <v>1612</v>
      </c>
      <c r="S33" s="77" t="n">
        <f aca="false">IFERROR(INDEX('Injectable Value'!$Z$28:$Z$178,MATCH($C33,'Injectable Value'!$A$28:$A$178,0)),"")</f>
        <v>0.947368421052632</v>
      </c>
      <c r="T33" s="19" t="n">
        <f aca="false">IFERROR(ROUND(INDEX('Injectable Value'!$AA$28:$AA$178,MATCH($C33,'Injectable Value'!$A$28:$A$178,0)),1),"")</f>
        <v>6893.7</v>
      </c>
      <c r="U33" s="17" t="s">
        <v>284</v>
      </c>
      <c r="V33" s="16" t="n">
        <v>1</v>
      </c>
      <c r="W33" s="16" t="s">
        <v>284</v>
      </c>
      <c r="X33" s="16" t="s">
        <v>281</v>
      </c>
      <c r="Y33" s="16" t="s">
        <v>283</v>
      </c>
      <c r="Z33" s="17" t="str">
        <f aca="false">IFERROR(INDEX(Scoring!$U:$U,MATCH($C33&amp;"|"&amp;$E33,Scoring!$AD:$AD,0)),"")</f>
        <v/>
      </c>
      <c r="AA33" s="16" t="str">
        <f aca="false">IFERROR(INDEX(Scoring!$E:$E,MATCH($C33&amp;"|"&amp;$E33,Scoring!$AD:$AD,0)),"")</f>
        <v>Priority 2</v>
      </c>
      <c r="AB33" s="19" t="n">
        <f aca="false">IFERROR(INDEX(Scoring!$M:$M,MATCH($C33&amp;"|"&amp;$E33,Scoring!$AD:$AD,0)),"")</f>
        <v>291</v>
      </c>
      <c r="AC33" s="16" t="str">
        <f aca="false">IFERROR(INDEX('Route of Administration'!$C$5:$C$155,MATCH($C33,'Route of Administration'!$A$5:$A$155,0)),"")</f>
        <v>IM</v>
      </c>
      <c r="AD33" s="15" t="str">
        <f aca="false">IFERROR(INDEX('Route of Administration'!$D$5:$D$155,MATCH($C33,'Route of Administration'!$A$5:$A$155,0)),"")</f>
        <v>Yes</v>
      </c>
      <c r="AE33" s="15" t="str">
        <f aca="false">IF($AD33="No","Not checked – drug is IV only",IFERROR(INDEX('Route of Administration'!$O$5:$O$170,MATCH($E33&amp;"|"&amp;$C33,'Route of Administration'!$S$5:$S$170,0)),"Not checked – price ≤ USD 5"))</f>
        <v>Pass</v>
      </c>
    </row>
    <row r="34" customFormat="false" ht="28.35" hidden="false" customHeight="false" outlineLevel="0" collapsed="false">
      <c r="B34" s="16" t="n">
        <v>32</v>
      </c>
      <c r="C34" s="16" t="s">
        <v>577</v>
      </c>
      <c r="D34" s="16" t="s">
        <v>577</v>
      </c>
      <c r="E34" s="16" t="s">
        <v>322</v>
      </c>
      <c r="F34" s="16" t="s">
        <v>1613</v>
      </c>
      <c r="G34" s="17" t="s">
        <v>1615</v>
      </c>
      <c r="H34" s="16" t="s">
        <v>1533</v>
      </c>
      <c r="I34" s="18" t="n">
        <v>36.17</v>
      </c>
      <c r="J34" s="16" t="n">
        <v>1</v>
      </c>
      <c r="K34" s="16" t="n">
        <v>448</v>
      </c>
      <c r="L34" s="19" t="n">
        <v>1202.23</v>
      </c>
      <c r="M34" s="17" t="s">
        <v>578</v>
      </c>
      <c r="N34" s="18" t="n">
        <v>36.17</v>
      </c>
      <c r="O34" s="16" t="s">
        <v>1534</v>
      </c>
      <c r="P34" s="16" t="s">
        <v>1535</v>
      </c>
      <c r="Q34" s="17" t="s">
        <v>1536</v>
      </c>
      <c r="R34" s="78" t="s">
        <v>1612</v>
      </c>
      <c r="S34" s="77" t="n">
        <f aca="false">IFERROR(INDEX('Injectable Value'!$Z$28:$Z$178,MATCH($C34,'Injectable Value'!$A$28:$A$178,0)),"")</f>
        <v>1</v>
      </c>
      <c r="T34" s="19" t="n">
        <f aca="false">IFERROR(ROUND(INDEX('Injectable Value'!$AA$28:$AA$178,MATCH($C34,'Injectable Value'!$A$28:$A$178,0)),1),"")</f>
        <v>1202.2</v>
      </c>
      <c r="U34" s="17" t="s">
        <v>284</v>
      </c>
      <c r="V34" s="16" t="n">
        <v>1</v>
      </c>
      <c r="W34" s="16" t="s">
        <v>284</v>
      </c>
      <c r="X34" s="16" t="s">
        <v>281</v>
      </c>
      <c r="Y34" s="16" t="s">
        <v>283</v>
      </c>
      <c r="Z34" s="17" t="str">
        <f aca="false">IFERROR(INDEX(Scoring!$U:$U,MATCH($C34&amp;"|"&amp;$E34,Scoring!$AD:$AD,0)),"")</f>
        <v/>
      </c>
      <c r="AA34" s="16" t="str">
        <f aca="false">IFERROR(INDEX(Scoring!$E:$E,MATCH($C34&amp;"|"&amp;$E34,Scoring!$AD:$AD,0)),"")</f>
        <v>Priority 1</v>
      </c>
      <c r="AB34" s="19" t="n">
        <f aca="false">IFERROR(INDEX(Scoring!$M:$M,MATCH($C34&amp;"|"&amp;$E34,Scoring!$AD:$AD,0)),"")</f>
        <v>448</v>
      </c>
      <c r="AC34" s="16" t="str">
        <f aca="false">IFERROR(INDEX('Route of Administration'!$C$5:$C$155,MATCH($C34,'Route of Administration'!$A$5:$A$155,0)),"")</f>
        <v>IM, SC</v>
      </c>
      <c r="AD34" s="15" t="str">
        <f aca="false">IFERROR(INDEX('Route of Administration'!$D$5:$D$155,MATCH($C34,'Route of Administration'!$A$5:$A$155,0)),"")</f>
        <v>Yes</v>
      </c>
      <c r="AE34" s="15" t="str">
        <f aca="false">IF($AD34="No","Not checked – drug is IV only",IFERROR(INDEX('Route of Administration'!$O$5:$O$170,MATCH($E34&amp;"|"&amp;$C34,'Route of Administration'!$S$5:$S$170,0)),"Not checked – price ≤ USD 5"))</f>
        <v>Pass</v>
      </c>
    </row>
    <row r="35" customFormat="false" ht="41.75" hidden="false" customHeight="false" outlineLevel="0" collapsed="false">
      <c r="B35" s="16" t="n">
        <v>33</v>
      </c>
      <c r="C35" s="16" t="s">
        <v>308</v>
      </c>
      <c r="D35" s="16" t="s">
        <v>308</v>
      </c>
      <c r="E35" s="16" t="s">
        <v>322</v>
      </c>
      <c r="F35" s="16" t="s">
        <v>1552</v>
      </c>
      <c r="G35" s="17" t="s">
        <v>1553</v>
      </c>
      <c r="H35" s="16" t="s">
        <v>1553</v>
      </c>
      <c r="I35" s="18"/>
      <c r="J35" s="16" t="n">
        <v>1</v>
      </c>
      <c r="K35" s="16" t="n">
        <v>735</v>
      </c>
      <c r="L35" s="19" t="n">
        <v>16205.48</v>
      </c>
      <c r="M35" s="17" t="s">
        <v>309</v>
      </c>
      <c r="N35" s="82" t="n">
        <v>3.15</v>
      </c>
      <c r="O35" s="64" t="s">
        <v>1541</v>
      </c>
      <c r="P35" s="16" t="s">
        <v>1535</v>
      </c>
      <c r="Q35" s="17" t="s">
        <v>1542</v>
      </c>
      <c r="R35" s="78" t="s">
        <v>1543</v>
      </c>
      <c r="S35" s="77" t="n">
        <f aca="false">IFERROR(INDEX('Injectable Value'!$Z$28:$Z$178,MATCH($C35,'Injectable Value'!$A$28:$A$178,0)),"")</f>
        <v>0.262678151411075</v>
      </c>
      <c r="T35" s="19" t="n">
        <f aca="false">IFERROR(ROUND(INDEX('Injectable Value'!$AA$28:$AA$178,MATCH($C35,'Injectable Value'!$A$28:$A$178,0)),1),"")</f>
        <v>4256.8</v>
      </c>
      <c r="U35" s="17" t="s">
        <v>284</v>
      </c>
      <c r="V35" s="16" t="n">
        <v>1</v>
      </c>
      <c r="W35" s="16" t="s">
        <v>284</v>
      </c>
      <c r="X35" s="16" t="s">
        <v>310</v>
      </c>
      <c r="Y35" s="16" t="s">
        <v>310</v>
      </c>
      <c r="Z35" s="17" t="str">
        <f aca="false">IFERROR(INDEX(Scoring!$U:$U,MATCH($C35&amp;"|"&amp;$E35,Scoring!$AD:$AD,0)),"")</f>
        <v/>
      </c>
      <c r="AA35" s="16" t="str">
        <f aca="false">IFERROR(INDEX(Scoring!$E:$E,MATCH($C35&amp;"|"&amp;$E35,Scoring!$AD:$AD,0)),"")</f>
        <v>Excluded – price ≤ USD 5</v>
      </c>
      <c r="AB35" s="19" t="n">
        <f aca="false">IFERROR(INDEX(Scoring!$M:$M,MATCH($C35&amp;"|"&amp;$E35,Scoring!$AD:$AD,0)),"")</f>
        <v>193</v>
      </c>
      <c r="AC35" s="16" t="str">
        <f aca="false">IFERROR(INDEX('Route of Administration'!$C$5:$C$155,MATCH($C35,'Route of Administration'!$A$5:$A$155,0)),"")</f>
        <v>IM</v>
      </c>
      <c r="AD35" s="15" t="str">
        <f aca="false">IFERROR(INDEX('Route of Administration'!$D$5:$D$155,MATCH($C35,'Route of Administration'!$A$5:$A$155,0)),"")</f>
        <v>Yes</v>
      </c>
      <c r="AE35" s="15" t="str">
        <f aca="false">IF($AD35="No","Not checked – drug is IV only",IFERROR(INDEX('Route of Administration'!$O$5:$O$170,MATCH($E35&amp;"|"&amp;$C35,'Route of Administration'!$S$5:$S$170,0)),"Not checked – price ≤ USD 5"))</f>
        <v>Not checked – price ≤ USD 5</v>
      </c>
    </row>
    <row r="36" customFormat="false" ht="28.35" hidden="false" customHeight="false" outlineLevel="0" collapsed="false">
      <c r="B36" s="16" t="n">
        <v>34</v>
      </c>
      <c r="C36" s="16" t="s">
        <v>594</v>
      </c>
      <c r="D36" s="16" t="s">
        <v>595</v>
      </c>
      <c r="E36" s="16" t="s">
        <v>322</v>
      </c>
      <c r="F36" s="16" t="s">
        <v>1616</v>
      </c>
      <c r="G36" s="17" t="s">
        <v>1617</v>
      </c>
      <c r="H36" s="16" t="s">
        <v>1533</v>
      </c>
      <c r="I36" s="18"/>
      <c r="J36" s="16" t="n">
        <v>1</v>
      </c>
      <c r="K36" s="16" t="n">
        <v>208</v>
      </c>
      <c r="L36" s="19" t="n">
        <v>3923.58</v>
      </c>
      <c r="M36" s="17" t="s">
        <v>596</v>
      </c>
      <c r="N36" s="82" t="n">
        <v>7.95</v>
      </c>
      <c r="O36" s="64" t="s">
        <v>1541</v>
      </c>
      <c r="P36" s="16" t="s">
        <v>1561</v>
      </c>
      <c r="Q36" s="17" t="s">
        <v>1618</v>
      </c>
      <c r="R36" s="78" t="s">
        <v>1619</v>
      </c>
      <c r="S36" s="77" t="n">
        <f aca="false">IFERROR(INDEX('Injectable Value'!$Z$28:$Z$178,MATCH($C36,'Injectable Value'!$A$28:$A$178,0)),"")</f>
        <v>1</v>
      </c>
      <c r="T36" s="19" t="n">
        <f aca="false">IFERROR(ROUND(INDEX('Injectable Value'!$AA$28:$AA$178,MATCH($C36,'Injectable Value'!$A$28:$A$178,0)),1),"")</f>
        <v>3923.6</v>
      </c>
      <c r="U36" s="17" t="s">
        <v>284</v>
      </c>
      <c r="V36" s="16" t="n">
        <v>1</v>
      </c>
      <c r="W36" s="16" t="s">
        <v>284</v>
      </c>
      <c r="X36" s="16" t="s">
        <v>281</v>
      </c>
      <c r="Y36" s="16" t="s">
        <v>310</v>
      </c>
      <c r="Z36" s="17" t="str">
        <f aca="false">IFERROR(INDEX(Scoring!$U:$U,MATCH($C36&amp;"|"&amp;$E36,Scoring!$AD:$AD,0)),"")</f>
        <v/>
      </c>
      <c r="AA36" s="16" t="str">
        <f aca="false">IFERROR(INDEX(Scoring!$E:$E,MATCH($C36&amp;"|"&amp;$E36,Scoring!$AD:$AD,0)),"")</f>
        <v>Excluded – IV only</v>
      </c>
      <c r="AB36" s="19" t="n">
        <f aca="false">IFERROR(INDEX(Scoring!$M:$M,MATCH($C36&amp;"|"&amp;$E36,Scoring!$AD:$AD,0)),"")</f>
        <v>208</v>
      </c>
      <c r="AC36" s="16" t="str">
        <f aca="false">IFERROR(INDEX('Route of Administration'!$C$5:$C$155,MATCH($C36,'Route of Administration'!$A$5:$A$155,0)),"")</f>
        <v>IV</v>
      </c>
      <c r="AD36" s="15" t="str">
        <f aca="false">IFERROR(INDEX('Route of Administration'!$D$5:$D$155,MATCH($C36,'Route of Administration'!$A$5:$A$155,0)),"")</f>
        <v>No</v>
      </c>
      <c r="AE36" s="15" t="str">
        <f aca="false">IF($AD36="No","Not checked – drug is IV only",IFERROR(INDEX('Route of Administration'!$O$5:$O$170,MATCH($E36&amp;"|"&amp;$C36,'Route of Administration'!$S$5:$S$170,0)),"Not checked – price ≤ USD 5"))</f>
        <v>Not checked – drug is IV only</v>
      </c>
    </row>
    <row r="37" customFormat="false" ht="28.35" hidden="false" customHeight="false" outlineLevel="0" collapsed="false">
      <c r="B37" s="16" t="n">
        <v>35</v>
      </c>
      <c r="C37" s="16" t="s">
        <v>594</v>
      </c>
      <c r="D37" s="16" t="s">
        <v>595</v>
      </c>
      <c r="E37" s="16" t="s">
        <v>322</v>
      </c>
      <c r="F37" s="16" t="s">
        <v>1620</v>
      </c>
      <c r="G37" s="17" t="s">
        <v>1621</v>
      </c>
      <c r="H37" s="16" t="s">
        <v>1533</v>
      </c>
      <c r="I37" s="18"/>
      <c r="J37" s="16" t="n">
        <v>1</v>
      </c>
      <c r="K37" s="16" t="n">
        <v>208</v>
      </c>
      <c r="L37" s="19" t="n">
        <v>3923.58</v>
      </c>
      <c r="M37" s="17" t="s">
        <v>596</v>
      </c>
      <c r="N37" s="18"/>
      <c r="O37" s="16" t="s">
        <v>1573</v>
      </c>
      <c r="P37" s="16" t="s">
        <v>112</v>
      </c>
      <c r="Q37" s="17" t="s">
        <v>112</v>
      </c>
      <c r="R37" s="16"/>
      <c r="S37" s="77" t="n">
        <f aca="false">IFERROR(INDEX('Injectable Value'!$Z$28:$Z$178,MATCH($C37,'Injectable Value'!$A$28:$A$178,0)),"")</f>
        <v>1</v>
      </c>
      <c r="T37" s="19" t="n">
        <f aca="false">IFERROR(ROUND(INDEX('Injectable Value'!$AA$28:$AA$178,MATCH($C37,'Injectable Value'!$A$28:$A$178,0)),1),"")</f>
        <v>3923.6</v>
      </c>
      <c r="U37" s="17" t="s">
        <v>284</v>
      </c>
      <c r="V37" s="16" t="n">
        <v>1</v>
      </c>
      <c r="W37" s="16" t="s">
        <v>284</v>
      </c>
      <c r="X37" s="16" t="s">
        <v>281</v>
      </c>
      <c r="Y37" s="16" t="s">
        <v>310</v>
      </c>
      <c r="Z37" s="17" t="str">
        <f aca="false">IFERROR(INDEX(Scoring!$U:$U,MATCH($C37&amp;"|"&amp;$E37,Scoring!$AD:$AD,0)),"")</f>
        <v/>
      </c>
      <c r="AA37" s="16" t="str">
        <f aca="false">IFERROR(INDEX(Scoring!$E:$E,MATCH($C37&amp;"|"&amp;$E37,Scoring!$AD:$AD,0)),"")</f>
        <v>Excluded – IV only</v>
      </c>
      <c r="AB37" s="19" t="n">
        <f aca="false">IFERROR(INDEX(Scoring!$M:$M,MATCH($C37&amp;"|"&amp;$E37,Scoring!$AD:$AD,0)),"")</f>
        <v>208</v>
      </c>
      <c r="AC37" s="16" t="str">
        <f aca="false">IFERROR(INDEX('Route of Administration'!$C$5:$C$155,MATCH($C37,'Route of Administration'!$A$5:$A$155,0)),"")</f>
        <v>IV</v>
      </c>
      <c r="AD37" s="15" t="str">
        <f aca="false">IFERROR(INDEX('Route of Administration'!$D$5:$D$155,MATCH($C37,'Route of Administration'!$A$5:$A$155,0)),"")</f>
        <v>No</v>
      </c>
      <c r="AE37" s="15" t="str">
        <f aca="false">IF($AD37="No","Not checked – drug is IV only",IFERROR(INDEX('Route of Administration'!$O$5:$O$170,MATCH($E37&amp;"|"&amp;$C37,'Route of Administration'!$S$5:$S$170,0)),"Not checked – price ≤ USD 5"))</f>
        <v>Not checked – drug is IV only</v>
      </c>
    </row>
    <row r="38" customFormat="false" ht="41.75" hidden="false" customHeight="false" outlineLevel="0" collapsed="false">
      <c r="B38" s="16" t="n">
        <v>36</v>
      </c>
      <c r="C38" s="16" t="s">
        <v>599</v>
      </c>
      <c r="D38" s="16" t="s">
        <v>600</v>
      </c>
      <c r="E38" s="16" t="s">
        <v>322</v>
      </c>
      <c r="F38" s="16" t="s">
        <v>1622</v>
      </c>
      <c r="G38" s="17" t="s">
        <v>1623</v>
      </c>
      <c r="H38" s="16" t="s">
        <v>1533</v>
      </c>
      <c r="I38" s="18" t="n">
        <v>13.63</v>
      </c>
      <c r="J38" s="16" t="n">
        <v>1</v>
      </c>
      <c r="K38" s="16" t="n">
        <v>374</v>
      </c>
      <c r="L38" s="19" t="n">
        <v>13615.47</v>
      </c>
      <c r="M38" s="17" t="s">
        <v>601</v>
      </c>
      <c r="N38" s="18" t="n">
        <v>13.63</v>
      </c>
      <c r="O38" s="16" t="s">
        <v>1534</v>
      </c>
      <c r="P38" s="16" t="s">
        <v>1535</v>
      </c>
      <c r="Q38" s="17" t="s">
        <v>1536</v>
      </c>
      <c r="R38" s="78" t="s">
        <v>1624</v>
      </c>
      <c r="S38" s="77" t="n">
        <f aca="false">IFERROR(INDEX('Injectable Value'!$Z$28:$Z$178,MATCH($C38,'Injectable Value'!$A$28:$A$178,0)),"")</f>
        <v>0.18191811645244</v>
      </c>
      <c r="T38" s="19" t="n">
        <f aca="false">IFERROR(ROUND(INDEX('Injectable Value'!$AA$28:$AA$178,MATCH($C38,'Injectable Value'!$A$28:$A$178,0)),1),"")</f>
        <v>2476.9</v>
      </c>
      <c r="U38" s="17" t="s">
        <v>284</v>
      </c>
      <c r="V38" s="16" t="n">
        <v>1</v>
      </c>
      <c r="W38" s="16" t="s">
        <v>284</v>
      </c>
      <c r="X38" s="16" t="s">
        <v>281</v>
      </c>
      <c r="Y38" s="16" t="s">
        <v>283</v>
      </c>
      <c r="Z38" s="17" t="str">
        <f aca="false">IFERROR(INDEX(Scoring!$U:$U,MATCH($C38&amp;"|"&amp;$E38,Scoring!$AD:$AD,0)),"")</f>
        <v/>
      </c>
      <c r="AA38" s="16" t="str">
        <f aca="false">IFERROR(INDEX(Scoring!$E:$E,MATCH($C38&amp;"|"&amp;$E38,Scoring!$AD:$AD,0)),"")</f>
        <v>Excluded – IV only</v>
      </c>
      <c r="AB38" s="19" t="n">
        <f aca="false">IFERROR(INDEX(Scoring!$M:$M,MATCH($C38&amp;"|"&amp;$E38,Scoring!$AD:$AD,0)),"")</f>
        <v>68</v>
      </c>
      <c r="AC38" s="16" t="str">
        <f aca="false">IFERROR(INDEX('Route of Administration'!$C$5:$C$155,MATCH($C38,'Route of Administration'!$A$5:$A$155,0)),"")</f>
        <v>IV</v>
      </c>
      <c r="AD38" s="15" t="str">
        <f aca="false">IFERROR(INDEX('Route of Administration'!$D$5:$D$155,MATCH($C38,'Route of Administration'!$A$5:$A$155,0)),"")</f>
        <v>No</v>
      </c>
      <c r="AE38" s="15" t="str">
        <f aca="false">IF($AD38="No","Not checked – drug is IV only",IFERROR(INDEX('Route of Administration'!$O$5:$O$170,MATCH($E38&amp;"|"&amp;$C38,'Route of Administration'!$S$5:$S$170,0)),"Not checked – price ≤ USD 5"))</f>
        <v>Not checked – drug is IV only</v>
      </c>
    </row>
    <row r="39" customFormat="false" ht="28.35" hidden="false" customHeight="false" outlineLevel="0" collapsed="false">
      <c r="B39" s="16" t="n">
        <v>37</v>
      </c>
      <c r="C39" s="16" t="s">
        <v>419</v>
      </c>
      <c r="D39" s="16" t="s">
        <v>1625</v>
      </c>
      <c r="E39" s="16" t="s">
        <v>322</v>
      </c>
      <c r="F39" s="16" t="s">
        <v>1595</v>
      </c>
      <c r="G39" s="17" t="s">
        <v>1626</v>
      </c>
      <c r="H39" s="16" t="s">
        <v>1533</v>
      </c>
      <c r="I39" s="18" t="n">
        <v>10.02</v>
      </c>
      <c r="J39" s="16" t="n">
        <v>1</v>
      </c>
      <c r="K39" s="16" t="n">
        <v>223</v>
      </c>
      <c r="L39" s="19" t="n">
        <v>53539.87</v>
      </c>
      <c r="M39" s="17" t="s">
        <v>421</v>
      </c>
      <c r="N39" s="18" t="n">
        <v>10.02</v>
      </c>
      <c r="O39" s="16" t="s">
        <v>1534</v>
      </c>
      <c r="P39" s="16" t="s">
        <v>1535</v>
      </c>
      <c r="Q39" s="17" t="s">
        <v>1536</v>
      </c>
      <c r="R39" s="78" t="s">
        <v>1627</v>
      </c>
      <c r="S39" s="77" t="n">
        <f aca="false">IFERROR(INDEX('Injectable Value'!$Z$28:$Z$178,MATCH($C39,'Injectable Value'!$A$28:$A$178,0)),"")</f>
        <v>1</v>
      </c>
      <c r="T39" s="19" t="n">
        <f aca="false">IFERROR(ROUND(INDEX('Injectable Value'!$AA$28:$AA$178,MATCH($C39,'Injectable Value'!$A$28:$A$178,0)),1),"")</f>
        <v>53539.9</v>
      </c>
      <c r="U39" s="17" t="s">
        <v>424</v>
      </c>
      <c r="V39" s="16" t="n">
        <v>10</v>
      </c>
      <c r="W39" s="16" t="s">
        <v>423</v>
      </c>
      <c r="X39" s="16" t="s">
        <v>281</v>
      </c>
      <c r="Y39" s="16" t="s">
        <v>310</v>
      </c>
      <c r="Z39" s="17" t="str">
        <f aca="false">IFERROR(INDEX(Scoring!$U:$U,MATCH($C39&amp;"|"&amp;$E39,Scoring!$AD:$AD,0)),"")</f>
        <v>Reconstitution</v>
      </c>
      <c r="AA39" s="16" t="str">
        <f aca="false">IFERROR(INDEX(Scoring!$E:$E,MATCH($C39&amp;"|"&amp;$E39,Scoring!$AD:$AD,0)),"")</f>
        <v>Priority 1</v>
      </c>
      <c r="AB39" s="19" t="n">
        <f aca="false">IFERROR(INDEX(Scoring!$M:$M,MATCH($C39&amp;"|"&amp;$E39,Scoring!$AD:$AD,0)),"")</f>
        <v>223</v>
      </c>
      <c r="AC39" s="16" t="str">
        <f aca="false">IFERROR(INDEX('Route of Administration'!$C$5:$C$155,MATCH($C39,'Route of Administration'!$A$5:$A$155,0)),"")</f>
        <v>IV, IM</v>
      </c>
      <c r="AD39" s="15" t="str">
        <f aca="false">IFERROR(INDEX('Route of Administration'!$D$5:$D$155,MATCH($C39,'Route of Administration'!$A$5:$A$155,0)),"")</f>
        <v>Yes</v>
      </c>
      <c r="AE39" s="15" t="str">
        <f aca="false">IF($AD39="No","Not checked – drug is IV only",IFERROR(INDEX('Route of Administration'!$O$5:$O$170,MATCH($E39&amp;"|"&amp;$C39,'Route of Administration'!$S$5:$S$170,0)),"Not checked – price ≤ USD 5"))</f>
        <v>Pass</v>
      </c>
    </row>
    <row r="40" customFormat="false" ht="41.75" hidden="false" customHeight="false" outlineLevel="0" collapsed="false">
      <c r="B40" s="16" t="n">
        <v>38</v>
      </c>
      <c r="C40" s="16" t="s">
        <v>466</v>
      </c>
      <c r="D40" s="16" t="s">
        <v>467</v>
      </c>
      <c r="E40" s="16" t="s">
        <v>322</v>
      </c>
      <c r="F40" s="16" t="s">
        <v>1628</v>
      </c>
      <c r="G40" s="17" t="s">
        <v>1629</v>
      </c>
      <c r="H40" s="16" t="s">
        <v>1540</v>
      </c>
      <c r="I40" s="18" t="n">
        <v>125</v>
      </c>
      <c r="J40" s="16" t="n">
        <v>1</v>
      </c>
      <c r="K40" s="16" t="n">
        <v>116</v>
      </c>
      <c r="L40" s="19" t="n">
        <v>1162.12</v>
      </c>
      <c r="M40" s="17" t="s">
        <v>468</v>
      </c>
      <c r="N40" s="18" t="n">
        <v>125</v>
      </c>
      <c r="O40" s="16" t="s">
        <v>1534</v>
      </c>
      <c r="P40" s="16" t="s">
        <v>1535</v>
      </c>
      <c r="Q40" s="17" t="s">
        <v>1536</v>
      </c>
      <c r="R40" s="78" t="s">
        <v>1630</v>
      </c>
      <c r="S40" s="77" t="n">
        <f aca="false">IFERROR(INDEX('Injectable Value'!$Z$28:$Z$178,MATCH($C40,'Injectable Value'!$A$28:$A$178,0)),"")</f>
        <v>0.444974105461394</v>
      </c>
      <c r="T40" s="19" t="n">
        <f aca="false">IFERROR(ROUND(INDEX('Injectable Value'!$AA$28:$AA$178,MATCH($C40,'Injectable Value'!$A$28:$A$178,0)),1),"")</f>
        <v>517.1</v>
      </c>
      <c r="U40" s="17" t="s">
        <v>284</v>
      </c>
      <c r="V40" s="16" t="n">
        <v>1</v>
      </c>
      <c r="W40" s="16" t="s">
        <v>284</v>
      </c>
      <c r="X40" s="16" t="s">
        <v>291</v>
      </c>
      <c r="Y40" s="16" t="s">
        <v>283</v>
      </c>
      <c r="Z40" s="17" t="str">
        <f aca="false">IFERROR(INDEX(Scoring!$U:$U,MATCH($C40&amp;"|"&amp;$E40,Scoring!$AD:$AD,0)),"")</f>
        <v>Prefilled only</v>
      </c>
      <c r="AA40" s="16" t="str">
        <f aca="false">IFERROR(INDEX(Scoring!$E:$E,MATCH($C40&amp;"|"&amp;$E40,Scoring!$AD:$AD,0)),"")</f>
        <v>Excluded – IV only</v>
      </c>
      <c r="AB40" s="19" t="n">
        <f aca="false">IFERROR(INDEX(Scoring!$M:$M,MATCH($C40&amp;"|"&amp;$E40,Scoring!$AD:$AD,0)),"")</f>
        <v>52</v>
      </c>
      <c r="AC40" s="16" t="str">
        <f aca="false">IFERROR(INDEX('Route of Administration'!$C$5:$C$155,MATCH($C40,'Route of Administration'!$A$5:$A$155,0)),"")</f>
        <v>IV</v>
      </c>
      <c r="AD40" s="15" t="str">
        <f aca="false">IFERROR(INDEX('Route of Administration'!$D$5:$D$155,MATCH($C40,'Route of Administration'!$A$5:$A$155,0)),"")</f>
        <v>No</v>
      </c>
      <c r="AE40" s="15" t="str">
        <f aca="false">IF($AD40="No","Not checked – drug is IV only",IFERROR(INDEX('Route of Administration'!$O$5:$O$170,MATCH($E40&amp;"|"&amp;$C40,'Route of Administration'!$S$5:$S$170,0)),"Not checked – price ≤ USD 5"))</f>
        <v>Not checked – drug is IV only</v>
      </c>
    </row>
    <row r="41" customFormat="false" ht="28.35" hidden="false" customHeight="false" outlineLevel="0" collapsed="false">
      <c r="B41" s="16" t="n">
        <v>39</v>
      </c>
      <c r="C41" s="16" t="s">
        <v>491</v>
      </c>
      <c r="D41" s="16" t="s">
        <v>491</v>
      </c>
      <c r="E41" s="16" t="s">
        <v>322</v>
      </c>
      <c r="F41" s="16" t="s">
        <v>1610</v>
      </c>
      <c r="G41" s="17" t="s">
        <v>1631</v>
      </c>
      <c r="H41" s="16" t="s">
        <v>1533</v>
      </c>
      <c r="I41" s="18" t="n">
        <v>22.25</v>
      </c>
      <c r="J41" s="16" t="n">
        <v>1</v>
      </c>
      <c r="K41" s="16" t="n">
        <v>305</v>
      </c>
      <c r="L41" s="19" t="n">
        <v>703.44</v>
      </c>
      <c r="M41" s="17" t="s">
        <v>492</v>
      </c>
      <c r="N41" s="18" t="n">
        <v>22.25</v>
      </c>
      <c r="O41" s="16" t="s">
        <v>1534</v>
      </c>
      <c r="P41" s="16" t="s">
        <v>1535</v>
      </c>
      <c r="Q41" s="17" t="s">
        <v>1536</v>
      </c>
      <c r="R41" s="78" t="s">
        <v>1632</v>
      </c>
      <c r="S41" s="77" t="n">
        <f aca="false">IFERROR(INDEX('Injectable Value'!$Z$28:$Z$178,MATCH($C41,'Injectable Value'!$A$28:$A$178,0)),"")</f>
        <v>0.688492063492064</v>
      </c>
      <c r="T41" s="19" t="n">
        <f aca="false">IFERROR(ROUND(INDEX('Injectable Value'!$AA$28:$AA$178,MATCH($C41,'Injectable Value'!$A$28:$A$178,0)),1),"")</f>
        <v>484.3</v>
      </c>
      <c r="U41" s="17" t="s">
        <v>284</v>
      </c>
      <c r="V41" s="16" t="n">
        <v>1</v>
      </c>
      <c r="W41" s="16" t="s">
        <v>284</v>
      </c>
      <c r="X41" s="16" t="s">
        <v>281</v>
      </c>
      <c r="Y41" s="16" t="s">
        <v>283</v>
      </c>
      <c r="Z41" s="17" t="str">
        <f aca="false">IFERROR(INDEX(Scoring!$U:$U,MATCH($C41&amp;"|"&amp;$E41,Scoring!$AD:$AD,0)),"")</f>
        <v/>
      </c>
      <c r="AA41" s="16" t="str">
        <f aca="false">IFERROR(INDEX(Scoring!$E:$E,MATCH($C41&amp;"|"&amp;$E41,Scoring!$AD:$AD,0)),"")</f>
        <v>Excluded – IV only</v>
      </c>
      <c r="AB41" s="19" t="n">
        <f aca="false">IFERROR(INDEX(Scoring!$M:$M,MATCH($C41&amp;"|"&amp;$E41,Scoring!$AD:$AD,0)),"")</f>
        <v>210</v>
      </c>
      <c r="AC41" s="16" t="str">
        <f aca="false">IFERROR(INDEX('Route of Administration'!$C$5:$C$155,MATCH($C41,'Route of Administration'!$A$5:$A$155,0)),"")</f>
        <v>IV</v>
      </c>
      <c r="AD41" s="15" t="str">
        <f aca="false">IFERROR(INDEX('Route of Administration'!$D$5:$D$155,MATCH($C41,'Route of Administration'!$A$5:$A$155,0)),"")</f>
        <v>No</v>
      </c>
      <c r="AE41" s="15" t="str">
        <f aca="false">IF($AD41="No","Not checked – drug is IV only",IFERROR(INDEX('Route of Administration'!$O$5:$O$170,MATCH($E41&amp;"|"&amp;$C41,'Route of Administration'!$S$5:$S$170,0)),"Not checked – price ≤ USD 5"))</f>
        <v>Not checked – drug is IV only</v>
      </c>
    </row>
    <row r="42" customFormat="false" ht="41.75" hidden="false" customHeight="false" outlineLevel="0" collapsed="false">
      <c r="B42" s="16" t="n">
        <v>40</v>
      </c>
      <c r="C42" s="16" t="s">
        <v>529</v>
      </c>
      <c r="D42" s="16" t="s">
        <v>530</v>
      </c>
      <c r="E42" s="16" t="s">
        <v>322</v>
      </c>
      <c r="F42" s="16" t="s">
        <v>1633</v>
      </c>
      <c r="G42" s="17" t="s">
        <v>1634</v>
      </c>
      <c r="H42" s="16" t="s">
        <v>1533</v>
      </c>
      <c r="I42" s="18" t="n">
        <v>9.74</v>
      </c>
      <c r="J42" s="16" t="n">
        <v>1</v>
      </c>
      <c r="K42" s="16" t="n">
        <v>119</v>
      </c>
      <c r="L42" s="19" t="n">
        <v>3113.83</v>
      </c>
      <c r="M42" s="17" t="s">
        <v>531</v>
      </c>
      <c r="N42" s="18" t="n">
        <v>9.74</v>
      </c>
      <c r="O42" s="16" t="s">
        <v>1534</v>
      </c>
      <c r="P42" s="16" t="s">
        <v>1535</v>
      </c>
      <c r="Q42" s="17" t="s">
        <v>1536</v>
      </c>
      <c r="R42" s="78" t="s">
        <v>1635</v>
      </c>
      <c r="S42" s="77" t="n">
        <f aca="false">IFERROR(INDEX('Injectable Value'!$Z$28:$Z$178,MATCH($C42,'Injectable Value'!$A$28:$A$178,0)),"")</f>
        <v>0.899884259259259</v>
      </c>
      <c r="T42" s="19" t="n">
        <f aca="false">IFERROR(ROUND(INDEX('Injectable Value'!$AA$28:$AA$178,MATCH($C42,'Injectable Value'!$A$28:$A$178,0)),1),"")</f>
        <v>2802.1</v>
      </c>
      <c r="U42" s="17" t="s">
        <v>284</v>
      </c>
      <c r="V42" s="16" t="n">
        <v>1</v>
      </c>
      <c r="W42" s="16" t="s">
        <v>284</v>
      </c>
      <c r="X42" s="16" t="s">
        <v>281</v>
      </c>
      <c r="Y42" s="16" t="s">
        <v>283</v>
      </c>
      <c r="Z42" s="17" t="str">
        <f aca="false">IFERROR(INDEX(Scoring!$U:$U,MATCH($C42&amp;"|"&amp;$E42,Scoring!$AD:$AD,0)),"")</f>
        <v/>
      </c>
      <c r="AA42" s="16" t="str">
        <f aca="false">IFERROR(INDEX(Scoring!$E:$E,MATCH($C42&amp;"|"&amp;$E42,Scoring!$AD:$AD,0)),"")</f>
        <v>Excluded – IV only</v>
      </c>
      <c r="AB42" s="19" t="n">
        <f aca="false">IFERROR(INDEX(Scoring!$M:$M,MATCH($C42&amp;"|"&amp;$E42,Scoring!$AD:$AD,0)),"")</f>
        <v>107</v>
      </c>
      <c r="AC42" s="16" t="str">
        <f aca="false">IFERROR(INDEX('Route of Administration'!$C$5:$C$155,MATCH($C42,'Route of Administration'!$A$5:$A$155,0)),"")</f>
        <v>IV</v>
      </c>
      <c r="AD42" s="15" t="str">
        <f aca="false">IFERROR(INDEX('Route of Administration'!$D$5:$D$155,MATCH($C42,'Route of Administration'!$A$5:$A$155,0)),"")</f>
        <v>No</v>
      </c>
      <c r="AE42" s="15" t="str">
        <f aca="false">IF($AD42="No","Not checked – drug is IV only",IFERROR(INDEX('Route of Administration'!$O$5:$O$170,MATCH($E42&amp;"|"&amp;$C42,'Route of Administration'!$S$5:$S$170,0)),"Not checked – price ≤ USD 5"))</f>
        <v>Not checked – drug is IV only</v>
      </c>
    </row>
    <row r="43" customFormat="false" ht="28.35" hidden="false" customHeight="false" outlineLevel="0" collapsed="false">
      <c r="B43" s="16" t="n">
        <v>41</v>
      </c>
      <c r="C43" s="16" t="s">
        <v>338</v>
      </c>
      <c r="D43" s="16" t="s">
        <v>338</v>
      </c>
      <c r="E43" s="16" t="s">
        <v>322</v>
      </c>
      <c r="F43" s="16" t="s">
        <v>1636</v>
      </c>
      <c r="G43" s="17" t="s">
        <v>1637</v>
      </c>
      <c r="H43" s="16" t="s">
        <v>1533</v>
      </c>
      <c r="I43" s="18" t="n">
        <v>22.25</v>
      </c>
      <c r="J43" s="16" t="n">
        <v>1</v>
      </c>
      <c r="K43" s="16" t="n">
        <v>905</v>
      </c>
      <c r="L43" s="19" t="n">
        <v>28093.38</v>
      </c>
      <c r="M43" s="17" t="s">
        <v>340</v>
      </c>
      <c r="N43" s="18" t="n">
        <v>22.25</v>
      </c>
      <c r="O43" s="16" t="s">
        <v>1534</v>
      </c>
      <c r="P43" s="16" t="s">
        <v>1535</v>
      </c>
      <c r="Q43" s="17" t="s">
        <v>1536</v>
      </c>
      <c r="R43" s="78" t="s">
        <v>1638</v>
      </c>
      <c r="S43" s="77" t="n">
        <f aca="false">IFERROR(INDEX('Injectable Value'!$Z$28:$Z$178,MATCH($C43,'Injectable Value'!$A$28:$A$178,0)),"")</f>
        <v>1</v>
      </c>
      <c r="T43" s="19" t="n">
        <f aca="false">IFERROR(ROUND(INDEX('Injectable Value'!$AA$28:$AA$178,MATCH($C43,'Injectable Value'!$A$28:$A$178,0)),1),"")</f>
        <v>28093.4</v>
      </c>
      <c r="U43" s="17" t="s">
        <v>343</v>
      </c>
      <c r="V43" s="16" t="n">
        <v>12</v>
      </c>
      <c r="W43" s="16" t="s">
        <v>342</v>
      </c>
      <c r="X43" s="16" t="s">
        <v>281</v>
      </c>
      <c r="Y43" s="16" t="s">
        <v>333</v>
      </c>
      <c r="Z43" s="17" t="str">
        <f aca="false">IFERROR(INDEX(Scoring!$U:$U,MATCH($C43&amp;"|"&amp;$E43,Scoring!$AD:$AD,0)),"")</f>
        <v>Cancer drug (cytotoxic) – less relevant; Reconstitution</v>
      </c>
      <c r="AA43" s="16" t="str">
        <f aca="false">IFERROR(INDEX(Scoring!$E:$E,MATCH($C43&amp;"|"&amp;$E43,Scoring!$AD:$AD,0)),"")</f>
        <v>Priority 1</v>
      </c>
      <c r="AB43" s="19" t="n">
        <f aca="false">IFERROR(INDEX(Scoring!$M:$M,MATCH($C43&amp;"|"&amp;$E43,Scoring!$AD:$AD,0)),"")</f>
        <v>905</v>
      </c>
      <c r="AC43" s="16" t="str">
        <f aca="false">IFERROR(INDEX('Route of Administration'!$C$5:$C$155,MATCH($C43,'Route of Administration'!$A$5:$A$155,0)),"")</f>
        <v>IV, SC</v>
      </c>
      <c r="AD43" s="15" t="str">
        <f aca="false">IFERROR(INDEX('Route of Administration'!$D$5:$D$155,MATCH($C43,'Route of Administration'!$A$5:$A$155,0)),"")</f>
        <v>Yes</v>
      </c>
      <c r="AE43" s="15" t="str">
        <f aca="false">IF($AD43="No","Not checked – drug is IV only",IFERROR(INDEX('Route of Administration'!$O$5:$O$170,MATCH($E43&amp;"|"&amp;$C43,'Route of Administration'!$S$5:$S$170,0)),"Not checked – price ≤ USD 5"))</f>
        <v>Pass</v>
      </c>
    </row>
    <row r="44" customFormat="false" ht="28.35" hidden="false" customHeight="false" outlineLevel="0" collapsed="false">
      <c r="B44" s="16" t="n">
        <v>42</v>
      </c>
      <c r="C44" s="16" t="s">
        <v>563</v>
      </c>
      <c r="D44" s="16" t="s">
        <v>564</v>
      </c>
      <c r="E44" s="16" t="s">
        <v>322</v>
      </c>
      <c r="F44" s="16" t="s">
        <v>1639</v>
      </c>
      <c r="G44" s="17" t="s">
        <v>1640</v>
      </c>
      <c r="H44" s="16" t="s">
        <v>281</v>
      </c>
      <c r="I44" s="18" t="n">
        <v>7.54</v>
      </c>
      <c r="J44" s="16" t="n">
        <v>1</v>
      </c>
      <c r="K44" s="16" t="n">
        <v>159</v>
      </c>
      <c r="L44" s="19" t="n">
        <v>8072.59</v>
      </c>
      <c r="M44" s="17" t="s">
        <v>565</v>
      </c>
      <c r="N44" s="18" t="n">
        <v>7.54</v>
      </c>
      <c r="O44" s="16" t="s">
        <v>1534</v>
      </c>
      <c r="P44" s="16" t="s">
        <v>1535</v>
      </c>
      <c r="Q44" s="17" t="s">
        <v>1536</v>
      </c>
      <c r="R44" s="78" t="s">
        <v>1641</v>
      </c>
      <c r="S44" s="77" t="n">
        <f aca="false">IFERROR(INDEX('Injectable Value'!$Z$28:$Z$178,MATCH($C44,'Injectable Value'!$A$28:$A$178,0)),"")</f>
        <v>1</v>
      </c>
      <c r="T44" s="19" t="n">
        <f aca="false">IFERROR(ROUND(INDEX('Injectable Value'!$AA$28:$AA$178,MATCH($C44,'Injectable Value'!$A$28:$A$178,0)),1),"")</f>
        <v>8072.6</v>
      </c>
      <c r="U44" s="17" t="s">
        <v>284</v>
      </c>
      <c r="V44" s="16" t="n">
        <v>1</v>
      </c>
      <c r="W44" s="16" t="s">
        <v>284</v>
      </c>
      <c r="X44" s="16" t="s">
        <v>281</v>
      </c>
      <c r="Y44" s="16" t="s">
        <v>1547</v>
      </c>
      <c r="Z44" s="17" t="str">
        <f aca="false">IFERROR(INDEX(Scoring!$U:$U,MATCH($C44&amp;"|"&amp;$E44,Scoring!$AD:$AD,0)),"")</f>
        <v/>
      </c>
      <c r="AA44" s="16" t="str">
        <f aca="false">IFERROR(INDEX(Scoring!$E:$E,MATCH($C44&amp;"|"&amp;$E44,Scoring!$AD:$AD,0)),"")</f>
        <v>Excluded – IV only</v>
      </c>
      <c r="AB44" s="19" t="n">
        <f aca="false">IFERROR(INDEX(Scoring!$M:$M,MATCH($C44&amp;"|"&amp;$E44,Scoring!$AD:$AD,0)),"")</f>
        <v>159</v>
      </c>
      <c r="AC44" s="16" t="str">
        <f aca="false">IFERROR(INDEX('Route of Administration'!$C$5:$C$155,MATCH($C44,'Route of Administration'!$A$5:$A$155,0)),"")</f>
        <v>Epidural, perineural, infiltration</v>
      </c>
      <c r="AD44" s="15" t="str">
        <f aca="false">IFERROR(INDEX('Route of Administration'!$D$5:$D$155,MATCH($C44,'Route of Administration'!$A$5:$A$155,0)),"")</f>
        <v>No</v>
      </c>
      <c r="AE44" s="15" t="str">
        <f aca="false">IF($AD44="No","Not checked – drug is IV only",IFERROR(INDEX('Route of Administration'!$O$5:$O$170,MATCH($E44&amp;"|"&amp;$C44,'Route of Administration'!$S$5:$S$170,0)),"Not checked – price ≤ USD 5"))</f>
        <v>Not checked – drug is IV only</v>
      </c>
    </row>
    <row r="45" customFormat="false" ht="28.35" hidden="false" customHeight="false" outlineLevel="0" collapsed="false">
      <c r="B45" s="16" t="n">
        <v>43</v>
      </c>
      <c r="C45" s="16" t="s">
        <v>563</v>
      </c>
      <c r="D45" s="16" t="s">
        <v>564</v>
      </c>
      <c r="E45" s="16" t="s">
        <v>322</v>
      </c>
      <c r="F45" s="16" t="s">
        <v>1642</v>
      </c>
      <c r="G45" s="17" t="s">
        <v>1643</v>
      </c>
      <c r="H45" s="16" t="s">
        <v>281</v>
      </c>
      <c r="I45" s="18" t="n">
        <v>5.02</v>
      </c>
      <c r="J45" s="16" t="n">
        <v>1</v>
      </c>
      <c r="K45" s="16" t="n">
        <v>159</v>
      </c>
      <c r="L45" s="19" t="n">
        <v>8072.59</v>
      </c>
      <c r="M45" s="17" t="s">
        <v>565</v>
      </c>
      <c r="N45" s="18" t="n">
        <v>5.02</v>
      </c>
      <c r="O45" s="16" t="s">
        <v>1534</v>
      </c>
      <c r="P45" s="16" t="s">
        <v>1535</v>
      </c>
      <c r="Q45" s="17" t="s">
        <v>1536</v>
      </c>
      <c r="R45" s="78" t="s">
        <v>1641</v>
      </c>
      <c r="S45" s="77" t="n">
        <f aca="false">IFERROR(INDEX('Injectable Value'!$Z$28:$Z$178,MATCH($C45,'Injectable Value'!$A$28:$A$178,0)),"")</f>
        <v>1</v>
      </c>
      <c r="T45" s="19" t="n">
        <f aca="false">IFERROR(ROUND(INDEX('Injectable Value'!$AA$28:$AA$178,MATCH($C45,'Injectable Value'!$A$28:$A$178,0)),1),"")</f>
        <v>8072.6</v>
      </c>
      <c r="U45" s="17" t="s">
        <v>284</v>
      </c>
      <c r="V45" s="16" t="n">
        <v>1</v>
      </c>
      <c r="W45" s="16" t="s">
        <v>284</v>
      </c>
      <c r="X45" s="16" t="s">
        <v>281</v>
      </c>
      <c r="Y45" s="16" t="s">
        <v>1547</v>
      </c>
      <c r="Z45" s="17" t="str">
        <f aca="false">IFERROR(INDEX(Scoring!$U:$U,MATCH($C45&amp;"|"&amp;$E45,Scoring!$AD:$AD,0)),"")</f>
        <v/>
      </c>
      <c r="AA45" s="16" t="str">
        <f aca="false">IFERROR(INDEX(Scoring!$E:$E,MATCH($C45&amp;"|"&amp;$E45,Scoring!$AD:$AD,0)),"")</f>
        <v>Excluded – IV only</v>
      </c>
      <c r="AB45" s="19" t="n">
        <f aca="false">IFERROR(INDEX(Scoring!$M:$M,MATCH($C45&amp;"|"&amp;$E45,Scoring!$AD:$AD,0)),"")</f>
        <v>159</v>
      </c>
      <c r="AC45" s="16" t="str">
        <f aca="false">IFERROR(INDEX('Route of Administration'!$C$5:$C$155,MATCH($C45,'Route of Administration'!$A$5:$A$155,0)),"")</f>
        <v>Epidural, perineural, infiltration</v>
      </c>
      <c r="AD45" s="15" t="str">
        <f aca="false">IFERROR(INDEX('Route of Administration'!$D$5:$D$155,MATCH($C45,'Route of Administration'!$A$5:$A$155,0)),"")</f>
        <v>No</v>
      </c>
      <c r="AE45" s="15" t="str">
        <f aca="false">IF($AD45="No","Not checked – drug is IV only",IFERROR(INDEX('Route of Administration'!$O$5:$O$170,MATCH($E45&amp;"|"&amp;$C45,'Route of Administration'!$S$5:$S$170,0)),"Not checked – price ≤ USD 5"))</f>
        <v>Not checked – drug is IV only</v>
      </c>
    </row>
    <row r="46" customFormat="false" ht="28.35" hidden="false" customHeight="false" outlineLevel="0" collapsed="false">
      <c r="B46" s="16" t="n">
        <v>44</v>
      </c>
      <c r="C46" s="16" t="s">
        <v>563</v>
      </c>
      <c r="D46" s="16" t="s">
        <v>564</v>
      </c>
      <c r="E46" s="16" t="s">
        <v>322</v>
      </c>
      <c r="F46" s="16" t="s">
        <v>1644</v>
      </c>
      <c r="G46" s="17" t="s">
        <v>1645</v>
      </c>
      <c r="H46" s="16" t="s">
        <v>281</v>
      </c>
      <c r="I46" s="18" t="n">
        <v>9.85</v>
      </c>
      <c r="J46" s="16" t="n">
        <v>1</v>
      </c>
      <c r="K46" s="16" t="n">
        <v>159</v>
      </c>
      <c r="L46" s="19" t="n">
        <v>8072.59</v>
      </c>
      <c r="M46" s="17" t="s">
        <v>565</v>
      </c>
      <c r="N46" s="18" t="n">
        <v>9.85</v>
      </c>
      <c r="O46" s="16" t="s">
        <v>1534</v>
      </c>
      <c r="P46" s="16" t="s">
        <v>1535</v>
      </c>
      <c r="Q46" s="17" t="s">
        <v>1536</v>
      </c>
      <c r="R46" s="78" t="s">
        <v>1641</v>
      </c>
      <c r="S46" s="77" t="n">
        <f aca="false">IFERROR(INDEX('Injectable Value'!$Z$28:$Z$178,MATCH($C46,'Injectable Value'!$A$28:$A$178,0)),"")</f>
        <v>1</v>
      </c>
      <c r="T46" s="19" t="n">
        <f aca="false">IFERROR(ROUND(INDEX('Injectable Value'!$AA$28:$AA$178,MATCH($C46,'Injectable Value'!$A$28:$A$178,0)),1),"")</f>
        <v>8072.6</v>
      </c>
      <c r="U46" s="17" t="s">
        <v>284</v>
      </c>
      <c r="V46" s="16" t="n">
        <v>1</v>
      </c>
      <c r="W46" s="16" t="s">
        <v>284</v>
      </c>
      <c r="X46" s="16" t="s">
        <v>281</v>
      </c>
      <c r="Y46" s="16" t="s">
        <v>283</v>
      </c>
      <c r="Z46" s="17" t="str">
        <f aca="false">IFERROR(INDEX(Scoring!$U:$U,MATCH($C46&amp;"|"&amp;$E46,Scoring!$AD:$AD,0)),"")</f>
        <v/>
      </c>
      <c r="AA46" s="16" t="str">
        <f aca="false">IFERROR(INDEX(Scoring!$E:$E,MATCH($C46&amp;"|"&amp;$E46,Scoring!$AD:$AD,0)),"")</f>
        <v>Excluded – IV only</v>
      </c>
      <c r="AB46" s="19" t="n">
        <f aca="false">IFERROR(INDEX(Scoring!$M:$M,MATCH($C46&amp;"|"&amp;$E46,Scoring!$AD:$AD,0)),"")</f>
        <v>159</v>
      </c>
      <c r="AC46" s="16" t="str">
        <f aca="false">IFERROR(INDEX('Route of Administration'!$C$5:$C$155,MATCH($C46,'Route of Administration'!$A$5:$A$155,0)),"")</f>
        <v>Epidural, perineural, infiltration</v>
      </c>
      <c r="AD46" s="15" t="str">
        <f aca="false">IFERROR(INDEX('Route of Administration'!$D$5:$D$155,MATCH($C46,'Route of Administration'!$A$5:$A$155,0)),"")</f>
        <v>No</v>
      </c>
      <c r="AE46" s="15" t="str">
        <f aca="false">IF($AD46="No","Not checked – drug is IV only",IFERROR(INDEX('Route of Administration'!$O$5:$O$170,MATCH($E46&amp;"|"&amp;$C46,'Route of Administration'!$S$5:$S$170,0)),"Not checked – price ≤ USD 5"))</f>
        <v>Not checked – drug is IV only</v>
      </c>
    </row>
    <row r="47" customFormat="false" ht="28.35" hidden="false" customHeight="false" outlineLevel="0" collapsed="false">
      <c r="B47" s="16" t="n">
        <v>45</v>
      </c>
      <c r="C47" s="16" t="s">
        <v>563</v>
      </c>
      <c r="D47" s="16" t="s">
        <v>564</v>
      </c>
      <c r="E47" s="16" t="s">
        <v>322</v>
      </c>
      <c r="F47" s="16" t="s">
        <v>1646</v>
      </c>
      <c r="G47" s="17" t="s">
        <v>1647</v>
      </c>
      <c r="H47" s="16" t="s">
        <v>281</v>
      </c>
      <c r="I47" s="18" t="n">
        <v>7.03</v>
      </c>
      <c r="J47" s="16" t="n">
        <v>1</v>
      </c>
      <c r="K47" s="16" t="n">
        <v>159</v>
      </c>
      <c r="L47" s="19" t="n">
        <v>8072.59</v>
      </c>
      <c r="M47" s="17" t="s">
        <v>565</v>
      </c>
      <c r="N47" s="18" t="n">
        <v>7.03</v>
      </c>
      <c r="O47" s="16" t="s">
        <v>1534</v>
      </c>
      <c r="P47" s="16" t="s">
        <v>1535</v>
      </c>
      <c r="Q47" s="17" t="s">
        <v>1536</v>
      </c>
      <c r="R47" s="78" t="s">
        <v>1641</v>
      </c>
      <c r="S47" s="77" t="n">
        <f aca="false">IFERROR(INDEX('Injectable Value'!$Z$28:$Z$178,MATCH($C47,'Injectable Value'!$A$28:$A$178,0)),"")</f>
        <v>1</v>
      </c>
      <c r="T47" s="19" t="n">
        <f aca="false">IFERROR(ROUND(INDEX('Injectable Value'!$AA$28:$AA$178,MATCH($C47,'Injectable Value'!$A$28:$A$178,0)),1),"")</f>
        <v>8072.6</v>
      </c>
      <c r="U47" s="17" t="s">
        <v>284</v>
      </c>
      <c r="V47" s="16" t="n">
        <v>1</v>
      </c>
      <c r="W47" s="16" t="s">
        <v>284</v>
      </c>
      <c r="X47" s="16" t="s">
        <v>281</v>
      </c>
      <c r="Y47" s="16" t="s">
        <v>1547</v>
      </c>
      <c r="Z47" s="17" t="str">
        <f aca="false">IFERROR(INDEX(Scoring!$U:$U,MATCH($C47&amp;"|"&amp;$E47,Scoring!$AD:$AD,0)),"")</f>
        <v/>
      </c>
      <c r="AA47" s="16" t="str">
        <f aca="false">IFERROR(INDEX(Scoring!$E:$E,MATCH($C47&amp;"|"&amp;$E47,Scoring!$AD:$AD,0)),"")</f>
        <v>Excluded – IV only</v>
      </c>
      <c r="AB47" s="19" t="n">
        <f aca="false">IFERROR(INDEX(Scoring!$M:$M,MATCH($C47&amp;"|"&amp;$E47,Scoring!$AD:$AD,0)),"")</f>
        <v>159</v>
      </c>
      <c r="AC47" s="16" t="str">
        <f aca="false">IFERROR(INDEX('Route of Administration'!$C$5:$C$155,MATCH($C47,'Route of Administration'!$A$5:$A$155,0)),"")</f>
        <v>Epidural, perineural, infiltration</v>
      </c>
      <c r="AD47" s="15" t="str">
        <f aca="false">IFERROR(INDEX('Route of Administration'!$D$5:$D$155,MATCH($C47,'Route of Administration'!$A$5:$A$155,0)),"")</f>
        <v>No</v>
      </c>
      <c r="AE47" s="15" t="str">
        <f aca="false">IF($AD47="No","Not checked – drug is IV only",IFERROR(INDEX('Route of Administration'!$O$5:$O$170,MATCH($E47&amp;"|"&amp;$C47,'Route of Administration'!$S$5:$S$170,0)),"Not checked – price ≤ USD 5"))</f>
        <v>Not checked – drug is IV only</v>
      </c>
    </row>
    <row r="48" customFormat="false" ht="28.35" hidden="false" customHeight="false" outlineLevel="0" collapsed="false">
      <c r="B48" s="16" t="n">
        <v>46</v>
      </c>
      <c r="C48" s="16" t="s">
        <v>563</v>
      </c>
      <c r="D48" s="16" t="s">
        <v>564</v>
      </c>
      <c r="E48" s="16" t="s">
        <v>322</v>
      </c>
      <c r="F48" s="16" t="s">
        <v>1648</v>
      </c>
      <c r="G48" s="17" t="s">
        <v>1649</v>
      </c>
      <c r="H48" s="16" t="s">
        <v>281</v>
      </c>
      <c r="I48" s="18" t="n">
        <v>16.57</v>
      </c>
      <c r="J48" s="16" t="n">
        <v>1</v>
      </c>
      <c r="K48" s="16" t="n">
        <v>159</v>
      </c>
      <c r="L48" s="19" t="n">
        <v>8072.59</v>
      </c>
      <c r="M48" s="17" t="s">
        <v>565</v>
      </c>
      <c r="N48" s="18" t="n">
        <v>16.57</v>
      </c>
      <c r="O48" s="16" t="s">
        <v>1534</v>
      </c>
      <c r="P48" s="16" t="s">
        <v>1535</v>
      </c>
      <c r="Q48" s="17" t="s">
        <v>1536</v>
      </c>
      <c r="R48" s="78" t="s">
        <v>1641</v>
      </c>
      <c r="S48" s="77" t="n">
        <f aca="false">IFERROR(INDEX('Injectable Value'!$Z$28:$Z$178,MATCH($C48,'Injectable Value'!$A$28:$A$178,0)),"")</f>
        <v>1</v>
      </c>
      <c r="T48" s="19" t="n">
        <f aca="false">IFERROR(ROUND(INDEX('Injectable Value'!$AA$28:$AA$178,MATCH($C48,'Injectable Value'!$A$28:$A$178,0)),1),"")</f>
        <v>8072.6</v>
      </c>
      <c r="U48" s="17" t="s">
        <v>284</v>
      </c>
      <c r="V48" s="16" t="n">
        <v>1</v>
      </c>
      <c r="W48" s="16" t="s">
        <v>284</v>
      </c>
      <c r="X48" s="16" t="s">
        <v>281</v>
      </c>
      <c r="Y48" s="16" t="s">
        <v>1547</v>
      </c>
      <c r="Z48" s="17" t="str">
        <f aca="false">IFERROR(INDEX(Scoring!$U:$U,MATCH($C48&amp;"|"&amp;$E48,Scoring!$AD:$AD,0)),"")</f>
        <v/>
      </c>
      <c r="AA48" s="16" t="str">
        <f aca="false">IFERROR(INDEX(Scoring!$E:$E,MATCH($C48&amp;"|"&amp;$E48,Scoring!$AD:$AD,0)),"")</f>
        <v>Excluded – IV only</v>
      </c>
      <c r="AB48" s="19" t="n">
        <f aca="false">IFERROR(INDEX(Scoring!$M:$M,MATCH($C48&amp;"|"&amp;$E48,Scoring!$AD:$AD,0)),"")</f>
        <v>159</v>
      </c>
      <c r="AC48" s="16" t="str">
        <f aca="false">IFERROR(INDEX('Route of Administration'!$C$5:$C$155,MATCH($C48,'Route of Administration'!$A$5:$A$155,0)),"")</f>
        <v>Epidural, perineural, infiltration</v>
      </c>
      <c r="AD48" s="15" t="str">
        <f aca="false">IFERROR(INDEX('Route of Administration'!$D$5:$D$155,MATCH($C48,'Route of Administration'!$A$5:$A$155,0)),"")</f>
        <v>No</v>
      </c>
      <c r="AE48" s="15" t="str">
        <f aca="false">IF($AD48="No","Not checked – drug is IV only",IFERROR(INDEX('Route of Administration'!$O$5:$O$170,MATCH($E48&amp;"|"&amp;$C48,'Route of Administration'!$S$5:$S$170,0)),"Not checked – price ≤ USD 5"))</f>
        <v>Not checked – drug is IV only</v>
      </c>
    </row>
    <row r="49" customFormat="false" ht="28.35" hidden="false" customHeight="false" outlineLevel="0" collapsed="false">
      <c r="B49" s="16" t="n">
        <v>47</v>
      </c>
      <c r="C49" s="16" t="s">
        <v>563</v>
      </c>
      <c r="D49" s="16" t="s">
        <v>564</v>
      </c>
      <c r="E49" s="16" t="s">
        <v>322</v>
      </c>
      <c r="F49" s="16" t="s">
        <v>1650</v>
      </c>
      <c r="G49" s="17" t="s">
        <v>1651</v>
      </c>
      <c r="H49" s="16" t="s">
        <v>281</v>
      </c>
      <c r="I49" s="18" t="n">
        <v>7.03</v>
      </c>
      <c r="J49" s="16" t="n">
        <v>1</v>
      </c>
      <c r="K49" s="16" t="n">
        <v>159</v>
      </c>
      <c r="L49" s="19" t="n">
        <v>8072.59</v>
      </c>
      <c r="M49" s="17" t="s">
        <v>565</v>
      </c>
      <c r="N49" s="18" t="n">
        <v>7.03</v>
      </c>
      <c r="O49" s="16" t="s">
        <v>1534</v>
      </c>
      <c r="P49" s="16" t="s">
        <v>1535</v>
      </c>
      <c r="Q49" s="17" t="s">
        <v>1536</v>
      </c>
      <c r="R49" s="78" t="s">
        <v>1641</v>
      </c>
      <c r="S49" s="77" t="n">
        <f aca="false">IFERROR(INDEX('Injectable Value'!$Z$28:$Z$178,MATCH($C49,'Injectable Value'!$A$28:$A$178,0)),"")</f>
        <v>1</v>
      </c>
      <c r="T49" s="19" t="n">
        <f aca="false">IFERROR(ROUND(INDEX('Injectable Value'!$AA$28:$AA$178,MATCH($C49,'Injectable Value'!$A$28:$A$178,0)),1),"")</f>
        <v>8072.6</v>
      </c>
      <c r="U49" s="17" t="s">
        <v>284</v>
      </c>
      <c r="V49" s="16" t="n">
        <v>1</v>
      </c>
      <c r="W49" s="16" t="s">
        <v>284</v>
      </c>
      <c r="X49" s="16" t="s">
        <v>281</v>
      </c>
      <c r="Y49" s="16" t="s">
        <v>1547</v>
      </c>
      <c r="Z49" s="17" t="str">
        <f aca="false">IFERROR(INDEX(Scoring!$U:$U,MATCH($C49&amp;"|"&amp;$E49,Scoring!$AD:$AD,0)),"")</f>
        <v/>
      </c>
      <c r="AA49" s="16" t="str">
        <f aca="false">IFERROR(INDEX(Scoring!$E:$E,MATCH($C49&amp;"|"&amp;$E49,Scoring!$AD:$AD,0)),"")</f>
        <v>Excluded – IV only</v>
      </c>
      <c r="AB49" s="19" t="n">
        <f aca="false">IFERROR(INDEX(Scoring!$M:$M,MATCH($C49&amp;"|"&amp;$E49,Scoring!$AD:$AD,0)),"")</f>
        <v>159</v>
      </c>
      <c r="AC49" s="16" t="str">
        <f aca="false">IFERROR(INDEX('Route of Administration'!$C$5:$C$155,MATCH($C49,'Route of Administration'!$A$5:$A$155,0)),"")</f>
        <v>Epidural, perineural, infiltration</v>
      </c>
      <c r="AD49" s="15" t="str">
        <f aca="false">IFERROR(INDEX('Route of Administration'!$D$5:$D$155,MATCH($C49,'Route of Administration'!$A$5:$A$155,0)),"")</f>
        <v>No</v>
      </c>
      <c r="AE49" s="15" t="str">
        <f aca="false">IF($AD49="No","Not checked – drug is IV only",IFERROR(INDEX('Route of Administration'!$O$5:$O$170,MATCH($E49&amp;"|"&amp;$C49,'Route of Administration'!$S$5:$S$170,0)),"Not checked – price ≤ USD 5"))</f>
        <v>Not checked – drug is IV only</v>
      </c>
    </row>
    <row r="50" customFormat="false" ht="28.35" hidden="false" customHeight="false" outlineLevel="0" collapsed="false">
      <c r="B50" s="16" t="n">
        <v>48</v>
      </c>
      <c r="C50" s="16" t="s">
        <v>324</v>
      </c>
      <c r="D50" s="16" t="s">
        <v>325</v>
      </c>
      <c r="E50" s="16" t="s">
        <v>322</v>
      </c>
      <c r="F50" s="16" t="s">
        <v>1652</v>
      </c>
      <c r="G50" s="17" t="s">
        <v>1653</v>
      </c>
      <c r="H50" s="16" t="s">
        <v>281</v>
      </c>
      <c r="I50" s="18" t="n">
        <v>90.4</v>
      </c>
      <c r="J50" s="16" t="n">
        <v>1</v>
      </c>
      <c r="K50" s="16" t="n">
        <v>22</v>
      </c>
      <c r="L50" s="19" t="n">
        <v>2127.31</v>
      </c>
      <c r="M50" s="17" t="s">
        <v>326</v>
      </c>
      <c r="N50" s="18" t="n">
        <v>90.4</v>
      </c>
      <c r="O50" s="16" t="s">
        <v>1534</v>
      </c>
      <c r="P50" s="16" t="s">
        <v>1535</v>
      </c>
      <c r="Q50" s="17" t="s">
        <v>1536</v>
      </c>
      <c r="R50" s="78" t="s">
        <v>1654</v>
      </c>
      <c r="S50" s="77" t="n">
        <f aca="false">IFERROR(INDEX('Injectable Value'!$Z$28:$Z$178,MATCH($C50,'Injectable Value'!$A$28:$A$178,0)),"")</f>
        <v>1</v>
      </c>
      <c r="T50" s="19" t="n">
        <f aca="false">IFERROR(ROUND(INDEX('Injectable Value'!$AA$28:$AA$178,MATCH($C50,'Injectable Value'!$A$28:$A$178,0)),1),"")</f>
        <v>2127.3</v>
      </c>
      <c r="U50" s="17" t="s">
        <v>284</v>
      </c>
      <c r="V50" s="16" t="n">
        <v>1</v>
      </c>
      <c r="W50" s="16" t="s">
        <v>284</v>
      </c>
      <c r="X50" s="16" t="s">
        <v>281</v>
      </c>
      <c r="Y50" s="16" t="s">
        <v>1547</v>
      </c>
      <c r="Z50" s="17" t="str">
        <f aca="false">IFERROR(INDEX(Scoring!$U:$U,MATCH($C50&amp;"|"&amp;$E50,Scoring!$AD:$AD,0)),"")</f>
        <v/>
      </c>
      <c r="AA50" s="16" t="str">
        <f aca="false">IFERROR(INDEX(Scoring!$E:$E,MATCH($C50&amp;"|"&amp;$E50,Scoring!$AD:$AD,0)),"")</f>
        <v>Excluded – IV only</v>
      </c>
      <c r="AB50" s="19" t="n">
        <f aca="false">IFERROR(INDEX(Scoring!$M:$M,MATCH($C50&amp;"|"&amp;$E50,Scoring!$AD:$AD,0)),"")</f>
        <v>22</v>
      </c>
      <c r="AC50" s="16" t="str">
        <f aca="false">IFERROR(INDEX('Route of Administration'!$C$5:$C$155,MATCH($C50,'Route of Administration'!$A$5:$A$155,0)),"")</f>
        <v>IV</v>
      </c>
      <c r="AD50" s="15" t="str">
        <f aca="false">IFERROR(INDEX('Route of Administration'!$D$5:$D$155,MATCH($C50,'Route of Administration'!$A$5:$A$155,0)),"")</f>
        <v>No</v>
      </c>
      <c r="AE50" s="15" t="str">
        <f aca="false">IF($AD50="No","Not checked – drug is IV only",IFERROR(INDEX('Route of Administration'!$O$5:$O$170,MATCH($E50&amp;"|"&amp;$C50,'Route of Administration'!$S$5:$S$170,0)),"Not checked – price ≤ USD 5"))</f>
        <v>Not checked – drug is IV only</v>
      </c>
    </row>
    <row r="51" customFormat="false" ht="28.35" hidden="false" customHeight="false" outlineLevel="0" collapsed="false">
      <c r="B51" s="16" t="n">
        <v>49</v>
      </c>
      <c r="C51" s="16" t="s">
        <v>380</v>
      </c>
      <c r="D51" s="16" t="s">
        <v>380</v>
      </c>
      <c r="E51" s="16" t="s">
        <v>322</v>
      </c>
      <c r="F51" s="16" t="s">
        <v>1655</v>
      </c>
      <c r="G51" s="17" t="s">
        <v>1656</v>
      </c>
      <c r="H51" s="16" t="s">
        <v>281</v>
      </c>
      <c r="I51" s="18" t="n">
        <v>216.12</v>
      </c>
      <c r="J51" s="16" t="n">
        <v>1</v>
      </c>
      <c r="K51" s="16" t="n">
        <v>843</v>
      </c>
      <c r="L51" s="19" t="n">
        <v>4508</v>
      </c>
      <c r="M51" s="17" t="s">
        <v>381</v>
      </c>
      <c r="N51" s="18" t="n">
        <v>216.12</v>
      </c>
      <c r="O51" s="16" t="s">
        <v>1534</v>
      </c>
      <c r="P51" s="16" t="s">
        <v>1535</v>
      </c>
      <c r="Q51" s="17" t="s">
        <v>1536</v>
      </c>
      <c r="R51" s="78" t="s">
        <v>1657</v>
      </c>
      <c r="S51" s="77" t="n">
        <f aca="false">IFERROR(INDEX('Injectable Value'!$Z$28:$Z$178,MATCH($C51,'Injectable Value'!$A$28:$A$178,0)),"")</f>
        <v>0.858739397335643</v>
      </c>
      <c r="T51" s="19" t="n">
        <f aca="false">IFERROR(ROUND(INDEX('Injectable Value'!$AA$28:$AA$178,MATCH($C51,'Injectable Value'!$A$28:$A$178,0)),1),"")</f>
        <v>3871.2</v>
      </c>
      <c r="U51" s="17" t="s">
        <v>284</v>
      </c>
      <c r="V51" s="16" t="n">
        <v>1</v>
      </c>
      <c r="W51" s="16" t="s">
        <v>284</v>
      </c>
      <c r="X51" s="16" t="s">
        <v>281</v>
      </c>
      <c r="Y51" s="16" t="s">
        <v>283</v>
      </c>
      <c r="Z51" s="17" t="str">
        <f aca="false">IFERROR(INDEX(Scoring!$U:$U,MATCH($C51&amp;"|"&amp;$E51,Scoring!$AD:$AD,0)),"")</f>
        <v>Cancer drug (cytotoxic) – less relevant</v>
      </c>
      <c r="AA51" s="16" t="str">
        <f aca="false">IFERROR(INDEX(Scoring!$E:$E,MATCH($C51&amp;"|"&amp;$E51,Scoring!$AD:$AD,0)),"")</f>
        <v>Excluded – IV only</v>
      </c>
      <c r="AB51" s="19" t="n">
        <f aca="false">IFERROR(INDEX(Scoring!$M:$M,MATCH($C51&amp;"|"&amp;$E51,Scoring!$AD:$AD,0)),"")</f>
        <v>724</v>
      </c>
      <c r="AC51" s="16" t="str">
        <f aca="false">IFERROR(INDEX('Route of Administration'!$C$5:$C$155,MATCH($C51,'Route of Administration'!$A$5:$A$155,0)),"")</f>
        <v>IV</v>
      </c>
      <c r="AD51" s="15" t="str">
        <f aca="false">IFERROR(INDEX('Route of Administration'!$D$5:$D$155,MATCH($C51,'Route of Administration'!$A$5:$A$155,0)),"")</f>
        <v>No</v>
      </c>
      <c r="AE51" s="15" t="str">
        <f aca="false">IF($AD51="No","Not checked – drug is IV only",IFERROR(INDEX('Route of Administration'!$O$5:$O$170,MATCH($E51&amp;"|"&amp;$C51,'Route of Administration'!$S$5:$S$170,0)),"Not checked – price ≤ USD 5"))</f>
        <v>Not checked – drug is IV only</v>
      </c>
    </row>
    <row r="52" customFormat="false" ht="28.35" hidden="false" customHeight="false" outlineLevel="0" collapsed="false">
      <c r="B52" s="16" t="n">
        <v>50</v>
      </c>
      <c r="C52" s="16" t="s">
        <v>380</v>
      </c>
      <c r="D52" s="16" t="s">
        <v>380</v>
      </c>
      <c r="E52" s="16" t="s">
        <v>322</v>
      </c>
      <c r="F52" s="16" t="s">
        <v>1658</v>
      </c>
      <c r="G52" s="17" t="s">
        <v>1659</v>
      </c>
      <c r="H52" s="16" t="s">
        <v>281</v>
      </c>
      <c r="I52" s="18" t="n">
        <v>427.8</v>
      </c>
      <c r="J52" s="16" t="n">
        <v>1</v>
      </c>
      <c r="K52" s="16" t="n">
        <v>843</v>
      </c>
      <c r="L52" s="19" t="n">
        <v>4508</v>
      </c>
      <c r="M52" s="17" t="s">
        <v>381</v>
      </c>
      <c r="N52" s="18" t="n">
        <v>427.8</v>
      </c>
      <c r="O52" s="16" t="s">
        <v>1534</v>
      </c>
      <c r="P52" s="16" t="s">
        <v>1535</v>
      </c>
      <c r="Q52" s="17" t="s">
        <v>1536</v>
      </c>
      <c r="R52" s="78" t="s">
        <v>1657</v>
      </c>
      <c r="S52" s="77" t="n">
        <f aca="false">IFERROR(INDEX('Injectable Value'!$Z$28:$Z$178,MATCH($C52,'Injectable Value'!$A$28:$A$178,0)),"")</f>
        <v>0.858739397335643</v>
      </c>
      <c r="T52" s="19" t="n">
        <f aca="false">IFERROR(ROUND(INDEX('Injectable Value'!$AA$28:$AA$178,MATCH($C52,'Injectable Value'!$A$28:$A$178,0)),1),"")</f>
        <v>3871.2</v>
      </c>
      <c r="U52" s="17" t="s">
        <v>284</v>
      </c>
      <c r="V52" s="16" t="n">
        <v>1</v>
      </c>
      <c r="W52" s="16" t="s">
        <v>284</v>
      </c>
      <c r="X52" s="16" t="s">
        <v>281</v>
      </c>
      <c r="Y52" s="16" t="s">
        <v>283</v>
      </c>
      <c r="Z52" s="17" t="str">
        <f aca="false">IFERROR(INDEX(Scoring!$U:$U,MATCH($C52&amp;"|"&amp;$E52,Scoring!$AD:$AD,0)),"")</f>
        <v>Cancer drug (cytotoxic) – less relevant</v>
      </c>
      <c r="AA52" s="16" t="str">
        <f aca="false">IFERROR(INDEX(Scoring!$E:$E,MATCH($C52&amp;"|"&amp;$E52,Scoring!$AD:$AD,0)),"")</f>
        <v>Excluded – IV only</v>
      </c>
      <c r="AB52" s="19" t="n">
        <f aca="false">IFERROR(INDEX(Scoring!$M:$M,MATCH($C52&amp;"|"&amp;$E52,Scoring!$AD:$AD,0)),"")</f>
        <v>724</v>
      </c>
      <c r="AC52" s="16" t="str">
        <f aca="false">IFERROR(INDEX('Route of Administration'!$C$5:$C$155,MATCH($C52,'Route of Administration'!$A$5:$A$155,0)),"")</f>
        <v>IV</v>
      </c>
      <c r="AD52" s="15" t="str">
        <f aca="false">IFERROR(INDEX('Route of Administration'!$D$5:$D$155,MATCH($C52,'Route of Administration'!$A$5:$A$155,0)),"")</f>
        <v>No</v>
      </c>
      <c r="AE52" s="15" t="str">
        <f aca="false">IF($AD52="No","Not checked – drug is IV only",IFERROR(INDEX('Route of Administration'!$O$5:$O$170,MATCH($E52&amp;"|"&amp;$C52,'Route of Administration'!$S$5:$S$170,0)),"Not checked – price ≤ USD 5"))</f>
        <v>Not checked – drug is IV only</v>
      </c>
    </row>
    <row r="53" customFormat="false" ht="28.35" hidden="false" customHeight="false" outlineLevel="0" collapsed="false">
      <c r="B53" s="16" t="n">
        <v>51</v>
      </c>
      <c r="C53" s="16" t="s">
        <v>380</v>
      </c>
      <c r="D53" s="16" t="s">
        <v>380</v>
      </c>
      <c r="E53" s="16" t="s">
        <v>322</v>
      </c>
      <c r="F53" s="16" t="s">
        <v>1660</v>
      </c>
      <c r="G53" s="17" t="s">
        <v>1661</v>
      </c>
      <c r="H53" s="16" t="s">
        <v>281</v>
      </c>
      <c r="I53" s="18" t="n">
        <v>58.2</v>
      </c>
      <c r="J53" s="16" t="n">
        <v>1</v>
      </c>
      <c r="K53" s="16" t="n">
        <v>843</v>
      </c>
      <c r="L53" s="19" t="n">
        <v>4508</v>
      </c>
      <c r="M53" s="17" t="s">
        <v>381</v>
      </c>
      <c r="N53" s="18" t="n">
        <v>58.2</v>
      </c>
      <c r="O53" s="16" t="s">
        <v>1534</v>
      </c>
      <c r="P53" s="16" t="s">
        <v>1535</v>
      </c>
      <c r="Q53" s="17" t="s">
        <v>1536</v>
      </c>
      <c r="R53" s="78" t="s">
        <v>1657</v>
      </c>
      <c r="S53" s="77" t="n">
        <f aca="false">IFERROR(INDEX('Injectable Value'!$Z$28:$Z$178,MATCH($C53,'Injectable Value'!$A$28:$A$178,0)),"")</f>
        <v>0.858739397335643</v>
      </c>
      <c r="T53" s="19" t="n">
        <f aca="false">IFERROR(ROUND(INDEX('Injectable Value'!$AA$28:$AA$178,MATCH($C53,'Injectable Value'!$A$28:$A$178,0)),1),"")</f>
        <v>3871.2</v>
      </c>
      <c r="U53" s="17" t="s">
        <v>284</v>
      </c>
      <c r="V53" s="16" t="n">
        <v>1</v>
      </c>
      <c r="W53" s="16" t="s">
        <v>284</v>
      </c>
      <c r="X53" s="16" t="s">
        <v>281</v>
      </c>
      <c r="Y53" s="16" t="s">
        <v>283</v>
      </c>
      <c r="Z53" s="17" t="str">
        <f aca="false">IFERROR(INDEX(Scoring!$U:$U,MATCH($C53&amp;"|"&amp;$E53,Scoring!$AD:$AD,0)),"")</f>
        <v>Cancer drug (cytotoxic) – less relevant</v>
      </c>
      <c r="AA53" s="16" t="str">
        <f aca="false">IFERROR(INDEX(Scoring!$E:$E,MATCH($C53&amp;"|"&amp;$E53,Scoring!$AD:$AD,0)),"")</f>
        <v>Excluded – IV only</v>
      </c>
      <c r="AB53" s="19" t="n">
        <f aca="false">IFERROR(INDEX(Scoring!$M:$M,MATCH($C53&amp;"|"&amp;$E53,Scoring!$AD:$AD,0)),"")</f>
        <v>724</v>
      </c>
      <c r="AC53" s="16" t="str">
        <f aca="false">IFERROR(INDEX('Route of Administration'!$C$5:$C$155,MATCH($C53,'Route of Administration'!$A$5:$A$155,0)),"")</f>
        <v>IV</v>
      </c>
      <c r="AD53" s="15" t="str">
        <f aca="false">IFERROR(INDEX('Route of Administration'!$D$5:$D$155,MATCH($C53,'Route of Administration'!$A$5:$A$155,0)),"")</f>
        <v>No</v>
      </c>
      <c r="AE53" s="15" t="str">
        <f aca="false">IF($AD53="No","Not checked – drug is IV only",IFERROR(INDEX('Route of Administration'!$O$5:$O$170,MATCH($E53&amp;"|"&amp;$C53,'Route of Administration'!$S$5:$S$170,0)),"Not checked – price ≤ USD 5"))</f>
        <v>Not checked – drug is IV only</v>
      </c>
    </row>
    <row r="54" customFormat="false" ht="28.35" hidden="false" customHeight="false" outlineLevel="0" collapsed="false">
      <c r="B54" s="16" t="n">
        <v>52</v>
      </c>
      <c r="C54" s="16" t="s">
        <v>401</v>
      </c>
      <c r="D54" s="16" t="s">
        <v>402</v>
      </c>
      <c r="E54" s="16" t="s">
        <v>322</v>
      </c>
      <c r="F54" s="16" t="s">
        <v>1662</v>
      </c>
      <c r="G54" s="17" t="s">
        <v>1663</v>
      </c>
      <c r="H54" s="16" t="s">
        <v>281</v>
      </c>
      <c r="I54" s="18" t="n">
        <v>5.35</v>
      </c>
      <c r="J54" s="16" t="n">
        <v>1</v>
      </c>
      <c r="K54" s="16" t="n">
        <v>78</v>
      </c>
      <c r="L54" s="19" t="n">
        <v>4714.67</v>
      </c>
      <c r="M54" s="17" t="s">
        <v>403</v>
      </c>
      <c r="N54" s="18" t="n">
        <v>5.35</v>
      </c>
      <c r="O54" s="16" t="s">
        <v>1534</v>
      </c>
      <c r="P54" s="16" t="s">
        <v>1535</v>
      </c>
      <c r="Q54" s="17" t="s">
        <v>1536</v>
      </c>
      <c r="R54" s="78" t="s">
        <v>1664</v>
      </c>
      <c r="S54" s="77" t="n">
        <f aca="false">IFERROR(INDEX('Injectable Value'!$Z$28:$Z$178,MATCH($C54,'Injectable Value'!$A$28:$A$178,0)),"")</f>
        <v>0.623015352554995</v>
      </c>
      <c r="T54" s="19" t="n">
        <f aca="false">IFERROR(ROUND(INDEX('Injectable Value'!$AA$28:$AA$178,MATCH($C54,'Injectable Value'!$A$28:$A$178,0)),1),"")</f>
        <v>2937.3</v>
      </c>
      <c r="U54" s="17" t="s">
        <v>406</v>
      </c>
      <c r="V54" s="16" t="n">
        <v>2</v>
      </c>
      <c r="W54" s="16" t="s">
        <v>405</v>
      </c>
      <c r="X54" s="16" t="s">
        <v>281</v>
      </c>
      <c r="Y54" s="16" t="s">
        <v>283</v>
      </c>
      <c r="Z54" s="17" t="str">
        <f aca="false">IFERROR(INDEX(Scoring!$U:$U,MATCH($C54&amp;"|"&amp;$E54,Scoring!$AD:$AD,0)),"")</f>
        <v/>
      </c>
      <c r="AA54" s="16" t="str">
        <f aca="false">IFERROR(INDEX(Scoring!$E:$E,MATCH($C54&amp;"|"&amp;$E54,Scoring!$AD:$AD,0)),"")</f>
        <v>Priority 3</v>
      </c>
      <c r="AB54" s="19" t="n">
        <f aca="false">IFERROR(INDEX(Scoring!$M:$M,MATCH($C54&amp;"|"&amp;$E54,Scoring!$AD:$AD,0)),"")</f>
        <v>49</v>
      </c>
      <c r="AC54" s="16" t="str">
        <f aca="false">IFERROR(INDEX('Route of Administration'!$C$5:$C$155,MATCH($C54,'Route of Administration'!$A$5:$A$155,0)),"")</f>
        <v>IV, IM, SC</v>
      </c>
      <c r="AD54" s="15" t="str">
        <f aca="false">IFERROR(INDEX('Route of Administration'!$D$5:$D$155,MATCH($C54,'Route of Administration'!$A$5:$A$155,0)),"")</f>
        <v>Yes</v>
      </c>
      <c r="AE54" s="15" t="str">
        <f aca="false">IF($AD54="No","Not checked – drug is IV only",IFERROR(INDEX('Route of Administration'!$O$5:$O$170,MATCH($E54&amp;"|"&amp;$C54,'Route of Administration'!$S$5:$S$170,0)),"Not checked – price ≤ USD 5"))</f>
        <v>Pass</v>
      </c>
    </row>
    <row r="55" customFormat="false" ht="28.35" hidden="false" customHeight="false" outlineLevel="0" collapsed="false">
      <c r="B55" s="16" t="n">
        <v>53</v>
      </c>
      <c r="C55" s="16" t="s">
        <v>552</v>
      </c>
      <c r="D55" s="16" t="s">
        <v>552</v>
      </c>
      <c r="E55" s="16" t="s">
        <v>322</v>
      </c>
      <c r="F55" s="16" t="s">
        <v>1665</v>
      </c>
      <c r="G55" s="17" t="s">
        <v>1666</v>
      </c>
      <c r="H55" s="16" t="s">
        <v>1667</v>
      </c>
      <c r="I55" s="18"/>
      <c r="J55" s="16" t="n">
        <v>1</v>
      </c>
      <c r="K55" s="16" t="n">
        <v>9</v>
      </c>
      <c r="L55" s="19" t="n">
        <v>1127.64</v>
      </c>
      <c r="M55" s="17" t="s">
        <v>553</v>
      </c>
      <c r="N55" s="82" t="n">
        <v>10.03</v>
      </c>
      <c r="O55" s="64" t="s">
        <v>1541</v>
      </c>
      <c r="P55" s="16" t="s">
        <v>1535</v>
      </c>
      <c r="Q55" s="17" t="s">
        <v>1542</v>
      </c>
      <c r="R55" s="78" t="s">
        <v>1543</v>
      </c>
      <c r="S55" s="77" t="n">
        <f aca="false">IFERROR(INDEX('Injectable Value'!$Z$28:$Z$178,MATCH($C55,'Injectable Value'!$A$28:$A$178,0)),"")</f>
        <v>1</v>
      </c>
      <c r="T55" s="19" t="n">
        <f aca="false">IFERROR(ROUND(INDEX('Injectable Value'!$AA$28:$AA$178,MATCH($C55,'Injectable Value'!$A$28:$A$178,0)),1),"")</f>
        <v>1127.6</v>
      </c>
      <c r="U55" s="17" t="s">
        <v>284</v>
      </c>
      <c r="V55" s="16" t="n">
        <v>1</v>
      </c>
      <c r="W55" s="16" t="s">
        <v>284</v>
      </c>
      <c r="X55" s="16" t="s">
        <v>291</v>
      </c>
      <c r="Y55" s="16" t="s">
        <v>283</v>
      </c>
      <c r="Z55" s="17" t="str">
        <f aca="false">IFERROR(INDEX(Scoring!$U:$U,MATCH($C55&amp;"|"&amp;$E55,Scoring!$AD:$AD,0)),"")</f>
        <v>Prefilled only</v>
      </c>
      <c r="AA55" s="16" t="str">
        <f aca="false">IFERROR(INDEX(Scoring!$E:$E,MATCH($C55&amp;"|"&amp;$E55,Scoring!$AD:$AD,0)),"")</f>
        <v>Excluded – IV only</v>
      </c>
      <c r="AB55" s="19" t="n">
        <f aca="false">IFERROR(INDEX(Scoring!$M:$M,MATCH($C55&amp;"|"&amp;$E55,Scoring!$AD:$AD,0)),"")</f>
        <v>9</v>
      </c>
      <c r="AC55" s="16" t="str">
        <f aca="false">IFERROR(INDEX('Route of Administration'!$C$5:$C$155,MATCH($C55,'Route of Administration'!$A$5:$A$155,0)),"")</f>
        <v>IV</v>
      </c>
      <c r="AD55" s="15" t="str">
        <f aca="false">IFERROR(INDEX('Route of Administration'!$D$5:$D$155,MATCH($C55,'Route of Administration'!$A$5:$A$155,0)),"")</f>
        <v>No</v>
      </c>
      <c r="AE55" s="15" t="str">
        <f aca="false">IF($AD55="No","Not checked – drug is IV only",IFERROR(INDEX('Route of Administration'!$O$5:$O$170,MATCH($E55&amp;"|"&amp;$C55,'Route of Administration'!$S$5:$S$170,0)),"Not checked – price ≤ USD 5"))</f>
        <v>Not checked – drug is IV only</v>
      </c>
    </row>
    <row r="56" customFormat="false" ht="28.35" hidden="false" customHeight="false" outlineLevel="0" collapsed="false">
      <c r="B56" s="16" t="n">
        <v>54</v>
      </c>
      <c r="C56" s="16" t="s">
        <v>568</v>
      </c>
      <c r="D56" s="16" t="s">
        <v>569</v>
      </c>
      <c r="E56" s="16" t="s">
        <v>322</v>
      </c>
      <c r="F56" s="16" t="s">
        <v>1668</v>
      </c>
      <c r="G56" s="17" t="s">
        <v>1669</v>
      </c>
      <c r="H56" s="16" t="s">
        <v>281</v>
      </c>
      <c r="I56" s="18" t="n">
        <v>161.8</v>
      </c>
      <c r="J56" s="16" t="n">
        <v>1</v>
      </c>
      <c r="K56" s="16" t="n">
        <v>9996</v>
      </c>
      <c r="L56" s="19" t="n">
        <v>71311.67</v>
      </c>
      <c r="M56" s="17" t="s">
        <v>570</v>
      </c>
      <c r="N56" s="18" t="n">
        <v>161.8</v>
      </c>
      <c r="O56" s="16" t="s">
        <v>1534</v>
      </c>
      <c r="P56" s="16" t="s">
        <v>1535</v>
      </c>
      <c r="Q56" s="17" t="s">
        <v>1536</v>
      </c>
      <c r="R56" s="78" t="s">
        <v>1670</v>
      </c>
      <c r="S56" s="77" t="n">
        <f aca="false">IFERROR(INDEX('Injectable Value'!$Z$28:$Z$178,MATCH($C56,'Injectable Value'!$A$28:$A$178,0)),"")</f>
        <v>0.0105877483794673</v>
      </c>
      <c r="T56" s="19" t="n">
        <f aca="false">IFERROR(ROUND(INDEX('Injectable Value'!$AA$28:$AA$178,MATCH($C56,'Injectable Value'!$A$28:$A$178,0)),1),"")</f>
        <v>755</v>
      </c>
      <c r="U56" s="17" t="s">
        <v>284</v>
      </c>
      <c r="V56" s="16" t="n">
        <v>1</v>
      </c>
      <c r="W56" s="16" t="s">
        <v>284</v>
      </c>
      <c r="X56" s="16" t="s">
        <v>281</v>
      </c>
      <c r="Y56" s="16" t="s">
        <v>1547</v>
      </c>
      <c r="Z56" s="17" t="str">
        <f aca="false">IFERROR(INDEX(Scoring!$U:$U,MATCH($C56&amp;"|"&amp;$E56,Scoring!$AD:$AD,0)),"")</f>
        <v/>
      </c>
      <c r="AA56" s="16" t="str">
        <f aca="false">IFERROR(INDEX(Scoring!$E:$E,MATCH($C56&amp;"|"&amp;$E56,Scoring!$AD:$AD,0)),"")</f>
        <v>Excluded – IV only</v>
      </c>
      <c r="AB56" s="19" t="n">
        <f aca="false">IFERROR(INDEX(Scoring!$M:$M,MATCH($C56&amp;"|"&amp;$E56,Scoring!$AD:$AD,0)),"")</f>
        <v>106</v>
      </c>
      <c r="AC56" s="16" t="str">
        <f aca="false">IFERROR(INDEX('Route of Administration'!$C$5:$C$155,MATCH($C56,'Route of Administration'!$A$5:$A$155,0)),"")</f>
        <v>IV</v>
      </c>
      <c r="AD56" s="15" t="str">
        <f aca="false">IFERROR(INDEX('Route of Administration'!$D$5:$D$155,MATCH($C56,'Route of Administration'!$A$5:$A$155,0)),"")</f>
        <v>No</v>
      </c>
      <c r="AE56" s="15" t="str">
        <f aca="false">IF($AD56="No","Not checked – drug is IV only",IFERROR(INDEX('Route of Administration'!$O$5:$O$170,MATCH($E56&amp;"|"&amp;$C56,'Route of Administration'!$S$5:$S$170,0)),"Not checked – price ≤ USD 5"))</f>
        <v>Not checked – drug is IV only</v>
      </c>
    </row>
    <row r="57" customFormat="false" ht="28.35" hidden="false" customHeight="false" outlineLevel="0" collapsed="false">
      <c r="B57" s="16" t="n">
        <v>55</v>
      </c>
      <c r="C57" s="16" t="s">
        <v>581</v>
      </c>
      <c r="D57" s="16" t="s">
        <v>582</v>
      </c>
      <c r="E57" s="16" t="s">
        <v>322</v>
      </c>
      <c r="F57" s="16" t="s">
        <v>1671</v>
      </c>
      <c r="G57" s="17" t="s">
        <v>1672</v>
      </c>
      <c r="H57" s="16" t="s">
        <v>1533</v>
      </c>
      <c r="I57" s="18" t="n">
        <v>81.22</v>
      </c>
      <c r="J57" s="16" t="n">
        <v>1</v>
      </c>
      <c r="K57" s="16" t="n">
        <v>61</v>
      </c>
      <c r="L57" s="19" t="n">
        <v>2812.77</v>
      </c>
      <c r="M57" s="17" t="s">
        <v>583</v>
      </c>
      <c r="N57" s="18" t="n">
        <v>81.22</v>
      </c>
      <c r="O57" s="16" t="s">
        <v>1534</v>
      </c>
      <c r="P57" s="16" t="s">
        <v>1535</v>
      </c>
      <c r="Q57" s="17" t="s">
        <v>1536</v>
      </c>
      <c r="R57" s="78" t="s">
        <v>1673</v>
      </c>
      <c r="S57" s="77" t="n">
        <f aca="false">IFERROR(INDEX('Injectable Value'!$Z$28:$Z$178,MATCH($C57,'Injectable Value'!$A$28:$A$178,0)),"")</f>
        <v>1</v>
      </c>
      <c r="T57" s="19" t="n">
        <f aca="false">IFERROR(ROUND(INDEX('Injectable Value'!$AA$28:$AA$178,MATCH($C57,'Injectable Value'!$A$28:$A$178,0)),1),"")</f>
        <v>2812.8</v>
      </c>
      <c r="U57" s="17" t="s">
        <v>586</v>
      </c>
      <c r="V57" s="16" t="n">
        <v>6</v>
      </c>
      <c r="W57" s="16" t="s">
        <v>585</v>
      </c>
      <c r="X57" s="16" t="s">
        <v>429</v>
      </c>
      <c r="Y57" s="16" t="s">
        <v>1547</v>
      </c>
      <c r="Z57" s="17" t="str">
        <f aca="false">IFERROR(INDEX(Scoring!$U:$U,MATCH($C57&amp;"|"&amp;$E57,Scoring!$AD:$AD,0)),"")</f>
        <v/>
      </c>
      <c r="AA57" s="16" t="str">
        <f aca="false">IFERROR(INDEX(Scoring!$E:$E,MATCH($C57&amp;"|"&amp;$E57,Scoring!$AD:$AD,0)),"")</f>
        <v>Excluded – IV only</v>
      </c>
      <c r="AB57" s="19" t="n">
        <f aca="false">IFERROR(INDEX(Scoring!$M:$M,MATCH($C57&amp;"|"&amp;$E57,Scoring!$AD:$AD,0)),"")</f>
        <v>61</v>
      </c>
      <c r="AC57" s="16" t="str">
        <f aca="false">IFERROR(INDEX('Route of Administration'!$C$5:$C$155,MATCH($C57,'Route of Administration'!$A$5:$A$155,0)),"")</f>
        <v>IV</v>
      </c>
      <c r="AD57" s="15" t="str">
        <f aca="false">IFERROR(INDEX('Route of Administration'!$D$5:$D$155,MATCH($C57,'Route of Administration'!$A$5:$A$155,0)),"")</f>
        <v>No</v>
      </c>
      <c r="AE57" s="15" t="str">
        <f aca="false">IF($AD57="No","Not checked – drug is IV only",IFERROR(INDEX('Route of Administration'!$O$5:$O$170,MATCH($E57&amp;"|"&amp;$C57,'Route of Administration'!$S$5:$S$170,0)),"Not checked – price ≤ USD 5"))</f>
        <v>Not checked – drug is IV only</v>
      </c>
    </row>
    <row r="58" customFormat="false" ht="28.35" hidden="false" customHeight="false" outlineLevel="0" collapsed="false">
      <c r="B58" s="16" t="n">
        <v>56</v>
      </c>
      <c r="C58" s="16" t="s">
        <v>581</v>
      </c>
      <c r="D58" s="16" t="s">
        <v>582</v>
      </c>
      <c r="E58" s="16" t="s">
        <v>322</v>
      </c>
      <c r="F58" s="16" t="s">
        <v>1674</v>
      </c>
      <c r="G58" s="17" t="s">
        <v>1675</v>
      </c>
      <c r="H58" s="16" t="s">
        <v>1533</v>
      </c>
      <c r="I58" s="18" t="n">
        <v>198.4</v>
      </c>
      <c r="J58" s="16" t="n">
        <v>1</v>
      </c>
      <c r="K58" s="16" t="n">
        <v>61</v>
      </c>
      <c r="L58" s="19" t="n">
        <v>2812.77</v>
      </c>
      <c r="M58" s="17" t="s">
        <v>583</v>
      </c>
      <c r="N58" s="18" t="n">
        <v>198.4</v>
      </c>
      <c r="O58" s="16" t="s">
        <v>1534</v>
      </c>
      <c r="P58" s="16" t="s">
        <v>1535</v>
      </c>
      <c r="Q58" s="17" t="s">
        <v>1536</v>
      </c>
      <c r="R58" s="78" t="s">
        <v>1673</v>
      </c>
      <c r="S58" s="77" t="n">
        <f aca="false">IFERROR(INDEX('Injectable Value'!$Z$28:$Z$178,MATCH($C58,'Injectable Value'!$A$28:$A$178,0)),"")</f>
        <v>1</v>
      </c>
      <c r="T58" s="19" t="n">
        <f aca="false">IFERROR(ROUND(INDEX('Injectable Value'!$AA$28:$AA$178,MATCH($C58,'Injectable Value'!$A$28:$A$178,0)),1),"")</f>
        <v>2812.8</v>
      </c>
      <c r="U58" s="17" t="s">
        <v>586</v>
      </c>
      <c r="V58" s="16" t="n">
        <v>6</v>
      </c>
      <c r="W58" s="16" t="s">
        <v>585</v>
      </c>
      <c r="X58" s="16" t="s">
        <v>429</v>
      </c>
      <c r="Y58" s="16" t="s">
        <v>1547</v>
      </c>
      <c r="Z58" s="17" t="str">
        <f aca="false">IFERROR(INDEX(Scoring!$U:$U,MATCH($C58&amp;"|"&amp;$E58,Scoring!$AD:$AD,0)),"")</f>
        <v/>
      </c>
      <c r="AA58" s="16" t="str">
        <f aca="false">IFERROR(INDEX(Scoring!$E:$E,MATCH($C58&amp;"|"&amp;$E58,Scoring!$AD:$AD,0)),"")</f>
        <v>Excluded – IV only</v>
      </c>
      <c r="AB58" s="19" t="n">
        <f aca="false">IFERROR(INDEX(Scoring!$M:$M,MATCH($C58&amp;"|"&amp;$E58,Scoring!$AD:$AD,0)),"")</f>
        <v>61</v>
      </c>
      <c r="AC58" s="16" t="str">
        <f aca="false">IFERROR(INDEX('Route of Administration'!$C$5:$C$155,MATCH($C58,'Route of Administration'!$A$5:$A$155,0)),"")</f>
        <v>IV</v>
      </c>
      <c r="AD58" s="15" t="str">
        <f aca="false">IFERROR(INDEX('Route of Administration'!$D$5:$D$155,MATCH($C58,'Route of Administration'!$A$5:$A$155,0)),"")</f>
        <v>No</v>
      </c>
      <c r="AE58" s="15" t="str">
        <f aca="false">IF($AD58="No","Not checked – drug is IV only",IFERROR(INDEX('Route of Administration'!$O$5:$O$170,MATCH($E58&amp;"|"&amp;$C58,'Route of Administration'!$S$5:$S$170,0)),"Not checked – price ≤ USD 5"))</f>
        <v>Not checked – drug is IV only</v>
      </c>
    </row>
    <row r="59" customFormat="false" ht="28.35" hidden="false" customHeight="false" outlineLevel="0" collapsed="false">
      <c r="B59" s="16" t="n">
        <v>57</v>
      </c>
      <c r="C59" s="16" t="s">
        <v>541</v>
      </c>
      <c r="D59" s="16" t="s">
        <v>541</v>
      </c>
      <c r="E59" s="16" t="s">
        <v>322</v>
      </c>
      <c r="F59" s="16" t="s">
        <v>1676</v>
      </c>
      <c r="G59" s="17" t="s">
        <v>1677</v>
      </c>
      <c r="H59" s="16" t="s">
        <v>1533</v>
      </c>
      <c r="I59" s="18" t="n">
        <v>343.8</v>
      </c>
      <c r="J59" s="16" t="n">
        <v>1</v>
      </c>
      <c r="K59" s="16" t="n">
        <v>47</v>
      </c>
      <c r="L59" s="19" t="n">
        <v>7904.67</v>
      </c>
      <c r="M59" s="17" t="s">
        <v>543</v>
      </c>
      <c r="N59" s="18" t="n">
        <v>343.8</v>
      </c>
      <c r="O59" s="16" t="s">
        <v>1534</v>
      </c>
      <c r="P59" s="16" t="s">
        <v>1535</v>
      </c>
      <c r="Q59" s="17" t="s">
        <v>1536</v>
      </c>
      <c r="R59" s="78" t="s">
        <v>1678</v>
      </c>
      <c r="S59" s="77" t="n">
        <f aca="false">IFERROR(INDEX('Injectable Value'!$Z$28:$Z$178,MATCH($C59,'Injectable Value'!$A$28:$A$178,0)),"")</f>
        <v>1</v>
      </c>
      <c r="T59" s="19" t="n">
        <f aca="false">IFERROR(ROUND(INDEX('Injectable Value'!$AA$28:$AA$178,MATCH($C59,'Injectable Value'!$A$28:$A$178,0)),1),"")</f>
        <v>7904.7</v>
      </c>
      <c r="U59" s="17" t="s">
        <v>546</v>
      </c>
      <c r="V59" s="16" t="n">
        <v>10</v>
      </c>
      <c r="W59" s="16" t="s">
        <v>545</v>
      </c>
      <c r="X59" s="16" t="s">
        <v>281</v>
      </c>
      <c r="Y59" s="16" t="s">
        <v>283</v>
      </c>
      <c r="Z59" s="17" t="str">
        <f aca="false">IFERROR(INDEX(Scoring!$U:$U,MATCH($C59&amp;"|"&amp;$E59,Scoring!$AD:$AD,0)),"")</f>
        <v/>
      </c>
      <c r="AA59" s="16" t="str">
        <f aca="false">IFERROR(INDEX(Scoring!$E:$E,MATCH($C59&amp;"|"&amp;$E59,Scoring!$AD:$AD,0)),"")</f>
        <v>Priority 2</v>
      </c>
      <c r="AB59" s="19" t="n">
        <f aca="false">IFERROR(INDEX(Scoring!$M:$M,MATCH($C59&amp;"|"&amp;$E59,Scoring!$AD:$AD,0)),"")</f>
        <v>47</v>
      </c>
      <c r="AC59" s="16" t="str">
        <f aca="false">IFERROR(INDEX('Route of Administration'!$C$5:$C$155,MATCH($C59,'Route of Administration'!$A$5:$A$155,0)),"")</f>
        <v>SC</v>
      </c>
      <c r="AD59" s="15" t="str">
        <f aca="false">IFERROR(INDEX('Route of Administration'!$D$5:$D$155,MATCH($C59,'Route of Administration'!$A$5:$A$155,0)),"")</f>
        <v>Yes</v>
      </c>
      <c r="AE59" s="15" t="str">
        <f aca="false">IF($AD59="No","Not checked – drug is IV only",IFERROR(INDEX('Route of Administration'!$O$5:$O$170,MATCH($E59&amp;"|"&amp;$C59,'Route of Administration'!$S$5:$S$170,0)),"Not checked – price ≤ USD 5"))</f>
        <v>Pass</v>
      </c>
    </row>
    <row r="60" customFormat="false" ht="28.35" hidden="false" customHeight="false" outlineLevel="0" collapsed="false">
      <c r="B60" s="16" t="n">
        <v>58</v>
      </c>
      <c r="C60" s="16" t="s">
        <v>338</v>
      </c>
      <c r="D60" s="16" t="s">
        <v>1679</v>
      </c>
      <c r="E60" s="16" t="s">
        <v>322</v>
      </c>
      <c r="F60" s="16" t="s">
        <v>1680</v>
      </c>
      <c r="G60" s="17" t="s">
        <v>1681</v>
      </c>
      <c r="H60" s="16" t="s">
        <v>1533</v>
      </c>
      <c r="I60" s="18" t="n">
        <v>856.68</v>
      </c>
      <c r="J60" s="16" t="n">
        <v>1</v>
      </c>
      <c r="K60" s="16" t="n">
        <v>905</v>
      </c>
      <c r="L60" s="19" t="n">
        <v>28093.38</v>
      </c>
      <c r="M60" s="17" t="s">
        <v>340</v>
      </c>
      <c r="N60" s="18" t="n">
        <v>856.68</v>
      </c>
      <c r="O60" s="16" t="s">
        <v>1534</v>
      </c>
      <c r="P60" s="16" t="s">
        <v>1535</v>
      </c>
      <c r="Q60" s="17" t="s">
        <v>1536</v>
      </c>
      <c r="R60" s="78" t="s">
        <v>1682</v>
      </c>
      <c r="S60" s="77" t="n">
        <f aca="false">IFERROR(INDEX('Injectable Value'!$Z$28:$Z$178,MATCH($C60,'Injectable Value'!$A$28:$A$178,0)),"")</f>
        <v>1</v>
      </c>
      <c r="T60" s="19" t="n">
        <f aca="false">IFERROR(ROUND(INDEX('Injectable Value'!$AA$28:$AA$178,MATCH($C60,'Injectable Value'!$A$28:$A$178,0)),1),"")</f>
        <v>28093.4</v>
      </c>
      <c r="U60" s="17" t="s">
        <v>343</v>
      </c>
      <c r="V60" s="16" t="n">
        <v>12</v>
      </c>
      <c r="W60" s="16" t="s">
        <v>342</v>
      </c>
      <c r="X60" s="16" t="s">
        <v>281</v>
      </c>
      <c r="Y60" s="16" t="s">
        <v>333</v>
      </c>
      <c r="Z60" s="17" t="str">
        <f aca="false">IFERROR(INDEX(Scoring!$U:$U,MATCH($C60&amp;"|"&amp;$E60,Scoring!$AD:$AD,0)),"")</f>
        <v>Cancer drug (cytotoxic) – less relevant; Reconstitution</v>
      </c>
      <c r="AA60" s="16" t="str">
        <f aca="false">IFERROR(INDEX(Scoring!$E:$E,MATCH($C60&amp;"|"&amp;$E60,Scoring!$AD:$AD,0)),"")</f>
        <v>Priority 1</v>
      </c>
      <c r="AB60" s="19" t="n">
        <f aca="false">IFERROR(INDEX(Scoring!$M:$M,MATCH($C60&amp;"|"&amp;$E60,Scoring!$AD:$AD,0)),"")</f>
        <v>905</v>
      </c>
      <c r="AC60" s="16" t="str">
        <f aca="false">IFERROR(INDEX('Route of Administration'!$C$5:$C$155,MATCH($C60,'Route of Administration'!$A$5:$A$155,0)),"")</f>
        <v>IV, SC</v>
      </c>
      <c r="AD60" s="15" t="str">
        <f aca="false">IFERROR(INDEX('Route of Administration'!$D$5:$D$155,MATCH($C60,'Route of Administration'!$A$5:$A$155,0)),"")</f>
        <v>Yes</v>
      </c>
      <c r="AE60" s="15" t="str">
        <f aca="false">IF($AD60="No","Not checked – drug is IV only",IFERROR(INDEX('Route of Administration'!$O$5:$O$170,MATCH($E60&amp;"|"&amp;$C60,'Route of Administration'!$S$5:$S$170,0)),"Not checked – price ≤ USD 5"))</f>
        <v>Pass</v>
      </c>
    </row>
    <row r="61" customFormat="false" ht="28.35" hidden="false" customHeight="false" outlineLevel="0" collapsed="false">
      <c r="B61" s="16" t="n">
        <v>59</v>
      </c>
      <c r="C61" s="16" t="s">
        <v>295</v>
      </c>
      <c r="D61" s="16" t="s">
        <v>295</v>
      </c>
      <c r="E61" s="16" t="s">
        <v>322</v>
      </c>
      <c r="F61" s="16" t="s">
        <v>1683</v>
      </c>
      <c r="G61" s="17" t="s">
        <v>1684</v>
      </c>
      <c r="H61" s="16" t="s">
        <v>1540</v>
      </c>
      <c r="I61" s="18" t="n">
        <v>345.31</v>
      </c>
      <c r="J61" s="16" t="n">
        <v>1</v>
      </c>
      <c r="K61" s="16" t="n">
        <v>146</v>
      </c>
      <c r="L61" s="19" t="n">
        <v>11366.06</v>
      </c>
      <c r="M61" s="17" t="s">
        <v>296</v>
      </c>
      <c r="N61" s="18" t="n">
        <v>345.31</v>
      </c>
      <c r="O61" s="16" t="s">
        <v>1534</v>
      </c>
      <c r="P61" s="16" t="s">
        <v>1535</v>
      </c>
      <c r="Q61" s="17" t="s">
        <v>1536</v>
      </c>
      <c r="R61" s="78" t="s">
        <v>1685</v>
      </c>
      <c r="S61" s="77" t="n">
        <f aca="false">IFERROR(INDEX('Injectable Value'!$Z$28:$Z$178,MATCH($C61,'Injectable Value'!$A$28:$A$178,0)),"")</f>
        <v>1</v>
      </c>
      <c r="T61" s="19" t="n">
        <f aca="false">IFERROR(ROUND(INDEX('Injectable Value'!$AA$28:$AA$178,MATCH($C61,'Injectable Value'!$A$28:$A$178,0)),1),"")</f>
        <v>11366.1</v>
      </c>
      <c r="U61" s="17" t="s">
        <v>457</v>
      </c>
      <c r="V61" s="16" t="n">
        <v>10</v>
      </c>
      <c r="W61" s="16" t="s">
        <v>456</v>
      </c>
      <c r="X61" s="16" t="s">
        <v>291</v>
      </c>
      <c r="Y61" s="16" t="s">
        <v>283</v>
      </c>
      <c r="Z61" s="17" t="str">
        <f aca="false">IFERROR(INDEX(Scoring!$U:$U,MATCH($C61&amp;"|"&amp;$E61,Scoring!$AD:$AD,0)),"")</f>
        <v>Prefilled only</v>
      </c>
      <c r="AA61" s="16" t="str">
        <f aca="false">IFERROR(INDEX(Scoring!$E:$E,MATCH($C61&amp;"|"&amp;$E61,Scoring!$AD:$AD,0)),"")</f>
        <v>Priority 1</v>
      </c>
      <c r="AB61" s="19" t="n">
        <f aca="false">IFERROR(INDEX(Scoring!$M:$M,MATCH($C61&amp;"|"&amp;$E61,Scoring!$AD:$AD,0)),"")</f>
        <v>146</v>
      </c>
      <c r="AC61" s="16" t="str">
        <f aca="false">IFERROR(INDEX('Route of Administration'!$C$5:$C$155,MATCH($C61,'Route of Administration'!$A$5:$A$155,0)),"")</f>
        <v>IM</v>
      </c>
      <c r="AD61" s="15" t="str">
        <f aca="false">IFERROR(INDEX('Route of Administration'!$D$5:$D$155,MATCH($C61,'Route of Administration'!$A$5:$A$155,0)),"")</f>
        <v>Yes</v>
      </c>
      <c r="AE61" s="15" t="str">
        <f aca="false">IF($AD61="No","Not checked – drug is IV only",IFERROR(INDEX('Route of Administration'!$O$5:$O$170,MATCH($E61&amp;"|"&amp;$C61,'Route of Administration'!$S$5:$S$170,0)),"Not checked – price ≤ USD 5"))</f>
        <v>Pass</v>
      </c>
    </row>
    <row r="62" customFormat="false" ht="28.35" hidden="false" customHeight="false" outlineLevel="0" collapsed="false">
      <c r="B62" s="16" t="n">
        <v>60</v>
      </c>
      <c r="C62" s="16" t="s">
        <v>541</v>
      </c>
      <c r="D62" s="16" t="s">
        <v>541</v>
      </c>
      <c r="E62" s="16" t="s">
        <v>322</v>
      </c>
      <c r="F62" s="16" t="s">
        <v>1686</v>
      </c>
      <c r="G62" s="17" t="s">
        <v>1687</v>
      </c>
      <c r="H62" s="16" t="s">
        <v>1533</v>
      </c>
      <c r="I62" s="18" t="n">
        <v>6345.6</v>
      </c>
      <c r="J62" s="16" t="n">
        <v>1</v>
      </c>
      <c r="K62" s="16" t="n">
        <v>47</v>
      </c>
      <c r="L62" s="19" t="n">
        <v>7904.67</v>
      </c>
      <c r="M62" s="17" t="s">
        <v>543</v>
      </c>
      <c r="N62" s="18" t="n">
        <v>6345.6</v>
      </c>
      <c r="O62" s="16" t="s">
        <v>1534</v>
      </c>
      <c r="P62" s="16" t="s">
        <v>1535</v>
      </c>
      <c r="Q62" s="17" t="s">
        <v>1536</v>
      </c>
      <c r="R62" s="78" t="s">
        <v>1688</v>
      </c>
      <c r="S62" s="77" t="n">
        <f aca="false">IFERROR(INDEX('Injectable Value'!$Z$28:$Z$178,MATCH($C62,'Injectable Value'!$A$28:$A$178,0)),"")</f>
        <v>1</v>
      </c>
      <c r="T62" s="19" t="n">
        <f aca="false">IFERROR(ROUND(INDEX('Injectable Value'!$AA$28:$AA$178,MATCH($C62,'Injectable Value'!$A$28:$A$178,0)),1),"")</f>
        <v>7904.7</v>
      </c>
      <c r="U62" s="17" t="s">
        <v>546</v>
      </c>
      <c r="V62" s="16" t="n">
        <v>10</v>
      </c>
      <c r="W62" s="16" t="s">
        <v>545</v>
      </c>
      <c r="X62" s="16" t="s">
        <v>281</v>
      </c>
      <c r="Y62" s="16" t="s">
        <v>283</v>
      </c>
      <c r="Z62" s="17" t="str">
        <f aca="false">IFERROR(INDEX(Scoring!$U:$U,MATCH($C62&amp;"|"&amp;$E62,Scoring!$AD:$AD,0)),"")</f>
        <v/>
      </c>
      <c r="AA62" s="16" t="str">
        <f aca="false">IFERROR(INDEX(Scoring!$E:$E,MATCH($C62&amp;"|"&amp;$E62,Scoring!$AD:$AD,0)),"")</f>
        <v>Priority 2</v>
      </c>
      <c r="AB62" s="19" t="n">
        <f aca="false">IFERROR(INDEX(Scoring!$M:$M,MATCH($C62&amp;"|"&amp;$E62,Scoring!$AD:$AD,0)),"")</f>
        <v>47</v>
      </c>
      <c r="AC62" s="16" t="str">
        <f aca="false">IFERROR(INDEX('Route of Administration'!$C$5:$C$155,MATCH($C62,'Route of Administration'!$A$5:$A$155,0)),"")</f>
        <v>SC</v>
      </c>
      <c r="AD62" s="15" t="str">
        <f aca="false">IFERROR(INDEX('Route of Administration'!$D$5:$D$155,MATCH($C62,'Route of Administration'!$A$5:$A$155,0)),"")</f>
        <v>Yes</v>
      </c>
      <c r="AE62" s="15" t="str">
        <f aca="false">IF($AD62="No","Not checked – drug is IV only",IFERROR(INDEX('Route of Administration'!$O$5:$O$170,MATCH($E62&amp;"|"&amp;$C62,'Route of Administration'!$S$5:$S$170,0)),"Not checked – price ≤ USD 5"))</f>
        <v>Pass</v>
      </c>
    </row>
    <row r="63" customFormat="false" ht="28.35" hidden="false" customHeight="false" outlineLevel="0" collapsed="false">
      <c r="B63" s="16" t="n">
        <v>61</v>
      </c>
      <c r="C63" s="16" t="s">
        <v>329</v>
      </c>
      <c r="D63" s="16" t="s">
        <v>329</v>
      </c>
      <c r="E63" s="16" t="s">
        <v>322</v>
      </c>
      <c r="F63" s="16" t="s">
        <v>1689</v>
      </c>
      <c r="G63" s="17" t="s">
        <v>1690</v>
      </c>
      <c r="H63" s="16" t="s">
        <v>1533</v>
      </c>
      <c r="I63" s="18" t="n">
        <v>360.71</v>
      </c>
      <c r="J63" s="16" t="n">
        <v>1</v>
      </c>
      <c r="K63" s="16" t="n">
        <v>762</v>
      </c>
      <c r="L63" s="19" t="n">
        <v>50865.56</v>
      </c>
      <c r="M63" s="17" t="s">
        <v>331</v>
      </c>
      <c r="N63" s="18" t="n">
        <v>360.71</v>
      </c>
      <c r="O63" s="16" t="s">
        <v>1534</v>
      </c>
      <c r="P63" s="16" t="s">
        <v>1535</v>
      </c>
      <c r="Q63" s="17" t="s">
        <v>1536</v>
      </c>
      <c r="R63" s="78" t="s">
        <v>1691</v>
      </c>
      <c r="S63" s="77" t="n">
        <f aca="false">IFERROR(INDEX('Injectable Value'!$Z$28:$Z$178,MATCH($C63,'Injectable Value'!$A$28:$A$178,0)),"")</f>
        <v>0.829278792417718</v>
      </c>
      <c r="T63" s="19" t="n">
        <f aca="false">IFERROR(ROUND(INDEX('Injectable Value'!$AA$28:$AA$178,MATCH($C63,'Injectable Value'!$A$28:$A$178,0)),1),"")</f>
        <v>42181.7</v>
      </c>
      <c r="U63" s="17" t="s">
        <v>335</v>
      </c>
      <c r="V63" s="16" t="n">
        <v>11</v>
      </c>
      <c r="W63" s="16" t="s">
        <v>334</v>
      </c>
      <c r="X63" s="16" t="s">
        <v>281</v>
      </c>
      <c r="Y63" s="16" t="s">
        <v>333</v>
      </c>
      <c r="Z63" s="17" t="str">
        <f aca="false">IFERROR(INDEX(Scoring!$U:$U,MATCH($C63&amp;"|"&amp;$E63,Scoring!$AD:$AD,0)),"")</f>
        <v>Cancer drug (cytotoxic) – less relevant; Reconstitution</v>
      </c>
      <c r="AA63" s="16" t="str">
        <f aca="false">IFERROR(INDEX(Scoring!$E:$E,MATCH($C63&amp;"|"&amp;$E63,Scoring!$AD:$AD,0)),"")</f>
        <v>Priority 1</v>
      </c>
      <c r="AB63" s="19" t="n">
        <f aca="false">IFERROR(INDEX(Scoring!$M:$M,MATCH($C63&amp;"|"&amp;$E63,Scoring!$AD:$AD,0)),"")</f>
        <v>632</v>
      </c>
      <c r="AC63" s="16" t="str">
        <f aca="false">IFERROR(INDEX('Route of Administration'!$C$5:$C$155,MATCH($C63,'Route of Administration'!$A$5:$A$155,0)),"")</f>
        <v>IV, SC</v>
      </c>
      <c r="AD63" s="15" t="str">
        <f aca="false">IFERROR(INDEX('Route of Administration'!$D$5:$D$155,MATCH($C63,'Route of Administration'!$A$5:$A$155,0)),"")</f>
        <v>Yes</v>
      </c>
      <c r="AE63" s="15" t="str">
        <f aca="false">IF($AD63="No","Not checked – drug is IV only",IFERROR(INDEX('Route of Administration'!$O$5:$O$170,MATCH($E63&amp;"|"&amp;$C63,'Route of Administration'!$S$5:$S$170,0)),"Not checked – price ≤ USD 5"))</f>
        <v>Pass</v>
      </c>
    </row>
    <row r="64" customFormat="false" ht="28.35" hidden="false" customHeight="false" outlineLevel="0" collapsed="false">
      <c r="B64" s="16" t="n">
        <v>62</v>
      </c>
      <c r="C64" s="16" t="s">
        <v>534</v>
      </c>
      <c r="D64" s="16" t="s">
        <v>534</v>
      </c>
      <c r="E64" s="16" t="s">
        <v>322</v>
      </c>
      <c r="F64" s="16" t="s">
        <v>1692</v>
      </c>
      <c r="G64" s="17" t="s">
        <v>1693</v>
      </c>
      <c r="H64" s="16" t="s">
        <v>1533</v>
      </c>
      <c r="I64" s="18" t="n">
        <v>6.61</v>
      </c>
      <c r="J64" s="16" t="n">
        <v>1</v>
      </c>
      <c r="K64" s="16" t="n">
        <v>3515</v>
      </c>
      <c r="L64" s="19" t="n">
        <v>140084.73</v>
      </c>
      <c r="M64" s="17" t="s">
        <v>535</v>
      </c>
      <c r="N64" s="18" t="n">
        <v>6.61</v>
      </c>
      <c r="O64" s="16" t="s">
        <v>1534</v>
      </c>
      <c r="P64" s="16" t="s">
        <v>1535</v>
      </c>
      <c r="Q64" s="17" t="s">
        <v>1536</v>
      </c>
      <c r="R64" s="78" t="s">
        <v>1694</v>
      </c>
      <c r="S64" s="77" t="n">
        <f aca="false">IFERROR(INDEX('Injectable Value'!$Z$28:$Z$178,MATCH($C64,'Injectable Value'!$A$28:$A$178,0)),"")</f>
        <v>0.251824206147514</v>
      </c>
      <c r="T64" s="19" t="n">
        <f aca="false">IFERROR(ROUND(INDEX('Injectable Value'!$AA$28:$AA$178,MATCH($C64,'Injectable Value'!$A$28:$A$178,0)),1),"")</f>
        <v>35276.7</v>
      </c>
      <c r="U64" s="17" t="s">
        <v>538</v>
      </c>
      <c r="V64" s="16" t="n">
        <v>11</v>
      </c>
      <c r="W64" s="16" t="s">
        <v>537</v>
      </c>
      <c r="X64" s="16" t="s">
        <v>281</v>
      </c>
      <c r="Y64" s="16" t="s">
        <v>310</v>
      </c>
      <c r="Z64" s="17" t="str">
        <f aca="false">IFERROR(INDEX(Scoring!$U:$U,MATCH($C64&amp;"|"&amp;$E64,Scoring!$AD:$AD,0)),"")</f>
        <v/>
      </c>
      <c r="AA64" s="16" t="str">
        <f aca="false">IFERROR(INDEX(Scoring!$E:$E,MATCH($C64&amp;"|"&amp;$E64,Scoring!$AD:$AD,0)),"")</f>
        <v>Excluded – IV only</v>
      </c>
      <c r="AB64" s="19" t="n">
        <f aca="false">IFERROR(INDEX(Scoring!$M:$M,MATCH($C64&amp;"|"&amp;$E64,Scoring!$AD:$AD,0)),"")</f>
        <v>885</v>
      </c>
      <c r="AC64" s="16" t="str">
        <f aca="false">IFERROR(INDEX('Route of Administration'!$C$5:$C$155,MATCH($C64,'Route of Administration'!$A$5:$A$155,0)),"")</f>
        <v>IV</v>
      </c>
      <c r="AD64" s="15" t="str">
        <f aca="false">IFERROR(INDEX('Route of Administration'!$D$5:$D$155,MATCH($C64,'Route of Administration'!$A$5:$A$155,0)),"")</f>
        <v>No</v>
      </c>
      <c r="AE64" s="15" t="str">
        <f aca="false">IF($AD64="No","Not checked – drug is IV only",IFERROR(INDEX('Route of Administration'!$O$5:$O$170,MATCH($E64&amp;"|"&amp;$C64,'Route of Administration'!$S$5:$S$170,0)),"Not checked – price ≤ USD 5"))</f>
        <v>Not checked – drug is IV only</v>
      </c>
    </row>
    <row r="65" customFormat="false" ht="28.35" hidden="false" customHeight="false" outlineLevel="0" collapsed="false">
      <c r="B65" s="16" t="n">
        <v>63</v>
      </c>
      <c r="C65" s="16" t="s">
        <v>518</v>
      </c>
      <c r="D65" s="16" t="s">
        <v>518</v>
      </c>
      <c r="E65" s="16" t="s">
        <v>322</v>
      </c>
      <c r="F65" s="16" t="s">
        <v>1695</v>
      </c>
      <c r="G65" s="17" t="s">
        <v>1696</v>
      </c>
      <c r="H65" s="16" t="s">
        <v>1533</v>
      </c>
      <c r="I65" s="18" t="n">
        <v>6.34</v>
      </c>
      <c r="J65" s="16" t="n">
        <v>1</v>
      </c>
      <c r="K65" s="16" t="n">
        <v>2546</v>
      </c>
      <c r="L65" s="19" t="n">
        <v>46507.62</v>
      </c>
      <c r="M65" s="17" t="s">
        <v>520</v>
      </c>
      <c r="N65" s="18" t="n">
        <v>6.34</v>
      </c>
      <c r="O65" s="16" t="s">
        <v>1534</v>
      </c>
      <c r="P65" s="16" t="s">
        <v>1535</v>
      </c>
      <c r="Q65" s="17" t="s">
        <v>1536</v>
      </c>
      <c r="R65" s="78" t="s">
        <v>1697</v>
      </c>
      <c r="S65" s="77" t="n">
        <f aca="false">IFERROR(INDEX('Injectable Value'!$Z$28:$Z$178,MATCH($C65,'Injectable Value'!$A$28:$A$178,0)),"")</f>
        <v>0.378228374732698</v>
      </c>
      <c r="T65" s="19" t="n">
        <f aca="false">IFERROR(ROUND(INDEX('Injectable Value'!$AA$28:$AA$178,MATCH($C65,'Injectable Value'!$A$28:$A$178,0)),1),"")</f>
        <v>17590.5</v>
      </c>
      <c r="U65" s="17" t="s">
        <v>523</v>
      </c>
      <c r="V65" s="16" t="n">
        <v>10</v>
      </c>
      <c r="W65" s="16" t="s">
        <v>522</v>
      </c>
      <c r="X65" s="16" t="s">
        <v>349</v>
      </c>
      <c r="Y65" s="16" t="s">
        <v>310</v>
      </c>
      <c r="Z65" s="17" t="str">
        <f aca="false">IFERROR(INDEX(Scoring!$U:$U,MATCH($C65&amp;"|"&amp;$E65,Scoring!$AD:$AD,0)),"")</f>
        <v/>
      </c>
      <c r="AA65" s="16" t="str">
        <f aca="false">IFERROR(INDEX(Scoring!$E:$E,MATCH($C65&amp;"|"&amp;$E65,Scoring!$AD:$AD,0)),"")</f>
        <v>Priority 2</v>
      </c>
      <c r="AB65" s="19" t="n">
        <f aca="false">IFERROR(INDEX(Scoring!$M:$M,MATCH($C65&amp;"|"&amp;$E65,Scoring!$AD:$AD,0)),"")</f>
        <v>963</v>
      </c>
      <c r="AC65" s="16" t="str">
        <f aca="false">IFERROR(INDEX('Route of Administration'!$C$5:$C$155,MATCH($C65,'Route of Administration'!$A$5:$A$155,0)),"")</f>
        <v>IV, IM</v>
      </c>
      <c r="AD65" s="15" t="str">
        <f aca="false">IFERROR(INDEX('Route of Administration'!$D$5:$D$155,MATCH($C65,'Route of Administration'!$A$5:$A$155,0)),"")</f>
        <v>Yes</v>
      </c>
      <c r="AE65" s="15" t="str">
        <f aca="false">IF($AD65="No","Not checked – drug is IV only",IFERROR(INDEX('Route of Administration'!$O$5:$O$170,MATCH($E65&amp;"|"&amp;$C65,'Route of Administration'!$S$5:$S$170,0)),"Not checked – price ≤ USD 5"))</f>
        <v>Pass</v>
      </c>
    </row>
    <row r="66" customFormat="false" ht="28.35" hidden="false" customHeight="false" outlineLevel="0" collapsed="false">
      <c r="B66" s="16" t="n">
        <v>64</v>
      </c>
      <c r="C66" s="16" t="s">
        <v>329</v>
      </c>
      <c r="D66" s="16" t="s">
        <v>1698</v>
      </c>
      <c r="E66" s="16" t="s">
        <v>322</v>
      </c>
      <c r="F66" s="16" t="s">
        <v>1699</v>
      </c>
      <c r="G66" s="17" t="s">
        <v>1690</v>
      </c>
      <c r="H66" s="16" t="s">
        <v>1533</v>
      </c>
      <c r="I66" s="18" t="n">
        <v>397.421</v>
      </c>
      <c r="J66" s="16" t="n">
        <v>30</v>
      </c>
      <c r="K66" s="16" t="n">
        <v>762</v>
      </c>
      <c r="L66" s="19" t="n">
        <v>50865.56</v>
      </c>
      <c r="M66" s="17" t="s">
        <v>331</v>
      </c>
      <c r="N66" s="18" t="n">
        <v>397.421</v>
      </c>
      <c r="O66" s="16" t="s">
        <v>1534</v>
      </c>
      <c r="P66" s="16" t="s">
        <v>1700</v>
      </c>
      <c r="Q66" s="17" t="s">
        <v>1536</v>
      </c>
      <c r="R66" s="78" t="s">
        <v>1701</v>
      </c>
      <c r="S66" s="77" t="n">
        <f aca="false">IFERROR(INDEX('Injectable Value'!$Z$28:$Z$178,MATCH($C66,'Injectable Value'!$A$28:$A$178,0)),"")</f>
        <v>0.829278792417718</v>
      </c>
      <c r="T66" s="19" t="n">
        <f aca="false">IFERROR(ROUND(INDEX('Injectable Value'!$AA$28:$AA$178,MATCH($C66,'Injectable Value'!$A$28:$A$178,0)),1),"")</f>
        <v>42181.7</v>
      </c>
      <c r="U66" s="17" t="s">
        <v>335</v>
      </c>
      <c r="V66" s="16" t="n">
        <v>11</v>
      </c>
      <c r="W66" s="16" t="s">
        <v>334</v>
      </c>
      <c r="X66" s="16" t="s">
        <v>281</v>
      </c>
      <c r="Y66" s="16" t="s">
        <v>333</v>
      </c>
      <c r="Z66" s="17" t="str">
        <f aca="false">IFERROR(INDEX(Scoring!$U:$U,MATCH($C66&amp;"|"&amp;$E66,Scoring!$AD:$AD,0)),"")</f>
        <v>Cancer drug (cytotoxic) – less relevant; Reconstitution</v>
      </c>
      <c r="AA66" s="16" t="str">
        <f aca="false">IFERROR(INDEX(Scoring!$E:$E,MATCH($C66&amp;"|"&amp;$E66,Scoring!$AD:$AD,0)),"")</f>
        <v>Priority 1</v>
      </c>
      <c r="AB66" s="19" t="n">
        <f aca="false">IFERROR(INDEX(Scoring!$M:$M,MATCH($C66&amp;"|"&amp;$E66,Scoring!$AD:$AD,0)),"")</f>
        <v>632</v>
      </c>
      <c r="AC66" s="16" t="str">
        <f aca="false">IFERROR(INDEX('Route of Administration'!$C$5:$C$155,MATCH($C66,'Route of Administration'!$A$5:$A$155,0)),"")</f>
        <v>IV, SC</v>
      </c>
      <c r="AD66" s="15" t="str">
        <f aca="false">IFERROR(INDEX('Route of Administration'!$D$5:$D$155,MATCH($C66,'Route of Administration'!$A$5:$A$155,0)),"")</f>
        <v>Yes</v>
      </c>
      <c r="AE66" s="15" t="str">
        <f aca="false">IF($AD66="No","Not checked – drug is IV only",IFERROR(INDEX('Route of Administration'!$O$5:$O$170,MATCH($E66&amp;"|"&amp;$C66,'Route of Administration'!$S$5:$S$170,0)),"Not checked – price ≤ USD 5"))</f>
        <v>Pass</v>
      </c>
    </row>
    <row r="67" customFormat="false" ht="28.35" hidden="false" customHeight="false" outlineLevel="0" collapsed="false">
      <c r="B67" s="16" t="n">
        <v>65</v>
      </c>
      <c r="C67" s="16" t="s">
        <v>338</v>
      </c>
      <c r="D67" s="16" t="s">
        <v>1702</v>
      </c>
      <c r="E67" s="16" t="s">
        <v>322</v>
      </c>
      <c r="F67" s="16" t="s">
        <v>1703</v>
      </c>
      <c r="G67" s="17" t="s">
        <v>1681</v>
      </c>
      <c r="H67" s="16" t="s">
        <v>1533</v>
      </c>
      <c r="I67" s="18" t="n">
        <v>1444.1174</v>
      </c>
      <c r="J67" s="16" t="n">
        <v>29</v>
      </c>
      <c r="K67" s="16" t="n">
        <v>905</v>
      </c>
      <c r="L67" s="19" t="n">
        <v>28093.38</v>
      </c>
      <c r="M67" s="17" t="s">
        <v>340</v>
      </c>
      <c r="N67" s="18" t="n">
        <v>1444.1174</v>
      </c>
      <c r="O67" s="16" t="s">
        <v>1534</v>
      </c>
      <c r="P67" s="16" t="s">
        <v>1700</v>
      </c>
      <c r="Q67" s="17" t="s">
        <v>1536</v>
      </c>
      <c r="R67" s="78" t="s">
        <v>1701</v>
      </c>
      <c r="S67" s="77" t="n">
        <f aca="false">IFERROR(INDEX('Injectable Value'!$Z$28:$Z$178,MATCH($C67,'Injectable Value'!$A$28:$A$178,0)),"")</f>
        <v>1</v>
      </c>
      <c r="T67" s="19" t="n">
        <f aca="false">IFERROR(ROUND(INDEX('Injectable Value'!$AA$28:$AA$178,MATCH($C67,'Injectable Value'!$A$28:$A$178,0)),1),"")</f>
        <v>28093.4</v>
      </c>
      <c r="U67" s="17" t="s">
        <v>343</v>
      </c>
      <c r="V67" s="16" t="n">
        <v>12</v>
      </c>
      <c r="W67" s="16" t="s">
        <v>342</v>
      </c>
      <c r="X67" s="16" t="s">
        <v>281</v>
      </c>
      <c r="Y67" s="16" t="s">
        <v>333</v>
      </c>
      <c r="Z67" s="17" t="str">
        <f aca="false">IFERROR(INDEX(Scoring!$U:$U,MATCH($C67&amp;"|"&amp;$E67,Scoring!$AD:$AD,0)),"")</f>
        <v>Cancer drug (cytotoxic) – less relevant; Reconstitution</v>
      </c>
      <c r="AA67" s="16" t="str">
        <f aca="false">IFERROR(INDEX(Scoring!$E:$E,MATCH($C67&amp;"|"&amp;$E67,Scoring!$AD:$AD,0)),"")</f>
        <v>Priority 1</v>
      </c>
      <c r="AB67" s="19" t="n">
        <f aca="false">IFERROR(INDEX(Scoring!$M:$M,MATCH($C67&amp;"|"&amp;$E67,Scoring!$AD:$AD,0)),"")</f>
        <v>905</v>
      </c>
      <c r="AC67" s="16" t="str">
        <f aca="false">IFERROR(INDEX('Route of Administration'!$C$5:$C$155,MATCH($C67,'Route of Administration'!$A$5:$A$155,0)),"")</f>
        <v>IV, SC</v>
      </c>
      <c r="AD67" s="15" t="str">
        <f aca="false">IFERROR(INDEX('Route of Administration'!$D$5:$D$155,MATCH($C67,'Route of Administration'!$A$5:$A$155,0)),"")</f>
        <v>Yes</v>
      </c>
      <c r="AE67" s="15" t="str">
        <f aca="false">IF($AD67="No","Not checked – drug is IV only",IFERROR(INDEX('Route of Administration'!$O$5:$O$170,MATCH($E67&amp;"|"&amp;$C67,'Route of Administration'!$S$5:$S$170,0)),"Not checked – price ≤ USD 5"))</f>
        <v>Pass</v>
      </c>
    </row>
    <row r="68" customFormat="false" ht="28.35" hidden="false" customHeight="false" outlineLevel="0" collapsed="false">
      <c r="B68" s="16" t="n">
        <v>66</v>
      </c>
      <c r="C68" s="16" t="s">
        <v>346</v>
      </c>
      <c r="D68" s="16" t="s">
        <v>347</v>
      </c>
      <c r="E68" s="16" t="s">
        <v>322</v>
      </c>
      <c r="F68" s="16" t="s">
        <v>1704</v>
      </c>
      <c r="G68" s="17" t="s">
        <v>1705</v>
      </c>
      <c r="H68" s="16" t="s">
        <v>1533</v>
      </c>
      <c r="I68" s="18" t="n">
        <v>5.1528</v>
      </c>
      <c r="J68" s="16" t="n">
        <v>20</v>
      </c>
      <c r="K68" s="16" t="n">
        <v>598</v>
      </c>
      <c r="L68" s="19" t="n">
        <v>16840.43</v>
      </c>
      <c r="M68" s="17" t="s">
        <v>348</v>
      </c>
      <c r="N68" s="18" t="n">
        <v>5.1528</v>
      </c>
      <c r="O68" s="16" t="s">
        <v>1534</v>
      </c>
      <c r="P68" s="16" t="s">
        <v>1700</v>
      </c>
      <c r="Q68" s="17" t="s">
        <v>1536</v>
      </c>
      <c r="R68" s="78" t="s">
        <v>1706</v>
      </c>
      <c r="S68" s="77" t="n">
        <f aca="false">IFERROR(INDEX('Injectable Value'!$Z$28:$Z$178,MATCH($C68,'Injectable Value'!$A$28:$A$178,0)),"")</f>
        <v>0.971428571428571</v>
      </c>
      <c r="T68" s="19" t="n">
        <f aca="false">IFERROR(ROUND(INDEX('Injectable Value'!$AA$28:$AA$178,MATCH($C68,'Injectable Value'!$A$28:$A$178,0)),1),"")</f>
        <v>16359.3</v>
      </c>
      <c r="U68" s="17" t="s">
        <v>352</v>
      </c>
      <c r="V68" s="16" t="n">
        <v>6</v>
      </c>
      <c r="W68" s="16" t="s">
        <v>351</v>
      </c>
      <c r="X68" s="16" t="s">
        <v>349</v>
      </c>
      <c r="Y68" s="16" t="s">
        <v>283</v>
      </c>
      <c r="Z68" s="17" t="str">
        <f aca="false">IFERROR(INDEX(Scoring!$U:$U,MATCH($C68&amp;"|"&amp;$E68,Scoring!$AD:$AD,0)),"")</f>
        <v/>
      </c>
      <c r="AA68" s="16" t="str">
        <f aca="false">IFERROR(INDEX(Scoring!$E:$E,MATCH($C68&amp;"|"&amp;$E68,Scoring!$AD:$AD,0)),"")</f>
        <v>Priority 2</v>
      </c>
      <c r="AB68" s="19" t="n">
        <f aca="false">IFERROR(INDEX(Scoring!$M:$M,MATCH($C68&amp;"|"&amp;$E68,Scoring!$AD:$AD,0)),"")</f>
        <v>581</v>
      </c>
      <c r="AC68" s="16" t="str">
        <f aca="false">IFERROR(INDEX('Route of Administration'!$C$5:$C$155,MATCH($C68,'Route of Administration'!$A$5:$A$155,0)),"")</f>
        <v>Epidural, intra-articular, SC, perineural</v>
      </c>
      <c r="AD68" s="15" t="str">
        <f aca="false">IFERROR(INDEX('Route of Administration'!$D$5:$D$155,MATCH($C68,'Route of Administration'!$A$5:$A$155,0)),"")</f>
        <v>Yes</v>
      </c>
      <c r="AE68" s="15" t="str">
        <f aca="false">IF($AD68="No","Not checked – drug is IV only",IFERROR(INDEX('Route of Administration'!$O$5:$O$170,MATCH($E68&amp;"|"&amp;$C68,'Route of Administration'!$S$5:$S$170,0)),"Not checked – price ≤ USD 5"))</f>
        <v>To confirm</v>
      </c>
    </row>
    <row r="69" customFormat="false" ht="28.35" hidden="false" customHeight="false" outlineLevel="0" collapsed="false">
      <c r="B69" s="16" t="n">
        <v>67</v>
      </c>
      <c r="C69" s="16" t="s">
        <v>362</v>
      </c>
      <c r="D69" s="16" t="s">
        <v>363</v>
      </c>
      <c r="E69" s="16" t="s">
        <v>322</v>
      </c>
      <c r="F69" s="16" t="s">
        <v>1707</v>
      </c>
      <c r="G69" s="17" t="s">
        <v>1708</v>
      </c>
      <c r="H69" s="16" t="s">
        <v>1533</v>
      </c>
      <c r="I69" s="18" t="n">
        <v>8.4976</v>
      </c>
      <c r="J69" s="16" t="n">
        <v>30</v>
      </c>
      <c r="K69" s="16" t="n">
        <v>335</v>
      </c>
      <c r="L69" s="19" t="n">
        <v>5713.56</v>
      </c>
      <c r="M69" s="17" t="s">
        <v>364</v>
      </c>
      <c r="N69" s="18" t="n">
        <v>8.4976</v>
      </c>
      <c r="O69" s="16" t="s">
        <v>1534</v>
      </c>
      <c r="P69" s="16" t="s">
        <v>1700</v>
      </c>
      <c r="Q69" s="17" t="s">
        <v>1536</v>
      </c>
      <c r="R69" s="78" t="s">
        <v>1709</v>
      </c>
      <c r="S69" s="77" t="n">
        <f aca="false">IFERROR(INDEX('Injectable Value'!$Z$28:$Z$178,MATCH($C69,'Injectable Value'!$A$28:$A$178,0)),"")</f>
        <v>1</v>
      </c>
      <c r="T69" s="19" t="n">
        <f aca="false">IFERROR(ROUND(INDEX('Injectable Value'!$AA$28:$AA$178,MATCH($C69,'Injectable Value'!$A$28:$A$178,0)),1),"")</f>
        <v>5713.6</v>
      </c>
      <c r="U69" s="17" t="s">
        <v>367</v>
      </c>
      <c r="V69" s="16" t="n">
        <v>1</v>
      </c>
      <c r="W69" s="16" t="s">
        <v>366</v>
      </c>
      <c r="X69" s="16" t="s">
        <v>281</v>
      </c>
      <c r="Y69" s="16" t="s">
        <v>333</v>
      </c>
      <c r="Z69" s="17" t="str">
        <f aca="false">IFERROR(INDEX(Scoring!$U:$U,MATCH($C69&amp;"|"&amp;$E69,Scoring!$AD:$AD,0)),"")</f>
        <v>Reconstitution</v>
      </c>
      <c r="AA69" s="16" t="str">
        <f aca="false">IFERROR(INDEX(Scoring!$E:$E,MATCH($C69&amp;"|"&amp;$E69,Scoring!$AD:$AD,0)),"")</f>
        <v>Priority 2</v>
      </c>
      <c r="AB69" s="19" t="n">
        <f aca="false">IFERROR(INDEX(Scoring!$M:$M,MATCH($C69&amp;"|"&amp;$E69,Scoring!$AD:$AD,0)),"")</f>
        <v>335</v>
      </c>
      <c r="AC69" s="16" t="str">
        <f aca="false">IFERROR(INDEX('Route of Administration'!$C$5:$C$155,MATCH($C69,'Route of Administration'!$A$5:$A$155,0)),"")</f>
        <v>IV, IM</v>
      </c>
      <c r="AD69" s="15" t="str">
        <f aca="false">IFERROR(INDEX('Route of Administration'!$D$5:$D$155,MATCH($C69,'Route of Administration'!$A$5:$A$155,0)),"")</f>
        <v>Yes</v>
      </c>
      <c r="AE69" s="15" t="str">
        <f aca="false">IF($AD69="No","Not checked – drug is IV only",IFERROR(INDEX('Route of Administration'!$O$5:$O$170,MATCH($E69&amp;"|"&amp;$C69,'Route of Administration'!$S$5:$S$170,0)),"Not checked – price ≤ USD 5"))</f>
        <v>Pass</v>
      </c>
    </row>
    <row r="70" customFormat="false" ht="28.35" hidden="false" customHeight="false" outlineLevel="0" collapsed="false">
      <c r="B70" s="16" t="n">
        <v>68</v>
      </c>
      <c r="C70" s="16" t="s">
        <v>76</v>
      </c>
      <c r="D70" s="16" t="s">
        <v>1710</v>
      </c>
      <c r="E70" s="16" t="s">
        <v>322</v>
      </c>
      <c r="F70" s="16" t="s">
        <v>1707</v>
      </c>
      <c r="G70" s="17" t="s">
        <v>1711</v>
      </c>
      <c r="H70" s="16" t="s">
        <v>1533</v>
      </c>
      <c r="I70" s="18" t="n">
        <v>5.6048</v>
      </c>
      <c r="J70" s="16" t="n">
        <v>30</v>
      </c>
      <c r="K70" s="16" t="n">
        <v>3110</v>
      </c>
      <c r="L70" s="19" t="n">
        <v>93119.22</v>
      </c>
      <c r="M70" s="17" t="s">
        <v>370</v>
      </c>
      <c r="N70" s="18" t="n">
        <v>5.6048</v>
      </c>
      <c r="O70" s="16" t="s">
        <v>1534</v>
      </c>
      <c r="P70" s="16" t="s">
        <v>1700</v>
      </c>
      <c r="Q70" s="17" t="s">
        <v>1536</v>
      </c>
      <c r="R70" s="78" t="s">
        <v>1712</v>
      </c>
      <c r="S70" s="77" t="n">
        <f aca="false">IFERROR(INDEX('Injectable Value'!$Z$28:$Z$178,MATCH($C70,'Injectable Value'!$A$28:$A$178,0)),"")</f>
        <v>1</v>
      </c>
      <c r="T70" s="19" t="n">
        <f aca="false">IFERROR(ROUND(INDEX('Injectable Value'!$AA$28:$AA$178,MATCH($C70,'Injectable Value'!$A$28:$A$178,0)),1),"")</f>
        <v>93119.2</v>
      </c>
      <c r="U70" s="17" t="s">
        <v>373</v>
      </c>
      <c r="V70" s="16" t="n">
        <v>4</v>
      </c>
      <c r="W70" s="16" t="s">
        <v>372</v>
      </c>
      <c r="X70" s="16" t="s">
        <v>281</v>
      </c>
      <c r="Y70" s="16" t="s">
        <v>283</v>
      </c>
      <c r="Z70" s="17" t="str">
        <f aca="false">IFERROR(INDEX(Scoring!$U:$U,MATCH($C70&amp;"|"&amp;$E70,Scoring!$AD:$AD,0)),"")</f>
        <v>Reconstitution</v>
      </c>
      <c r="AA70" s="16" t="str">
        <f aca="false">IFERROR(INDEX(Scoring!$E:$E,MATCH($C70&amp;"|"&amp;$E70,Scoring!$AD:$AD,0)),"")</f>
        <v>Priority 2</v>
      </c>
      <c r="AB70" s="19" t="n">
        <f aca="false">IFERROR(INDEX(Scoring!$M:$M,MATCH($C70&amp;"|"&amp;$E70,Scoring!$AD:$AD,0)),"")</f>
        <v>3110</v>
      </c>
      <c r="AC70" s="16" t="str">
        <f aca="false">IFERROR(INDEX('Route of Administration'!$C$5:$C$155,MATCH($C70,'Route of Administration'!$A$5:$A$155,0)),"")</f>
        <v>IV, IM</v>
      </c>
      <c r="AD70" s="15" t="str">
        <f aca="false">IFERROR(INDEX('Route of Administration'!$D$5:$D$155,MATCH($C70,'Route of Administration'!$A$5:$A$155,0)),"")</f>
        <v>Yes</v>
      </c>
      <c r="AE70" s="15" t="str">
        <f aca="false">IF($AD70="No","Not checked – drug is IV only",IFERROR(INDEX('Route of Administration'!$O$5:$O$170,MATCH($E70&amp;"|"&amp;$C70,'Route of Administration'!$S$5:$S$170,0)),"Not checked – price ≤ USD 5"))</f>
        <v>Pass</v>
      </c>
    </row>
    <row r="71" customFormat="false" ht="28.35" hidden="false" customHeight="false" outlineLevel="0" collapsed="false">
      <c r="B71" s="16" t="n">
        <v>69</v>
      </c>
      <c r="C71" s="16" t="s">
        <v>76</v>
      </c>
      <c r="D71" s="16" t="s">
        <v>1713</v>
      </c>
      <c r="E71" s="16" t="s">
        <v>322</v>
      </c>
      <c r="F71" s="16" t="s">
        <v>1707</v>
      </c>
      <c r="G71" s="17" t="s">
        <v>1714</v>
      </c>
      <c r="H71" s="16" t="s">
        <v>1533</v>
      </c>
      <c r="I71" s="18" t="n">
        <v>5.6048</v>
      </c>
      <c r="J71" s="16" t="n">
        <v>28</v>
      </c>
      <c r="K71" s="16" t="n">
        <v>3110</v>
      </c>
      <c r="L71" s="19" t="n">
        <v>93119.22</v>
      </c>
      <c r="M71" s="17" t="s">
        <v>370</v>
      </c>
      <c r="N71" s="18" t="n">
        <v>5.6048</v>
      </c>
      <c r="O71" s="16" t="s">
        <v>1534</v>
      </c>
      <c r="P71" s="16" t="s">
        <v>1535</v>
      </c>
      <c r="Q71" s="17" t="s">
        <v>1536</v>
      </c>
      <c r="R71" s="78" t="s">
        <v>1715</v>
      </c>
      <c r="S71" s="77" t="n">
        <f aca="false">IFERROR(INDEX('Injectable Value'!$Z$28:$Z$178,MATCH($C71,'Injectable Value'!$A$28:$A$178,0)),"")</f>
        <v>1</v>
      </c>
      <c r="T71" s="19" t="n">
        <f aca="false">IFERROR(ROUND(INDEX('Injectable Value'!$AA$28:$AA$178,MATCH($C71,'Injectable Value'!$A$28:$A$178,0)),1),"")</f>
        <v>93119.2</v>
      </c>
      <c r="U71" s="17" t="s">
        <v>373</v>
      </c>
      <c r="V71" s="16" t="n">
        <v>4</v>
      </c>
      <c r="W71" s="16" t="s">
        <v>372</v>
      </c>
      <c r="X71" s="16" t="s">
        <v>349</v>
      </c>
      <c r="Y71" s="16" t="s">
        <v>283</v>
      </c>
      <c r="Z71" s="17" t="str">
        <f aca="false">IFERROR(INDEX(Scoring!$U:$U,MATCH($C71&amp;"|"&amp;$E71,Scoring!$AD:$AD,0)),"")</f>
        <v>Reconstitution</v>
      </c>
      <c r="AA71" s="16" t="str">
        <f aca="false">IFERROR(INDEX(Scoring!$E:$E,MATCH($C71&amp;"|"&amp;$E71,Scoring!$AD:$AD,0)),"")</f>
        <v>Priority 2</v>
      </c>
      <c r="AB71" s="19" t="n">
        <f aca="false">IFERROR(INDEX(Scoring!$M:$M,MATCH($C71&amp;"|"&amp;$E71,Scoring!$AD:$AD,0)),"")</f>
        <v>3110</v>
      </c>
      <c r="AC71" s="16" t="str">
        <f aca="false">IFERROR(INDEX('Route of Administration'!$C$5:$C$155,MATCH($C71,'Route of Administration'!$A$5:$A$155,0)),"")</f>
        <v>IV, IM</v>
      </c>
      <c r="AD71" s="15" t="str">
        <f aca="false">IFERROR(INDEX('Route of Administration'!$D$5:$D$155,MATCH($C71,'Route of Administration'!$A$5:$A$155,0)),"")</f>
        <v>Yes</v>
      </c>
      <c r="AE71" s="15" t="str">
        <f aca="false">IF($AD71="No","Not checked – drug is IV only",IFERROR(INDEX('Route of Administration'!$O$5:$O$170,MATCH($E71&amp;"|"&amp;$C71,'Route of Administration'!$S$5:$S$170,0)),"Not checked – price ≤ USD 5"))</f>
        <v>Pass</v>
      </c>
    </row>
    <row r="72" customFormat="false" ht="28.35" hidden="false" customHeight="false" outlineLevel="0" collapsed="false">
      <c r="B72" s="16" t="n">
        <v>70</v>
      </c>
      <c r="C72" s="16" t="s">
        <v>388</v>
      </c>
      <c r="D72" s="16" t="s">
        <v>389</v>
      </c>
      <c r="E72" s="16" t="s">
        <v>322</v>
      </c>
      <c r="F72" s="16" t="s">
        <v>1716</v>
      </c>
      <c r="G72" s="17" t="s">
        <v>1717</v>
      </c>
      <c r="H72" s="16" t="s">
        <v>1533</v>
      </c>
      <c r="I72" s="18" t="n">
        <v>93.7335</v>
      </c>
      <c r="J72" s="16" t="n">
        <v>28</v>
      </c>
      <c r="K72" s="16" t="n">
        <v>312</v>
      </c>
      <c r="L72" s="19" t="n">
        <v>59827.18</v>
      </c>
      <c r="M72" s="17" t="s">
        <v>390</v>
      </c>
      <c r="N72" s="18" t="n">
        <v>93.7335</v>
      </c>
      <c r="O72" s="16" t="s">
        <v>1534</v>
      </c>
      <c r="P72" s="16" t="s">
        <v>1535</v>
      </c>
      <c r="Q72" s="17" t="s">
        <v>1536</v>
      </c>
      <c r="R72" s="78" t="s">
        <v>1701</v>
      </c>
      <c r="S72" s="77" t="n">
        <f aca="false">IFERROR(INDEX('Injectable Value'!$Z$28:$Z$178,MATCH($C72,'Injectable Value'!$A$28:$A$178,0)),"")</f>
        <v>1</v>
      </c>
      <c r="T72" s="19" t="n">
        <f aca="false">IFERROR(ROUND(INDEX('Injectable Value'!$AA$28:$AA$178,MATCH($C72,'Injectable Value'!$A$28:$A$178,0)),1),"")</f>
        <v>59827.2</v>
      </c>
      <c r="U72" s="17" t="s">
        <v>392</v>
      </c>
      <c r="V72" s="16" t="n">
        <v>5</v>
      </c>
      <c r="W72" s="16" t="s">
        <v>372</v>
      </c>
      <c r="X72" s="16" t="s">
        <v>281</v>
      </c>
      <c r="Y72" s="16" t="s">
        <v>333</v>
      </c>
      <c r="Z72" s="17" t="str">
        <f aca="false">IFERROR(INDEX(Scoring!$U:$U,MATCH($C72&amp;"|"&amp;$E72,Scoring!$AD:$AD,0)),"")</f>
        <v>Reconstitution</v>
      </c>
      <c r="AA72" s="16" t="str">
        <f aca="false">IFERROR(INDEX(Scoring!$E:$E,MATCH($C72&amp;"|"&amp;$E72,Scoring!$AD:$AD,0)),"")</f>
        <v>Excluded – IV only</v>
      </c>
      <c r="AB72" s="19" t="n">
        <f aca="false">IFERROR(INDEX(Scoring!$M:$M,MATCH($C72&amp;"|"&amp;$E72,Scoring!$AD:$AD,0)),"")</f>
        <v>312</v>
      </c>
      <c r="AC72" s="16" t="str">
        <f aca="false">IFERROR(INDEX('Route of Administration'!$C$5:$C$155,MATCH($C72,'Route of Administration'!$A$5:$A$155,0)),"")</f>
        <v>IV</v>
      </c>
      <c r="AD72" s="15" t="str">
        <f aca="false">IFERROR(INDEX('Route of Administration'!$D$5:$D$155,MATCH($C72,'Route of Administration'!$A$5:$A$155,0)),"")</f>
        <v>No</v>
      </c>
      <c r="AE72" s="15" t="str">
        <f aca="false">IF($AD72="No","Not checked – drug is IV only",IFERROR(INDEX('Route of Administration'!$O$5:$O$170,MATCH($E72&amp;"|"&amp;$C72,'Route of Administration'!$S$5:$S$170,0)),"Not checked – price ≤ USD 5"))</f>
        <v>Not checked – drug is IV only</v>
      </c>
    </row>
    <row r="73" customFormat="false" ht="28.35" hidden="false" customHeight="false" outlineLevel="0" collapsed="false">
      <c r="B73" s="16" t="n">
        <v>71</v>
      </c>
      <c r="C73" s="16" t="s">
        <v>394</v>
      </c>
      <c r="D73" s="16" t="s">
        <v>395</v>
      </c>
      <c r="E73" s="16" t="s">
        <v>322</v>
      </c>
      <c r="F73" s="16" t="s">
        <v>1718</v>
      </c>
      <c r="G73" s="17" t="s">
        <v>1719</v>
      </c>
      <c r="H73" s="16" t="s">
        <v>1533</v>
      </c>
      <c r="I73" s="18" t="n">
        <v>16.837</v>
      </c>
      <c r="J73" s="16" t="n">
        <v>31</v>
      </c>
      <c r="K73" s="16" t="n">
        <v>1644</v>
      </c>
      <c r="L73" s="19" t="n">
        <v>41889.23</v>
      </c>
      <c r="M73" s="17" t="s">
        <v>396</v>
      </c>
      <c r="N73" s="18" t="n">
        <v>16.837</v>
      </c>
      <c r="O73" s="16" t="s">
        <v>1534</v>
      </c>
      <c r="P73" s="16" t="s">
        <v>1700</v>
      </c>
      <c r="Q73" s="17" t="s">
        <v>1536</v>
      </c>
      <c r="R73" s="78" t="s">
        <v>1701</v>
      </c>
      <c r="S73" s="77" t="n">
        <f aca="false">IFERROR(INDEX('Injectable Value'!$Z$28:$Z$178,MATCH($C73,'Injectable Value'!$A$28:$A$178,0)),"")</f>
        <v>0.990783410138249</v>
      </c>
      <c r="T73" s="19" t="n">
        <f aca="false">IFERROR(ROUND(INDEX('Injectable Value'!$AA$28:$AA$178,MATCH($C73,'Injectable Value'!$A$28:$A$178,0)),1),"")</f>
        <v>41503.2</v>
      </c>
      <c r="U73" s="17" t="s">
        <v>399</v>
      </c>
      <c r="V73" s="16" t="n">
        <v>6</v>
      </c>
      <c r="W73" s="16" t="s">
        <v>398</v>
      </c>
      <c r="X73" s="16" t="s">
        <v>281</v>
      </c>
      <c r="Y73" s="16" t="s">
        <v>283</v>
      </c>
      <c r="Z73" s="17" t="str">
        <f aca="false">IFERROR(INDEX(Scoring!$U:$U,MATCH($C73&amp;"|"&amp;$E73,Scoring!$AD:$AD,0)),"")</f>
        <v>Cancer drug (cytotoxic) – less relevant</v>
      </c>
      <c r="AA73" s="16" t="str">
        <f aca="false">IFERROR(INDEX(Scoring!$E:$E,MATCH($C73&amp;"|"&amp;$E73,Scoring!$AD:$AD,0)),"")</f>
        <v>Excluded – IV only</v>
      </c>
      <c r="AB73" s="19" t="n">
        <f aca="false">IFERROR(INDEX(Scoring!$M:$M,MATCH($C73&amp;"|"&amp;$E73,Scoring!$AD:$AD,0)),"")</f>
        <v>1629</v>
      </c>
      <c r="AC73" s="16" t="str">
        <f aca="false">IFERROR(INDEX('Route of Administration'!$C$5:$C$155,MATCH($C73,'Route of Administration'!$A$5:$A$155,0)),"")</f>
        <v>IV</v>
      </c>
      <c r="AD73" s="15" t="str">
        <f aca="false">IFERROR(INDEX('Route of Administration'!$D$5:$D$155,MATCH($C73,'Route of Administration'!$A$5:$A$155,0)),"")</f>
        <v>No</v>
      </c>
      <c r="AE73" s="15" t="str">
        <f aca="false">IF($AD73="No","Not checked – drug is IV only",IFERROR(INDEX('Route of Administration'!$O$5:$O$170,MATCH($E73&amp;"|"&amp;$C73,'Route of Administration'!$S$5:$S$170,0)),"Not checked – price ≤ USD 5"))</f>
        <v>Not checked – drug is IV only</v>
      </c>
    </row>
    <row r="74" customFormat="false" ht="28.35" hidden="false" customHeight="false" outlineLevel="0" collapsed="false">
      <c r="B74" s="16" t="n">
        <v>72</v>
      </c>
      <c r="C74" s="16" t="s">
        <v>408</v>
      </c>
      <c r="D74" s="16" t="s">
        <v>409</v>
      </c>
      <c r="E74" s="16" t="s">
        <v>322</v>
      </c>
      <c r="F74" s="16" t="s">
        <v>1720</v>
      </c>
      <c r="G74" s="17" t="s">
        <v>1721</v>
      </c>
      <c r="H74" s="16" t="s">
        <v>1533</v>
      </c>
      <c r="I74" s="18" t="n">
        <v>91.7334</v>
      </c>
      <c r="J74" s="16" t="n">
        <v>29</v>
      </c>
      <c r="K74" s="16" t="n">
        <v>345</v>
      </c>
      <c r="L74" s="19" t="n">
        <v>2783.28</v>
      </c>
      <c r="M74" s="17" t="s">
        <v>410</v>
      </c>
      <c r="N74" s="18" t="n">
        <v>91.7334</v>
      </c>
      <c r="O74" s="16" t="s">
        <v>1534</v>
      </c>
      <c r="P74" s="16" t="s">
        <v>1561</v>
      </c>
      <c r="Q74" s="17" t="s">
        <v>1536</v>
      </c>
      <c r="R74" s="78" t="s">
        <v>1701</v>
      </c>
      <c r="S74" s="77" t="n">
        <f aca="false">IFERROR(INDEX('Injectable Value'!$Z$28:$Z$178,MATCH($C74,'Injectable Value'!$A$28:$A$178,0)),"")</f>
        <v>0.995283018867925</v>
      </c>
      <c r="T74" s="19" t="n">
        <f aca="false">IFERROR(ROUND(INDEX('Injectable Value'!$AA$28:$AA$178,MATCH($C74,'Injectable Value'!$A$28:$A$178,0)),1),"")</f>
        <v>2770.2</v>
      </c>
      <c r="U74" s="17" t="s">
        <v>413</v>
      </c>
      <c r="V74" s="16" t="n">
        <v>4</v>
      </c>
      <c r="W74" s="16" t="s">
        <v>412</v>
      </c>
      <c r="X74" s="16" t="s">
        <v>281</v>
      </c>
      <c r="Y74" s="16" t="s">
        <v>1547</v>
      </c>
      <c r="Z74" s="17" t="str">
        <f aca="false">IFERROR(INDEX(Scoring!$U:$U,MATCH($C74&amp;"|"&amp;$E74,Scoring!$AD:$AD,0)),"")</f>
        <v>Cancer drug (cytotoxic) – less relevant</v>
      </c>
      <c r="AA74" s="16" t="str">
        <f aca="false">IFERROR(INDEX(Scoring!$E:$E,MATCH($C74&amp;"|"&amp;$E74,Scoring!$AD:$AD,0)),"")</f>
        <v>Excluded – IV only</v>
      </c>
      <c r="AB74" s="19" t="n">
        <f aca="false">IFERROR(INDEX(Scoring!$M:$M,MATCH($C74&amp;"|"&amp;$E74,Scoring!$AD:$AD,0)),"")</f>
        <v>343</v>
      </c>
      <c r="AC74" s="16" t="str">
        <f aca="false">IFERROR(INDEX('Route of Administration'!$C$5:$C$155,MATCH($C74,'Route of Administration'!$A$5:$A$155,0)),"")</f>
        <v>IV</v>
      </c>
      <c r="AD74" s="15" t="str">
        <f aca="false">IFERROR(INDEX('Route of Administration'!$D$5:$D$155,MATCH($C74,'Route of Administration'!$A$5:$A$155,0)),"")</f>
        <v>No</v>
      </c>
      <c r="AE74" s="15" t="str">
        <f aca="false">IF($AD74="No","Not checked – drug is IV only",IFERROR(INDEX('Route of Administration'!$O$5:$O$170,MATCH($E74&amp;"|"&amp;$C74,'Route of Administration'!$S$5:$S$170,0)),"Not checked – price ≤ USD 5"))</f>
        <v>Not checked – drug is IV only</v>
      </c>
    </row>
    <row r="75" customFormat="false" ht="68.65" hidden="false" customHeight="false" outlineLevel="0" collapsed="false">
      <c r="B75" s="16" t="n">
        <v>73</v>
      </c>
      <c r="C75" s="16" t="s">
        <v>448</v>
      </c>
      <c r="D75" s="16" t="s">
        <v>449</v>
      </c>
      <c r="E75" s="16" t="s">
        <v>322</v>
      </c>
      <c r="F75" s="16" t="s">
        <v>1722</v>
      </c>
      <c r="G75" s="17" t="s">
        <v>1723</v>
      </c>
      <c r="H75" s="16" t="s">
        <v>1533</v>
      </c>
      <c r="I75" s="18" t="n">
        <v>64.9298</v>
      </c>
      <c r="J75" s="16" t="n">
        <v>23</v>
      </c>
      <c r="K75" s="16" t="n">
        <v>366</v>
      </c>
      <c r="L75" s="19" t="n">
        <v>5357.19</v>
      </c>
      <c r="M75" s="17" t="s">
        <v>450</v>
      </c>
      <c r="N75" s="82" t="n">
        <v>378.26</v>
      </c>
      <c r="O75" s="64" t="s">
        <v>1724</v>
      </c>
      <c r="P75" s="64" t="s">
        <v>1700</v>
      </c>
      <c r="Q75" s="83" t="s">
        <v>1725</v>
      </c>
      <c r="R75" s="78" t="s">
        <v>1726</v>
      </c>
      <c r="S75" s="77" t="n">
        <f aca="false">IFERROR(INDEX('Injectable Value'!$Z$28:$Z$178,MATCH($C75,'Injectable Value'!$A$28:$A$178,0)),"")</f>
        <v>0.664995452935796</v>
      </c>
      <c r="T75" s="19" t="n">
        <f aca="false">IFERROR(ROUND(INDEX('Injectable Value'!$AA$28:$AA$178,MATCH($C75,'Injectable Value'!$A$28:$A$178,0)),1),"")</f>
        <v>3562.5</v>
      </c>
      <c r="U75" s="17" t="s">
        <v>453</v>
      </c>
      <c r="V75" s="16" t="n">
        <v>1</v>
      </c>
      <c r="W75" s="16" t="s">
        <v>452</v>
      </c>
      <c r="X75" s="16" t="s">
        <v>281</v>
      </c>
      <c r="Y75" s="16" t="s">
        <v>1547</v>
      </c>
      <c r="Z75" s="17" t="str">
        <f aca="false">IFERROR(INDEX(Scoring!$U:$U,MATCH($C75&amp;"|"&amp;$E75,Scoring!$AD:$AD,0)),"")</f>
        <v/>
      </c>
      <c r="AA75" s="16" t="str">
        <f aca="false">IFERROR(INDEX(Scoring!$E:$E,MATCH($C75&amp;"|"&amp;$E75,Scoring!$AD:$AD,0)),"")</f>
        <v>Priority 1</v>
      </c>
      <c r="AB75" s="19" t="n">
        <f aca="false">IFERROR(INDEX(Scoring!$M:$M,MATCH($C75&amp;"|"&amp;$E75,Scoring!$AD:$AD,0)),"")</f>
        <v>243</v>
      </c>
      <c r="AC75" s="16" t="str">
        <f aca="false">IFERROR(INDEX('Route of Administration'!$C$5:$C$155,MATCH($C75,'Route of Administration'!$A$5:$A$155,0)),"")</f>
        <v>IV, IM</v>
      </c>
      <c r="AD75" s="15" t="str">
        <f aca="false">IFERROR(INDEX('Route of Administration'!$D$5:$D$155,MATCH($C75,'Route of Administration'!$A$5:$A$155,0)),"")</f>
        <v>Yes</v>
      </c>
      <c r="AE75" s="15" t="str">
        <f aca="false">IF($AD75="No","Not checked – drug is IV only",IFERROR(INDEX('Route of Administration'!$O$5:$O$170,MATCH($E75&amp;"|"&amp;$C75,'Route of Administration'!$S$5:$S$170,0)),"Not checked – price ≤ USD 5"))</f>
        <v>Pass – practical IM use unlikely</v>
      </c>
    </row>
    <row r="76" customFormat="false" ht="28.35" hidden="false" customHeight="false" outlineLevel="0" collapsed="false">
      <c r="B76" s="16" t="n">
        <v>74</v>
      </c>
      <c r="C76" s="16" t="s">
        <v>295</v>
      </c>
      <c r="D76" s="16" t="s">
        <v>1727</v>
      </c>
      <c r="E76" s="16" t="s">
        <v>322</v>
      </c>
      <c r="F76" s="16" t="s">
        <v>1728</v>
      </c>
      <c r="G76" s="17" t="s">
        <v>1729</v>
      </c>
      <c r="H76" s="16" t="s">
        <v>1540</v>
      </c>
      <c r="I76" s="18" t="n">
        <v>531.8684</v>
      </c>
      <c r="J76" s="16" t="n">
        <v>31</v>
      </c>
      <c r="K76" s="16" t="n">
        <v>146</v>
      </c>
      <c r="L76" s="19" t="n">
        <v>11366.06</v>
      </c>
      <c r="M76" s="17" t="s">
        <v>296</v>
      </c>
      <c r="N76" s="18" t="n">
        <v>531.8684</v>
      </c>
      <c r="O76" s="16" t="s">
        <v>1534</v>
      </c>
      <c r="P76" s="16" t="s">
        <v>1700</v>
      </c>
      <c r="Q76" s="17" t="s">
        <v>1536</v>
      </c>
      <c r="R76" s="78" t="s">
        <v>1701</v>
      </c>
      <c r="S76" s="77" t="n">
        <f aca="false">IFERROR(INDEX('Injectable Value'!$Z$28:$Z$178,MATCH($C76,'Injectable Value'!$A$28:$A$178,0)),"")</f>
        <v>1</v>
      </c>
      <c r="T76" s="19" t="n">
        <f aca="false">IFERROR(ROUND(INDEX('Injectable Value'!$AA$28:$AA$178,MATCH($C76,'Injectable Value'!$A$28:$A$178,0)),1),"")</f>
        <v>11366.1</v>
      </c>
      <c r="U76" s="17" t="s">
        <v>457</v>
      </c>
      <c r="V76" s="16" t="n">
        <v>10</v>
      </c>
      <c r="W76" s="16" t="s">
        <v>456</v>
      </c>
      <c r="X76" s="16" t="s">
        <v>291</v>
      </c>
      <c r="Y76" s="16" t="s">
        <v>283</v>
      </c>
      <c r="Z76" s="17" t="str">
        <f aca="false">IFERROR(INDEX(Scoring!$U:$U,MATCH($C76&amp;"|"&amp;$E76,Scoring!$AD:$AD,0)),"")</f>
        <v>Prefilled only</v>
      </c>
      <c r="AA76" s="16" t="str">
        <f aca="false">IFERROR(INDEX(Scoring!$E:$E,MATCH($C76&amp;"|"&amp;$E76,Scoring!$AD:$AD,0)),"")</f>
        <v>Priority 1</v>
      </c>
      <c r="AB76" s="19" t="n">
        <f aca="false">IFERROR(INDEX(Scoring!$M:$M,MATCH($C76&amp;"|"&amp;$E76,Scoring!$AD:$AD,0)),"")</f>
        <v>146</v>
      </c>
      <c r="AC76" s="16" t="str">
        <f aca="false">IFERROR(INDEX('Route of Administration'!$C$5:$C$155,MATCH($C76,'Route of Administration'!$A$5:$A$155,0)),"")</f>
        <v>IM</v>
      </c>
      <c r="AD76" s="15" t="str">
        <f aca="false">IFERROR(INDEX('Route of Administration'!$D$5:$D$155,MATCH($C76,'Route of Administration'!$A$5:$A$155,0)),"")</f>
        <v>Yes</v>
      </c>
      <c r="AE76" s="15" t="str">
        <f aca="false">IF($AD76="No","Not checked – drug is IV only",IFERROR(INDEX('Route of Administration'!$O$5:$O$170,MATCH($E76&amp;"|"&amp;$C76,'Route of Administration'!$S$5:$S$170,0)),"Not checked – price ≤ USD 5"))</f>
        <v>Pass</v>
      </c>
    </row>
    <row r="77" customFormat="false" ht="28.35" hidden="false" customHeight="false" outlineLevel="0" collapsed="false">
      <c r="B77" s="16" t="n">
        <v>75</v>
      </c>
      <c r="C77" s="16" t="s">
        <v>476</v>
      </c>
      <c r="D77" s="16" t="s">
        <v>477</v>
      </c>
      <c r="E77" s="16" t="s">
        <v>322</v>
      </c>
      <c r="F77" s="16" t="s">
        <v>1730</v>
      </c>
      <c r="G77" s="17" t="s">
        <v>1731</v>
      </c>
      <c r="H77" s="16" t="s">
        <v>1533</v>
      </c>
      <c r="I77" s="18" t="n">
        <v>95.2025</v>
      </c>
      <c r="J77" s="16" t="n">
        <v>28</v>
      </c>
      <c r="K77" s="16" t="n">
        <v>257</v>
      </c>
      <c r="L77" s="19" t="n">
        <v>4183.29</v>
      </c>
      <c r="M77" s="17" t="s">
        <v>478</v>
      </c>
      <c r="N77" s="18" t="n">
        <v>95.2025</v>
      </c>
      <c r="O77" s="16" t="s">
        <v>1534</v>
      </c>
      <c r="P77" s="16" t="s">
        <v>1561</v>
      </c>
      <c r="Q77" s="17" t="s">
        <v>1536</v>
      </c>
      <c r="R77" s="78" t="s">
        <v>1701</v>
      </c>
      <c r="S77" s="77" t="n">
        <f aca="false">IFERROR(INDEX('Injectable Value'!$Z$28:$Z$178,MATCH($C77,'Injectable Value'!$A$28:$A$178,0)),"")</f>
        <v>0.689888576486515</v>
      </c>
      <c r="T77" s="19" t="n">
        <f aca="false">IFERROR(ROUND(INDEX('Injectable Value'!$AA$28:$AA$178,MATCH($C77,'Injectable Value'!$A$28:$A$178,0)),1),"")</f>
        <v>2886</v>
      </c>
      <c r="U77" s="17" t="s">
        <v>481</v>
      </c>
      <c r="V77" s="16" t="n">
        <v>3</v>
      </c>
      <c r="W77" s="16" t="s">
        <v>480</v>
      </c>
      <c r="X77" s="16" t="s">
        <v>281</v>
      </c>
      <c r="Y77" s="16" t="s">
        <v>333</v>
      </c>
      <c r="Z77" s="17" t="str">
        <f aca="false">IFERROR(INDEX(Scoring!$U:$U,MATCH($C77&amp;"|"&amp;$E77,Scoring!$AD:$AD,0)),"")</f>
        <v>Cancer drug (cytotoxic) – less relevant; Reconstitution</v>
      </c>
      <c r="AA77" s="16" t="str">
        <f aca="false">IFERROR(INDEX(Scoring!$E:$E,MATCH($C77&amp;"|"&amp;$E77,Scoring!$AD:$AD,0)),"")</f>
        <v>Excluded – IV only</v>
      </c>
      <c r="AB77" s="19" t="n">
        <f aca="false">IFERROR(INDEX(Scoring!$M:$M,MATCH($C77&amp;"|"&amp;$E77,Scoring!$AD:$AD,0)),"")</f>
        <v>177</v>
      </c>
      <c r="AC77" s="16" t="str">
        <f aca="false">IFERROR(INDEX('Route of Administration'!$C$5:$C$155,MATCH($C77,'Route of Administration'!$A$5:$A$155,0)),"")</f>
        <v>IV</v>
      </c>
      <c r="AD77" s="15" t="str">
        <f aca="false">IFERROR(INDEX('Route of Administration'!$D$5:$D$155,MATCH($C77,'Route of Administration'!$A$5:$A$155,0)),"")</f>
        <v>No</v>
      </c>
      <c r="AE77" s="15" t="str">
        <f aca="false">IF($AD77="No","Not checked – drug is IV only",IFERROR(INDEX('Route of Administration'!$O$5:$O$170,MATCH($E77&amp;"|"&amp;$C77,'Route of Administration'!$S$5:$S$170,0)),"Not checked – price ≤ USD 5"))</f>
        <v>Not checked – drug is IV only</v>
      </c>
    </row>
    <row r="78" customFormat="false" ht="28.35" hidden="false" customHeight="false" outlineLevel="0" collapsed="false">
      <c r="B78" s="16" t="n">
        <v>76</v>
      </c>
      <c r="C78" s="16" t="s">
        <v>483</v>
      </c>
      <c r="D78" s="16" t="s">
        <v>1732</v>
      </c>
      <c r="E78" s="16" t="s">
        <v>322</v>
      </c>
      <c r="F78" s="16" t="s">
        <v>1733</v>
      </c>
      <c r="G78" s="17" t="s">
        <v>1734</v>
      </c>
      <c r="H78" s="16" t="s">
        <v>1533</v>
      </c>
      <c r="I78" s="18" t="n">
        <v>12.0797</v>
      </c>
      <c r="J78" s="16" t="n">
        <v>30</v>
      </c>
      <c r="K78" s="16" t="n">
        <v>1185</v>
      </c>
      <c r="L78" s="19" t="n">
        <v>59407.06</v>
      </c>
      <c r="M78" s="17" t="s">
        <v>485</v>
      </c>
      <c r="N78" s="18" t="n">
        <v>12.0797</v>
      </c>
      <c r="O78" s="16" t="s">
        <v>1534</v>
      </c>
      <c r="P78" s="16" t="s">
        <v>1700</v>
      </c>
      <c r="Q78" s="17" t="s">
        <v>1536</v>
      </c>
      <c r="R78" s="78" t="s">
        <v>1701</v>
      </c>
      <c r="S78" s="77" t="n">
        <f aca="false">IFERROR(INDEX('Injectable Value'!$Z$28:$Z$178,MATCH($C78,'Injectable Value'!$A$28:$A$178,0)),"")</f>
        <v>0.991808067465962</v>
      </c>
      <c r="T78" s="19" t="n">
        <f aca="false">IFERROR(ROUND(INDEX('Injectable Value'!$AA$28:$AA$178,MATCH($C78,'Injectable Value'!$A$28:$A$178,0)),1),"")</f>
        <v>58920.4</v>
      </c>
      <c r="U78" s="17" t="s">
        <v>488</v>
      </c>
      <c r="V78" s="16" t="n">
        <v>10</v>
      </c>
      <c r="W78" s="16" t="s">
        <v>487</v>
      </c>
      <c r="X78" s="16" t="s">
        <v>281</v>
      </c>
      <c r="Y78" s="16" t="s">
        <v>333</v>
      </c>
      <c r="Z78" s="17" t="str">
        <f aca="false">IFERROR(INDEX(Scoring!$U:$U,MATCH($C78&amp;"|"&amp;$E78,Scoring!$AD:$AD,0)),"")</f>
        <v>Reconstitution</v>
      </c>
      <c r="AA78" s="16" t="str">
        <f aca="false">IFERROR(INDEX(Scoring!$E:$E,MATCH($C78&amp;"|"&amp;$E78,Scoring!$AD:$AD,0)),"")</f>
        <v>Excluded – IV only</v>
      </c>
      <c r="AB78" s="19" t="n">
        <f aca="false">IFERROR(INDEX(Scoring!$M:$M,MATCH($C78&amp;"|"&amp;$E78,Scoring!$AD:$AD,0)),"")</f>
        <v>1175</v>
      </c>
      <c r="AC78" s="16" t="str">
        <f aca="false">IFERROR(INDEX('Route of Administration'!$C$5:$C$155,MATCH($C78,'Route of Administration'!$A$5:$A$155,0)),"")</f>
        <v>IV</v>
      </c>
      <c r="AD78" s="15" t="str">
        <f aca="false">IFERROR(INDEX('Route of Administration'!$D$5:$D$155,MATCH($C78,'Route of Administration'!$A$5:$A$155,0)),"")</f>
        <v>No</v>
      </c>
      <c r="AE78" s="15" t="str">
        <f aca="false">IF($AD78="No","Not checked – drug is IV only",IFERROR(INDEX('Route of Administration'!$O$5:$O$170,MATCH($E78&amp;"|"&amp;$C78,'Route of Administration'!$S$5:$S$170,0)),"Not checked – price ≤ USD 5"))</f>
        <v>Not checked – drug is IV only</v>
      </c>
    </row>
    <row r="79" customFormat="false" ht="28.35" hidden="false" customHeight="false" outlineLevel="0" collapsed="false">
      <c r="B79" s="16" t="n">
        <v>77</v>
      </c>
      <c r="C79" s="16" t="s">
        <v>483</v>
      </c>
      <c r="D79" s="16" t="s">
        <v>1735</v>
      </c>
      <c r="E79" s="16" t="s">
        <v>322</v>
      </c>
      <c r="F79" s="16" t="s">
        <v>1733</v>
      </c>
      <c r="G79" s="17" t="s">
        <v>1734</v>
      </c>
      <c r="H79" s="16" t="s">
        <v>1533</v>
      </c>
      <c r="I79" s="18" t="n">
        <v>12.0797</v>
      </c>
      <c r="J79" s="16" t="n">
        <v>29</v>
      </c>
      <c r="K79" s="16" t="n">
        <v>1185</v>
      </c>
      <c r="L79" s="19" t="n">
        <v>59407.06</v>
      </c>
      <c r="M79" s="17" t="s">
        <v>485</v>
      </c>
      <c r="N79" s="18" t="n">
        <v>12.0797</v>
      </c>
      <c r="O79" s="16" t="s">
        <v>1534</v>
      </c>
      <c r="P79" s="16" t="s">
        <v>1700</v>
      </c>
      <c r="Q79" s="17" t="s">
        <v>1536</v>
      </c>
      <c r="R79" s="78" t="s">
        <v>1701</v>
      </c>
      <c r="S79" s="77" t="n">
        <f aca="false">IFERROR(INDEX('Injectable Value'!$Z$28:$Z$178,MATCH($C79,'Injectable Value'!$A$28:$A$178,0)),"")</f>
        <v>0.991808067465962</v>
      </c>
      <c r="T79" s="19" t="n">
        <f aca="false">IFERROR(ROUND(INDEX('Injectable Value'!$AA$28:$AA$178,MATCH($C79,'Injectable Value'!$A$28:$A$178,0)),1),"")</f>
        <v>58920.4</v>
      </c>
      <c r="U79" s="17" t="s">
        <v>488</v>
      </c>
      <c r="V79" s="16" t="n">
        <v>10</v>
      </c>
      <c r="W79" s="16" t="s">
        <v>487</v>
      </c>
      <c r="X79" s="16" t="s">
        <v>281</v>
      </c>
      <c r="Y79" s="16" t="s">
        <v>333</v>
      </c>
      <c r="Z79" s="17" t="str">
        <f aca="false">IFERROR(INDEX(Scoring!$U:$U,MATCH($C79&amp;"|"&amp;$E79,Scoring!$AD:$AD,0)),"")</f>
        <v>Reconstitution</v>
      </c>
      <c r="AA79" s="16" t="str">
        <f aca="false">IFERROR(INDEX(Scoring!$E:$E,MATCH($C79&amp;"|"&amp;$E79,Scoring!$AD:$AD,0)),"")</f>
        <v>Excluded – IV only</v>
      </c>
      <c r="AB79" s="19" t="n">
        <f aca="false">IFERROR(INDEX(Scoring!$M:$M,MATCH($C79&amp;"|"&amp;$E79,Scoring!$AD:$AD,0)),"")</f>
        <v>1175</v>
      </c>
      <c r="AC79" s="16" t="str">
        <f aca="false">IFERROR(INDEX('Route of Administration'!$C$5:$C$155,MATCH($C79,'Route of Administration'!$A$5:$A$155,0)),"")</f>
        <v>IV</v>
      </c>
      <c r="AD79" s="15" t="str">
        <f aca="false">IFERROR(INDEX('Route of Administration'!$D$5:$D$155,MATCH($C79,'Route of Administration'!$A$5:$A$155,0)),"")</f>
        <v>No</v>
      </c>
      <c r="AE79" s="15" t="str">
        <f aca="false">IF($AD79="No","Not checked – drug is IV only",IFERROR(INDEX('Route of Administration'!$O$5:$O$170,MATCH($E79&amp;"|"&amp;$C79,'Route of Administration'!$S$5:$S$170,0)),"Not checked – price ≤ USD 5"))</f>
        <v>Not checked – drug is IV only</v>
      </c>
    </row>
    <row r="80" customFormat="false" ht="28.35" hidden="false" customHeight="false" outlineLevel="0" collapsed="false">
      <c r="B80" s="16" t="n">
        <v>78</v>
      </c>
      <c r="C80" s="16" t="s">
        <v>483</v>
      </c>
      <c r="D80" s="16" t="s">
        <v>1736</v>
      </c>
      <c r="E80" s="16" t="s">
        <v>322</v>
      </c>
      <c r="F80" s="16" t="s">
        <v>1733</v>
      </c>
      <c r="G80" s="17" t="s">
        <v>1734</v>
      </c>
      <c r="H80" s="16" t="s">
        <v>1533</v>
      </c>
      <c r="I80" s="18" t="n">
        <v>12.0797</v>
      </c>
      <c r="J80" s="16" t="n">
        <v>30</v>
      </c>
      <c r="K80" s="16" t="n">
        <v>1185</v>
      </c>
      <c r="L80" s="19" t="n">
        <v>59407.06</v>
      </c>
      <c r="M80" s="17" t="s">
        <v>485</v>
      </c>
      <c r="N80" s="18" t="n">
        <v>12.0797</v>
      </c>
      <c r="O80" s="16" t="s">
        <v>1534</v>
      </c>
      <c r="P80" s="16" t="s">
        <v>1700</v>
      </c>
      <c r="Q80" s="17" t="s">
        <v>1536</v>
      </c>
      <c r="R80" s="78" t="s">
        <v>1701</v>
      </c>
      <c r="S80" s="77" t="n">
        <f aca="false">IFERROR(INDEX('Injectable Value'!$Z$28:$Z$178,MATCH($C80,'Injectable Value'!$A$28:$A$178,0)),"")</f>
        <v>0.991808067465962</v>
      </c>
      <c r="T80" s="19" t="n">
        <f aca="false">IFERROR(ROUND(INDEX('Injectable Value'!$AA$28:$AA$178,MATCH($C80,'Injectable Value'!$A$28:$A$178,0)),1),"")</f>
        <v>58920.4</v>
      </c>
      <c r="U80" s="17" t="s">
        <v>488</v>
      </c>
      <c r="V80" s="16" t="n">
        <v>10</v>
      </c>
      <c r="W80" s="16" t="s">
        <v>487</v>
      </c>
      <c r="X80" s="16" t="s">
        <v>281</v>
      </c>
      <c r="Y80" s="16" t="s">
        <v>333</v>
      </c>
      <c r="Z80" s="17" t="str">
        <f aca="false">IFERROR(INDEX(Scoring!$U:$U,MATCH($C80&amp;"|"&amp;$E80,Scoring!$AD:$AD,0)),"")</f>
        <v>Reconstitution</v>
      </c>
      <c r="AA80" s="16" t="str">
        <f aca="false">IFERROR(INDEX(Scoring!$E:$E,MATCH($C80&amp;"|"&amp;$E80,Scoring!$AD:$AD,0)),"")</f>
        <v>Excluded – IV only</v>
      </c>
      <c r="AB80" s="19" t="n">
        <f aca="false">IFERROR(INDEX(Scoring!$M:$M,MATCH($C80&amp;"|"&amp;$E80,Scoring!$AD:$AD,0)),"")</f>
        <v>1175</v>
      </c>
      <c r="AC80" s="16" t="str">
        <f aca="false">IFERROR(INDEX('Route of Administration'!$C$5:$C$155,MATCH($C80,'Route of Administration'!$A$5:$A$155,0)),"")</f>
        <v>IV</v>
      </c>
      <c r="AD80" s="15" t="str">
        <f aca="false">IFERROR(INDEX('Route of Administration'!$D$5:$D$155,MATCH($C80,'Route of Administration'!$A$5:$A$155,0)),"")</f>
        <v>No</v>
      </c>
      <c r="AE80" s="15" t="str">
        <f aca="false">IF($AD80="No","Not checked – drug is IV only",IFERROR(INDEX('Route of Administration'!$O$5:$O$170,MATCH($E80&amp;"|"&amp;$C80,'Route of Administration'!$S$5:$S$170,0)),"Not checked – price ≤ USD 5"))</f>
        <v>Not checked – drug is IV only</v>
      </c>
    </row>
    <row r="81" customFormat="false" ht="28.35" hidden="false" customHeight="false" outlineLevel="0" collapsed="false">
      <c r="B81" s="16" t="n">
        <v>79</v>
      </c>
      <c r="C81" s="16" t="s">
        <v>501</v>
      </c>
      <c r="D81" s="16" t="s">
        <v>502</v>
      </c>
      <c r="E81" s="16" t="s">
        <v>322</v>
      </c>
      <c r="F81" s="16" t="s">
        <v>1737</v>
      </c>
      <c r="G81" s="17" t="s">
        <v>1738</v>
      </c>
      <c r="H81" s="16" t="s">
        <v>1533</v>
      </c>
      <c r="I81" s="18" t="n">
        <v>55.8898</v>
      </c>
      <c r="J81" s="16" t="n">
        <v>26</v>
      </c>
      <c r="K81" s="16" t="n">
        <v>544</v>
      </c>
      <c r="L81" s="19" t="n">
        <v>7654.85</v>
      </c>
      <c r="M81" s="17" t="s">
        <v>503</v>
      </c>
      <c r="N81" s="18" t="n">
        <v>55.8898</v>
      </c>
      <c r="O81" s="16" t="s">
        <v>1534</v>
      </c>
      <c r="P81" s="16" t="s">
        <v>1561</v>
      </c>
      <c r="Q81" s="17" t="s">
        <v>1536</v>
      </c>
      <c r="R81" s="78" t="s">
        <v>1701</v>
      </c>
      <c r="S81" s="77" t="n">
        <f aca="false">IFERROR(INDEX('Injectable Value'!$Z$28:$Z$178,MATCH($C81,'Injectable Value'!$A$28:$A$178,0)),"")</f>
        <v>0.882348668280872</v>
      </c>
      <c r="T81" s="19" t="n">
        <f aca="false">IFERROR(ROUND(INDEX('Injectable Value'!$AA$28:$AA$178,MATCH($C81,'Injectable Value'!$A$28:$A$178,0)),1),"")</f>
        <v>6754.2</v>
      </c>
      <c r="U81" s="17" t="s">
        <v>505</v>
      </c>
      <c r="V81" s="16" t="n">
        <v>2</v>
      </c>
      <c r="W81" s="16" t="s">
        <v>112</v>
      </c>
      <c r="X81" s="16" t="s">
        <v>281</v>
      </c>
      <c r="Y81" s="16" t="s">
        <v>333</v>
      </c>
      <c r="Z81" s="17" t="str">
        <f aca="false">IFERROR(INDEX(Scoring!$U:$U,MATCH($C81&amp;"|"&amp;$E81,Scoring!$AD:$AD,0)),"")</f>
        <v>Cancer drug (cytotoxic) – less relevant; Reconstitution</v>
      </c>
      <c r="AA81" s="16" t="str">
        <f aca="false">IFERROR(INDEX(Scoring!$E:$E,MATCH($C81&amp;"|"&amp;$E81,Scoring!$AD:$AD,0)),"")</f>
        <v>Excluded – IV only</v>
      </c>
      <c r="AB81" s="19" t="n">
        <f aca="false">IFERROR(INDEX(Scoring!$M:$M,MATCH($C81&amp;"|"&amp;$E81,Scoring!$AD:$AD,0)),"")</f>
        <v>480</v>
      </c>
      <c r="AC81" s="16" t="str">
        <f aca="false">IFERROR(INDEX('Route of Administration'!$C$5:$C$155,MATCH($C81,'Route of Administration'!$A$5:$A$155,0)),"")</f>
        <v>IV</v>
      </c>
      <c r="AD81" s="15" t="str">
        <f aca="false">IFERROR(INDEX('Route of Administration'!$D$5:$D$155,MATCH($C81,'Route of Administration'!$A$5:$A$155,0)),"")</f>
        <v>No</v>
      </c>
      <c r="AE81" s="15" t="str">
        <f aca="false">IF($AD81="No","Not checked – drug is IV only",IFERROR(INDEX('Route of Administration'!$O$5:$O$170,MATCH($E81&amp;"|"&amp;$C81,'Route of Administration'!$S$5:$S$170,0)),"Not checked – price ≤ USD 5"))</f>
        <v>Not checked – drug is IV only</v>
      </c>
    </row>
    <row r="82" customFormat="false" ht="28.35" hidden="false" customHeight="false" outlineLevel="0" collapsed="false">
      <c r="B82" s="16" t="n">
        <v>80</v>
      </c>
      <c r="C82" s="16" t="s">
        <v>518</v>
      </c>
      <c r="D82" s="16" t="s">
        <v>1739</v>
      </c>
      <c r="E82" s="16" t="s">
        <v>322</v>
      </c>
      <c r="F82" s="16" t="s">
        <v>1740</v>
      </c>
      <c r="G82" s="17" t="s">
        <v>1741</v>
      </c>
      <c r="H82" s="16" t="s">
        <v>1533</v>
      </c>
      <c r="I82" s="18" t="n">
        <v>5.3223</v>
      </c>
      <c r="J82" s="16" t="n">
        <v>30</v>
      </c>
      <c r="K82" s="16" t="n">
        <v>2546</v>
      </c>
      <c r="L82" s="19" t="n">
        <v>46507.62</v>
      </c>
      <c r="M82" s="17" t="s">
        <v>520</v>
      </c>
      <c r="N82" s="18" t="n">
        <v>5.3223</v>
      </c>
      <c r="O82" s="16" t="s">
        <v>1534</v>
      </c>
      <c r="P82" s="16" t="s">
        <v>1535</v>
      </c>
      <c r="Q82" s="17" t="s">
        <v>1536</v>
      </c>
      <c r="R82" s="78" t="s">
        <v>1701</v>
      </c>
      <c r="S82" s="77" t="n">
        <f aca="false">IFERROR(INDEX('Injectable Value'!$Z$28:$Z$178,MATCH($C82,'Injectable Value'!$A$28:$A$178,0)),"")</f>
        <v>0.378228374732698</v>
      </c>
      <c r="T82" s="19" t="n">
        <f aca="false">IFERROR(ROUND(INDEX('Injectable Value'!$AA$28:$AA$178,MATCH($C82,'Injectable Value'!$A$28:$A$178,0)),1),"")</f>
        <v>17590.5</v>
      </c>
      <c r="U82" s="17" t="s">
        <v>523</v>
      </c>
      <c r="V82" s="16" t="n">
        <v>10</v>
      </c>
      <c r="W82" s="16" t="s">
        <v>522</v>
      </c>
      <c r="X82" s="16" t="s">
        <v>349</v>
      </c>
      <c r="Y82" s="16" t="s">
        <v>283</v>
      </c>
      <c r="Z82" s="17" t="str">
        <f aca="false">IFERROR(INDEX(Scoring!$U:$U,MATCH($C82&amp;"|"&amp;$E82,Scoring!$AD:$AD,0)),"")</f>
        <v/>
      </c>
      <c r="AA82" s="16" t="str">
        <f aca="false">IFERROR(INDEX(Scoring!$E:$E,MATCH($C82&amp;"|"&amp;$E82,Scoring!$AD:$AD,0)),"")</f>
        <v>Priority 2</v>
      </c>
      <c r="AB82" s="19" t="n">
        <f aca="false">IFERROR(INDEX(Scoring!$M:$M,MATCH($C82&amp;"|"&amp;$E82,Scoring!$AD:$AD,0)),"")</f>
        <v>963</v>
      </c>
      <c r="AC82" s="16" t="str">
        <f aca="false">IFERROR(INDEX('Route of Administration'!$C$5:$C$155,MATCH($C82,'Route of Administration'!$A$5:$A$155,0)),"")</f>
        <v>IV, IM</v>
      </c>
      <c r="AD82" s="15" t="str">
        <f aca="false">IFERROR(INDEX('Route of Administration'!$D$5:$D$155,MATCH($C82,'Route of Administration'!$A$5:$A$155,0)),"")</f>
        <v>Yes</v>
      </c>
      <c r="AE82" s="15" t="str">
        <f aca="false">IF($AD82="No","Not checked – drug is IV only",IFERROR(INDEX('Route of Administration'!$O$5:$O$170,MATCH($E82&amp;"|"&amp;$C82,'Route of Administration'!$S$5:$S$170,0)),"Not checked – price ≤ USD 5"))</f>
        <v>Pass</v>
      </c>
    </row>
    <row r="83" customFormat="false" ht="28.35" hidden="false" customHeight="false" outlineLevel="0" collapsed="false">
      <c r="B83" s="16" t="n">
        <v>81</v>
      </c>
      <c r="C83" s="16" t="s">
        <v>541</v>
      </c>
      <c r="D83" s="16" t="s">
        <v>1742</v>
      </c>
      <c r="E83" s="16" t="s">
        <v>322</v>
      </c>
      <c r="F83" s="16" t="s">
        <v>1743</v>
      </c>
      <c r="G83" s="17" t="s">
        <v>1687</v>
      </c>
      <c r="H83" s="16" t="s">
        <v>1533</v>
      </c>
      <c r="I83" s="18" t="n">
        <v>7322.4226</v>
      </c>
      <c r="J83" s="16" t="n">
        <v>25</v>
      </c>
      <c r="K83" s="16" t="n">
        <v>47</v>
      </c>
      <c r="L83" s="19" t="n">
        <v>7904.67</v>
      </c>
      <c r="M83" s="17" t="s">
        <v>543</v>
      </c>
      <c r="N83" s="18" t="n">
        <v>7322.4226</v>
      </c>
      <c r="O83" s="16" t="s">
        <v>1534</v>
      </c>
      <c r="P83" s="16" t="s">
        <v>1700</v>
      </c>
      <c r="Q83" s="17" t="s">
        <v>1536</v>
      </c>
      <c r="R83" s="78" t="s">
        <v>1701</v>
      </c>
      <c r="S83" s="77" t="n">
        <f aca="false">IFERROR(INDEX('Injectable Value'!$Z$28:$Z$178,MATCH($C83,'Injectable Value'!$A$28:$A$178,0)),"")</f>
        <v>1</v>
      </c>
      <c r="T83" s="19" t="n">
        <f aca="false">IFERROR(ROUND(INDEX('Injectable Value'!$AA$28:$AA$178,MATCH($C83,'Injectable Value'!$A$28:$A$178,0)),1),"")</f>
        <v>7904.7</v>
      </c>
      <c r="U83" s="17" t="s">
        <v>546</v>
      </c>
      <c r="V83" s="16" t="n">
        <v>10</v>
      </c>
      <c r="W83" s="16" t="s">
        <v>545</v>
      </c>
      <c r="X83" s="16" t="s">
        <v>281</v>
      </c>
      <c r="Y83" s="16" t="s">
        <v>283</v>
      </c>
      <c r="Z83" s="17" t="str">
        <f aca="false">IFERROR(INDEX(Scoring!$U:$U,MATCH($C83&amp;"|"&amp;$E83,Scoring!$AD:$AD,0)),"")</f>
        <v/>
      </c>
      <c r="AA83" s="16" t="str">
        <f aca="false">IFERROR(INDEX(Scoring!$E:$E,MATCH($C83&amp;"|"&amp;$E83,Scoring!$AD:$AD,0)),"")</f>
        <v>Priority 2</v>
      </c>
      <c r="AB83" s="19" t="n">
        <f aca="false">IFERROR(INDEX(Scoring!$M:$M,MATCH($C83&amp;"|"&amp;$E83,Scoring!$AD:$AD,0)),"")</f>
        <v>47</v>
      </c>
      <c r="AC83" s="16" t="str">
        <f aca="false">IFERROR(INDEX('Route of Administration'!$C$5:$C$155,MATCH($C83,'Route of Administration'!$A$5:$A$155,0)),"")</f>
        <v>SC</v>
      </c>
      <c r="AD83" s="15" t="str">
        <f aca="false">IFERROR(INDEX('Route of Administration'!$D$5:$D$155,MATCH($C83,'Route of Administration'!$A$5:$A$155,0)),"")</f>
        <v>Yes</v>
      </c>
      <c r="AE83" s="15" t="str">
        <f aca="false">IF($AD83="No","Not checked – drug is IV only",IFERROR(INDEX('Route of Administration'!$O$5:$O$170,MATCH($E83&amp;"|"&amp;$C83,'Route of Administration'!$S$5:$S$170,0)),"Not checked – price ≤ USD 5"))</f>
        <v>Pass</v>
      </c>
    </row>
    <row r="84" customFormat="false" ht="28.35" hidden="false" customHeight="false" outlineLevel="0" collapsed="false">
      <c r="B84" s="16" t="n">
        <v>82</v>
      </c>
      <c r="C84" s="16" t="s">
        <v>556</v>
      </c>
      <c r="D84" s="16" t="s">
        <v>557</v>
      </c>
      <c r="E84" s="16" t="s">
        <v>322</v>
      </c>
      <c r="F84" s="16" t="s">
        <v>1744</v>
      </c>
      <c r="G84" s="17" t="s">
        <v>1745</v>
      </c>
      <c r="H84" s="16" t="s">
        <v>1533</v>
      </c>
      <c r="I84" s="18" t="n">
        <v>7.0399</v>
      </c>
      <c r="J84" s="16" t="n">
        <v>22</v>
      </c>
      <c r="K84" s="16" t="n">
        <v>2</v>
      </c>
      <c r="L84" s="19" t="n">
        <v>71.73</v>
      </c>
      <c r="M84" s="17" t="s">
        <v>558</v>
      </c>
      <c r="N84" s="18" t="n">
        <v>7.0399</v>
      </c>
      <c r="O84" s="16" t="s">
        <v>1534</v>
      </c>
      <c r="P84" s="16" t="s">
        <v>1561</v>
      </c>
      <c r="Q84" s="17" t="s">
        <v>1536</v>
      </c>
      <c r="R84" s="78" t="s">
        <v>1746</v>
      </c>
      <c r="S84" s="77" t="n">
        <f aca="false">IFERROR(INDEX('Injectable Value'!$Z$28:$Z$178,MATCH($C84,'Injectable Value'!$A$28:$A$178,0)),"")</f>
        <v>0.996078431372549</v>
      </c>
      <c r="T84" s="19" t="n">
        <f aca="false">IFERROR(ROUND(INDEX('Injectable Value'!$AA$28:$AA$178,MATCH($C84,'Injectable Value'!$A$28:$A$178,0)),1),"")</f>
        <v>71.4</v>
      </c>
      <c r="U84" s="17" t="s">
        <v>561</v>
      </c>
      <c r="V84" s="16" t="n">
        <v>1</v>
      </c>
      <c r="W84" s="16" t="s">
        <v>560</v>
      </c>
      <c r="X84" s="16" t="s">
        <v>281</v>
      </c>
      <c r="Y84" s="16" t="s">
        <v>333</v>
      </c>
      <c r="Z84" s="17" t="str">
        <f aca="false">IFERROR(INDEX(Scoring!$U:$U,MATCH($C84&amp;"|"&amp;$E84,Scoring!$AD:$AD,0)),"")</f>
        <v>Reconstitution</v>
      </c>
      <c r="AA84" s="16" t="str">
        <f aca="false">IFERROR(INDEX(Scoring!$E:$E,MATCH($C84&amp;"|"&amp;$E84,Scoring!$AD:$AD,0)),"")</f>
        <v>Excluded – IV only</v>
      </c>
      <c r="AB84" s="19" t="n">
        <f aca="false">IFERROR(INDEX(Scoring!$M:$M,MATCH($C84&amp;"|"&amp;$E84,Scoring!$AD:$AD,0)),"")</f>
        <v>2</v>
      </c>
      <c r="AC84" s="16" t="str">
        <f aca="false">IFERROR(INDEX('Route of Administration'!$C$5:$C$155,MATCH($C84,'Route of Administration'!$A$5:$A$155,0)),"")</f>
        <v>IV</v>
      </c>
      <c r="AD84" s="15" t="str">
        <f aca="false">IFERROR(INDEX('Route of Administration'!$D$5:$D$155,MATCH($C84,'Route of Administration'!$A$5:$A$155,0)),"")</f>
        <v>No</v>
      </c>
      <c r="AE84" s="15" t="str">
        <f aca="false">IF($AD84="No","Not checked – drug is IV only",IFERROR(INDEX('Route of Administration'!$O$5:$O$170,MATCH($E84&amp;"|"&amp;$C84,'Route of Administration'!$S$5:$S$170,0)),"Not checked – price ≤ USD 5"))</f>
        <v>Not checked – drug is IV only</v>
      </c>
    </row>
    <row r="85" customFormat="false" ht="28.35" hidden="false" customHeight="false" outlineLevel="0" collapsed="false">
      <c r="B85" s="16" t="n">
        <v>83</v>
      </c>
      <c r="C85" s="16" t="s">
        <v>604</v>
      </c>
      <c r="D85" s="16" t="s">
        <v>1747</v>
      </c>
      <c r="E85" s="16" t="s">
        <v>322</v>
      </c>
      <c r="F85" s="16" t="s">
        <v>1748</v>
      </c>
      <c r="G85" s="17" t="s">
        <v>1749</v>
      </c>
      <c r="H85" s="16" t="s">
        <v>1533</v>
      </c>
      <c r="I85" s="18" t="n">
        <v>24.3967</v>
      </c>
      <c r="J85" s="16" t="n">
        <v>21</v>
      </c>
      <c r="K85" s="16" t="n">
        <v>93</v>
      </c>
      <c r="L85" s="19" t="n">
        <v>528.18</v>
      </c>
      <c r="M85" s="17" t="s">
        <v>606</v>
      </c>
      <c r="N85" s="18" t="n">
        <v>24.3967</v>
      </c>
      <c r="O85" s="16" t="s">
        <v>1534</v>
      </c>
      <c r="P85" s="16" t="s">
        <v>1700</v>
      </c>
      <c r="Q85" s="17" t="s">
        <v>1536</v>
      </c>
      <c r="R85" s="78" t="s">
        <v>1701</v>
      </c>
      <c r="S85" s="77" t="n">
        <f aca="false">IFERROR(INDEX('Injectable Value'!$Z$28:$Z$178,MATCH($C85,'Injectable Value'!$A$28:$A$178,0)),"")</f>
        <v>0.571145833333333</v>
      </c>
      <c r="T85" s="19" t="n">
        <f aca="false">IFERROR(ROUND(INDEX('Injectable Value'!$AA$28:$AA$178,MATCH($C85,'Injectable Value'!$A$28:$A$178,0)),1),"")</f>
        <v>301.7</v>
      </c>
      <c r="U85" s="17" t="s">
        <v>609</v>
      </c>
      <c r="V85" s="16" t="n">
        <v>7</v>
      </c>
      <c r="W85" s="16" t="s">
        <v>608</v>
      </c>
      <c r="X85" s="16" t="s">
        <v>281</v>
      </c>
      <c r="Y85" s="16" t="s">
        <v>283</v>
      </c>
      <c r="Z85" s="17" t="str">
        <f aca="false">IFERROR(INDEX(Scoring!$U:$U,MATCH($C85&amp;"|"&amp;$E85,Scoring!$AD:$AD,0)),"")</f>
        <v>Cancer drug (cytotoxic) – less relevant</v>
      </c>
      <c r="AA85" s="16" t="str">
        <f aca="false">IFERROR(INDEX(Scoring!$E:$E,MATCH($C85&amp;"|"&amp;$E85,Scoring!$AD:$AD,0)),"")</f>
        <v>Excluded – IV only</v>
      </c>
      <c r="AB85" s="19" t="n">
        <f aca="false">IFERROR(INDEX(Scoring!$M:$M,MATCH($C85&amp;"|"&amp;$E85,Scoring!$AD:$AD,0)),"")</f>
        <v>53</v>
      </c>
      <c r="AC85" s="16" t="str">
        <f aca="false">IFERROR(INDEX('Route of Administration'!$C$5:$C$155,MATCH($C85,'Route of Administration'!$A$5:$A$155,0)),"")</f>
        <v>IV</v>
      </c>
      <c r="AD85" s="15" t="str">
        <f aca="false">IFERROR(INDEX('Route of Administration'!$D$5:$D$155,MATCH($C85,'Route of Administration'!$A$5:$A$155,0)),"")</f>
        <v>No</v>
      </c>
      <c r="AE85" s="15" t="str">
        <f aca="false">IF($AD85="No","Not checked – drug is IV only",IFERROR(INDEX('Route of Administration'!$O$5:$O$170,MATCH($E85&amp;"|"&amp;$C85,'Route of Administration'!$S$5:$S$170,0)),"Not checked – price ≤ USD 5"))</f>
        <v>Not checked – drug is IV only</v>
      </c>
    </row>
    <row r="86" customFormat="false" ht="28.35" hidden="false" customHeight="false" outlineLevel="0" collapsed="false">
      <c r="B86" s="16" t="n">
        <v>84</v>
      </c>
      <c r="C86" s="16" t="s">
        <v>604</v>
      </c>
      <c r="D86" s="16" t="s">
        <v>1750</v>
      </c>
      <c r="E86" s="16" t="s">
        <v>322</v>
      </c>
      <c r="F86" s="16" t="s">
        <v>1748</v>
      </c>
      <c r="G86" s="17" t="s">
        <v>1749</v>
      </c>
      <c r="H86" s="16" t="s">
        <v>1533</v>
      </c>
      <c r="I86" s="18" t="n">
        <v>24.3967</v>
      </c>
      <c r="J86" s="16" t="n">
        <v>29</v>
      </c>
      <c r="K86" s="16" t="n">
        <v>93</v>
      </c>
      <c r="L86" s="19" t="n">
        <v>528.18</v>
      </c>
      <c r="M86" s="17" t="s">
        <v>606</v>
      </c>
      <c r="N86" s="18" t="n">
        <v>24.3967</v>
      </c>
      <c r="O86" s="16" t="s">
        <v>1534</v>
      </c>
      <c r="P86" s="16" t="s">
        <v>1700</v>
      </c>
      <c r="Q86" s="17" t="s">
        <v>1536</v>
      </c>
      <c r="R86" s="78" t="s">
        <v>1701</v>
      </c>
      <c r="S86" s="77" t="n">
        <f aca="false">IFERROR(INDEX('Injectable Value'!$Z$28:$Z$178,MATCH($C86,'Injectable Value'!$A$28:$A$178,0)),"")</f>
        <v>0.571145833333333</v>
      </c>
      <c r="T86" s="19" t="n">
        <f aca="false">IFERROR(ROUND(INDEX('Injectable Value'!$AA$28:$AA$178,MATCH($C86,'Injectable Value'!$A$28:$A$178,0)),1),"")</f>
        <v>301.7</v>
      </c>
      <c r="U86" s="17" t="s">
        <v>609</v>
      </c>
      <c r="V86" s="16" t="n">
        <v>7</v>
      </c>
      <c r="W86" s="16" t="s">
        <v>608</v>
      </c>
      <c r="X86" s="16" t="s">
        <v>281</v>
      </c>
      <c r="Y86" s="16" t="s">
        <v>283</v>
      </c>
      <c r="Z86" s="17" t="str">
        <f aca="false">IFERROR(INDEX(Scoring!$U:$U,MATCH($C86&amp;"|"&amp;$E86,Scoring!$AD:$AD,0)),"")</f>
        <v>Cancer drug (cytotoxic) – less relevant</v>
      </c>
      <c r="AA86" s="16" t="str">
        <f aca="false">IFERROR(INDEX(Scoring!$E:$E,MATCH($C86&amp;"|"&amp;$E86,Scoring!$AD:$AD,0)),"")</f>
        <v>Excluded – IV only</v>
      </c>
      <c r="AB86" s="19" t="n">
        <f aca="false">IFERROR(INDEX(Scoring!$M:$M,MATCH($C86&amp;"|"&amp;$E86,Scoring!$AD:$AD,0)),"")</f>
        <v>53</v>
      </c>
      <c r="AC86" s="16" t="str">
        <f aca="false">IFERROR(INDEX('Route of Administration'!$C$5:$C$155,MATCH($C86,'Route of Administration'!$A$5:$A$155,0)),"")</f>
        <v>IV</v>
      </c>
      <c r="AD86" s="15" t="str">
        <f aca="false">IFERROR(INDEX('Route of Administration'!$D$5:$D$155,MATCH($C86,'Route of Administration'!$A$5:$A$155,0)),"")</f>
        <v>No</v>
      </c>
      <c r="AE86" s="15" t="str">
        <f aca="false">IF($AD86="No","Not checked – drug is IV only",IFERROR(INDEX('Route of Administration'!$O$5:$O$170,MATCH($E86&amp;"|"&amp;$C86,'Route of Administration'!$S$5:$S$170,0)),"Not checked – price ≤ USD 5"))</f>
        <v>Not checked – drug is IV only</v>
      </c>
    </row>
    <row r="87" customFormat="false" ht="28.35" hidden="false" customHeight="false" outlineLevel="0" collapsed="false">
      <c r="B87" s="16" t="n">
        <v>85</v>
      </c>
      <c r="C87" s="16" t="s">
        <v>534</v>
      </c>
      <c r="D87" s="16" t="s">
        <v>534</v>
      </c>
      <c r="E87" s="16" t="s">
        <v>322</v>
      </c>
      <c r="F87" s="16" t="s">
        <v>1751</v>
      </c>
      <c r="G87" s="17" t="s">
        <v>1752</v>
      </c>
      <c r="H87" s="16" t="s">
        <v>1533</v>
      </c>
      <c r="I87" s="18" t="n">
        <v>8.2474</v>
      </c>
      <c r="J87" s="16" t="n">
        <v>1</v>
      </c>
      <c r="K87" s="16" t="n">
        <v>3515</v>
      </c>
      <c r="L87" s="19" t="n">
        <v>140084.73</v>
      </c>
      <c r="M87" s="17" t="s">
        <v>535</v>
      </c>
      <c r="N87" s="18" t="n">
        <v>8.2474</v>
      </c>
      <c r="O87" s="16" t="s">
        <v>1534</v>
      </c>
      <c r="P87" s="16" t="s">
        <v>1700</v>
      </c>
      <c r="Q87" s="17" t="s">
        <v>1536</v>
      </c>
      <c r="R87" s="78" t="s">
        <v>1753</v>
      </c>
      <c r="S87" s="77" t="n">
        <f aca="false">IFERROR(INDEX('Injectable Value'!$Z$28:$Z$178,MATCH($C87,'Injectable Value'!$A$28:$A$178,0)),"")</f>
        <v>0.251824206147514</v>
      </c>
      <c r="T87" s="19" t="n">
        <f aca="false">IFERROR(ROUND(INDEX('Injectable Value'!$AA$28:$AA$178,MATCH($C87,'Injectable Value'!$A$28:$A$178,0)),1),"")</f>
        <v>35276.7</v>
      </c>
      <c r="U87" s="17" t="s">
        <v>538</v>
      </c>
      <c r="V87" s="16" t="n">
        <v>11</v>
      </c>
      <c r="W87" s="16" t="s">
        <v>537</v>
      </c>
      <c r="X87" s="16" t="s">
        <v>281</v>
      </c>
      <c r="Y87" s="16" t="s">
        <v>310</v>
      </c>
      <c r="Z87" s="17" t="str">
        <f aca="false">IFERROR(INDEX(Scoring!$U:$U,MATCH($C87&amp;"|"&amp;$E87,Scoring!$AD:$AD,0)),"")</f>
        <v/>
      </c>
      <c r="AA87" s="16" t="str">
        <f aca="false">IFERROR(INDEX(Scoring!$E:$E,MATCH($C87&amp;"|"&amp;$E87,Scoring!$AD:$AD,0)),"")</f>
        <v>Excluded – IV only</v>
      </c>
      <c r="AB87" s="19" t="n">
        <f aca="false">IFERROR(INDEX(Scoring!$M:$M,MATCH($C87&amp;"|"&amp;$E87,Scoring!$AD:$AD,0)),"")</f>
        <v>885</v>
      </c>
      <c r="AC87" s="16" t="str">
        <f aca="false">IFERROR(INDEX('Route of Administration'!$C$5:$C$155,MATCH($C87,'Route of Administration'!$A$5:$A$155,0)),"")</f>
        <v>IV</v>
      </c>
      <c r="AD87" s="15" t="str">
        <f aca="false">IFERROR(INDEX('Route of Administration'!$D$5:$D$155,MATCH($C87,'Route of Administration'!$A$5:$A$155,0)),"")</f>
        <v>No</v>
      </c>
      <c r="AE87" s="15" t="str">
        <f aca="false">IF($AD87="No","Not checked – drug is IV only",IFERROR(INDEX('Route of Administration'!$O$5:$O$170,MATCH($E87&amp;"|"&amp;$C87,'Route of Administration'!$S$5:$S$170,0)),"Not checked – price ≤ USD 5"))</f>
        <v>Not checked – drug is IV only</v>
      </c>
    </row>
    <row r="88" customFormat="false" ht="28.35" hidden="false" customHeight="false" outlineLevel="0" collapsed="false">
      <c r="B88" s="16" t="n">
        <v>86</v>
      </c>
      <c r="C88" s="16" t="s">
        <v>314</v>
      </c>
      <c r="D88" s="16" t="s">
        <v>315</v>
      </c>
      <c r="E88" s="16" t="s">
        <v>322</v>
      </c>
      <c r="F88" s="16" t="s">
        <v>1754</v>
      </c>
      <c r="G88" s="17" t="s">
        <v>1755</v>
      </c>
      <c r="H88" s="16" t="s">
        <v>1533</v>
      </c>
      <c r="I88" s="18" t="n">
        <v>7.7889</v>
      </c>
      <c r="J88" s="16" t="n">
        <v>1</v>
      </c>
      <c r="K88" s="16" t="n">
        <v>1393</v>
      </c>
      <c r="L88" s="19" t="n">
        <v>52401.4</v>
      </c>
      <c r="M88" s="17" t="s">
        <v>316</v>
      </c>
      <c r="N88" s="18" t="n">
        <v>7.7889</v>
      </c>
      <c r="O88" s="16" t="s">
        <v>1534</v>
      </c>
      <c r="P88" s="16" t="s">
        <v>1700</v>
      </c>
      <c r="Q88" s="17" t="s">
        <v>1536</v>
      </c>
      <c r="R88" s="78" t="s">
        <v>1756</v>
      </c>
      <c r="S88" s="77" t="n">
        <f aca="false">IFERROR(INDEX('Injectable Value'!$Z$28:$Z$178,MATCH($C88,'Injectable Value'!$A$28:$A$178,0)),"")</f>
        <v>0.670397578386193</v>
      </c>
      <c r="T88" s="19" t="n">
        <f aca="false">IFERROR(ROUND(INDEX('Injectable Value'!$AA$28:$AA$178,MATCH($C88,'Injectable Value'!$A$28:$A$178,0)),1),"")</f>
        <v>35129.8</v>
      </c>
      <c r="U88" s="17" t="s">
        <v>320</v>
      </c>
      <c r="V88" s="16" t="n">
        <v>2</v>
      </c>
      <c r="W88" s="16" t="s">
        <v>319</v>
      </c>
      <c r="X88" s="16" t="s">
        <v>281</v>
      </c>
      <c r="Y88" s="16" t="s">
        <v>1547</v>
      </c>
      <c r="Z88" s="17" t="str">
        <f aca="false">IFERROR(INDEX(Scoring!$U:$U,MATCH($C88&amp;"|"&amp;$E88,Scoring!$AD:$AD,0)),"")</f>
        <v/>
      </c>
      <c r="AA88" s="16" t="str">
        <f aca="false">IFERROR(INDEX(Scoring!$E:$E,MATCH($C88&amp;"|"&amp;$E88,Scoring!$AD:$AD,0)),"")</f>
        <v>Priority 2</v>
      </c>
      <c r="AB88" s="19" t="n">
        <f aca="false">IFERROR(INDEX(Scoring!$M:$M,MATCH($C88&amp;"|"&amp;$E88,Scoring!$AD:$AD,0)),"")</f>
        <v>934</v>
      </c>
      <c r="AC88" s="16" t="str">
        <f aca="false">IFERROR(INDEX('Route of Administration'!$C$5:$C$155,MATCH($C88,'Route of Administration'!$A$5:$A$155,0)),"")</f>
        <v>IV, IM</v>
      </c>
      <c r="AD88" s="15" t="str">
        <f aca="false">IFERROR(INDEX('Route of Administration'!$D$5:$D$155,MATCH($C88,'Route of Administration'!$A$5:$A$155,0)),"")</f>
        <v>Yes</v>
      </c>
      <c r="AE88" s="15" t="str">
        <f aca="false">IF($AD88="No","Not checked – drug is IV only",IFERROR(INDEX('Route of Administration'!$O$5:$O$170,MATCH($E88&amp;"|"&amp;$C88,'Route of Administration'!$S$5:$S$170,0)),"Not checked – price ≤ USD 5"))</f>
        <v>Pass</v>
      </c>
    </row>
    <row r="89" customFormat="false" ht="28.35" hidden="false" customHeight="false" outlineLevel="0" collapsed="false">
      <c r="B89" s="16" t="n">
        <v>87</v>
      </c>
      <c r="C89" s="16" t="s">
        <v>483</v>
      </c>
      <c r="D89" s="16" t="s">
        <v>483</v>
      </c>
      <c r="E89" s="16" t="s">
        <v>322</v>
      </c>
      <c r="F89" s="16" t="s">
        <v>1757</v>
      </c>
      <c r="G89" s="17" t="s">
        <v>1758</v>
      </c>
      <c r="H89" s="16" t="s">
        <v>1533</v>
      </c>
      <c r="I89" s="18" t="n">
        <v>16.247</v>
      </c>
      <c r="J89" s="16" t="n">
        <v>1</v>
      </c>
      <c r="K89" s="16" t="n">
        <v>1185</v>
      </c>
      <c r="L89" s="19" t="n">
        <v>59407.06</v>
      </c>
      <c r="M89" s="17" t="s">
        <v>485</v>
      </c>
      <c r="N89" s="18" t="n">
        <v>16.247</v>
      </c>
      <c r="O89" s="16" t="s">
        <v>1534</v>
      </c>
      <c r="P89" s="16" t="s">
        <v>1700</v>
      </c>
      <c r="Q89" s="17" t="s">
        <v>1536</v>
      </c>
      <c r="R89" s="78" t="s">
        <v>1759</v>
      </c>
      <c r="S89" s="77" t="n">
        <f aca="false">IFERROR(INDEX('Injectable Value'!$Z$28:$Z$178,MATCH($C89,'Injectable Value'!$A$28:$A$178,0)),"")</f>
        <v>0.991808067465962</v>
      </c>
      <c r="T89" s="19" t="n">
        <f aca="false">IFERROR(ROUND(INDEX('Injectable Value'!$AA$28:$AA$178,MATCH($C89,'Injectable Value'!$A$28:$A$178,0)),1),"")</f>
        <v>58920.4</v>
      </c>
      <c r="U89" s="17" t="s">
        <v>488</v>
      </c>
      <c r="V89" s="16" t="n">
        <v>10</v>
      </c>
      <c r="W89" s="16" t="s">
        <v>487</v>
      </c>
      <c r="X89" s="16" t="s">
        <v>281</v>
      </c>
      <c r="Y89" s="16" t="s">
        <v>1547</v>
      </c>
      <c r="Z89" s="17" t="str">
        <f aca="false">IFERROR(INDEX(Scoring!$U:$U,MATCH($C89&amp;"|"&amp;$E89,Scoring!$AD:$AD,0)),"")</f>
        <v>Reconstitution</v>
      </c>
      <c r="AA89" s="16" t="str">
        <f aca="false">IFERROR(INDEX(Scoring!$E:$E,MATCH($C89&amp;"|"&amp;$E89,Scoring!$AD:$AD,0)),"")</f>
        <v>Excluded – IV only</v>
      </c>
      <c r="AB89" s="19" t="n">
        <f aca="false">IFERROR(INDEX(Scoring!$M:$M,MATCH($C89&amp;"|"&amp;$E89,Scoring!$AD:$AD,0)),"")</f>
        <v>1175</v>
      </c>
      <c r="AC89" s="16" t="str">
        <f aca="false">IFERROR(INDEX('Route of Administration'!$C$5:$C$155,MATCH($C89,'Route of Administration'!$A$5:$A$155,0)),"")</f>
        <v>IV</v>
      </c>
      <c r="AD89" s="15" t="str">
        <f aca="false">IFERROR(INDEX('Route of Administration'!$D$5:$D$155,MATCH($C89,'Route of Administration'!$A$5:$A$155,0)),"")</f>
        <v>No</v>
      </c>
      <c r="AE89" s="15" t="str">
        <f aca="false">IF($AD89="No","Not checked – drug is IV only",IFERROR(INDEX('Route of Administration'!$O$5:$O$170,MATCH($E89&amp;"|"&amp;$C89,'Route of Administration'!$S$5:$S$170,0)),"Not checked – price ≤ USD 5"))</f>
        <v>Not checked – drug is IV only</v>
      </c>
    </row>
    <row r="90" customFormat="false" ht="28.35" hidden="false" customHeight="false" outlineLevel="0" collapsed="false">
      <c r="B90" s="16" t="n">
        <v>88</v>
      </c>
      <c r="C90" s="16" t="s">
        <v>483</v>
      </c>
      <c r="D90" s="16" t="s">
        <v>483</v>
      </c>
      <c r="E90" s="16" t="s">
        <v>322</v>
      </c>
      <c r="F90" s="16" t="s">
        <v>1760</v>
      </c>
      <c r="G90" s="17" t="s">
        <v>1761</v>
      </c>
      <c r="H90" s="16" t="s">
        <v>1533</v>
      </c>
      <c r="I90" s="18" t="n">
        <v>36.113</v>
      </c>
      <c r="J90" s="16" t="n">
        <v>1</v>
      </c>
      <c r="K90" s="16" t="n">
        <v>1185</v>
      </c>
      <c r="L90" s="19" t="n">
        <v>59407.06</v>
      </c>
      <c r="M90" s="17" t="s">
        <v>485</v>
      </c>
      <c r="N90" s="18" t="n">
        <v>36.113</v>
      </c>
      <c r="O90" s="16" t="s">
        <v>1534</v>
      </c>
      <c r="P90" s="16" t="s">
        <v>1700</v>
      </c>
      <c r="Q90" s="17" t="s">
        <v>1536</v>
      </c>
      <c r="R90" s="78" t="s">
        <v>1759</v>
      </c>
      <c r="S90" s="77" t="n">
        <f aca="false">IFERROR(INDEX('Injectable Value'!$Z$28:$Z$178,MATCH($C90,'Injectable Value'!$A$28:$A$178,0)),"")</f>
        <v>0.991808067465962</v>
      </c>
      <c r="T90" s="19" t="n">
        <f aca="false">IFERROR(ROUND(INDEX('Injectable Value'!$AA$28:$AA$178,MATCH($C90,'Injectable Value'!$A$28:$A$178,0)),1),"")</f>
        <v>58920.4</v>
      </c>
      <c r="U90" s="17" t="s">
        <v>488</v>
      </c>
      <c r="V90" s="16" t="n">
        <v>10</v>
      </c>
      <c r="W90" s="16" t="s">
        <v>487</v>
      </c>
      <c r="X90" s="16" t="s">
        <v>281</v>
      </c>
      <c r="Y90" s="16" t="s">
        <v>1547</v>
      </c>
      <c r="Z90" s="17" t="str">
        <f aca="false">IFERROR(INDEX(Scoring!$U:$U,MATCH($C90&amp;"|"&amp;$E90,Scoring!$AD:$AD,0)),"")</f>
        <v>Reconstitution</v>
      </c>
      <c r="AA90" s="16" t="str">
        <f aca="false">IFERROR(INDEX(Scoring!$E:$E,MATCH($C90&amp;"|"&amp;$E90,Scoring!$AD:$AD,0)),"")</f>
        <v>Excluded – IV only</v>
      </c>
      <c r="AB90" s="19" t="n">
        <f aca="false">IFERROR(INDEX(Scoring!$M:$M,MATCH($C90&amp;"|"&amp;$E90,Scoring!$AD:$AD,0)),"")</f>
        <v>1175</v>
      </c>
      <c r="AC90" s="16" t="str">
        <f aca="false">IFERROR(INDEX('Route of Administration'!$C$5:$C$155,MATCH($C90,'Route of Administration'!$A$5:$A$155,0)),"")</f>
        <v>IV</v>
      </c>
      <c r="AD90" s="15" t="str">
        <f aca="false">IFERROR(INDEX('Route of Administration'!$D$5:$D$155,MATCH($C90,'Route of Administration'!$A$5:$A$155,0)),"")</f>
        <v>No</v>
      </c>
      <c r="AE90" s="15" t="str">
        <f aca="false">IF($AD90="No","Not checked – drug is IV only",IFERROR(INDEX('Route of Administration'!$O$5:$O$170,MATCH($E90&amp;"|"&amp;$C90,'Route of Administration'!$S$5:$S$170,0)),"Not checked – price ≤ USD 5"))</f>
        <v>Not checked – drug is IV only</v>
      </c>
    </row>
    <row r="91" customFormat="false" ht="28.35" hidden="false" customHeight="false" outlineLevel="0" collapsed="false">
      <c r="B91" s="16" t="n">
        <v>89</v>
      </c>
      <c r="C91" s="16" t="s">
        <v>588</v>
      </c>
      <c r="D91" s="16" t="s">
        <v>588</v>
      </c>
      <c r="E91" s="16" t="s">
        <v>322</v>
      </c>
      <c r="F91" s="16" t="s">
        <v>1762</v>
      </c>
      <c r="G91" s="17" t="s">
        <v>1763</v>
      </c>
      <c r="H91" s="16" t="s">
        <v>1533</v>
      </c>
      <c r="I91" s="18" t="n">
        <v>13.20375</v>
      </c>
      <c r="J91" s="16" t="n">
        <v>1</v>
      </c>
      <c r="K91" s="16" t="n">
        <v>1307</v>
      </c>
      <c r="L91" s="19" t="n">
        <v>36428.56</v>
      </c>
      <c r="M91" s="17" t="s">
        <v>589</v>
      </c>
      <c r="N91" s="18" t="n">
        <v>13.20375</v>
      </c>
      <c r="O91" s="16" t="s">
        <v>1534</v>
      </c>
      <c r="P91" s="16" t="s">
        <v>1535</v>
      </c>
      <c r="Q91" s="17" t="s">
        <v>1536</v>
      </c>
      <c r="R91" s="78" t="s">
        <v>1764</v>
      </c>
      <c r="S91" s="77" t="n">
        <f aca="false">IFERROR(INDEX('Injectable Value'!$Z$28:$Z$178,MATCH($C91,'Injectable Value'!$A$28:$A$178,0)),"")</f>
        <v>0.618159088235815</v>
      </c>
      <c r="T91" s="19" t="n">
        <f aca="false">IFERROR(ROUND(INDEX('Injectable Value'!$AA$28:$AA$178,MATCH($C91,'Injectable Value'!$A$28:$A$178,0)),1),"")</f>
        <v>22518.6</v>
      </c>
      <c r="U91" s="17" t="s">
        <v>592</v>
      </c>
      <c r="V91" s="16" t="n">
        <v>7</v>
      </c>
      <c r="W91" s="16" t="s">
        <v>591</v>
      </c>
      <c r="X91" s="16" t="s">
        <v>349</v>
      </c>
      <c r="Y91" s="16" t="s">
        <v>283</v>
      </c>
      <c r="Z91" s="17" t="str">
        <f aca="false">IFERROR(INDEX(Scoring!$U:$U,MATCH($C91&amp;"|"&amp;$E91,Scoring!$AD:$AD,0)),"")</f>
        <v/>
      </c>
      <c r="AA91" s="16" t="str">
        <f aca="false">IFERROR(INDEX(Scoring!$E:$E,MATCH($C91&amp;"|"&amp;$E91,Scoring!$AD:$AD,0)),"")</f>
        <v>Excluded – IV only</v>
      </c>
      <c r="AB91" s="19" t="n">
        <f aca="false">IFERROR(INDEX(Scoring!$M:$M,MATCH($C91&amp;"|"&amp;$E91,Scoring!$AD:$AD,0)),"")</f>
        <v>808</v>
      </c>
      <c r="AC91" s="16" t="str">
        <f aca="false">IFERROR(INDEX('Route of Administration'!$C$5:$C$155,MATCH($C91,'Route of Administration'!$A$5:$A$155,0)),"")</f>
        <v>IV</v>
      </c>
      <c r="AD91" s="15" t="str">
        <f aca="false">IFERROR(INDEX('Route of Administration'!$D$5:$D$155,MATCH($C91,'Route of Administration'!$A$5:$A$155,0)),"")</f>
        <v>No</v>
      </c>
      <c r="AE91" s="15" t="str">
        <f aca="false">IF($AD91="No","Not checked – drug is IV only",IFERROR(INDEX('Route of Administration'!$O$5:$O$170,MATCH($E91&amp;"|"&amp;$C91,'Route of Administration'!$S$5:$S$170,0)),"Not checked – price ≤ USD 5"))</f>
        <v>Not checked – drug is IV only</v>
      </c>
    </row>
    <row r="92" customFormat="false" ht="28.35" hidden="false" customHeight="false" outlineLevel="0" collapsed="false">
      <c r="B92" s="16" t="n">
        <v>90</v>
      </c>
      <c r="C92" s="16" t="s">
        <v>518</v>
      </c>
      <c r="D92" s="16" t="s">
        <v>1765</v>
      </c>
      <c r="E92" s="16" t="s">
        <v>322</v>
      </c>
      <c r="F92" s="16" t="s">
        <v>1695</v>
      </c>
      <c r="G92" s="17" t="s">
        <v>1766</v>
      </c>
      <c r="H92" s="16" t="s">
        <v>1533</v>
      </c>
      <c r="I92" s="18" t="n">
        <v>9.2526</v>
      </c>
      <c r="J92" s="16" t="n">
        <v>1</v>
      </c>
      <c r="K92" s="16" t="n">
        <v>2546</v>
      </c>
      <c r="L92" s="19" t="n">
        <v>46507.62</v>
      </c>
      <c r="M92" s="17" t="s">
        <v>520</v>
      </c>
      <c r="N92" s="18" t="n">
        <v>9.2526</v>
      </c>
      <c r="O92" s="16" t="s">
        <v>1534</v>
      </c>
      <c r="P92" s="16" t="s">
        <v>1700</v>
      </c>
      <c r="Q92" s="17" t="s">
        <v>1536</v>
      </c>
      <c r="R92" s="78" t="s">
        <v>1767</v>
      </c>
      <c r="S92" s="77" t="n">
        <f aca="false">IFERROR(INDEX('Injectable Value'!$Z$28:$Z$178,MATCH($C92,'Injectable Value'!$A$28:$A$178,0)),"")</f>
        <v>0.378228374732698</v>
      </c>
      <c r="T92" s="19" t="n">
        <f aca="false">IFERROR(ROUND(INDEX('Injectable Value'!$AA$28:$AA$178,MATCH($C92,'Injectable Value'!$A$28:$A$178,0)),1),"")</f>
        <v>17590.5</v>
      </c>
      <c r="U92" s="17" t="s">
        <v>523</v>
      </c>
      <c r="V92" s="16" t="n">
        <v>10</v>
      </c>
      <c r="W92" s="16" t="s">
        <v>522</v>
      </c>
      <c r="X92" s="16" t="s">
        <v>281</v>
      </c>
      <c r="Y92" s="16" t="s">
        <v>283</v>
      </c>
      <c r="Z92" s="17" t="str">
        <f aca="false">IFERROR(INDEX(Scoring!$U:$U,MATCH($C92&amp;"|"&amp;$E92,Scoring!$AD:$AD,0)),"")</f>
        <v/>
      </c>
      <c r="AA92" s="16" t="str">
        <f aca="false">IFERROR(INDEX(Scoring!$E:$E,MATCH($C92&amp;"|"&amp;$E92,Scoring!$AD:$AD,0)),"")</f>
        <v>Priority 2</v>
      </c>
      <c r="AB92" s="19" t="n">
        <f aca="false">IFERROR(INDEX(Scoring!$M:$M,MATCH($C92&amp;"|"&amp;$E92,Scoring!$AD:$AD,0)),"")</f>
        <v>963</v>
      </c>
      <c r="AC92" s="16" t="str">
        <f aca="false">IFERROR(INDEX('Route of Administration'!$C$5:$C$155,MATCH($C92,'Route of Administration'!$A$5:$A$155,0)),"")</f>
        <v>IV, IM</v>
      </c>
      <c r="AD92" s="15" t="str">
        <f aca="false">IFERROR(INDEX('Route of Administration'!$D$5:$D$155,MATCH($C92,'Route of Administration'!$A$5:$A$155,0)),"")</f>
        <v>Yes</v>
      </c>
      <c r="AE92" s="15" t="str">
        <f aca="false">IF($AD92="No","Not checked – drug is IV only",IFERROR(INDEX('Route of Administration'!$O$5:$O$170,MATCH($E92&amp;"|"&amp;$C92,'Route of Administration'!$S$5:$S$170,0)),"Not checked – price ≤ USD 5"))</f>
        <v>Pass</v>
      </c>
    </row>
    <row r="93" customFormat="false" ht="28.35" hidden="false" customHeight="false" outlineLevel="0" collapsed="false">
      <c r="B93" s="16" t="n">
        <v>91</v>
      </c>
      <c r="C93" s="16" t="s">
        <v>518</v>
      </c>
      <c r="D93" s="16" t="s">
        <v>1765</v>
      </c>
      <c r="E93" s="16" t="s">
        <v>322</v>
      </c>
      <c r="F93" s="16" t="s">
        <v>1695</v>
      </c>
      <c r="G93" s="17" t="s">
        <v>1768</v>
      </c>
      <c r="H93" s="16" t="s">
        <v>1533</v>
      </c>
      <c r="I93" s="18" t="n">
        <v>18.5052</v>
      </c>
      <c r="J93" s="16" t="n">
        <v>1</v>
      </c>
      <c r="K93" s="16" t="n">
        <v>2546</v>
      </c>
      <c r="L93" s="19" t="n">
        <v>46507.62</v>
      </c>
      <c r="M93" s="17" t="s">
        <v>520</v>
      </c>
      <c r="N93" s="18" t="n">
        <v>18.5052</v>
      </c>
      <c r="O93" s="16" t="s">
        <v>1534</v>
      </c>
      <c r="P93" s="16" t="s">
        <v>1700</v>
      </c>
      <c r="Q93" s="17" t="s">
        <v>1536</v>
      </c>
      <c r="R93" s="78" t="s">
        <v>1769</v>
      </c>
      <c r="S93" s="77" t="n">
        <f aca="false">IFERROR(INDEX('Injectable Value'!$Z$28:$Z$178,MATCH($C93,'Injectable Value'!$A$28:$A$178,0)),"")</f>
        <v>0.378228374732698</v>
      </c>
      <c r="T93" s="19" t="n">
        <f aca="false">IFERROR(ROUND(INDEX('Injectable Value'!$AA$28:$AA$178,MATCH($C93,'Injectable Value'!$A$28:$A$178,0)),1),"")</f>
        <v>17590.5</v>
      </c>
      <c r="U93" s="17" t="s">
        <v>523</v>
      </c>
      <c r="V93" s="16" t="n">
        <v>10</v>
      </c>
      <c r="W93" s="16" t="s">
        <v>522</v>
      </c>
      <c r="X93" s="16" t="s">
        <v>281</v>
      </c>
      <c r="Y93" s="16" t="s">
        <v>283</v>
      </c>
      <c r="Z93" s="17" t="str">
        <f aca="false">IFERROR(INDEX(Scoring!$U:$U,MATCH($C93&amp;"|"&amp;$E93,Scoring!$AD:$AD,0)),"")</f>
        <v/>
      </c>
      <c r="AA93" s="16" t="str">
        <f aca="false">IFERROR(INDEX(Scoring!$E:$E,MATCH($C93&amp;"|"&amp;$E93,Scoring!$AD:$AD,0)),"")</f>
        <v>Priority 2</v>
      </c>
      <c r="AB93" s="19" t="n">
        <f aca="false">IFERROR(INDEX(Scoring!$M:$M,MATCH($C93&amp;"|"&amp;$E93,Scoring!$AD:$AD,0)),"")</f>
        <v>963</v>
      </c>
      <c r="AC93" s="16" t="str">
        <f aca="false">IFERROR(INDEX('Route of Administration'!$C$5:$C$155,MATCH($C93,'Route of Administration'!$A$5:$A$155,0)),"")</f>
        <v>IV, IM</v>
      </c>
      <c r="AD93" s="15" t="str">
        <f aca="false">IFERROR(INDEX('Route of Administration'!$D$5:$D$155,MATCH($C93,'Route of Administration'!$A$5:$A$155,0)),"")</f>
        <v>Yes</v>
      </c>
      <c r="AE93" s="15" t="str">
        <f aca="false">IF($AD93="No","Not checked – drug is IV only",IFERROR(INDEX('Route of Administration'!$O$5:$O$170,MATCH($E93&amp;"|"&amp;$C93,'Route of Administration'!$S$5:$S$170,0)),"Not checked – price ≤ USD 5"))</f>
        <v>Pass</v>
      </c>
    </row>
    <row r="94" customFormat="false" ht="28.35" hidden="false" customHeight="false" outlineLevel="0" collapsed="false">
      <c r="B94" s="16" t="n">
        <v>92</v>
      </c>
      <c r="C94" s="16" t="s">
        <v>419</v>
      </c>
      <c r="D94" s="16" t="s">
        <v>419</v>
      </c>
      <c r="E94" s="16" t="s">
        <v>322</v>
      </c>
      <c r="F94" s="16" t="s">
        <v>1760</v>
      </c>
      <c r="G94" s="17" t="s">
        <v>1770</v>
      </c>
      <c r="H94" s="16" t="s">
        <v>1533</v>
      </c>
      <c r="I94" s="18" t="n">
        <v>42.56</v>
      </c>
      <c r="J94" s="16" t="n">
        <v>1</v>
      </c>
      <c r="K94" s="16" t="n">
        <v>223</v>
      </c>
      <c r="L94" s="19" t="n">
        <v>53539.87</v>
      </c>
      <c r="M94" s="17" t="s">
        <v>421</v>
      </c>
      <c r="N94" s="18" t="n">
        <v>42.56</v>
      </c>
      <c r="O94" s="16" t="s">
        <v>1534</v>
      </c>
      <c r="P94" s="16" t="s">
        <v>1700</v>
      </c>
      <c r="Q94" s="17" t="s">
        <v>1536</v>
      </c>
      <c r="R94" s="78" t="s">
        <v>1771</v>
      </c>
      <c r="S94" s="77" t="n">
        <f aca="false">IFERROR(INDEX('Injectable Value'!$Z$28:$Z$178,MATCH($C94,'Injectable Value'!$A$28:$A$178,0)),"")</f>
        <v>1</v>
      </c>
      <c r="T94" s="19" t="n">
        <f aca="false">IFERROR(ROUND(INDEX('Injectable Value'!$AA$28:$AA$178,MATCH($C94,'Injectable Value'!$A$28:$A$178,0)),1),"")</f>
        <v>53539.9</v>
      </c>
      <c r="U94" s="17" t="s">
        <v>424</v>
      </c>
      <c r="V94" s="16" t="n">
        <v>10</v>
      </c>
      <c r="W94" s="16" t="s">
        <v>423</v>
      </c>
      <c r="X94" s="16" t="s">
        <v>281</v>
      </c>
      <c r="Y94" s="16" t="s">
        <v>333</v>
      </c>
      <c r="Z94" s="17" t="str">
        <f aca="false">IFERROR(INDEX(Scoring!$U:$U,MATCH($C94&amp;"|"&amp;$E94,Scoring!$AD:$AD,0)),"")</f>
        <v>Reconstitution</v>
      </c>
      <c r="AA94" s="16" t="str">
        <f aca="false">IFERROR(INDEX(Scoring!$E:$E,MATCH($C94&amp;"|"&amp;$E94,Scoring!$AD:$AD,0)),"")</f>
        <v>Priority 1</v>
      </c>
      <c r="AB94" s="19" t="n">
        <f aca="false">IFERROR(INDEX(Scoring!$M:$M,MATCH($C94&amp;"|"&amp;$E94,Scoring!$AD:$AD,0)),"")</f>
        <v>223</v>
      </c>
      <c r="AC94" s="16" t="str">
        <f aca="false">IFERROR(INDEX('Route of Administration'!$C$5:$C$155,MATCH($C94,'Route of Administration'!$A$5:$A$155,0)),"")</f>
        <v>IV, IM</v>
      </c>
      <c r="AD94" s="15" t="str">
        <f aca="false">IFERROR(INDEX('Route of Administration'!$D$5:$D$155,MATCH($C94,'Route of Administration'!$A$5:$A$155,0)),"")</f>
        <v>Yes</v>
      </c>
      <c r="AE94" s="15" t="str">
        <f aca="false">IF($AD94="No","Not checked – drug is IV only",IFERROR(INDEX('Route of Administration'!$O$5:$O$170,MATCH($E94&amp;"|"&amp;$C94,'Route of Administration'!$S$5:$S$170,0)),"Not checked – price ≤ USD 5"))</f>
        <v>Pass</v>
      </c>
    </row>
    <row r="95" customFormat="false" ht="28.35" hidden="false" customHeight="false" outlineLevel="0" collapsed="false">
      <c r="B95" s="16" t="n">
        <v>93</v>
      </c>
      <c r="C95" s="16" t="s">
        <v>459</v>
      </c>
      <c r="D95" s="16" t="s">
        <v>460</v>
      </c>
      <c r="E95" s="16" t="s">
        <v>322</v>
      </c>
      <c r="F95" s="16" t="s">
        <v>1686</v>
      </c>
      <c r="G95" s="17" t="s">
        <v>1772</v>
      </c>
      <c r="H95" s="16" t="s">
        <v>1533</v>
      </c>
      <c r="I95" s="18" t="n">
        <v>6.11625</v>
      </c>
      <c r="J95" s="16" t="n">
        <v>1</v>
      </c>
      <c r="K95" s="16" t="n">
        <v>503</v>
      </c>
      <c r="L95" s="19" t="n">
        <v>21671.77</v>
      </c>
      <c r="M95" s="17" t="s">
        <v>461</v>
      </c>
      <c r="N95" s="18" t="n">
        <v>6.11625</v>
      </c>
      <c r="O95" s="16" t="s">
        <v>1534</v>
      </c>
      <c r="P95" s="16" t="s">
        <v>1700</v>
      </c>
      <c r="Q95" s="17" t="s">
        <v>1536</v>
      </c>
      <c r="R95" s="78" t="s">
        <v>1773</v>
      </c>
      <c r="S95" s="77" t="n">
        <f aca="false">IFERROR(INDEX('Injectable Value'!$Z$28:$Z$178,MATCH($C95,'Injectable Value'!$A$28:$A$178,0)),"")</f>
        <v>0.162389770723104</v>
      </c>
      <c r="T95" s="19" t="n">
        <f aca="false">IFERROR(ROUND(INDEX('Injectable Value'!$AA$28:$AA$178,MATCH($C95,'Injectable Value'!$A$28:$A$178,0)),1),"")</f>
        <v>3519.3</v>
      </c>
      <c r="U95" s="17" t="s">
        <v>464</v>
      </c>
      <c r="V95" s="16" t="n">
        <v>1</v>
      </c>
      <c r="W95" s="16" t="s">
        <v>463</v>
      </c>
      <c r="X95" s="16" t="s">
        <v>281</v>
      </c>
      <c r="Y95" s="16" t="s">
        <v>283</v>
      </c>
      <c r="Z95" s="17" t="str">
        <f aca="false">IFERROR(INDEX(Scoring!$U:$U,MATCH($C95&amp;"|"&amp;$E95,Scoring!$AD:$AD,0)),"")</f>
        <v/>
      </c>
      <c r="AA95" s="16" t="str">
        <f aca="false">IFERROR(INDEX(Scoring!$E:$E,MATCH($C95&amp;"|"&amp;$E95,Scoring!$AD:$AD,0)),"")</f>
        <v>Priority 3</v>
      </c>
      <c r="AB95" s="19" t="n">
        <f aca="false">IFERROR(INDEX(Scoring!$M:$M,MATCH($C95&amp;"|"&amp;$E95,Scoring!$AD:$AD,0)),"")</f>
        <v>82</v>
      </c>
      <c r="AC95" s="16" t="str">
        <f aca="false">IFERROR(INDEX('Route of Administration'!$C$5:$C$155,MATCH($C95,'Route of Administration'!$A$5:$A$155,0)),"")</f>
        <v>IV, IM</v>
      </c>
      <c r="AD95" s="15" t="str">
        <f aca="false">IFERROR(INDEX('Route of Administration'!$D$5:$D$155,MATCH($C95,'Route of Administration'!$A$5:$A$155,0)),"")</f>
        <v>Yes</v>
      </c>
      <c r="AE95" s="15" t="str">
        <f aca="false">IF($AD95="No","Not checked – drug is IV only",IFERROR(INDEX('Route of Administration'!$O$5:$O$170,MATCH($E95&amp;"|"&amp;$C95,'Route of Administration'!$S$5:$S$170,0)),"Not checked – price ≤ USD 5"))</f>
        <v>Pass</v>
      </c>
    </row>
    <row r="96" customFormat="false" ht="28.35" hidden="false" customHeight="false" outlineLevel="0" collapsed="false">
      <c r="B96" s="16" t="n">
        <v>94</v>
      </c>
      <c r="C96" s="16" t="s">
        <v>483</v>
      </c>
      <c r="D96" s="16" t="s">
        <v>483</v>
      </c>
      <c r="E96" s="16" t="s">
        <v>322</v>
      </c>
      <c r="F96" s="16" t="s">
        <v>1757</v>
      </c>
      <c r="G96" s="17" t="s">
        <v>1774</v>
      </c>
      <c r="H96" s="16" t="s">
        <v>1533</v>
      </c>
      <c r="I96" s="18" t="n">
        <v>16.247</v>
      </c>
      <c r="J96" s="16" t="n">
        <v>1</v>
      </c>
      <c r="K96" s="16" t="n">
        <v>1185</v>
      </c>
      <c r="L96" s="19" t="n">
        <v>59407.06</v>
      </c>
      <c r="M96" s="17" t="s">
        <v>485</v>
      </c>
      <c r="N96" s="18" t="n">
        <v>16.247</v>
      </c>
      <c r="O96" s="16" t="s">
        <v>1534</v>
      </c>
      <c r="P96" s="16" t="s">
        <v>1700</v>
      </c>
      <c r="Q96" s="17" t="s">
        <v>1536</v>
      </c>
      <c r="R96" s="78" t="s">
        <v>1759</v>
      </c>
      <c r="S96" s="77" t="n">
        <f aca="false">IFERROR(INDEX('Injectable Value'!$Z$28:$Z$178,MATCH($C96,'Injectable Value'!$A$28:$A$178,0)),"")</f>
        <v>0.991808067465962</v>
      </c>
      <c r="T96" s="19" t="n">
        <f aca="false">IFERROR(ROUND(INDEX('Injectable Value'!$AA$28:$AA$178,MATCH($C96,'Injectable Value'!$A$28:$A$178,0)),1),"")</f>
        <v>58920.4</v>
      </c>
      <c r="U96" s="17" t="s">
        <v>488</v>
      </c>
      <c r="V96" s="16" t="n">
        <v>10</v>
      </c>
      <c r="W96" s="16" t="s">
        <v>487</v>
      </c>
      <c r="X96" s="16" t="s">
        <v>281</v>
      </c>
      <c r="Y96" s="16" t="s">
        <v>1547</v>
      </c>
      <c r="Z96" s="17" t="str">
        <f aca="false">IFERROR(INDEX(Scoring!$U:$U,MATCH($C96&amp;"|"&amp;$E96,Scoring!$AD:$AD,0)),"")</f>
        <v>Reconstitution</v>
      </c>
      <c r="AA96" s="16" t="str">
        <f aca="false">IFERROR(INDEX(Scoring!$E:$E,MATCH($C96&amp;"|"&amp;$E96,Scoring!$AD:$AD,0)),"")</f>
        <v>Excluded – IV only</v>
      </c>
      <c r="AB96" s="19" t="n">
        <f aca="false">IFERROR(INDEX(Scoring!$M:$M,MATCH($C96&amp;"|"&amp;$E96,Scoring!$AD:$AD,0)),"")</f>
        <v>1175</v>
      </c>
      <c r="AC96" s="16" t="str">
        <f aca="false">IFERROR(INDEX('Route of Administration'!$C$5:$C$155,MATCH($C96,'Route of Administration'!$A$5:$A$155,0)),"")</f>
        <v>IV</v>
      </c>
      <c r="AD96" s="15" t="str">
        <f aca="false">IFERROR(INDEX('Route of Administration'!$D$5:$D$155,MATCH($C96,'Route of Administration'!$A$5:$A$155,0)),"")</f>
        <v>No</v>
      </c>
      <c r="AE96" s="15" t="str">
        <f aca="false">IF($AD96="No","Not checked – drug is IV only",IFERROR(INDEX('Route of Administration'!$O$5:$O$170,MATCH($E96&amp;"|"&amp;$C96,'Route of Administration'!$S$5:$S$170,0)),"Not checked – price ≤ USD 5"))</f>
        <v>Not checked – drug is IV only</v>
      </c>
    </row>
    <row r="97" customFormat="false" ht="28.35" hidden="false" customHeight="false" outlineLevel="0" collapsed="false">
      <c r="B97" s="16" t="n">
        <v>95</v>
      </c>
      <c r="C97" s="16" t="s">
        <v>483</v>
      </c>
      <c r="D97" s="16" t="s">
        <v>483</v>
      </c>
      <c r="E97" s="16" t="s">
        <v>322</v>
      </c>
      <c r="F97" s="16" t="s">
        <v>1760</v>
      </c>
      <c r="G97" s="17" t="s">
        <v>1775</v>
      </c>
      <c r="H97" s="16" t="s">
        <v>1533</v>
      </c>
      <c r="I97" s="18" t="n">
        <v>36.113</v>
      </c>
      <c r="J97" s="16" t="n">
        <v>1</v>
      </c>
      <c r="K97" s="16" t="n">
        <v>1185</v>
      </c>
      <c r="L97" s="19" t="n">
        <v>59407.06</v>
      </c>
      <c r="M97" s="17" t="s">
        <v>485</v>
      </c>
      <c r="N97" s="18" t="n">
        <v>36.113</v>
      </c>
      <c r="O97" s="16" t="s">
        <v>1534</v>
      </c>
      <c r="P97" s="16" t="s">
        <v>1700</v>
      </c>
      <c r="Q97" s="17" t="s">
        <v>1536</v>
      </c>
      <c r="R97" s="78" t="s">
        <v>1759</v>
      </c>
      <c r="S97" s="77" t="n">
        <f aca="false">IFERROR(INDEX('Injectable Value'!$Z$28:$Z$178,MATCH($C97,'Injectable Value'!$A$28:$A$178,0)),"")</f>
        <v>0.991808067465962</v>
      </c>
      <c r="T97" s="19" t="n">
        <f aca="false">IFERROR(ROUND(INDEX('Injectable Value'!$AA$28:$AA$178,MATCH($C97,'Injectable Value'!$A$28:$A$178,0)),1),"")</f>
        <v>58920.4</v>
      </c>
      <c r="U97" s="17" t="s">
        <v>488</v>
      </c>
      <c r="V97" s="16" t="n">
        <v>10</v>
      </c>
      <c r="W97" s="16" t="s">
        <v>487</v>
      </c>
      <c r="X97" s="16" t="s">
        <v>281</v>
      </c>
      <c r="Y97" s="16" t="s">
        <v>1547</v>
      </c>
      <c r="Z97" s="17" t="str">
        <f aca="false">IFERROR(INDEX(Scoring!$U:$U,MATCH($C97&amp;"|"&amp;$E97,Scoring!$AD:$AD,0)),"")</f>
        <v>Reconstitution</v>
      </c>
      <c r="AA97" s="16" t="str">
        <f aca="false">IFERROR(INDEX(Scoring!$E:$E,MATCH($C97&amp;"|"&amp;$E97,Scoring!$AD:$AD,0)),"")</f>
        <v>Excluded – IV only</v>
      </c>
      <c r="AB97" s="19" t="n">
        <f aca="false">IFERROR(INDEX(Scoring!$M:$M,MATCH($C97&amp;"|"&amp;$E97,Scoring!$AD:$AD,0)),"")</f>
        <v>1175</v>
      </c>
      <c r="AC97" s="16" t="str">
        <f aca="false">IFERROR(INDEX('Route of Administration'!$C$5:$C$155,MATCH($C97,'Route of Administration'!$A$5:$A$155,0)),"")</f>
        <v>IV</v>
      </c>
      <c r="AD97" s="15" t="str">
        <f aca="false">IFERROR(INDEX('Route of Administration'!$D$5:$D$155,MATCH($C97,'Route of Administration'!$A$5:$A$155,0)),"")</f>
        <v>No</v>
      </c>
      <c r="AE97" s="15" t="str">
        <f aca="false">IF($AD97="No","Not checked – drug is IV only",IFERROR(INDEX('Route of Administration'!$O$5:$O$170,MATCH($E97&amp;"|"&amp;$C97,'Route of Administration'!$S$5:$S$170,0)),"Not checked – price ≤ USD 5"))</f>
        <v>Not checked – drug is IV only</v>
      </c>
    </row>
    <row r="98" customFormat="false" ht="28.35" hidden="false" customHeight="false" outlineLevel="0" collapsed="false">
      <c r="B98" s="16" t="n">
        <v>96</v>
      </c>
      <c r="C98" s="16" t="s">
        <v>534</v>
      </c>
      <c r="D98" s="16" t="s">
        <v>534</v>
      </c>
      <c r="E98" s="16" t="s">
        <v>322</v>
      </c>
      <c r="F98" s="16" t="s">
        <v>1751</v>
      </c>
      <c r="G98" s="17" t="s">
        <v>1776</v>
      </c>
      <c r="H98" s="16" t="s">
        <v>1533</v>
      </c>
      <c r="I98" s="18" t="n">
        <v>8.2474</v>
      </c>
      <c r="J98" s="16" t="n">
        <v>1</v>
      </c>
      <c r="K98" s="16" t="n">
        <v>3515</v>
      </c>
      <c r="L98" s="19" t="n">
        <v>140084.73</v>
      </c>
      <c r="M98" s="17" t="s">
        <v>535</v>
      </c>
      <c r="N98" s="18" t="n">
        <v>8.2474</v>
      </c>
      <c r="O98" s="16" t="s">
        <v>1534</v>
      </c>
      <c r="P98" s="16" t="s">
        <v>1700</v>
      </c>
      <c r="Q98" s="17" t="s">
        <v>1536</v>
      </c>
      <c r="R98" s="78" t="s">
        <v>1753</v>
      </c>
      <c r="S98" s="77" t="n">
        <f aca="false">IFERROR(INDEX('Injectable Value'!$Z$28:$Z$178,MATCH($C98,'Injectable Value'!$A$28:$A$178,0)),"")</f>
        <v>0.251824206147514</v>
      </c>
      <c r="T98" s="19" t="n">
        <f aca="false">IFERROR(ROUND(INDEX('Injectable Value'!$AA$28:$AA$178,MATCH($C98,'Injectable Value'!$A$28:$A$178,0)),1),"")</f>
        <v>35276.7</v>
      </c>
      <c r="U98" s="17" t="s">
        <v>538</v>
      </c>
      <c r="V98" s="16" t="n">
        <v>11</v>
      </c>
      <c r="W98" s="16" t="s">
        <v>537</v>
      </c>
      <c r="X98" s="16" t="s">
        <v>281</v>
      </c>
      <c r="Y98" s="16" t="s">
        <v>283</v>
      </c>
      <c r="Z98" s="17" t="str">
        <f aca="false">IFERROR(INDEX(Scoring!$U:$U,MATCH($C98&amp;"|"&amp;$E98,Scoring!$AD:$AD,0)),"")</f>
        <v/>
      </c>
      <c r="AA98" s="16" t="str">
        <f aca="false">IFERROR(INDEX(Scoring!$E:$E,MATCH($C98&amp;"|"&amp;$E98,Scoring!$AD:$AD,0)),"")</f>
        <v>Excluded – IV only</v>
      </c>
      <c r="AB98" s="19" t="n">
        <f aca="false">IFERROR(INDEX(Scoring!$M:$M,MATCH($C98&amp;"|"&amp;$E98,Scoring!$AD:$AD,0)),"")</f>
        <v>885</v>
      </c>
      <c r="AC98" s="16" t="str">
        <f aca="false">IFERROR(INDEX('Route of Administration'!$C$5:$C$155,MATCH($C98,'Route of Administration'!$A$5:$A$155,0)),"")</f>
        <v>IV</v>
      </c>
      <c r="AD98" s="15" t="str">
        <f aca="false">IFERROR(INDEX('Route of Administration'!$D$5:$D$155,MATCH($C98,'Route of Administration'!$A$5:$A$155,0)),"")</f>
        <v>No</v>
      </c>
      <c r="AE98" s="15" t="str">
        <f aca="false">IF($AD98="No","Not checked – drug is IV only",IFERROR(INDEX('Route of Administration'!$O$5:$O$170,MATCH($E98&amp;"|"&amp;$C98,'Route of Administration'!$S$5:$S$170,0)),"Not checked – price ≤ USD 5"))</f>
        <v>Not checked – drug is IV only</v>
      </c>
    </row>
    <row r="99" customFormat="false" ht="28.35" hidden="false" customHeight="false" outlineLevel="0" collapsed="false">
      <c r="B99" s="16" t="n">
        <v>97</v>
      </c>
      <c r="C99" s="16" t="s">
        <v>314</v>
      </c>
      <c r="D99" s="16" t="s">
        <v>315</v>
      </c>
      <c r="E99" s="16" t="s">
        <v>322</v>
      </c>
      <c r="F99" s="16" t="s">
        <v>1754</v>
      </c>
      <c r="G99" s="17" t="s">
        <v>1777</v>
      </c>
      <c r="H99" s="16" t="s">
        <v>1533</v>
      </c>
      <c r="I99" s="18" t="n">
        <v>7.7889</v>
      </c>
      <c r="J99" s="16" t="n">
        <v>1</v>
      </c>
      <c r="K99" s="16" t="n">
        <v>1393</v>
      </c>
      <c r="L99" s="19" t="n">
        <v>52401.4</v>
      </c>
      <c r="M99" s="17" t="s">
        <v>316</v>
      </c>
      <c r="N99" s="18" t="n">
        <v>7.7889</v>
      </c>
      <c r="O99" s="16" t="s">
        <v>1534</v>
      </c>
      <c r="P99" s="16" t="s">
        <v>1700</v>
      </c>
      <c r="Q99" s="17" t="s">
        <v>1536</v>
      </c>
      <c r="R99" s="78" t="s">
        <v>1756</v>
      </c>
      <c r="S99" s="77" t="n">
        <f aca="false">IFERROR(INDEX('Injectable Value'!$Z$28:$Z$178,MATCH($C99,'Injectable Value'!$A$28:$A$178,0)),"")</f>
        <v>0.670397578386193</v>
      </c>
      <c r="T99" s="19" t="n">
        <f aca="false">IFERROR(ROUND(INDEX('Injectable Value'!$AA$28:$AA$178,MATCH($C99,'Injectable Value'!$A$28:$A$178,0)),1),"")</f>
        <v>35129.8</v>
      </c>
      <c r="U99" s="17" t="s">
        <v>320</v>
      </c>
      <c r="V99" s="16" t="n">
        <v>2</v>
      </c>
      <c r="W99" s="16" t="s">
        <v>319</v>
      </c>
      <c r="X99" s="16" t="s">
        <v>281</v>
      </c>
      <c r="Y99" s="16" t="s">
        <v>1547</v>
      </c>
      <c r="Z99" s="17" t="str">
        <f aca="false">IFERROR(INDEX(Scoring!$U:$U,MATCH($C99&amp;"|"&amp;$E99,Scoring!$AD:$AD,0)),"")</f>
        <v/>
      </c>
      <c r="AA99" s="16" t="str">
        <f aca="false">IFERROR(INDEX(Scoring!$E:$E,MATCH($C99&amp;"|"&amp;$E99,Scoring!$AD:$AD,0)),"")</f>
        <v>Priority 2</v>
      </c>
      <c r="AB99" s="19" t="n">
        <f aca="false">IFERROR(INDEX(Scoring!$M:$M,MATCH($C99&amp;"|"&amp;$E99,Scoring!$AD:$AD,0)),"")</f>
        <v>934</v>
      </c>
      <c r="AC99" s="16" t="str">
        <f aca="false">IFERROR(INDEX('Route of Administration'!$C$5:$C$155,MATCH($C99,'Route of Administration'!$A$5:$A$155,0)),"")</f>
        <v>IV, IM</v>
      </c>
      <c r="AD99" s="15" t="str">
        <f aca="false">IFERROR(INDEX('Route of Administration'!$D$5:$D$155,MATCH($C99,'Route of Administration'!$A$5:$A$155,0)),"")</f>
        <v>Yes</v>
      </c>
      <c r="AE99" s="15" t="str">
        <f aca="false">IF($AD99="No","Not checked – drug is IV only",IFERROR(INDEX('Route of Administration'!$O$5:$O$170,MATCH($E99&amp;"|"&amp;$C99,'Route of Administration'!$S$5:$S$170,0)),"Not checked – price ≤ USD 5"))</f>
        <v>Pass</v>
      </c>
    </row>
    <row r="100" customFormat="false" ht="28.35" hidden="false" customHeight="false" outlineLevel="0" collapsed="false">
      <c r="B100" s="16" t="n">
        <v>98</v>
      </c>
      <c r="C100" s="16" t="s">
        <v>588</v>
      </c>
      <c r="D100" s="16" t="s">
        <v>588</v>
      </c>
      <c r="E100" s="16" t="s">
        <v>322</v>
      </c>
      <c r="F100" s="16" t="s">
        <v>1762</v>
      </c>
      <c r="G100" s="17" t="s">
        <v>1778</v>
      </c>
      <c r="H100" s="16" t="s">
        <v>1533</v>
      </c>
      <c r="I100" s="18" t="n">
        <v>13.20375</v>
      </c>
      <c r="J100" s="16" t="n">
        <v>1</v>
      </c>
      <c r="K100" s="16" t="n">
        <v>1307</v>
      </c>
      <c r="L100" s="19" t="n">
        <v>36428.56</v>
      </c>
      <c r="M100" s="17" t="s">
        <v>589</v>
      </c>
      <c r="N100" s="18" t="n">
        <v>13.20375</v>
      </c>
      <c r="O100" s="16" t="s">
        <v>1534</v>
      </c>
      <c r="P100" s="16" t="s">
        <v>1535</v>
      </c>
      <c r="Q100" s="17" t="s">
        <v>1536</v>
      </c>
      <c r="R100" s="78" t="s">
        <v>1764</v>
      </c>
      <c r="S100" s="77" t="n">
        <f aca="false">IFERROR(INDEX('Injectable Value'!$Z$28:$Z$178,MATCH($C100,'Injectable Value'!$A$28:$A$178,0)),"")</f>
        <v>0.618159088235815</v>
      </c>
      <c r="T100" s="19" t="n">
        <f aca="false">IFERROR(ROUND(INDEX('Injectable Value'!$AA$28:$AA$178,MATCH($C100,'Injectable Value'!$A$28:$A$178,0)),1),"")</f>
        <v>22518.6</v>
      </c>
      <c r="U100" s="17" t="s">
        <v>592</v>
      </c>
      <c r="V100" s="16" t="n">
        <v>7</v>
      </c>
      <c r="W100" s="16" t="s">
        <v>591</v>
      </c>
      <c r="X100" s="16" t="s">
        <v>349</v>
      </c>
      <c r="Y100" s="16" t="s">
        <v>283</v>
      </c>
      <c r="Z100" s="17" t="str">
        <f aca="false">IFERROR(INDEX(Scoring!$U:$U,MATCH($C100&amp;"|"&amp;$E100,Scoring!$AD:$AD,0)),"")</f>
        <v/>
      </c>
      <c r="AA100" s="16" t="str">
        <f aca="false">IFERROR(INDEX(Scoring!$E:$E,MATCH($C100&amp;"|"&amp;$E100,Scoring!$AD:$AD,0)),"")</f>
        <v>Excluded – IV only</v>
      </c>
      <c r="AB100" s="19" t="n">
        <f aca="false">IFERROR(INDEX(Scoring!$M:$M,MATCH($C100&amp;"|"&amp;$E100,Scoring!$AD:$AD,0)),"")</f>
        <v>808</v>
      </c>
      <c r="AC100" s="16" t="str">
        <f aca="false">IFERROR(INDEX('Route of Administration'!$C$5:$C$155,MATCH($C100,'Route of Administration'!$A$5:$A$155,0)),"")</f>
        <v>IV</v>
      </c>
      <c r="AD100" s="15" t="str">
        <f aca="false">IFERROR(INDEX('Route of Administration'!$D$5:$D$155,MATCH($C100,'Route of Administration'!$A$5:$A$155,0)),"")</f>
        <v>No</v>
      </c>
      <c r="AE100" s="15" t="str">
        <f aca="false">IF($AD100="No","Not checked – drug is IV only",IFERROR(INDEX('Route of Administration'!$O$5:$O$170,MATCH($E100&amp;"|"&amp;$C100,'Route of Administration'!$S$5:$S$170,0)),"Not checked – price ≤ USD 5"))</f>
        <v>Not checked – drug is IV only</v>
      </c>
    </row>
    <row r="101" customFormat="false" ht="28.35" hidden="false" customHeight="false" outlineLevel="0" collapsed="false">
      <c r="B101" s="16" t="n">
        <v>99</v>
      </c>
      <c r="C101" s="16" t="s">
        <v>588</v>
      </c>
      <c r="D101" s="16" t="s">
        <v>588</v>
      </c>
      <c r="E101" s="16" t="s">
        <v>322</v>
      </c>
      <c r="F101" s="16" t="s">
        <v>1762</v>
      </c>
      <c r="G101" s="17" t="s">
        <v>1779</v>
      </c>
      <c r="H101" s="16" t="s">
        <v>1533</v>
      </c>
      <c r="I101" s="18" t="n">
        <v>14.19425</v>
      </c>
      <c r="J101" s="16" t="n">
        <v>1</v>
      </c>
      <c r="K101" s="16" t="n">
        <v>1307</v>
      </c>
      <c r="L101" s="19" t="n">
        <v>36428.56</v>
      </c>
      <c r="M101" s="17" t="s">
        <v>589</v>
      </c>
      <c r="N101" s="18" t="n">
        <v>14.19425</v>
      </c>
      <c r="O101" s="16" t="s">
        <v>1534</v>
      </c>
      <c r="P101" s="16" t="s">
        <v>1700</v>
      </c>
      <c r="Q101" s="17" t="s">
        <v>1536</v>
      </c>
      <c r="R101" s="78" t="s">
        <v>1771</v>
      </c>
      <c r="S101" s="77" t="n">
        <f aca="false">IFERROR(INDEX('Injectable Value'!$Z$28:$Z$178,MATCH($C101,'Injectable Value'!$A$28:$A$178,0)),"")</f>
        <v>0.618159088235815</v>
      </c>
      <c r="T101" s="19" t="n">
        <f aca="false">IFERROR(ROUND(INDEX('Injectable Value'!$AA$28:$AA$178,MATCH($C101,'Injectable Value'!$A$28:$A$178,0)),1),"")</f>
        <v>22518.6</v>
      </c>
      <c r="U101" s="17" t="s">
        <v>592</v>
      </c>
      <c r="V101" s="16" t="n">
        <v>7</v>
      </c>
      <c r="W101" s="16" t="s">
        <v>591</v>
      </c>
      <c r="X101" s="16" t="s">
        <v>281</v>
      </c>
      <c r="Y101" s="16" t="s">
        <v>283</v>
      </c>
      <c r="Z101" s="17" t="str">
        <f aca="false">IFERROR(INDEX(Scoring!$U:$U,MATCH($C101&amp;"|"&amp;$E101,Scoring!$AD:$AD,0)),"")</f>
        <v/>
      </c>
      <c r="AA101" s="16" t="str">
        <f aca="false">IFERROR(INDEX(Scoring!$E:$E,MATCH($C101&amp;"|"&amp;$E101,Scoring!$AD:$AD,0)),"")</f>
        <v>Excluded – IV only</v>
      </c>
      <c r="AB101" s="19" t="n">
        <f aca="false">IFERROR(INDEX(Scoring!$M:$M,MATCH($C101&amp;"|"&amp;$E101,Scoring!$AD:$AD,0)),"")</f>
        <v>808</v>
      </c>
      <c r="AC101" s="16" t="str">
        <f aca="false">IFERROR(INDEX('Route of Administration'!$C$5:$C$155,MATCH($C101,'Route of Administration'!$A$5:$A$155,0)),"")</f>
        <v>IV</v>
      </c>
      <c r="AD101" s="15" t="str">
        <f aca="false">IFERROR(INDEX('Route of Administration'!$D$5:$D$155,MATCH($C101,'Route of Administration'!$A$5:$A$155,0)),"")</f>
        <v>No</v>
      </c>
      <c r="AE101" s="15" t="str">
        <f aca="false">IF($AD101="No","Not checked – drug is IV only",IFERROR(INDEX('Route of Administration'!$O$5:$O$170,MATCH($E101&amp;"|"&amp;$C101,'Route of Administration'!$S$5:$S$170,0)),"Not checked – price ≤ USD 5"))</f>
        <v>Not checked – drug is IV only</v>
      </c>
    </row>
    <row r="102" customFormat="false" ht="15" hidden="false" customHeight="false" outlineLevel="0" collapsed="false">
      <c r="B102" s="16" t="n">
        <v>100</v>
      </c>
      <c r="C102" s="16" t="s">
        <v>75</v>
      </c>
      <c r="D102" s="16" t="s">
        <v>512</v>
      </c>
      <c r="E102" s="16" t="s">
        <v>322</v>
      </c>
      <c r="F102" s="16" t="s">
        <v>1780</v>
      </c>
      <c r="G102" s="17" t="s">
        <v>1781</v>
      </c>
      <c r="H102" s="16" t="s">
        <v>1533</v>
      </c>
      <c r="I102" s="18" t="n">
        <v>96.215</v>
      </c>
      <c r="J102" s="16" t="n">
        <v>1</v>
      </c>
      <c r="K102" s="16" t="n">
        <v>365</v>
      </c>
      <c r="L102" s="19" t="n">
        <v>5976.94</v>
      </c>
      <c r="M102" s="17" t="s">
        <v>513</v>
      </c>
      <c r="N102" s="18" t="n">
        <v>96.215</v>
      </c>
      <c r="O102" s="16" t="s">
        <v>1534</v>
      </c>
      <c r="P102" s="16" t="s">
        <v>1535</v>
      </c>
      <c r="Q102" s="17" t="s">
        <v>1536</v>
      </c>
      <c r="R102" s="78" t="s">
        <v>1771</v>
      </c>
      <c r="S102" s="77" t="n">
        <f aca="false">IFERROR(INDEX('Injectable Value'!$Z$28:$Z$178,MATCH($C102,'Injectable Value'!$A$28:$A$178,0)),"")</f>
        <v>0.240571827983426</v>
      </c>
      <c r="T102" s="19" t="n">
        <f aca="false">IFERROR(ROUND(INDEX('Injectable Value'!$AA$28:$AA$178,MATCH($C102,'Injectable Value'!$A$28:$A$178,0)),1),"")</f>
        <v>1437.9</v>
      </c>
      <c r="U102" s="17" t="s">
        <v>516</v>
      </c>
      <c r="V102" s="16" t="n">
        <v>2</v>
      </c>
      <c r="W102" s="16" t="s">
        <v>515</v>
      </c>
      <c r="X102" s="16" t="s">
        <v>281</v>
      </c>
      <c r="Y102" s="16" t="s">
        <v>283</v>
      </c>
      <c r="Z102" s="17" t="str">
        <f aca="false">IFERROR(INDEX(Scoring!$U:$U,MATCH($C102&amp;"|"&amp;$E102,Scoring!$AD:$AD,0)),"")</f>
        <v/>
      </c>
      <c r="AA102" s="16" t="str">
        <f aca="false">IFERROR(INDEX(Scoring!$E:$E,MATCH($C102&amp;"|"&amp;$E102,Scoring!$AD:$AD,0)),"")</f>
        <v>Priority 2</v>
      </c>
      <c r="AB102" s="19" t="n">
        <f aca="false">IFERROR(INDEX(Scoring!$M:$M,MATCH($C102&amp;"|"&amp;$E102,Scoring!$AD:$AD,0)),"")</f>
        <v>88</v>
      </c>
      <c r="AC102" s="16" t="str">
        <f aca="false">IFERROR(INDEX('Route of Administration'!$C$5:$C$155,MATCH($C102,'Route of Administration'!$A$5:$A$155,0)),"")</f>
        <v>IV, IM, SC</v>
      </c>
      <c r="AD102" s="15" t="str">
        <f aca="false">IFERROR(INDEX('Route of Administration'!$D$5:$D$155,MATCH($C102,'Route of Administration'!$A$5:$A$155,0)),"")</f>
        <v>Yes</v>
      </c>
      <c r="AE102" s="15" t="str">
        <f aca="false">IF($AD102="No","Not checked – drug is IV only",IFERROR(INDEX('Route of Administration'!$O$5:$O$170,MATCH($E102&amp;"|"&amp;$C102,'Route of Administration'!$S$5:$S$170,0)),"Not checked – price ≤ USD 5"))</f>
        <v>Pass</v>
      </c>
    </row>
    <row r="103" customFormat="false" ht="28.35" hidden="false" customHeight="false" outlineLevel="0" collapsed="false">
      <c r="B103" s="16" t="n">
        <v>101</v>
      </c>
      <c r="C103" s="16" t="s">
        <v>419</v>
      </c>
      <c r="D103" s="16" t="s">
        <v>419</v>
      </c>
      <c r="E103" s="16" t="s">
        <v>322</v>
      </c>
      <c r="F103" s="16" t="s">
        <v>1760</v>
      </c>
      <c r="G103" s="17" t="s">
        <v>1782</v>
      </c>
      <c r="H103" s="16" t="s">
        <v>1533</v>
      </c>
      <c r="I103" s="18" t="n">
        <v>42.56</v>
      </c>
      <c r="J103" s="16" t="n">
        <v>1</v>
      </c>
      <c r="K103" s="16" t="n">
        <v>223</v>
      </c>
      <c r="L103" s="19" t="n">
        <v>53539.87</v>
      </c>
      <c r="M103" s="17" t="s">
        <v>421</v>
      </c>
      <c r="N103" s="18" t="n">
        <v>42.56</v>
      </c>
      <c r="O103" s="16" t="s">
        <v>1534</v>
      </c>
      <c r="P103" s="16" t="s">
        <v>1700</v>
      </c>
      <c r="Q103" s="17" t="s">
        <v>1536</v>
      </c>
      <c r="R103" s="78" t="s">
        <v>1771</v>
      </c>
      <c r="S103" s="77" t="n">
        <f aca="false">IFERROR(INDEX('Injectable Value'!$Z$28:$Z$178,MATCH($C103,'Injectable Value'!$A$28:$A$178,0)),"")</f>
        <v>1</v>
      </c>
      <c r="T103" s="19" t="n">
        <f aca="false">IFERROR(ROUND(INDEX('Injectable Value'!$AA$28:$AA$178,MATCH($C103,'Injectable Value'!$A$28:$A$178,0)),1),"")</f>
        <v>53539.9</v>
      </c>
      <c r="U103" s="17" t="s">
        <v>424</v>
      </c>
      <c r="V103" s="16" t="n">
        <v>10</v>
      </c>
      <c r="W103" s="16" t="s">
        <v>423</v>
      </c>
      <c r="X103" s="16" t="s">
        <v>281</v>
      </c>
      <c r="Y103" s="16" t="s">
        <v>310</v>
      </c>
      <c r="Z103" s="17" t="str">
        <f aca="false">IFERROR(INDEX(Scoring!$U:$U,MATCH($C103&amp;"|"&amp;$E103,Scoring!$AD:$AD,0)),"")</f>
        <v>Reconstitution</v>
      </c>
      <c r="AA103" s="16" t="str">
        <f aca="false">IFERROR(INDEX(Scoring!$E:$E,MATCH($C103&amp;"|"&amp;$E103,Scoring!$AD:$AD,0)),"")</f>
        <v>Priority 1</v>
      </c>
      <c r="AB103" s="19" t="n">
        <f aca="false">IFERROR(INDEX(Scoring!$M:$M,MATCH($C103&amp;"|"&amp;$E103,Scoring!$AD:$AD,0)),"")</f>
        <v>223</v>
      </c>
      <c r="AC103" s="16" t="str">
        <f aca="false">IFERROR(INDEX('Route of Administration'!$C$5:$C$155,MATCH($C103,'Route of Administration'!$A$5:$A$155,0)),"")</f>
        <v>IV, IM</v>
      </c>
      <c r="AD103" s="15" t="str">
        <f aca="false">IFERROR(INDEX('Route of Administration'!$D$5:$D$155,MATCH($C103,'Route of Administration'!$A$5:$A$155,0)),"")</f>
        <v>Yes</v>
      </c>
      <c r="AE103" s="15" t="str">
        <f aca="false">IF($AD103="No","Not checked – drug is IV only",IFERROR(INDEX('Route of Administration'!$O$5:$O$170,MATCH($E103&amp;"|"&amp;$C103,'Route of Administration'!$S$5:$S$170,0)),"Not checked – price ≤ USD 5"))</f>
        <v>Pass</v>
      </c>
    </row>
    <row r="104" customFormat="false" ht="28.35" hidden="false" customHeight="false" outlineLevel="0" collapsed="false">
      <c r="B104" s="16" t="n">
        <v>102</v>
      </c>
      <c r="C104" s="16" t="s">
        <v>459</v>
      </c>
      <c r="D104" s="16" t="s">
        <v>460</v>
      </c>
      <c r="E104" s="16" t="s">
        <v>322</v>
      </c>
      <c r="F104" s="16" t="s">
        <v>1686</v>
      </c>
      <c r="G104" s="17" t="s">
        <v>1783</v>
      </c>
      <c r="H104" s="16" t="s">
        <v>1533</v>
      </c>
      <c r="I104" s="18" t="n">
        <v>8.6037</v>
      </c>
      <c r="J104" s="16" t="n">
        <v>1</v>
      </c>
      <c r="K104" s="16" t="n">
        <v>503</v>
      </c>
      <c r="L104" s="19" t="n">
        <v>21671.77</v>
      </c>
      <c r="M104" s="17" t="s">
        <v>461</v>
      </c>
      <c r="N104" s="18" t="n">
        <v>8.6037</v>
      </c>
      <c r="O104" s="16" t="s">
        <v>1534</v>
      </c>
      <c r="P104" s="16" t="s">
        <v>1700</v>
      </c>
      <c r="Q104" s="17" t="s">
        <v>1536</v>
      </c>
      <c r="R104" s="78" t="s">
        <v>1771</v>
      </c>
      <c r="S104" s="77" t="n">
        <f aca="false">IFERROR(INDEX('Injectable Value'!$Z$28:$Z$178,MATCH($C104,'Injectable Value'!$A$28:$A$178,0)),"")</f>
        <v>0.162389770723104</v>
      </c>
      <c r="T104" s="19" t="n">
        <f aca="false">IFERROR(ROUND(INDEX('Injectable Value'!$AA$28:$AA$178,MATCH($C104,'Injectable Value'!$A$28:$A$178,0)),1),"")</f>
        <v>3519.3</v>
      </c>
      <c r="U104" s="17" t="s">
        <v>464</v>
      </c>
      <c r="V104" s="16" t="n">
        <v>1</v>
      </c>
      <c r="W104" s="16" t="s">
        <v>463</v>
      </c>
      <c r="X104" s="16" t="s">
        <v>281</v>
      </c>
      <c r="Y104" s="16" t="s">
        <v>283</v>
      </c>
      <c r="Z104" s="17" t="str">
        <f aca="false">IFERROR(INDEX(Scoring!$U:$U,MATCH($C104&amp;"|"&amp;$E104,Scoring!$AD:$AD,0)),"")</f>
        <v/>
      </c>
      <c r="AA104" s="16" t="str">
        <f aca="false">IFERROR(INDEX(Scoring!$E:$E,MATCH($C104&amp;"|"&amp;$E104,Scoring!$AD:$AD,0)),"")</f>
        <v>Priority 3</v>
      </c>
      <c r="AB104" s="19" t="n">
        <f aca="false">IFERROR(INDEX(Scoring!$M:$M,MATCH($C104&amp;"|"&amp;$E104,Scoring!$AD:$AD,0)),"")</f>
        <v>82</v>
      </c>
      <c r="AC104" s="16" t="str">
        <f aca="false">IFERROR(INDEX('Route of Administration'!$C$5:$C$155,MATCH($C104,'Route of Administration'!$A$5:$A$155,0)),"")</f>
        <v>IV, IM</v>
      </c>
      <c r="AD104" s="15" t="str">
        <f aca="false">IFERROR(INDEX('Route of Administration'!$D$5:$D$155,MATCH($C104,'Route of Administration'!$A$5:$A$155,0)),"")</f>
        <v>Yes</v>
      </c>
      <c r="AE104" s="15" t="str">
        <f aca="false">IF($AD104="No","Not checked – drug is IV only",IFERROR(INDEX('Route of Administration'!$O$5:$O$170,MATCH($E104&amp;"|"&amp;$C104,'Route of Administration'!$S$5:$S$170,0)),"Not checked – price ≤ USD 5"))</f>
        <v>Pass</v>
      </c>
    </row>
    <row r="105" customFormat="false" ht="28.35" hidden="false" customHeight="false" outlineLevel="0" collapsed="false">
      <c r="B105" s="16" t="n">
        <v>103</v>
      </c>
      <c r="C105" s="16" t="s">
        <v>541</v>
      </c>
      <c r="D105" s="16" t="s">
        <v>541</v>
      </c>
      <c r="E105" s="16" t="s">
        <v>322</v>
      </c>
      <c r="F105" s="16" t="s">
        <v>1686</v>
      </c>
      <c r="G105" s="17" t="s">
        <v>1784</v>
      </c>
      <c r="H105" s="16" t="s">
        <v>1533</v>
      </c>
      <c r="I105" s="18" t="n">
        <v>3979.598</v>
      </c>
      <c r="J105" s="16" t="n">
        <v>1</v>
      </c>
      <c r="K105" s="16" t="n">
        <v>47</v>
      </c>
      <c r="L105" s="19" t="n">
        <v>7904.67</v>
      </c>
      <c r="M105" s="17" t="s">
        <v>543</v>
      </c>
      <c r="N105" s="18" t="n">
        <v>3979.598</v>
      </c>
      <c r="O105" s="16" t="s">
        <v>1534</v>
      </c>
      <c r="P105" s="16" t="s">
        <v>1700</v>
      </c>
      <c r="Q105" s="17" t="s">
        <v>1536</v>
      </c>
      <c r="R105" s="78" t="s">
        <v>1771</v>
      </c>
      <c r="S105" s="77" t="n">
        <f aca="false">IFERROR(INDEX('Injectable Value'!$Z$28:$Z$178,MATCH($C105,'Injectable Value'!$A$28:$A$178,0)),"")</f>
        <v>1</v>
      </c>
      <c r="T105" s="19" t="n">
        <f aca="false">IFERROR(ROUND(INDEX('Injectable Value'!$AA$28:$AA$178,MATCH($C105,'Injectable Value'!$A$28:$A$178,0)),1),"")</f>
        <v>7904.7</v>
      </c>
      <c r="U105" s="17" t="s">
        <v>546</v>
      </c>
      <c r="V105" s="16" t="n">
        <v>10</v>
      </c>
      <c r="W105" s="16" t="s">
        <v>545</v>
      </c>
      <c r="X105" s="16" t="s">
        <v>281</v>
      </c>
      <c r="Y105" s="16" t="s">
        <v>283</v>
      </c>
      <c r="Z105" s="17" t="str">
        <f aca="false">IFERROR(INDEX(Scoring!$U:$U,MATCH($C105&amp;"|"&amp;$E105,Scoring!$AD:$AD,0)),"")</f>
        <v/>
      </c>
      <c r="AA105" s="16" t="str">
        <f aca="false">IFERROR(INDEX(Scoring!$E:$E,MATCH($C105&amp;"|"&amp;$E105,Scoring!$AD:$AD,0)),"")</f>
        <v>Priority 2</v>
      </c>
      <c r="AB105" s="19" t="n">
        <f aca="false">IFERROR(INDEX(Scoring!$M:$M,MATCH($C105&amp;"|"&amp;$E105,Scoring!$AD:$AD,0)),"")</f>
        <v>47</v>
      </c>
      <c r="AC105" s="16" t="str">
        <f aca="false">IFERROR(INDEX('Route of Administration'!$C$5:$C$155,MATCH($C105,'Route of Administration'!$A$5:$A$155,0)),"")</f>
        <v>SC</v>
      </c>
      <c r="AD105" s="15" t="str">
        <f aca="false">IFERROR(INDEX('Route of Administration'!$D$5:$D$155,MATCH($C105,'Route of Administration'!$A$5:$A$155,0)),"")</f>
        <v>Yes</v>
      </c>
      <c r="AE105" s="15" t="str">
        <f aca="false">IF($AD105="No","Not checked – drug is IV only",IFERROR(INDEX('Route of Administration'!$O$5:$O$170,MATCH($E105&amp;"|"&amp;$C105,'Route of Administration'!$S$5:$S$170,0)),"Not checked – price ≤ USD 5"))</f>
        <v>Pass</v>
      </c>
    </row>
    <row r="106" customFormat="false" ht="28.35" hidden="false" customHeight="false" outlineLevel="0" collapsed="false">
      <c r="B106" s="16" t="n">
        <v>104</v>
      </c>
      <c r="C106" s="16" t="s">
        <v>518</v>
      </c>
      <c r="D106" s="16" t="s">
        <v>1785</v>
      </c>
      <c r="E106" s="16" t="s">
        <v>322</v>
      </c>
      <c r="F106" s="16" t="s">
        <v>1695</v>
      </c>
      <c r="G106" s="17" t="s">
        <v>1786</v>
      </c>
      <c r="H106" s="16" t="s">
        <v>1533</v>
      </c>
      <c r="I106" s="18" t="n">
        <v>9.67456</v>
      </c>
      <c r="J106" s="16" t="n">
        <v>1</v>
      </c>
      <c r="K106" s="16" t="n">
        <v>2546</v>
      </c>
      <c r="L106" s="19" t="n">
        <v>46507.62</v>
      </c>
      <c r="M106" s="17" t="s">
        <v>520</v>
      </c>
      <c r="N106" s="18" t="n">
        <v>9.67456</v>
      </c>
      <c r="O106" s="16" t="s">
        <v>1534</v>
      </c>
      <c r="P106" s="16" t="s">
        <v>1535</v>
      </c>
      <c r="Q106" s="17" t="s">
        <v>1536</v>
      </c>
      <c r="R106" s="78" t="s">
        <v>1771</v>
      </c>
      <c r="S106" s="77" t="n">
        <f aca="false">IFERROR(INDEX('Injectable Value'!$Z$28:$Z$178,MATCH($C106,'Injectable Value'!$A$28:$A$178,0)),"")</f>
        <v>0.378228374732698</v>
      </c>
      <c r="T106" s="19" t="n">
        <f aca="false">IFERROR(ROUND(INDEX('Injectable Value'!$AA$28:$AA$178,MATCH($C106,'Injectable Value'!$A$28:$A$178,0)),1),"")</f>
        <v>17590.5</v>
      </c>
      <c r="U106" s="17" t="s">
        <v>523</v>
      </c>
      <c r="V106" s="16" t="n">
        <v>10</v>
      </c>
      <c r="W106" s="16" t="s">
        <v>522</v>
      </c>
      <c r="X106" s="16" t="s">
        <v>281</v>
      </c>
      <c r="Y106" s="16" t="s">
        <v>283</v>
      </c>
      <c r="Z106" s="17" t="str">
        <f aca="false">IFERROR(INDEX(Scoring!$U:$U,MATCH($C106&amp;"|"&amp;$E106,Scoring!$AD:$AD,0)),"")</f>
        <v/>
      </c>
      <c r="AA106" s="16" t="str">
        <f aca="false">IFERROR(INDEX(Scoring!$E:$E,MATCH($C106&amp;"|"&amp;$E106,Scoring!$AD:$AD,0)),"")</f>
        <v>Priority 2</v>
      </c>
      <c r="AB106" s="19" t="n">
        <f aca="false">IFERROR(INDEX(Scoring!$M:$M,MATCH($C106&amp;"|"&amp;$E106,Scoring!$AD:$AD,0)),"")</f>
        <v>963</v>
      </c>
      <c r="AC106" s="16" t="str">
        <f aca="false">IFERROR(INDEX('Route of Administration'!$C$5:$C$155,MATCH($C106,'Route of Administration'!$A$5:$A$155,0)),"")</f>
        <v>IV, IM</v>
      </c>
      <c r="AD106" s="15" t="str">
        <f aca="false">IFERROR(INDEX('Route of Administration'!$D$5:$D$155,MATCH($C106,'Route of Administration'!$A$5:$A$155,0)),"")</f>
        <v>Yes</v>
      </c>
      <c r="AE106" s="15" t="str">
        <f aca="false">IF($AD106="No","Not checked – drug is IV only",IFERROR(INDEX('Route of Administration'!$O$5:$O$170,MATCH($E106&amp;"|"&amp;$C106,'Route of Administration'!$S$5:$S$170,0)),"Not checked – price ≤ USD 5"))</f>
        <v>Pass</v>
      </c>
    </row>
    <row r="107" customFormat="false" ht="41.75" hidden="false" customHeight="false" outlineLevel="0" collapsed="false">
      <c r="B107" s="16" t="n">
        <v>105</v>
      </c>
      <c r="C107" s="16" t="s">
        <v>433</v>
      </c>
      <c r="D107" s="16" t="s">
        <v>434</v>
      </c>
      <c r="E107" s="16" t="s">
        <v>322</v>
      </c>
      <c r="F107" s="16" t="s">
        <v>1787</v>
      </c>
      <c r="G107" s="17" t="s">
        <v>1788</v>
      </c>
      <c r="H107" s="16" t="s">
        <v>1533</v>
      </c>
      <c r="I107" s="18"/>
      <c r="J107" s="16" t="n">
        <v>1</v>
      </c>
      <c r="K107" s="16" t="n">
        <v>347</v>
      </c>
      <c r="L107" s="19" t="n">
        <v>18803.98</v>
      </c>
      <c r="M107" s="17" t="s">
        <v>435</v>
      </c>
      <c r="N107" s="82" t="n">
        <v>3.31</v>
      </c>
      <c r="O107" s="64" t="s">
        <v>1541</v>
      </c>
      <c r="P107" s="16" t="s">
        <v>1535</v>
      </c>
      <c r="Q107" s="17" t="s">
        <v>1789</v>
      </c>
      <c r="R107" s="78" t="s">
        <v>1790</v>
      </c>
      <c r="S107" s="77" t="n">
        <f aca="false">IFERROR(INDEX('Injectable Value'!$Z$28:$Z$178,MATCH($C107,'Injectable Value'!$A$28:$A$178,0)),"")</f>
        <v>0.334376150165624</v>
      </c>
      <c r="T107" s="19" t="n">
        <f aca="false">IFERROR(ROUND(INDEX('Injectable Value'!$AA$28:$AA$178,MATCH($C107,'Injectable Value'!$A$28:$A$178,0)),1),"")</f>
        <v>6287.6</v>
      </c>
      <c r="U107" s="17" t="s">
        <v>438</v>
      </c>
      <c r="V107" s="16" t="n">
        <v>8</v>
      </c>
      <c r="W107" s="16" t="s">
        <v>437</v>
      </c>
      <c r="X107" s="16" t="s">
        <v>281</v>
      </c>
      <c r="Y107" s="16" t="s">
        <v>333</v>
      </c>
      <c r="Z107" s="17" t="str">
        <f aca="false">IFERROR(INDEX(Scoring!$U:$U,MATCH($C107&amp;"|"&amp;$E107,Scoring!$AD:$AD,0)),"")</f>
        <v>Reconstitution</v>
      </c>
      <c r="AA107" s="16" t="str">
        <f aca="false">IFERROR(INDEX(Scoring!$E:$E,MATCH($C107&amp;"|"&amp;$E107,Scoring!$AD:$AD,0)),"")</f>
        <v>Excluded – price ≤ USD 5</v>
      </c>
      <c r="AB107" s="19" t="n">
        <f aca="false">IFERROR(INDEX(Scoring!$M:$M,MATCH($C107&amp;"|"&amp;$E107,Scoring!$AD:$AD,0)),"")</f>
        <v>116</v>
      </c>
      <c r="AC107" s="16" t="str">
        <f aca="false">IFERROR(INDEX('Route of Administration'!$C$5:$C$155,MATCH($C107,'Route of Administration'!$A$5:$A$155,0)),"")</f>
        <v>IV, IM (also intra-articular, intrapleural)</v>
      </c>
      <c r="AD107" s="15" t="str">
        <f aca="false">IFERROR(INDEX('Route of Administration'!$D$5:$D$155,MATCH($C107,'Route of Administration'!$A$5:$A$155,0)),"")</f>
        <v>Yes</v>
      </c>
      <c r="AE107" s="15" t="str">
        <f aca="false">IF($AD107="No","Not checked – drug is IV only",IFERROR(INDEX('Route of Administration'!$O$5:$O$170,MATCH($E107&amp;"|"&amp;$C107,'Route of Administration'!$S$5:$S$170,0)),"Not checked – price ≤ USD 5"))</f>
        <v>Not checked – price ≤ USD 5</v>
      </c>
    </row>
    <row r="108" customFormat="false" ht="41.75" hidden="false" customHeight="false" outlineLevel="0" collapsed="false">
      <c r="B108" s="16" t="n">
        <v>106</v>
      </c>
      <c r="C108" s="16" t="s">
        <v>433</v>
      </c>
      <c r="D108" s="16" t="s">
        <v>434</v>
      </c>
      <c r="E108" s="16" t="s">
        <v>322</v>
      </c>
      <c r="F108" s="16" t="s">
        <v>1791</v>
      </c>
      <c r="G108" s="17" t="s">
        <v>1792</v>
      </c>
      <c r="H108" s="16" t="s">
        <v>1533</v>
      </c>
      <c r="I108" s="18"/>
      <c r="J108" s="16" t="n">
        <v>1</v>
      </c>
      <c r="K108" s="16" t="n">
        <v>347</v>
      </c>
      <c r="L108" s="19" t="n">
        <v>18803.98</v>
      </c>
      <c r="M108" s="17" t="s">
        <v>435</v>
      </c>
      <c r="N108" s="82" t="n">
        <v>3.33</v>
      </c>
      <c r="O108" s="64" t="s">
        <v>1541</v>
      </c>
      <c r="P108" s="16" t="s">
        <v>1561</v>
      </c>
      <c r="Q108" s="17" t="s">
        <v>1793</v>
      </c>
      <c r="R108" s="78" t="s">
        <v>1701</v>
      </c>
      <c r="S108" s="77" t="n">
        <f aca="false">IFERROR(INDEX('Injectable Value'!$Z$28:$Z$178,MATCH($C108,'Injectable Value'!$A$28:$A$178,0)),"")</f>
        <v>0.334376150165624</v>
      </c>
      <c r="T108" s="19" t="n">
        <f aca="false">IFERROR(ROUND(INDEX('Injectable Value'!$AA$28:$AA$178,MATCH($C108,'Injectable Value'!$A$28:$A$178,0)),1),"")</f>
        <v>6287.6</v>
      </c>
      <c r="U108" s="17" t="s">
        <v>438</v>
      </c>
      <c r="V108" s="16" t="n">
        <v>8</v>
      </c>
      <c r="W108" s="16" t="s">
        <v>437</v>
      </c>
      <c r="X108" s="16" t="s">
        <v>281</v>
      </c>
      <c r="Y108" s="16" t="s">
        <v>333</v>
      </c>
      <c r="Z108" s="17" t="str">
        <f aca="false">IFERROR(INDEX(Scoring!$U:$U,MATCH($C108&amp;"|"&amp;$E108,Scoring!$AD:$AD,0)),"")</f>
        <v>Reconstitution</v>
      </c>
      <c r="AA108" s="16" t="str">
        <f aca="false">IFERROR(INDEX(Scoring!$E:$E,MATCH($C108&amp;"|"&amp;$E108,Scoring!$AD:$AD,0)),"")</f>
        <v>Excluded – price ≤ USD 5</v>
      </c>
      <c r="AB108" s="19" t="n">
        <f aca="false">IFERROR(INDEX(Scoring!$M:$M,MATCH($C108&amp;"|"&amp;$E108,Scoring!$AD:$AD,0)),"")</f>
        <v>116</v>
      </c>
      <c r="AC108" s="16" t="str">
        <f aca="false">IFERROR(INDEX('Route of Administration'!$C$5:$C$155,MATCH($C108,'Route of Administration'!$A$5:$A$155,0)),"")</f>
        <v>IV, IM (also intra-articular, intrapleural)</v>
      </c>
      <c r="AD108" s="15" t="str">
        <f aca="false">IFERROR(INDEX('Route of Administration'!$D$5:$D$155,MATCH($C108,'Route of Administration'!$A$5:$A$155,0)),"")</f>
        <v>Yes</v>
      </c>
      <c r="AE108" s="15" t="str">
        <f aca="false">IF($AD108="No","Not checked – drug is IV only",IFERROR(INDEX('Route of Administration'!$O$5:$O$170,MATCH($E108&amp;"|"&amp;$C108,'Route of Administration'!$S$5:$S$170,0)),"Not checked – price ≤ USD 5"))</f>
        <v>Not checked – price ≤ USD 5</v>
      </c>
    </row>
    <row r="109" customFormat="false" ht="28.35" hidden="false" customHeight="false" outlineLevel="0" collapsed="false">
      <c r="B109" s="16" t="n">
        <v>107</v>
      </c>
      <c r="C109" s="16" t="s">
        <v>433</v>
      </c>
      <c r="D109" s="16" t="s">
        <v>434</v>
      </c>
      <c r="E109" s="16" t="s">
        <v>322</v>
      </c>
      <c r="F109" s="16" t="s">
        <v>1794</v>
      </c>
      <c r="G109" s="17" t="s">
        <v>1795</v>
      </c>
      <c r="H109" s="16" t="s">
        <v>1533</v>
      </c>
      <c r="I109" s="18"/>
      <c r="J109" s="16" t="n">
        <v>1</v>
      </c>
      <c r="K109" s="16" t="n">
        <v>347</v>
      </c>
      <c r="L109" s="19" t="n">
        <v>18803.98</v>
      </c>
      <c r="M109" s="17" t="s">
        <v>435</v>
      </c>
      <c r="N109" s="18"/>
      <c r="O109" s="16" t="s">
        <v>1573</v>
      </c>
      <c r="P109" s="16" t="s">
        <v>112</v>
      </c>
      <c r="Q109" s="17" t="s">
        <v>112</v>
      </c>
      <c r="R109" s="16"/>
      <c r="S109" s="77" t="n">
        <f aca="false">IFERROR(INDEX('Injectable Value'!$Z$28:$Z$178,MATCH($C109,'Injectable Value'!$A$28:$A$178,0)),"")</f>
        <v>0.334376150165624</v>
      </c>
      <c r="T109" s="19" t="n">
        <f aca="false">IFERROR(ROUND(INDEX('Injectable Value'!$AA$28:$AA$178,MATCH($C109,'Injectable Value'!$A$28:$A$178,0)),1),"")</f>
        <v>6287.6</v>
      </c>
      <c r="U109" s="17" t="s">
        <v>438</v>
      </c>
      <c r="V109" s="16" t="n">
        <v>8</v>
      </c>
      <c r="W109" s="16" t="s">
        <v>437</v>
      </c>
      <c r="X109" s="16" t="s">
        <v>281</v>
      </c>
      <c r="Y109" s="16" t="s">
        <v>333</v>
      </c>
      <c r="Z109" s="17" t="str">
        <f aca="false">IFERROR(INDEX(Scoring!$U:$U,MATCH($C109&amp;"|"&amp;$E109,Scoring!$AD:$AD,0)),"")</f>
        <v>Reconstitution</v>
      </c>
      <c r="AA109" s="16" t="str">
        <f aca="false">IFERROR(INDEX(Scoring!$E:$E,MATCH($C109&amp;"|"&amp;$E109,Scoring!$AD:$AD,0)),"")</f>
        <v>Excluded – price ≤ USD 5</v>
      </c>
      <c r="AB109" s="19" t="n">
        <f aca="false">IFERROR(INDEX(Scoring!$M:$M,MATCH($C109&amp;"|"&amp;$E109,Scoring!$AD:$AD,0)),"")</f>
        <v>116</v>
      </c>
      <c r="AC109" s="16" t="str">
        <f aca="false">IFERROR(INDEX('Route of Administration'!$C$5:$C$155,MATCH($C109,'Route of Administration'!$A$5:$A$155,0)),"")</f>
        <v>IV, IM (also intra-articular, intrapleural)</v>
      </c>
      <c r="AD109" s="15" t="str">
        <f aca="false">IFERROR(INDEX('Route of Administration'!$D$5:$D$155,MATCH($C109,'Route of Administration'!$A$5:$A$155,0)),"")</f>
        <v>Yes</v>
      </c>
      <c r="AE109" s="15" t="str">
        <f aca="false">IF($AD109="No","Not checked – drug is IV only",IFERROR(INDEX('Route of Administration'!$O$5:$O$170,MATCH($E109&amp;"|"&amp;$C109,'Route of Administration'!$S$5:$S$170,0)),"Not checked – price ≤ USD 5"))</f>
        <v>Not checked – price ≤ USD 5</v>
      </c>
    </row>
    <row r="110" customFormat="false" ht="28.35" hidden="false" customHeight="false" outlineLevel="0" collapsed="false">
      <c r="B110" s="16" t="n">
        <v>108</v>
      </c>
      <c r="C110" s="16" t="s">
        <v>295</v>
      </c>
      <c r="D110" s="16" t="s">
        <v>1796</v>
      </c>
      <c r="E110" s="16" t="s">
        <v>322</v>
      </c>
      <c r="F110" s="16" t="s">
        <v>1797</v>
      </c>
      <c r="G110" s="17" t="s">
        <v>1798</v>
      </c>
      <c r="H110" s="16" t="s">
        <v>1540</v>
      </c>
      <c r="I110" s="18" t="n">
        <v>47.11</v>
      </c>
      <c r="J110" s="16" t="n">
        <v>1</v>
      </c>
      <c r="K110" s="16" t="n">
        <v>146</v>
      </c>
      <c r="L110" s="19" t="n">
        <v>11366.06</v>
      </c>
      <c r="M110" s="17" t="s">
        <v>296</v>
      </c>
      <c r="N110" s="18" t="n">
        <v>47.11</v>
      </c>
      <c r="O110" s="16" t="s">
        <v>1534</v>
      </c>
      <c r="P110" s="16" t="s">
        <v>1535</v>
      </c>
      <c r="Q110" s="17" t="s">
        <v>1536</v>
      </c>
      <c r="R110" s="78" t="s">
        <v>1799</v>
      </c>
      <c r="S110" s="77" t="n">
        <f aca="false">IFERROR(INDEX('Injectable Value'!$Z$28:$Z$178,MATCH($C110,'Injectable Value'!$A$28:$A$178,0)),"")</f>
        <v>1</v>
      </c>
      <c r="T110" s="19" t="n">
        <f aca="false">IFERROR(ROUND(INDEX('Injectable Value'!$AA$28:$AA$178,MATCH($C110,'Injectable Value'!$A$28:$A$178,0)),1),"")</f>
        <v>11366.1</v>
      </c>
      <c r="U110" s="17" t="s">
        <v>457</v>
      </c>
      <c r="V110" s="16" t="n">
        <v>10</v>
      </c>
      <c r="W110" s="16" t="s">
        <v>456</v>
      </c>
      <c r="X110" s="16" t="s">
        <v>291</v>
      </c>
      <c r="Y110" s="16" t="s">
        <v>283</v>
      </c>
      <c r="Z110" s="17" t="str">
        <f aca="false">IFERROR(INDEX(Scoring!$U:$U,MATCH($C110&amp;"|"&amp;$E110,Scoring!$AD:$AD,0)),"")</f>
        <v>Prefilled only</v>
      </c>
      <c r="AA110" s="16" t="str">
        <f aca="false">IFERROR(INDEX(Scoring!$E:$E,MATCH($C110&amp;"|"&amp;$E110,Scoring!$AD:$AD,0)),"")</f>
        <v>Priority 1</v>
      </c>
      <c r="AB110" s="19" t="n">
        <f aca="false">IFERROR(INDEX(Scoring!$M:$M,MATCH($C110&amp;"|"&amp;$E110,Scoring!$AD:$AD,0)),"")</f>
        <v>146</v>
      </c>
      <c r="AC110" s="16" t="str">
        <f aca="false">IFERROR(INDEX('Route of Administration'!$C$5:$C$155,MATCH($C110,'Route of Administration'!$A$5:$A$155,0)),"")</f>
        <v>IM</v>
      </c>
      <c r="AD110" s="15" t="str">
        <f aca="false">IFERROR(INDEX('Route of Administration'!$D$5:$D$155,MATCH($C110,'Route of Administration'!$A$5:$A$155,0)),"")</f>
        <v>Yes</v>
      </c>
      <c r="AE110" s="15" t="str">
        <f aca="false">IF($AD110="No","Not checked – drug is IV only",IFERROR(INDEX('Route of Administration'!$O$5:$O$170,MATCH($E110&amp;"|"&amp;$C110,'Route of Administration'!$S$5:$S$170,0)),"Not checked – price ≤ USD 5"))</f>
        <v>Pass</v>
      </c>
    </row>
    <row r="111" customFormat="false" ht="28.35" hidden="false" customHeight="false" outlineLevel="0" collapsed="false">
      <c r="B111" s="16" t="n">
        <v>109</v>
      </c>
      <c r="C111" s="16" t="s">
        <v>329</v>
      </c>
      <c r="D111" s="16" t="s">
        <v>1800</v>
      </c>
      <c r="E111" s="16" t="s">
        <v>322</v>
      </c>
      <c r="F111" s="16" t="s">
        <v>1801</v>
      </c>
      <c r="G111" s="17" t="s">
        <v>1802</v>
      </c>
      <c r="H111" s="16" t="s">
        <v>1533</v>
      </c>
      <c r="I111" s="18" t="n">
        <v>10.241</v>
      </c>
      <c r="J111" s="16" t="n">
        <v>1</v>
      </c>
      <c r="K111" s="16" t="n">
        <v>762</v>
      </c>
      <c r="L111" s="19" t="n">
        <v>50865.56</v>
      </c>
      <c r="M111" s="17" t="s">
        <v>331</v>
      </c>
      <c r="N111" s="18" t="n">
        <v>10.241</v>
      </c>
      <c r="O111" s="16" t="s">
        <v>1534</v>
      </c>
      <c r="P111" s="16" t="s">
        <v>1535</v>
      </c>
      <c r="Q111" s="17" t="s">
        <v>1536</v>
      </c>
      <c r="R111" s="78" t="s">
        <v>1799</v>
      </c>
      <c r="S111" s="77" t="n">
        <f aca="false">IFERROR(INDEX('Injectable Value'!$Z$28:$Z$178,MATCH($C111,'Injectable Value'!$A$28:$A$178,0)),"")</f>
        <v>0.829278792417718</v>
      </c>
      <c r="T111" s="19" t="n">
        <f aca="false">IFERROR(ROUND(INDEX('Injectable Value'!$AA$28:$AA$178,MATCH($C111,'Injectable Value'!$A$28:$A$178,0)),1),"")</f>
        <v>42181.7</v>
      </c>
      <c r="U111" s="17" t="s">
        <v>335</v>
      </c>
      <c r="V111" s="16" t="n">
        <v>11</v>
      </c>
      <c r="W111" s="16" t="s">
        <v>334</v>
      </c>
      <c r="X111" s="16" t="s">
        <v>281</v>
      </c>
      <c r="Y111" s="16" t="s">
        <v>333</v>
      </c>
      <c r="Z111" s="17" t="str">
        <f aca="false">IFERROR(INDEX(Scoring!$U:$U,MATCH($C111&amp;"|"&amp;$E111,Scoring!$AD:$AD,0)),"")</f>
        <v>Cancer drug (cytotoxic) – less relevant; Reconstitution</v>
      </c>
      <c r="AA111" s="16" t="str">
        <f aca="false">IFERROR(INDEX(Scoring!$E:$E,MATCH($C111&amp;"|"&amp;$E111,Scoring!$AD:$AD,0)),"")</f>
        <v>Priority 1</v>
      </c>
      <c r="AB111" s="19" t="n">
        <f aca="false">IFERROR(INDEX(Scoring!$M:$M,MATCH($C111&amp;"|"&amp;$E111,Scoring!$AD:$AD,0)),"")</f>
        <v>632</v>
      </c>
      <c r="AC111" s="16" t="str">
        <f aca="false">IFERROR(INDEX('Route of Administration'!$C$5:$C$155,MATCH($C111,'Route of Administration'!$A$5:$A$155,0)),"")</f>
        <v>IV, SC</v>
      </c>
      <c r="AD111" s="15" t="str">
        <f aca="false">IFERROR(INDEX('Route of Administration'!$D$5:$D$155,MATCH($C111,'Route of Administration'!$A$5:$A$155,0)),"")</f>
        <v>Yes</v>
      </c>
      <c r="AE111" s="15" t="str">
        <f aca="false">IF($AD111="No","Not checked – drug is IV only",IFERROR(INDEX('Route of Administration'!$O$5:$O$170,MATCH($E111&amp;"|"&amp;$C111,'Route of Administration'!$S$5:$S$170,0)),"Not checked – price ≤ USD 5"))</f>
        <v>Pass</v>
      </c>
    </row>
    <row r="112" customFormat="false" ht="28.35" hidden="false" customHeight="false" outlineLevel="0" collapsed="false">
      <c r="B112" s="16" t="n">
        <v>110</v>
      </c>
      <c r="C112" s="16" t="s">
        <v>338</v>
      </c>
      <c r="D112" s="16" t="s">
        <v>1803</v>
      </c>
      <c r="E112" s="16" t="s">
        <v>322</v>
      </c>
      <c r="F112" s="16" t="s">
        <v>1804</v>
      </c>
      <c r="G112" s="17" t="s">
        <v>1805</v>
      </c>
      <c r="H112" s="16" t="s">
        <v>1533</v>
      </c>
      <c r="I112" s="18" t="n">
        <v>14.329</v>
      </c>
      <c r="J112" s="16" t="n">
        <v>1</v>
      </c>
      <c r="K112" s="16" t="n">
        <v>905</v>
      </c>
      <c r="L112" s="19" t="n">
        <v>28093.38</v>
      </c>
      <c r="M112" s="17" t="s">
        <v>340</v>
      </c>
      <c r="N112" s="18" t="n">
        <v>14.329</v>
      </c>
      <c r="O112" s="16" t="s">
        <v>1534</v>
      </c>
      <c r="P112" s="16" t="s">
        <v>1700</v>
      </c>
      <c r="Q112" s="17" t="s">
        <v>1536</v>
      </c>
      <c r="R112" s="78" t="s">
        <v>1806</v>
      </c>
      <c r="S112" s="77" t="n">
        <f aca="false">IFERROR(INDEX('Injectable Value'!$Z$28:$Z$178,MATCH($C112,'Injectable Value'!$A$28:$A$178,0)),"")</f>
        <v>1</v>
      </c>
      <c r="T112" s="19" t="n">
        <f aca="false">IFERROR(ROUND(INDEX('Injectable Value'!$AA$28:$AA$178,MATCH($C112,'Injectable Value'!$A$28:$A$178,0)),1),"")</f>
        <v>28093.4</v>
      </c>
      <c r="U112" s="17" t="s">
        <v>343</v>
      </c>
      <c r="V112" s="16" t="n">
        <v>12</v>
      </c>
      <c r="W112" s="16" t="s">
        <v>342</v>
      </c>
      <c r="X112" s="16" t="s">
        <v>281</v>
      </c>
      <c r="Y112" s="16" t="s">
        <v>333</v>
      </c>
      <c r="Z112" s="17" t="str">
        <f aca="false">IFERROR(INDEX(Scoring!$U:$U,MATCH($C112&amp;"|"&amp;$E112,Scoring!$AD:$AD,0)),"")</f>
        <v>Cancer drug (cytotoxic) – less relevant; Reconstitution</v>
      </c>
      <c r="AA112" s="16" t="str">
        <f aca="false">IFERROR(INDEX(Scoring!$E:$E,MATCH($C112&amp;"|"&amp;$E112,Scoring!$AD:$AD,0)),"")</f>
        <v>Priority 1</v>
      </c>
      <c r="AB112" s="19" t="n">
        <f aca="false">IFERROR(INDEX(Scoring!$M:$M,MATCH($C112&amp;"|"&amp;$E112,Scoring!$AD:$AD,0)),"")</f>
        <v>905</v>
      </c>
      <c r="AC112" s="16" t="str">
        <f aca="false">IFERROR(INDEX('Route of Administration'!$C$5:$C$155,MATCH($C112,'Route of Administration'!$A$5:$A$155,0)),"")</f>
        <v>IV, SC</v>
      </c>
      <c r="AD112" s="15" t="str">
        <f aca="false">IFERROR(INDEX('Route of Administration'!$D$5:$D$155,MATCH($C112,'Route of Administration'!$A$5:$A$155,0)),"")</f>
        <v>Yes</v>
      </c>
      <c r="AE112" s="15" t="str">
        <f aca="false">IF($AD112="No","Not checked – drug is IV only",IFERROR(INDEX('Route of Administration'!$O$5:$O$170,MATCH($E112&amp;"|"&amp;$C112,'Route of Administration'!$S$5:$S$170,0)),"Not checked – price ≤ USD 5"))</f>
        <v>Pass</v>
      </c>
    </row>
    <row r="113" customFormat="false" ht="28.35" hidden="false" customHeight="false" outlineLevel="0" collapsed="false">
      <c r="B113" s="16" t="n">
        <v>111</v>
      </c>
      <c r="C113" s="16" t="s">
        <v>541</v>
      </c>
      <c r="D113" s="16" t="s">
        <v>1807</v>
      </c>
      <c r="E113" s="16" t="s">
        <v>322</v>
      </c>
      <c r="F113" s="16" t="s">
        <v>1808</v>
      </c>
      <c r="G113" s="17" t="s">
        <v>1809</v>
      </c>
      <c r="H113" s="16" t="s">
        <v>1533</v>
      </c>
      <c r="I113" s="18" t="n">
        <v>559.566</v>
      </c>
      <c r="J113" s="16" t="n">
        <v>1</v>
      </c>
      <c r="K113" s="16" t="n">
        <v>47</v>
      </c>
      <c r="L113" s="19" t="n">
        <v>7904.67</v>
      </c>
      <c r="M113" s="17" t="s">
        <v>543</v>
      </c>
      <c r="N113" s="18" t="n">
        <v>559.566</v>
      </c>
      <c r="O113" s="16" t="s">
        <v>1534</v>
      </c>
      <c r="P113" s="16" t="s">
        <v>1700</v>
      </c>
      <c r="Q113" s="17" t="s">
        <v>1536</v>
      </c>
      <c r="R113" s="78" t="s">
        <v>1810</v>
      </c>
      <c r="S113" s="77" t="n">
        <f aca="false">IFERROR(INDEX('Injectable Value'!$Z$28:$Z$178,MATCH($C113,'Injectable Value'!$A$28:$A$178,0)),"")</f>
        <v>1</v>
      </c>
      <c r="T113" s="19" t="n">
        <f aca="false">IFERROR(ROUND(INDEX('Injectable Value'!$AA$28:$AA$178,MATCH($C113,'Injectable Value'!$A$28:$A$178,0)),1),"")</f>
        <v>7904.7</v>
      </c>
      <c r="U113" s="17" t="s">
        <v>546</v>
      </c>
      <c r="V113" s="16" t="n">
        <v>10</v>
      </c>
      <c r="W113" s="16" t="s">
        <v>545</v>
      </c>
      <c r="X113" s="16" t="s">
        <v>281</v>
      </c>
      <c r="Y113" s="16" t="s">
        <v>283</v>
      </c>
      <c r="Z113" s="17" t="str">
        <f aca="false">IFERROR(INDEX(Scoring!$U:$U,MATCH($C113&amp;"|"&amp;$E113,Scoring!$AD:$AD,0)),"")</f>
        <v/>
      </c>
      <c r="AA113" s="16" t="str">
        <f aca="false">IFERROR(INDEX(Scoring!$E:$E,MATCH($C113&amp;"|"&amp;$E113,Scoring!$AD:$AD,0)),"")</f>
        <v>Priority 2</v>
      </c>
      <c r="AB113" s="19" t="n">
        <f aca="false">IFERROR(INDEX(Scoring!$M:$M,MATCH($C113&amp;"|"&amp;$E113,Scoring!$AD:$AD,0)),"")</f>
        <v>47</v>
      </c>
      <c r="AC113" s="16" t="str">
        <f aca="false">IFERROR(INDEX('Route of Administration'!$C$5:$C$155,MATCH($C113,'Route of Administration'!$A$5:$A$155,0)),"")</f>
        <v>SC</v>
      </c>
      <c r="AD113" s="15" t="str">
        <f aca="false">IFERROR(INDEX('Route of Administration'!$D$5:$D$155,MATCH($C113,'Route of Administration'!$A$5:$A$155,0)),"")</f>
        <v>Yes</v>
      </c>
      <c r="AE113" s="15" t="str">
        <f aca="false">IF($AD113="No","Not checked – drug is IV only",IFERROR(INDEX('Route of Administration'!$O$5:$O$170,MATCH($E113&amp;"|"&amp;$C113,'Route of Administration'!$S$5:$S$170,0)),"Not checked – price ≤ USD 5"))</f>
        <v>Pass</v>
      </c>
    </row>
    <row r="114" customFormat="false" ht="28.35" hidden="false" customHeight="false" outlineLevel="0" collapsed="false">
      <c r="B114" s="16" t="n">
        <v>112</v>
      </c>
      <c r="C114" s="16" t="s">
        <v>419</v>
      </c>
      <c r="D114" s="16" t="s">
        <v>1811</v>
      </c>
      <c r="E114" s="16" t="s">
        <v>322</v>
      </c>
      <c r="F114" s="16" t="s">
        <v>1812</v>
      </c>
      <c r="G114" s="17" t="s">
        <v>1813</v>
      </c>
      <c r="H114" s="16" t="s">
        <v>1533</v>
      </c>
      <c r="I114" s="18" t="n">
        <v>18.86</v>
      </c>
      <c r="J114" s="16" t="n">
        <v>1</v>
      </c>
      <c r="K114" s="16" t="n">
        <v>223</v>
      </c>
      <c r="L114" s="19" t="n">
        <v>53539.87</v>
      </c>
      <c r="M114" s="17" t="s">
        <v>421</v>
      </c>
      <c r="N114" s="18" t="n">
        <v>18.86</v>
      </c>
      <c r="O114" s="16" t="s">
        <v>1534</v>
      </c>
      <c r="P114" s="16" t="s">
        <v>1700</v>
      </c>
      <c r="Q114" s="17" t="s">
        <v>1536</v>
      </c>
      <c r="R114" s="78" t="s">
        <v>1814</v>
      </c>
      <c r="S114" s="77" t="n">
        <f aca="false">IFERROR(INDEX('Injectable Value'!$Z$28:$Z$178,MATCH($C114,'Injectable Value'!$A$28:$A$178,0)),"")</f>
        <v>1</v>
      </c>
      <c r="T114" s="19" t="n">
        <f aca="false">IFERROR(ROUND(INDEX('Injectable Value'!$AA$28:$AA$178,MATCH($C114,'Injectable Value'!$A$28:$A$178,0)),1),"")</f>
        <v>53539.9</v>
      </c>
      <c r="U114" s="17" t="s">
        <v>424</v>
      </c>
      <c r="V114" s="16" t="n">
        <v>10</v>
      </c>
      <c r="W114" s="16" t="s">
        <v>423</v>
      </c>
      <c r="X114" s="16" t="s">
        <v>281</v>
      </c>
      <c r="Y114" s="16" t="s">
        <v>359</v>
      </c>
      <c r="Z114" s="17" t="str">
        <f aca="false">IFERROR(INDEX(Scoring!$U:$U,MATCH($C114&amp;"|"&amp;$E114,Scoring!$AD:$AD,0)),"")</f>
        <v>Reconstitution</v>
      </c>
      <c r="AA114" s="16" t="str">
        <f aca="false">IFERROR(INDEX(Scoring!$E:$E,MATCH($C114&amp;"|"&amp;$E114,Scoring!$AD:$AD,0)),"")</f>
        <v>Priority 1</v>
      </c>
      <c r="AB114" s="19" t="n">
        <f aca="false">IFERROR(INDEX(Scoring!$M:$M,MATCH($C114&amp;"|"&amp;$E114,Scoring!$AD:$AD,0)),"")</f>
        <v>223</v>
      </c>
      <c r="AC114" s="16" t="str">
        <f aca="false">IFERROR(INDEX('Route of Administration'!$C$5:$C$155,MATCH($C114,'Route of Administration'!$A$5:$A$155,0)),"")</f>
        <v>IV, IM</v>
      </c>
      <c r="AD114" s="15" t="str">
        <f aca="false">IFERROR(INDEX('Route of Administration'!$D$5:$D$155,MATCH($C114,'Route of Administration'!$A$5:$A$155,0)),"")</f>
        <v>Yes</v>
      </c>
      <c r="AE114" s="15" t="str">
        <f aca="false">IF($AD114="No","Not checked – drug is IV only",IFERROR(INDEX('Route of Administration'!$O$5:$O$170,MATCH($E114&amp;"|"&amp;$C114,'Route of Administration'!$S$5:$S$170,0)),"Not checked – price ≤ USD 5"))</f>
        <v>Pass</v>
      </c>
    </row>
    <row r="115" customFormat="false" ht="28.35" hidden="false" customHeight="false" outlineLevel="0" collapsed="false">
      <c r="B115" s="16" t="n">
        <v>113</v>
      </c>
      <c r="C115" s="16" t="s">
        <v>419</v>
      </c>
      <c r="D115" s="16" t="s">
        <v>1811</v>
      </c>
      <c r="E115" s="16" t="s">
        <v>322</v>
      </c>
      <c r="F115" s="16" t="s">
        <v>1812</v>
      </c>
      <c r="G115" s="17" t="s">
        <v>1815</v>
      </c>
      <c r="H115" s="16" t="s">
        <v>1533</v>
      </c>
      <c r="I115" s="18" t="n">
        <v>18.86</v>
      </c>
      <c r="J115" s="16" t="n">
        <v>1</v>
      </c>
      <c r="K115" s="16" t="n">
        <v>223</v>
      </c>
      <c r="L115" s="19" t="n">
        <v>53539.87</v>
      </c>
      <c r="M115" s="17" t="s">
        <v>421</v>
      </c>
      <c r="N115" s="18" t="n">
        <v>18.86</v>
      </c>
      <c r="O115" s="16" t="s">
        <v>1534</v>
      </c>
      <c r="P115" s="16" t="s">
        <v>1700</v>
      </c>
      <c r="Q115" s="17" t="s">
        <v>1536</v>
      </c>
      <c r="R115" s="78" t="s">
        <v>1814</v>
      </c>
      <c r="S115" s="77" t="n">
        <f aca="false">IFERROR(INDEX('Injectable Value'!$Z$28:$Z$178,MATCH($C115,'Injectable Value'!$A$28:$A$178,0)),"")</f>
        <v>1</v>
      </c>
      <c r="T115" s="19" t="n">
        <f aca="false">IFERROR(ROUND(INDEX('Injectable Value'!$AA$28:$AA$178,MATCH($C115,'Injectable Value'!$A$28:$A$178,0)),1),"")</f>
        <v>53539.9</v>
      </c>
      <c r="U115" s="17" t="s">
        <v>424</v>
      </c>
      <c r="V115" s="16" t="n">
        <v>10</v>
      </c>
      <c r="W115" s="16" t="s">
        <v>423</v>
      </c>
      <c r="X115" s="16" t="s">
        <v>281</v>
      </c>
      <c r="Y115" s="16" t="s">
        <v>359</v>
      </c>
      <c r="Z115" s="17" t="str">
        <f aca="false">IFERROR(INDEX(Scoring!$U:$U,MATCH($C115&amp;"|"&amp;$E115,Scoring!$AD:$AD,0)),"")</f>
        <v>Reconstitution</v>
      </c>
      <c r="AA115" s="16" t="str">
        <f aca="false">IFERROR(INDEX(Scoring!$E:$E,MATCH($C115&amp;"|"&amp;$E115,Scoring!$AD:$AD,0)),"")</f>
        <v>Priority 1</v>
      </c>
      <c r="AB115" s="19" t="n">
        <f aca="false">IFERROR(INDEX(Scoring!$M:$M,MATCH($C115&amp;"|"&amp;$E115,Scoring!$AD:$AD,0)),"")</f>
        <v>223</v>
      </c>
      <c r="AC115" s="16" t="str">
        <f aca="false">IFERROR(INDEX('Route of Administration'!$C$5:$C$155,MATCH($C115,'Route of Administration'!$A$5:$A$155,0)),"")</f>
        <v>IV, IM</v>
      </c>
      <c r="AD115" s="15" t="str">
        <f aca="false">IFERROR(INDEX('Route of Administration'!$D$5:$D$155,MATCH($C115,'Route of Administration'!$A$5:$A$155,0)),"")</f>
        <v>Yes</v>
      </c>
      <c r="AE115" s="15" t="str">
        <f aca="false">IF($AD115="No","Not checked – drug is IV only",IFERROR(INDEX('Route of Administration'!$O$5:$O$170,MATCH($E115&amp;"|"&amp;$C115,'Route of Administration'!$S$5:$S$170,0)),"Not checked – price ≤ USD 5"))</f>
        <v>Pass</v>
      </c>
    </row>
    <row r="116" customFormat="false" ht="28.35" hidden="false" customHeight="false" outlineLevel="0" collapsed="false">
      <c r="B116" s="16" t="n">
        <v>114</v>
      </c>
      <c r="C116" s="16" t="s">
        <v>355</v>
      </c>
      <c r="D116" s="16" t="s">
        <v>356</v>
      </c>
      <c r="E116" s="16" t="s">
        <v>322</v>
      </c>
      <c r="F116" s="16" t="s">
        <v>1816</v>
      </c>
      <c r="G116" s="17" t="s">
        <v>1813</v>
      </c>
      <c r="H116" s="16" t="s">
        <v>1533</v>
      </c>
      <c r="I116" s="18" t="n">
        <v>5.74</v>
      </c>
      <c r="J116" s="16" t="n">
        <v>1</v>
      </c>
      <c r="K116" s="16" t="n">
        <v>290</v>
      </c>
      <c r="L116" s="19" t="n">
        <v>6348.25</v>
      </c>
      <c r="M116" s="17" t="s">
        <v>357</v>
      </c>
      <c r="N116" s="18" t="n">
        <v>5.74</v>
      </c>
      <c r="O116" s="16" t="s">
        <v>1534</v>
      </c>
      <c r="P116" s="16" t="s">
        <v>1700</v>
      </c>
      <c r="Q116" s="17" t="s">
        <v>1536</v>
      </c>
      <c r="R116" s="78" t="s">
        <v>1814</v>
      </c>
      <c r="S116" s="77" t="n">
        <f aca="false">IFERROR(INDEX('Injectable Value'!$Z$28:$Z$178,MATCH($C116,'Injectable Value'!$A$28:$A$178,0)),"")</f>
        <v>0.991596638655462</v>
      </c>
      <c r="T116" s="19" t="n">
        <f aca="false">IFERROR(ROUND(INDEX('Injectable Value'!$AA$28:$AA$178,MATCH($C116,'Injectable Value'!$A$28:$A$178,0)),1),"")</f>
        <v>6294.9</v>
      </c>
      <c r="U116" s="17" t="s">
        <v>360</v>
      </c>
      <c r="V116" s="16" t="n">
        <v>1</v>
      </c>
      <c r="W116" s="16" t="s">
        <v>112</v>
      </c>
      <c r="X116" s="16" t="s">
        <v>281</v>
      </c>
      <c r="Y116" s="16" t="s">
        <v>359</v>
      </c>
      <c r="Z116" s="17" t="str">
        <f aca="false">IFERROR(INDEX(Scoring!$U:$U,MATCH($C116&amp;"|"&amp;$E116,Scoring!$AD:$AD,0)),"")</f>
        <v>Reconstitution</v>
      </c>
      <c r="AA116" s="16" t="str">
        <f aca="false">IFERROR(INDEX(Scoring!$E:$E,MATCH($C116&amp;"|"&amp;$E116,Scoring!$AD:$AD,0)),"")</f>
        <v>Priority 2</v>
      </c>
      <c r="AB116" s="19" t="n">
        <f aca="false">IFERROR(INDEX(Scoring!$M:$M,MATCH($C116&amp;"|"&amp;$E116,Scoring!$AD:$AD,0)),"")</f>
        <v>288</v>
      </c>
      <c r="AC116" s="16" t="str">
        <f aca="false">IFERROR(INDEX('Route of Administration'!$C$5:$C$155,MATCH($C116,'Route of Administration'!$A$5:$A$155,0)),"")</f>
        <v>IV, IM</v>
      </c>
      <c r="AD116" s="15" t="str">
        <f aca="false">IFERROR(INDEX('Route of Administration'!$D$5:$D$155,MATCH($C116,'Route of Administration'!$A$5:$A$155,0)),"")</f>
        <v>Yes</v>
      </c>
      <c r="AE116" s="15" t="str">
        <f aca="false">IF($AD116="No","Not checked – drug is IV only",IFERROR(INDEX('Route of Administration'!$O$5:$O$170,MATCH($E116&amp;"|"&amp;$C116,'Route of Administration'!$S$5:$S$170,0)),"Not checked – price ≤ USD 5"))</f>
        <v>Pass</v>
      </c>
    </row>
    <row r="117" customFormat="false" ht="28.35" hidden="false" customHeight="false" outlineLevel="0" collapsed="false">
      <c r="B117" s="16" t="n">
        <v>115</v>
      </c>
      <c r="C117" s="16" t="s">
        <v>355</v>
      </c>
      <c r="D117" s="16" t="s">
        <v>356</v>
      </c>
      <c r="E117" s="16" t="s">
        <v>322</v>
      </c>
      <c r="F117" s="16" t="s">
        <v>1816</v>
      </c>
      <c r="G117" s="17" t="s">
        <v>1815</v>
      </c>
      <c r="H117" s="16" t="s">
        <v>1533</v>
      </c>
      <c r="I117" s="18" t="n">
        <v>5.74</v>
      </c>
      <c r="J117" s="16" t="n">
        <v>1</v>
      </c>
      <c r="K117" s="16" t="n">
        <v>290</v>
      </c>
      <c r="L117" s="19" t="n">
        <v>6348.25</v>
      </c>
      <c r="M117" s="17" t="s">
        <v>357</v>
      </c>
      <c r="N117" s="18" t="n">
        <v>5.74</v>
      </c>
      <c r="O117" s="16" t="s">
        <v>1534</v>
      </c>
      <c r="P117" s="16" t="s">
        <v>1700</v>
      </c>
      <c r="Q117" s="17" t="s">
        <v>1536</v>
      </c>
      <c r="R117" s="78" t="s">
        <v>1814</v>
      </c>
      <c r="S117" s="77" t="n">
        <f aca="false">IFERROR(INDEX('Injectable Value'!$Z$28:$Z$178,MATCH($C117,'Injectable Value'!$A$28:$A$178,0)),"")</f>
        <v>0.991596638655462</v>
      </c>
      <c r="T117" s="19" t="n">
        <f aca="false">IFERROR(ROUND(INDEX('Injectable Value'!$AA$28:$AA$178,MATCH($C117,'Injectable Value'!$A$28:$A$178,0)),1),"")</f>
        <v>6294.9</v>
      </c>
      <c r="U117" s="17" t="s">
        <v>360</v>
      </c>
      <c r="V117" s="16" t="n">
        <v>1</v>
      </c>
      <c r="W117" s="16" t="s">
        <v>112</v>
      </c>
      <c r="X117" s="16" t="s">
        <v>281</v>
      </c>
      <c r="Y117" s="16" t="s">
        <v>359</v>
      </c>
      <c r="Z117" s="17" t="str">
        <f aca="false">IFERROR(INDEX(Scoring!$U:$U,MATCH($C117&amp;"|"&amp;$E117,Scoring!$AD:$AD,0)),"")</f>
        <v>Reconstitution</v>
      </c>
      <c r="AA117" s="16" t="str">
        <f aca="false">IFERROR(INDEX(Scoring!$E:$E,MATCH($C117&amp;"|"&amp;$E117,Scoring!$AD:$AD,0)),"")</f>
        <v>Priority 2</v>
      </c>
      <c r="AB117" s="19" t="n">
        <f aca="false">IFERROR(INDEX(Scoring!$M:$M,MATCH($C117&amp;"|"&amp;$E117,Scoring!$AD:$AD,0)),"")</f>
        <v>288</v>
      </c>
      <c r="AC117" s="16" t="str">
        <f aca="false">IFERROR(INDEX('Route of Administration'!$C$5:$C$155,MATCH($C117,'Route of Administration'!$A$5:$A$155,0)),"")</f>
        <v>IV, IM</v>
      </c>
      <c r="AD117" s="15" t="str">
        <f aca="false">IFERROR(INDEX('Route of Administration'!$D$5:$D$155,MATCH($C117,'Route of Administration'!$A$5:$A$155,0)),"")</f>
        <v>Yes</v>
      </c>
      <c r="AE117" s="15" t="str">
        <f aca="false">IF($AD117="No","Not checked – drug is IV only",IFERROR(INDEX('Route of Administration'!$O$5:$O$170,MATCH($E117&amp;"|"&amp;$C117,'Route of Administration'!$S$5:$S$170,0)),"Not checked – price ≤ USD 5"))</f>
        <v>Pass</v>
      </c>
    </row>
    <row r="118" customFormat="false" ht="28.35" hidden="false" customHeight="false" outlineLevel="0" collapsed="false">
      <c r="B118" s="16" t="n">
        <v>116</v>
      </c>
      <c r="C118" s="16" t="s">
        <v>355</v>
      </c>
      <c r="D118" s="16" t="s">
        <v>356</v>
      </c>
      <c r="E118" s="16" t="s">
        <v>322</v>
      </c>
      <c r="F118" s="16" t="s">
        <v>1817</v>
      </c>
      <c r="G118" s="17" t="s">
        <v>1818</v>
      </c>
      <c r="H118" s="16" t="s">
        <v>1533</v>
      </c>
      <c r="I118" s="18" t="n">
        <v>12.42</v>
      </c>
      <c r="J118" s="16" t="n">
        <v>1</v>
      </c>
      <c r="K118" s="16" t="n">
        <v>290</v>
      </c>
      <c r="L118" s="19" t="n">
        <v>6348.25</v>
      </c>
      <c r="M118" s="17" t="s">
        <v>357</v>
      </c>
      <c r="N118" s="18" t="n">
        <v>12.42</v>
      </c>
      <c r="O118" s="16" t="s">
        <v>1534</v>
      </c>
      <c r="P118" s="16" t="s">
        <v>1700</v>
      </c>
      <c r="Q118" s="17" t="s">
        <v>1536</v>
      </c>
      <c r="R118" s="78" t="s">
        <v>1814</v>
      </c>
      <c r="S118" s="77" t="n">
        <f aca="false">IFERROR(INDEX('Injectable Value'!$Z$28:$Z$178,MATCH($C118,'Injectable Value'!$A$28:$A$178,0)),"")</f>
        <v>0.991596638655462</v>
      </c>
      <c r="T118" s="19" t="n">
        <f aca="false">IFERROR(ROUND(INDEX('Injectable Value'!$AA$28:$AA$178,MATCH($C118,'Injectable Value'!$A$28:$A$178,0)),1),"")</f>
        <v>6294.9</v>
      </c>
      <c r="U118" s="17" t="s">
        <v>360</v>
      </c>
      <c r="V118" s="16" t="n">
        <v>1</v>
      </c>
      <c r="W118" s="16" t="s">
        <v>112</v>
      </c>
      <c r="X118" s="16" t="s">
        <v>281</v>
      </c>
      <c r="Y118" s="16" t="s">
        <v>359</v>
      </c>
      <c r="Z118" s="17" t="str">
        <f aca="false">IFERROR(INDEX(Scoring!$U:$U,MATCH($C118&amp;"|"&amp;$E118,Scoring!$AD:$AD,0)),"")</f>
        <v>Reconstitution</v>
      </c>
      <c r="AA118" s="16" t="str">
        <f aca="false">IFERROR(INDEX(Scoring!$E:$E,MATCH($C118&amp;"|"&amp;$E118,Scoring!$AD:$AD,0)),"")</f>
        <v>Priority 2</v>
      </c>
      <c r="AB118" s="19" t="n">
        <f aca="false">IFERROR(INDEX(Scoring!$M:$M,MATCH($C118&amp;"|"&amp;$E118,Scoring!$AD:$AD,0)),"")</f>
        <v>288</v>
      </c>
      <c r="AC118" s="16" t="str">
        <f aca="false">IFERROR(INDEX('Route of Administration'!$C$5:$C$155,MATCH($C118,'Route of Administration'!$A$5:$A$155,0)),"")</f>
        <v>IV, IM</v>
      </c>
      <c r="AD118" s="15" t="str">
        <f aca="false">IFERROR(INDEX('Route of Administration'!$D$5:$D$155,MATCH($C118,'Route of Administration'!$A$5:$A$155,0)),"")</f>
        <v>Yes</v>
      </c>
      <c r="AE118" s="15" t="str">
        <f aca="false">IF($AD118="No","Not checked – drug is IV only",IFERROR(INDEX('Route of Administration'!$O$5:$O$170,MATCH($E118&amp;"|"&amp;$C118,'Route of Administration'!$S$5:$S$170,0)),"Not checked – price ≤ USD 5"))</f>
        <v>Pass</v>
      </c>
    </row>
    <row r="119" customFormat="false" ht="28.35" hidden="false" customHeight="false" outlineLevel="0" collapsed="false">
      <c r="B119" s="16" t="n">
        <v>117</v>
      </c>
      <c r="C119" s="16" t="s">
        <v>355</v>
      </c>
      <c r="D119" s="16" t="s">
        <v>356</v>
      </c>
      <c r="E119" s="16" t="s">
        <v>322</v>
      </c>
      <c r="F119" s="16" t="s">
        <v>1817</v>
      </c>
      <c r="G119" s="17" t="s">
        <v>1819</v>
      </c>
      <c r="H119" s="16" t="s">
        <v>1533</v>
      </c>
      <c r="I119" s="18" t="n">
        <v>12.42</v>
      </c>
      <c r="J119" s="16" t="n">
        <v>1</v>
      </c>
      <c r="K119" s="16" t="n">
        <v>290</v>
      </c>
      <c r="L119" s="19" t="n">
        <v>6348.25</v>
      </c>
      <c r="M119" s="17" t="s">
        <v>357</v>
      </c>
      <c r="N119" s="18" t="n">
        <v>12.42</v>
      </c>
      <c r="O119" s="16" t="s">
        <v>1534</v>
      </c>
      <c r="P119" s="16" t="s">
        <v>1700</v>
      </c>
      <c r="Q119" s="17" t="s">
        <v>1536</v>
      </c>
      <c r="R119" s="78" t="s">
        <v>1814</v>
      </c>
      <c r="S119" s="77" t="n">
        <f aca="false">IFERROR(INDEX('Injectable Value'!$Z$28:$Z$178,MATCH($C119,'Injectable Value'!$A$28:$A$178,0)),"")</f>
        <v>0.991596638655462</v>
      </c>
      <c r="T119" s="19" t="n">
        <f aca="false">IFERROR(ROUND(INDEX('Injectable Value'!$AA$28:$AA$178,MATCH($C119,'Injectable Value'!$A$28:$A$178,0)),1),"")</f>
        <v>6294.9</v>
      </c>
      <c r="U119" s="17" t="s">
        <v>360</v>
      </c>
      <c r="V119" s="16" t="n">
        <v>1</v>
      </c>
      <c r="W119" s="16" t="s">
        <v>112</v>
      </c>
      <c r="X119" s="16" t="s">
        <v>281</v>
      </c>
      <c r="Y119" s="16" t="s">
        <v>359</v>
      </c>
      <c r="Z119" s="17" t="str">
        <f aca="false">IFERROR(INDEX(Scoring!$U:$U,MATCH($C119&amp;"|"&amp;$E119,Scoring!$AD:$AD,0)),"")</f>
        <v>Reconstitution</v>
      </c>
      <c r="AA119" s="16" t="str">
        <f aca="false">IFERROR(INDEX(Scoring!$E:$E,MATCH($C119&amp;"|"&amp;$E119,Scoring!$AD:$AD,0)),"")</f>
        <v>Priority 2</v>
      </c>
      <c r="AB119" s="19" t="n">
        <f aca="false">IFERROR(INDEX(Scoring!$M:$M,MATCH($C119&amp;"|"&amp;$E119,Scoring!$AD:$AD,0)),"")</f>
        <v>288</v>
      </c>
      <c r="AC119" s="16" t="str">
        <f aca="false">IFERROR(INDEX('Route of Administration'!$C$5:$C$155,MATCH($C119,'Route of Administration'!$A$5:$A$155,0)),"")</f>
        <v>IV, IM</v>
      </c>
      <c r="AD119" s="15" t="str">
        <f aca="false">IFERROR(INDEX('Route of Administration'!$D$5:$D$155,MATCH($C119,'Route of Administration'!$A$5:$A$155,0)),"")</f>
        <v>Yes</v>
      </c>
      <c r="AE119" s="15" t="str">
        <f aca="false">IF($AD119="No","Not checked – drug is IV only",IFERROR(INDEX('Route of Administration'!$O$5:$O$170,MATCH($E119&amp;"|"&amp;$C119,'Route of Administration'!$S$5:$S$170,0)),"Not checked – price ≤ USD 5"))</f>
        <v>Pass</v>
      </c>
    </row>
    <row r="120" customFormat="false" ht="28.35" hidden="false" customHeight="false" outlineLevel="0" collapsed="false">
      <c r="B120" s="16" t="n">
        <v>118</v>
      </c>
      <c r="C120" s="16" t="s">
        <v>419</v>
      </c>
      <c r="D120" s="16" t="s">
        <v>1820</v>
      </c>
      <c r="E120" s="16" t="s">
        <v>322</v>
      </c>
      <c r="F120" s="16" t="s">
        <v>1812</v>
      </c>
      <c r="G120" s="17" t="s">
        <v>1815</v>
      </c>
      <c r="H120" s="16" t="s">
        <v>1533</v>
      </c>
      <c r="I120" s="18" t="n">
        <v>33.51</v>
      </c>
      <c r="J120" s="16" t="n">
        <v>1</v>
      </c>
      <c r="K120" s="16" t="n">
        <v>223</v>
      </c>
      <c r="L120" s="19" t="n">
        <v>53539.87</v>
      </c>
      <c r="M120" s="17" t="s">
        <v>421</v>
      </c>
      <c r="N120" s="18" t="n">
        <v>33.51</v>
      </c>
      <c r="O120" s="16" t="s">
        <v>1534</v>
      </c>
      <c r="P120" s="16" t="s">
        <v>1700</v>
      </c>
      <c r="Q120" s="17" t="s">
        <v>1536</v>
      </c>
      <c r="R120" s="78" t="s">
        <v>1814</v>
      </c>
      <c r="S120" s="77" t="n">
        <f aca="false">IFERROR(INDEX('Injectable Value'!$Z$28:$Z$178,MATCH($C120,'Injectable Value'!$A$28:$A$178,0)),"")</f>
        <v>1</v>
      </c>
      <c r="T120" s="19" t="n">
        <f aca="false">IFERROR(ROUND(INDEX('Injectable Value'!$AA$28:$AA$178,MATCH($C120,'Injectable Value'!$A$28:$A$178,0)),1),"")</f>
        <v>53539.9</v>
      </c>
      <c r="U120" s="17" t="s">
        <v>424</v>
      </c>
      <c r="V120" s="16" t="n">
        <v>10</v>
      </c>
      <c r="W120" s="16" t="s">
        <v>423</v>
      </c>
      <c r="X120" s="16" t="s">
        <v>281</v>
      </c>
      <c r="Y120" s="16" t="s">
        <v>359</v>
      </c>
      <c r="Z120" s="17" t="str">
        <f aca="false">IFERROR(INDEX(Scoring!$U:$U,MATCH($C120&amp;"|"&amp;$E120,Scoring!$AD:$AD,0)),"")</f>
        <v>Reconstitution</v>
      </c>
      <c r="AA120" s="16" t="str">
        <f aca="false">IFERROR(INDEX(Scoring!$E:$E,MATCH($C120&amp;"|"&amp;$E120,Scoring!$AD:$AD,0)),"")</f>
        <v>Priority 1</v>
      </c>
      <c r="AB120" s="19" t="n">
        <f aca="false">IFERROR(INDEX(Scoring!$M:$M,MATCH($C120&amp;"|"&amp;$E120,Scoring!$AD:$AD,0)),"")</f>
        <v>223</v>
      </c>
      <c r="AC120" s="16" t="str">
        <f aca="false">IFERROR(INDEX('Route of Administration'!$C$5:$C$155,MATCH($C120,'Route of Administration'!$A$5:$A$155,0)),"")</f>
        <v>IV, IM</v>
      </c>
      <c r="AD120" s="15" t="str">
        <f aca="false">IFERROR(INDEX('Route of Administration'!$D$5:$D$155,MATCH($C120,'Route of Administration'!$A$5:$A$155,0)),"")</f>
        <v>Yes</v>
      </c>
      <c r="AE120" s="15" t="str">
        <f aca="false">IF($AD120="No","Not checked – drug is IV only",IFERROR(INDEX('Route of Administration'!$O$5:$O$170,MATCH($E120&amp;"|"&amp;$C120,'Route of Administration'!$S$5:$S$170,0)),"Not checked – price ≤ USD 5"))</f>
        <v>Pass</v>
      </c>
    </row>
    <row r="121" customFormat="false" ht="28.35" hidden="false" customHeight="false" outlineLevel="0" collapsed="false">
      <c r="B121" s="16" t="n">
        <v>119</v>
      </c>
      <c r="C121" s="16" t="s">
        <v>419</v>
      </c>
      <c r="D121" s="16" t="s">
        <v>1820</v>
      </c>
      <c r="E121" s="16" t="s">
        <v>322</v>
      </c>
      <c r="F121" s="16" t="s">
        <v>1812</v>
      </c>
      <c r="G121" s="17" t="s">
        <v>1813</v>
      </c>
      <c r="H121" s="16" t="s">
        <v>1533</v>
      </c>
      <c r="I121" s="18" t="n">
        <v>33.51</v>
      </c>
      <c r="J121" s="16" t="n">
        <v>1</v>
      </c>
      <c r="K121" s="16" t="n">
        <v>223</v>
      </c>
      <c r="L121" s="19" t="n">
        <v>53539.87</v>
      </c>
      <c r="M121" s="17" t="s">
        <v>421</v>
      </c>
      <c r="N121" s="18" t="n">
        <v>33.51</v>
      </c>
      <c r="O121" s="16" t="s">
        <v>1534</v>
      </c>
      <c r="P121" s="16" t="s">
        <v>1700</v>
      </c>
      <c r="Q121" s="17" t="s">
        <v>1536</v>
      </c>
      <c r="R121" s="78" t="s">
        <v>1814</v>
      </c>
      <c r="S121" s="77" t="n">
        <f aca="false">IFERROR(INDEX('Injectable Value'!$Z$28:$Z$178,MATCH($C121,'Injectable Value'!$A$28:$A$178,0)),"")</f>
        <v>1</v>
      </c>
      <c r="T121" s="19" t="n">
        <f aca="false">IFERROR(ROUND(INDEX('Injectable Value'!$AA$28:$AA$178,MATCH($C121,'Injectable Value'!$A$28:$A$178,0)),1),"")</f>
        <v>53539.9</v>
      </c>
      <c r="U121" s="17" t="s">
        <v>424</v>
      </c>
      <c r="V121" s="16" t="n">
        <v>10</v>
      </c>
      <c r="W121" s="16" t="s">
        <v>423</v>
      </c>
      <c r="X121" s="16" t="s">
        <v>281</v>
      </c>
      <c r="Y121" s="16" t="s">
        <v>359</v>
      </c>
      <c r="Z121" s="17" t="str">
        <f aca="false">IFERROR(INDEX(Scoring!$U:$U,MATCH($C121&amp;"|"&amp;$E121,Scoring!$AD:$AD,0)),"")</f>
        <v>Reconstitution</v>
      </c>
      <c r="AA121" s="16" t="str">
        <f aca="false">IFERROR(INDEX(Scoring!$E:$E,MATCH($C121&amp;"|"&amp;$E121,Scoring!$AD:$AD,0)),"")</f>
        <v>Priority 1</v>
      </c>
      <c r="AB121" s="19" t="n">
        <f aca="false">IFERROR(INDEX(Scoring!$M:$M,MATCH($C121&amp;"|"&amp;$E121,Scoring!$AD:$AD,0)),"")</f>
        <v>223</v>
      </c>
      <c r="AC121" s="16" t="str">
        <f aca="false">IFERROR(INDEX('Route of Administration'!$C$5:$C$155,MATCH($C121,'Route of Administration'!$A$5:$A$155,0)),"")</f>
        <v>IV, IM</v>
      </c>
      <c r="AD121" s="15" t="str">
        <f aca="false">IFERROR(INDEX('Route of Administration'!$D$5:$D$155,MATCH($C121,'Route of Administration'!$A$5:$A$155,0)),"")</f>
        <v>Yes</v>
      </c>
      <c r="AE121" s="15" t="str">
        <f aca="false">IF($AD121="No","Not checked – drug is IV only",IFERROR(INDEX('Route of Administration'!$O$5:$O$170,MATCH($E121&amp;"|"&amp;$C121,'Route of Administration'!$S$5:$S$170,0)),"Not checked – price ≤ USD 5"))</f>
        <v>Pass</v>
      </c>
    </row>
    <row r="122" customFormat="false" ht="28.35" hidden="false" customHeight="false" outlineLevel="0" collapsed="false">
      <c r="B122" s="16" t="n">
        <v>120</v>
      </c>
      <c r="C122" s="16" t="s">
        <v>632</v>
      </c>
      <c r="D122" s="16" t="s">
        <v>1493</v>
      </c>
      <c r="E122" s="16" t="s">
        <v>230</v>
      </c>
      <c r="F122" s="16" t="s">
        <v>1821</v>
      </c>
      <c r="G122" s="17" t="s">
        <v>1822</v>
      </c>
      <c r="H122" s="16" t="s">
        <v>1533</v>
      </c>
      <c r="I122" s="18"/>
      <c r="J122" s="16" t="n">
        <v>1</v>
      </c>
      <c r="K122" s="16" t="n">
        <v>2582</v>
      </c>
      <c r="L122" s="19" t="n">
        <v>38106.07</v>
      </c>
      <c r="M122" s="17" t="s">
        <v>634</v>
      </c>
      <c r="N122" s="82" t="n">
        <v>23.15</v>
      </c>
      <c r="O122" s="64" t="s">
        <v>1541</v>
      </c>
      <c r="P122" s="16" t="s">
        <v>1535</v>
      </c>
      <c r="Q122" s="17" t="s">
        <v>1542</v>
      </c>
      <c r="R122" s="78" t="s">
        <v>1543</v>
      </c>
      <c r="S122" s="77" t="n">
        <f aca="false">IFERROR(INDEX('Injectable Value'!$Z$28:$Z$178,MATCH($C122,'Injectable Value'!$A$28:$A$178,0)),"")</f>
        <v>0.125875590958329</v>
      </c>
      <c r="T122" s="19" t="n">
        <f aca="false">IFERROR(ROUND(INDEX('Injectable Value'!$AA$28:$AA$178,MATCH($C122,'Injectable Value'!$A$28:$A$178,0)),1),"")</f>
        <v>4796.6</v>
      </c>
      <c r="U122" s="17" t="s">
        <v>635</v>
      </c>
      <c r="V122" s="16" t="n">
        <v>2</v>
      </c>
      <c r="W122" s="16" t="s">
        <v>284</v>
      </c>
      <c r="X122" s="16" t="s">
        <v>281</v>
      </c>
      <c r="Y122" s="16" t="s">
        <v>310</v>
      </c>
      <c r="Z122" s="17" t="str">
        <f aca="false">IFERROR(INDEX(Scoring!$U:$U,MATCH($C122&amp;"|"&amp;$E122,Scoring!$AD:$AD,0)),"")</f>
        <v>Reconstitution</v>
      </c>
      <c r="AA122" s="16" t="str">
        <f aca="false">IFERROR(INDEX(Scoring!$E:$E,MATCH($C122&amp;"|"&amp;$E122,Scoring!$AD:$AD,0)),"")</f>
        <v>Priority 2</v>
      </c>
      <c r="AB122" s="19" t="n">
        <f aca="false">IFERROR(INDEX(Scoring!$M:$M,MATCH($C122&amp;"|"&amp;$E122,Scoring!$AD:$AD,0)),"")</f>
        <v>325</v>
      </c>
      <c r="AC122" s="16" t="str">
        <f aca="false">IFERROR(INDEX('Route of Administration'!$C$5:$C$155,MATCH($C122,'Route of Administration'!$A$5:$A$155,0)),"")</f>
        <v>IV, IM</v>
      </c>
      <c r="AD122" s="15" t="str">
        <f aca="false">IFERROR(INDEX('Route of Administration'!$D$5:$D$155,MATCH($C122,'Route of Administration'!$A$5:$A$155,0)),"")</f>
        <v>Yes</v>
      </c>
      <c r="AE122" s="15" t="str">
        <f aca="false">IF($AD122="No","Not checked – drug is IV only",IFERROR(INDEX('Route of Administration'!$O$5:$O$170,MATCH($E122&amp;"|"&amp;$C122,'Route of Administration'!$S$5:$S$170,0)),"Not checked – price ≤ USD 5"))</f>
        <v>Pass</v>
      </c>
    </row>
    <row r="123" customFormat="false" ht="28.35" hidden="false" customHeight="false" outlineLevel="0" collapsed="false">
      <c r="B123" s="16" t="n">
        <v>121</v>
      </c>
      <c r="C123" s="16" t="s">
        <v>304</v>
      </c>
      <c r="D123" s="16" t="s">
        <v>304</v>
      </c>
      <c r="E123" s="16" t="s">
        <v>230</v>
      </c>
      <c r="F123" s="16" t="s">
        <v>1550</v>
      </c>
      <c r="G123" s="17" t="s">
        <v>1823</v>
      </c>
      <c r="H123" s="16" t="s">
        <v>1540</v>
      </c>
      <c r="I123" s="18"/>
      <c r="J123" s="16" t="n">
        <v>1</v>
      </c>
      <c r="K123" s="16" t="n">
        <v>51</v>
      </c>
      <c r="L123" s="19" t="n">
        <v>5770.02</v>
      </c>
      <c r="M123" s="17" t="s">
        <v>305</v>
      </c>
      <c r="N123" s="82" t="n">
        <v>3.99</v>
      </c>
      <c r="O123" s="64" t="s">
        <v>1541</v>
      </c>
      <c r="P123" s="16" t="s">
        <v>1535</v>
      </c>
      <c r="Q123" s="17" t="s">
        <v>1542</v>
      </c>
      <c r="R123" s="78" t="s">
        <v>1543</v>
      </c>
      <c r="S123" s="77" t="n">
        <f aca="false">IFERROR(INDEX('Injectable Value'!$Z$28:$Z$178,MATCH($C123,'Injectable Value'!$A$28:$A$178,0)),"")</f>
        <v>0.468334010008564</v>
      </c>
      <c r="T123" s="19" t="n">
        <f aca="false">IFERROR(ROUND(INDEX('Injectable Value'!$AA$28:$AA$178,MATCH($C123,'Injectable Value'!$A$28:$A$178,0)),1),"")</f>
        <v>2702.3</v>
      </c>
      <c r="U123" s="17" t="s">
        <v>284</v>
      </c>
      <c r="V123" s="16" t="n">
        <v>1</v>
      </c>
      <c r="W123" s="16" t="s">
        <v>284</v>
      </c>
      <c r="X123" s="16" t="s">
        <v>291</v>
      </c>
      <c r="Y123" s="16" t="s">
        <v>283</v>
      </c>
      <c r="Z123" s="17" t="str">
        <f aca="false">IFERROR(INDEX(Scoring!$U:$U,MATCH($C123&amp;"|"&amp;$E123,Scoring!$AD:$AD,0)),"")</f>
        <v/>
      </c>
      <c r="AA123" s="16" t="str">
        <f aca="false">IFERROR(INDEX(Scoring!$E:$E,MATCH($C123&amp;"|"&amp;$E123,Scoring!$AD:$AD,0)),"")</f>
        <v>Priority 2</v>
      </c>
      <c r="AB123" s="19" t="n">
        <f aca="false">IFERROR(INDEX(Scoring!$M:$M,MATCH($C123&amp;"|"&amp;$E123,Scoring!$AD:$AD,0)),"")</f>
        <v>24</v>
      </c>
      <c r="AC123" s="16" t="str">
        <f aca="false">IFERROR(INDEX('Route of Administration'!$C$5:$C$155,MATCH($C123,'Route of Administration'!$A$5:$A$155,0)),"")</f>
        <v>IV, IM, SC</v>
      </c>
      <c r="AD123" s="15" t="str">
        <f aca="false">IFERROR(INDEX('Route of Administration'!$D$5:$D$155,MATCH($C123,'Route of Administration'!$A$5:$A$155,0)),"")</f>
        <v>Yes</v>
      </c>
      <c r="AE123" s="15" t="str">
        <f aca="false">IF($AD123="No","Not checked – drug is IV only",IFERROR(INDEX('Route of Administration'!$O$5:$O$170,MATCH($E123&amp;"|"&amp;$C123,'Route of Administration'!$S$5:$S$170,0)),"Not checked – price ≤ USD 5"))</f>
        <v>Pass</v>
      </c>
    </row>
    <row r="124" customFormat="false" ht="28.35" hidden="false" customHeight="false" outlineLevel="0" collapsed="false">
      <c r="B124" s="16" t="n">
        <v>122</v>
      </c>
      <c r="C124" s="16" t="s">
        <v>304</v>
      </c>
      <c r="D124" s="16" t="s">
        <v>304</v>
      </c>
      <c r="E124" s="16" t="s">
        <v>230</v>
      </c>
      <c r="F124" s="16" t="s">
        <v>1824</v>
      </c>
      <c r="G124" s="17" t="s">
        <v>1825</v>
      </c>
      <c r="H124" s="16" t="s">
        <v>1826</v>
      </c>
      <c r="I124" s="18"/>
      <c r="J124" s="16" t="n">
        <v>1</v>
      </c>
      <c r="K124" s="16" t="n">
        <v>51</v>
      </c>
      <c r="L124" s="19" t="n">
        <v>5770.02</v>
      </c>
      <c r="M124" s="17" t="s">
        <v>305</v>
      </c>
      <c r="N124" s="82" t="n">
        <v>39.89</v>
      </c>
      <c r="O124" s="64" t="s">
        <v>1541</v>
      </c>
      <c r="P124" s="16" t="s">
        <v>1535</v>
      </c>
      <c r="Q124" s="17" t="s">
        <v>1542</v>
      </c>
      <c r="R124" s="78" t="s">
        <v>1543</v>
      </c>
      <c r="S124" s="77" t="n">
        <f aca="false">IFERROR(INDEX('Injectable Value'!$Z$28:$Z$178,MATCH($C124,'Injectable Value'!$A$28:$A$178,0)),"")</f>
        <v>0.468334010008564</v>
      </c>
      <c r="T124" s="19" t="n">
        <f aca="false">IFERROR(ROUND(INDEX('Injectable Value'!$AA$28:$AA$178,MATCH($C124,'Injectable Value'!$A$28:$A$178,0)),1),"")</f>
        <v>2702.3</v>
      </c>
      <c r="U124" s="17" t="s">
        <v>284</v>
      </c>
      <c r="V124" s="16" t="n">
        <v>1</v>
      </c>
      <c r="W124" s="16" t="s">
        <v>284</v>
      </c>
      <c r="X124" s="16" t="s">
        <v>281</v>
      </c>
      <c r="Y124" s="16" t="s">
        <v>283</v>
      </c>
      <c r="Z124" s="17" t="str">
        <f aca="false">IFERROR(INDEX(Scoring!$U:$U,MATCH($C124&amp;"|"&amp;$E124,Scoring!$AD:$AD,0)),"")</f>
        <v/>
      </c>
      <c r="AA124" s="16" t="str">
        <f aca="false">IFERROR(INDEX(Scoring!$E:$E,MATCH($C124&amp;"|"&amp;$E124,Scoring!$AD:$AD,0)),"")</f>
        <v>Priority 2</v>
      </c>
      <c r="AB124" s="19" t="n">
        <f aca="false">IFERROR(INDEX(Scoring!$M:$M,MATCH($C124&amp;"|"&amp;$E124,Scoring!$AD:$AD,0)),"")</f>
        <v>24</v>
      </c>
      <c r="AC124" s="16" t="str">
        <f aca="false">IFERROR(INDEX('Route of Administration'!$C$5:$C$155,MATCH($C124,'Route of Administration'!$A$5:$A$155,0)),"")</f>
        <v>IV, IM, SC</v>
      </c>
      <c r="AD124" s="15" t="str">
        <f aca="false">IFERROR(INDEX('Route of Administration'!$D$5:$D$155,MATCH($C124,'Route of Administration'!$A$5:$A$155,0)),"")</f>
        <v>Yes</v>
      </c>
      <c r="AE124" s="15" t="str">
        <f aca="false">IF($AD124="No","Not checked – drug is IV only",IFERROR(INDEX('Route of Administration'!$O$5:$O$170,MATCH($E124&amp;"|"&amp;$C124,'Route of Administration'!$S$5:$S$170,0)),"Not checked – price ≤ USD 5"))</f>
        <v>Pass</v>
      </c>
    </row>
    <row r="125" customFormat="false" ht="41.75" hidden="false" customHeight="false" outlineLevel="0" collapsed="false">
      <c r="B125" s="16" t="n">
        <v>123</v>
      </c>
      <c r="C125" s="16" t="s">
        <v>573</v>
      </c>
      <c r="D125" s="16" t="s">
        <v>573</v>
      </c>
      <c r="E125" s="16" t="s">
        <v>230</v>
      </c>
      <c r="F125" s="16" t="s">
        <v>1610</v>
      </c>
      <c r="G125" s="17" t="s">
        <v>1827</v>
      </c>
      <c r="H125" s="16" t="s">
        <v>1533</v>
      </c>
      <c r="I125" s="18" t="n">
        <v>27.26</v>
      </c>
      <c r="J125" s="16" t="n">
        <v>1</v>
      </c>
      <c r="K125" s="16" t="n">
        <v>307</v>
      </c>
      <c r="L125" s="19" t="n">
        <v>7276.73</v>
      </c>
      <c r="M125" s="17" t="s">
        <v>574</v>
      </c>
      <c r="N125" s="18" t="n">
        <v>27.26</v>
      </c>
      <c r="O125" s="16" t="s">
        <v>1534</v>
      </c>
      <c r="P125" s="16" t="s">
        <v>1535</v>
      </c>
      <c r="Q125" s="17" t="s">
        <v>1536</v>
      </c>
      <c r="R125" s="78" t="s">
        <v>1612</v>
      </c>
      <c r="S125" s="77" t="n">
        <f aca="false">IFERROR(INDEX('Injectable Value'!$Z$28:$Z$178,MATCH($C125,'Injectable Value'!$A$28:$A$178,0)),"")</f>
        <v>0.947368421052632</v>
      </c>
      <c r="T125" s="19" t="n">
        <f aca="false">IFERROR(ROUND(INDEX('Injectable Value'!$AA$28:$AA$178,MATCH($C125,'Injectable Value'!$A$28:$A$178,0)),1),"")</f>
        <v>6893.7</v>
      </c>
      <c r="U125" s="17" t="s">
        <v>284</v>
      </c>
      <c r="V125" s="16" t="n">
        <v>1</v>
      </c>
      <c r="W125" s="16" t="s">
        <v>284</v>
      </c>
      <c r="X125" s="16" t="s">
        <v>281</v>
      </c>
      <c r="Y125" s="16" t="s">
        <v>283</v>
      </c>
      <c r="Z125" s="17" t="str">
        <f aca="false">IFERROR(INDEX(Scoring!$U:$U,MATCH($C125&amp;"|"&amp;$E125,Scoring!$AD:$AD,0)),"")</f>
        <v/>
      </c>
      <c r="AA125" s="16" t="str">
        <f aca="false">IFERROR(INDEX(Scoring!$E:$E,MATCH($C125&amp;"|"&amp;$E125,Scoring!$AD:$AD,0)),"")</f>
        <v>Priority 2</v>
      </c>
      <c r="AB125" s="19" t="n">
        <f aca="false">IFERROR(INDEX(Scoring!$M:$M,MATCH($C125&amp;"|"&amp;$E125,Scoring!$AD:$AD,0)),"")</f>
        <v>291</v>
      </c>
      <c r="AC125" s="16" t="str">
        <f aca="false">IFERROR(INDEX('Route of Administration'!$C$5:$C$155,MATCH($C125,'Route of Administration'!$A$5:$A$155,0)),"")</f>
        <v>IM</v>
      </c>
      <c r="AD125" s="15" t="str">
        <f aca="false">IFERROR(INDEX('Route of Administration'!$D$5:$D$155,MATCH($C125,'Route of Administration'!$A$5:$A$155,0)),"")</f>
        <v>Yes</v>
      </c>
      <c r="AE125" s="15" t="str">
        <f aca="false">IF($AD125="No","Not checked – drug is IV only",IFERROR(INDEX('Route of Administration'!$O$5:$O$170,MATCH($E125&amp;"|"&amp;$C125,'Route of Administration'!$S$5:$S$170,0)),"Not checked – price ≤ USD 5"))</f>
        <v>Pass</v>
      </c>
    </row>
    <row r="126" customFormat="false" ht="55.2" hidden="false" customHeight="false" outlineLevel="0" collapsed="false">
      <c r="B126" s="16" t="n">
        <v>124</v>
      </c>
      <c r="C126" s="16" t="s">
        <v>573</v>
      </c>
      <c r="D126" s="16" t="s">
        <v>573</v>
      </c>
      <c r="E126" s="16" t="s">
        <v>230</v>
      </c>
      <c r="F126" s="16" t="s">
        <v>1613</v>
      </c>
      <c r="G126" s="17" t="s">
        <v>1828</v>
      </c>
      <c r="H126" s="16" t="s">
        <v>1533</v>
      </c>
      <c r="I126" s="18" t="n">
        <v>14</v>
      </c>
      <c r="J126" s="16" t="n">
        <v>1</v>
      </c>
      <c r="K126" s="16" t="n">
        <v>307</v>
      </c>
      <c r="L126" s="19" t="n">
        <v>7276.73</v>
      </c>
      <c r="M126" s="17" t="s">
        <v>574</v>
      </c>
      <c r="N126" s="18" t="n">
        <v>14</v>
      </c>
      <c r="O126" s="16" t="s">
        <v>1534</v>
      </c>
      <c r="P126" s="16" t="s">
        <v>1535</v>
      </c>
      <c r="Q126" s="17" t="s">
        <v>1536</v>
      </c>
      <c r="R126" s="78" t="s">
        <v>1612</v>
      </c>
      <c r="S126" s="77" t="n">
        <f aca="false">IFERROR(INDEX('Injectable Value'!$Z$28:$Z$178,MATCH($C126,'Injectable Value'!$A$28:$A$178,0)),"")</f>
        <v>0.947368421052632</v>
      </c>
      <c r="T126" s="19" t="n">
        <f aca="false">IFERROR(ROUND(INDEX('Injectable Value'!$AA$28:$AA$178,MATCH($C126,'Injectable Value'!$A$28:$A$178,0)),1),"")</f>
        <v>6893.7</v>
      </c>
      <c r="U126" s="17" t="s">
        <v>284</v>
      </c>
      <c r="V126" s="16" t="n">
        <v>1</v>
      </c>
      <c r="W126" s="16" t="s">
        <v>284</v>
      </c>
      <c r="X126" s="16" t="s">
        <v>281</v>
      </c>
      <c r="Y126" s="16" t="s">
        <v>283</v>
      </c>
      <c r="Z126" s="17" t="str">
        <f aca="false">IFERROR(INDEX(Scoring!$U:$U,MATCH($C126&amp;"|"&amp;$E126,Scoring!$AD:$AD,0)),"")</f>
        <v/>
      </c>
      <c r="AA126" s="16" t="str">
        <f aca="false">IFERROR(INDEX(Scoring!$E:$E,MATCH($C126&amp;"|"&amp;$E126,Scoring!$AD:$AD,0)),"")</f>
        <v>Priority 2</v>
      </c>
      <c r="AB126" s="19" t="n">
        <f aca="false">IFERROR(INDEX(Scoring!$M:$M,MATCH($C126&amp;"|"&amp;$E126,Scoring!$AD:$AD,0)),"")</f>
        <v>291</v>
      </c>
      <c r="AC126" s="16" t="str">
        <f aca="false">IFERROR(INDEX('Route of Administration'!$C$5:$C$155,MATCH($C126,'Route of Administration'!$A$5:$A$155,0)),"")</f>
        <v>IM</v>
      </c>
      <c r="AD126" s="15" t="str">
        <f aca="false">IFERROR(INDEX('Route of Administration'!$D$5:$D$155,MATCH($C126,'Route of Administration'!$A$5:$A$155,0)),"")</f>
        <v>Yes</v>
      </c>
      <c r="AE126" s="15" t="str">
        <f aca="false">IF($AD126="No","Not checked – drug is IV only",IFERROR(INDEX('Route of Administration'!$O$5:$O$170,MATCH($E126&amp;"|"&amp;$C126,'Route of Administration'!$S$5:$S$170,0)),"Not checked – price ≤ USD 5"))</f>
        <v>Pass</v>
      </c>
    </row>
    <row r="127" customFormat="false" ht="28.35" hidden="false" customHeight="false" outlineLevel="0" collapsed="false">
      <c r="B127" s="16" t="n">
        <v>125</v>
      </c>
      <c r="C127" s="16" t="s">
        <v>642</v>
      </c>
      <c r="D127" s="16" t="s">
        <v>643</v>
      </c>
      <c r="E127" s="16" t="s">
        <v>230</v>
      </c>
      <c r="F127" s="16" t="s">
        <v>1829</v>
      </c>
      <c r="G127" s="17" t="s">
        <v>1830</v>
      </c>
      <c r="H127" s="16" t="s">
        <v>1540</v>
      </c>
      <c r="I127" s="18" t="n">
        <v>6545.62</v>
      </c>
      <c r="J127" s="16" t="n">
        <v>1</v>
      </c>
      <c r="K127" s="16" t="n">
        <v>25</v>
      </c>
      <c r="L127" s="19" t="n">
        <v>0.23</v>
      </c>
      <c r="M127" s="17" t="s">
        <v>644</v>
      </c>
      <c r="N127" s="18" t="n">
        <v>6545.62</v>
      </c>
      <c r="O127" s="16" t="s">
        <v>1534</v>
      </c>
      <c r="P127" s="16" t="s">
        <v>1535</v>
      </c>
      <c r="Q127" s="17" t="s">
        <v>1536</v>
      </c>
      <c r="R127" s="78" t="s">
        <v>1831</v>
      </c>
      <c r="S127" s="77" t="n">
        <f aca="false">IFERROR(INDEX('Injectable Value'!$Z$28:$Z$178,MATCH($C127,'Injectable Value'!$A$28:$A$178,0)),"")</f>
        <v>1</v>
      </c>
      <c r="T127" s="19" t="n">
        <f aca="false">IFERROR(ROUND(INDEX('Injectable Value'!$AA$28:$AA$178,MATCH($C127,'Injectable Value'!$A$28:$A$178,0)),1),"")</f>
        <v>0.2</v>
      </c>
      <c r="U127" s="17" t="s">
        <v>284</v>
      </c>
      <c r="V127" s="16" t="n">
        <v>1</v>
      </c>
      <c r="W127" s="16" t="s">
        <v>284</v>
      </c>
      <c r="X127" s="16" t="s">
        <v>291</v>
      </c>
      <c r="Y127" s="16" t="s">
        <v>283</v>
      </c>
      <c r="Z127" s="17" t="str">
        <f aca="false">IFERROR(INDEX(Scoring!$U:$U,MATCH($C127&amp;"|"&amp;$E127,Scoring!$AD:$AD,0)),"")</f>
        <v>Prefilled only</v>
      </c>
      <c r="AA127" s="16" t="str">
        <f aca="false">IFERROR(INDEX(Scoring!$E:$E,MATCH($C127&amp;"|"&amp;$E127,Scoring!$AD:$AD,0)),"")</f>
        <v>Priority 2</v>
      </c>
      <c r="AB127" s="19" t="n">
        <f aca="false">IFERROR(INDEX(Scoring!$M:$M,MATCH($C127&amp;"|"&amp;$E127,Scoring!$AD:$AD,0)),"")</f>
        <v>25</v>
      </c>
      <c r="AC127" s="16" t="str">
        <f aca="false">IFERROR(INDEX('Route of Administration'!$C$5:$C$155,MATCH($C127,'Route of Administration'!$A$5:$A$155,0)),"")</f>
        <v>SC</v>
      </c>
      <c r="AD127" s="15" t="str">
        <f aca="false">IFERROR(INDEX('Route of Administration'!$D$5:$D$155,MATCH($C127,'Route of Administration'!$A$5:$A$155,0)),"")</f>
        <v>Yes</v>
      </c>
      <c r="AE127" s="15" t="str">
        <f aca="false">IF($AD127="No","Not checked – drug is IV only",IFERROR(INDEX('Route of Administration'!$O$5:$O$170,MATCH($E127&amp;"|"&amp;$C127,'Route of Administration'!$S$5:$S$170,0)),"Not checked – price ≤ USD 5"))</f>
        <v>Pass</v>
      </c>
    </row>
    <row r="128" customFormat="false" ht="28.35" hidden="false" customHeight="false" outlineLevel="0" collapsed="false">
      <c r="B128" s="16" t="n">
        <v>126</v>
      </c>
      <c r="C128" s="16" t="s">
        <v>642</v>
      </c>
      <c r="D128" s="16" t="s">
        <v>643</v>
      </c>
      <c r="E128" s="16" t="s">
        <v>230</v>
      </c>
      <c r="F128" s="16" t="s">
        <v>1832</v>
      </c>
      <c r="G128" s="17" t="s">
        <v>1833</v>
      </c>
      <c r="H128" s="16" t="s">
        <v>1540</v>
      </c>
      <c r="I128" s="18" t="n">
        <v>8714.12</v>
      </c>
      <c r="J128" s="16" t="n">
        <v>1</v>
      </c>
      <c r="K128" s="16" t="n">
        <v>25</v>
      </c>
      <c r="L128" s="19" t="n">
        <v>0.23</v>
      </c>
      <c r="M128" s="17" t="s">
        <v>644</v>
      </c>
      <c r="N128" s="18" t="n">
        <v>8714.12</v>
      </c>
      <c r="O128" s="16" t="s">
        <v>1534</v>
      </c>
      <c r="P128" s="16" t="s">
        <v>1535</v>
      </c>
      <c r="Q128" s="17" t="s">
        <v>1536</v>
      </c>
      <c r="R128" s="78" t="s">
        <v>1831</v>
      </c>
      <c r="S128" s="77" t="n">
        <f aca="false">IFERROR(INDEX('Injectable Value'!$Z$28:$Z$178,MATCH($C128,'Injectable Value'!$A$28:$A$178,0)),"")</f>
        <v>1</v>
      </c>
      <c r="T128" s="19" t="n">
        <f aca="false">IFERROR(ROUND(INDEX('Injectable Value'!$AA$28:$AA$178,MATCH($C128,'Injectable Value'!$A$28:$A$178,0)),1),"")</f>
        <v>0.2</v>
      </c>
      <c r="U128" s="17" t="s">
        <v>284</v>
      </c>
      <c r="V128" s="16" t="n">
        <v>1</v>
      </c>
      <c r="W128" s="16" t="s">
        <v>284</v>
      </c>
      <c r="X128" s="16" t="s">
        <v>291</v>
      </c>
      <c r="Y128" s="16" t="s">
        <v>283</v>
      </c>
      <c r="Z128" s="17" t="str">
        <f aca="false">IFERROR(INDEX(Scoring!$U:$U,MATCH($C128&amp;"|"&amp;$E128,Scoring!$AD:$AD,0)),"")</f>
        <v>Prefilled only</v>
      </c>
      <c r="AA128" s="16" t="str">
        <f aca="false">IFERROR(INDEX(Scoring!$E:$E,MATCH($C128&amp;"|"&amp;$E128,Scoring!$AD:$AD,0)),"")</f>
        <v>Priority 2</v>
      </c>
      <c r="AB128" s="19" t="n">
        <f aca="false">IFERROR(INDEX(Scoring!$M:$M,MATCH($C128&amp;"|"&amp;$E128,Scoring!$AD:$AD,0)),"")</f>
        <v>25</v>
      </c>
      <c r="AC128" s="16" t="str">
        <f aca="false">IFERROR(INDEX('Route of Administration'!$C$5:$C$155,MATCH($C128,'Route of Administration'!$A$5:$A$155,0)),"")</f>
        <v>SC</v>
      </c>
      <c r="AD128" s="15" t="str">
        <f aca="false">IFERROR(INDEX('Route of Administration'!$D$5:$D$155,MATCH($C128,'Route of Administration'!$A$5:$A$155,0)),"")</f>
        <v>Yes</v>
      </c>
      <c r="AE128" s="15" t="str">
        <f aca="false">IF($AD128="No","Not checked – drug is IV only",IFERROR(INDEX('Route of Administration'!$O$5:$O$170,MATCH($E128&amp;"|"&amp;$C128,'Route of Administration'!$S$5:$S$170,0)),"Not checked – price ≤ USD 5"))</f>
        <v>Pass</v>
      </c>
    </row>
    <row r="129" customFormat="false" ht="28.35" hidden="false" customHeight="false" outlineLevel="0" collapsed="false">
      <c r="B129" s="16" t="n">
        <v>127</v>
      </c>
      <c r="C129" s="16" t="s">
        <v>642</v>
      </c>
      <c r="D129" s="16" t="s">
        <v>643</v>
      </c>
      <c r="E129" s="16" t="s">
        <v>230</v>
      </c>
      <c r="F129" s="16" t="s">
        <v>1834</v>
      </c>
      <c r="G129" s="17" t="s">
        <v>1835</v>
      </c>
      <c r="H129" s="16" t="s">
        <v>1540</v>
      </c>
      <c r="I129" s="18" t="n">
        <v>2652.02</v>
      </c>
      <c r="J129" s="16" t="n">
        <v>1</v>
      </c>
      <c r="K129" s="16" t="n">
        <v>25</v>
      </c>
      <c r="L129" s="19" t="n">
        <v>0.23</v>
      </c>
      <c r="M129" s="17" t="s">
        <v>644</v>
      </c>
      <c r="N129" s="18" t="n">
        <v>2652.02</v>
      </c>
      <c r="O129" s="16" t="s">
        <v>1534</v>
      </c>
      <c r="P129" s="16" t="s">
        <v>1535</v>
      </c>
      <c r="Q129" s="17" t="s">
        <v>1536</v>
      </c>
      <c r="R129" s="78" t="s">
        <v>1836</v>
      </c>
      <c r="S129" s="77" t="n">
        <f aca="false">IFERROR(INDEX('Injectable Value'!$Z$28:$Z$178,MATCH($C129,'Injectable Value'!$A$28:$A$178,0)),"")</f>
        <v>1</v>
      </c>
      <c r="T129" s="19" t="n">
        <f aca="false">IFERROR(ROUND(INDEX('Injectable Value'!$AA$28:$AA$178,MATCH($C129,'Injectable Value'!$A$28:$A$178,0)),1),"")</f>
        <v>0.2</v>
      </c>
      <c r="U129" s="17" t="s">
        <v>284</v>
      </c>
      <c r="V129" s="16" t="n">
        <v>1</v>
      </c>
      <c r="W129" s="16" t="s">
        <v>284</v>
      </c>
      <c r="X129" s="16" t="s">
        <v>291</v>
      </c>
      <c r="Y129" s="16" t="s">
        <v>283</v>
      </c>
      <c r="Z129" s="17" t="str">
        <f aca="false">IFERROR(INDEX(Scoring!$U:$U,MATCH($C129&amp;"|"&amp;$E129,Scoring!$AD:$AD,0)),"")</f>
        <v>Prefilled only</v>
      </c>
      <c r="AA129" s="16" t="str">
        <f aca="false">IFERROR(INDEX(Scoring!$E:$E,MATCH($C129&amp;"|"&amp;$E129,Scoring!$AD:$AD,0)),"")</f>
        <v>Priority 2</v>
      </c>
      <c r="AB129" s="19" t="n">
        <f aca="false">IFERROR(INDEX(Scoring!$M:$M,MATCH($C129&amp;"|"&amp;$E129,Scoring!$AD:$AD,0)),"")</f>
        <v>25</v>
      </c>
      <c r="AC129" s="16" t="str">
        <f aca="false">IFERROR(INDEX('Route of Administration'!$C$5:$C$155,MATCH($C129,'Route of Administration'!$A$5:$A$155,0)),"")</f>
        <v>SC</v>
      </c>
      <c r="AD129" s="15" t="str">
        <f aca="false">IFERROR(INDEX('Route of Administration'!$D$5:$D$155,MATCH($C129,'Route of Administration'!$A$5:$A$155,0)),"")</f>
        <v>Yes</v>
      </c>
      <c r="AE129" s="15" t="str">
        <f aca="false">IF($AD129="No","Not checked – drug is IV only",IFERROR(INDEX('Route of Administration'!$O$5:$O$170,MATCH($E129&amp;"|"&amp;$C129,'Route of Administration'!$S$5:$S$170,0)),"Not checked – price ≤ USD 5"))</f>
        <v>Pass</v>
      </c>
    </row>
    <row r="130" customFormat="false" ht="28.35" hidden="false" customHeight="false" outlineLevel="0" collapsed="false">
      <c r="B130" s="16" t="n">
        <v>128</v>
      </c>
      <c r="C130" s="16" t="s">
        <v>388</v>
      </c>
      <c r="D130" s="16" t="s">
        <v>388</v>
      </c>
      <c r="E130" s="16" t="s">
        <v>230</v>
      </c>
      <c r="F130" s="16" t="s">
        <v>1837</v>
      </c>
      <c r="G130" s="17" t="s">
        <v>1838</v>
      </c>
      <c r="H130" s="16" t="s">
        <v>1533</v>
      </c>
      <c r="I130" s="18" t="n">
        <v>81.96</v>
      </c>
      <c r="J130" s="16" t="n">
        <v>1</v>
      </c>
      <c r="K130" s="16" t="n">
        <v>312</v>
      </c>
      <c r="L130" s="19" t="n">
        <v>59827.18</v>
      </c>
      <c r="M130" s="17" t="s">
        <v>390</v>
      </c>
      <c r="N130" s="18" t="n">
        <v>81.96</v>
      </c>
      <c r="O130" s="16" t="s">
        <v>1534</v>
      </c>
      <c r="P130" s="16" t="s">
        <v>1700</v>
      </c>
      <c r="Q130" s="17" t="s">
        <v>1536</v>
      </c>
      <c r="R130" s="78" t="s">
        <v>1839</v>
      </c>
      <c r="S130" s="77" t="n">
        <f aca="false">IFERROR(INDEX('Injectable Value'!$Z$28:$Z$178,MATCH($C130,'Injectable Value'!$A$28:$A$178,0)),"")</f>
        <v>1</v>
      </c>
      <c r="T130" s="19" t="n">
        <f aca="false">IFERROR(ROUND(INDEX('Injectable Value'!$AA$28:$AA$178,MATCH($C130,'Injectable Value'!$A$28:$A$178,0)),1),"")</f>
        <v>59827.2</v>
      </c>
      <c r="U130" s="17" t="s">
        <v>628</v>
      </c>
      <c r="V130" s="16" t="n">
        <v>5</v>
      </c>
      <c r="W130" s="16" t="s">
        <v>627</v>
      </c>
      <c r="X130" s="16" t="s">
        <v>281</v>
      </c>
      <c r="Y130" s="16" t="s">
        <v>283</v>
      </c>
      <c r="Z130" s="17" t="str">
        <f aca="false">IFERROR(INDEX(Scoring!$U:$U,MATCH($C130&amp;"|"&amp;$E130,Scoring!$AD:$AD,0)),"")</f>
        <v>Reconstitution</v>
      </c>
      <c r="AA130" s="16" t="str">
        <f aca="false">IFERROR(INDEX(Scoring!$E:$E,MATCH($C130&amp;"|"&amp;$E130,Scoring!$AD:$AD,0)),"")</f>
        <v>Excluded – IV only</v>
      </c>
      <c r="AB130" s="19" t="n">
        <f aca="false">IFERROR(INDEX(Scoring!$M:$M,MATCH($C130&amp;"|"&amp;$E130,Scoring!$AD:$AD,0)),"")</f>
        <v>312</v>
      </c>
      <c r="AC130" s="16" t="str">
        <f aca="false">IFERROR(INDEX('Route of Administration'!$C$5:$C$155,MATCH($C130,'Route of Administration'!$A$5:$A$155,0)),"")</f>
        <v>IV</v>
      </c>
      <c r="AD130" s="15" t="str">
        <f aca="false">IFERROR(INDEX('Route of Administration'!$D$5:$D$155,MATCH($C130,'Route of Administration'!$A$5:$A$155,0)),"")</f>
        <v>No</v>
      </c>
      <c r="AE130" s="15" t="str">
        <f aca="false">IF($AD130="No","Not checked – drug is IV only",IFERROR(INDEX('Route of Administration'!$O$5:$O$170,MATCH($E130&amp;"|"&amp;$C130,'Route of Administration'!$S$5:$S$170,0)),"Not checked – price ≤ USD 5"))</f>
        <v>Not checked – drug is IV only</v>
      </c>
    </row>
    <row r="131" customFormat="false" ht="28.35" hidden="false" customHeight="false" outlineLevel="0" collapsed="false">
      <c r="B131" s="16" t="n">
        <v>129</v>
      </c>
      <c r="C131" s="16" t="s">
        <v>388</v>
      </c>
      <c r="D131" s="16" t="s">
        <v>1840</v>
      </c>
      <c r="E131" s="16" t="s">
        <v>230</v>
      </c>
      <c r="F131" s="16" t="s">
        <v>1716</v>
      </c>
      <c r="G131" s="17" t="s">
        <v>1717</v>
      </c>
      <c r="H131" s="16" t="s">
        <v>1533</v>
      </c>
      <c r="I131" s="18" t="n">
        <v>93.7335</v>
      </c>
      <c r="J131" s="16" t="n">
        <v>28</v>
      </c>
      <c r="K131" s="16" t="n">
        <v>312</v>
      </c>
      <c r="L131" s="19" t="n">
        <v>59827.18</v>
      </c>
      <c r="M131" s="17" t="s">
        <v>390</v>
      </c>
      <c r="N131" s="18" t="n">
        <v>93.7335</v>
      </c>
      <c r="O131" s="16" t="s">
        <v>1534</v>
      </c>
      <c r="P131" s="16" t="s">
        <v>1561</v>
      </c>
      <c r="Q131" s="17" t="s">
        <v>1536</v>
      </c>
      <c r="R131" s="78" t="s">
        <v>1701</v>
      </c>
      <c r="S131" s="77" t="n">
        <f aca="false">IFERROR(INDEX('Injectable Value'!$Z$28:$Z$178,MATCH($C131,'Injectable Value'!$A$28:$A$178,0)),"")</f>
        <v>1</v>
      </c>
      <c r="T131" s="19" t="n">
        <f aca="false">IFERROR(ROUND(INDEX('Injectable Value'!$AA$28:$AA$178,MATCH($C131,'Injectable Value'!$A$28:$A$178,0)),1),"")</f>
        <v>59827.2</v>
      </c>
      <c r="U131" s="17" t="s">
        <v>628</v>
      </c>
      <c r="V131" s="16" t="n">
        <v>5</v>
      </c>
      <c r="W131" s="16" t="s">
        <v>627</v>
      </c>
      <c r="X131" s="16" t="s">
        <v>281</v>
      </c>
      <c r="Y131" s="16" t="s">
        <v>333</v>
      </c>
      <c r="Z131" s="17" t="str">
        <f aca="false">IFERROR(INDEX(Scoring!$U:$U,MATCH($C131&amp;"|"&amp;$E131,Scoring!$AD:$AD,0)),"")</f>
        <v>Reconstitution</v>
      </c>
      <c r="AA131" s="16" t="str">
        <f aca="false">IFERROR(INDEX(Scoring!$E:$E,MATCH($C131&amp;"|"&amp;$E131,Scoring!$AD:$AD,0)),"")</f>
        <v>Excluded – IV only</v>
      </c>
      <c r="AB131" s="19" t="n">
        <f aca="false">IFERROR(INDEX(Scoring!$M:$M,MATCH($C131&amp;"|"&amp;$E131,Scoring!$AD:$AD,0)),"")</f>
        <v>312</v>
      </c>
      <c r="AC131" s="16" t="str">
        <f aca="false">IFERROR(INDEX('Route of Administration'!$C$5:$C$155,MATCH($C131,'Route of Administration'!$A$5:$A$155,0)),"")</f>
        <v>IV</v>
      </c>
      <c r="AD131" s="15" t="str">
        <f aca="false">IFERROR(INDEX('Route of Administration'!$D$5:$D$155,MATCH($C131,'Route of Administration'!$A$5:$A$155,0)),"")</f>
        <v>No</v>
      </c>
      <c r="AE131" s="15" t="str">
        <f aca="false">IF($AD131="No","Not checked – drug is IV only",IFERROR(INDEX('Route of Administration'!$O$5:$O$170,MATCH($E131&amp;"|"&amp;$C131,'Route of Administration'!$S$5:$S$170,0)),"Not checked – price ≤ USD 5"))</f>
        <v>Not checked – drug is IV only</v>
      </c>
    </row>
    <row r="132" customFormat="false" ht="41.75" hidden="false" customHeight="false" outlineLevel="0" collapsed="false">
      <c r="B132" s="16" t="n">
        <v>130</v>
      </c>
      <c r="C132" s="16" t="s">
        <v>295</v>
      </c>
      <c r="D132" s="16" t="s">
        <v>631</v>
      </c>
      <c r="E132" s="16" t="s">
        <v>230</v>
      </c>
      <c r="F132" s="16" t="s">
        <v>1728</v>
      </c>
      <c r="G132" s="17" t="s">
        <v>1841</v>
      </c>
      <c r="H132" s="16" t="s">
        <v>1540</v>
      </c>
      <c r="I132" s="18" t="n">
        <v>531.8684</v>
      </c>
      <c r="J132" s="16" t="n">
        <v>31</v>
      </c>
      <c r="K132" s="16" t="n">
        <v>146</v>
      </c>
      <c r="L132" s="19" t="n">
        <v>11366.06</v>
      </c>
      <c r="M132" s="17" t="s">
        <v>296</v>
      </c>
      <c r="N132" s="82" t="n">
        <v>100.05</v>
      </c>
      <c r="O132" s="64" t="s">
        <v>1724</v>
      </c>
      <c r="P132" s="64" t="s">
        <v>1700</v>
      </c>
      <c r="Q132" s="83" t="s">
        <v>1842</v>
      </c>
      <c r="R132" s="78" t="s">
        <v>1843</v>
      </c>
      <c r="S132" s="77" t="n">
        <f aca="false">IFERROR(INDEX('Injectable Value'!$Z$28:$Z$178,MATCH($C132,'Injectable Value'!$A$28:$A$178,0)),"")</f>
        <v>1</v>
      </c>
      <c r="T132" s="19" t="n">
        <f aca="false">IFERROR(ROUND(INDEX('Injectable Value'!$AA$28:$AA$178,MATCH($C132,'Injectable Value'!$A$28:$A$178,0)),1),"")</f>
        <v>11366.1</v>
      </c>
      <c r="U132" s="17" t="s">
        <v>453</v>
      </c>
      <c r="V132" s="16" t="n">
        <v>1</v>
      </c>
      <c r="W132" s="16" t="s">
        <v>452</v>
      </c>
      <c r="X132" s="16" t="s">
        <v>291</v>
      </c>
      <c r="Y132" s="16" t="s">
        <v>283</v>
      </c>
      <c r="Z132" s="17" t="str">
        <f aca="false">IFERROR(INDEX(Scoring!$U:$U,MATCH($C132&amp;"|"&amp;$E132,Scoring!$AD:$AD,0)),"")</f>
        <v>Prefilled only</v>
      </c>
      <c r="AA132" s="16" t="str">
        <f aca="false">IFERROR(INDEX(Scoring!$E:$E,MATCH($C132&amp;"|"&amp;$E132,Scoring!$AD:$AD,0)),"")</f>
        <v>Priority 1</v>
      </c>
      <c r="AB132" s="19" t="n">
        <f aca="false">IFERROR(INDEX(Scoring!$M:$M,MATCH($C132&amp;"|"&amp;$E132,Scoring!$AD:$AD,0)),"")</f>
        <v>146</v>
      </c>
      <c r="AC132" s="16" t="str">
        <f aca="false">IFERROR(INDEX('Route of Administration'!$C$5:$C$155,MATCH($C132,'Route of Administration'!$A$5:$A$155,0)),"")</f>
        <v>IM</v>
      </c>
      <c r="AD132" s="15" t="str">
        <f aca="false">IFERROR(INDEX('Route of Administration'!$D$5:$D$155,MATCH($C132,'Route of Administration'!$A$5:$A$155,0)),"")</f>
        <v>Yes</v>
      </c>
      <c r="AE132" s="15" t="str">
        <f aca="false">IF($AD132="No","Not checked – drug is IV only",IFERROR(INDEX('Route of Administration'!$O$5:$O$170,MATCH($E132&amp;"|"&amp;$C132,'Route of Administration'!$S$5:$S$170,0)),"Not checked – price ≤ USD 5"))</f>
        <v>Pass</v>
      </c>
    </row>
    <row r="133" customFormat="false" ht="28.35" hidden="false" customHeight="false" outlineLevel="0" collapsed="false">
      <c r="B133" s="16" t="n">
        <v>131</v>
      </c>
      <c r="C133" s="16" t="s">
        <v>665</v>
      </c>
      <c r="D133" s="16" t="s">
        <v>1844</v>
      </c>
      <c r="E133" s="16" t="s">
        <v>230</v>
      </c>
      <c r="F133" s="16" t="s">
        <v>1845</v>
      </c>
      <c r="G133" s="17" t="s">
        <v>1846</v>
      </c>
      <c r="H133" s="16" t="s">
        <v>1533</v>
      </c>
      <c r="I133" s="18" t="n">
        <v>65.0089</v>
      </c>
      <c r="J133" s="16" t="n">
        <v>31</v>
      </c>
      <c r="K133" s="16" t="n">
        <v>346</v>
      </c>
      <c r="L133" s="19" t="n">
        <v>32830.17</v>
      </c>
      <c r="M133" s="17" t="s">
        <v>667</v>
      </c>
      <c r="N133" s="18" t="n">
        <v>65.0089</v>
      </c>
      <c r="O133" s="16" t="s">
        <v>1534</v>
      </c>
      <c r="P133" s="16" t="s">
        <v>1535</v>
      </c>
      <c r="Q133" s="17" t="s">
        <v>1536</v>
      </c>
      <c r="R133" s="78" t="s">
        <v>1847</v>
      </c>
      <c r="S133" s="77" t="n">
        <f aca="false">IFERROR(INDEX('Injectable Value'!$Z$28:$Z$178,MATCH($C133,'Injectable Value'!$A$28:$A$178,0)),"")</f>
        <v>1</v>
      </c>
      <c r="T133" s="19" t="n">
        <f aca="false">IFERROR(ROUND(INDEX('Injectable Value'!$AA$28:$AA$178,MATCH($C133,'Injectable Value'!$A$28:$A$178,0)),1),"")</f>
        <v>32830.2</v>
      </c>
      <c r="U133" s="17" t="s">
        <v>669</v>
      </c>
      <c r="V133" s="16" t="n">
        <v>4</v>
      </c>
      <c r="W133" s="16" t="s">
        <v>452</v>
      </c>
      <c r="X133" s="16" t="s">
        <v>281</v>
      </c>
      <c r="Y133" s="16" t="s">
        <v>283</v>
      </c>
      <c r="Z133" s="17" t="str">
        <f aca="false">IFERROR(INDEX(Scoring!$U:$U,MATCH($C133&amp;"|"&amp;$E133,Scoring!$AD:$AD,0)),"")</f>
        <v/>
      </c>
      <c r="AA133" s="16" t="str">
        <f aca="false">IFERROR(INDEX(Scoring!$E:$E,MATCH($C133&amp;"|"&amp;$E133,Scoring!$AD:$AD,0)),"")</f>
        <v>Excluded – IV only</v>
      </c>
      <c r="AB133" s="19" t="n">
        <f aca="false">IFERROR(INDEX(Scoring!$M:$M,MATCH($C133&amp;"|"&amp;$E133,Scoring!$AD:$AD,0)),"")</f>
        <v>346</v>
      </c>
      <c r="AC133" s="16" t="str">
        <f aca="false">IFERROR(INDEX('Route of Administration'!$C$5:$C$155,MATCH($C133,'Route of Administration'!$A$5:$A$155,0)),"")</f>
        <v>IV</v>
      </c>
      <c r="AD133" s="15" t="str">
        <f aca="false">IFERROR(INDEX('Route of Administration'!$D$5:$D$155,MATCH($C133,'Route of Administration'!$A$5:$A$155,0)),"")</f>
        <v>No</v>
      </c>
      <c r="AE133" s="15" t="str">
        <f aca="false">IF($AD133="No","Not checked – drug is IV only",IFERROR(INDEX('Route of Administration'!$O$5:$O$170,MATCH($E133&amp;"|"&amp;$C133,'Route of Administration'!$S$5:$S$170,0)),"Not checked – price ≤ USD 5"))</f>
        <v>Not checked – drug is IV only</v>
      </c>
    </row>
    <row r="134" customFormat="false" ht="28.35" hidden="false" customHeight="false" outlineLevel="0" collapsed="false">
      <c r="B134" s="16" t="n">
        <v>132</v>
      </c>
      <c r="C134" s="16" t="s">
        <v>665</v>
      </c>
      <c r="D134" s="16" t="s">
        <v>1848</v>
      </c>
      <c r="E134" s="16" t="s">
        <v>230</v>
      </c>
      <c r="F134" s="16" t="s">
        <v>1849</v>
      </c>
      <c r="G134" s="17" t="s">
        <v>1850</v>
      </c>
      <c r="H134" s="16" t="s">
        <v>1533</v>
      </c>
      <c r="I134" s="18"/>
      <c r="J134" s="16" t="n">
        <v>1</v>
      </c>
      <c r="K134" s="16" t="n">
        <v>346</v>
      </c>
      <c r="L134" s="19" t="n">
        <v>32830.17</v>
      </c>
      <c r="M134" s="17" t="s">
        <v>667</v>
      </c>
      <c r="N134" s="18"/>
      <c r="O134" s="16" t="s">
        <v>1573</v>
      </c>
      <c r="P134" s="16" t="s">
        <v>112</v>
      </c>
      <c r="Q134" s="17" t="s">
        <v>112</v>
      </c>
      <c r="R134" s="16"/>
      <c r="S134" s="77" t="n">
        <f aca="false">IFERROR(INDEX('Injectable Value'!$Z$28:$Z$178,MATCH($C134,'Injectable Value'!$A$28:$A$178,0)),"")</f>
        <v>1</v>
      </c>
      <c r="T134" s="19" t="n">
        <f aca="false">IFERROR(ROUND(INDEX('Injectable Value'!$AA$28:$AA$178,MATCH($C134,'Injectable Value'!$A$28:$A$178,0)),1),"")</f>
        <v>32830.2</v>
      </c>
      <c r="U134" s="17" t="s">
        <v>669</v>
      </c>
      <c r="V134" s="16" t="n">
        <v>4</v>
      </c>
      <c r="W134" s="16" t="s">
        <v>452</v>
      </c>
      <c r="X134" s="16" t="s">
        <v>281</v>
      </c>
      <c r="Y134" s="16" t="s">
        <v>283</v>
      </c>
      <c r="Z134" s="17" t="str">
        <f aca="false">IFERROR(INDEX(Scoring!$U:$U,MATCH($C134&amp;"|"&amp;$E134,Scoring!$AD:$AD,0)),"")</f>
        <v/>
      </c>
      <c r="AA134" s="16" t="str">
        <f aca="false">IFERROR(INDEX(Scoring!$E:$E,MATCH($C134&amp;"|"&amp;$E134,Scoring!$AD:$AD,0)),"")</f>
        <v>Excluded – IV only</v>
      </c>
      <c r="AB134" s="19" t="n">
        <f aca="false">IFERROR(INDEX(Scoring!$M:$M,MATCH($C134&amp;"|"&amp;$E134,Scoring!$AD:$AD,0)),"")</f>
        <v>346</v>
      </c>
      <c r="AC134" s="16" t="str">
        <f aca="false">IFERROR(INDEX('Route of Administration'!$C$5:$C$155,MATCH($C134,'Route of Administration'!$A$5:$A$155,0)),"")</f>
        <v>IV</v>
      </c>
      <c r="AD134" s="15" t="str">
        <f aca="false">IFERROR(INDEX('Route of Administration'!$D$5:$D$155,MATCH($C134,'Route of Administration'!$A$5:$A$155,0)),"")</f>
        <v>No</v>
      </c>
      <c r="AE134" s="15" t="str">
        <f aca="false">IF($AD134="No","Not checked – drug is IV only",IFERROR(INDEX('Route of Administration'!$O$5:$O$170,MATCH($E134&amp;"|"&amp;$C134,'Route of Administration'!$S$5:$S$170,0)),"Not checked – price ≤ USD 5"))</f>
        <v>Not checked – drug is IV only</v>
      </c>
    </row>
    <row r="135" customFormat="false" ht="28.35" hidden="false" customHeight="false" outlineLevel="0" collapsed="false">
      <c r="B135" s="16" t="n">
        <v>133</v>
      </c>
      <c r="C135" s="16" t="s">
        <v>665</v>
      </c>
      <c r="D135" s="16" t="s">
        <v>1848</v>
      </c>
      <c r="E135" s="16" t="s">
        <v>230</v>
      </c>
      <c r="F135" s="16" t="s">
        <v>1851</v>
      </c>
      <c r="G135" s="17" t="s">
        <v>1852</v>
      </c>
      <c r="H135" s="16" t="s">
        <v>1533</v>
      </c>
      <c r="I135" s="18"/>
      <c r="J135" s="16" t="n">
        <v>1</v>
      </c>
      <c r="K135" s="16" t="n">
        <v>346</v>
      </c>
      <c r="L135" s="19" t="n">
        <v>32830.17</v>
      </c>
      <c r="M135" s="17" t="s">
        <v>667</v>
      </c>
      <c r="N135" s="18"/>
      <c r="O135" s="16" t="s">
        <v>1573</v>
      </c>
      <c r="P135" s="16" t="s">
        <v>112</v>
      </c>
      <c r="Q135" s="17" t="s">
        <v>112</v>
      </c>
      <c r="R135" s="16"/>
      <c r="S135" s="77" t="n">
        <f aca="false">IFERROR(INDEX('Injectable Value'!$Z$28:$Z$178,MATCH($C135,'Injectable Value'!$A$28:$A$178,0)),"")</f>
        <v>1</v>
      </c>
      <c r="T135" s="19" t="n">
        <f aca="false">IFERROR(ROUND(INDEX('Injectable Value'!$AA$28:$AA$178,MATCH($C135,'Injectable Value'!$A$28:$A$178,0)),1),"")</f>
        <v>32830.2</v>
      </c>
      <c r="U135" s="17" t="s">
        <v>669</v>
      </c>
      <c r="V135" s="16" t="n">
        <v>4</v>
      </c>
      <c r="W135" s="16" t="s">
        <v>452</v>
      </c>
      <c r="X135" s="16" t="s">
        <v>281</v>
      </c>
      <c r="Y135" s="16" t="s">
        <v>283</v>
      </c>
      <c r="Z135" s="17" t="str">
        <f aca="false">IFERROR(INDEX(Scoring!$U:$U,MATCH($C135&amp;"|"&amp;$E135,Scoring!$AD:$AD,0)),"")</f>
        <v/>
      </c>
      <c r="AA135" s="16" t="str">
        <f aca="false">IFERROR(INDEX(Scoring!$E:$E,MATCH($C135&amp;"|"&amp;$E135,Scoring!$AD:$AD,0)),"")</f>
        <v>Excluded – IV only</v>
      </c>
      <c r="AB135" s="19" t="n">
        <f aca="false">IFERROR(INDEX(Scoring!$M:$M,MATCH($C135&amp;"|"&amp;$E135,Scoring!$AD:$AD,0)),"")</f>
        <v>346</v>
      </c>
      <c r="AC135" s="16" t="str">
        <f aca="false">IFERROR(INDEX('Route of Administration'!$C$5:$C$155,MATCH($C135,'Route of Administration'!$A$5:$A$155,0)),"")</f>
        <v>IV</v>
      </c>
      <c r="AD135" s="15" t="str">
        <f aca="false">IFERROR(INDEX('Route of Administration'!$D$5:$D$155,MATCH($C135,'Route of Administration'!$A$5:$A$155,0)),"")</f>
        <v>No</v>
      </c>
      <c r="AE135" s="15" t="str">
        <f aca="false">IF($AD135="No","Not checked – drug is IV only",IFERROR(INDEX('Route of Administration'!$O$5:$O$170,MATCH($E135&amp;"|"&amp;$C135,'Route of Administration'!$S$5:$S$170,0)),"Not checked – price ≤ USD 5"))</f>
        <v>Not checked – drug is IV only</v>
      </c>
    </row>
    <row r="136" customFormat="false" ht="28.35" hidden="false" customHeight="false" outlineLevel="0" collapsed="false">
      <c r="B136" s="16" t="n">
        <v>134</v>
      </c>
      <c r="C136" s="16" t="s">
        <v>388</v>
      </c>
      <c r="D136" s="16" t="s">
        <v>1853</v>
      </c>
      <c r="E136" s="16" t="s">
        <v>230</v>
      </c>
      <c r="F136" s="16" t="s">
        <v>1854</v>
      </c>
      <c r="G136" s="17" t="s">
        <v>1855</v>
      </c>
      <c r="H136" s="16" t="s">
        <v>1533</v>
      </c>
      <c r="I136" s="18"/>
      <c r="J136" s="16" t="n">
        <v>1</v>
      </c>
      <c r="K136" s="16" t="n">
        <v>312</v>
      </c>
      <c r="L136" s="19" t="n">
        <v>59827.18</v>
      </c>
      <c r="M136" s="17" t="s">
        <v>390</v>
      </c>
      <c r="N136" s="18"/>
      <c r="O136" s="16" t="s">
        <v>1573</v>
      </c>
      <c r="P136" s="16" t="s">
        <v>112</v>
      </c>
      <c r="Q136" s="17" t="s">
        <v>112</v>
      </c>
      <c r="R136" s="16"/>
      <c r="S136" s="77" t="n">
        <f aca="false">IFERROR(INDEX('Injectable Value'!$Z$28:$Z$178,MATCH($C136,'Injectable Value'!$A$28:$A$178,0)),"")</f>
        <v>1</v>
      </c>
      <c r="T136" s="19" t="n">
        <f aca="false">IFERROR(ROUND(INDEX('Injectable Value'!$AA$28:$AA$178,MATCH($C136,'Injectable Value'!$A$28:$A$178,0)),1),"")</f>
        <v>59827.2</v>
      </c>
      <c r="U136" s="17" t="s">
        <v>628</v>
      </c>
      <c r="V136" s="16" t="n">
        <v>5</v>
      </c>
      <c r="W136" s="16" t="s">
        <v>627</v>
      </c>
      <c r="X136" s="16" t="s">
        <v>281</v>
      </c>
      <c r="Y136" s="16" t="s">
        <v>333</v>
      </c>
      <c r="Z136" s="17" t="str">
        <f aca="false">IFERROR(INDEX(Scoring!$U:$U,MATCH($C136&amp;"|"&amp;$E136,Scoring!$AD:$AD,0)),"")</f>
        <v>Reconstitution</v>
      </c>
      <c r="AA136" s="16" t="str">
        <f aca="false">IFERROR(INDEX(Scoring!$E:$E,MATCH($C136&amp;"|"&amp;$E136,Scoring!$AD:$AD,0)),"")</f>
        <v>Excluded – IV only</v>
      </c>
      <c r="AB136" s="19" t="n">
        <f aca="false">IFERROR(INDEX(Scoring!$M:$M,MATCH($C136&amp;"|"&amp;$E136,Scoring!$AD:$AD,0)),"")</f>
        <v>312</v>
      </c>
      <c r="AC136" s="16" t="str">
        <f aca="false">IFERROR(INDEX('Route of Administration'!$C$5:$C$155,MATCH($C136,'Route of Administration'!$A$5:$A$155,0)),"")</f>
        <v>IV</v>
      </c>
      <c r="AD136" s="15" t="str">
        <f aca="false">IFERROR(INDEX('Route of Administration'!$D$5:$D$155,MATCH($C136,'Route of Administration'!$A$5:$A$155,0)),"")</f>
        <v>No</v>
      </c>
      <c r="AE136" s="15" t="str">
        <f aca="false">IF($AD136="No","Not checked – drug is IV only",IFERROR(INDEX('Route of Administration'!$O$5:$O$170,MATCH($E136&amp;"|"&amp;$C136,'Route of Administration'!$S$5:$S$170,0)),"Not checked – price ≤ USD 5"))</f>
        <v>Not checked – drug is IV only</v>
      </c>
    </row>
    <row r="137" customFormat="false" ht="28.35" hidden="false" customHeight="false" outlineLevel="0" collapsed="false">
      <c r="B137" s="16" t="n">
        <v>135</v>
      </c>
      <c r="C137" s="16" t="s">
        <v>388</v>
      </c>
      <c r="D137" s="16" t="s">
        <v>1853</v>
      </c>
      <c r="E137" s="16" t="s">
        <v>230</v>
      </c>
      <c r="F137" s="16" t="s">
        <v>1787</v>
      </c>
      <c r="G137" s="17" t="s">
        <v>1788</v>
      </c>
      <c r="H137" s="16" t="s">
        <v>1533</v>
      </c>
      <c r="I137" s="18"/>
      <c r="J137" s="16" t="n">
        <v>1</v>
      </c>
      <c r="K137" s="16" t="n">
        <v>312</v>
      </c>
      <c r="L137" s="19" t="n">
        <v>59827.18</v>
      </c>
      <c r="M137" s="17" t="s">
        <v>390</v>
      </c>
      <c r="N137" s="18"/>
      <c r="O137" s="16" t="s">
        <v>1573</v>
      </c>
      <c r="P137" s="16" t="s">
        <v>112</v>
      </c>
      <c r="Q137" s="17" t="s">
        <v>112</v>
      </c>
      <c r="R137" s="16"/>
      <c r="S137" s="77" t="n">
        <f aca="false">IFERROR(INDEX('Injectable Value'!$Z$28:$Z$178,MATCH($C137,'Injectable Value'!$A$28:$A$178,0)),"")</f>
        <v>1</v>
      </c>
      <c r="T137" s="19" t="n">
        <f aca="false">IFERROR(ROUND(INDEX('Injectable Value'!$AA$28:$AA$178,MATCH($C137,'Injectable Value'!$A$28:$A$178,0)),1),"")</f>
        <v>59827.2</v>
      </c>
      <c r="U137" s="17" t="s">
        <v>628</v>
      </c>
      <c r="V137" s="16" t="n">
        <v>5</v>
      </c>
      <c r="W137" s="16" t="s">
        <v>627</v>
      </c>
      <c r="X137" s="16" t="s">
        <v>281</v>
      </c>
      <c r="Y137" s="16" t="s">
        <v>333</v>
      </c>
      <c r="Z137" s="17" t="str">
        <f aca="false">IFERROR(INDEX(Scoring!$U:$U,MATCH($C137&amp;"|"&amp;$E137,Scoring!$AD:$AD,0)),"")</f>
        <v>Reconstitution</v>
      </c>
      <c r="AA137" s="16" t="str">
        <f aca="false">IFERROR(INDEX(Scoring!$E:$E,MATCH($C137&amp;"|"&amp;$E137,Scoring!$AD:$AD,0)),"")</f>
        <v>Excluded – IV only</v>
      </c>
      <c r="AB137" s="19" t="n">
        <f aca="false">IFERROR(INDEX(Scoring!$M:$M,MATCH($C137&amp;"|"&amp;$E137,Scoring!$AD:$AD,0)),"")</f>
        <v>312</v>
      </c>
      <c r="AC137" s="16" t="str">
        <f aca="false">IFERROR(INDEX('Route of Administration'!$C$5:$C$155,MATCH($C137,'Route of Administration'!$A$5:$A$155,0)),"")</f>
        <v>IV</v>
      </c>
      <c r="AD137" s="15" t="str">
        <f aca="false">IFERROR(INDEX('Route of Administration'!$D$5:$D$155,MATCH($C137,'Route of Administration'!$A$5:$A$155,0)),"")</f>
        <v>No</v>
      </c>
      <c r="AE137" s="15" t="str">
        <f aca="false">IF($AD137="No","Not checked – drug is IV only",IFERROR(INDEX('Route of Administration'!$O$5:$O$170,MATCH($E137&amp;"|"&amp;$C137,'Route of Administration'!$S$5:$S$170,0)),"Not checked – price ≤ USD 5"))</f>
        <v>Not checked – drug is IV only</v>
      </c>
    </row>
    <row r="138" customFormat="false" ht="28.35" hidden="false" customHeight="false" outlineLevel="0" collapsed="false">
      <c r="B138" s="16" t="n">
        <v>136</v>
      </c>
      <c r="C138" s="16" t="s">
        <v>681</v>
      </c>
      <c r="D138" s="16" t="s">
        <v>682</v>
      </c>
      <c r="E138" s="16" t="s">
        <v>230</v>
      </c>
      <c r="F138" s="16" t="s">
        <v>1856</v>
      </c>
      <c r="G138" s="17" t="s">
        <v>1857</v>
      </c>
      <c r="H138" s="16" t="s">
        <v>1533</v>
      </c>
      <c r="I138" s="18"/>
      <c r="J138" s="16" t="n">
        <v>1</v>
      </c>
      <c r="K138" s="16" t="n">
        <v>848</v>
      </c>
      <c r="L138" s="19" t="n">
        <v>142879.93</v>
      </c>
      <c r="M138" s="17" t="s">
        <v>683</v>
      </c>
      <c r="N138" s="82" t="n">
        <v>73.63</v>
      </c>
      <c r="O138" s="64" t="s">
        <v>1541</v>
      </c>
      <c r="P138" s="16" t="s">
        <v>1535</v>
      </c>
      <c r="Q138" s="17" t="s">
        <v>1858</v>
      </c>
      <c r="R138" s="78" t="s">
        <v>1859</v>
      </c>
      <c r="S138" s="77" t="n">
        <f aca="false">IFERROR(INDEX('Injectable Value'!$Z$28:$Z$178,MATCH($C138,'Injectable Value'!$A$28:$A$178,0)),"")</f>
        <v>0.928913192071087</v>
      </c>
      <c r="T138" s="19" t="n">
        <f aca="false">IFERROR(ROUND(INDEX('Injectable Value'!$AA$28:$AA$178,MATCH($C138,'Injectable Value'!$A$28:$A$178,0)),1),"")</f>
        <v>132723.1</v>
      </c>
      <c r="U138" s="17" t="s">
        <v>614</v>
      </c>
      <c r="V138" s="16" t="n">
        <v>1</v>
      </c>
      <c r="W138" s="16" t="s">
        <v>112</v>
      </c>
      <c r="X138" s="16" t="s">
        <v>281</v>
      </c>
      <c r="Y138" s="16" t="s">
        <v>333</v>
      </c>
      <c r="Z138" s="17" t="str">
        <f aca="false">IFERROR(INDEX(Scoring!$U:$U,MATCH($C138&amp;"|"&amp;$E138,Scoring!$AD:$AD,0)),"")</f>
        <v>Reconstitution</v>
      </c>
      <c r="AA138" s="16" t="str">
        <f aca="false">IFERROR(INDEX(Scoring!$E:$E,MATCH($C138&amp;"|"&amp;$E138,Scoring!$AD:$AD,0)),"")</f>
        <v>Excluded – IV only</v>
      </c>
      <c r="AB138" s="19" t="n">
        <f aca="false">IFERROR(INDEX(Scoring!$M:$M,MATCH($C138&amp;"|"&amp;$E138,Scoring!$AD:$AD,0)),"")</f>
        <v>788</v>
      </c>
      <c r="AC138" s="16" t="str">
        <f aca="false">IFERROR(INDEX('Route of Administration'!$C$5:$C$155,MATCH($C138,'Route of Administration'!$A$5:$A$155,0)),"")</f>
        <v>IV</v>
      </c>
      <c r="AD138" s="15" t="str">
        <f aca="false">IFERROR(INDEX('Route of Administration'!$D$5:$D$155,MATCH($C138,'Route of Administration'!$A$5:$A$155,0)),"")</f>
        <v>No</v>
      </c>
      <c r="AE138" s="15" t="str">
        <f aca="false">IF($AD138="No","Not checked – drug is IV only",IFERROR(INDEX('Route of Administration'!$O$5:$O$170,MATCH($E138&amp;"|"&amp;$C138,'Route of Administration'!$S$5:$S$170,0)),"Not checked – price ≤ USD 5"))</f>
        <v>Not checked – drug is IV only</v>
      </c>
    </row>
    <row r="139" customFormat="false" ht="28.35" hidden="false" customHeight="false" outlineLevel="0" collapsed="false">
      <c r="B139" s="16" t="n">
        <v>137</v>
      </c>
      <c r="C139" s="16" t="s">
        <v>632</v>
      </c>
      <c r="D139" s="16" t="s">
        <v>1860</v>
      </c>
      <c r="E139" s="16" t="s">
        <v>230</v>
      </c>
      <c r="F139" s="16" t="s">
        <v>1801</v>
      </c>
      <c r="G139" s="17" t="s">
        <v>1802</v>
      </c>
      <c r="H139" s="16" t="s">
        <v>1533</v>
      </c>
      <c r="I139" s="18"/>
      <c r="J139" s="16" t="n">
        <v>1</v>
      </c>
      <c r="K139" s="16" t="n">
        <v>2582</v>
      </c>
      <c r="L139" s="19" t="n">
        <v>38106.07</v>
      </c>
      <c r="M139" s="17" t="s">
        <v>634</v>
      </c>
      <c r="N139" s="82" t="n">
        <v>23.15</v>
      </c>
      <c r="O139" s="64" t="s">
        <v>1541</v>
      </c>
      <c r="P139" s="16" t="s">
        <v>1535</v>
      </c>
      <c r="Q139" s="17" t="s">
        <v>1542</v>
      </c>
      <c r="R139" s="78" t="s">
        <v>1543</v>
      </c>
      <c r="S139" s="77" t="n">
        <f aca="false">IFERROR(INDEX('Injectable Value'!$Z$28:$Z$178,MATCH($C139,'Injectable Value'!$A$28:$A$178,0)),"")</f>
        <v>0.125875590958329</v>
      </c>
      <c r="T139" s="19" t="n">
        <f aca="false">IFERROR(ROUND(INDEX('Injectable Value'!$AA$28:$AA$178,MATCH($C139,'Injectable Value'!$A$28:$A$178,0)),1),"")</f>
        <v>4796.6</v>
      </c>
      <c r="U139" s="17" t="s">
        <v>635</v>
      </c>
      <c r="V139" s="16" t="n">
        <v>2</v>
      </c>
      <c r="W139" s="16" t="s">
        <v>284</v>
      </c>
      <c r="X139" s="16" t="s">
        <v>281</v>
      </c>
      <c r="Y139" s="16" t="s">
        <v>333</v>
      </c>
      <c r="Z139" s="17" t="str">
        <f aca="false">IFERROR(INDEX(Scoring!$U:$U,MATCH($C139&amp;"|"&amp;$E139,Scoring!$AD:$AD,0)),"")</f>
        <v>Reconstitution</v>
      </c>
      <c r="AA139" s="16" t="str">
        <f aca="false">IFERROR(INDEX(Scoring!$E:$E,MATCH($C139&amp;"|"&amp;$E139,Scoring!$AD:$AD,0)),"")</f>
        <v>Priority 2</v>
      </c>
      <c r="AB139" s="19" t="n">
        <f aca="false">IFERROR(INDEX(Scoring!$M:$M,MATCH($C139&amp;"|"&amp;$E139,Scoring!$AD:$AD,0)),"")</f>
        <v>325</v>
      </c>
      <c r="AC139" s="16" t="str">
        <f aca="false">IFERROR(INDEX('Route of Administration'!$C$5:$C$155,MATCH($C139,'Route of Administration'!$A$5:$A$155,0)),"")</f>
        <v>IV, IM</v>
      </c>
      <c r="AD139" s="15" t="str">
        <f aca="false">IFERROR(INDEX('Route of Administration'!$D$5:$D$155,MATCH($C139,'Route of Administration'!$A$5:$A$155,0)),"")</f>
        <v>Yes</v>
      </c>
      <c r="AE139" s="15" t="str">
        <f aca="false">IF($AD139="No","Not checked – drug is IV only",IFERROR(INDEX('Route of Administration'!$O$5:$O$170,MATCH($E139&amp;"|"&amp;$C139,'Route of Administration'!$S$5:$S$170,0)),"Not checked – price ≤ USD 5"))</f>
        <v>Pass</v>
      </c>
    </row>
    <row r="140" customFormat="false" ht="28.35" hidden="false" customHeight="false" outlineLevel="0" collapsed="false">
      <c r="B140" s="16" t="n">
        <v>138</v>
      </c>
      <c r="C140" s="16" t="s">
        <v>637</v>
      </c>
      <c r="D140" s="16" t="s">
        <v>1861</v>
      </c>
      <c r="E140" s="16" t="s">
        <v>230</v>
      </c>
      <c r="F140" s="16" t="s">
        <v>1862</v>
      </c>
      <c r="G140" s="17" t="s">
        <v>1863</v>
      </c>
      <c r="H140" s="16" t="s">
        <v>1533</v>
      </c>
      <c r="I140" s="18"/>
      <c r="J140" s="16" t="n">
        <v>1</v>
      </c>
      <c r="K140" s="16" t="n">
        <v>87</v>
      </c>
      <c r="L140" s="19" t="n">
        <v>2931.42</v>
      </c>
      <c r="M140" s="17" t="s">
        <v>639</v>
      </c>
      <c r="N140" s="82" t="n">
        <v>69.18</v>
      </c>
      <c r="O140" s="64" t="s">
        <v>1541</v>
      </c>
      <c r="P140" s="16" t="s">
        <v>1561</v>
      </c>
      <c r="Q140" s="17" t="s">
        <v>1864</v>
      </c>
      <c r="R140" s="78" t="s">
        <v>1865</v>
      </c>
      <c r="S140" s="77" t="n">
        <f aca="false">IFERROR(INDEX('Injectable Value'!$Z$28:$Z$178,MATCH($C140,'Injectable Value'!$A$28:$A$178,0)),"")</f>
        <v>1</v>
      </c>
      <c r="T140" s="19" t="n">
        <f aca="false">IFERROR(ROUND(INDEX('Injectable Value'!$AA$28:$AA$178,MATCH($C140,'Injectable Value'!$A$28:$A$178,0)),1),"")</f>
        <v>2931.4</v>
      </c>
      <c r="U140" s="17" t="s">
        <v>614</v>
      </c>
      <c r="V140" s="16" t="n">
        <v>1</v>
      </c>
      <c r="W140" s="16" t="s">
        <v>112</v>
      </c>
      <c r="X140" s="16" t="s">
        <v>349</v>
      </c>
      <c r="Y140" s="16" t="s">
        <v>283</v>
      </c>
      <c r="Z140" s="17" t="str">
        <f aca="false">IFERROR(INDEX(Scoring!$U:$U,MATCH($C140&amp;"|"&amp;$E140,Scoring!$AD:$AD,0)),"")</f>
        <v/>
      </c>
      <c r="AA140" s="16" t="str">
        <f aca="false">IFERROR(INDEX(Scoring!$E:$E,MATCH($C140&amp;"|"&amp;$E140,Scoring!$AD:$AD,0)),"")</f>
        <v>Priority 2</v>
      </c>
      <c r="AB140" s="19" t="n">
        <f aca="false">IFERROR(INDEX(Scoring!$M:$M,MATCH($C140&amp;"|"&amp;$E140,Scoring!$AD:$AD,0)),"")</f>
        <v>87</v>
      </c>
      <c r="AC140" s="16" t="str">
        <f aca="false">IFERROR(INDEX('Route of Administration'!$C$5:$C$155,MATCH($C140,'Route of Administration'!$A$5:$A$155,0)),"")</f>
        <v>IV, IM, SC</v>
      </c>
      <c r="AD140" s="15" t="str">
        <f aca="false">IFERROR(INDEX('Route of Administration'!$D$5:$D$155,MATCH($C140,'Route of Administration'!$A$5:$A$155,0)),"")</f>
        <v>Yes</v>
      </c>
      <c r="AE140" s="15" t="str">
        <f aca="false">IF($AD140="No","Not checked – drug is IV only",IFERROR(INDEX('Route of Administration'!$O$5:$O$170,MATCH($E140&amp;"|"&amp;$C140,'Route of Administration'!$S$5:$S$170,0)),"Not checked – price ≤ USD 5"))</f>
        <v>Pass</v>
      </c>
    </row>
    <row r="141" customFormat="false" ht="28.35" hidden="false" customHeight="false" outlineLevel="0" collapsed="false">
      <c r="B141" s="16" t="n">
        <v>139</v>
      </c>
      <c r="C141" s="16" t="s">
        <v>637</v>
      </c>
      <c r="D141" s="16" t="s">
        <v>1866</v>
      </c>
      <c r="E141" s="16" t="s">
        <v>230</v>
      </c>
      <c r="F141" s="16" t="s">
        <v>1862</v>
      </c>
      <c r="G141" s="17"/>
      <c r="H141" s="16"/>
      <c r="I141" s="18"/>
      <c r="J141" s="16" t="n">
        <v>1</v>
      </c>
      <c r="K141" s="16" t="n">
        <v>87</v>
      </c>
      <c r="L141" s="19" t="n">
        <v>2931.42</v>
      </c>
      <c r="M141" s="17" t="s">
        <v>639</v>
      </c>
      <c r="N141" s="82" t="n">
        <v>69.18</v>
      </c>
      <c r="O141" s="64" t="s">
        <v>1541</v>
      </c>
      <c r="P141" s="16" t="s">
        <v>1561</v>
      </c>
      <c r="Q141" s="17" t="s">
        <v>1864</v>
      </c>
      <c r="R141" s="78" t="s">
        <v>1865</v>
      </c>
      <c r="S141" s="77" t="n">
        <f aca="false">IFERROR(INDEX('Injectable Value'!$Z$28:$Z$178,MATCH($C141,'Injectable Value'!$A$28:$A$178,0)),"")</f>
        <v>1</v>
      </c>
      <c r="T141" s="19" t="n">
        <f aca="false">IFERROR(ROUND(INDEX('Injectable Value'!$AA$28:$AA$178,MATCH($C141,'Injectable Value'!$A$28:$A$178,0)),1),"")</f>
        <v>2931.4</v>
      </c>
      <c r="U141" s="17" t="s">
        <v>614</v>
      </c>
      <c r="V141" s="16" t="n">
        <v>1</v>
      </c>
      <c r="W141" s="16" t="s">
        <v>112</v>
      </c>
      <c r="X141" s="16" t="s">
        <v>310</v>
      </c>
      <c r="Y141" s="16" t="s">
        <v>310</v>
      </c>
      <c r="Z141" s="17" t="str">
        <f aca="false">IFERROR(INDEX(Scoring!$U:$U,MATCH($C141&amp;"|"&amp;$E141,Scoring!$AD:$AD,0)),"")</f>
        <v/>
      </c>
      <c r="AA141" s="16" t="str">
        <f aca="false">IFERROR(INDEX(Scoring!$E:$E,MATCH($C141&amp;"|"&amp;$E141,Scoring!$AD:$AD,0)),"")</f>
        <v>Priority 2</v>
      </c>
      <c r="AB141" s="19" t="n">
        <f aca="false">IFERROR(INDEX(Scoring!$M:$M,MATCH($C141&amp;"|"&amp;$E141,Scoring!$AD:$AD,0)),"")</f>
        <v>87</v>
      </c>
      <c r="AC141" s="16" t="str">
        <f aca="false">IFERROR(INDEX('Route of Administration'!$C$5:$C$155,MATCH($C141,'Route of Administration'!$A$5:$A$155,0)),"")</f>
        <v>IV, IM, SC</v>
      </c>
      <c r="AD141" s="15" t="str">
        <f aca="false">IFERROR(INDEX('Route of Administration'!$D$5:$D$155,MATCH($C141,'Route of Administration'!$A$5:$A$155,0)),"")</f>
        <v>Yes</v>
      </c>
      <c r="AE141" s="15" t="str">
        <f aca="false">IF($AD141="No","Not checked – drug is IV only",IFERROR(INDEX('Route of Administration'!$O$5:$O$170,MATCH($E141&amp;"|"&amp;$C141,'Route of Administration'!$S$5:$S$170,0)),"Not checked – price ≤ USD 5"))</f>
        <v>Pass</v>
      </c>
    </row>
    <row r="142" customFormat="false" ht="28.35" hidden="false" customHeight="false" outlineLevel="0" collapsed="false">
      <c r="B142" s="16" t="n">
        <v>140</v>
      </c>
      <c r="C142" s="16" t="s">
        <v>637</v>
      </c>
      <c r="D142" s="16" t="s">
        <v>1861</v>
      </c>
      <c r="E142" s="16" t="s">
        <v>230</v>
      </c>
      <c r="F142" s="16" t="s">
        <v>1867</v>
      </c>
      <c r="G142" s="17" t="s">
        <v>1868</v>
      </c>
      <c r="H142" s="16" t="s">
        <v>1533</v>
      </c>
      <c r="I142" s="18"/>
      <c r="J142" s="16" t="n">
        <v>1</v>
      </c>
      <c r="K142" s="16" t="n">
        <v>87</v>
      </c>
      <c r="L142" s="19" t="n">
        <v>2931.42</v>
      </c>
      <c r="M142" s="17" t="s">
        <v>639</v>
      </c>
      <c r="N142" s="82" t="n">
        <v>109.16</v>
      </c>
      <c r="O142" s="64" t="s">
        <v>1541</v>
      </c>
      <c r="P142" s="16" t="s">
        <v>1561</v>
      </c>
      <c r="Q142" s="17" t="s">
        <v>1864</v>
      </c>
      <c r="R142" s="78" t="s">
        <v>1865</v>
      </c>
      <c r="S142" s="77" t="n">
        <f aca="false">IFERROR(INDEX('Injectable Value'!$Z$28:$Z$178,MATCH($C142,'Injectable Value'!$A$28:$A$178,0)),"")</f>
        <v>1</v>
      </c>
      <c r="T142" s="19" t="n">
        <f aca="false">IFERROR(ROUND(INDEX('Injectable Value'!$AA$28:$AA$178,MATCH($C142,'Injectable Value'!$A$28:$A$178,0)),1),"")</f>
        <v>2931.4</v>
      </c>
      <c r="U142" s="17" t="s">
        <v>614</v>
      </c>
      <c r="V142" s="16" t="n">
        <v>1</v>
      </c>
      <c r="W142" s="16" t="s">
        <v>112</v>
      </c>
      <c r="X142" s="16" t="s">
        <v>349</v>
      </c>
      <c r="Y142" s="16" t="s">
        <v>283</v>
      </c>
      <c r="Z142" s="17" t="str">
        <f aca="false">IFERROR(INDEX(Scoring!$U:$U,MATCH($C142&amp;"|"&amp;$E142,Scoring!$AD:$AD,0)),"")</f>
        <v/>
      </c>
      <c r="AA142" s="16" t="str">
        <f aca="false">IFERROR(INDEX(Scoring!$E:$E,MATCH($C142&amp;"|"&amp;$E142,Scoring!$AD:$AD,0)),"")</f>
        <v>Priority 2</v>
      </c>
      <c r="AB142" s="19" t="n">
        <f aca="false">IFERROR(INDEX(Scoring!$M:$M,MATCH($C142&amp;"|"&amp;$E142,Scoring!$AD:$AD,0)),"")</f>
        <v>87</v>
      </c>
      <c r="AC142" s="16" t="str">
        <f aca="false">IFERROR(INDEX('Route of Administration'!$C$5:$C$155,MATCH($C142,'Route of Administration'!$A$5:$A$155,0)),"")</f>
        <v>IV, IM, SC</v>
      </c>
      <c r="AD142" s="15" t="str">
        <f aca="false">IFERROR(INDEX('Route of Administration'!$D$5:$D$155,MATCH($C142,'Route of Administration'!$A$5:$A$155,0)),"")</f>
        <v>Yes</v>
      </c>
      <c r="AE142" s="15" t="str">
        <f aca="false">IF($AD142="No","Not checked – drug is IV only",IFERROR(INDEX('Route of Administration'!$O$5:$O$170,MATCH($E142&amp;"|"&amp;$C142,'Route of Administration'!$S$5:$S$170,0)),"Not checked – price ≤ USD 5"))</f>
        <v>Pass</v>
      </c>
    </row>
    <row r="143" customFormat="false" ht="28.35" hidden="false" customHeight="false" outlineLevel="0" collapsed="false">
      <c r="B143" s="16" t="n">
        <v>141</v>
      </c>
      <c r="C143" s="16" t="s">
        <v>471</v>
      </c>
      <c r="D143" s="16" t="s">
        <v>652</v>
      </c>
      <c r="E143" s="16" t="s">
        <v>230</v>
      </c>
      <c r="F143" s="16" t="s">
        <v>1869</v>
      </c>
      <c r="G143" s="17" t="s">
        <v>1870</v>
      </c>
      <c r="H143" s="16" t="s">
        <v>1533</v>
      </c>
      <c r="I143" s="18" t="n">
        <v>19.649</v>
      </c>
      <c r="J143" s="16" t="n">
        <v>1</v>
      </c>
      <c r="K143" s="16" t="n">
        <v>122</v>
      </c>
      <c r="L143" s="19" t="n">
        <v>8000.57</v>
      </c>
      <c r="M143" s="17" t="s">
        <v>472</v>
      </c>
      <c r="N143" s="18" t="n">
        <v>19.649</v>
      </c>
      <c r="O143" s="16" t="s">
        <v>1534</v>
      </c>
      <c r="P143" s="16" t="s">
        <v>1535</v>
      </c>
      <c r="Q143" s="17" t="s">
        <v>1536</v>
      </c>
      <c r="R143" s="78" t="s">
        <v>1871</v>
      </c>
      <c r="S143" s="77" t="n">
        <f aca="false">IFERROR(INDEX('Injectable Value'!$Z$28:$Z$178,MATCH($C143,'Injectable Value'!$A$28:$A$178,0)),"")</f>
        <v>0.33624222999223</v>
      </c>
      <c r="T143" s="19" t="n">
        <f aca="false">IFERROR(ROUND(INDEX('Injectable Value'!$AA$28:$AA$178,MATCH($C143,'Injectable Value'!$A$28:$A$178,0)),1),"")</f>
        <v>2690.1</v>
      </c>
      <c r="U143" s="17" t="s">
        <v>614</v>
      </c>
      <c r="V143" s="16" t="n">
        <v>1</v>
      </c>
      <c r="W143" s="16" t="s">
        <v>112</v>
      </c>
      <c r="X143" s="16" t="s">
        <v>281</v>
      </c>
      <c r="Y143" s="16" t="s">
        <v>283</v>
      </c>
      <c r="Z143" s="17" t="str">
        <f aca="false">IFERROR(INDEX(Scoring!$U:$U,MATCH($C143&amp;"|"&amp;$E143,Scoring!$AD:$AD,0)),"")</f>
        <v/>
      </c>
      <c r="AA143" s="16" t="str">
        <f aca="false">IFERROR(INDEX(Scoring!$E:$E,MATCH($C143&amp;"|"&amp;$E143,Scoring!$AD:$AD,0)),"")</f>
        <v>Priority 3</v>
      </c>
      <c r="AB143" s="19" t="n">
        <f aca="false">IFERROR(INDEX(Scoring!$M:$M,MATCH($C143&amp;"|"&amp;$E143,Scoring!$AD:$AD,0)),"")</f>
        <v>41</v>
      </c>
      <c r="AC143" s="16" t="str">
        <f aca="false">IFERROR(INDEX('Route of Administration'!$C$5:$C$155,MATCH($C143,'Route of Administration'!$A$5:$A$155,0)),"")</f>
        <v>IM, SC</v>
      </c>
      <c r="AD143" s="15" t="str">
        <f aca="false">IFERROR(INDEX('Route of Administration'!$D$5:$D$155,MATCH($C143,'Route of Administration'!$A$5:$A$155,0)),"")</f>
        <v>Yes</v>
      </c>
      <c r="AE143" s="15" t="str">
        <f aca="false">IF($AD143="No","Not checked – drug is IV only",IFERROR(INDEX('Route of Administration'!$O$5:$O$170,MATCH($E143&amp;"|"&amp;$C143,'Route of Administration'!$S$5:$S$170,0)),"Not checked – price ≤ USD 5"))</f>
        <v>Pass</v>
      </c>
    </row>
    <row r="144" customFormat="false" ht="41.75" hidden="false" customHeight="false" outlineLevel="0" collapsed="false">
      <c r="B144" s="16" t="n">
        <v>142</v>
      </c>
      <c r="C144" s="16" t="s">
        <v>74</v>
      </c>
      <c r="D144" s="16" t="s">
        <v>656</v>
      </c>
      <c r="E144" s="16" t="s">
        <v>230</v>
      </c>
      <c r="F144" s="16" t="s">
        <v>1748</v>
      </c>
      <c r="G144" s="17" t="s">
        <v>1870</v>
      </c>
      <c r="H144" s="16" t="s">
        <v>1533</v>
      </c>
      <c r="I144" s="18"/>
      <c r="J144" s="16" t="n">
        <v>1</v>
      </c>
      <c r="K144" s="16" t="n">
        <v>1963</v>
      </c>
      <c r="L144" s="19" t="n">
        <v>49365.77</v>
      </c>
      <c r="M144" s="17" t="s">
        <v>657</v>
      </c>
      <c r="N144" s="82" t="n">
        <v>1</v>
      </c>
      <c r="O144" s="64" t="s">
        <v>1541</v>
      </c>
      <c r="P144" s="16" t="s">
        <v>1561</v>
      </c>
      <c r="Q144" s="17" t="s">
        <v>1542</v>
      </c>
      <c r="R144" s="78" t="s">
        <v>1543</v>
      </c>
      <c r="S144" s="77" t="n">
        <f aca="false">IFERROR(INDEX('Injectable Value'!$Z$28:$Z$178,MATCH($C144,'Injectable Value'!$A$28:$A$178,0)),"")</f>
        <v>0.115367076010264</v>
      </c>
      <c r="T144" s="19" t="n">
        <f aca="false">IFERROR(ROUND(INDEX('Injectable Value'!$AA$28:$AA$178,MATCH($C144,'Injectable Value'!$A$28:$A$178,0)),1),"")</f>
        <v>5695.2</v>
      </c>
      <c r="U144" s="17" t="s">
        <v>614</v>
      </c>
      <c r="V144" s="16" t="n">
        <v>1</v>
      </c>
      <c r="W144" s="16" t="s">
        <v>112</v>
      </c>
      <c r="X144" s="16" t="s">
        <v>281</v>
      </c>
      <c r="Y144" s="16" t="s">
        <v>283</v>
      </c>
      <c r="Z144" s="17" t="str">
        <f aca="false">IFERROR(INDEX(Scoring!$U:$U,MATCH($C144&amp;"|"&amp;$E144,Scoring!$AD:$AD,0)),"")</f>
        <v>Low price comes from another market – confirm with the company</v>
      </c>
      <c r="AA144" s="16" t="str">
        <f aca="false">IFERROR(INDEX(Scoring!$E:$E,MATCH($C144&amp;"|"&amp;$E144,Scoring!$AD:$AD,0)),"")</f>
        <v>Excluded – price ≤ USD 5</v>
      </c>
      <c r="AB144" s="19" t="n">
        <f aca="false">IFERROR(INDEX(Scoring!$M:$M,MATCH($C144&amp;"|"&amp;$E144,Scoring!$AD:$AD,0)),"")</f>
        <v>226</v>
      </c>
      <c r="AC144" s="16" t="str">
        <f aca="false">IFERROR(INDEX('Route of Administration'!$C$5:$C$155,MATCH($C144,'Route of Administration'!$A$5:$A$155,0)),"")</f>
        <v>IV, IM, SC</v>
      </c>
      <c r="AD144" s="15" t="str">
        <f aca="false">IFERROR(INDEX('Route of Administration'!$D$5:$D$155,MATCH($C144,'Route of Administration'!$A$5:$A$155,0)),"")</f>
        <v>Yes</v>
      </c>
      <c r="AE144" s="15" t="str">
        <f aca="false">IF($AD144="No","Not checked – drug is IV only",IFERROR(INDEX('Route of Administration'!$O$5:$O$170,MATCH($E144&amp;"|"&amp;$C144,'Route of Administration'!$S$5:$S$170,0)),"Not checked – price ≤ USD 5"))</f>
        <v>Not checked – price ≤ USD 5</v>
      </c>
    </row>
    <row r="145" customFormat="false" ht="28.35" hidden="false" customHeight="false" outlineLevel="0" collapsed="false">
      <c r="B145" s="16" t="n">
        <v>143</v>
      </c>
      <c r="C145" s="16" t="s">
        <v>329</v>
      </c>
      <c r="D145" s="16" t="s">
        <v>612</v>
      </c>
      <c r="E145" s="16" t="s">
        <v>230</v>
      </c>
      <c r="F145" s="16" t="s">
        <v>1801</v>
      </c>
      <c r="G145" s="17" t="s">
        <v>1802</v>
      </c>
      <c r="H145" s="16" t="s">
        <v>1533</v>
      </c>
      <c r="I145" s="18" t="n">
        <v>10.241</v>
      </c>
      <c r="J145" s="16" t="n">
        <v>1</v>
      </c>
      <c r="K145" s="16" t="n">
        <v>762</v>
      </c>
      <c r="L145" s="19" t="n">
        <v>50865.56</v>
      </c>
      <c r="M145" s="17" t="s">
        <v>331</v>
      </c>
      <c r="N145" s="18" t="n">
        <v>10.241</v>
      </c>
      <c r="O145" s="16" t="s">
        <v>1534</v>
      </c>
      <c r="P145" s="16" t="s">
        <v>1535</v>
      </c>
      <c r="Q145" s="17" t="s">
        <v>1536</v>
      </c>
      <c r="R145" s="78" t="s">
        <v>1799</v>
      </c>
      <c r="S145" s="77" t="n">
        <f aca="false">IFERROR(INDEX('Injectable Value'!$Z$28:$Z$178,MATCH($C145,'Injectable Value'!$A$28:$A$178,0)),"")</f>
        <v>0.829278792417718</v>
      </c>
      <c r="T145" s="19" t="n">
        <f aca="false">IFERROR(ROUND(INDEX('Injectable Value'!$AA$28:$AA$178,MATCH($C145,'Injectable Value'!$A$28:$A$178,0)),1),"")</f>
        <v>42181.7</v>
      </c>
      <c r="U145" s="17" t="s">
        <v>614</v>
      </c>
      <c r="V145" s="16" t="n">
        <v>1</v>
      </c>
      <c r="W145" s="16" t="s">
        <v>112</v>
      </c>
      <c r="X145" s="16" t="s">
        <v>281</v>
      </c>
      <c r="Y145" s="16" t="s">
        <v>333</v>
      </c>
      <c r="Z145" s="17" t="str">
        <f aca="false">IFERROR(INDEX(Scoring!$U:$U,MATCH($C145&amp;"|"&amp;$E145,Scoring!$AD:$AD,0)),"")</f>
        <v>Cancer drug (cytotoxic) – less relevant; Reconstitution</v>
      </c>
      <c r="AA145" s="16" t="str">
        <f aca="false">IFERROR(INDEX(Scoring!$E:$E,MATCH($C145&amp;"|"&amp;$E145,Scoring!$AD:$AD,0)),"")</f>
        <v>Priority 2</v>
      </c>
      <c r="AB145" s="19" t="n">
        <f aca="false">IFERROR(INDEX(Scoring!$M:$M,MATCH($C145&amp;"|"&amp;$E145,Scoring!$AD:$AD,0)),"")</f>
        <v>632</v>
      </c>
      <c r="AC145" s="16" t="str">
        <f aca="false">IFERROR(INDEX('Route of Administration'!$C$5:$C$155,MATCH($C145,'Route of Administration'!$A$5:$A$155,0)),"")</f>
        <v>IV, SC</v>
      </c>
      <c r="AD145" s="15" t="str">
        <f aca="false">IFERROR(INDEX('Route of Administration'!$D$5:$D$155,MATCH($C145,'Route of Administration'!$A$5:$A$155,0)),"")</f>
        <v>Yes</v>
      </c>
      <c r="AE145" s="15" t="str">
        <f aca="false">IF($AD145="No","Not checked – drug is IV only",IFERROR(INDEX('Route of Administration'!$O$5:$O$170,MATCH($E145&amp;"|"&amp;$C145,'Route of Administration'!$S$5:$S$170,0)),"Not checked – price ≤ USD 5"))</f>
        <v>Pass</v>
      </c>
    </row>
    <row r="146" customFormat="false" ht="28.35" hidden="false" customHeight="false" outlineLevel="0" collapsed="false">
      <c r="B146" s="16" t="n">
        <v>144</v>
      </c>
      <c r="C146" s="16" t="s">
        <v>529</v>
      </c>
      <c r="D146" s="16" t="s">
        <v>654</v>
      </c>
      <c r="E146" s="16" t="s">
        <v>230</v>
      </c>
      <c r="F146" s="16" t="s">
        <v>1872</v>
      </c>
      <c r="G146" s="17" t="s">
        <v>1852</v>
      </c>
      <c r="H146" s="16" t="s">
        <v>1533</v>
      </c>
      <c r="I146" s="18" t="n">
        <v>6.937</v>
      </c>
      <c r="J146" s="16" t="n">
        <v>1</v>
      </c>
      <c r="K146" s="16" t="n">
        <v>119</v>
      </c>
      <c r="L146" s="19" t="n">
        <v>3113.83</v>
      </c>
      <c r="M146" s="17" t="s">
        <v>531</v>
      </c>
      <c r="N146" s="18" t="n">
        <v>6.937</v>
      </c>
      <c r="O146" s="16" t="s">
        <v>1534</v>
      </c>
      <c r="P146" s="16" t="s">
        <v>1535</v>
      </c>
      <c r="Q146" s="17" t="s">
        <v>1536</v>
      </c>
      <c r="R146" s="78" t="s">
        <v>1799</v>
      </c>
      <c r="S146" s="77" t="n">
        <f aca="false">IFERROR(INDEX('Injectable Value'!$Z$28:$Z$178,MATCH($C146,'Injectable Value'!$A$28:$A$178,0)),"")</f>
        <v>0.899884259259259</v>
      </c>
      <c r="T146" s="19" t="n">
        <f aca="false">IFERROR(ROUND(INDEX('Injectable Value'!$AA$28:$AA$178,MATCH($C146,'Injectable Value'!$A$28:$A$178,0)),1),"")</f>
        <v>2802.1</v>
      </c>
      <c r="U146" s="17" t="s">
        <v>614</v>
      </c>
      <c r="V146" s="16" t="n">
        <v>1</v>
      </c>
      <c r="W146" s="16" t="s">
        <v>112</v>
      </c>
      <c r="X146" s="16" t="s">
        <v>281</v>
      </c>
      <c r="Y146" s="16" t="s">
        <v>283</v>
      </c>
      <c r="Z146" s="17" t="str">
        <f aca="false">IFERROR(INDEX(Scoring!$U:$U,MATCH($C146&amp;"|"&amp;$E146,Scoring!$AD:$AD,0)),"")</f>
        <v/>
      </c>
      <c r="AA146" s="16" t="str">
        <f aca="false">IFERROR(INDEX(Scoring!$E:$E,MATCH($C146&amp;"|"&amp;$E146,Scoring!$AD:$AD,0)),"")</f>
        <v>Excluded – IV only</v>
      </c>
      <c r="AB146" s="19" t="n">
        <f aca="false">IFERROR(INDEX(Scoring!$M:$M,MATCH($C146&amp;"|"&amp;$E146,Scoring!$AD:$AD,0)),"")</f>
        <v>107</v>
      </c>
      <c r="AC146" s="16" t="str">
        <f aca="false">IFERROR(INDEX('Route of Administration'!$C$5:$C$155,MATCH($C146,'Route of Administration'!$A$5:$A$155,0)),"")</f>
        <v>IV</v>
      </c>
      <c r="AD146" s="15" t="str">
        <f aca="false">IFERROR(INDEX('Route of Administration'!$D$5:$D$155,MATCH($C146,'Route of Administration'!$A$5:$A$155,0)),"")</f>
        <v>No</v>
      </c>
      <c r="AE146" s="15" t="str">
        <f aca="false">IF($AD146="No","Not checked – drug is IV only",IFERROR(INDEX('Route of Administration'!$O$5:$O$170,MATCH($E146&amp;"|"&amp;$C146,'Route of Administration'!$S$5:$S$170,0)),"Not checked – price ≤ USD 5"))</f>
        <v>Not checked – drug is IV only</v>
      </c>
    </row>
    <row r="147" customFormat="false" ht="28.35" hidden="false" customHeight="false" outlineLevel="0" collapsed="false">
      <c r="B147" s="16" t="n">
        <v>145</v>
      </c>
      <c r="C147" s="16" t="s">
        <v>615</v>
      </c>
      <c r="D147" s="16" t="s">
        <v>1873</v>
      </c>
      <c r="E147" s="16" t="s">
        <v>230</v>
      </c>
      <c r="F147" s="16" t="s">
        <v>1874</v>
      </c>
      <c r="G147" s="17" t="s">
        <v>1875</v>
      </c>
      <c r="H147" s="16" t="s">
        <v>1533</v>
      </c>
      <c r="I147" s="18" t="n">
        <v>30.583</v>
      </c>
      <c r="J147" s="16" t="n">
        <v>1</v>
      </c>
      <c r="K147" s="16" t="n">
        <v>441</v>
      </c>
      <c r="L147" s="19" t="n">
        <v>3973.65</v>
      </c>
      <c r="M147" s="17" t="s">
        <v>617</v>
      </c>
      <c r="N147" s="18" t="n">
        <v>30.583</v>
      </c>
      <c r="O147" s="16" t="s">
        <v>1534</v>
      </c>
      <c r="P147" s="16" t="s">
        <v>1535</v>
      </c>
      <c r="Q147" s="17" t="s">
        <v>1536</v>
      </c>
      <c r="R147" s="78" t="s">
        <v>1806</v>
      </c>
      <c r="S147" s="77" t="n">
        <f aca="false">IFERROR(INDEX('Injectable Value'!$Z$28:$Z$178,MATCH($C147,'Injectable Value'!$A$28:$A$178,0)),"")</f>
        <v>1</v>
      </c>
      <c r="T147" s="19" t="n">
        <f aca="false">IFERROR(ROUND(INDEX('Injectable Value'!$AA$28:$AA$178,MATCH($C147,'Injectable Value'!$A$28:$A$178,0)),1),"")</f>
        <v>3973.7</v>
      </c>
      <c r="U147" s="17" t="s">
        <v>619</v>
      </c>
      <c r="V147" s="16" t="n">
        <v>2</v>
      </c>
      <c r="W147" s="16" t="s">
        <v>112</v>
      </c>
      <c r="X147" s="16" t="s">
        <v>281</v>
      </c>
      <c r="Y147" s="16" t="s">
        <v>333</v>
      </c>
      <c r="Z147" s="17" t="str">
        <f aca="false">IFERROR(INDEX(Scoring!$U:$U,MATCH($C147&amp;"|"&amp;$E147,Scoring!$AD:$AD,0)),"")</f>
        <v>Cancer drug (cytotoxic) – less relevant; Reconstitution</v>
      </c>
      <c r="AA147" s="16" t="str">
        <f aca="false">IFERROR(INDEX(Scoring!$E:$E,MATCH($C147&amp;"|"&amp;$E147,Scoring!$AD:$AD,0)),"")</f>
        <v>Priority 1</v>
      </c>
      <c r="AB147" s="19" t="n">
        <f aca="false">IFERROR(INDEX(Scoring!$M:$M,MATCH($C147&amp;"|"&amp;$E147,Scoring!$AD:$AD,0)),"")</f>
        <v>441</v>
      </c>
      <c r="AC147" s="16" t="str">
        <f aca="false">IFERROR(INDEX('Route of Administration'!$C$5:$C$155,MATCH($C147,'Route of Administration'!$A$5:$A$155,0)),"")</f>
        <v>IV, IM, SC</v>
      </c>
      <c r="AD147" s="15" t="str">
        <f aca="false">IFERROR(INDEX('Route of Administration'!$D$5:$D$155,MATCH($C147,'Route of Administration'!$A$5:$A$155,0)),"")</f>
        <v>Yes</v>
      </c>
      <c r="AE147" s="15" t="str">
        <f aca="false">IF($AD147="No","Not checked – drug is IV only",IFERROR(INDEX('Route of Administration'!$O$5:$O$170,MATCH($E147&amp;"|"&amp;$C147,'Route of Administration'!$S$5:$S$170,0)),"Not checked – price ≤ USD 5"))</f>
        <v>Pass</v>
      </c>
    </row>
    <row r="148" customFormat="false" ht="28.35" hidden="false" customHeight="false" outlineLevel="0" collapsed="false">
      <c r="B148" s="16" t="n">
        <v>146</v>
      </c>
      <c r="C148" s="16" t="s">
        <v>660</v>
      </c>
      <c r="D148" s="16" t="s">
        <v>661</v>
      </c>
      <c r="E148" s="16" t="s">
        <v>230</v>
      </c>
      <c r="F148" s="16" t="s">
        <v>1876</v>
      </c>
      <c r="G148" s="17" t="s">
        <v>1877</v>
      </c>
      <c r="H148" s="16" t="s">
        <v>1533</v>
      </c>
      <c r="I148" s="18" t="n">
        <v>145.39</v>
      </c>
      <c r="J148" s="16" t="n">
        <v>1</v>
      </c>
      <c r="K148" s="16" t="n">
        <v>143</v>
      </c>
      <c r="L148" s="19" t="n">
        <v>1308.54</v>
      </c>
      <c r="M148" s="17" t="s">
        <v>662</v>
      </c>
      <c r="N148" s="18" t="n">
        <v>145.39</v>
      </c>
      <c r="O148" s="16" t="s">
        <v>1534</v>
      </c>
      <c r="P148" s="16" t="s">
        <v>1700</v>
      </c>
      <c r="Q148" s="17" t="s">
        <v>1878</v>
      </c>
      <c r="R148" s="78" t="s">
        <v>1879</v>
      </c>
      <c r="S148" s="77" t="n">
        <f aca="false">IFERROR(INDEX('Injectable Value'!$Z$28:$Z$178,MATCH($C148,'Injectable Value'!$A$28:$A$178,0)),"")</f>
        <v>0.37037037037037</v>
      </c>
      <c r="T148" s="19" t="n">
        <f aca="false">IFERROR(ROUND(INDEX('Injectable Value'!$AA$28:$AA$178,MATCH($C148,'Injectable Value'!$A$28:$A$178,0)),1),"")</f>
        <v>484.6</v>
      </c>
      <c r="U148" s="17" t="s">
        <v>360</v>
      </c>
      <c r="V148" s="16" t="n">
        <v>1</v>
      </c>
      <c r="W148" s="16" t="s">
        <v>112</v>
      </c>
      <c r="X148" s="16" t="s">
        <v>281</v>
      </c>
      <c r="Y148" s="16" t="s">
        <v>333</v>
      </c>
      <c r="Z148" s="17" t="str">
        <f aca="false">IFERROR(INDEX(Scoring!$U:$U,MATCH($C148&amp;"|"&amp;$E148,Scoring!$AD:$AD,0)),"")</f>
        <v>Reconstitution</v>
      </c>
      <c r="AA148" s="16" t="str">
        <f aca="false">IFERROR(INDEX(Scoring!$E:$E,MATCH($C148&amp;"|"&amp;$E148,Scoring!$AD:$AD,0)),"")</f>
        <v>Excluded – IV only</v>
      </c>
      <c r="AB148" s="19" t="n">
        <f aca="false">IFERROR(INDEX(Scoring!$M:$M,MATCH($C148&amp;"|"&amp;$E148,Scoring!$AD:$AD,0)),"")</f>
        <v>53</v>
      </c>
      <c r="AC148" s="16" t="str">
        <f aca="false">IFERROR(INDEX('Route of Administration'!$C$5:$C$155,MATCH($C148,'Route of Administration'!$A$5:$A$155,0)),"")</f>
        <v>IV, intracoronary</v>
      </c>
      <c r="AD148" s="15" t="str">
        <f aca="false">IFERROR(INDEX('Route of Administration'!$D$5:$D$155,MATCH($C148,'Route of Administration'!$A$5:$A$155,0)),"")</f>
        <v>No</v>
      </c>
      <c r="AE148" s="15" t="str">
        <f aca="false">IF($AD148="No","Not checked – drug is IV only",IFERROR(INDEX('Route of Administration'!$O$5:$O$170,MATCH($E148&amp;"|"&amp;$C148,'Route of Administration'!$S$5:$S$170,0)),"Not checked – price ≤ USD 5"))</f>
        <v>Not checked – drug is IV only</v>
      </c>
    </row>
    <row r="149" customFormat="false" ht="28.35" hidden="false" customHeight="false" outlineLevel="0" collapsed="false">
      <c r="B149" s="16" t="n">
        <v>147</v>
      </c>
      <c r="C149" s="16" t="s">
        <v>660</v>
      </c>
      <c r="D149" s="16" t="s">
        <v>661</v>
      </c>
      <c r="E149" s="16" t="s">
        <v>230</v>
      </c>
      <c r="F149" s="16" t="s">
        <v>1880</v>
      </c>
      <c r="G149" s="17" t="s">
        <v>1877</v>
      </c>
      <c r="H149" s="16" t="s">
        <v>1533</v>
      </c>
      <c r="I149" s="18" t="n">
        <v>290.78</v>
      </c>
      <c r="J149" s="16" t="n">
        <v>1</v>
      </c>
      <c r="K149" s="16" t="n">
        <v>143</v>
      </c>
      <c r="L149" s="19" t="n">
        <v>1308.54</v>
      </c>
      <c r="M149" s="17" t="s">
        <v>662</v>
      </c>
      <c r="N149" s="18" t="n">
        <v>290.78</v>
      </c>
      <c r="O149" s="16" t="s">
        <v>1534</v>
      </c>
      <c r="P149" s="16" t="s">
        <v>1700</v>
      </c>
      <c r="Q149" s="17" t="s">
        <v>1878</v>
      </c>
      <c r="R149" s="78" t="s">
        <v>1879</v>
      </c>
      <c r="S149" s="77" t="n">
        <f aca="false">IFERROR(INDEX('Injectable Value'!$Z$28:$Z$178,MATCH($C149,'Injectable Value'!$A$28:$A$178,0)),"")</f>
        <v>0.37037037037037</v>
      </c>
      <c r="T149" s="19" t="n">
        <f aca="false">IFERROR(ROUND(INDEX('Injectable Value'!$AA$28:$AA$178,MATCH($C149,'Injectable Value'!$A$28:$A$178,0)),1),"")</f>
        <v>484.6</v>
      </c>
      <c r="U149" s="17" t="s">
        <v>360</v>
      </c>
      <c r="V149" s="16" t="n">
        <v>1</v>
      </c>
      <c r="W149" s="16" t="s">
        <v>112</v>
      </c>
      <c r="X149" s="16" t="s">
        <v>281</v>
      </c>
      <c r="Y149" s="16" t="s">
        <v>333</v>
      </c>
      <c r="Z149" s="17" t="str">
        <f aca="false">IFERROR(INDEX(Scoring!$U:$U,MATCH($C149&amp;"|"&amp;$E149,Scoring!$AD:$AD,0)),"")</f>
        <v>Reconstitution</v>
      </c>
      <c r="AA149" s="16" t="str">
        <f aca="false">IFERROR(INDEX(Scoring!$E:$E,MATCH($C149&amp;"|"&amp;$E149,Scoring!$AD:$AD,0)),"")</f>
        <v>Excluded – IV only</v>
      </c>
      <c r="AB149" s="19" t="n">
        <f aca="false">IFERROR(INDEX(Scoring!$M:$M,MATCH($C149&amp;"|"&amp;$E149,Scoring!$AD:$AD,0)),"")</f>
        <v>53</v>
      </c>
      <c r="AC149" s="16" t="str">
        <f aca="false">IFERROR(INDEX('Route of Administration'!$C$5:$C$155,MATCH($C149,'Route of Administration'!$A$5:$A$155,0)),"")</f>
        <v>IV, intracoronary</v>
      </c>
      <c r="AD149" s="15" t="str">
        <f aca="false">IFERROR(INDEX('Route of Administration'!$D$5:$D$155,MATCH($C149,'Route of Administration'!$A$5:$A$155,0)),"")</f>
        <v>No</v>
      </c>
      <c r="AE149" s="15" t="str">
        <f aca="false">IF($AD149="No","Not checked – drug is IV only",IFERROR(INDEX('Route of Administration'!$O$5:$O$170,MATCH($E149&amp;"|"&amp;$C149,'Route of Administration'!$S$5:$S$170,0)),"Not checked – price ≤ USD 5"))</f>
        <v>Not checked – drug is IV only</v>
      </c>
    </row>
    <row r="150" customFormat="false" ht="28.35" hidden="false" customHeight="false" outlineLevel="0" collapsed="false">
      <c r="B150" s="16" t="n">
        <v>148</v>
      </c>
      <c r="C150" s="16" t="s">
        <v>355</v>
      </c>
      <c r="D150" s="16" t="s">
        <v>623</v>
      </c>
      <c r="E150" s="16" t="s">
        <v>230</v>
      </c>
      <c r="F150" s="16" t="s">
        <v>1812</v>
      </c>
      <c r="G150" s="17"/>
      <c r="H150" s="16"/>
      <c r="I150" s="18" t="n">
        <v>17.03</v>
      </c>
      <c r="J150" s="16" t="n">
        <v>1</v>
      </c>
      <c r="K150" s="16" t="n">
        <v>290</v>
      </c>
      <c r="L150" s="19" t="n">
        <v>6348.25</v>
      </c>
      <c r="M150" s="17" t="s">
        <v>357</v>
      </c>
      <c r="N150" s="18" t="n">
        <v>17.03</v>
      </c>
      <c r="O150" s="16" t="s">
        <v>1534</v>
      </c>
      <c r="P150" s="16" t="s">
        <v>1700</v>
      </c>
      <c r="Q150" s="17" t="s">
        <v>1878</v>
      </c>
      <c r="R150" s="78" t="s">
        <v>1881</v>
      </c>
      <c r="S150" s="77" t="n">
        <f aca="false">IFERROR(INDEX('Injectable Value'!$Z$28:$Z$178,MATCH($C150,'Injectable Value'!$A$28:$A$178,0)),"")</f>
        <v>0.991596638655462</v>
      </c>
      <c r="T150" s="19" t="n">
        <f aca="false">IFERROR(ROUND(INDEX('Injectable Value'!$AA$28:$AA$178,MATCH($C150,'Injectable Value'!$A$28:$A$178,0)),1),"")</f>
        <v>6294.9</v>
      </c>
      <c r="U150" s="17" t="s">
        <v>360</v>
      </c>
      <c r="V150" s="16" t="n">
        <v>1</v>
      </c>
      <c r="W150" s="16" t="s">
        <v>112</v>
      </c>
      <c r="X150" s="16" t="s">
        <v>310</v>
      </c>
      <c r="Y150" s="16" t="s">
        <v>310</v>
      </c>
      <c r="Z150" s="17" t="str">
        <f aca="false">IFERROR(INDEX(Scoring!$U:$U,MATCH($C150&amp;"|"&amp;$E150,Scoring!$AD:$AD,0)),"")</f>
        <v/>
      </c>
      <c r="AA150" s="16" t="str">
        <f aca="false">IFERROR(INDEX(Scoring!$E:$E,MATCH($C150&amp;"|"&amp;$E150,Scoring!$AD:$AD,0)),"")</f>
        <v>Priority 2</v>
      </c>
      <c r="AB150" s="19" t="n">
        <f aca="false">IFERROR(INDEX(Scoring!$M:$M,MATCH($C150&amp;"|"&amp;$E150,Scoring!$AD:$AD,0)),"")</f>
        <v>288</v>
      </c>
      <c r="AC150" s="16" t="str">
        <f aca="false">IFERROR(INDEX('Route of Administration'!$C$5:$C$155,MATCH($C150,'Route of Administration'!$A$5:$A$155,0)),"")</f>
        <v>IV, IM</v>
      </c>
      <c r="AD150" s="15" t="str">
        <f aca="false">IFERROR(INDEX('Route of Administration'!$D$5:$D$155,MATCH($C150,'Route of Administration'!$A$5:$A$155,0)),"")</f>
        <v>Yes</v>
      </c>
      <c r="AE150" s="15" t="str">
        <f aca="false">IF($AD150="No","Not checked – drug is IV only",IFERROR(INDEX('Route of Administration'!$O$5:$O$170,MATCH($E150&amp;"|"&amp;$C150,'Route of Administration'!$S$5:$S$170,0)),"Not checked – price ≤ USD 5"))</f>
        <v>To confirm</v>
      </c>
    </row>
    <row r="151" customFormat="false" ht="28.35" hidden="false" customHeight="false" outlineLevel="0" collapsed="false">
      <c r="B151" s="16" t="n">
        <v>149</v>
      </c>
      <c r="C151" s="16" t="s">
        <v>355</v>
      </c>
      <c r="D151" s="16" t="s">
        <v>623</v>
      </c>
      <c r="E151" s="16" t="s">
        <v>230</v>
      </c>
      <c r="F151" s="16" t="s">
        <v>1882</v>
      </c>
      <c r="G151" s="17"/>
      <c r="H151" s="16"/>
      <c r="I151" s="18" t="n">
        <v>31.81</v>
      </c>
      <c r="J151" s="16" t="n">
        <v>1</v>
      </c>
      <c r="K151" s="16" t="n">
        <v>290</v>
      </c>
      <c r="L151" s="19" t="n">
        <v>6348.25</v>
      </c>
      <c r="M151" s="17" t="s">
        <v>357</v>
      </c>
      <c r="N151" s="18" t="n">
        <v>31.81</v>
      </c>
      <c r="O151" s="16" t="s">
        <v>1534</v>
      </c>
      <c r="P151" s="16" t="s">
        <v>1700</v>
      </c>
      <c r="Q151" s="17" t="s">
        <v>1878</v>
      </c>
      <c r="R151" s="78" t="s">
        <v>1881</v>
      </c>
      <c r="S151" s="77" t="n">
        <f aca="false">IFERROR(INDEX('Injectable Value'!$Z$28:$Z$178,MATCH($C151,'Injectable Value'!$A$28:$A$178,0)),"")</f>
        <v>0.991596638655462</v>
      </c>
      <c r="T151" s="19" t="n">
        <f aca="false">IFERROR(ROUND(INDEX('Injectable Value'!$AA$28:$AA$178,MATCH($C151,'Injectable Value'!$A$28:$A$178,0)),1),"")</f>
        <v>6294.9</v>
      </c>
      <c r="U151" s="17" t="s">
        <v>360</v>
      </c>
      <c r="V151" s="16" t="n">
        <v>1</v>
      </c>
      <c r="W151" s="16" t="s">
        <v>112</v>
      </c>
      <c r="X151" s="16" t="s">
        <v>310</v>
      </c>
      <c r="Y151" s="16" t="s">
        <v>310</v>
      </c>
      <c r="Z151" s="17" t="str">
        <f aca="false">IFERROR(INDEX(Scoring!$U:$U,MATCH($C151&amp;"|"&amp;$E151,Scoring!$AD:$AD,0)),"")</f>
        <v/>
      </c>
      <c r="AA151" s="16" t="str">
        <f aca="false">IFERROR(INDEX(Scoring!$E:$E,MATCH($C151&amp;"|"&amp;$E151,Scoring!$AD:$AD,0)),"")</f>
        <v>Priority 2</v>
      </c>
      <c r="AB151" s="19" t="n">
        <f aca="false">IFERROR(INDEX(Scoring!$M:$M,MATCH($C151&amp;"|"&amp;$E151,Scoring!$AD:$AD,0)),"")</f>
        <v>288</v>
      </c>
      <c r="AC151" s="16" t="str">
        <f aca="false">IFERROR(INDEX('Route of Administration'!$C$5:$C$155,MATCH($C151,'Route of Administration'!$A$5:$A$155,0)),"")</f>
        <v>IV, IM</v>
      </c>
      <c r="AD151" s="15" t="str">
        <f aca="false">IFERROR(INDEX('Route of Administration'!$D$5:$D$155,MATCH($C151,'Route of Administration'!$A$5:$A$155,0)),"")</f>
        <v>Yes</v>
      </c>
      <c r="AE151" s="15" t="str">
        <f aca="false">IF($AD151="No","Not checked – drug is IV only",IFERROR(INDEX('Route of Administration'!$O$5:$O$170,MATCH($E151&amp;"|"&amp;$C151,'Route of Administration'!$S$5:$S$170,0)),"Not checked – price ≤ USD 5"))</f>
        <v>To confirm</v>
      </c>
    </row>
    <row r="152" customFormat="false" ht="28.35" hidden="false" customHeight="false" outlineLevel="0" collapsed="false">
      <c r="B152" s="16" t="n">
        <v>150</v>
      </c>
      <c r="C152" s="16" t="s">
        <v>676</v>
      </c>
      <c r="D152" s="16" t="s">
        <v>677</v>
      </c>
      <c r="E152" s="16" t="s">
        <v>230</v>
      </c>
      <c r="F152" s="16" t="s">
        <v>1883</v>
      </c>
      <c r="G152" s="17" t="s">
        <v>1884</v>
      </c>
      <c r="H152" s="16" t="s">
        <v>1533</v>
      </c>
      <c r="I152" s="18" t="n">
        <v>118.45</v>
      </c>
      <c r="J152" s="16" t="n">
        <v>1</v>
      </c>
      <c r="K152" s="16" t="n">
        <v>188</v>
      </c>
      <c r="L152" s="19" t="n">
        <v>262.84</v>
      </c>
      <c r="M152" s="17" t="s">
        <v>678</v>
      </c>
      <c r="N152" s="18" t="n">
        <v>118.45</v>
      </c>
      <c r="O152" s="16" t="s">
        <v>1534</v>
      </c>
      <c r="P152" s="16" t="s">
        <v>1700</v>
      </c>
      <c r="Q152" s="17" t="s">
        <v>1536</v>
      </c>
      <c r="R152" s="78" t="s">
        <v>1814</v>
      </c>
      <c r="S152" s="77" t="n">
        <f aca="false">IFERROR(INDEX('Injectable Value'!$Z$28:$Z$178,MATCH($C152,'Injectable Value'!$A$28:$A$178,0)),"")</f>
        <v>0.703571428571429</v>
      </c>
      <c r="T152" s="19" t="n">
        <f aca="false">IFERROR(ROUND(INDEX('Injectable Value'!$AA$28:$AA$178,MATCH($C152,'Injectable Value'!$A$28:$A$178,0)),1),"")</f>
        <v>184.9</v>
      </c>
      <c r="U152" s="17" t="s">
        <v>360</v>
      </c>
      <c r="V152" s="16" t="n">
        <v>1</v>
      </c>
      <c r="W152" s="16" t="s">
        <v>112</v>
      </c>
      <c r="X152" s="16" t="s">
        <v>281</v>
      </c>
      <c r="Y152" s="16" t="s">
        <v>283</v>
      </c>
      <c r="Z152" s="17" t="str">
        <f aca="false">IFERROR(INDEX(Scoring!$U:$U,MATCH($C152&amp;"|"&amp;$E152,Scoring!$AD:$AD,0)),"")</f>
        <v/>
      </c>
      <c r="AA152" s="16" t="str">
        <f aca="false">IFERROR(INDEX(Scoring!$E:$E,MATCH($C152&amp;"|"&amp;$E152,Scoring!$AD:$AD,0)),"")</f>
        <v>Priority 2</v>
      </c>
      <c r="AB152" s="19" t="n">
        <f aca="false">IFERROR(INDEX(Scoring!$M:$M,MATCH($C152&amp;"|"&amp;$E152,Scoring!$AD:$AD,0)),"")</f>
        <v>132</v>
      </c>
      <c r="AC152" s="16" t="str">
        <f aca="false">IFERROR(INDEX('Route of Administration'!$C$5:$C$155,MATCH($C152,'Route of Administration'!$A$5:$A$155,0)),"")</f>
        <v>IM</v>
      </c>
      <c r="AD152" s="15" t="str">
        <f aca="false">IFERROR(INDEX('Route of Administration'!$D$5:$D$155,MATCH($C152,'Route of Administration'!$A$5:$A$155,0)),"")</f>
        <v>Yes</v>
      </c>
      <c r="AE152" s="15" t="str">
        <f aca="false">IF($AD152="No","Not checked – drug is IV only",IFERROR(INDEX('Route of Administration'!$O$5:$O$170,MATCH($E152&amp;"|"&amp;$C152,'Route of Administration'!$S$5:$S$170,0)),"Not checked – price ≤ USD 5"))</f>
        <v>Pass</v>
      </c>
    </row>
    <row r="153" customFormat="false" ht="28.35" hidden="false" customHeight="false" outlineLevel="0" collapsed="false">
      <c r="B153" s="16" t="n">
        <v>151</v>
      </c>
      <c r="C153" s="16" t="s">
        <v>665</v>
      </c>
      <c r="D153" s="16" t="s">
        <v>1885</v>
      </c>
      <c r="E153" s="16" t="s">
        <v>230</v>
      </c>
      <c r="F153" s="16" t="s">
        <v>1886</v>
      </c>
      <c r="G153" s="17" t="s">
        <v>1887</v>
      </c>
      <c r="H153" s="16" t="s">
        <v>1533</v>
      </c>
      <c r="I153" s="18" t="n">
        <v>13.84</v>
      </c>
      <c r="J153" s="16" t="n">
        <v>1</v>
      </c>
      <c r="K153" s="16" t="n">
        <v>346</v>
      </c>
      <c r="L153" s="19" t="n">
        <v>32830.17</v>
      </c>
      <c r="M153" s="17" t="s">
        <v>667</v>
      </c>
      <c r="N153" s="18" t="n">
        <v>13.84</v>
      </c>
      <c r="O153" s="16" t="s">
        <v>1534</v>
      </c>
      <c r="P153" s="16" t="s">
        <v>1700</v>
      </c>
      <c r="Q153" s="17" t="s">
        <v>1878</v>
      </c>
      <c r="R153" s="78" t="s">
        <v>1888</v>
      </c>
      <c r="S153" s="77" t="n">
        <f aca="false">IFERROR(INDEX('Injectable Value'!$Z$28:$Z$178,MATCH($C153,'Injectable Value'!$A$28:$A$178,0)),"")</f>
        <v>1</v>
      </c>
      <c r="T153" s="19" t="n">
        <f aca="false">IFERROR(ROUND(INDEX('Injectable Value'!$AA$28:$AA$178,MATCH($C153,'Injectable Value'!$A$28:$A$178,0)),1),"")</f>
        <v>32830.2</v>
      </c>
      <c r="U153" s="17" t="s">
        <v>669</v>
      </c>
      <c r="V153" s="16" t="n">
        <v>4</v>
      </c>
      <c r="W153" s="16" t="s">
        <v>452</v>
      </c>
      <c r="X153" s="16" t="s">
        <v>281</v>
      </c>
      <c r="Y153" s="16" t="s">
        <v>283</v>
      </c>
      <c r="Z153" s="17" t="str">
        <f aca="false">IFERROR(INDEX(Scoring!$U:$U,MATCH($C153&amp;"|"&amp;$E153,Scoring!$AD:$AD,0)),"")</f>
        <v/>
      </c>
      <c r="AA153" s="16" t="str">
        <f aca="false">IFERROR(INDEX(Scoring!$E:$E,MATCH($C153&amp;"|"&amp;$E153,Scoring!$AD:$AD,0)),"")</f>
        <v>Excluded – IV only</v>
      </c>
      <c r="AB153" s="19" t="n">
        <f aca="false">IFERROR(INDEX(Scoring!$M:$M,MATCH($C153&amp;"|"&amp;$E153,Scoring!$AD:$AD,0)),"")</f>
        <v>346</v>
      </c>
      <c r="AC153" s="16" t="str">
        <f aca="false">IFERROR(INDEX('Route of Administration'!$C$5:$C$155,MATCH($C153,'Route of Administration'!$A$5:$A$155,0)),"")</f>
        <v>IV</v>
      </c>
      <c r="AD153" s="15" t="str">
        <f aca="false">IFERROR(INDEX('Route of Administration'!$D$5:$D$155,MATCH($C153,'Route of Administration'!$A$5:$A$155,0)),"")</f>
        <v>No</v>
      </c>
      <c r="AE153" s="15" t="str">
        <f aca="false">IF($AD153="No","Not checked – drug is IV only",IFERROR(INDEX('Route of Administration'!$O$5:$O$170,MATCH($E153&amp;"|"&amp;$C153,'Route of Administration'!$S$5:$S$170,0)),"Not checked – price ≤ USD 5"))</f>
        <v>Not checked – drug is IV only</v>
      </c>
    </row>
    <row r="154" customFormat="false" ht="28.35" hidden="false" customHeight="false" outlineLevel="0" collapsed="false">
      <c r="B154" s="16" t="n">
        <v>152</v>
      </c>
      <c r="C154" s="16" t="s">
        <v>338</v>
      </c>
      <c r="D154" s="16" t="s">
        <v>621</v>
      </c>
      <c r="E154" s="16" t="s">
        <v>230</v>
      </c>
      <c r="F154" s="16" t="s">
        <v>1889</v>
      </c>
      <c r="G154" s="17" t="s">
        <v>1890</v>
      </c>
      <c r="H154" s="16" t="s">
        <v>1533</v>
      </c>
      <c r="I154" s="18" t="n">
        <v>163.29</v>
      </c>
      <c r="J154" s="16" t="n">
        <v>1</v>
      </c>
      <c r="K154" s="16" t="n">
        <v>905</v>
      </c>
      <c r="L154" s="19" t="n">
        <v>28093.38</v>
      </c>
      <c r="M154" s="17" t="s">
        <v>340</v>
      </c>
      <c r="N154" s="18" t="n">
        <v>163.29</v>
      </c>
      <c r="O154" s="16" t="s">
        <v>1534</v>
      </c>
      <c r="P154" s="16" t="s">
        <v>1700</v>
      </c>
      <c r="Q154" s="17" t="s">
        <v>1536</v>
      </c>
      <c r="R154" s="78" t="s">
        <v>1814</v>
      </c>
      <c r="S154" s="77" t="n">
        <f aca="false">IFERROR(INDEX('Injectable Value'!$Z$28:$Z$178,MATCH($C154,'Injectable Value'!$A$28:$A$178,0)),"")</f>
        <v>1</v>
      </c>
      <c r="T154" s="19" t="n">
        <f aca="false">IFERROR(ROUND(INDEX('Injectable Value'!$AA$28:$AA$178,MATCH($C154,'Injectable Value'!$A$28:$A$178,0)),1),"")</f>
        <v>28093.4</v>
      </c>
      <c r="U154" s="17" t="s">
        <v>360</v>
      </c>
      <c r="V154" s="16" t="n">
        <v>1</v>
      </c>
      <c r="W154" s="16" t="s">
        <v>112</v>
      </c>
      <c r="X154" s="16" t="s">
        <v>281</v>
      </c>
      <c r="Y154" s="16" t="s">
        <v>283</v>
      </c>
      <c r="Z154" s="17" t="str">
        <f aca="false">IFERROR(INDEX(Scoring!$U:$U,MATCH($C154&amp;"|"&amp;$E154,Scoring!$AD:$AD,0)),"")</f>
        <v>Cancer drug (cytotoxic) – less relevant</v>
      </c>
      <c r="AA154" s="16" t="str">
        <f aca="false">IFERROR(INDEX(Scoring!$E:$E,MATCH($C154&amp;"|"&amp;$E154,Scoring!$AD:$AD,0)),"")</f>
        <v>Priority 1</v>
      </c>
      <c r="AB154" s="19" t="n">
        <f aca="false">IFERROR(INDEX(Scoring!$M:$M,MATCH($C154&amp;"|"&amp;$E154,Scoring!$AD:$AD,0)),"")</f>
        <v>905</v>
      </c>
      <c r="AC154" s="16" t="str">
        <f aca="false">IFERROR(INDEX('Route of Administration'!$C$5:$C$155,MATCH($C154,'Route of Administration'!$A$5:$A$155,0)),"")</f>
        <v>IV, SC</v>
      </c>
      <c r="AD154" s="15" t="str">
        <f aca="false">IFERROR(INDEX('Route of Administration'!$D$5:$D$155,MATCH($C154,'Route of Administration'!$A$5:$A$155,0)),"")</f>
        <v>Yes</v>
      </c>
      <c r="AE154" s="15" t="str">
        <f aca="false">IF($AD154="No","Not checked – drug is IV only",IFERROR(INDEX('Route of Administration'!$O$5:$O$170,MATCH($E154&amp;"|"&amp;$C154,'Route of Administration'!$S$5:$S$170,0)),"Not checked – price ≤ USD 5"))</f>
        <v>To confirm</v>
      </c>
    </row>
    <row r="155" customFormat="false" ht="28.35" hidden="false" customHeight="false" outlineLevel="0" collapsed="false">
      <c r="B155" s="16" t="n">
        <v>153</v>
      </c>
      <c r="C155" s="16" t="s">
        <v>604</v>
      </c>
      <c r="D155" s="16" t="s">
        <v>691</v>
      </c>
      <c r="E155" s="16" t="s">
        <v>230</v>
      </c>
      <c r="F155" s="16" t="s">
        <v>1891</v>
      </c>
      <c r="G155" s="17" t="s">
        <v>1749</v>
      </c>
      <c r="H155" s="16" t="s">
        <v>1533</v>
      </c>
      <c r="I155" s="18" t="n">
        <v>20.12</v>
      </c>
      <c r="J155" s="16" t="n">
        <v>1</v>
      </c>
      <c r="K155" s="16" t="n">
        <v>93</v>
      </c>
      <c r="L155" s="19" t="n">
        <v>528.18</v>
      </c>
      <c r="M155" s="17" t="s">
        <v>606</v>
      </c>
      <c r="N155" s="18" t="n">
        <v>20.12</v>
      </c>
      <c r="O155" s="16" t="s">
        <v>1534</v>
      </c>
      <c r="P155" s="16" t="s">
        <v>1700</v>
      </c>
      <c r="Q155" s="17" t="s">
        <v>1536</v>
      </c>
      <c r="R155" s="78" t="s">
        <v>1814</v>
      </c>
      <c r="S155" s="77" t="n">
        <f aca="false">IFERROR(INDEX('Injectable Value'!$Z$28:$Z$178,MATCH($C155,'Injectable Value'!$A$28:$A$178,0)),"")</f>
        <v>0.571145833333333</v>
      </c>
      <c r="T155" s="19" t="n">
        <f aca="false">IFERROR(ROUND(INDEX('Injectable Value'!$AA$28:$AA$178,MATCH($C155,'Injectable Value'!$A$28:$A$178,0)),1),"")</f>
        <v>301.7</v>
      </c>
      <c r="U155" s="17" t="s">
        <v>360</v>
      </c>
      <c r="V155" s="16" t="n">
        <v>1</v>
      </c>
      <c r="W155" s="16" t="s">
        <v>112</v>
      </c>
      <c r="X155" s="16" t="s">
        <v>281</v>
      </c>
      <c r="Y155" s="16" t="s">
        <v>283</v>
      </c>
      <c r="Z155" s="17" t="str">
        <f aca="false">IFERROR(INDEX(Scoring!$U:$U,MATCH($C155&amp;"|"&amp;$E155,Scoring!$AD:$AD,0)),"")</f>
        <v>Cancer drug (cytotoxic) – less relevant</v>
      </c>
      <c r="AA155" s="16" t="str">
        <f aca="false">IFERROR(INDEX(Scoring!$E:$E,MATCH($C155&amp;"|"&amp;$E155,Scoring!$AD:$AD,0)),"")</f>
        <v>Excluded – IV only</v>
      </c>
      <c r="AB155" s="19" t="n">
        <f aca="false">IFERROR(INDEX(Scoring!$M:$M,MATCH($C155&amp;"|"&amp;$E155,Scoring!$AD:$AD,0)),"")</f>
        <v>53</v>
      </c>
      <c r="AC155" s="16" t="str">
        <f aca="false">IFERROR(INDEX('Route of Administration'!$C$5:$C$155,MATCH($C155,'Route of Administration'!$A$5:$A$155,0)),"")</f>
        <v>IV</v>
      </c>
      <c r="AD155" s="15" t="str">
        <f aca="false">IFERROR(INDEX('Route of Administration'!$D$5:$D$155,MATCH($C155,'Route of Administration'!$A$5:$A$155,0)),"")</f>
        <v>No</v>
      </c>
      <c r="AE155" s="15" t="str">
        <f aca="false">IF($AD155="No","Not checked – drug is IV only",IFERROR(INDEX('Route of Administration'!$O$5:$O$170,MATCH($E155&amp;"|"&amp;$C155,'Route of Administration'!$S$5:$S$170,0)),"Not checked – price ≤ USD 5"))</f>
        <v>Not checked – drug is IV only</v>
      </c>
    </row>
    <row r="156" customFormat="false" ht="28.35" hidden="false" customHeight="false" outlineLevel="0" collapsed="false">
      <c r="B156" s="16" t="n">
        <v>154</v>
      </c>
      <c r="C156" s="16" t="s">
        <v>604</v>
      </c>
      <c r="D156" s="16" t="s">
        <v>691</v>
      </c>
      <c r="E156" s="16" t="s">
        <v>230</v>
      </c>
      <c r="F156" s="16" t="s">
        <v>1892</v>
      </c>
      <c r="G156" s="17" t="s">
        <v>1719</v>
      </c>
      <c r="H156" s="16" t="s">
        <v>1533</v>
      </c>
      <c r="I156" s="18" t="n">
        <v>100.61</v>
      </c>
      <c r="J156" s="16" t="n">
        <v>1</v>
      </c>
      <c r="K156" s="16" t="n">
        <v>93</v>
      </c>
      <c r="L156" s="19" t="n">
        <v>528.18</v>
      </c>
      <c r="M156" s="17" t="s">
        <v>606</v>
      </c>
      <c r="N156" s="18" t="n">
        <v>100.61</v>
      </c>
      <c r="O156" s="16" t="s">
        <v>1534</v>
      </c>
      <c r="P156" s="16" t="s">
        <v>1700</v>
      </c>
      <c r="Q156" s="17" t="s">
        <v>1536</v>
      </c>
      <c r="R156" s="78" t="s">
        <v>1814</v>
      </c>
      <c r="S156" s="77" t="n">
        <f aca="false">IFERROR(INDEX('Injectable Value'!$Z$28:$Z$178,MATCH($C156,'Injectable Value'!$A$28:$A$178,0)),"")</f>
        <v>0.571145833333333</v>
      </c>
      <c r="T156" s="19" t="n">
        <f aca="false">IFERROR(ROUND(INDEX('Injectable Value'!$AA$28:$AA$178,MATCH($C156,'Injectable Value'!$A$28:$A$178,0)),1),"")</f>
        <v>301.7</v>
      </c>
      <c r="U156" s="17" t="s">
        <v>360</v>
      </c>
      <c r="V156" s="16" t="n">
        <v>1</v>
      </c>
      <c r="W156" s="16" t="s">
        <v>112</v>
      </c>
      <c r="X156" s="16" t="s">
        <v>281</v>
      </c>
      <c r="Y156" s="16" t="s">
        <v>283</v>
      </c>
      <c r="Z156" s="17" t="str">
        <f aca="false">IFERROR(INDEX(Scoring!$U:$U,MATCH($C156&amp;"|"&amp;$E156,Scoring!$AD:$AD,0)),"")</f>
        <v>Cancer drug (cytotoxic) – less relevant</v>
      </c>
      <c r="AA156" s="16" t="str">
        <f aca="false">IFERROR(INDEX(Scoring!$E:$E,MATCH($C156&amp;"|"&amp;$E156,Scoring!$AD:$AD,0)),"")</f>
        <v>Excluded – IV only</v>
      </c>
      <c r="AB156" s="19" t="n">
        <f aca="false">IFERROR(INDEX(Scoring!$M:$M,MATCH($C156&amp;"|"&amp;$E156,Scoring!$AD:$AD,0)),"")</f>
        <v>53</v>
      </c>
      <c r="AC156" s="16" t="str">
        <f aca="false">IFERROR(INDEX('Route of Administration'!$C$5:$C$155,MATCH($C156,'Route of Administration'!$A$5:$A$155,0)),"")</f>
        <v>IV</v>
      </c>
      <c r="AD156" s="15" t="str">
        <f aca="false">IFERROR(INDEX('Route of Administration'!$D$5:$D$155,MATCH($C156,'Route of Administration'!$A$5:$A$155,0)),"")</f>
        <v>No</v>
      </c>
      <c r="AE156" s="15" t="str">
        <f aca="false">IF($AD156="No","Not checked – drug is IV only",IFERROR(INDEX('Route of Administration'!$O$5:$O$170,MATCH($E156&amp;"|"&amp;$C156,'Route of Administration'!$S$5:$S$170,0)),"Not checked – price ≤ USD 5"))</f>
        <v>Not checked – drug is IV only</v>
      </c>
    </row>
    <row r="157" customFormat="false" ht="28.35" hidden="false" customHeight="false" outlineLevel="0" collapsed="false">
      <c r="B157" s="16" t="n">
        <v>155</v>
      </c>
      <c r="C157" s="16" t="s">
        <v>686</v>
      </c>
      <c r="D157" s="16" t="s">
        <v>687</v>
      </c>
      <c r="E157" s="16" t="s">
        <v>230</v>
      </c>
      <c r="F157" s="16" t="s">
        <v>1893</v>
      </c>
      <c r="G157" s="17" t="s">
        <v>1894</v>
      </c>
      <c r="H157" s="16" t="s">
        <v>1533</v>
      </c>
      <c r="I157" s="18" t="n">
        <v>21.16</v>
      </c>
      <c r="J157" s="16" t="n">
        <v>1</v>
      </c>
      <c r="K157" s="16" t="n">
        <v>342</v>
      </c>
      <c r="L157" s="19" t="n">
        <v>520.76</v>
      </c>
      <c r="M157" s="17" t="s">
        <v>688</v>
      </c>
      <c r="N157" s="18" t="n">
        <v>21.16</v>
      </c>
      <c r="O157" s="16" t="s">
        <v>1534</v>
      </c>
      <c r="P157" s="16" t="s">
        <v>1700</v>
      </c>
      <c r="Q157" s="17" t="s">
        <v>1536</v>
      </c>
      <c r="R157" s="78" t="s">
        <v>1814</v>
      </c>
      <c r="S157" s="77" t="n">
        <f aca="false">IFERROR(INDEX('Injectable Value'!$Z$28:$Z$178,MATCH($C157,'Injectable Value'!$A$28:$A$178,0)),"")</f>
        <v>1</v>
      </c>
      <c r="T157" s="19" t="n">
        <f aca="false">IFERROR(ROUND(INDEX('Injectable Value'!$AA$28:$AA$178,MATCH($C157,'Injectable Value'!$A$28:$A$178,0)),1),"")</f>
        <v>520.8</v>
      </c>
      <c r="U157" s="17" t="s">
        <v>360</v>
      </c>
      <c r="V157" s="16" t="n">
        <v>1</v>
      </c>
      <c r="W157" s="16" t="s">
        <v>112</v>
      </c>
      <c r="X157" s="16" t="s">
        <v>281</v>
      </c>
      <c r="Y157" s="16" t="s">
        <v>283</v>
      </c>
      <c r="Z157" s="17" t="str">
        <f aca="false">IFERROR(INDEX(Scoring!$U:$U,MATCH($C157&amp;"|"&amp;$E157,Scoring!$AD:$AD,0)),"")</f>
        <v>Cancer drug (cytotoxic) – less relevant</v>
      </c>
      <c r="AA157" s="16" t="str">
        <f aca="false">IFERROR(INDEX(Scoring!$E:$E,MATCH($C157&amp;"|"&amp;$E157,Scoring!$AD:$AD,0)),"")</f>
        <v>Excluded – IV only</v>
      </c>
      <c r="AB157" s="19" t="n">
        <f aca="false">IFERROR(INDEX(Scoring!$M:$M,MATCH($C157&amp;"|"&amp;$E157,Scoring!$AD:$AD,0)),"")</f>
        <v>342</v>
      </c>
      <c r="AC157" s="16" t="str">
        <f aca="false">IFERROR(INDEX('Route of Administration'!$C$5:$C$155,MATCH($C157,'Route of Administration'!$A$5:$A$155,0)),"")</f>
        <v>IV</v>
      </c>
      <c r="AD157" s="15" t="str">
        <f aca="false">IFERROR(INDEX('Route of Administration'!$D$5:$D$155,MATCH($C157,'Route of Administration'!$A$5:$A$155,0)),"")</f>
        <v>No</v>
      </c>
      <c r="AE157" s="15" t="str">
        <f aca="false">IF($AD157="No","Not checked – drug is IV only",IFERROR(INDEX('Route of Administration'!$O$5:$O$170,MATCH($E157&amp;"|"&amp;$C157,'Route of Administration'!$S$5:$S$170,0)),"Not checked – price ≤ USD 5"))</f>
        <v>Not checked – drug is IV only</v>
      </c>
    </row>
    <row r="158" customFormat="false" ht="28.35" hidden="false" customHeight="false" outlineLevel="0" collapsed="false">
      <c r="B158" s="16" t="n">
        <v>156</v>
      </c>
      <c r="C158" s="16" t="s">
        <v>394</v>
      </c>
      <c r="D158" s="16" t="s">
        <v>629</v>
      </c>
      <c r="E158" s="16" t="s">
        <v>230</v>
      </c>
      <c r="F158" s="16" t="s">
        <v>1895</v>
      </c>
      <c r="G158" s="17" t="s">
        <v>1896</v>
      </c>
      <c r="H158" s="16" t="s">
        <v>1533</v>
      </c>
      <c r="I158" s="18" t="n">
        <v>6.31</v>
      </c>
      <c r="J158" s="16" t="n">
        <v>1</v>
      </c>
      <c r="K158" s="16" t="n">
        <v>1644</v>
      </c>
      <c r="L158" s="19" t="n">
        <v>41889.23</v>
      </c>
      <c r="M158" s="17" t="s">
        <v>396</v>
      </c>
      <c r="N158" s="18" t="n">
        <v>6.31</v>
      </c>
      <c r="O158" s="16" t="s">
        <v>1534</v>
      </c>
      <c r="P158" s="16" t="s">
        <v>1700</v>
      </c>
      <c r="Q158" s="17" t="s">
        <v>1536</v>
      </c>
      <c r="R158" s="78" t="s">
        <v>1814</v>
      </c>
      <c r="S158" s="77" t="n">
        <f aca="false">IFERROR(INDEX('Injectable Value'!$Z$28:$Z$178,MATCH($C158,'Injectable Value'!$A$28:$A$178,0)),"")</f>
        <v>0.990783410138249</v>
      </c>
      <c r="T158" s="19" t="n">
        <f aca="false">IFERROR(ROUND(INDEX('Injectable Value'!$AA$28:$AA$178,MATCH($C158,'Injectable Value'!$A$28:$A$178,0)),1),"")</f>
        <v>41503.2</v>
      </c>
      <c r="U158" s="17" t="s">
        <v>360</v>
      </c>
      <c r="V158" s="16" t="n">
        <v>1</v>
      </c>
      <c r="W158" s="16" t="s">
        <v>112</v>
      </c>
      <c r="X158" s="16" t="s">
        <v>281</v>
      </c>
      <c r="Y158" s="16" t="s">
        <v>283</v>
      </c>
      <c r="Z158" s="17" t="str">
        <f aca="false">IFERROR(INDEX(Scoring!$U:$U,MATCH($C158&amp;"|"&amp;$E158,Scoring!$AD:$AD,0)),"")</f>
        <v>Cancer drug (cytotoxic) – less relevant; Reconstitution</v>
      </c>
      <c r="AA158" s="16" t="str">
        <f aca="false">IFERROR(INDEX(Scoring!$E:$E,MATCH($C158&amp;"|"&amp;$E158,Scoring!$AD:$AD,0)),"")</f>
        <v>Excluded – IV only</v>
      </c>
      <c r="AB158" s="19" t="n">
        <f aca="false">IFERROR(INDEX(Scoring!$M:$M,MATCH($C158&amp;"|"&amp;$E158,Scoring!$AD:$AD,0)),"")</f>
        <v>1629</v>
      </c>
      <c r="AC158" s="16" t="str">
        <f aca="false">IFERROR(INDEX('Route of Administration'!$C$5:$C$155,MATCH($C158,'Route of Administration'!$A$5:$A$155,0)),"")</f>
        <v>IV</v>
      </c>
      <c r="AD158" s="15" t="str">
        <f aca="false">IFERROR(INDEX('Route of Administration'!$D$5:$D$155,MATCH($C158,'Route of Administration'!$A$5:$A$155,0)),"")</f>
        <v>No</v>
      </c>
      <c r="AE158" s="15" t="str">
        <f aca="false">IF($AD158="No","Not checked – drug is IV only",IFERROR(INDEX('Route of Administration'!$O$5:$O$170,MATCH($E158&amp;"|"&amp;$C158,'Route of Administration'!$S$5:$S$170,0)),"Not checked – price ≤ USD 5"))</f>
        <v>Not checked – drug is IV only</v>
      </c>
    </row>
    <row r="159" customFormat="false" ht="28.35" hidden="false" customHeight="false" outlineLevel="0" collapsed="false">
      <c r="B159" s="16" t="n">
        <v>157</v>
      </c>
      <c r="C159" s="16" t="s">
        <v>394</v>
      </c>
      <c r="D159" s="16" t="s">
        <v>629</v>
      </c>
      <c r="E159" s="16" t="s">
        <v>230</v>
      </c>
      <c r="F159" s="16" t="s">
        <v>1897</v>
      </c>
      <c r="G159" s="17" t="s">
        <v>1898</v>
      </c>
      <c r="H159" s="16" t="s">
        <v>1533</v>
      </c>
      <c r="I159" s="18" t="n">
        <v>31.54</v>
      </c>
      <c r="J159" s="16" t="n">
        <v>1</v>
      </c>
      <c r="K159" s="16" t="n">
        <v>1644</v>
      </c>
      <c r="L159" s="19" t="n">
        <v>41889.23</v>
      </c>
      <c r="M159" s="17" t="s">
        <v>396</v>
      </c>
      <c r="N159" s="18" t="n">
        <v>31.54</v>
      </c>
      <c r="O159" s="16" t="s">
        <v>1534</v>
      </c>
      <c r="P159" s="16" t="s">
        <v>1700</v>
      </c>
      <c r="Q159" s="17" t="s">
        <v>1536</v>
      </c>
      <c r="R159" s="78" t="s">
        <v>1814</v>
      </c>
      <c r="S159" s="77" t="n">
        <f aca="false">IFERROR(INDEX('Injectable Value'!$Z$28:$Z$178,MATCH($C159,'Injectable Value'!$A$28:$A$178,0)),"")</f>
        <v>0.990783410138249</v>
      </c>
      <c r="T159" s="19" t="n">
        <f aca="false">IFERROR(ROUND(INDEX('Injectable Value'!$AA$28:$AA$178,MATCH($C159,'Injectable Value'!$A$28:$A$178,0)),1),"")</f>
        <v>41503.2</v>
      </c>
      <c r="U159" s="17" t="s">
        <v>360</v>
      </c>
      <c r="V159" s="16" t="n">
        <v>1</v>
      </c>
      <c r="W159" s="16" t="s">
        <v>112</v>
      </c>
      <c r="X159" s="16" t="s">
        <v>281</v>
      </c>
      <c r="Y159" s="16" t="s">
        <v>359</v>
      </c>
      <c r="Z159" s="17" t="str">
        <f aca="false">IFERROR(INDEX(Scoring!$U:$U,MATCH($C159&amp;"|"&amp;$E159,Scoring!$AD:$AD,0)),"")</f>
        <v>Cancer drug (cytotoxic) – less relevant; Reconstitution</v>
      </c>
      <c r="AA159" s="16" t="str">
        <f aca="false">IFERROR(INDEX(Scoring!$E:$E,MATCH($C159&amp;"|"&amp;$E159,Scoring!$AD:$AD,0)),"")</f>
        <v>Excluded – IV only</v>
      </c>
      <c r="AB159" s="19" t="n">
        <f aca="false">IFERROR(INDEX(Scoring!$M:$M,MATCH($C159&amp;"|"&amp;$E159,Scoring!$AD:$AD,0)),"")</f>
        <v>1629</v>
      </c>
      <c r="AC159" s="16" t="str">
        <f aca="false">IFERROR(INDEX('Route of Administration'!$C$5:$C$155,MATCH($C159,'Route of Administration'!$A$5:$A$155,0)),"")</f>
        <v>IV</v>
      </c>
      <c r="AD159" s="15" t="str">
        <f aca="false">IFERROR(INDEX('Route of Administration'!$D$5:$D$155,MATCH($C159,'Route of Administration'!$A$5:$A$155,0)),"")</f>
        <v>No</v>
      </c>
      <c r="AE159" s="15" t="str">
        <f aca="false">IF($AD159="No","Not checked – drug is IV only",IFERROR(INDEX('Route of Administration'!$O$5:$O$170,MATCH($E159&amp;"|"&amp;$C159,'Route of Administration'!$S$5:$S$170,0)),"Not checked – price ≤ USD 5"))</f>
        <v>Not checked – drug is IV only</v>
      </c>
    </row>
    <row r="160" customFormat="false" ht="28.35" hidden="false" customHeight="false" outlineLevel="0" collapsed="false">
      <c r="B160" s="16" t="n">
        <v>158</v>
      </c>
      <c r="C160" s="16" t="s">
        <v>671</v>
      </c>
      <c r="D160" s="16" t="s">
        <v>672</v>
      </c>
      <c r="E160" s="16" t="s">
        <v>230</v>
      </c>
      <c r="F160" s="16" t="s">
        <v>1899</v>
      </c>
      <c r="G160" s="17" t="s">
        <v>1900</v>
      </c>
      <c r="H160" s="16" t="s">
        <v>1533</v>
      </c>
      <c r="I160" s="18" t="n">
        <v>13.97</v>
      </c>
      <c r="J160" s="16" t="n">
        <v>1</v>
      </c>
      <c r="K160" s="16" t="n">
        <v>106</v>
      </c>
      <c r="L160" s="19" t="n">
        <v>7074.72</v>
      </c>
      <c r="M160" s="17" t="s">
        <v>673</v>
      </c>
      <c r="N160" s="18" t="n">
        <v>13.97</v>
      </c>
      <c r="O160" s="16" t="s">
        <v>1534</v>
      </c>
      <c r="P160" s="16" t="s">
        <v>1700</v>
      </c>
      <c r="Q160" s="17" t="s">
        <v>1536</v>
      </c>
      <c r="R160" s="78" t="s">
        <v>1814</v>
      </c>
      <c r="S160" s="77" t="n">
        <f aca="false">IFERROR(INDEX('Injectable Value'!$Z$28:$Z$178,MATCH($C160,'Injectable Value'!$A$28:$A$178,0)),"")</f>
        <v>0.9375</v>
      </c>
      <c r="T160" s="19" t="n">
        <f aca="false">IFERROR(ROUND(INDEX('Injectable Value'!$AA$28:$AA$178,MATCH($C160,'Injectable Value'!$A$28:$A$178,0)),1),"")</f>
        <v>6632.6</v>
      </c>
      <c r="U160" s="17" t="s">
        <v>360</v>
      </c>
      <c r="V160" s="16" t="n">
        <v>1</v>
      </c>
      <c r="W160" s="16" t="s">
        <v>112</v>
      </c>
      <c r="X160" s="16" t="s">
        <v>281</v>
      </c>
      <c r="Y160" s="16" t="s">
        <v>283</v>
      </c>
      <c r="Z160" s="17" t="str">
        <f aca="false">IFERROR(INDEX(Scoring!$U:$U,MATCH($C160&amp;"|"&amp;$E160,Scoring!$AD:$AD,0)),"")</f>
        <v>Reconstitution</v>
      </c>
      <c r="AA160" s="16" t="str">
        <f aca="false">IFERROR(INDEX(Scoring!$E:$E,MATCH($C160&amp;"|"&amp;$E160,Scoring!$AD:$AD,0)),"")</f>
        <v>Priority 3</v>
      </c>
      <c r="AB160" s="19" t="n">
        <f aca="false">IFERROR(INDEX(Scoring!$M:$M,MATCH($C160&amp;"|"&amp;$E160,Scoring!$AD:$AD,0)),"")</f>
        <v>99</v>
      </c>
      <c r="AC160" s="16" t="str">
        <f aca="false">IFERROR(INDEX('Route of Administration'!$C$5:$C$155,MATCH($C160,'Route of Administration'!$A$5:$A$155,0)),"")</f>
        <v>IV, IM</v>
      </c>
      <c r="AD160" s="15" t="str">
        <f aca="false">IFERROR(INDEX('Route of Administration'!$D$5:$D$155,MATCH($C160,'Route of Administration'!$A$5:$A$155,0)),"")</f>
        <v>Yes</v>
      </c>
      <c r="AE160" s="15" t="str">
        <f aca="false">IF($AD160="No","Not checked – drug is IV only",IFERROR(INDEX('Route of Administration'!$O$5:$O$170,MATCH($E160&amp;"|"&amp;$C160,'Route of Administration'!$S$5:$S$170,0)),"Not checked – price ≤ USD 5"))</f>
        <v>Pass</v>
      </c>
    </row>
    <row r="161" customFormat="false" ht="15" hidden="false" customHeight="false" outlineLevel="0" collapsed="false">
      <c r="B161" s="16" t="n">
        <v>159</v>
      </c>
      <c r="C161" s="16" t="s">
        <v>647</v>
      </c>
      <c r="D161" s="16" t="s">
        <v>648</v>
      </c>
      <c r="E161" s="16" t="s">
        <v>230</v>
      </c>
      <c r="F161" s="16" t="s">
        <v>1901</v>
      </c>
      <c r="G161" s="17" t="s">
        <v>1902</v>
      </c>
      <c r="H161" s="16" t="s">
        <v>1533</v>
      </c>
      <c r="I161" s="18" t="n">
        <v>9.55</v>
      </c>
      <c r="J161" s="16" t="n">
        <v>1</v>
      </c>
      <c r="K161" s="16" t="n">
        <v>590</v>
      </c>
      <c r="L161" s="19" t="n">
        <v>417765.21</v>
      </c>
      <c r="M161" s="17" t="s">
        <v>649</v>
      </c>
      <c r="N161" s="18" t="n">
        <v>9.55</v>
      </c>
      <c r="O161" s="16" t="s">
        <v>1534</v>
      </c>
      <c r="P161" s="16" t="s">
        <v>1700</v>
      </c>
      <c r="Q161" s="17" t="s">
        <v>1536</v>
      </c>
      <c r="R161" s="78" t="s">
        <v>1814</v>
      </c>
      <c r="S161" s="77" t="n">
        <f aca="false">IFERROR(INDEX('Injectable Value'!$Z$28:$Z$178,MATCH($C161,'Injectable Value'!$A$28:$A$178,0)),"")</f>
        <v>1</v>
      </c>
      <c r="T161" s="19" t="n">
        <f aca="false">IFERROR(ROUND(INDEX('Injectable Value'!$AA$28:$AA$178,MATCH($C161,'Injectable Value'!$A$28:$A$178,0)),1),"")</f>
        <v>417765.2</v>
      </c>
      <c r="U161" s="17" t="s">
        <v>360</v>
      </c>
      <c r="V161" s="16" t="n">
        <v>1</v>
      </c>
      <c r="W161" s="16" t="s">
        <v>112</v>
      </c>
      <c r="X161" s="16" t="s">
        <v>281</v>
      </c>
      <c r="Y161" s="16" t="s">
        <v>283</v>
      </c>
      <c r="Z161" s="17" t="str">
        <f aca="false">IFERROR(INDEX(Scoring!$U:$U,MATCH($C161&amp;"|"&amp;$E161,Scoring!$AD:$AD,0)),"")</f>
        <v/>
      </c>
      <c r="AA161" s="16" t="str">
        <f aca="false">IFERROR(INDEX(Scoring!$E:$E,MATCH($C161&amp;"|"&amp;$E161,Scoring!$AD:$AD,0)),"")</f>
        <v>Priority 2</v>
      </c>
      <c r="AB161" s="19" t="n">
        <f aca="false">IFERROR(INDEX(Scoring!$M:$M,MATCH($C161&amp;"|"&amp;$E161,Scoring!$AD:$AD,0)),"")</f>
        <v>590</v>
      </c>
      <c r="AC161" s="16" t="str">
        <f aca="false">IFERROR(INDEX('Route of Administration'!$C$5:$C$155,MATCH($C161,'Route of Administration'!$A$5:$A$155,0)),"")</f>
        <v>SC, IM</v>
      </c>
      <c r="AD161" s="15" t="str">
        <f aca="false">IFERROR(INDEX('Route of Administration'!$D$5:$D$155,MATCH($C161,'Route of Administration'!$A$5:$A$155,0)),"")</f>
        <v>Yes</v>
      </c>
      <c r="AE161" s="15" t="str">
        <f aca="false">IF($AD161="No","Not checked – drug is IV only",IFERROR(INDEX('Route of Administration'!$O$5:$O$170,MATCH($E161&amp;"|"&amp;$C161,'Route of Administration'!$S$5:$S$170,0)),"Not checked – price ≤ USD 5"))</f>
        <v>Pass</v>
      </c>
    </row>
    <row r="162" customFormat="false" ht="15" hidden="false" customHeight="false" outlineLevel="0" collapsed="false">
      <c r="B162" s="16" t="n">
        <v>160</v>
      </c>
      <c r="C162" s="16" t="s">
        <v>647</v>
      </c>
      <c r="D162" s="16" t="s">
        <v>648</v>
      </c>
      <c r="E162" s="16" t="s">
        <v>230</v>
      </c>
      <c r="F162" s="16" t="s">
        <v>1901</v>
      </c>
      <c r="G162" s="17" t="s">
        <v>1903</v>
      </c>
      <c r="H162" s="16" t="s">
        <v>1533</v>
      </c>
      <c r="I162" s="18" t="n">
        <v>95.55</v>
      </c>
      <c r="J162" s="16" t="n">
        <v>1</v>
      </c>
      <c r="K162" s="16" t="n">
        <v>590</v>
      </c>
      <c r="L162" s="19" t="n">
        <v>417765.21</v>
      </c>
      <c r="M162" s="17" t="s">
        <v>649</v>
      </c>
      <c r="N162" s="18" t="n">
        <v>9.555</v>
      </c>
      <c r="O162" s="16" t="s">
        <v>1904</v>
      </c>
      <c r="P162" s="16" t="s">
        <v>1700</v>
      </c>
      <c r="Q162" s="17" t="s">
        <v>1536</v>
      </c>
      <c r="R162" s="78" t="s">
        <v>1814</v>
      </c>
      <c r="S162" s="77" t="n">
        <f aca="false">IFERROR(INDEX('Injectable Value'!$Z$28:$Z$178,MATCH($C162,'Injectable Value'!$A$28:$A$178,0)),"")</f>
        <v>1</v>
      </c>
      <c r="T162" s="19" t="n">
        <f aca="false">IFERROR(ROUND(INDEX('Injectable Value'!$AA$28:$AA$178,MATCH($C162,'Injectable Value'!$A$28:$A$178,0)),1),"")</f>
        <v>417765.2</v>
      </c>
      <c r="U162" s="17" t="s">
        <v>360</v>
      </c>
      <c r="V162" s="16" t="n">
        <v>1</v>
      </c>
      <c r="W162" s="16" t="s">
        <v>112</v>
      </c>
      <c r="X162" s="16" t="s">
        <v>281</v>
      </c>
      <c r="Y162" s="16" t="s">
        <v>283</v>
      </c>
      <c r="Z162" s="17" t="str">
        <f aca="false">IFERROR(INDEX(Scoring!$U:$U,MATCH($C162&amp;"|"&amp;$E162,Scoring!$AD:$AD,0)),"")</f>
        <v/>
      </c>
      <c r="AA162" s="16" t="str">
        <f aca="false">IFERROR(INDEX(Scoring!$E:$E,MATCH($C162&amp;"|"&amp;$E162,Scoring!$AD:$AD,0)),"")</f>
        <v>Priority 2</v>
      </c>
      <c r="AB162" s="19" t="n">
        <f aca="false">IFERROR(INDEX(Scoring!$M:$M,MATCH($C162&amp;"|"&amp;$E162,Scoring!$AD:$AD,0)),"")</f>
        <v>590</v>
      </c>
      <c r="AC162" s="16" t="str">
        <f aca="false">IFERROR(INDEX('Route of Administration'!$C$5:$C$155,MATCH($C162,'Route of Administration'!$A$5:$A$155,0)),"")</f>
        <v>SC, IM</v>
      </c>
      <c r="AD162" s="15" t="str">
        <f aca="false">IFERROR(INDEX('Route of Administration'!$D$5:$D$155,MATCH($C162,'Route of Administration'!$A$5:$A$155,0)),"")</f>
        <v>Yes</v>
      </c>
      <c r="AE162" s="15" t="str">
        <f aca="false">IF($AD162="No","Not checked – drug is IV only",IFERROR(INDEX('Route of Administration'!$O$5:$O$170,MATCH($E162&amp;"|"&amp;$C162,'Route of Administration'!$S$5:$S$170,0)),"Not checked – price ≤ USD 5"))</f>
        <v>Pass</v>
      </c>
    </row>
    <row r="163" customFormat="false" ht="28.35" hidden="false" customHeight="false" outlineLevel="0" collapsed="false">
      <c r="B163" s="16" t="n">
        <v>161</v>
      </c>
      <c r="C163" s="16" t="s">
        <v>615</v>
      </c>
      <c r="D163" s="16" t="s">
        <v>1905</v>
      </c>
      <c r="E163" s="16" t="s">
        <v>230</v>
      </c>
      <c r="F163" s="16" t="s">
        <v>1906</v>
      </c>
      <c r="G163" s="17" t="s">
        <v>1896</v>
      </c>
      <c r="H163" s="16" t="s">
        <v>1533</v>
      </c>
      <c r="I163" s="18" t="n">
        <v>51.95</v>
      </c>
      <c r="J163" s="16" t="n">
        <v>1</v>
      </c>
      <c r="K163" s="16" t="n">
        <v>441</v>
      </c>
      <c r="L163" s="19" t="n">
        <v>3973.65</v>
      </c>
      <c r="M163" s="17" t="s">
        <v>617</v>
      </c>
      <c r="N163" s="18" t="n">
        <v>51.95</v>
      </c>
      <c r="O163" s="16" t="s">
        <v>1534</v>
      </c>
      <c r="P163" s="16" t="s">
        <v>1700</v>
      </c>
      <c r="Q163" s="17" t="s">
        <v>1536</v>
      </c>
      <c r="R163" s="78" t="s">
        <v>1814</v>
      </c>
      <c r="S163" s="77" t="n">
        <f aca="false">IFERROR(INDEX('Injectable Value'!$Z$28:$Z$178,MATCH($C163,'Injectable Value'!$A$28:$A$178,0)),"")</f>
        <v>1</v>
      </c>
      <c r="T163" s="19" t="n">
        <f aca="false">IFERROR(ROUND(INDEX('Injectable Value'!$AA$28:$AA$178,MATCH($C163,'Injectable Value'!$A$28:$A$178,0)),1),"")</f>
        <v>3973.7</v>
      </c>
      <c r="U163" s="17" t="s">
        <v>619</v>
      </c>
      <c r="V163" s="16" t="n">
        <v>2</v>
      </c>
      <c r="W163" s="16" t="s">
        <v>112</v>
      </c>
      <c r="X163" s="16" t="s">
        <v>281</v>
      </c>
      <c r="Y163" s="16" t="s">
        <v>283</v>
      </c>
      <c r="Z163" s="17" t="str">
        <f aca="false">IFERROR(INDEX(Scoring!$U:$U,MATCH($C163&amp;"|"&amp;$E163,Scoring!$AD:$AD,0)),"")</f>
        <v>Cancer drug (cytotoxic) – less relevant; Reconstitution</v>
      </c>
      <c r="AA163" s="16" t="str">
        <f aca="false">IFERROR(INDEX(Scoring!$E:$E,MATCH($C163&amp;"|"&amp;$E163,Scoring!$AD:$AD,0)),"")</f>
        <v>Priority 1</v>
      </c>
      <c r="AB163" s="19" t="n">
        <f aca="false">IFERROR(INDEX(Scoring!$M:$M,MATCH($C163&amp;"|"&amp;$E163,Scoring!$AD:$AD,0)),"")</f>
        <v>441</v>
      </c>
      <c r="AC163" s="16" t="str">
        <f aca="false">IFERROR(INDEX('Route of Administration'!$C$5:$C$155,MATCH($C163,'Route of Administration'!$A$5:$A$155,0)),"")</f>
        <v>IV, IM, SC</v>
      </c>
      <c r="AD163" s="15" t="str">
        <f aca="false">IFERROR(INDEX('Route of Administration'!$D$5:$D$155,MATCH($C163,'Route of Administration'!$A$5:$A$155,0)),"")</f>
        <v>Yes</v>
      </c>
      <c r="AE163" s="15" t="str">
        <f aca="false">IF($AD163="No","Not checked – drug is IV only",IFERROR(INDEX('Route of Administration'!$O$5:$O$170,MATCH($E163&amp;"|"&amp;$C163,'Route of Administration'!$S$5:$S$170,0)),"Not checked – price ≤ USD 5"))</f>
        <v>Pass</v>
      </c>
    </row>
    <row r="164" customFormat="false" ht="28.35" hidden="false" customHeight="false" outlineLevel="0" collapsed="false">
      <c r="B164" s="16" t="n">
        <v>162</v>
      </c>
      <c r="C164" s="16" t="s">
        <v>278</v>
      </c>
      <c r="D164" s="16" t="s">
        <v>354</v>
      </c>
      <c r="E164" s="16" t="s">
        <v>698</v>
      </c>
      <c r="F164" s="16" t="s">
        <v>1531</v>
      </c>
      <c r="G164" s="17" t="s">
        <v>1907</v>
      </c>
      <c r="H164" s="16" t="s">
        <v>1540</v>
      </c>
      <c r="I164" s="18"/>
      <c r="J164" s="16" t="n">
        <v>1</v>
      </c>
      <c r="K164" s="16" t="n">
        <v>156</v>
      </c>
      <c r="L164" s="19" t="n">
        <v>3954.83</v>
      </c>
      <c r="M164" s="17" t="s">
        <v>280</v>
      </c>
      <c r="N164" s="82" t="n">
        <v>127.38</v>
      </c>
      <c r="O164" s="64" t="s">
        <v>1541</v>
      </c>
      <c r="P164" s="16" t="s">
        <v>1535</v>
      </c>
      <c r="Q164" s="17" t="s">
        <v>1864</v>
      </c>
      <c r="R164" s="78" t="s">
        <v>1865</v>
      </c>
      <c r="S164" s="77" t="n">
        <f aca="false">IFERROR(INDEX('Injectable Value'!$Z$28:$Z$178,MATCH($C164,'Injectable Value'!$A$28:$A$178,0)),"")</f>
        <v>0.916666666666667</v>
      </c>
      <c r="T164" s="19" t="n">
        <f aca="false">IFERROR(ROUND(INDEX('Injectable Value'!$AA$28:$AA$178,MATCH($C164,'Injectable Value'!$A$28:$A$178,0)),1),"")</f>
        <v>3625.3</v>
      </c>
      <c r="U164" s="17" t="s">
        <v>635</v>
      </c>
      <c r="V164" s="16" t="n">
        <v>2</v>
      </c>
      <c r="W164" s="16" t="s">
        <v>284</v>
      </c>
      <c r="X164" s="16" t="s">
        <v>291</v>
      </c>
      <c r="Y164" s="16" t="s">
        <v>283</v>
      </c>
      <c r="Z164" s="17" t="str">
        <f aca="false">IFERROR(INDEX(Scoring!$U:$U,MATCH($C164&amp;"|"&amp;$E164,Scoring!$AD:$AD,0)),"")</f>
        <v/>
      </c>
      <c r="AA164" s="16" t="str">
        <f aca="false">IFERROR(INDEX(Scoring!$E:$E,MATCH($C164&amp;"|"&amp;$E164,Scoring!$AD:$AD,0)),"")</f>
        <v>Priority 2</v>
      </c>
      <c r="AB164" s="19" t="n">
        <f aca="false">IFERROR(INDEX(Scoring!$M:$M,MATCH($C164&amp;"|"&amp;$E164,Scoring!$AD:$AD,0)),"")</f>
        <v>143</v>
      </c>
      <c r="AC164" s="16" t="str">
        <f aca="false">IFERROR(INDEX('Route of Administration'!$C$5:$C$155,MATCH($C164,'Route of Administration'!$A$5:$A$155,0)),"")</f>
        <v>IM</v>
      </c>
      <c r="AD164" s="15" t="str">
        <f aca="false">IFERROR(INDEX('Route of Administration'!$D$5:$D$155,MATCH($C164,'Route of Administration'!$A$5:$A$155,0)),"")</f>
        <v>Yes</v>
      </c>
      <c r="AE164" s="15" t="str">
        <f aca="false">IF($AD164="No","Not checked – drug is IV only",IFERROR(INDEX('Route of Administration'!$O$5:$O$170,MATCH($E164&amp;"|"&amp;$C164,'Route of Administration'!$S$5:$S$170,0)),"Not checked – price ≤ USD 5"))</f>
        <v>Pass</v>
      </c>
    </row>
    <row r="165" customFormat="false" ht="41.75" hidden="false" customHeight="false" outlineLevel="0" collapsed="false">
      <c r="B165" s="16" t="n">
        <v>163</v>
      </c>
      <c r="C165" s="16" t="s">
        <v>719</v>
      </c>
      <c r="D165" s="16" t="s">
        <v>720</v>
      </c>
      <c r="E165" s="16" t="s">
        <v>698</v>
      </c>
      <c r="F165" s="16" t="s">
        <v>1908</v>
      </c>
      <c r="G165" s="17" t="s">
        <v>1909</v>
      </c>
      <c r="H165" s="16" t="s">
        <v>1533</v>
      </c>
      <c r="I165" s="18" t="n">
        <v>133.8</v>
      </c>
      <c r="J165" s="16" t="n">
        <v>1</v>
      </c>
      <c r="K165" s="16" t="n">
        <v>209</v>
      </c>
      <c r="L165" s="19" t="n">
        <v>2827.35</v>
      </c>
      <c r="M165" s="17" t="s">
        <v>721</v>
      </c>
      <c r="N165" s="18" t="n">
        <v>133.8</v>
      </c>
      <c r="O165" s="16" t="s">
        <v>1534</v>
      </c>
      <c r="P165" s="16" t="s">
        <v>1535</v>
      </c>
      <c r="Q165" s="17" t="s">
        <v>1536</v>
      </c>
      <c r="R165" s="78" t="s">
        <v>1910</v>
      </c>
      <c r="S165" s="77" t="n">
        <f aca="false">IFERROR(INDEX('Injectable Value'!$Z$28:$Z$178,MATCH($C165,'Injectable Value'!$A$28:$A$178,0)),"")</f>
        <v>0.192047803841401</v>
      </c>
      <c r="T165" s="19" t="n">
        <f aca="false">IFERROR(ROUND(INDEX('Injectable Value'!$AA$28:$AA$178,MATCH($C165,'Injectable Value'!$A$28:$A$178,0)),1),"")</f>
        <v>543</v>
      </c>
      <c r="U165" s="17" t="s">
        <v>284</v>
      </c>
      <c r="V165" s="16" t="n">
        <v>1</v>
      </c>
      <c r="W165" s="16" t="s">
        <v>284</v>
      </c>
      <c r="X165" s="16" t="s">
        <v>281</v>
      </c>
      <c r="Y165" s="16" t="s">
        <v>283</v>
      </c>
      <c r="Z165" s="17" t="str">
        <f aca="false">IFERROR(INDEX(Scoring!$U:$U,MATCH($C165&amp;"|"&amp;$E165,Scoring!$AD:$AD,0)),"")</f>
        <v/>
      </c>
      <c r="AA165" s="16" t="str">
        <f aca="false">IFERROR(INDEX(Scoring!$E:$E,MATCH($C165&amp;"|"&amp;$E165,Scoring!$AD:$AD,0)),"")</f>
        <v>Priority 2</v>
      </c>
      <c r="AB165" s="19" t="n">
        <f aca="false">IFERROR(INDEX(Scoring!$M:$M,MATCH($C165&amp;"|"&amp;$E165,Scoring!$AD:$AD,0)),"")</f>
        <v>40</v>
      </c>
      <c r="AC165" s="16" t="str">
        <f aca="false">IFERROR(INDEX('Route of Administration'!$C$5:$C$155,MATCH($C165,'Route of Administration'!$A$5:$A$155,0)),"")</f>
        <v>IV, SC</v>
      </c>
      <c r="AD165" s="15" t="str">
        <f aca="false">IFERROR(INDEX('Route of Administration'!$D$5:$D$155,MATCH($C165,'Route of Administration'!$A$5:$A$155,0)),"")</f>
        <v>Yes</v>
      </c>
      <c r="AE165" s="15" t="str">
        <f aca="false">IF($AD165="No","Not checked – drug is IV only",IFERROR(INDEX('Route of Administration'!$O$5:$O$170,MATCH($E165&amp;"|"&amp;$C165,'Route of Administration'!$S$5:$S$170,0)),"Not checked – price ≤ USD 5"))</f>
        <v>Pass</v>
      </c>
    </row>
    <row r="166" customFormat="false" ht="28.35" hidden="false" customHeight="false" outlineLevel="0" collapsed="false">
      <c r="B166" s="16" t="n">
        <v>164</v>
      </c>
      <c r="C166" s="16" t="s">
        <v>289</v>
      </c>
      <c r="D166" s="16" t="s">
        <v>289</v>
      </c>
      <c r="E166" s="16" t="s">
        <v>698</v>
      </c>
      <c r="F166" s="16" t="s">
        <v>1538</v>
      </c>
      <c r="G166" s="17" t="s">
        <v>1539</v>
      </c>
      <c r="H166" s="16" t="s">
        <v>1540</v>
      </c>
      <c r="I166" s="18"/>
      <c r="J166" s="16" t="n">
        <v>1</v>
      </c>
      <c r="K166" s="16" t="n">
        <v>180</v>
      </c>
      <c r="L166" s="19" t="n">
        <v>5403.25</v>
      </c>
      <c r="M166" s="17" t="s">
        <v>290</v>
      </c>
      <c r="N166" s="82" t="n">
        <v>10.14</v>
      </c>
      <c r="O166" s="64" t="s">
        <v>1541</v>
      </c>
      <c r="P166" s="16" t="s">
        <v>1535</v>
      </c>
      <c r="Q166" s="17" t="s">
        <v>1542</v>
      </c>
      <c r="R166" s="78" t="s">
        <v>1543</v>
      </c>
      <c r="S166" s="77" t="n">
        <f aca="false">IFERROR(INDEX('Injectable Value'!$Z$28:$Z$178,MATCH($C166,'Injectable Value'!$A$28:$A$178,0)),"")</f>
        <v>0.194998811159637</v>
      </c>
      <c r="T166" s="19" t="n">
        <f aca="false">IFERROR(ROUND(INDEX('Injectable Value'!$AA$28:$AA$178,MATCH($C166,'Injectable Value'!$A$28:$A$178,0)),1),"")</f>
        <v>1053.6</v>
      </c>
      <c r="U166" s="17" t="s">
        <v>284</v>
      </c>
      <c r="V166" s="16" t="n">
        <v>1</v>
      </c>
      <c r="W166" s="16" t="s">
        <v>284</v>
      </c>
      <c r="X166" s="16" t="s">
        <v>291</v>
      </c>
      <c r="Y166" s="16" t="s">
        <v>283</v>
      </c>
      <c r="Z166" s="17" t="str">
        <f aca="false">IFERROR(INDEX(Scoring!$U:$U,MATCH($C166&amp;"|"&amp;$E166,Scoring!$AD:$AD,0)),"")</f>
        <v>Prefilled only</v>
      </c>
      <c r="AA166" s="16" t="str">
        <f aca="false">IFERROR(INDEX(Scoring!$E:$E,MATCH($C166&amp;"|"&amp;$E166,Scoring!$AD:$AD,0)),"")</f>
        <v>Priority 3</v>
      </c>
      <c r="AB166" s="19" t="n">
        <f aca="false">IFERROR(INDEX(Scoring!$M:$M,MATCH($C166&amp;"|"&amp;$E166,Scoring!$AD:$AD,0)),"")</f>
        <v>35</v>
      </c>
      <c r="AC166" s="16" t="str">
        <f aca="false">IFERROR(INDEX('Route of Administration'!$C$5:$C$155,MATCH($C166,'Route of Administration'!$A$5:$A$155,0)),"")</f>
        <v>IV, IM</v>
      </c>
      <c r="AD166" s="15" t="str">
        <f aca="false">IFERROR(INDEX('Route of Administration'!$D$5:$D$155,MATCH($C166,'Route of Administration'!$A$5:$A$155,0)),"")</f>
        <v>Yes</v>
      </c>
      <c r="AE166" s="15" t="str">
        <f aca="false">IF($AD166="No","Not checked – drug is IV only",IFERROR(INDEX('Route of Administration'!$O$5:$O$170,MATCH($E166&amp;"|"&amp;$C166,'Route of Administration'!$S$5:$S$170,0)),"Not checked – price ≤ USD 5"))</f>
        <v>Pass</v>
      </c>
    </row>
    <row r="167" customFormat="false" ht="28.35" hidden="false" customHeight="false" outlineLevel="0" collapsed="false">
      <c r="B167" s="16" t="n">
        <v>165</v>
      </c>
      <c r="C167" s="16" t="s">
        <v>75</v>
      </c>
      <c r="D167" s="16" t="s">
        <v>512</v>
      </c>
      <c r="E167" s="16" t="s">
        <v>698</v>
      </c>
      <c r="F167" s="16" t="s">
        <v>1600</v>
      </c>
      <c r="G167" s="17" t="s">
        <v>1911</v>
      </c>
      <c r="H167" s="16" t="s">
        <v>1540</v>
      </c>
      <c r="I167" s="18"/>
      <c r="J167" s="16" t="n">
        <v>1</v>
      </c>
      <c r="K167" s="16" t="n">
        <v>365</v>
      </c>
      <c r="L167" s="19" t="n">
        <v>5976.94</v>
      </c>
      <c r="M167" s="17" t="s">
        <v>513</v>
      </c>
      <c r="N167" s="82" t="n">
        <v>13.87</v>
      </c>
      <c r="O167" s="64" t="s">
        <v>1541</v>
      </c>
      <c r="P167" s="16" t="s">
        <v>1700</v>
      </c>
      <c r="Q167" s="17" t="s">
        <v>1864</v>
      </c>
      <c r="R167" s="78" t="s">
        <v>1865</v>
      </c>
      <c r="S167" s="77" t="n">
        <f aca="false">IFERROR(INDEX('Injectable Value'!$Z$28:$Z$178,MATCH($C167,'Injectable Value'!$A$28:$A$178,0)),"")</f>
        <v>0.240571827983426</v>
      </c>
      <c r="T167" s="19" t="n">
        <f aca="false">IFERROR(ROUND(INDEX('Injectable Value'!$AA$28:$AA$178,MATCH($C167,'Injectable Value'!$A$28:$A$178,0)),1),"")</f>
        <v>1437.9</v>
      </c>
      <c r="U167" s="17" t="s">
        <v>284</v>
      </c>
      <c r="V167" s="16" t="n">
        <v>1</v>
      </c>
      <c r="W167" s="16" t="s">
        <v>284</v>
      </c>
      <c r="X167" s="16" t="s">
        <v>291</v>
      </c>
      <c r="Y167" s="16" t="s">
        <v>283</v>
      </c>
      <c r="Z167" s="17" t="str">
        <f aca="false">IFERROR(INDEX(Scoring!$U:$U,MATCH($C167&amp;"|"&amp;$E167,Scoring!$AD:$AD,0)),"")</f>
        <v>Prefilled only</v>
      </c>
      <c r="AA167" s="16" t="str">
        <f aca="false">IFERROR(INDEX(Scoring!$E:$E,MATCH($C167&amp;"|"&amp;$E167,Scoring!$AD:$AD,0)),"")</f>
        <v>Priority 3</v>
      </c>
      <c r="AB167" s="19" t="n">
        <f aca="false">IFERROR(INDEX(Scoring!$M:$M,MATCH($C167&amp;"|"&amp;$E167,Scoring!$AD:$AD,0)),"")</f>
        <v>88</v>
      </c>
      <c r="AC167" s="16" t="str">
        <f aca="false">IFERROR(INDEX('Route of Administration'!$C$5:$C$155,MATCH($C167,'Route of Administration'!$A$5:$A$155,0)),"")</f>
        <v>IV, IM, SC</v>
      </c>
      <c r="AD167" s="15" t="str">
        <f aca="false">IFERROR(INDEX('Route of Administration'!$D$5:$D$155,MATCH($C167,'Route of Administration'!$A$5:$A$155,0)),"")</f>
        <v>Yes</v>
      </c>
      <c r="AE167" s="15" t="str">
        <f aca="false">IF($AD167="No","Not checked – drug is IV only",IFERROR(INDEX('Route of Administration'!$O$5:$O$170,MATCH($E167&amp;"|"&amp;$C167,'Route of Administration'!$S$5:$S$170,0)),"Not checked – price ≤ USD 5"))</f>
        <v>Pass</v>
      </c>
    </row>
    <row r="168" customFormat="false" ht="28.35" hidden="false" customHeight="false" outlineLevel="0" collapsed="false">
      <c r="B168" s="16" t="n">
        <v>166</v>
      </c>
      <c r="C168" s="16" t="s">
        <v>304</v>
      </c>
      <c r="D168" s="16" t="s">
        <v>304</v>
      </c>
      <c r="E168" s="16" t="s">
        <v>698</v>
      </c>
      <c r="F168" s="16" t="s">
        <v>1550</v>
      </c>
      <c r="G168" s="17" t="s">
        <v>1912</v>
      </c>
      <c r="H168" s="16" t="s">
        <v>1826</v>
      </c>
      <c r="I168" s="18"/>
      <c r="J168" s="16" t="n">
        <v>1</v>
      </c>
      <c r="K168" s="16" t="n">
        <v>51</v>
      </c>
      <c r="L168" s="19" t="n">
        <v>5770.02</v>
      </c>
      <c r="M168" s="17" t="s">
        <v>305</v>
      </c>
      <c r="N168" s="18"/>
      <c r="O168" s="16" t="s">
        <v>1573</v>
      </c>
      <c r="P168" s="16" t="s">
        <v>112</v>
      </c>
      <c r="Q168" s="17" t="s">
        <v>112</v>
      </c>
      <c r="R168" s="16"/>
      <c r="S168" s="77" t="n">
        <f aca="false">IFERROR(INDEX('Injectable Value'!$Z$28:$Z$178,MATCH($C168,'Injectable Value'!$A$28:$A$178,0)),"")</f>
        <v>0.468334010008564</v>
      </c>
      <c r="T168" s="19" t="n">
        <f aca="false">IFERROR(ROUND(INDEX('Injectable Value'!$AA$28:$AA$178,MATCH($C168,'Injectable Value'!$A$28:$A$178,0)),1),"")</f>
        <v>2702.3</v>
      </c>
      <c r="U168" s="17" t="s">
        <v>284</v>
      </c>
      <c r="V168" s="16" t="n">
        <v>1</v>
      </c>
      <c r="W168" s="16" t="s">
        <v>284</v>
      </c>
      <c r="X168" s="16" t="s">
        <v>349</v>
      </c>
      <c r="Y168" s="16" t="s">
        <v>283</v>
      </c>
      <c r="Z168" s="17" t="str">
        <f aca="false">IFERROR(INDEX(Scoring!$U:$U,MATCH($C168&amp;"|"&amp;$E168,Scoring!$AD:$AD,0)),"")</f>
        <v/>
      </c>
      <c r="AA168" s="16" t="str">
        <f aca="false">IFERROR(INDEX(Scoring!$E:$E,MATCH($C168&amp;"|"&amp;$E168,Scoring!$AD:$AD,0)),"")</f>
        <v>Priority 3</v>
      </c>
      <c r="AB168" s="19" t="n">
        <f aca="false">IFERROR(INDEX(Scoring!$M:$M,MATCH($C168&amp;"|"&amp;$E168,Scoring!$AD:$AD,0)),"")</f>
        <v>24</v>
      </c>
      <c r="AC168" s="16" t="str">
        <f aca="false">IFERROR(INDEX('Route of Administration'!$C$5:$C$155,MATCH($C168,'Route of Administration'!$A$5:$A$155,0)),"")</f>
        <v>IV, IM, SC</v>
      </c>
      <c r="AD168" s="15" t="str">
        <f aca="false">IFERROR(INDEX('Route of Administration'!$D$5:$D$155,MATCH($C168,'Route of Administration'!$A$5:$A$155,0)),"")</f>
        <v>Yes</v>
      </c>
      <c r="AE168" s="15" t="str">
        <f aca="false">IF($AD168="No","Not checked – drug is IV only",IFERROR(INDEX('Route of Administration'!$O$5:$O$170,MATCH($E168&amp;"|"&amp;$C168,'Route of Administration'!$S$5:$S$170,0)),"Not checked – price ≤ USD 5"))</f>
        <v>Pass</v>
      </c>
    </row>
    <row r="169" customFormat="false" ht="28.35" hidden="false" customHeight="false" outlineLevel="0" collapsed="false">
      <c r="B169" s="16" t="n">
        <v>167</v>
      </c>
      <c r="C169" s="16" t="s">
        <v>304</v>
      </c>
      <c r="D169" s="16" t="s">
        <v>304</v>
      </c>
      <c r="E169" s="16" t="s">
        <v>698</v>
      </c>
      <c r="F169" s="16" t="s">
        <v>1824</v>
      </c>
      <c r="G169" s="17" t="s">
        <v>1912</v>
      </c>
      <c r="H169" s="16" t="s">
        <v>1826</v>
      </c>
      <c r="I169" s="18" t="n">
        <v>16.96</v>
      </c>
      <c r="J169" s="16" t="n">
        <v>1</v>
      </c>
      <c r="K169" s="16" t="n">
        <v>51</v>
      </c>
      <c r="L169" s="19" t="n">
        <v>5770.02</v>
      </c>
      <c r="M169" s="17" t="s">
        <v>305</v>
      </c>
      <c r="N169" s="18" t="n">
        <v>16.96</v>
      </c>
      <c r="O169" s="16" t="s">
        <v>1534</v>
      </c>
      <c r="P169" s="16" t="s">
        <v>1535</v>
      </c>
      <c r="Q169" s="17" t="s">
        <v>1536</v>
      </c>
      <c r="R169" s="78" t="s">
        <v>1913</v>
      </c>
      <c r="S169" s="77" t="n">
        <f aca="false">IFERROR(INDEX('Injectable Value'!$Z$28:$Z$178,MATCH($C169,'Injectable Value'!$A$28:$A$178,0)),"")</f>
        <v>0.468334010008564</v>
      </c>
      <c r="T169" s="19" t="n">
        <f aca="false">IFERROR(ROUND(INDEX('Injectable Value'!$AA$28:$AA$178,MATCH($C169,'Injectable Value'!$A$28:$A$178,0)),1),"")</f>
        <v>2702.3</v>
      </c>
      <c r="U169" s="17" t="s">
        <v>284</v>
      </c>
      <c r="V169" s="16" t="n">
        <v>1</v>
      </c>
      <c r="W169" s="16" t="s">
        <v>284</v>
      </c>
      <c r="X169" s="16" t="s">
        <v>349</v>
      </c>
      <c r="Y169" s="16" t="s">
        <v>283</v>
      </c>
      <c r="Z169" s="17" t="str">
        <f aca="false">IFERROR(INDEX(Scoring!$U:$U,MATCH($C169&amp;"|"&amp;$E169,Scoring!$AD:$AD,0)),"")</f>
        <v/>
      </c>
      <c r="AA169" s="16" t="str">
        <f aca="false">IFERROR(INDEX(Scoring!$E:$E,MATCH($C169&amp;"|"&amp;$E169,Scoring!$AD:$AD,0)),"")</f>
        <v>Priority 3</v>
      </c>
      <c r="AB169" s="19" t="n">
        <f aca="false">IFERROR(INDEX(Scoring!$M:$M,MATCH($C169&amp;"|"&amp;$E169,Scoring!$AD:$AD,0)),"")</f>
        <v>24</v>
      </c>
      <c r="AC169" s="16" t="str">
        <f aca="false">IFERROR(INDEX('Route of Administration'!$C$5:$C$155,MATCH($C169,'Route of Administration'!$A$5:$A$155,0)),"")</f>
        <v>IV, IM, SC</v>
      </c>
      <c r="AD169" s="15" t="str">
        <f aca="false">IFERROR(INDEX('Route of Administration'!$D$5:$D$155,MATCH($C169,'Route of Administration'!$A$5:$A$155,0)),"")</f>
        <v>Yes</v>
      </c>
      <c r="AE169" s="15" t="str">
        <f aca="false">IF($AD169="No","Not checked – drug is IV only",IFERROR(INDEX('Route of Administration'!$O$5:$O$170,MATCH($E169&amp;"|"&amp;$C169,'Route of Administration'!$S$5:$S$170,0)),"Not checked – price ≤ USD 5"))</f>
        <v>Pass</v>
      </c>
    </row>
    <row r="170" customFormat="false" ht="28.35" hidden="false" customHeight="false" outlineLevel="0" collapsed="false">
      <c r="B170" s="16" t="n">
        <v>168</v>
      </c>
      <c r="C170" s="16" t="s">
        <v>754</v>
      </c>
      <c r="D170" s="16" t="s">
        <v>755</v>
      </c>
      <c r="E170" s="16" t="s">
        <v>698</v>
      </c>
      <c r="F170" s="16" t="s">
        <v>1914</v>
      </c>
      <c r="G170" s="17" t="s">
        <v>1915</v>
      </c>
      <c r="H170" s="16" t="s">
        <v>1533</v>
      </c>
      <c r="I170" s="18"/>
      <c r="J170" s="16" t="n">
        <v>1</v>
      </c>
      <c r="K170" s="16" t="n">
        <v>286</v>
      </c>
      <c r="L170" s="19" t="n">
        <v>3067.39</v>
      </c>
      <c r="M170" s="17" t="s">
        <v>756</v>
      </c>
      <c r="N170" s="18"/>
      <c r="O170" s="16" t="s">
        <v>1573</v>
      </c>
      <c r="P170" s="16" t="s">
        <v>112</v>
      </c>
      <c r="Q170" s="17" t="s">
        <v>112</v>
      </c>
      <c r="R170" s="16"/>
      <c r="S170" s="77" t="n">
        <f aca="false">IFERROR(INDEX('Injectable Value'!$Z$28:$Z$178,MATCH($C170,'Injectable Value'!$A$28:$A$178,0)),"")</f>
        <v>1</v>
      </c>
      <c r="T170" s="19" t="n">
        <f aca="false">IFERROR(ROUND(INDEX('Injectable Value'!$AA$28:$AA$178,MATCH($C170,'Injectable Value'!$A$28:$A$178,0)),1),"")</f>
        <v>3067.4</v>
      </c>
      <c r="U170" s="17" t="s">
        <v>516</v>
      </c>
      <c r="V170" s="16" t="n">
        <v>2</v>
      </c>
      <c r="W170" s="16" t="s">
        <v>515</v>
      </c>
      <c r="X170" s="16" t="s">
        <v>281</v>
      </c>
      <c r="Y170" s="16" t="s">
        <v>283</v>
      </c>
      <c r="Z170" s="17" t="str">
        <f aca="false">IFERROR(INDEX(Scoring!$U:$U,MATCH($C170&amp;"|"&amp;$E170,Scoring!$AD:$AD,0)),"")</f>
        <v/>
      </c>
      <c r="AA170" s="16" t="str">
        <f aca="false">IFERROR(INDEX(Scoring!$E:$E,MATCH($C170&amp;"|"&amp;$E170,Scoring!$AD:$AD,0)),"")</f>
        <v>Priority 2</v>
      </c>
      <c r="AB170" s="19" t="n">
        <f aca="false">IFERROR(INDEX(Scoring!$M:$M,MATCH($C170&amp;"|"&amp;$E170,Scoring!$AD:$AD,0)),"")</f>
        <v>286</v>
      </c>
      <c r="AC170" s="16" t="str">
        <f aca="false">IFERROR(INDEX('Route of Administration'!$C$5:$C$155,MATCH($C170,'Route of Administration'!$A$5:$A$155,0)),"")</f>
        <v>IV, IM</v>
      </c>
      <c r="AD170" s="15" t="str">
        <f aca="false">IFERROR(INDEX('Route of Administration'!$D$5:$D$155,MATCH($C170,'Route of Administration'!$A$5:$A$155,0)),"")</f>
        <v>Yes</v>
      </c>
      <c r="AE170" s="15" t="str">
        <f aca="false">IF($AD170="No","Not checked – drug is IV only",IFERROR(INDEX('Route of Administration'!$O$5:$O$170,MATCH($E170&amp;"|"&amp;$C170,'Route of Administration'!$S$5:$S$170,0)),"Not checked – price ≤ USD 5"))</f>
        <v>Pass</v>
      </c>
    </row>
    <row r="171" customFormat="false" ht="28.35" hidden="false" customHeight="false" outlineLevel="0" collapsed="false">
      <c r="B171" s="16" t="n">
        <v>169</v>
      </c>
      <c r="C171" s="16" t="s">
        <v>763</v>
      </c>
      <c r="D171" s="16" t="s">
        <v>763</v>
      </c>
      <c r="E171" s="16" t="s">
        <v>698</v>
      </c>
      <c r="F171" s="16" t="s">
        <v>1916</v>
      </c>
      <c r="G171" s="17" t="s">
        <v>1917</v>
      </c>
      <c r="H171" s="16" t="s">
        <v>1533</v>
      </c>
      <c r="I171" s="18" t="n">
        <v>154.8</v>
      </c>
      <c r="J171" s="16" t="n">
        <v>1</v>
      </c>
      <c r="K171" s="16" t="n">
        <v>147</v>
      </c>
      <c r="L171" s="19" t="n">
        <v>11040.91</v>
      </c>
      <c r="M171" s="17" t="s">
        <v>764</v>
      </c>
      <c r="N171" s="18" t="n">
        <v>154.8</v>
      </c>
      <c r="O171" s="16" t="s">
        <v>1534</v>
      </c>
      <c r="P171" s="16" t="s">
        <v>1535</v>
      </c>
      <c r="Q171" s="17" t="s">
        <v>1536</v>
      </c>
      <c r="R171" s="78" t="s">
        <v>1918</v>
      </c>
      <c r="S171" s="77" t="n">
        <f aca="false">IFERROR(INDEX('Injectable Value'!$Z$28:$Z$178,MATCH($C171,'Injectable Value'!$A$28:$A$178,0)),"")</f>
        <v>1</v>
      </c>
      <c r="T171" s="19" t="n">
        <f aca="false">IFERROR(ROUND(INDEX('Injectable Value'!$AA$28:$AA$178,MATCH($C171,'Injectable Value'!$A$28:$A$178,0)),1),"")</f>
        <v>11040.9</v>
      </c>
      <c r="U171" s="17" t="s">
        <v>284</v>
      </c>
      <c r="V171" s="16" t="n">
        <v>1</v>
      </c>
      <c r="W171" s="16" t="s">
        <v>284</v>
      </c>
      <c r="X171" s="16" t="s">
        <v>281</v>
      </c>
      <c r="Y171" s="16" t="s">
        <v>333</v>
      </c>
      <c r="Z171" s="17" t="str">
        <f aca="false">IFERROR(INDEX(Scoring!$U:$U,MATCH($C171&amp;"|"&amp;$E171,Scoring!$AD:$AD,0)),"")</f>
        <v>Cancer drug (cytotoxic) – less relevant; Reconstitution</v>
      </c>
      <c r="AA171" s="16" t="str">
        <f aca="false">IFERROR(INDEX(Scoring!$E:$E,MATCH($C171&amp;"|"&amp;$E171,Scoring!$AD:$AD,0)),"")</f>
        <v>Excluded – IV only</v>
      </c>
      <c r="AB171" s="19" t="n">
        <f aca="false">IFERROR(INDEX(Scoring!$M:$M,MATCH($C171&amp;"|"&amp;$E171,Scoring!$AD:$AD,0)),"")</f>
        <v>147</v>
      </c>
      <c r="AC171" s="16" t="str">
        <f aca="false">IFERROR(INDEX('Route of Administration'!$C$5:$C$155,MATCH($C171,'Route of Administration'!$A$5:$A$155,0)),"")</f>
        <v>IV</v>
      </c>
      <c r="AD171" s="15" t="str">
        <f aca="false">IFERROR(INDEX('Route of Administration'!$D$5:$D$155,MATCH($C171,'Route of Administration'!$A$5:$A$155,0)),"")</f>
        <v>No</v>
      </c>
      <c r="AE171" s="15" t="str">
        <f aca="false">IF($AD171="No","Not checked – drug is IV only",IFERROR(INDEX('Route of Administration'!$O$5:$O$170,MATCH($E171&amp;"|"&amp;$C171,'Route of Administration'!$S$5:$S$170,0)),"Not checked – price ≤ USD 5"))</f>
        <v>Not checked – drug is IV only</v>
      </c>
    </row>
    <row r="172" customFormat="false" ht="41.75" hidden="false" customHeight="false" outlineLevel="0" collapsed="false">
      <c r="B172" s="16" t="n">
        <v>170</v>
      </c>
      <c r="C172" s="16" t="s">
        <v>308</v>
      </c>
      <c r="D172" s="16" t="s">
        <v>308</v>
      </c>
      <c r="E172" s="16" t="s">
        <v>698</v>
      </c>
      <c r="F172" s="16" t="s">
        <v>1824</v>
      </c>
      <c r="G172" s="17" t="s">
        <v>1553</v>
      </c>
      <c r="H172" s="16" t="s">
        <v>1553</v>
      </c>
      <c r="I172" s="18"/>
      <c r="J172" s="16" t="n">
        <v>1</v>
      </c>
      <c r="K172" s="16" t="n">
        <v>735</v>
      </c>
      <c r="L172" s="19" t="n">
        <v>16205.48</v>
      </c>
      <c r="M172" s="17" t="s">
        <v>309</v>
      </c>
      <c r="N172" s="82" t="n">
        <v>3.94</v>
      </c>
      <c r="O172" s="64" t="s">
        <v>1541</v>
      </c>
      <c r="P172" s="16" t="s">
        <v>1535</v>
      </c>
      <c r="Q172" s="17" t="s">
        <v>1542</v>
      </c>
      <c r="R172" s="78" t="s">
        <v>1543</v>
      </c>
      <c r="S172" s="77" t="n">
        <f aca="false">IFERROR(INDEX('Injectable Value'!$Z$28:$Z$178,MATCH($C172,'Injectable Value'!$A$28:$A$178,0)),"")</f>
        <v>0.262678151411075</v>
      </c>
      <c r="T172" s="19" t="n">
        <f aca="false">IFERROR(ROUND(INDEX('Injectable Value'!$AA$28:$AA$178,MATCH($C172,'Injectable Value'!$A$28:$A$178,0)),1),"")</f>
        <v>4256.8</v>
      </c>
      <c r="U172" s="17" t="s">
        <v>284</v>
      </c>
      <c r="V172" s="16" t="n">
        <v>1</v>
      </c>
      <c r="W172" s="16" t="s">
        <v>284</v>
      </c>
      <c r="X172" s="16" t="s">
        <v>310</v>
      </c>
      <c r="Y172" s="16" t="s">
        <v>310</v>
      </c>
      <c r="Z172" s="17" t="str">
        <f aca="false">IFERROR(INDEX(Scoring!$U:$U,MATCH($C172&amp;"|"&amp;$E172,Scoring!$AD:$AD,0)),"")</f>
        <v/>
      </c>
      <c r="AA172" s="16" t="str">
        <f aca="false">IFERROR(INDEX(Scoring!$E:$E,MATCH($C172&amp;"|"&amp;$E172,Scoring!$AD:$AD,0)),"")</f>
        <v>Excluded – price ≤ USD 5</v>
      </c>
      <c r="AB172" s="19" t="n">
        <f aca="false">IFERROR(INDEX(Scoring!$M:$M,MATCH($C172&amp;"|"&amp;$E172,Scoring!$AD:$AD,0)),"")</f>
        <v>193</v>
      </c>
      <c r="AC172" s="16" t="str">
        <f aca="false">IFERROR(INDEX('Route of Administration'!$C$5:$C$155,MATCH($C172,'Route of Administration'!$A$5:$A$155,0)),"")</f>
        <v>IM</v>
      </c>
      <c r="AD172" s="15" t="str">
        <f aca="false">IFERROR(INDEX('Route of Administration'!$D$5:$D$155,MATCH($C172,'Route of Administration'!$A$5:$A$155,0)),"")</f>
        <v>Yes</v>
      </c>
      <c r="AE172" s="15" t="str">
        <f aca="false">IF($AD172="No","Not checked – drug is IV only",IFERROR(INDEX('Route of Administration'!$O$5:$O$170,MATCH($E172&amp;"|"&amp;$C172,'Route of Administration'!$S$5:$S$170,0)),"Not checked – price ≤ USD 5"))</f>
        <v>Not checked – price ≤ USD 5</v>
      </c>
    </row>
    <row r="173" customFormat="false" ht="41.75" hidden="false" customHeight="false" outlineLevel="0" collapsed="false">
      <c r="B173" s="16" t="n">
        <v>171</v>
      </c>
      <c r="C173" s="16" t="s">
        <v>308</v>
      </c>
      <c r="D173" s="16" t="s">
        <v>308</v>
      </c>
      <c r="E173" s="16" t="s">
        <v>698</v>
      </c>
      <c r="F173" s="16" t="s">
        <v>1552</v>
      </c>
      <c r="G173" s="17" t="s">
        <v>1553</v>
      </c>
      <c r="H173" s="16" t="s">
        <v>1553</v>
      </c>
      <c r="I173" s="18"/>
      <c r="J173" s="16" t="n">
        <v>1</v>
      </c>
      <c r="K173" s="16" t="n">
        <v>735</v>
      </c>
      <c r="L173" s="19" t="n">
        <v>16205.48</v>
      </c>
      <c r="M173" s="17" t="s">
        <v>309</v>
      </c>
      <c r="N173" s="82" t="n">
        <v>3.15</v>
      </c>
      <c r="O173" s="64" t="s">
        <v>1541</v>
      </c>
      <c r="P173" s="16" t="s">
        <v>1535</v>
      </c>
      <c r="Q173" s="17" t="s">
        <v>1542</v>
      </c>
      <c r="R173" s="78" t="s">
        <v>1543</v>
      </c>
      <c r="S173" s="77" t="n">
        <f aca="false">IFERROR(INDEX('Injectable Value'!$Z$28:$Z$178,MATCH($C173,'Injectable Value'!$A$28:$A$178,0)),"")</f>
        <v>0.262678151411075</v>
      </c>
      <c r="T173" s="19" t="n">
        <f aca="false">IFERROR(ROUND(INDEX('Injectable Value'!$AA$28:$AA$178,MATCH($C173,'Injectable Value'!$A$28:$A$178,0)),1),"")</f>
        <v>4256.8</v>
      </c>
      <c r="U173" s="17" t="s">
        <v>284</v>
      </c>
      <c r="V173" s="16" t="n">
        <v>1</v>
      </c>
      <c r="W173" s="16" t="s">
        <v>284</v>
      </c>
      <c r="X173" s="16" t="s">
        <v>310</v>
      </c>
      <c r="Y173" s="16" t="s">
        <v>310</v>
      </c>
      <c r="Z173" s="17" t="str">
        <f aca="false">IFERROR(INDEX(Scoring!$U:$U,MATCH($C173&amp;"|"&amp;$E173,Scoring!$AD:$AD,0)),"")</f>
        <v/>
      </c>
      <c r="AA173" s="16" t="str">
        <f aca="false">IFERROR(INDEX(Scoring!$E:$E,MATCH($C173&amp;"|"&amp;$E173,Scoring!$AD:$AD,0)),"")</f>
        <v>Excluded – price ≤ USD 5</v>
      </c>
      <c r="AB173" s="19" t="n">
        <f aca="false">IFERROR(INDEX(Scoring!$M:$M,MATCH($C173&amp;"|"&amp;$E173,Scoring!$AD:$AD,0)),"")</f>
        <v>193</v>
      </c>
      <c r="AC173" s="16" t="str">
        <f aca="false">IFERROR(INDEX('Route of Administration'!$C$5:$C$155,MATCH($C173,'Route of Administration'!$A$5:$A$155,0)),"")</f>
        <v>IM</v>
      </c>
      <c r="AD173" s="15" t="str">
        <f aca="false">IFERROR(INDEX('Route of Administration'!$D$5:$D$155,MATCH($C173,'Route of Administration'!$A$5:$A$155,0)),"")</f>
        <v>Yes</v>
      </c>
      <c r="AE173" s="15" t="str">
        <f aca="false">IF($AD173="No","Not checked – drug is IV only",IFERROR(INDEX('Route of Administration'!$O$5:$O$170,MATCH($E173&amp;"|"&amp;$C173,'Route of Administration'!$S$5:$S$170,0)),"Not checked – price ≤ USD 5"))</f>
        <v>Not checked – price ≤ USD 5</v>
      </c>
    </row>
    <row r="174" customFormat="false" ht="28.35" hidden="false" customHeight="false" outlineLevel="0" collapsed="false">
      <c r="B174" s="16" t="n">
        <v>172</v>
      </c>
      <c r="C174" s="16" t="s">
        <v>699</v>
      </c>
      <c r="D174" s="16" t="s">
        <v>699</v>
      </c>
      <c r="E174" s="16" t="s">
        <v>698</v>
      </c>
      <c r="F174" s="16" t="s">
        <v>1919</v>
      </c>
      <c r="G174" s="17" t="s">
        <v>1920</v>
      </c>
      <c r="H174" s="16" t="s">
        <v>1533</v>
      </c>
      <c r="I174" s="18" t="n">
        <v>31.16</v>
      </c>
      <c r="J174" s="16" t="n">
        <v>1</v>
      </c>
      <c r="K174" s="16" t="n">
        <v>5</v>
      </c>
      <c r="L174" s="19" t="n">
        <v>806.34</v>
      </c>
      <c r="M174" s="17" t="s">
        <v>700</v>
      </c>
      <c r="N174" s="18" t="n">
        <v>31.16</v>
      </c>
      <c r="O174" s="16" t="s">
        <v>1534</v>
      </c>
      <c r="P174" s="16" t="s">
        <v>1535</v>
      </c>
      <c r="Q174" s="17" t="s">
        <v>1536</v>
      </c>
      <c r="R174" s="78" t="s">
        <v>1921</v>
      </c>
      <c r="S174" s="77" t="n">
        <f aca="false">IFERROR(INDEX('Injectable Value'!$Z$28:$Z$178,MATCH($C174,'Injectable Value'!$A$28:$A$178,0)),"")</f>
        <v>1</v>
      </c>
      <c r="T174" s="19" t="n">
        <f aca="false">IFERROR(ROUND(INDEX('Injectable Value'!$AA$28:$AA$178,MATCH($C174,'Injectable Value'!$A$28:$A$178,0)),1),"")</f>
        <v>806.3</v>
      </c>
      <c r="U174" s="17" t="s">
        <v>284</v>
      </c>
      <c r="V174" s="16" t="n">
        <v>1</v>
      </c>
      <c r="W174" s="16" t="s">
        <v>284</v>
      </c>
      <c r="X174" s="16" t="s">
        <v>281</v>
      </c>
      <c r="Y174" s="16" t="s">
        <v>333</v>
      </c>
      <c r="Z174" s="17" t="str">
        <f aca="false">IFERROR(INDEX(Scoring!$U:$U,MATCH($C174&amp;"|"&amp;$E174,Scoring!$AD:$AD,0)),"")</f>
        <v>Reconstitution</v>
      </c>
      <c r="AA174" s="16" t="str">
        <f aca="false">IFERROR(INDEX(Scoring!$E:$E,MATCH($C174&amp;"|"&amp;$E174,Scoring!$AD:$AD,0)),"")</f>
        <v>Excluded – IV only</v>
      </c>
      <c r="AB174" s="19" t="n">
        <f aca="false">IFERROR(INDEX(Scoring!$M:$M,MATCH($C174&amp;"|"&amp;$E174,Scoring!$AD:$AD,0)),"")</f>
        <v>5</v>
      </c>
      <c r="AC174" s="16" t="str">
        <f aca="false">IFERROR(INDEX('Route of Administration'!$C$5:$C$155,MATCH($C174,'Route of Administration'!$A$5:$A$155,0)),"")</f>
        <v>IV</v>
      </c>
      <c r="AD174" s="15" t="str">
        <f aca="false">IFERROR(INDEX('Route of Administration'!$D$5:$D$155,MATCH($C174,'Route of Administration'!$A$5:$A$155,0)),"")</f>
        <v>No</v>
      </c>
      <c r="AE174" s="15" t="str">
        <f aca="false">IF($AD174="No","Not checked – drug is IV only",IFERROR(INDEX('Route of Administration'!$O$5:$O$170,MATCH($E174&amp;"|"&amp;$C174,'Route of Administration'!$S$5:$S$170,0)),"Not checked – price ≤ USD 5"))</f>
        <v>Not checked – drug is IV only</v>
      </c>
    </row>
    <row r="175" customFormat="false" ht="41.75" hidden="false" customHeight="false" outlineLevel="0" collapsed="false">
      <c r="B175" s="16" t="n">
        <v>173</v>
      </c>
      <c r="C175" s="16" t="s">
        <v>529</v>
      </c>
      <c r="D175" s="16" t="s">
        <v>530</v>
      </c>
      <c r="E175" s="16" t="s">
        <v>698</v>
      </c>
      <c r="F175" s="16" t="s">
        <v>1633</v>
      </c>
      <c r="G175" s="17" t="s">
        <v>1922</v>
      </c>
      <c r="H175" s="16" t="s">
        <v>1533</v>
      </c>
      <c r="I175" s="18" t="n">
        <v>9.74</v>
      </c>
      <c r="J175" s="16" t="n">
        <v>1</v>
      </c>
      <c r="K175" s="16" t="n">
        <v>119</v>
      </c>
      <c r="L175" s="19" t="n">
        <v>3113.83</v>
      </c>
      <c r="M175" s="17" t="s">
        <v>531</v>
      </c>
      <c r="N175" s="18" t="n">
        <v>9.74</v>
      </c>
      <c r="O175" s="16" t="s">
        <v>1534</v>
      </c>
      <c r="P175" s="16" t="s">
        <v>1535</v>
      </c>
      <c r="Q175" s="17" t="s">
        <v>1536</v>
      </c>
      <c r="R175" s="78" t="s">
        <v>1635</v>
      </c>
      <c r="S175" s="77" t="n">
        <f aca="false">IFERROR(INDEX('Injectable Value'!$Z$28:$Z$178,MATCH($C175,'Injectable Value'!$A$28:$A$178,0)),"")</f>
        <v>0.899884259259259</v>
      </c>
      <c r="T175" s="19" t="n">
        <f aca="false">IFERROR(ROUND(INDEX('Injectable Value'!$AA$28:$AA$178,MATCH($C175,'Injectable Value'!$A$28:$A$178,0)),1),"")</f>
        <v>2802.1</v>
      </c>
      <c r="U175" s="17" t="s">
        <v>752</v>
      </c>
      <c r="V175" s="16" t="n">
        <v>5</v>
      </c>
      <c r="W175" s="16" t="s">
        <v>751</v>
      </c>
      <c r="X175" s="16" t="s">
        <v>281</v>
      </c>
      <c r="Y175" s="16" t="s">
        <v>283</v>
      </c>
      <c r="Z175" s="17" t="str">
        <f aca="false">IFERROR(INDEX(Scoring!$U:$U,MATCH($C175&amp;"|"&amp;$E175,Scoring!$AD:$AD,0)),"")</f>
        <v/>
      </c>
      <c r="AA175" s="16" t="str">
        <f aca="false">IFERROR(INDEX(Scoring!$E:$E,MATCH($C175&amp;"|"&amp;$E175,Scoring!$AD:$AD,0)),"")</f>
        <v>Excluded – IV only</v>
      </c>
      <c r="AB175" s="19" t="n">
        <f aca="false">IFERROR(INDEX(Scoring!$M:$M,MATCH($C175&amp;"|"&amp;$E175,Scoring!$AD:$AD,0)),"")</f>
        <v>107</v>
      </c>
      <c r="AC175" s="16" t="str">
        <f aca="false">IFERROR(INDEX('Route of Administration'!$C$5:$C$155,MATCH($C175,'Route of Administration'!$A$5:$A$155,0)),"")</f>
        <v>IV</v>
      </c>
      <c r="AD175" s="15" t="str">
        <f aca="false">IFERROR(INDEX('Route of Administration'!$D$5:$D$155,MATCH($C175,'Route of Administration'!$A$5:$A$155,0)),"")</f>
        <v>No</v>
      </c>
      <c r="AE175" s="15" t="str">
        <f aca="false">IF($AD175="No","Not checked – drug is IV only",IFERROR(INDEX('Route of Administration'!$O$5:$O$170,MATCH($E175&amp;"|"&amp;$C175,'Route of Administration'!$S$5:$S$170,0)),"Not checked – price ≤ USD 5"))</f>
        <v>Not checked – drug is IV only</v>
      </c>
    </row>
    <row r="176" customFormat="false" ht="41.75" hidden="false" customHeight="false" outlineLevel="0" collapsed="false">
      <c r="B176" s="16" t="n">
        <v>174</v>
      </c>
      <c r="C176" s="16" t="s">
        <v>338</v>
      </c>
      <c r="D176" s="16" t="s">
        <v>338</v>
      </c>
      <c r="E176" s="16" t="s">
        <v>698</v>
      </c>
      <c r="F176" s="16" t="s">
        <v>1636</v>
      </c>
      <c r="G176" s="17" t="s">
        <v>1923</v>
      </c>
      <c r="H176" s="16" t="s">
        <v>1533</v>
      </c>
      <c r="I176" s="18" t="n">
        <v>22.25</v>
      </c>
      <c r="J176" s="16" t="n">
        <v>1</v>
      </c>
      <c r="K176" s="16" t="n">
        <v>905</v>
      </c>
      <c r="L176" s="19" t="n">
        <v>28093.38</v>
      </c>
      <c r="M176" s="17" t="s">
        <v>340</v>
      </c>
      <c r="N176" s="18" t="n">
        <v>22.25</v>
      </c>
      <c r="O176" s="16" t="s">
        <v>1534</v>
      </c>
      <c r="P176" s="16" t="s">
        <v>1535</v>
      </c>
      <c r="Q176" s="17" t="s">
        <v>1536</v>
      </c>
      <c r="R176" s="78" t="s">
        <v>1638</v>
      </c>
      <c r="S176" s="77" t="n">
        <f aca="false">IFERROR(INDEX('Injectable Value'!$Z$28:$Z$178,MATCH($C176,'Injectable Value'!$A$28:$A$178,0)),"")</f>
        <v>1</v>
      </c>
      <c r="T176" s="19" t="n">
        <f aca="false">IFERROR(ROUND(INDEX('Injectable Value'!$AA$28:$AA$178,MATCH($C176,'Injectable Value'!$A$28:$A$178,0)),1),"")</f>
        <v>28093.4</v>
      </c>
      <c r="U176" s="17" t="s">
        <v>706</v>
      </c>
      <c r="V176" s="16" t="n">
        <v>18</v>
      </c>
      <c r="W176" s="16" t="s">
        <v>705</v>
      </c>
      <c r="X176" s="16" t="s">
        <v>281</v>
      </c>
      <c r="Y176" s="16" t="s">
        <v>333</v>
      </c>
      <c r="Z176" s="17" t="str">
        <f aca="false">IFERROR(INDEX(Scoring!$U:$U,MATCH($C176&amp;"|"&amp;$E176,Scoring!$AD:$AD,0)),"")</f>
        <v>Cancer drug (cytotoxic) – less relevant; Reconstitution</v>
      </c>
      <c r="AA176" s="16" t="str">
        <f aca="false">IFERROR(INDEX(Scoring!$E:$E,MATCH($C176&amp;"|"&amp;$E176,Scoring!$AD:$AD,0)),"")</f>
        <v>Priority 1</v>
      </c>
      <c r="AB176" s="19" t="n">
        <f aca="false">IFERROR(INDEX(Scoring!$M:$M,MATCH($C176&amp;"|"&amp;$E176,Scoring!$AD:$AD,0)),"")</f>
        <v>905</v>
      </c>
      <c r="AC176" s="16" t="str">
        <f aca="false">IFERROR(INDEX('Route of Administration'!$C$5:$C$155,MATCH($C176,'Route of Administration'!$A$5:$A$155,0)),"")</f>
        <v>IV, SC</v>
      </c>
      <c r="AD176" s="15" t="str">
        <f aca="false">IFERROR(INDEX('Route of Administration'!$D$5:$D$155,MATCH($C176,'Route of Administration'!$A$5:$A$155,0)),"")</f>
        <v>Yes</v>
      </c>
      <c r="AE176" s="15" t="str">
        <f aca="false">IF($AD176="No","Not checked – drug is IV only",IFERROR(INDEX('Route of Administration'!$O$5:$O$170,MATCH($E176&amp;"|"&amp;$C176,'Route of Administration'!$S$5:$S$170,0)),"Not checked – price ≤ USD 5"))</f>
        <v>Pass</v>
      </c>
    </row>
    <row r="177" customFormat="false" ht="41.75" hidden="false" customHeight="false" outlineLevel="0" collapsed="false">
      <c r="B177" s="16" t="n">
        <v>175</v>
      </c>
      <c r="C177" s="16" t="s">
        <v>295</v>
      </c>
      <c r="D177" s="16" t="s">
        <v>295</v>
      </c>
      <c r="E177" s="16" t="s">
        <v>698</v>
      </c>
      <c r="F177" s="16" t="s">
        <v>1554</v>
      </c>
      <c r="G177" s="17" t="s">
        <v>1924</v>
      </c>
      <c r="H177" s="16" t="s">
        <v>1556</v>
      </c>
      <c r="I177" s="18" t="n">
        <v>29.97</v>
      </c>
      <c r="J177" s="16" t="n">
        <v>1</v>
      </c>
      <c r="K177" s="16" t="n">
        <v>146</v>
      </c>
      <c r="L177" s="19" t="n">
        <v>11366.06</v>
      </c>
      <c r="M177" s="17" t="s">
        <v>296</v>
      </c>
      <c r="N177" s="18" t="n">
        <v>29.97</v>
      </c>
      <c r="O177" s="16" t="s">
        <v>1534</v>
      </c>
      <c r="P177" s="16" t="s">
        <v>1535</v>
      </c>
      <c r="Q177" s="17" t="s">
        <v>1536</v>
      </c>
      <c r="R177" s="78" t="s">
        <v>1557</v>
      </c>
      <c r="S177" s="77" t="n">
        <f aca="false">IFERROR(INDEX('Injectable Value'!$Z$28:$Z$178,MATCH($C177,'Injectable Value'!$A$28:$A$178,0)),"")</f>
        <v>1</v>
      </c>
      <c r="T177" s="19" t="n">
        <f aca="false">IFERROR(ROUND(INDEX('Injectable Value'!$AA$28:$AA$178,MATCH($C177,'Injectable Value'!$A$28:$A$178,0)),1),"")</f>
        <v>11366.1</v>
      </c>
      <c r="U177" s="17" t="s">
        <v>739</v>
      </c>
      <c r="V177" s="16" t="n">
        <v>14</v>
      </c>
      <c r="W177" s="16" t="s">
        <v>738</v>
      </c>
      <c r="X177" s="16" t="s">
        <v>291</v>
      </c>
      <c r="Y177" s="16" t="s">
        <v>283</v>
      </c>
      <c r="Z177" s="17" t="str">
        <f aca="false">IFERROR(INDEX(Scoring!$U:$U,MATCH($C177&amp;"|"&amp;$E177,Scoring!$AD:$AD,0)),"")</f>
        <v>Prefilled only</v>
      </c>
      <c r="AA177" s="16" t="str">
        <f aca="false">IFERROR(INDEX(Scoring!$E:$E,MATCH($C177&amp;"|"&amp;$E177,Scoring!$AD:$AD,0)),"")</f>
        <v>Priority 1</v>
      </c>
      <c r="AB177" s="19" t="n">
        <f aca="false">IFERROR(INDEX(Scoring!$M:$M,MATCH($C177&amp;"|"&amp;$E177,Scoring!$AD:$AD,0)),"")</f>
        <v>146</v>
      </c>
      <c r="AC177" s="16" t="str">
        <f aca="false">IFERROR(INDEX('Route of Administration'!$C$5:$C$155,MATCH($C177,'Route of Administration'!$A$5:$A$155,0)),"")</f>
        <v>IM</v>
      </c>
      <c r="AD177" s="15" t="str">
        <f aca="false">IFERROR(INDEX('Route of Administration'!$D$5:$D$155,MATCH($C177,'Route of Administration'!$A$5:$A$155,0)),"")</f>
        <v>Yes</v>
      </c>
      <c r="AE177" s="15" t="str">
        <f aca="false">IF($AD177="No","Not checked – drug is IV only",IFERROR(INDEX('Route of Administration'!$O$5:$O$170,MATCH($E177&amp;"|"&amp;$C177,'Route of Administration'!$S$5:$S$170,0)),"Not checked – price ≤ USD 5"))</f>
        <v>Pass</v>
      </c>
    </row>
    <row r="178" customFormat="false" ht="28.35" hidden="false" customHeight="false" outlineLevel="0" collapsed="false">
      <c r="B178" s="16" t="n">
        <v>176</v>
      </c>
      <c r="C178" s="16" t="s">
        <v>380</v>
      </c>
      <c r="D178" s="16" t="s">
        <v>380</v>
      </c>
      <c r="E178" s="16" t="s">
        <v>698</v>
      </c>
      <c r="F178" s="16" t="s">
        <v>1655</v>
      </c>
      <c r="G178" s="17" t="s">
        <v>1925</v>
      </c>
      <c r="H178" s="16" t="s">
        <v>281</v>
      </c>
      <c r="I178" s="18" t="n">
        <v>216.12</v>
      </c>
      <c r="J178" s="16" t="n">
        <v>1</v>
      </c>
      <c r="K178" s="16" t="n">
        <v>843</v>
      </c>
      <c r="L178" s="19" t="n">
        <v>4508</v>
      </c>
      <c r="M178" s="17" t="s">
        <v>381</v>
      </c>
      <c r="N178" s="18" t="n">
        <v>216.12</v>
      </c>
      <c r="O178" s="16" t="s">
        <v>1534</v>
      </c>
      <c r="P178" s="16" t="s">
        <v>1535</v>
      </c>
      <c r="Q178" s="17" t="s">
        <v>1536</v>
      </c>
      <c r="R178" s="78" t="s">
        <v>1657</v>
      </c>
      <c r="S178" s="77" t="n">
        <f aca="false">IFERROR(INDEX('Injectable Value'!$Z$28:$Z$178,MATCH($C178,'Injectable Value'!$A$28:$A$178,0)),"")</f>
        <v>0.858739397335643</v>
      </c>
      <c r="T178" s="19" t="n">
        <f aca="false">IFERROR(ROUND(INDEX('Injectable Value'!$AA$28:$AA$178,MATCH($C178,'Injectable Value'!$A$28:$A$178,0)),1),"")</f>
        <v>3871.2</v>
      </c>
      <c r="U178" s="17" t="s">
        <v>713</v>
      </c>
      <c r="V178" s="16" t="n">
        <v>5</v>
      </c>
      <c r="W178" s="16" t="s">
        <v>712</v>
      </c>
      <c r="X178" s="16" t="s">
        <v>281</v>
      </c>
      <c r="Y178" s="16" t="s">
        <v>283</v>
      </c>
      <c r="Z178" s="17" t="str">
        <f aca="false">IFERROR(INDEX(Scoring!$U:$U,MATCH($C178&amp;"|"&amp;$E178,Scoring!$AD:$AD,0)),"")</f>
        <v>Cancer drug (cytotoxic) – less relevant</v>
      </c>
      <c r="AA178" s="16" t="str">
        <f aca="false">IFERROR(INDEX(Scoring!$E:$E,MATCH($C178&amp;"|"&amp;$E178,Scoring!$AD:$AD,0)),"")</f>
        <v>Excluded – IV only</v>
      </c>
      <c r="AB178" s="19" t="n">
        <f aca="false">IFERROR(INDEX(Scoring!$M:$M,MATCH($C178&amp;"|"&amp;$E178,Scoring!$AD:$AD,0)),"")</f>
        <v>724</v>
      </c>
      <c r="AC178" s="16" t="str">
        <f aca="false">IFERROR(INDEX('Route of Administration'!$C$5:$C$155,MATCH($C178,'Route of Administration'!$A$5:$A$155,0)),"")</f>
        <v>IV</v>
      </c>
      <c r="AD178" s="15" t="str">
        <f aca="false">IFERROR(INDEX('Route of Administration'!$D$5:$D$155,MATCH($C178,'Route of Administration'!$A$5:$A$155,0)),"")</f>
        <v>No</v>
      </c>
      <c r="AE178" s="15" t="str">
        <f aca="false">IF($AD178="No","Not checked – drug is IV only",IFERROR(INDEX('Route of Administration'!$O$5:$O$170,MATCH($E178&amp;"|"&amp;$C178,'Route of Administration'!$S$5:$S$170,0)),"Not checked – price ≤ USD 5"))</f>
        <v>Not checked – drug is IV only</v>
      </c>
    </row>
    <row r="179" customFormat="false" ht="28.35" hidden="false" customHeight="false" outlineLevel="0" collapsed="false">
      <c r="B179" s="16" t="n">
        <v>177</v>
      </c>
      <c r="C179" s="16" t="s">
        <v>380</v>
      </c>
      <c r="D179" s="16" t="s">
        <v>380</v>
      </c>
      <c r="E179" s="16" t="s">
        <v>698</v>
      </c>
      <c r="F179" s="16" t="s">
        <v>1658</v>
      </c>
      <c r="G179" s="17" t="s">
        <v>1926</v>
      </c>
      <c r="H179" s="16" t="s">
        <v>281</v>
      </c>
      <c r="I179" s="18" t="n">
        <v>427.8</v>
      </c>
      <c r="J179" s="16" t="n">
        <v>1</v>
      </c>
      <c r="K179" s="16" t="n">
        <v>843</v>
      </c>
      <c r="L179" s="19" t="n">
        <v>4508</v>
      </c>
      <c r="M179" s="17" t="s">
        <v>381</v>
      </c>
      <c r="N179" s="18" t="n">
        <v>427.8</v>
      </c>
      <c r="O179" s="16" t="s">
        <v>1534</v>
      </c>
      <c r="P179" s="16" t="s">
        <v>1535</v>
      </c>
      <c r="Q179" s="17" t="s">
        <v>1536</v>
      </c>
      <c r="R179" s="78" t="s">
        <v>1657</v>
      </c>
      <c r="S179" s="77" t="n">
        <f aca="false">IFERROR(INDEX('Injectable Value'!$Z$28:$Z$178,MATCH($C179,'Injectable Value'!$A$28:$A$178,0)),"")</f>
        <v>0.858739397335643</v>
      </c>
      <c r="T179" s="19" t="n">
        <f aca="false">IFERROR(ROUND(INDEX('Injectable Value'!$AA$28:$AA$178,MATCH($C179,'Injectable Value'!$A$28:$A$178,0)),1),"")</f>
        <v>3871.2</v>
      </c>
      <c r="U179" s="17" t="s">
        <v>713</v>
      </c>
      <c r="V179" s="16" t="n">
        <v>5</v>
      </c>
      <c r="W179" s="16" t="s">
        <v>712</v>
      </c>
      <c r="X179" s="16" t="s">
        <v>281</v>
      </c>
      <c r="Y179" s="16" t="s">
        <v>283</v>
      </c>
      <c r="Z179" s="17" t="str">
        <f aca="false">IFERROR(INDEX(Scoring!$U:$U,MATCH($C179&amp;"|"&amp;$E179,Scoring!$AD:$AD,0)),"")</f>
        <v>Cancer drug (cytotoxic) – less relevant</v>
      </c>
      <c r="AA179" s="16" t="str">
        <f aca="false">IFERROR(INDEX(Scoring!$E:$E,MATCH($C179&amp;"|"&amp;$E179,Scoring!$AD:$AD,0)),"")</f>
        <v>Excluded – IV only</v>
      </c>
      <c r="AB179" s="19" t="n">
        <f aca="false">IFERROR(INDEX(Scoring!$M:$M,MATCH($C179&amp;"|"&amp;$E179,Scoring!$AD:$AD,0)),"")</f>
        <v>724</v>
      </c>
      <c r="AC179" s="16" t="str">
        <f aca="false">IFERROR(INDEX('Route of Administration'!$C$5:$C$155,MATCH($C179,'Route of Administration'!$A$5:$A$155,0)),"")</f>
        <v>IV</v>
      </c>
      <c r="AD179" s="15" t="str">
        <f aca="false">IFERROR(INDEX('Route of Administration'!$D$5:$D$155,MATCH($C179,'Route of Administration'!$A$5:$A$155,0)),"")</f>
        <v>No</v>
      </c>
      <c r="AE179" s="15" t="str">
        <f aca="false">IF($AD179="No","Not checked – drug is IV only",IFERROR(INDEX('Route of Administration'!$O$5:$O$170,MATCH($E179&amp;"|"&amp;$C179,'Route of Administration'!$S$5:$S$170,0)),"Not checked – price ≤ USD 5"))</f>
        <v>Not checked – drug is IV only</v>
      </c>
    </row>
    <row r="180" customFormat="false" ht="28.35" hidden="false" customHeight="false" outlineLevel="0" collapsed="false">
      <c r="B180" s="16" t="n">
        <v>178</v>
      </c>
      <c r="C180" s="16" t="s">
        <v>380</v>
      </c>
      <c r="D180" s="16" t="s">
        <v>380</v>
      </c>
      <c r="E180" s="16" t="s">
        <v>698</v>
      </c>
      <c r="F180" s="16" t="s">
        <v>1660</v>
      </c>
      <c r="G180" s="17" t="s">
        <v>1927</v>
      </c>
      <c r="H180" s="16" t="s">
        <v>281</v>
      </c>
      <c r="I180" s="18" t="n">
        <v>58.2</v>
      </c>
      <c r="J180" s="16" t="n">
        <v>1</v>
      </c>
      <c r="K180" s="16" t="n">
        <v>843</v>
      </c>
      <c r="L180" s="19" t="n">
        <v>4508</v>
      </c>
      <c r="M180" s="17" t="s">
        <v>381</v>
      </c>
      <c r="N180" s="18" t="n">
        <v>58.2</v>
      </c>
      <c r="O180" s="16" t="s">
        <v>1534</v>
      </c>
      <c r="P180" s="16" t="s">
        <v>1535</v>
      </c>
      <c r="Q180" s="17" t="s">
        <v>1536</v>
      </c>
      <c r="R180" s="78" t="s">
        <v>1657</v>
      </c>
      <c r="S180" s="77" t="n">
        <f aca="false">IFERROR(INDEX('Injectable Value'!$Z$28:$Z$178,MATCH($C180,'Injectable Value'!$A$28:$A$178,0)),"")</f>
        <v>0.858739397335643</v>
      </c>
      <c r="T180" s="19" t="n">
        <f aca="false">IFERROR(ROUND(INDEX('Injectable Value'!$AA$28:$AA$178,MATCH($C180,'Injectable Value'!$A$28:$A$178,0)),1),"")</f>
        <v>3871.2</v>
      </c>
      <c r="U180" s="17" t="s">
        <v>713</v>
      </c>
      <c r="V180" s="16" t="n">
        <v>5</v>
      </c>
      <c r="W180" s="16" t="s">
        <v>712</v>
      </c>
      <c r="X180" s="16" t="s">
        <v>281</v>
      </c>
      <c r="Y180" s="16" t="s">
        <v>283</v>
      </c>
      <c r="Z180" s="17" t="str">
        <f aca="false">IFERROR(INDEX(Scoring!$U:$U,MATCH($C180&amp;"|"&amp;$E180,Scoring!$AD:$AD,0)),"")</f>
        <v>Cancer drug (cytotoxic) – less relevant</v>
      </c>
      <c r="AA180" s="16" t="str">
        <f aca="false">IFERROR(INDEX(Scoring!$E:$E,MATCH($C180&amp;"|"&amp;$E180,Scoring!$AD:$AD,0)),"")</f>
        <v>Excluded – IV only</v>
      </c>
      <c r="AB180" s="19" t="n">
        <f aca="false">IFERROR(INDEX(Scoring!$M:$M,MATCH($C180&amp;"|"&amp;$E180,Scoring!$AD:$AD,0)),"")</f>
        <v>724</v>
      </c>
      <c r="AC180" s="16" t="str">
        <f aca="false">IFERROR(INDEX('Route of Administration'!$C$5:$C$155,MATCH($C180,'Route of Administration'!$A$5:$A$155,0)),"")</f>
        <v>IV</v>
      </c>
      <c r="AD180" s="15" t="str">
        <f aca="false">IFERROR(INDEX('Route of Administration'!$D$5:$D$155,MATCH($C180,'Route of Administration'!$A$5:$A$155,0)),"")</f>
        <v>No</v>
      </c>
      <c r="AE180" s="15" t="str">
        <f aca="false">IF($AD180="No","Not checked – drug is IV only",IFERROR(INDEX('Route of Administration'!$O$5:$O$170,MATCH($E180&amp;"|"&amp;$C180,'Route of Administration'!$S$5:$S$170,0)),"Not checked – price ≤ USD 5"))</f>
        <v>Not checked – drug is IV only</v>
      </c>
    </row>
    <row r="181" customFormat="false" ht="28.35" hidden="false" customHeight="false" outlineLevel="0" collapsed="false">
      <c r="B181" s="16" t="n">
        <v>179</v>
      </c>
      <c r="C181" s="16" t="s">
        <v>401</v>
      </c>
      <c r="D181" s="16" t="s">
        <v>402</v>
      </c>
      <c r="E181" s="16" t="s">
        <v>698</v>
      </c>
      <c r="F181" s="16" t="s">
        <v>1662</v>
      </c>
      <c r="G181" s="17" t="s">
        <v>1928</v>
      </c>
      <c r="H181" s="16" t="s">
        <v>281</v>
      </c>
      <c r="I181" s="18" t="n">
        <v>5.35</v>
      </c>
      <c r="J181" s="16" t="n">
        <v>1</v>
      </c>
      <c r="K181" s="16" t="n">
        <v>78</v>
      </c>
      <c r="L181" s="19" t="n">
        <v>4714.67</v>
      </c>
      <c r="M181" s="17" t="s">
        <v>403</v>
      </c>
      <c r="N181" s="18" t="n">
        <v>5.35</v>
      </c>
      <c r="O181" s="16" t="s">
        <v>1534</v>
      </c>
      <c r="P181" s="16" t="s">
        <v>1535</v>
      </c>
      <c r="Q181" s="17" t="s">
        <v>1536</v>
      </c>
      <c r="R181" s="78" t="s">
        <v>1664</v>
      </c>
      <c r="S181" s="77" t="n">
        <f aca="false">IFERROR(INDEX('Injectable Value'!$Z$28:$Z$178,MATCH($C181,'Injectable Value'!$A$28:$A$178,0)),"")</f>
        <v>0.623015352554995</v>
      </c>
      <c r="T181" s="19" t="n">
        <f aca="false">IFERROR(ROUND(INDEX('Injectable Value'!$AA$28:$AA$178,MATCH($C181,'Injectable Value'!$A$28:$A$178,0)),1),"")</f>
        <v>2937.3</v>
      </c>
      <c r="U181" s="17" t="s">
        <v>284</v>
      </c>
      <c r="V181" s="16" t="n">
        <v>1</v>
      </c>
      <c r="W181" s="16" t="s">
        <v>284</v>
      </c>
      <c r="X181" s="16" t="s">
        <v>281</v>
      </c>
      <c r="Y181" s="16" t="s">
        <v>283</v>
      </c>
      <c r="Z181" s="17" t="str">
        <f aca="false">IFERROR(INDEX(Scoring!$U:$U,MATCH($C181&amp;"|"&amp;$E181,Scoring!$AD:$AD,0)),"")</f>
        <v/>
      </c>
      <c r="AA181" s="16" t="str">
        <f aca="false">IFERROR(INDEX(Scoring!$E:$E,MATCH($C181&amp;"|"&amp;$E181,Scoring!$AD:$AD,0)),"")</f>
        <v>Excluded – IV only</v>
      </c>
      <c r="AB181" s="19" t="n">
        <f aca="false">IFERROR(INDEX(Scoring!$M:$M,MATCH($C181&amp;"|"&amp;$E181,Scoring!$AD:$AD,0)),"")</f>
        <v>49</v>
      </c>
      <c r="AC181" s="16" t="str">
        <f aca="false">IFERROR(INDEX('Route of Administration'!$C$5:$C$155,MATCH($C181,'Route of Administration'!$A$5:$A$155,0)),"")</f>
        <v>IV, IM, SC</v>
      </c>
      <c r="AD181" s="15" t="str">
        <f aca="false">IFERROR(INDEX('Route of Administration'!$D$5:$D$155,MATCH($C181,'Route of Administration'!$A$5:$A$155,0)),"")</f>
        <v>Yes</v>
      </c>
      <c r="AE181" s="15" t="str">
        <f aca="false">IF($AD181="No","Not checked – drug is IV only",IFERROR(INDEX('Route of Administration'!$O$5:$O$170,MATCH($E181&amp;"|"&amp;$C181,'Route of Administration'!$S$5:$S$170,0)),"Not checked – price ≤ USD 5"))</f>
        <v>Fail</v>
      </c>
    </row>
    <row r="182" customFormat="false" ht="28.35" hidden="false" customHeight="false" outlineLevel="0" collapsed="false">
      <c r="B182" s="16" t="n">
        <v>180</v>
      </c>
      <c r="C182" s="16" t="s">
        <v>724</v>
      </c>
      <c r="D182" s="16" t="s">
        <v>1929</v>
      </c>
      <c r="E182" s="16" t="s">
        <v>698</v>
      </c>
      <c r="F182" s="16" t="s">
        <v>1930</v>
      </c>
      <c r="G182" s="17" t="s">
        <v>1931</v>
      </c>
      <c r="H182" s="16" t="s">
        <v>281</v>
      </c>
      <c r="I182" s="18" t="n">
        <v>301.8</v>
      </c>
      <c r="J182" s="16" t="n">
        <v>1</v>
      </c>
      <c r="K182" s="16" t="n">
        <v>42</v>
      </c>
      <c r="L182" s="19" t="n">
        <v>1874.63</v>
      </c>
      <c r="M182" s="17" t="s">
        <v>726</v>
      </c>
      <c r="N182" s="18" t="n">
        <v>301.8</v>
      </c>
      <c r="O182" s="16" t="s">
        <v>1534</v>
      </c>
      <c r="P182" s="16" t="s">
        <v>1535</v>
      </c>
      <c r="Q182" s="17" t="s">
        <v>1536</v>
      </c>
      <c r="R182" s="78" t="s">
        <v>1932</v>
      </c>
      <c r="S182" s="77" t="n">
        <f aca="false">IFERROR(INDEX('Injectable Value'!$Z$28:$Z$178,MATCH($C182,'Injectable Value'!$A$28:$A$178,0)),"")</f>
        <v>1</v>
      </c>
      <c r="T182" s="19" t="n">
        <f aca="false">IFERROR(ROUND(INDEX('Injectable Value'!$AA$28:$AA$178,MATCH($C182,'Injectable Value'!$A$28:$A$178,0)),1),"")</f>
        <v>1874.6</v>
      </c>
      <c r="U182" s="17" t="s">
        <v>729</v>
      </c>
      <c r="V182" s="16" t="n">
        <v>8</v>
      </c>
      <c r="W182" s="16" t="s">
        <v>728</v>
      </c>
      <c r="X182" s="16" t="s">
        <v>281</v>
      </c>
      <c r="Y182" s="16" t="s">
        <v>283</v>
      </c>
      <c r="Z182" s="17" t="str">
        <f aca="false">IFERROR(INDEX(Scoring!$U:$U,MATCH($C182&amp;"|"&amp;$E182,Scoring!$AD:$AD,0)),"")</f>
        <v>Cancer drug (cytotoxic) – less relevant</v>
      </c>
      <c r="AA182" s="16" t="str">
        <f aca="false">IFERROR(INDEX(Scoring!$E:$E,MATCH($C182&amp;"|"&amp;$E182,Scoring!$AD:$AD,0)),"")</f>
        <v>Excluded – IV only</v>
      </c>
      <c r="AB182" s="19" t="n">
        <f aca="false">IFERROR(INDEX(Scoring!$M:$M,MATCH($C182&amp;"|"&amp;$E182,Scoring!$AD:$AD,0)),"")</f>
        <v>42</v>
      </c>
      <c r="AC182" s="16" t="str">
        <f aca="false">IFERROR(INDEX('Route of Administration'!$C$5:$C$155,MATCH($C182,'Route of Administration'!$A$5:$A$155,0)),"")</f>
        <v>IV</v>
      </c>
      <c r="AD182" s="15" t="str">
        <f aca="false">IFERROR(INDEX('Route of Administration'!$D$5:$D$155,MATCH($C182,'Route of Administration'!$A$5:$A$155,0)),"")</f>
        <v>No</v>
      </c>
      <c r="AE182" s="15" t="str">
        <f aca="false">IF($AD182="No","Not checked – drug is IV only",IFERROR(INDEX('Route of Administration'!$O$5:$O$170,MATCH($E182&amp;"|"&amp;$C182,'Route of Administration'!$S$5:$S$170,0)),"Not checked – price ≤ USD 5"))</f>
        <v>Not checked – drug is IV only</v>
      </c>
    </row>
    <row r="183" customFormat="false" ht="28.35" hidden="false" customHeight="false" outlineLevel="0" collapsed="false">
      <c r="B183" s="16" t="n">
        <v>181</v>
      </c>
      <c r="C183" s="16" t="s">
        <v>744</v>
      </c>
      <c r="D183" s="16" t="s">
        <v>745</v>
      </c>
      <c r="E183" s="16" t="s">
        <v>698</v>
      </c>
      <c r="F183" s="16" t="s">
        <v>1933</v>
      </c>
      <c r="G183" s="17" t="s">
        <v>1934</v>
      </c>
      <c r="H183" s="16" t="s">
        <v>1935</v>
      </c>
      <c r="I183" s="18" t="n">
        <v>13.38</v>
      </c>
      <c r="J183" s="16" t="n">
        <v>1</v>
      </c>
      <c r="K183" s="16" t="n">
        <v>236</v>
      </c>
      <c r="L183" s="19" t="n">
        <v>1845.67</v>
      </c>
      <c r="M183" s="17" t="s">
        <v>746</v>
      </c>
      <c r="N183" s="18" t="n">
        <v>13.38</v>
      </c>
      <c r="O183" s="16" t="s">
        <v>1534</v>
      </c>
      <c r="P183" s="16" t="s">
        <v>1535</v>
      </c>
      <c r="Q183" s="17" t="s">
        <v>1536</v>
      </c>
      <c r="R183" s="78" t="s">
        <v>1936</v>
      </c>
      <c r="S183" s="77" t="n">
        <f aca="false">IFERROR(INDEX('Injectable Value'!$Z$28:$Z$178,MATCH($C183,'Injectable Value'!$A$28:$A$178,0)),"")</f>
        <v>0.991758241758242</v>
      </c>
      <c r="T183" s="19" t="n">
        <f aca="false">IFERROR(ROUND(INDEX('Injectable Value'!$AA$28:$AA$178,MATCH($C183,'Injectable Value'!$A$28:$A$178,0)),1),"")</f>
        <v>1830.5</v>
      </c>
      <c r="U183" s="17" t="s">
        <v>284</v>
      </c>
      <c r="V183" s="16" t="n">
        <v>1</v>
      </c>
      <c r="W183" s="16" t="s">
        <v>284</v>
      </c>
      <c r="X183" s="16" t="s">
        <v>291</v>
      </c>
      <c r="Y183" s="16" t="s">
        <v>283</v>
      </c>
      <c r="Z183" s="17" t="str">
        <f aca="false">IFERROR(INDEX(Scoring!$U:$U,MATCH($C183&amp;"|"&amp;$E183,Scoring!$AD:$AD,0)),"")</f>
        <v/>
      </c>
      <c r="AA183" s="16" t="str">
        <f aca="false">IFERROR(INDEX(Scoring!$E:$E,MATCH($C183&amp;"|"&amp;$E183,Scoring!$AD:$AD,0)),"")</f>
        <v>Excluded – IV only</v>
      </c>
      <c r="AB183" s="19" t="n">
        <f aca="false">IFERROR(INDEX(Scoring!$M:$M,MATCH($C183&amp;"|"&amp;$E183,Scoring!$AD:$AD,0)),"")</f>
        <v>234</v>
      </c>
      <c r="AC183" s="16" t="str">
        <f aca="false">IFERROR(INDEX('Route of Administration'!$C$5:$C$155,MATCH($C183,'Route of Administration'!$A$5:$A$155,0)),"")</f>
        <v>IV, SC, IM</v>
      </c>
      <c r="AD183" s="15" t="str">
        <f aca="false">IFERROR(INDEX('Route of Administration'!$D$5:$D$155,MATCH($C183,'Route of Administration'!$A$5:$A$155,0)),"")</f>
        <v>Yes</v>
      </c>
      <c r="AE183" s="15" t="str">
        <f aca="false">IF($AD183="No","Not checked – drug is IV only",IFERROR(INDEX('Route of Administration'!$O$5:$O$170,MATCH($E183&amp;"|"&amp;$C183,'Route of Administration'!$S$5:$S$170,0)),"Not checked – price ≤ USD 5"))</f>
        <v>Fail</v>
      </c>
    </row>
    <row r="184" customFormat="false" ht="28.35" hidden="false" customHeight="false" outlineLevel="0" collapsed="false">
      <c r="B184" s="16" t="n">
        <v>182</v>
      </c>
      <c r="C184" s="16" t="s">
        <v>744</v>
      </c>
      <c r="D184" s="16" t="s">
        <v>745</v>
      </c>
      <c r="E184" s="16" t="s">
        <v>698</v>
      </c>
      <c r="F184" s="16" t="s">
        <v>1937</v>
      </c>
      <c r="G184" s="17" t="s">
        <v>1938</v>
      </c>
      <c r="H184" s="16" t="s">
        <v>281</v>
      </c>
      <c r="I184" s="18" t="n">
        <v>19.55</v>
      </c>
      <c r="J184" s="16" t="n">
        <v>1</v>
      </c>
      <c r="K184" s="16" t="n">
        <v>236</v>
      </c>
      <c r="L184" s="19" t="n">
        <v>1845.67</v>
      </c>
      <c r="M184" s="17" t="s">
        <v>746</v>
      </c>
      <c r="N184" s="18" t="n">
        <v>19.55</v>
      </c>
      <c r="O184" s="16" t="s">
        <v>1534</v>
      </c>
      <c r="P184" s="16" t="s">
        <v>1535</v>
      </c>
      <c r="Q184" s="17" t="s">
        <v>1536</v>
      </c>
      <c r="R184" s="78" t="s">
        <v>1936</v>
      </c>
      <c r="S184" s="77" t="n">
        <f aca="false">IFERROR(INDEX('Injectable Value'!$Z$28:$Z$178,MATCH($C184,'Injectable Value'!$A$28:$A$178,0)),"")</f>
        <v>0.991758241758242</v>
      </c>
      <c r="T184" s="19" t="n">
        <f aca="false">IFERROR(ROUND(INDEX('Injectable Value'!$AA$28:$AA$178,MATCH($C184,'Injectable Value'!$A$28:$A$178,0)),1),"")</f>
        <v>1830.5</v>
      </c>
      <c r="U184" s="17" t="s">
        <v>284</v>
      </c>
      <c r="V184" s="16" t="n">
        <v>1</v>
      </c>
      <c r="W184" s="16" t="s">
        <v>284</v>
      </c>
      <c r="X184" s="16" t="s">
        <v>281</v>
      </c>
      <c r="Y184" s="16" t="s">
        <v>283</v>
      </c>
      <c r="Z184" s="17" t="str">
        <f aca="false">IFERROR(INDEX(Scoring!$U:$U,MATCH($C184&amp;"|"&amp;$E184,Scoring!$AD:$AD,0)),"")</f>
        <v/>
      </c>
      <c r="AA184" s="16" t="str">
        <f aca="false">IFERROR(INDEX(Scoring!$E:$E,MATCH($C184&amp;"|"&amp;$E184,Scoring!$AD:$AD,0)),"")</f>
        <v>Excluded – IV only</v>
      </c>
      <c r="AB184" s="19" t="n">
        <f aca="false">IFERROR(INDEX(Scoring!$M:$M,MATCH($C184&amp;"|"&amp;$E184,Scoring!$AD:$AD,0)),"")</f>
        <v>234</v>
      </c>
      <c r="AC184" s="16" t="str">
        <f aca="false">IFERROR(INDEX('Route of Administration'!$C$5:$C$155,MATCH($C184,'Route of Administration'!$A$5:$A$155,0)),"")</f>
        <v>IV, SC, IM</v>
      </c>
      <c r="AD184" s="15" t="str">
        <f aca="false">IFERROR(INDEX('Route of Administration'!$D$5:$D$155,MATCH($C184,'Route of Administration'!$A$5:$A$155,0)),"")</f>
        <v>Yes</v>
      </c>
      <c r="AE184" s="15" t="str">
        <f aca="false">IF($AD184="No","Not checked – drug is IV only",IFERROR(INDEX('Route of Administration'!$O$5:$O$170,MATCH($E184&amp;"|"&amp;$C184,'Route of Administration'!$S$5:$S$170,0)),"Not checked – price ≤ USD 5"))</f>
        <v>Fail</v>
      </c>
    </row>
    <row r="185" customFormat="false" ht="28.35" hidden="false" customHeight="false" outlineLevel="0" collapsed="false">
      <c r="B185" s="16" t="n">
        <v>183</v>
      </c>
      <c r="C185" s="16" t="s">
        <v>744</v>
      </c>
      <c r="D185" s="16" t="s">
        <v>745</v>
      </c>
      <c r="E185" s="16" t="s">
        <v>698</v>
      </c>
      <c r="F185" s="16" t="s">
        <v>1939</v>
      </c>
      <c r="G185" s="17" t="s">
        <v>1940</v>
      </c>
      <c r="H185" s="16" t="s">
        <v>281</v>
      </c>
      <c r="I185" s="18" t="n">
        <v>20.45</v>
      </c>
      <c r="J185" s="16" t="n">
        <v>1</v>
      </c>
      <c r="K185" s="16" t="n">
        <v>236</v>
      </c>
      <c r="L185" s="19" t="n">
        <v>1845.67</v>
      </c>
      <c r="M185" s="17" t="s">
        <v>746</v>
      </c>
      <c r="N185" s="18" t="n">
        <v>20.45</v>
      </c>
      <c r="O185" s="16" t="s">
        <v>1534</v>
      </c>
      <c r="P185" s="16" t="s">
        <v>1535</v>
      </c>
      <c r="Q185" s="17" t="s">
        <v>1536</v>
      </c>
      <c r="R185" s="78" t="s">
        <v>1936</v>
      </c>
      <c r="S185" s="77" t="n">
        <f aca="false">IFERROR(INDEX('Injectable Value'!$Z$28:$Z$178,MATCH($C185,'Injectable Value'!$A$28:$A$178,0)),"")</f>
        <v>0.991758241758242</v>
      </c>
      <c r="T185" s="19" t="n">
        <f aca="false">IFERROR(ROUND(INDEX('Injectable Value'!$AA$28:$AA$178,MATCH($C185,'Injectable Value'!$A$28:$A$178,0)),1),"")</f>
        <v>1830.5</v>
      </c>
      <c r="U185" s="17" t="s">
        <v>284</v>
      </c>
      <c r="V185" s="16" t="n">
        <v>1</v>
      </c>
      <c r="W185" s="16" t="s">
        <v>284</v>
      </c>
      <c r="X185" s="16" t="s">
        <v>281</v>
      </c>
      <c r="Y185" s="16" t="s">
        <v>283</v>
      </c>
      <c r="Z185" s="17" t="str">
        <f aca="false">IFERROR(INDEX(Scoring!$U:$U,MATCH($C185&amp;"|"&amp;$E185,Scoring!$AD:$AD,0)),"")</f>
        <v/>
      </c>
      <c r="AA185" s="16" t="str">
        <f aca="false">IFERROR(INDEX(Scoring!$E:$E,MATCH($C185&amp;"|"&amp;$E185,Scoring!$AD:$AD,0)),"")</f>
        <v>Excluded – IV only</v>
      </c>
      <c r="AB185" s="19" t="n">
        <f aca="false">IFERROR(INDEX(Scoring!$M:$M,MATCH($C185&amp;"|"&amp;$E185,Scoring!$AD:$AD,0)),"")</f>
        <v>234</v>
      </c>
      <c r="AC185" s="16" t="str">
        <f aca="false">IFERROR(INDEX('Route of Administration'!$C$5:$C$155,MATCH($C185,'Route of Administration'!$A$5:$A$155,0)),"")</f>
        <v>IV, SC, IM</v>
      </c>
      <c r="AD185" s="15" t="str">
        <f aca="false">IFERROR(INDEX('Route of Administration'!$D$5:$D$155,MATCH($C185,'Route of Administration'!$A$5:$A$155,0)),"")</f>
        <v>Yes</v>
      </c>
      <c r="AE185" s="15" t="str">
        <f aca="false">IF($AD185="No","Not checked – drug is IV only",IFERROR(INDEX('Route of Administration'!$O$5:$O$170,MATCH($E185&amp;"|"&amp;$C185,'Route of Administration'!$S$5:$S$170,0)),"Not checked – price ≤ USD 5"))</f>
        <v>Fail</v>
      </c>
    </row>
    <row r="186" customFormat="false" ht="28.35" hidden="false" customHeight="false" outlineLevel="0" collapsed="false">
      <c r="B186" s="16" t="n">
        <v>184</v>
      </c>
      <c r="C186" s="16" t="s">
        <v>552</v>
      </c>
      <c r="D186" s="16" t="s">
        <v>552</v>
      </c>
      <c r="E186" s="16" t="s">
        <v>698</v>
      </c>
      <c r="F186" s="16" t="s">
        <v>1665</v>
      </c>
      <c r="G186" s="17" t="s">
        <v>1941</v>
      </c>
      <c r="H186" s="16" t="s">
        <v>281</v>
      </c>
      <c r="I186" s="18"/>
      <c r="J186" s="16" t="n">
        <v>1</v>
      </c>
      <c r="K186" s="16" t="n">
        <v>9</v>
      </c>
      <c r="L186" s="19" t="n">
        <v>1127.64</v>
      </c>
      <c r="M186" s="17" t="s">
        <v>553</v>
      </c>
      <c r="N186" s="82" t="n">
        <v>10.03</v>
      </c>
      <c r="O186" s="64" t="s">
        <v>1541</v>
      </c>
      <c r="P186" s="16" t="s">
        <v>1535</v>
      </c>
      <c r="Q186" s="17" t="s">
        <v>1542</v>
      </c>
      <c r="R186" s="78" t="s">
        <v>1543</v>
      </c>
      <c r="S186" s="77" t="n">
        <f aca="false">IFERROR(INDEX('Injectable Value'!$Z$28:$Z$178,MATCH($C186,'Injectable Value'!$A$28:$A$178,0)),"")</f>
        <v>1</v>
      </c>
      <c r="T186" s="19" t="n">
        <f aca="false">IFERROR(ROUND(INDEX('Injectable Value'!$AA$28:$AA$178,MATCH($C186,'Injectable Value'!$A$28:$A$178,0)),1),"")</f>
        <v>1127.6</v>
      </c>
      <c r="U186" s="17" t="s">
        <v>284</v>
      </c>
      <c r="V186" s="16" t="n">
        <v>1</v>
      </c>
      <c r="W186" s="16" t="s">
        <v>284</v>
      </c>
      <c r="X186" s="16" t="s">
        <v>291</v>
      </c>
      <c r="Y186" s="16" t="s">
        <v>283</v>
      </c>
      <c r="Z186" s="17" t="str">
        <f aca="false">IFERROR(INDEX(Scoring!$U:$U,MATCH($C186&amp;"|"&amp;$E186,Scoring!$AD:$AD,0)),"")</f>
        <v>Prefilled only</v>
      </c>
      <c r="AA186" s="16" t="str">
        <f aca="false">IFERROR(INDEX(Scoring!$E:$E,MATCH($C186&amp;"|"&amp;$E186,Scoring!$AD:$AD,0)),"")</f>
        <v>Excluded – IV only</v>
      </c>
      <c r="AB186" s="19" t="n">
        <f aca="false">IFERROR(INDEX(Scoring!$M:$M,MATCH($C186&amp;"|"&amp;$E186,Scoring!$AD:$AD,0)),"")</f>
        <v>9</v>
      </c>
      <c r="AC186" s="16" t="str">
        <f aca="false">IFERROR(INDEX('Route of Administration'!$C$5:$C$155,MATCH($C186,'Route of Administration'!$A$5:$A$155,0)),"")</f>
        <v>IV</v>
      </c>
      <c r="AD186" s="15" t="str">
        <f aca="false">IFERROR(INDEX('Route of Administration'!$D$5:$D$155,MATCH($C186,'Route of Administration'!$A$5:$A$155,0)),"")</f>
        <v>No</v>
      </c>
      <c r="AE186" s="15" t="str">
        <f aca="false">IF($AD186="No","Not checked – drug is IV only",IFERROR(INDEX('Route of Administration'!$O$5:$O$170,MATCH($E186&amp;"|"&amp;$C186,'Route of Administration'!$S$5:$S$170,0)),"Not checked – price ≤ USD 5"))</f>
        <v>Not checked – drug is IV only</v>
      </c>
    </row>
    <row r="187" customFormat="false" ht="55.2" hidden="false" customHeight="false" outlineLevel="0" collapsed="false">
      <c r="B187" s="16" t="n">
        <v>185</v>
      </c>
      <c r="C187" s="16" t="s">
        <v>665</v>
      </c>
      <c r="D187" s="16" t="s">
        <v>1504</v>
      </c>
      <c r="E187" s="16" t="s">
        <v>698</v>
      </c>
      <c r="F187" s="16" t="s">
        <v>1942</v>
      </c>
      <c r="G187" s="17" t="s">
        <v>1943</v>
      </c>
      <c r="H187" s="16" t="s">
        <v>281</v>
      </c>
      <c r="I187" s="18" t="n">
        <v>21.78</v>
      </c>
      <c r="J187" s="16" t="n">
        <v>1</v>
      </c>
      <c r="K187" s="16" t="n">
        <v>346</v>
      </c>
      <c r="L187" s="19" t="n">
        <v>32830.17</v>
      </c>
      <c r="M187" s="17" t="s">
        <v>667</v>
      </c>
      <c r="N187" s="18" t="n">
        <v>21.78</v>
      </c>
      <c r="O187" s="16" t="s">
        <v>1534</v>
      </c>
      <c r="P187" s="16" t="s">
        <v>1535</v>
      </c>
      <c r="Q187" s="17" t="s">
        <v>1536</v>
      </c>
      <c r="R187" s="78" t="s">
        <v>1944</v>
      </c>
      <c r="S187" s="77" t="n">
        <f aca="false">IFERROR(INDEX('Injectable Value'!$Z$28:$Z$178,MATCH($C187,'Injectable Value'!$A$28:$A$178,0)),"")</f>
        <v>1</v>
      </c>
      <c r="T187" s="19" t="n">
        <f aca="false">IFERROR(ROUND(INDEX('Injectable Value'!$AA$28:$AA$178,MATCH($C187,'Injectable Value'!$A$28:$A$178,0)),1),"")</f>
        <v>32830.2</v>
      </c>
      <c r="U187" s="17" t="s">
        <v>761</v>
      </c>
      <c r="V187" s="16" t="n">
        <v>21</v>
      </c>
      <c r="W187" s="16" t="s">
        <v>760</v>
      </c>
      <c r="X187" s="16" t="s">
        <v>281</v>
      </c>
      <c r="Y187" s="16" t="s">
        <v>283</v>
      </c>
      <c r="Z187" s="17" t="str">
        <f aca="false">IFERROR(INDEX(Scoring!$U:$U,MATCH($C187&amp;"|"&amp;$E187,Scoring!$AD:$AD,0)),"")</f>
        <v/>
      </c>
      <c r="AA187" s="16" t="str">
        <f aca="false">IFERROR(INDEX(Scoring!$E:$E,MATCH($C187&amp;"|"&amp;$E187,Scoring!$AD:$AD,0)),"")</f>
        <v>Excluded – IV only</v>
      </c>
      <c r="AB187" s="19" t="n">
        <f aca="false">IFERROR(INDEX(Scoring!$M:$M,MATCH($C187&amp;"|"&amp;$E187,Scoring!$AD:$AD,0)),"")</f>
        <v>346</v>
      </c>
      <c r="AC187" s="16" t="str">
        <f aca="false">IFERROR(INDEX('Route of Administration'!$C$5:$C$155,MATCH($C187,'Route of Administration'!$A$5:$A$155,0)),"")</f>
        <v>IV</v>
      </c>
      <c r="AD187" s="15" t="str">
        <f aca="false">IFERROR(INDEX('Route of Administration'!$D$5:$D$155,MATCH($C187,'Route of Administration'!$A$5:$A$155,0)),"")</f>
        <v>No</v>
      </c>
      <c r="AE187" s="15" t="str">
        <f aca="false">IF($AD187="No","Not checked – drug is IV only",IFERROR(INDEX('Route of Administration'!$O$5:$O$170,MATCH($E187&amp;"|"&amp;$C187,'Route of Administration'!$S$5:$S$170,0)),"Not checked – price ≤ USD 5"))</f>
        <v>Not checked – drug is IV only</v>
      </c>
    </row>
    <row r="188" customFormat="false" ht="55.2" hidden="false" customHeight="false" outlineLevel="0" collapsed="false">
      <c r="B188" s="16" t="n">
        <v>186</v>
      </c>
      <c r="C188" s="16" t="s">
        <v>665</v>
      </c>
      <c r="D188" s="16" t="s">
        <v>1504</v>
      </c>
      <c r="E188" s="16" t="s">
        <v>698</v>
      </c>
      <c r="F188" s="16" t="s">
        <v>1945</v>
      </c>
      <c r="G188" s="17" t="s">
        <v>1946</v>
      </c>
      <c r="H188" s="16" t="s">
        <v>281</v>
      </c>
      <c r="I188" s="18" t="n">
        <v>48.28</v>
      </c>
      <c r="J188" s="16" t="n">
        <v>1</v>
      </c>
      <c r="K188" s="16" t="n">
        <v>346</v>
      </c>
      <c r="L188" s="19" t="n">
        <v>32830.17</v>
      </c>
      <c r="M188" s="17" t="s">
        <v>667</v>
      </c>
      <c r="N188" s="18" t="n">
        <v>48.28</v>
      </c>
      <c r="O188" s="16" t="s">
        <v>1534</v>
      </c>
      <c r="P188" s="16" t="s">
        <v>1535</v>
      </c>
      <c r="Q188" s="17" t="s">
        <v>1536</v>
      </c>
      <c r="R188" s="78" t="s">
        <v>1944</v>
      </c>
      <c r="S188" s="77" t="n">
        <f aca="false">IFERROR(INDEX('Injectable Value'!$Z$28:$Z$178,MATCH($C188,'Injectable Value'!$A$28:$A$178,0)),"")</f>
        <v>1</v>
      </c>
      <c r="T188" s="19" t="n">
        <f aca="false">IFERROR(ROUND(INDEX('Injectable Value'!$AA$28:$AA$178,MATCH($C188,'Injectable Value'!$A$28:$A$178,0)),1),"")</f>
        <v>32830.2</v>
      </c>
      <c r="U188" s="17" t="s">
        <v>761</v>
      </c>
      <c r="V188" s="16" t="n">
        <v>21</v>
      </c>
      <c r="W188" s="16" t="s">
        <v>760</v>
      </c>
      <c r="X188" s="16" t="s">
        <v>281</v>
      </c>
      <c r="Y188" s="16" t="s">
        <v>283</v>
      </c>
      <c r="Z188" s="17" t="str">
        <f aca="false">IFERROR(INDEX(Scoring!$U:$U,MATCH($C188&amp;"|"&amp;$E188,Scoring!$AD:$AD,0)),"")</f>
        <v/>
      </c>
      <c r="AA188" s="16" t="str">
        <f aca="false">IFERROR(INDEX(Scoring!$E:$E,MATCH($C188&amp;"|"&amp;$E188,Scoring!$AD:$AD,0)),"")</f>
        <v>Excluded – IV only</v>
      </c>
      <c r="AB188" s="19" t="n">
        <f aca="false">IFERROR(INDEX(Scoring!$M:$M,MATCH($C188&amp;"|"&amp;$E188,Scoring!$AD:$AD,0)),"")</f>
        <v>346</v>
      </c>
      <c r="AC188" s="16" t="str">
        <f aca="false">IFERROR(INDEX('Route of Administration'!$C$5:$C$155,MATCH($C188,'Route of Administration'!$A$5:$A$155,0)),"")</f>
        <v>IV</v>
      </c>
      <c r="AD188" s="15" t="str">
        <f aca="false">IFERROR(INDEX('Route of Administration'!$D$5:$D$155,MATCH($C188,'Route of Administration'!$A$5:$A$155,0)),"")</f>
        <v>No</v>
      </c>
      <c r="AE188" s="15" t="str">
        <f aca="false">IF($AD188="No","Not checked – drug is IV only",IFERROR(INDEX('Route of Administration'!$O$5:$O$170,MATCH($E188&amp;"|"&amp;$C188,'Route of Administration'!$S$5:$S$170,0)),"Not checked – price ≤ USD 5"))</f>
        <v>Not checked – drug is IV only</v>
      </c>
    </row>
    <row r="189" customFormat="false" ht="28.35" hidden="false" customHeight="false" outlineLevel="0" collapsed="false">
      <c r="B189" s="16" t="n">
        <v>187</v>
      </c>
      <c r="C189" s="16" t="s">
        <v>541</v>
      </c>
      <c r="D189" s="16" t="s">
        <v>541</v>
      </c>
      <c r="E189" s="16" t="s">
        <v>698</v>
      </c>
      <c r="F189" s="16" t="s">
        <v>1676</v>
      </c>
      <c r="G189" s="17" t="s">
        <v>1677</v>
      </c>
      <c r="H189" s="16" t="s">
        <v>1533</v>
      </c>
      <c r="I189" s="18" t="n">
        <v>343.8</v>
      </c>
      <c r="J189" s="16" t="n">
        <v>1</v>
      </c>
      <c r="K189" s="16" t="n">
        <v>47</v>
      </c>
      <c r="L189" s="19" t="n">
        <v>7904.67</v>
      </c>
      <c r="M189" s="17" t="s">
        <v>543</v>
      </c>
      <c r="N189" s="18" t="n">
        <v>343.8</v>
      </c>
      <c r="O189" s="16" t="s">
        <v>1534</v>
      </c>
      <c r="P189" s="16" t="s">
        <v>1535</v>
      </c>
      <c r="Q189" s="17" t="s">
        <v>1536</v>
      </c>
      <c r="R189" s="78" t="s">
        <v>1678</v>
      </c>
      <c r="S189" s="77" t="n">
        <f aca="false">IFERROR(INDEX('Injectable Value'!$Z$28:$Z$178,MATCH($C189,'Injectable Value'!$A$28:$A$178,0)),"")</f>
        <v>1</v>
      </c>
      <c r="T189" s="19" t="n">
        <f aca="false">IFERROR(ROUND(INDEX('Injectable Value'!$AA$28:$AA$178,MATCH($C189,'Injectable Value'!$A$28:$A$178,0)),1),"")</f>
        <v>7904.7</v>
      </c>
      <c r="U189" s="17" t="s">
        <v>284</v>
      </c>
      <c r="V189" s="16" t="n">
        <v>1</v>
      </c>
      <c r="W189" s="16" t="s">
        <v>284</v>
      </c>
      <c r="X189" s="16" t="s">
        <v>281</v>
      </c>
      <c r="Y189" s="16" t="s">
        <v>283</v>
      </c>
      <c r="Z189" s="17" t="str">
        <f aca="false">IFERROR(INDEX(Scoring!$U:$U,MATCH($C189&amp;"|"&amp;$E189,Scoring!$AD:$AD,0)),"")</f>
        <v/>
      </c>
      <c r="AA189" s="16" t="str">
        <f aca="false">IFERROR(INDEX(Scoring!$E:$E,MATCH($C189&amp;"|"&amp;$E189,Scoring!$AD:$AD,0)),"")</f>
        <v>Priority 2</v>
      </c>
      <c r="AB189" s="19" t="n">
        <f aca="false">IFERROR(INDEX(Scoring!$M:$M,MATCH($C189&amp;"|"&amp;$E189,Scoring!$AD:$AD,0)),"")</f>
        <v>47</v>
      </c>
      <c r="AC189" s="16" t="str">
        <f aca="false">IFERROR(INDEX('Route of Administration'!$C$5:$C$155,MATCH($C189,'Route of Administration'!$A$5:$A$155,0)),"")</f>
        <v>SC</v>
      </c>
      <c r="AD189" s="15" t="str">
        <f aca="false">IFERROR(INDEX('Route of Administration'!$D$5:$D$155,MATCH($C189,'Route of Administration'!$A$5:$A$155,0)),"")</f>
        <v>Yes</v>
      </c>
      <c r="AE189" s="15" t="str">
        <f aca="false">IF($AD189="No","Not checked – drug is IV only",IFERROR(INDEX('Route of Administration'!$O$5:$O$170,MATCH($E189&amp;"|"&amp;$C189,'Route of Administration'!$S$5:$S$170,0)),"Not checked – price ≤ USD 5"))</f>
        <v>Pass</v>
      </c>
    </row>
    <row r="190" customFormat="false" ht="41.75" hidden="false" customHeight="false" outlineLevel="0" collapsed="false">
      <c r="B190" s="16" t="n">
        <v>188</v>
      </c>
      <c r="C190" s="16" t="s">
        <v>338</v>
      </c>
      <c r="D190" s="16" t="s">
        <v>1947</v>
      </c>
      <c r="E190" s="16" t="s">
        <v>698</v>
      </c>
      <c r="F190" s="16" t="s">
        <v>1680</v>
      </c>
      <c r="G190" s="17" t="s">
        <v>1681</v>
      </c>
      <c r="H190" s="16" t="s">
        <v>1533</v>
      </c>
      <c r="I190" s="18" t="n">
        <v>1007.87</v>
      </c>
      <c r="J190" s="16" t="n">
        <v>1</v>
      </c>
      <c r="K190" s="16" t="n">
        <v>905</v>
      </c>
      <c r="L190" s="19" t="n">
        <v>28093.38</v>
      </c>
      <c r="M190" s="17" t="s">
        <v>340</v>
      </c>
      <c r="N190" s="18" t="n">
        <v>1007.87</v>
      </c>
      <c r="O190" s="16" t="s">
        <v>1534</v>
      </c>
      <c r="P190" s="16" t="s">
        <v>1700</v>
      </c>
      <c r="Q190" s="17" t="s">
        <v>1536</v>
      </c>
      <c r="R190" s="78" t="s">
        <v>1948</v>
      </c>
      <c r="S190" s="77" t="n">
        <f aca="false">IFERROR(INDEX('Injectable Value'!$Z$28:$Z$178,MATCH($C190,'Injectable Value'!$A$28:$A$178,0)),"")</f>
        <v>1</v>
      </c>
      <c r="T190" s="19" t="n">
        <f aca="false">IFERROR(ROUND(INDEX('Injectable Value'!$AA$28:$AA$178,MATCH($C190,'Injectable Value'!$A$28:$A$178,0)),1),"")</f>
        <v>28093.4</v>
      </c>
      <c r="U190" s="17" t="s">
        <v>706</v>
      </c>
      <c r="V190" s="16" t="n">
        <v>18</v>
      </c>
      <c r="W190" s="16" t="s">
        <v>705</v>
      </c>
      <c r="X190" s="16" t="s">
        <v>281</v>
      </c>
      <c r="Y190" s="16" t="s">
        <v>333</v>
      </c>
      <c r="Z190" s="17" t="str">
        <f aca="false">IFERROR(INDEX(Scoring!$U:$U,MATCH($C190&amp;"|"&amp;$E190,Scoring!$AD:$AD,0)),"")</f>
        <v>Cancer drug (cytotoxic) – less relevant; Reconstitution</v>
      </c>
      <c r="AA190" s="16" t="str">
        <f aca="false">IFERROR(INDEX(Scoring!$E:$E,MATCH($C190&amp;"|"&amp;$E190,Scoring!$AD:$AD,0)),"")</f>
        <v>Priority 1</v>
      </c>
      <c r="AB190" s="19" t="n">
        <f aca="false">IFERROR(INDEX(Scoring!$M:$M,MATCH($C190&amp;"|"&amp;$E190,Scoring!$AD:$AD,0)),"")</f>
        <v>905</v>
      </c>
      <c r="AC190" s="16" t="str">
        <f aca="false">IFERROR(INDEX('Route of Administration'!$C$5:$C$155,MATCH($C190,'Route of Administration'!$A$5:$A$155,0)),"")</f>
        <v>IV, SC</v>
      </c>
      <c r="AD190" s="15" t="str">
        <f aca="false">IFERROR(INDEX('Route of Administration'!$D$5:$D$155,MATCH($C190,'Route of Administration'!$A$5:$A$155,0)),"")</f>
        <v>Yes</v>
      </c>
      <c r="AE190" s="15" t="str">
        <f aca="false">IF($AD190="No","Not checked – drug is IV only",IFERROR(INDEX('Route of Administration'!$O$5:$O$170,MATCH($E190&amp;"|"&amp;$C190,'Route of Administration'!$S$5:$S$170,0)),"Not checked – price ≤ USD 5"))</f>
        <v>Pass</v>
      </c>
    </row>
    <row r="191" customFormat="false" ht="41.75" hidden="false" customHeight="false" outlineLevel="0" collapsed="false">
      <c r="B191" s="16" t="n">
        <v>189</v>
      </c>
      <c r="C191" s="16" t="s">
        <v>388</v>
      </c>
      <c r="D191" s="16" t="s">
        <v>1949</v>
      </c>
      <c r="E191" s="16" t="s">
        <v>698</v>
      </c>
      <c r="F191" s="16" t="s">
        <v>1837</v>
      </c>
      <c r="G191" s="17" t="s">
        <v>1717</v>
      </c>
      <c r="H191" s="16" t="s">
        <v>1533</v>
      </c>
      <c r="I191" s="18" t="n">
        <v>81.96</v>
      </c>
      <c r="J191" s="16" t="n">
        <v>1</v>
      </c>
      <c r="K191" s="16" t="n">
        <v>312</v>
      </c>
      <c r="L191" s="19" t="n">
        <v>59827.18</v>
      </c>
      <c r="M191" s="17" t="s">
        <v>390</v>
      </c>
      <c r="N191" s="18" t="n">
        <v>81.96</v>
      </c>
      <c r="O191" s="16" t="s">
        <v>1534</v>
      </c>
      <c r="P191" s="16" t="s">
        <v>1700</v>
      </c>
      <c r="Q191" s="17" t="s">
        <v>1536</v>
      </c>
      <c r="R191" s="78" t="s">
        <v>1950</v>
      </c>
      <c r="S191" s="77" t="n">
        <f aca="false">IFERROR(INDEX('Injectable Value'!$Z$28:$Z$178,MATCH($C191,'Injectable Value'!$A$28:$A$178,0)),"")</f>
        <v>1</v>
      </c>
      <c r="T191" s="19" t="n">
        <f aca="false">IFERROR(ROUND(INDEX('Injectable Value'!$AA$28:$AA$178,MATCH($C191,'Injectable Value'!$A$28:$A$178,0)),1),"")</f>
        <v>59827.2</v>
      </c>
      <c r="U191" s="17" t="s">
        <v>717</v>
      </c>
      <c r="V191" s="16" t="n">
        <v>15</v>
      </c>
      <c r="W191" s="16" t="s">
        <v>716</v>
      </c>
      <c r="X191" s="16" t="s">
        <v>281</v>
      </c>
      <c r="Y191" s="16" t="s">
        <v>333</v>
      </c>
      <c r="Z191" s="17" t="str">
        <f aca="false">IFERROR(INDEX(Scoring!$U:$U,MATCH($C191&amp;"|"&amp;$E191,Scoring!$AD:$AD,0)),"")</f>
        <v>Reconstitution</v>
      </c>
      <c r="AA191" s="16" t="str">
        <f aca="false">IFERROR(INDEX(Scoring!$E:$E,MATCH($C191&amp;"|"&amp;$E191,Scoring!$AD:$AD,0)),"")</f>
        <v>Excluded – IV only</v>
      </c>
      <c r="AB191" s="19" t="n">
        <f aca="false">IFERROR(INDEX(Scoring!$M:$M,MATCH($C191&amp;"|"&amp;$E191,Scoring!$AD:$AD,0)),"")</f>
        <v>312</v>
      </c>
      <c r="AC191" s="16" t="str">
        <f aca="false">IFERROR(INDEX('Route of Administration'!$C$5:$C$155,MATCH($C191,'Route of Administration'!$A$5:$A$155,0)),"")</f>
        <v>IV</v>
      </c>
      <c r="AD191" s="15" t="str">
        <f aca="false">IFERROR(INDEX('Route of Administration'!$D$5:$D$155,MATCH($C191,'Route of Administration'!$A$5:$A$155,0)),"")</f>
        <v>No</v>
      </c>
      <c r="AE191" s="15" t="str">
        <f aca="false">IF($AD191="No","Not checked – drug is IV only",IFERROR(INDEX('Route of Administration'!$O$5:$O$170,MATCH($E191&amp;"|"&amp;$C191,'Route of Administration'!$S$5:$S$170,0)),"Not checked – price ≤ USD 5"))</f>
        <v>Not checked – drug is IV only</v>
      </c>
    </row>
    <row r="192" customFormat="false" ht="41.75" hidden="false" customHeight="false" outlineLevel="0" collapsed="false">
      <c r="B192" s="16" t="n">
        <v>190</v>
      </c>
      <c r="C192" s="16" t="s">
        <v>295</v>
      </c>
      <c r="D192" s="16" t="s">
        <v>1951</v>
      </c>
      <c r="E192" s="16" t="s">
        <v>698</v>
      </c>
      <c r="F192" s="16" t="s">
        <v>1683</v>
      </c>
      <c r="G192" s="17" t="s">
        <v>1684</v>
      </c>
      <c r="H192" s="16" t="s">
        <v>1540</v>
      </c>
      <c r="I192" s="18" t="n">
        <v>345.31</v>
      </c>
      <c r="J192" s="16" t="n">
        <v>1</v>
      </c>
      <c r="K192" s="16" t="n">
        <v>146</v>
      </c>
      <c r="L192" s="19" t="n">
        <v>11366.06</v>
      </c>
      <c r="M192" s="17" t="s">
        <v>296</v>
      </c>
      <c r="N192" s="18" t="n">
        <v>345.31</v>
      </c>
      <c r="O192" s="16" t="s">
        <v>1534</v>
      </c>
      <c r="P192" s="16" t="s">
        <v>1700</v>
      </c>
      <c r="Q192" s="17" t="s">
        <v>1536</v>
      </c>
      <c r="R192" s="78" t="s">
        <v>1952</v>
      </c>
      <c r="S192" s="77" t="n">
        <f aca="false">IFERROR(INDEX('Injectable Value'!$Z$28:$Z$178,MATCH($C192,'Injectable Value'!$A$28:$A$178,0)),"")</f>
        <v>1</v>
      </c>
      <c r="T192" s="19" t="n">
        <f aca="false">IFERROR(ROUND(INDEX('Injectable Value'!$AA$28:$AA$178,MATCH($C192,'Injectable Value'!$A$28:$A$178,0)),1),"")</f>
        <v>11366.1</v>
      </c>
      <c r="U192" s="17" t="s">
        <v>739</v>
      </c>
      <c r="V192" s="16" t="n">
        <v>14</v>
      </c>
      <c r="W192" s="16" t="s">
        <v>738</v>
      </c>
      <c r="X192" s="16" t="s">
        <v>291</v>
      </c>
      <c r="Y192" s="16" t="s">
        <v>283</v>
      </c>
      <c r="Z192" s="17" t="str">
        <f aca="false">IFERROR(INDEX(Scoring!$U:$U,MATCH($C192&amp;"|"&amp;$E192,Scoring!$AD:$AD,0)),"")</f>
        <v>Prefilled only</v>
      </c>
      <c r="AA192" s="16" t="str">
        <f aca="false">IFERROR(INDEX(Scoring!$E:$E,MATCH($C192&amp;"|"&amp;$E192,Scoring!$AD:$AD,0)),"")</f>
        <v>Priority 1</v>
      </c>
      <c r="AB192" s="19" t="n">
        <f aca="false">IFERROR(INDEX(Scoring!$M:$M,MATCH($C192&amp;"|"&amp;$E192,Scoring!$AD:$AD,0)),"")</f>
        <v>146</v>
      </c>
      <c r="AC192" s="16" t="str">
        <f aca="false">IFERROR(INDEX('Route of Administration'!$C$5:$C$155,MATCH($C192,'Route of Administration'!$A$5:$A$155,0)),"")</f>
        <v>IM</v>
      </c>
      <c r="AD192" s="15" t="str">
        <f aca="false">IFERROR(INDEX('Route of Administration'!$D$5:$D$155,MATCH($C192,'Route of Administration'!$A$5:$A$155,0)),"")</f>
        <v>Yes</v>
      </c>
      <c r="AE192" s="15" t="str">
        <f aca="false">IF($AD192="No","Not checked – drug is IV only",IFERROR(INDEX('Route of Administration'!$O$5:$O$170,MATCH($E192&amp;"|"&amp;$C192,'Route of Administration'!$S$5:$S$170,0)),"Not checked – price ≤ USD 5"))</f>
        <v>Pass</v>
      </c>
    </row>
    <row r="193" customFormat="false" ht="55.2" hidden="false" customHeight="false" outlineLevel="0" collapsed="false">
      <c r="B193" s="16" t="n">
        <v>191</v>
      </c>
      <c r="C193" s="16" t="s">
        <v>665</v>
      </c>
      <c r="D193" s="16" t="s">
        <v>665</v>
      </c>
      <c r="E193" s="16" t="s">
        <v>698</v>
      </c>
      <c r="F193" s="16" t="s">
        <v>1762</v>
      </c>
      <c r="G193" s="17" t="s">
        <v>1887</v>
      </c>
      <c r="H193" s="16" t="s">
        <v>1533</v>
      </c>
      <c r="I193" s="18" t="n">
        <v>78.84</v>
      </c>
      <c r="J193" s="16" t="n">
        <v>1</v>
      </c>
      <c r="K193" s="16" t="n">
        <v>346</v>
      </c>
      <c r="L193" s="19" t="n">
        <v>32830.17</v>
      </c>
      <c r="M193" s="17" t="s">
        <v>667</v>
      </c>
      <c r="N193" s="18" t="n">
        <v>78.84</v>
      </c>
      <c r="O193" s="16" t="s">
        <v>1534</v>
      </c>
      <c r="P193" s="16" t="s">
        <v>1700</v>
      </c>
      <c r="Q193" s="17" t="s">
        <v>1536</v>
      </c>
      <c r="R193" s="78" t="s">
        <v>1953</v>
      </c>
      <c r="S193" s="77" t="n">
        <f aca="false">IFERROR(INDEX('Injectable Value'!$Z$28:$Z$178,MATCH($C193,'Injectable Value'!$A$28:$A$178,0)),"")</f>
        <v>1</v>
      </c>
      <c r="T193" s="19" t="n">
        <f aca="false">IFERROR(ROUND(INDEX('Injectable Value'!$AA$28:$AA$178,MATCH($C193,'Injectable Value'!$A$28:$A$178,0)),1),"")</f>
        <v>32830.2</v>
      </c>
      <c r="U193" s="17" t="s">
        <v>761</v>
      </c>
      <c r="V193" s="16" t="n">
        <v>21</v>
      </c>
      <c r="W193" s="16" t="s">
        <v>760</v>
      </c>
      <c r="X193" s="16" t="s">
        <v>281</v>
      </c>
      <c r="Y193" s="16" t="s">
        <v>283</v>
      </c>
      <c r="Z193" s="17" t="str">
        <f aca="false">IFERROR(INDEX(Scoring!$U:$U,MATCH($C193&amp;"|"&amp;$E193,Scoring!$AD:$AD,0)),"")</f>
        <v/>
      </c>
      <c r="AA193" s="16" t="str">
        <f aca="false">IFERROR(INDEX(Scoring!$E:$E,MATCH($C193&amp;"|"&amp;$E193,Scoring!$AD:$AD,0)),"")</f>
        <v>Excluded – IV only</v>
      </c>
      <c r="AB193" s="19" t="n">
        <f aca="false">IFERROR(INDEX(Scoring!$M:$M,MATCH($C193&amp;"|"&amp;$E193,Scoring!$AD:$AD,0)),"")</f>
        <v>346</v>
      </c>
      <c r="AC193" s="16" t="str">
        <f aca="false">IFERROR(INDEX('Route of Administration'!$C$5:$C$155,MATCH($C193,'Route of Administration'!$A$5:$A$155,0)),"")</f>
        <v>IV</v>
      </c>
      <c r="AD193" s="15" t="str">
        <f aca="false">IFERROR(INDEX('Route of Administration'!$D$5:$D$155,MATCH($C193,'Route of Administration'!$A$5:$A$155,0)),"")</f>
        <v>No</v>
      </c>
      <c r="AE193" s="15" t="str">
        <f aca="false">IF($AD193="No","Not checked – drug is IV only",IFERROR(INDEX('Route of Administration'!$O$5:$O$170,MATCH($E193&amp;"|"&amp;$C193,'Route of Administration'!$S$5:$S$170,0)),"Not checked – price ≤ USD 5"))</f>
        <v>Not checked – drug is IV only</v>
      </c>
    </row>
    <row r="194" customFormat="false" ht="28.35" hidden="false" customHeight="false" outlineLevel="0" collapsed="false">
      <c r="B194" s="16" t="n">
        <v>192</v>
      </c>
      <c r="C194" s="16" t="s">
        <v>724</v>
      </c>
      <c r="D194" s="16" t="s">
        <v>724</v>
      </c>
      <c r="E194" s="16" t="s">
        <v>698</v>
      </c>
      <c r="F194" s="16" t="s">
        <v>1954</v>
      </c>
      <c r="G194" s="17" t="s">
        <v>1955</v>
      </c>
      <c r="H194" s="16" t="s">
        <v>1533</v>
      </c>
      <c r="I194" s="18" t="n">
        <v>429.52</v>
      </c>
      <c r="J194" s="16" t="n">
        <v>1</v>
      </c>
      <c r="K194" s="16" t="n">
        <v>42</v>
      </c>
      <c r="L194" s="19" t="n">
        <v>1874.63</v>
      </c>
      <c r="M194" s="17" t="s">
        <v>726</v>
      </c>
      <c r="N194" s="18" t="n">
        <v>429.52</v>
      </c>
      <c r="O194" s="16" t="s">
        <v>1534</v>
      </c>
      <c r="P194" s="16" t="s">
        <v>1700</v>
      </c>
      <c r="Q194" s="17" t="s">
        <v>1536</v>
      </c>
      <c r="R194" s="78" t="s">
        <v>1956</v>
      </c>
      <c r="S194" s="77" t="n">
        <f aca="false">IFERROR(INDEX('Injectable Value'!$Z$28:$Z$178,MATCH($C194,'Injectable Value'!$A$28:$A$178,0)),"")</f>
        <v>1</v>
      </c>
      <c r="T194" s="19" t="n">
        <f aca="false">IFERROR(ROUND(INDEX('Injectable Value'!$AA$28:$AA$178,MATCH($C194,'Injectable Value'!$A$28:$A$178,0)),1),"")</f>
        <v>1874.6</v>
      </c>
      <c r="U194" s="17" t="s">
        <v>729</v>
      </c>
      <c r="V194" s="16" t="n">
        <v>8</v>
      </c>
      <c r="W194" s="16" t="s">
        <v>728</v>
      </c>
      <c r="X194" s="16" t="s">
        <v>281</v>
      </c>
      <c r="Y194" s="16" t="s">
        <v>283</v>
      </c>
      <c r="Z194" s="17" t="str">
        <f aca="false">IFERROR(INDEX(Scoring!$U:$U,MATCH($C194&amp;"|"&amp;$E194,Scoring!$AD:$AD,0)),"")</f>
        <v>Cancer drug (cytotoxic) – less relevant</v>
      </c>
      <c r="AA194" s="16" t="str">
        <f aca="false">IFERROR(INDEX(Scoring!$E:$E,MATCH($C194&amp;"|"&amp;$E194,Scoring!$AD:$AD,0)),"")</f>
        <v>Excluded – IV only</v>
      </c>
      <c r="AB194" s="19" t="n">
        <f aca="false">IFERROR(INDEX(Scoring!$M:$M,MATCH($C194&amp;"|"&amp;$E194,Scoring!$AD:$AD,0)),"")</f>
        <v>42</v>
      </c>
      <c r="AC194" s="16" t="str">
        <f aca="false">IFERROR(INDEX('Route of Administration'!$C$5:$C$155,MATCH($C194,'Route of Administration'!$A$5:$A$155,0)),"")</f>
        <v>IV</v>
      </c>
      <c r="AD194" s="15" t="str">
        <f aca="false">IFERROR(INDEX('Route of Administration'!$D$5:$D$155,MATCH($C194,'Route of Administration'!$A$5:$A$155,0)),"")</f>
        <v>No</v>
      </c>
      <c r="AE194" s="15" t="str">
        <f aca="false">IF($AD194="No","Not checked – drug is IV only",IFERROR(INDEX('Route of Administration'!$O$5:$O$170,MATCH($E194&amp;"|"&amp;$C194,'Route of Administration'!$S$5:$S$170,0)),"Not checked – price ≤ USD 5"))</f>
        <v>Not checked – drug is IV only</v>
      </c>
    </row>
    <row r="195" customFormat="false" ht="95.5" hidden="false" customHeight="false" outlineLevel="0" collapsed="false">
      <c r="B195" s="16" t="n">
        <v>193</v>
      </c>
      <c r="C195" s="16" t="s">
        <v>329</v>
      </c>
      <c r="D195" s="16" t="s">
        <v>1957</v>
      </c>
      <c r="E195" s="16" t="s">
        <v>698</v>
      </c>
      <c r="F195" s="16" t="s">
        <v>1689</v>
      </c>
      <c r="G195" s="17" t="s">
        <v>1693</v>
      </c>
      <c r="H195" s="16" t="s">
        <v>1533</v>
      </c>
      <c r="I195" s="18" t="n">
        <v>360.71</v>
      </c>
      <c r="J195" s="16" t="n">
        <v>1</v>
      </c>
      <c r="K195" s="16" t="n">
        <v>762</v>
      </c>
      <c r="L195" s="19" t="n">
        <v>50865.56</v>
      </c>
      <c r="M195" s="17" t="s">
        <v>331</v>
      </c>
      <c r="N195" s="18" t="n">
        <v>360.71</v>
      </c>
      <c r="O195" s="16" t="s">
        <v>1534</v>
      </c>
      <c r="P195" s="16" t="s">
        <v>1535</v>
      </c>
      <c r="Q195" s="17" t="s">
        <v>1536</v>
      </c>
      <c r="R195" s="78" t="s">
        <v>1691</v>
      </c>
      <c r="S195" s="77" t="n">
        <f aca="false">IFERROR(INDEX('Injectable Value'!$Z$28:$Z$178,MATCH($C195,'Injectable Value'!$A$28:$A$178,0)),"")</f>
        <v>0.829278792417718</v>
      </c>
      <c r="T195" s="19" t="n">
        <f aca="false">IFERROR(ROUND(INDEX('Injectable Value'!$AA$28:$AA$178,MATCH($C195,'Injectable Value'!$A$28:$A$178,0)),1),"")</f>
        <v>42181.7</v>
      </c>
      <c r="U195" s="17" t="s">
        <v>696</v>
      </c>
      <c r="V195" s="16" t="n">
        <v>34</v>
      </c>
      <c r="W195" s="16" t="s">
        <v>695</v>
      </c>
      <c r="X195" s="16" t="s">
        <v>281</v>
      </c>
      <c r="Y195" s="16" t="s">
        <v>310</v>
      </c>
      <c r="Z195" s="17" t="str">
        <f aca="false">IFERROR(INDEX(Scoring!$U:$U,MATCH($C195&amp;"|"&amp;$E195,Scoring!$AD:$AD,0)),"")</f>
        <v>Cancer drug (cytotoxic) – less relevant; Reconstitution</v>
      </c>
      <c r="AA195" s="16" t="str">
        <f aca="false">IFERROR(INDEX(Scoring!$E:$E,MATCH($C195&amp;"|"&amp;$E195,Scoring!$AD:$AD,0)),"")</f>
        <v>Priority 1</v>
      </c>
      <c r="AB195" s="19" t="n">
        <f aca="false">IFERROR(INDEX(Scoring!$M:$M,MATCH($C195&amp;"|"&amp;$E195,Scoring!$AD:$AD,0)),"")</f>
        <v>632</v>
      </c>
      <c r="AC195" s="16" t="str">
        <f aca="false">IFERROR(INDEX('Route of Administration'!$C$5:$C$155,MATCH($C195,'Route of Administration'!$A$5:$A$155,0)),"")</f>
        <v>IV, SC</v>
      </c>
      <c r="AD195" s="15" t="str">
        <f aca="false">IFERROR(INDEX('Route of Administration'!$D$5:$D$155,MATCH($C195,'Route of Administration'!$A$5:$A$155,0)),"")</f>
        <v>Yes</v>
      </c>
      <c r="AE195" s="15" t="str">
        <f aca="false">IF($AD195="No","Not checked – drug is IV only",IFERROR(INDEX('Route of Administration'!$O$5:$O$170,MATCH($E195&amp;"|"&amp;$C195,'Route of Administration'!$S$5:$S$170,0)),"Not checked – price ≤ USD 5"))</f>
        <v>Pass</v>
      </c>
    </row>
    <row r="196" customFormat="false" ht="95.5" hidden="false" customHeight="false" outlineLevel="0" collapsed="false">
      <c r="B196" s="16" t="n">
        <v>194</v>
      </c>
      <c r="C196" s="16" t="s">
        <v>329</v>
      </c>
      <c r="D196" s="16" t="s">
        <v>1957</v>
      </c>
      <c r="E196" s="16" t="s">
        <v>698</v>
      </c>
      <c r="F196" s="16" t="s">
        <v>1699</v>
      </c>
      <c r="G196" s="17" t="s">
        <v>1690</v>
      </c>
      <c r="H196" s="16" t="s">
        <v>1533</v>
      </c>
      <c r="I196" s="18" t="n">
        <v>397.421</v>
      </c>
      <c r="J196" s="16" t="n">
        <v>30</v>
      </c>
      <c r="K196" s="16" t="n">
        <v>762</v>
      </c>
      <c r="L196" s="19" t="n">
        <v>50865.56</v>
      </c>
      <c r="M196" s="17" t="s">
        <v>331</v>
      </c>
      <c r="N196" s="18" t="n">
        <v>397.421</v>
      </c>
      <c r="O196" s="16" t="s">
        <v>1534</v>
      </c>
      <c r="P196" s="16" t="s">
        <v>1700</v>
      </c>
      <c r="Q196" s="17" t="s">
        <v>1536</v>
      </c>
      <c r="R196" s="78" t="s">
        <v>1701</v>
      </c>
      <c r="S196" s="77" t="n">
        <f aca="false">IFERROR(INDEX('Injectable Value'!$Z$28:$Z$178,MATCH($C196,'Injectable Value'!$A$28:$A$178,0)),"")</f>
        <v>0.829278792417718</v>
      </c>
      <c r="T196" s="19" t="n">
        <f aca="false">IFERROR(ROUND(INDEX('Injectable Value'!$AA$28:$AA$178,MATCH($C196,'Injectable Value'!$A$28:$A$178,0)),1),"")</f>
        <v>42181.7</v>
      </c>
      <c r="U196" s="17" t="s">
        <v>696</v>
      </c>
      <c r="V196" s="16" t="n">
        <v>34</v>
      </c>
      <c r="W196" s="16" t="s">
        <v>695</v>
      </c>
      <c r="X196" s="16" t="s">
        <v>281</v>
      </c>
      <c r="Y196" s="16" t="s">
        <v>333</v>
      </c>
      <c r="Z196" s="17" t="str">
        <f aca="false">IFERROR(INDEX(Scoring!$U:$U,MATCH($C196&amp;"|"&amp;$E196,Scoring!$AD:$AD,0)),"")</f>
        <v>Cancer drug (cytotoxic) – less relevant; Reconstitution</v>
      </c>
      <c r="AA196" s="16" t="str">
        <f aca="false">IFERROR(INDEX(Scoring!$E:$E,MATCH($C196&amp;"|"&amp;$E196,Scoring!$AD:$AD,0)),"")</f>
        <v>Priority 1</v>
      </c>
      <c r="AB196" s="19" t="n">
        <f aca="false">IFERROR(INDEX(Scoring!$M:$M,MATCH($C196&amp;"|"&amp;$E196,Scoring!$AD:$AD,0)),"")</f>
        <v>632</v>
      </c>
      <c r="AC196" s="16" t="str">
        <f aca="false">IFERROR(INDEX('Route of Administration'!$C$5:$C$155,MATCH($C196,'Route of Administration'!$A$5:$A$155,0)),"")</f>
        <v>IV, SC</v>
      </c>
      <c r="AD196" s="15" t="str">
        <f aca="false">IFERROR(INDEX('Route of Administration'!$D$5:$D$155,MATCH($C196,'Route of Administration'!$A$5:$A$155,0)),"")</f>
        <v>Yes</v>
      </c>
      <c r="AE196" s="15" t="str">
        <f aca="false">IF($AD196="No","Not checked – drug is IV only",IFERROR(INDEX('Route of Administration'!$O$5:$O$170,MATCH($E196&amp;"|"&amp;$C196,'Route of Administration'!$S$5:$S$170,0)),"Not checked – price ≤ USD 5"))</f>
        <v>Pass</v>
      </c>
    </row>
    <row r="197" customFormat="false" ht="41.75" hidden="false" customHeight="false" outlineLevel="0" collapsed="false">
      <c r="B197" s="16" t="n">
        <v>195</v>
      </c>
      <c r="C197" s="16" t="s">
        <v>338</v>
      </c>
      <c r="D197" s="16" t="s">
        <v>338</v>
      </c>
      <c r="E197" s="16" t="s">
        <v>698</v>
      </c>
      <c r="F197" s="16" t="s">
        <v>1703</v>
      </c>
      <c r="G197" s="17" t="s">
        <v>1681</v>
      </c>
      <c r="H197" s="16" t="s">
        <v>1533</v>
      </c>
      <c r="I197" s="18" t="n">
        <v>1444.1174</v>
      </c>
      <c r="J197" s="16" t="n">
        <v>29</v>
      </c>
      <c r="K197" s="16" t="n">
        <v>905</v>
      </c>
      <c r="L197" s="19" t="n">
        <v>28093.38</v>
      </c>
      <c r="M197" s="17" t="s">
        <v>340</v>
      </c>
      <c r="N197" s="18" t="n">
        <v>1444.1174</v>
      </c>
      <c r="O197" s="16" t="s">
        <v>1534</v>
      </c>
      <c r="P197" s="16" t="s">
        <v>1700</v>
      </c>
      <c r="Q197" s="17" t="s">
        <v>1536</v>
      </c>
      <c r="R197" s="78" t="s">
        <v>1701</v>
      </c>
      <c r="S197" s="77" t="n">
        <f aca="false">IFERROR(INDEX('Injectable Value'!$Z$28:$Z$178,MATCH($C197,'Injectable Value'!$A$28:$A$178,0)),"")</f>
        <v>1</v>
      </c>
      <c r="T197" s="19" t="n">
        <f aca="false">IFERROR(ROUND(INDEX('Injectable Value'!$AA$28:$AA$178,MATCH($C197,'Injectable Value'!$A$28:$A$178,0)),1),"")</f>
        <v>28093.4</v>
      </c>
      <c r="U197" s="17" t="s">
        <v>706</v>
      </c>
      <c r="V197" s="16" t="n">
        <v>18</v>
      </c>
      <c r="W197" s="16" t="s">
        <v>705</v>
      </c>
      <c r="X197" s="16" t="s">
        <v>281</v>
      </c>
      <c r="Y197" s="16" t="s">
        <v>333</v>
      </c>
      <c r="Z197" s="17" t="str">
        <f aca="false">IFERROR(INDEX(Scoring!$U:$U,MATCH($C197&amp;"|"&amp;$E197,Scoring!$AD:$AD,0)),"")</f>
        <v>Cancer drug (cytotoxic) – less relevant; Reconstitution</v>
      </c>
      <c r="AA197" s="16" t="str">
        <f aca="false">IFERROR(INDEX(Scoring!$E:$E,MATCH($C197&amp;"|"&amp;$E197,Scoring!$AD:$AD,0)),"")</f>
        <v>Priority 1</v>
      </c>
      <c r="AB197" s="19" t="n">
        <f aca="false">IFERROR(INDEX(Scoring!$M:$M,MATCH($C197&amp;"|"&amp;$E197,Scoring!$AD:$AD,0)),"")</f>
        <v>905</v>
      </c>
      <c r="AC197" s="16" t="str">
        <f aca="false">IFERROR(INDEX('Route of Administration'!$C$5:$C$155,MATCH($C197,'Route of Administration'!$A$5:$A$155,0)),"")</f>
        <v>IV, SC</v>
      </c>
      <c r="AD197" s="15" t="str">
        <f aca="false">IFERROR(INDEX('Route of Administration'!$D$5:$D$155,MATCH($C197,'Route of Administration'!$A$5:$A$155,0)),"")</f>
        <v>Yes</v>
      </c>
      <c r="AE197" s="15" t="str">
        <f aca="false">IF($AD197="No","Not checked – drug is IV only",IFERROR(INDEX('Route of Administration'!$O$5:$O$170,MATCH($E197&amp;"|"&amp;$C197,'Route of Administration'!$S$5:$S$170,0)),"Not checked – price ≤ USD 5"))</f>
        <v>Pass</v>
      </c>
    </row>
    <row r="198" customFormat="false" ht="28.35" hidden="false" customHeight="false" outlineLevel="0" collapsed="false">
      <c r="B198" s="16" t="n">
        <v>196</v>
      </c>
      <c r="C198" s="16" t="s">
        <v>380</v>
      </c>
      <c r="D198" s="16" t="s">
        <v>1958</v>
      </c>
      <c r="E198" s="16" t="s">
        <v>698</v>
      </c>
      <c r="F198" s="16" t="s">
        <v>1959</v>
      </c>
      <c r="G198" s="17" t="s">
        <v>1749</v>
      </c>
      <c r="H198" s="16" t="s">
        <v>1533</v>
      </c>
      <c r="I198" s="18" t="n">
        <v>4.9946</v>
      </c>
      <c r="J198" s="16" t="n">
        <v>27</v>
      </c>
      <c r="K198" s="16" t="n">
        <v>843</v>
      </c>
      <c r="L198" s="19" t="n">
        <v>4508</v>
      </c>
      <c r="M198" s="17" t="s">
        <v>381</v>
      </c>
      <c r="N198" s="18" t="n">
        <v>4.9946</v>
      </c>
      <c r="O198" s="16" t="s">
        <v>1534</v>
      </c>
      <c r="P198" s="16" t="s">
        <v>1700</v>
      </c>
      <c r="Q198" s="17" t="s">
        <v>1536</v>
      </c>
      <c r="R198" s="78" t="s">
        <v>1960</v>
      </c>
      <c r="S198" s="77" t="n">
        <f aca="false">IFERROR(INDEX('Injectable Value'!$Z$28:$Z$178,MATCH($C198,'Injectable Value'!$A$28:$A$178,0)),"")</f>
        <v>0.858739397335643</v>
      </c>
      <c r="T198" s="19" t="n">
        <f aca="false">IFERROR(ROUND(INDEX('Injectable Value'!$AA$28:$AA$178,MATCH($C198,'Injectable Value'!$A$28:$A$178,0)),1),"")</f>
        <v>3871.2</v>
      </c>
      <c r="U198" s="17" t="s">
        <v>713</v>
      </c>
      <c r="V198" s="16" t="n">
        <v>5</v>
      </c>
      <c r="W198" s="16" t="s">
        <v>712</v>
      </c>
      <c r="X198" s="16" t="s">
        <v>281</v>
      </c>
      <c r="Y198" s="16" t="s">
        <v>283</v>
      </c>
      <c r="Z198" s="17" t="str">
        <f aca="false">IFERROR(INDEX(Scoring!$U:$U,MATCH($C198&amp;"|"&amp;$E198,Scoring!$AD:$AD,0)),"")</f>
        <v>Cancer drug (cytotoxic) – less relevant</v>
      </c>
      <c r="AA198" s="16" t="str">
        <f aca="false">IFERROR(INDEX(Scoring!$E:$E,MATCH($C198&amp;"|"&amp;$E198,Scoring!$AD:$AD,0)),"")</f>
        <v>Excluded – IV only</v>
      </c>
      <c r="AB198" s="19" t="n">
        <f aca="false">IFERROR(INDEX(Scoring!$M:$M,MATCH($C198&amp;"|"&amp;$E198,Scoring!$AD:$AD,0)),"")</f>
        <v>724</v>
      </c>
      <c r="AC198" s="16" t="str">
        <f aca="false">IFERROR(INDEX('Route of Administration'!$C$5:$C$155,MATCH($C198,'Route of Administration'!$A$5:$A$155,0)),"")</f>
        <v>IV</v>
      </c>
      <c r="AD198" s="15" t="str">
        <f aca="false">IFERROR(INDEX('Route of Administration'!$D$5:$D$155,MATCH($C198,'Route of Administration'!$A$5:$A$155,0)),"")</f>
        <v>No</v>
      </c>
      <c r="AE198" s="15" t="str">
        <f aca="false">IF($AD198="No","Not checked – drug is IV only",IFERROR(INDEX('Route of Administration'!$O$5:$O$170,MATCH($E198&amp;"|"&amp;$C198,'Route of Administration'!$S$5:$S$170,0)),"Not checked – price ≤ USD 5"))</f>
        <v>Not checked – drug is IV only</v>
      </c>
    </row>
    <row r="199" customFormat="false" ht="41.75" hidden="false" customHeight="false" outlineLevel="0" collapsed="false">
      <c r="B199" s="16" t="n">
        <v>197</v>
      </c>
      <c r="C199" s="16" t="s">
        <v>388</v>
      </c>
      <c r="D199" s="16" t="s">
        <v>1961</v>
      </c>
      <c r="E199" s="16" t="s">
        <v>698</v>
      </c>
      <c r="F199" s="16" t="s">
        <v>1716</v>
      </c>
      <c r="G199" s="17" t="s">
        <v>1717</v>
      </c>
      <c r="H199" s="16" t="s">
        <v>1533</v>
      </c>
      <c r="I199" s="18" t="n">
        <v>100.4344</v>
      </c>
      <c r="J199" s="16" t="n">
        <v>28</v>
      </c>
      <c r="K199" s="16" t="n">
        <v>312</v>
      </c>
      <c r="L199" s="19" t="n">
        <v>59827.18</v>
      </c>
      <c r="M199" s="17" t="s">
        <v>390</v>
      </c>
      <c r="N199" s="18" t="n">
        <v>100.4344</v>
      </c>
      <c r="O199" s="16" t="s">
        <v>1534</v>
      </c>
      <c r="P199" s="16" t="s">
        <v>1962</v>
      </c>
      <c r="Q199" s="17" t="s">
        <v>1536</v>
      </c>
      <c r="R199" s="16"/>
      <c r="S199" s="77" t="n">
        <f aca="false">IFERROR(INDEX('Injectable Value'!$Z$28:$Z$178,MATCH($C199,'Injectable Value'!$A$28:$A$178,0)),"")</f>
        <v>1</v>
      </c>
      <c r="T199" s="19" t="n">
        <f aca="false">IFERROR(ROUND(INDEX('Injectable Value'!$AA$28:$AA$178,MATCH($C199,'Injectable Value'!$A$28:$A$178,0)),1),"")</f>
        <v>59827.2</v>
      </c>
      <c r="U199" s="17" t="s">
        <v>717</v>
      </c>
      <c r="V199" s="16" t="n">
        <v>15</v>
      </c>
      <c r="W199" s="16" t="s">
        <v>716</v>
      </c>
      <c r="X199" s="16" t="s">
        <v>281</v>
      </c>
      <c r="Y199" s="16" t="s">
        <v>333</v>
      </c>
      <c r="Z199" s="17" t="str">
        <f aca="false">IFERROR(INDEX(Scoring!$U:$U,MATCH($C199&amp;"|"&amp;$E199,Scoring!$AD:$AD,0)),"")</f>
        <v>Reconstitution</v>
      </c>
      <c r="AA199" s="16" t="str">
        <f aca="false">IFERROR(INDEX(Scoring!$E:$E,MATCH($C199&amp;"|"&amp;$E199,Scoring!$AD:$AD,0)),"")</f>
        <v>Excluded – IV only</v>
      </c>
      <c r="AB199" s="19" t="n">
        <f aca="false">IFERROR(INDEX(Scoring!$M:$M,MATCH($C199&amp;"|"&amp;$E199,Scoring!$AD:$AD,0)),"")</f>
        <v>312</v>
      </c>
      <c r="AC199" s="16" t="str">
        <f aca="false">IFERROR(INDEX('Route of Administration'!$C$5:$C$155,MATCH($C199,'Route of Administration'!$A$5:$A$155,0)),"")</f>
        <v>IV</v>
      </c>
      <c r="AD199" s="15" t="str">
        <f aca="false">IFERROR(INDEX('Route of Administration'!$D$5:$D$155,MATCH($C199,'Route of Administration'!$A$5:$A$155,0)),"")</f>
        <v>No</v>
      </c>
      <c r="AE199" s="15" t="str">
        <f aca="false">IF($AD199="No","Not checked – drug is IV only",IFERROR(INDEX('Route of Administration'!$O$5:$O$170,MATCH($E199&amp;"|"&amp;$C199,'Route of Administration'!$S$5:$S$170,0)),"Not checked – price ≤ USD 5"))</f>
        <v>Not checked – drug is IV only</v>
      </c>
    </row>
    <row r="200" customFormat="false" ht="41.75" hidden="false" customHeight="false" outlineLevel="0" collapsed="false">
      <c r="B200" s="16" t="n">
        <v>198</v>
      </c>
      <c r="C200" s="16" t="s">
        <v>724</v>
      </c>
      <c r="D200" s="16" t="s">
        <v>1963</v>
      </c>
      <c r="E200" s="16" t="s">
        <v>698</v>
      </c>
      <c r="F200" s="16" t="s">
        <v>1964</v>
      </c>
      <c r="G200" s="17" t="s">
        <v>1965</v>
      </c>
      <c r="H200" s="16" t="s">
        <v>1533</v>
      </c>
      <c r="I200" s="18" t="n">
        <v>471.2665</v>
      </c>
      <c r="J200" s="16" t="n">
        <v>25</v>
      </c>
      <c r="K200" s="16" t="n">
        <v>42</v>
      </c>
      <c r="L200" s="19" t="n">
        <v>1874.63</v>
      </c>
      <c r="M200" s="17" t="s">
        <v>726</v>
      </c>
      <c r="N200" s="18" t="n">
        <v>471.2665</v>
      </c>
      <c r="O200" s="16" t="s">
        <v>1534</v>
      </c>
      <c r="P200" s="16" t="s">
        <v>1561</v>
      </c>
      <c r="Q200" s="17" t="s">
        <v>1536</v>
      </c>
      <c r="R200" s="78" t="s">
        <v>1701</v>
      </c>
      <c r="S200" s="77" t="n">
        <f aca="false">IFERROR(INDEX('Injectable Value'!$Z$28:$Z$178,MATCH($C200,'Injectable Value'!$A$28:$A$178,0)),"")</f>
        <v>1</v>
      </c>
      <c r="T200" s="19" t="n">
        <f aca="false">IFERROR(ROUND(INDEX('Injectable Value'!$AA$28:$AA$178,MATCH($C200,'Injectable Value'!$A$28:$A$178,0)),1),"")</f>
        <v>1874.6</v>
      </c>
      <c r="U200" s="17" t="s">
        <v>729</v>
      </c>
      <c r="V200" s="16" t="n">
        <v>8</v>
      </c>
      <c r="W200" s="16" t="s">
        <v>728</v>
      </c>
      <c r="X200" s="16" t="s">
        <v>281</v>
      </c>
      <c r="Y200" s="16" t="s">
        <v>283</v>
      </c>
      <c r="Z200" s="17" t="str">
        <f aca="false">IFERROR(INDEX(Scoring!$U:$U,MATCH($C200&amp;"|"&amp;$E200,Scoring!$AD:$AD,0)),"")</f>
        <v>Cancer drug (cytotoxic) – less relevant</v>
      </c>
      <c r="AA200" s="16" t="str">
        <f aca="false">IFERROR(INDEX(Scoring!$E:$E,MATCH($C200&amp;"|"&amp;$E200,Scoring!$AD:$AD,0)),"")</f>
        <v>Excluded – IV only</v>
      </c>
      <c r="AB200" s="19" t="n">
        <f aca="false">IFERROR(INDEX(Scoring!$M:$M,MATCH($C200&amp;"|"&amp;$E200,Scoring!$AD:$AD,0)),"")</f>
        <v>42</v>
      </c>
      <c r="AC200" s="16" t="str">
        <f aca="false">IFERROR(INDEX('Route of Administration'!$C$5:$C$155,MATCH($C200,'Route of Administration'!$A$5:$A$155,0)),"")</f>
        <v>IV</v>
      </c>
      <c r="AD200" s="15" t="str">
        <f aca="false">IFERROR(INDEX('Route of Administration'!$D$5:$D$155,MATCH($C200,'Route of Administration'!$A$5:$A$155,0)),"")</f>
        <v>No</v>
      </c>
      <c r="AE200" s="15" t="str">
        <f aca="false">IF($AD200="No","Not checked – drug is IV only",IFERROR(INDEX('Route of Administration'!$O$5:$O$170,MATCH($E200&amp;"|"&amp;$C200,'Route of Administration'!$S$5:$S$170,0)),"Not checked – price ≤ USD 5"))</f>
        <v>Not checked – drug is IV only</v>
      </c>
    </row>
    <row r="201" customFormat="false" ht="41.75" hidden="false" customHeight="false" outlineLevel="0" collapsed="false">
      <c r="B201" s="16" t="n">
        <v>199</v>
      </c>
      <c r="C201" s="16" t="s">
        <v>295</v>
      </c>
      <c r="D201" s="16" t="s">
        <v>1966</v>
      </c>
      <c r="E201" s="16" t="s">
        <v>698</v>
      </c>
      <c r="F201" s="16" t="s">
        <v>1728</v>
      </c>
      <c r="G201" s="17" t="s">
        <v>1729</v>
      </c>
      <c r="H201" s="16" t="s">
        <v>1540</v>
      </c>
      <c r="I201" s="18" t="n">
        <v>531.8684</v>
      </c>
      <c r="J201" s="16" t="n">
        <v>31</v>
      </c>
      <c r="K201" s="16" t="n">
        <v>146</v>
      </c>
      <c r="L201" s="19" t="n">
        <v>11366.06</v>
      </c>
      <c r="M201" s="17" t="s">
        <v>296</v>
      </c>
      <c r="N201" s="18" t="n">
        <v>531.8684</v>
      </c>
      <c r="O201" s="16" t="s">
        <v>1534</v>
      </c>
      <c r="P201" s="16" t="s">
        <v>1535</v>
      </c>
      <c r="Q201" s="17" t="s">
        <v>1536</v>
      </c>
      <c r="R201" s="78" t="s">
        <v>1701</v>
      </c>
      <c r="S201" s="77" t="n">
        <f aca="false">IFERROR(INDEX('Injectable Value'!$Z$28:$Z$178,MATCH($C201,'Injectable Value'!$A$28:$A$178,0)),"")</f>
        <v>1</v>
      </c>
      <c r="T201" s="19" t="n">
        <f aca="false">IFERROR(ROUND(INDEX('Injectable Value'!$AA$28:$AA$178,MATCH($C201,'Injectable Value'!$A$28:$A$178,0)),1),"")</f>
        <v>11366.1</v>
      </c>
      <c r="U201" s="17" t="s">
        <v>739</v>
      </c>
      <c r="V201" s="16" t="n">
        <v>14</v>
      </c>
      <c r="W201" s="16" t="s">
        <v>738</v>
      </c>
      <c r="X201" s="16" t="s">
        <v>291</v>
      </c>
      <c r="Y201" s="16" t="s">
        <v>283</v>
      </c>
      <c r="Z201" s="17" t="str">
        <f aca="false">IFERROR(INDEX(Scoring!$U:$U,MATCH($C201&amp;"|"&amp;$E201,Scoring!$AD:$AD,0)),"")</f>
        <v>Prefilled only</v>
      </c>
      <c r="AA201" s="16" t="str">
        <f aca="false">IFERROR(INDEX(Scoring!$E:$E,MATCH($C201&amp;"|"&amp;$E201,Scoring!$AD:$AD,0)),"")</f>
        <v>Priority 1</v>
      </c>
      <c r="AB201" s="19" t="n">
        <f aca="false">IFERROR(INDEX(Scoring!$M:$M,MATCH($C201&amp;"|"&amp;$E201,Scoring!$AD:$AD,0)),"")</f>
        <v>146</v>
      </c>
      <c r="AC201" s="16" t="str">
        <f aca="false">IFERROR(INDEX('Route of Administration'!$C$5:$C$155,MATCH($C201,'Route of Administration'!$A$5:$A$155,0)),"")</f>
        <v>IM</v>
      </c>
      <c r="AD201" s="15" t="str">
        <f aca="false">IFERROR(INDEX('Route of Administration'!$D$5:$D$155,MATCH($C201,'Route of Administration'!$A$5:$A$155,0)),"")</f>
        <v>Yes</v>
      </c>
      <c r="AE201" s="15" t="str">
        <f aca="false">IF($AD201="No","Not checked – drug is IV only",IFERROR(INDEX('Route of Administration'!$O$5:$O$170,MATCH($E201&amp;"|"&amp;$C201,'Route of Administration'!$S$5:$S$170,0)),"Not checked – price ≤ USD 5"))</f>
        <v>Pass</v>
      </c>
    </row>
    <row r="202" customFormat="false" ht="15" hidden="false" customHeight="false" outlineLevel="0" collapsed="false">
      <c r="B202" s="16" t="n">
        <v>200</v>
      </c>
      <c r="C202" s="16" t="s">
        <v>466</v>
      </c>
      <c r="D202" s="16" t="s">
        <v>741</v>
      </c>
      <c r="E202" s="16" t="s">
        <v>698</v>
      </c>
      <c r="F202" s="16" t="s">
        <v>1967</v>
      </c>
      <c r="G202" s="17" t="s">
        <v>1968</v>
      </c>
      <c r="H202" s="16" t="s">
        <v>1540</v>
      </c>
      <c r="I202" s="18" t="n">
        <v>46.3526</v>
      </c>
      <c r="J202" s="16" t="n">
        <v>29</v>
      </c>
      <c r="K202" s="16" t="n">
        <v>116</v>
      </c>
      <c r="L202" s="19" t="n">
        <v>1162.12</v>
      </c>
      <c r="M202" s="17" t="s">
        <v>468</v>
      </c>
      <c r="N202" s="18" t="n">
        <v>46.3526</v>
      </c>
      <c r="O202" s="16" t="s">
        <v>1534</v>
      </c>
      <c r="P202" s="16" t="s">
        <v>1700</v>
      </c>
      <c r="Q202" s="17" t="s">
        <v>1536</v>
      </c>
      <c r="R202" s="78" t="s">
        <v>1969</v>
      </c>
      <c r="S202" s="77" t="n">
        <f aca="false">IFERROR(INDEX('Injectable Value'!$Z$28:$Z$178,MATCH($C202,'Injectable Value'!$A$28:$A$178,0)),"")</f>
        <v>0.444974105461394</v>
      </c>
      <c r="T202" s="19" t="n">
        <f aca="false">IFERROR(ROUND(INDEX('Injectable Value'!$AA$28:$AA$178,MATCH($C202,'Injectable Value'!$A$28:$A$178,0)),1),"")</f>
        <v>517.1</v>
      </c>
      <c r="U202" s="17" t="s">
        <v>453</v>
      </c>
      <c r="V202" s="16" t="n">
        <v>1</v>
      </c>
      <c r="W202" s="16" t="s">
        <v>452</v>
      </c>
      <c r="X202" s="16" t="s">
        <v>291</v>
      </c>
      <c r="Y202" s="16" t="s">
        <v>310</v>
      </c>
      <c r="Z202" s="17" t="str">
        <f aca="false">IFERROR(INDEX(Scoring!$U:$U,MATCH($C202&amp;"|"&amp;$E202,Scoring!$AD:$AD,0)),"")</f>
        <v>Prefilled only</v>
      </c>
      <c r="AA202" s="16" t="str">
        <f aca="false">IFERROR(INDEX(Scoring!$E:$E,MATCH($C202&amp;"|"&amp;$E202,Scoring!$AD:$AD,0)),"")</f>
        <v>Excluded – IV only</v>
      </c>
      <c r="AB202" s="19" t="n">
        <f aca="false">IFERROR(INDEX(Scoring!$M:$M,MATCH($C202&amp;"|"&amp;$E202,Scoring!$AD:$AD,0)),"")</f>
        <v>52</v>
      </c>
      <c r="AC202" s="16" t="str">
        <f aca="false">IFERROR(INDEX('Route of Administration'!$C$5:$C$155,MATCH($C202,'Route of Administration'!$A$5:$A$155,0)),"")</f>
        <v>IV</v>
      </c>
      <c r="AD202" s="15" t="str">
        <f aca="false">IFERROR(INDEX('Route of Administration'!$D$5:$D$155,MATCH($C202,'Route of Administration'!$A$5:$A$155,0)),"")</f>
        <v>No</v>
      </c>
      <c r="AE202" s="15" t="str">
        <f aca="false">IF($AD202="No","Not checked – drug is IV only",IFERROR(INDEX('Route of Administration'!$O$5:$O$170,MATCH($E202&amp;"|"&amp;$C202,'Route of Administration'!$S$5:$S$170,0)),"Not checked – price ≤ USD 5"))</f>
        <v>Not checked – drug is IV only</v>
      </c>
    </row>
    <row r="203" customFormat="false" ht="28.35" hidden="false" customHeight="false" outlineLevel="0" collapsed="false">
      <c r="B203" s="16" t="n">
        <v>201</v>
      </c>
      <c r="C203" s="16" t="s">
        <v>529</v>
      </c>
      <c r="D203" s="16" t="s">
        <v>1970</v>
      </c>
      <c r="E203" s="16" t="s">
        <v>698</v>
      </c>
      <c r="F203" s="16" t="s">
        <v>1971</v>
      </c>
      <c r="G203" s="17" t="s">
        <v>1719</v>
      </c>
      <c r="H203" s="16" t="s">
        <v>1533</v>
      </c>
      <c r="I203" s="18" t="n">
        <v>96.9427</v>
      </c>
      <c r="J203" s="16" t="n">
        <v>27</v>
      </c>
      <c r="K203" s="16" t="n">
        <v>119</v>
      </c>
      <c r="L203" s="19" t="n">
        <v>3113.83</v>
      </c>
      <c r="M203" s="17" t="s">
        <v>531</v>
      </c>
      <c r="N203" s="18" t="n">
        <v>96.9427</v>
      </c>
      <c r="O203" s="16" t="s">
        <v>1534</v>
      </c>
      <c r="P203" s="16" t="s">
        <v>1535</v>
      </c>
      <c r="Q203" s="17" t="s">
        <v>1536</v>
      </c>
      <c r="R203" s="78" t="s">
        <v>1701</v>
      </c>
      <c r="S203" s="77" t="n">
        <f aca="false">IFERROR(INDEX('Injectable Value'!$Z$28:$Z$178,MATCH($C203,'Injectable Value'!$A$28:$A$178,0)),"")</f>
        <v>0.899884259259259</v>
      </c>
      <c r="T203" s="19" t="n">
        <f aca="false">IFERROR(ROUND(INDEX('Injectable Value'!$AA$28:$AA$178,MATCH($C203,'Injectable Value'!$A$28:$A$178,0)),1),"")</f>
        <v>2802.1</v>
      </c>
      <c r="U203" s="17" t="s">
        <v>752</v>
      </c>
      <c r="V203" s="16" t="n">
        <v>5</v>
      </c>
      <c r="W203" s="16" t="s">
        <v>751</v>
      </c>
      <c r="X203" s="16" t="s">
        <v>281</v>
      </c>
      <c r="Y203" s="16" t="s">
        <v>283</v>
      </c>
      <c r="Z203" s="17" t="str">
        <f aca="false">IFERROR(INDEX(Scoring!$U:$U,MATCH($C203&amp;"|"&amp;$E203,Scoring!$AD:$AD,0)),"")</f>
        <v/>
      </c>
      <c r="AA203" s="16" t="str">
        <f aca="false">IFERROR(INDEX(Scoring!$E:$E,MATCH($C203&amp;"|"&amp;$E203,Scoring!$AD:$AD,0)),"")</f>
        <v>Excluded – IV only</v>
      </c>
      <c r="AB203" s="19" t="n">
        <f aca="false">IFERROR(INDEX(Scoring!$M:$M,MATCH($C203&amp;"|"&amp;$E203,Scoring!$AD:$AD,0)),"")</f>
        <v>107</v>
      </c>
      <c r="AC203" s="16" t="str">
        <f aca="false">IFERROR(INDEX('Route of Administration'!$C$5:$C$155,MATCH($C203,'Route of Administration'!$A$5:$A$155,0)),"")</f>
        <v>IV</v>
      </c>
      <c r="AD203" s="15" t="str">
        <f aca="false">IFERROR(INDEX('Route of Administration'!$D$5:$D$155,MATCH($C203,'Route of Administration'!$A$5:$A$155,0)),"")</f>
        <v>No</v>
      </c>
      <c r="AE203" s="15" t="str">
        <f aca="false">IF($AD203="No","Not checked – drug is IV only",IFERROR(INDEX('Route of Administration'!$O$5:$O$170,MATCH($E203&amp;"|"&amp;$C203,'Route of Administration'!$S$5:$S$170,0)),"Not checked – price ≤ USD 5"))</f>
        <v>Not checked – drug is IV only</v>
      </c>
    </row>
    <row r="204" customFormat="false" ht="55.2" hidden="false" customHeight="false" outlineLevel="0" collapsed="false">
      <c r="B204" s="16" t="n">
        <v>202</v>
      </c>
      <c r="C204" s="16" t="s">
        <v>665</v>
      </c>
      <c r="D204" s="16" t="s">
        <v>665</v>
      </c>
      <c r="E204" s="16" t="s">
        <v>698</v>
      </c>
      <c r="F204" s="16" t="s">
        <v>1972</v>
      </c>
      <c r="G204" s="17" t="s">
        <v>1887</v>
      </c>
      <c r="H204" s="16" t="s">
        <v>1533</v>
      </c>
      <c r="I204" s="18" t="n">
        <v>92.0498</v>
      </c>
      <c r="J204" s="16" t="n">
        <v>31</v>
      </c>
      <c r="K204" s="16" t="n">
        <v>346</v>
      </c>
      <c r="L204" s="19" t="n">
        <v>32830.17</v>
      </c>
      <c r="M204" s="17" t="s">
        <v>667</v>
      </c>
      <c r="N204" s="18" t="n">
        <v>92.0498</v>
      </c>
      <c r="O204" s="16" t="s">
        <v>1534</v>
      </c>
      <c r="P204" s="16" t="s">
        <v>1700</v>
      </c>
      <c r="Q204" s="17" t="s">
        <v>1536</v>
      </c>
      <c r="R204" s="78" t="s">
        <v>1701</v>
      </c>
      <c r="S204" s="77" t="n">
        <f aca="false">IFERROR(INDEX('Injectable Value'!$Z$28:$Z$178,MATCH($C204,'Injectable Value'!$A$28:$A$178,0)),"")</f>
        <v>1</v>
      </c>
      <c r="T204" s="19" t="n">
        <f aca="false">IFERROR(ROUND(INDEX('Injectable Value'!$AA$28:$AA$178,MATCH($C204,'Injectable Value'!$A$28:$A$178,0)),1),"")</f>
        <v>32830.2</v>
      </c>
      <c r="U204" s="17" t="s">
        <v>761</v>
      </c>
      <c r="V204" s="16" t="n">
        <v>21</v>
      </c>
      <c r="W204" s="16" t="s">
        <v>760</v>
      </c>
      <c r="X204" s="16" t="s">
        <v>281</v>
      </c>
      <c r="Y204" s="16" t="s">
        <v>283</v>
      </c>
      <c r="Z204" s="17" t="str">
        <f aca="false">IFERROR(INDEX(Scoring!$U:$U,MATCH($C204&amp;"|"&amp;$E204,Scoring!$AD:$AD,0)),"")</f>
        <v/>
      </c>
      <c r="AA204" s="16" t="str">
        <f aca="false">IFERROR(INDEX(Scoring!$E:$E,MATCH($C204&amp;"|"&amp;$E204,Scoring!$AD:$AD,0)),"")</f>
        <v>Excluded – IV only</v>
      </c>
      <c r="AB204" s="19" t="n">
        <f aca="false">IFERROR(INDEX(Scoring!$M:$M,MATCH($C204&amp;"|"&amp;$E204,Scoring!$AD:$AD,0)),"")</f>
        <v>346</v>
      </c>
      <c r="AC204" s="16" t="str">
        <f aca="false">IFERROR(INDEX('Route of Administration'!$C$5:$C$155,MATCH($C204,'Route of Administration'!$A$5:$A$155,0)),"")</f>
        <v>IV</v>
      </c>
      <c r="AD204" s="15" t="str">
        <f aca="false">IFERROR(INDEX('Route of Administration'!$D$5:$D$155,MATCH($C204,'Route of Administration'!$A$5:$A$155,0)),"")</f>
        <v>No</v>
      </c>
      <c r="AE204" s="15" t="str">
        <f aca="false">IF($AD204="No","Not checked – drug is IV only",IFERROR(INDEX('Route of Administration'!$O$5:$O$170,MATCH($E204&amp;"|"&amp;$C204,'Route of Administration'!$S$5:$S$170,0)),"Not checked – price ≤ USD 5"))</f>
        <v>Not checked – drug is IV only</v>
      </c>
    </row>
    <row r="205" customFormat="false" ht="55.2" hidden="false" customHeight="false" outlineLevel="0" collapsed="false">
      <c r="B205" s="16" t="n">
        <v>203</v>
      </c>
      <c r="C205" s="16" t="s">
        <v>665</v>
      </c>
      <c r="D205" s="16" t="s">
        <v>665</v>
      </c>
      <c r="E205" s="16" t="s">
        <v>698</v>
      </c>
      <c r="F205" s="16" t="s">
        <v>1972</v>
      </c>
      <c r="G205" s="17" t="s">
        <v>1887</v>
      </c>
      <c r="H205" s="16" t="s">
        <v>1533</v>
      </c>
      <c r="I205" s="18" t="n">
        <v>92.0498</v>
      </c>
      <c r="J205" s="16" t="n">
        <v>26</v>
      </c>
      <c r="K205" s="16" t="n">
        <v>346</v>
      </c>
      <c r="L205" s="19" t="n">
        <v>32830.17</v>
      </c>
      <c r="M205" s="17" t="s">
        <v>667</v>
      </c>
      <c r="N205" s="18" t="n">
        <v>92.0498</v>
      </c>
      <c r="O205" s="16" t="s">
        <v>1534</v>
      </c>
      <c r="P205" s="16" t="s">
        <v>1700</v>
      </c>
      <c r="Q205" s="17" t="s">
        <v>1536</v>
      </c>
      <c r="R205" s="78" t="s">
        <v>1701</v>
      </c>
      <c r="S205" s="77" t="n">
        <f aca="false">IFERROR(INDEX('Injectable Value'!$Z$28:$Z$178,MATCH($C205,'Injectable Value'!$A$28:$A$178,0)),"")</f>
        <v>1</v>
      </c>
      <c r="T205" s="19" t="n">
        <f aca="false">IFERROR(ROUND(INDEX('Injectable Value'!$AA$28:$AA$178,MATCH($C205,'Injectable Value'!$A$28:$A$178,0)),1),"")</f>
        <v>32830.2</v>
      </c>
      <c r="U205" s="17" t="s">
        <v>761</v>
      </c>
      <c r="V205" s="16" t="n">
        <v>21</v>
      </c>
      <c r="W205" s="16" t="s">
        <v>760</v>
      </c>
      <c r="X205" s="16" t="s">
        <v>281</v>
      </c>
      <c r="Y205" s="16" t="s">
        <v>283</v>
      </c>
      <c r="Z205" s="17" t="str">
        <f aca="false">IFERROR(INDEX(Scoring!$U:$U,MATCH($C205&amp;"|"&amp;$E205,Scoring!$AD:$AD,0)),"")</f>
        <v/>
      </c>
      <c r="AA205" s="16" t="str">
        <f aca="false">IFERROR(INDEX(Scoring!$E:$E,MATCH($C205&amp;"|"&amp;$E205,Scoring!$AD:$AD,0)),"")</f>
        <v>Excluded – IV only</v>
      </c>
      <c r="AB205" s="19" t="n">
        <f aca="false">IFERROR(INDEX(Scoring!$M:$M,MATCH($C205&amp;"|"&amp;$E205,Scoring!$AD:$AD,0)),"")</f>
        <v>346</v>
      </c>
      <c r="AC205" s="16" t="str">
        <f aca="false">IFERROR(INDEX('Route of Administration'!$C$5:$C$155,MATCH($C205,'Route of Administration'!$A$5:$A$155,0)),"")</f>
        <v>IV</v>
      </c>
      <c r="AD205" s="15" t="str">
        <f aca="false">IFERROR(INDEX('Route of Administration'!$D$5:$D$155,MATCH($C205,'Route of Administration'!$A$5:$A$155,0)),"")</f>
        <v>No</v>
      </c>
      <c r="AE205" s="15" t="str">
        <f aca="false">IF($AD205="No","Not checked – drug is IV only",IFERROR(INDEX('Route of Administration'!$O$5:$O$170,MATCH($E205&amp;"|"&amp;$C205,'Route of Administration'!$S$5:$S$170,0)),"Not checked – price ≤ USD 5"))</f>
        <v>Not checked – drug is IV only</v>
      </c>
    </row>
    <row r="206" customFormat="false" ht="41.75" hidden="false" customHeight="false" outlineLevel="0" collapsed="false">
      <c r="B206" s="16" t="n">
        <v>204</v>
      </c>
      <c r="C206" s="16" t="s">
        <v>338</v>
      </c>
      <c r="D206" s="16" t="s">
        <v>338</v>
      </c>
      <c r="E206" s="16" t="s">
        <v>698</v>
      </c>
      <c r="F206" s="16" t="s">
        <v>1973</v>
      </c>
      <c r="G206" s="17" t="s">
        <v>1974</v>
      </c>
      <c r="H206" s="16" t="s">
        <v>1533</v>
      </c>
      <c r="I206" s="18" t="n">
        <v>981.694</v>
      </c>
      <c r="J206" s="16" t="n">
        <v>1</v>
      </c>
      <c r="K206" s="16" t="n">
        <v>905</v>
      </c>
      <c r="L206" s="19" t="n">
        <v>28093.38</v>
      </c>
      <c r="M206" s="17" t="s">
        <v>340</v>
      </c>
      <c r="N206" s="18" t="n">
        <v>981.694</v>
      </c>
      <c r="O206" s="16" t="s">
        <v>1534</v>
      </c>
      <c r="P206" s="16" t="s">
        <v>1535</v>
      </c>
      <c r="Q206" s="17" t="s">
        <v>1536</v>
      </c>
      <c r="R206" s="78" t="s">
        <v>1756</v>
      </c>
      <c r="S206" s="77" t="n">
        <f aca="false">IFERROR(INDEX('Injectable Value'!$Z$28:$Z$178,MATCH($C206,'Injectable Value'!$A$28:$A$178,0)),"")</f>
        <v>1</v>
      </c>
      <c r="T206" s="19" t="n">
        <f aca="false">IFERROR(ROUND(INDEX('Injectable Value'!$AA$28:$AA$178,MATCH($C206,'Injectable Value'!$A$28:$A$178,0)),1),"")</f>
        <v>28093.4</v>
      </c>
      <c r="U206" s="17" t="s">
        <v>706</v>
      </c>
      <c r="V206" s="16" t="n">
        <v>18</v>
      </c>
      <c r="W206" s="16" t="s">
        <v>705</v>
      </c>
      <c r="X206" s="16" t="s">
        <v>281</v>
      </c>
      <c r="Y206" s="16" t="s">
        <v>310</v>
      </c>
      <c r="Z206" s="17" t="str">
        <f aca="false">IFERROR(INDEX(Scoring!$U:$U,MATCH($C206&amp;"|"&amp;$E206,Scoring!$AD:$AD,0)),"")</f>
        <v>Cancer drug (cytotoxic) – less relevant; Reconstitution</v>
      </c>
      <c r="AA206" s="16" t="str">
        <f aca="false">IFERROR(INDEX(Scoring!$E:$E,MATCH($C206&amp;"|"&amp;$E206,Scoring!$AD:$AD,0)),"")</f>
        <v>Priority 1</v>
      </c>
      <c r="AB206" s="19" t="n">
        <f aca="false">IFERROR(INDEX(Scoring!$M:$M,MATCH($C206&amp;"|"&amp;$E206,Scoring!$AD:$AD,0)),"")</f>
        <v>905</v>
      </c>
      <c r="AC206" s="16" t="str">
        <f aca="false">IFERROR(INDEX('Route of Administration'!$C$5:$C$155,MATCH($C206,'Route of Administration'!$A$5:$A$155,0)),"")</f>
        <v>IV, SC</v>
      </c>
      <c r="AD206" s="15" t="str">
        <f aca="false">IFERROR(INDEX('Route of Administration'!$D$5:$D$155,MATCH($C206,'Route of Administration'!$A$5:$A$155,0)),"")</f>
        <v>Yes</v>
      </c>
      <c r="AE206" s="15" t="str">
        <f aca="false">IF($AD206="No","Not checked – drug is IV only",IFERROR(INDEX('Route of Administration'!$O$5:$O$170,MATCH($E206&amp;"|"&amp;$C206,'Route of Administration'!$S$5:$S$170,0)),"Not checked – price ≤ USD 5"))</f>
        <v>Pass</v>
      </c>
    </row>
    <row r="207" customFormat="false" ht="95.5" hidden="false" customHeight="false" outlineLevel="0" collapsed="false">
      <c r="B207" s="16" t="n">
        <v>205</v>
      </c>
      <c r="C207" s="16" t="s">
        <v>329</v>
      </c>
      <c r="D207" s="16" t="s">
        <v>329</v>
      </c>
      <c r="E207" s="16" t="s">
        <v>698</v>
      </c>
      <c r="F207" s="16" t="s">
        <v>1975</v>
      </c>
      <c r="G207" s="17" t="s">
        <v>1976</v>
      </c>
      <c r="H207" s="16" t="s">
        <v>1533</v>
      </c>
      <c r="I207" s="18" t="n">
        <v>398.335</v>
      </c>
      <c r="J207" s="16" t="n">
        <v>1</v>
      </c>
      <c r="K207" s="16" t="n">
        <v>762</v>
      </c>
      <c r="L207" s="19" t="n">
        <v>50865.56</v>
      </c>
      <c r="M207" s="17" t="s">
        <v>331</v>
      </c>
      <c r="N207" s="18" t="n">
        <v>398.335</v>
      </c>
      <c r="O207" s="16" t="s">
        <v>1534</v>
      </c>
      <c r="P207" s="16" t="s">
        <v>1535</v>
      </c>
      <c r="Q207" s="17" t="s">
        <v>1536</v>
      </c>
      <c r="R207" s="78" t="s">
        <v>1756</v>
      </c>
      <c r="S207" s="77" t="n">
        <f aca="false">IFERROR(INDEX('Injectable Value'!$Z$28:$Z$178,MATCH($C207,'Injectable Value'!$A$28:$A$178,0)),"")</f>
        <v>0.829278792417718</v>
      </c>
      <c r="T207" s="19" t="n">
        <f aca="false">IFERROR(ROUND(INDEX('Injectable Value'!$AA$28:$AA$178,MATCH($C207,'Injectable Value'!$A$28:$A$178,0)),1),"")</f>
        <v>42181.7</v>
      </c>
      <c r="U207" s="17" t="s">
        <v>696</v>
      </c>
      <c r="V207" s="16" t="n">
        <v>34</v>
      </c>
      <c r="W207" s="16" t="s">
        <v>695</v>
      </c>
      <c r="X207" s="16" t="s">
        <v>281</v>
      </c>
      <c r="Y207" s="16" t="s">
        <v>310</v>
      </c>
      <c r="Z207" s="17" t="str">
        <f aca="false">IFERROR(INDEX(Scoring!$U:$U,MATCH($C207&amp;"|"&amp;$E207,Scoring!$AD:$AD,0)),"")</f>
        <v>Cancer drug (cytotoxic) – less relevant; Reconstitution</v>
      </c>
      <c r="AA207" s="16" t="str">
        <f aca="false">IFERROR(INDEX(Scoring!$E:$E,MATCH($C207&amp;"|"&amp;$E207,Scoring!$AD:$AD,0)),"")</f>
        <v>Priority 1</v>
      </c>
      <c r="AB207" s="19" t="n">
        <f aca="false">IFERROR(INDEX(Scoring!$M:$M,MATCH($C207&amp;"|"&amp;$E207,Scoring!$AD:$AD,0)),"")</f>
        <v>632</v>
      </c>
      <c r="AC207" s="16" t="str">
        <f aca="false">IFERROR(INDEX('Route of Administration'!$C$5:$C$155,MATCH($C207,'Route of Administration'!$A$5:$A$155,0)),"")</f>
        <v>IV, SC</v>
      </c>
      <c r="AD207" s="15" t="str">
        <f aca="false">IFERROR(INDEX('Route of Administration'!$D$5:$D$155,MATCH($C207,'Route of Administration'!$A$5:$A$155,0)),"")</f>
        <v>Yes</v>
      </c>
      <c r="AE207" s="15" t="str">
        <f aca="false">IF($AD207="No","Not checked – drug is IV only",IFERROR(INDEX('Route of Administration'!$O$5:$O$170,MATCH($E207&amp;"|"&amp;$C207,'Route of Administration'!$S$5:$S$170,0)),"Not checked – price ≤ USD 5"))</f>
        <v>Pass</v>
      </c>
    </row>
    <row r="208" customFormat="false" ht="41.75" hidden="false" customHeight="false" outlineLevel="0" collapsed="false">
      <c r="B208" s="16" t="n">
        <v>206</v>
      </c>
      <c r="C208" s="16" t="s">
        <v>388</v>
      </c>
      <c r="D208" s="16" t="s">
        <v>388</v>
      </c>
      <c r="E208" s="16" t="s">
        <v>698</v>
      </c>
      <c r="F208" s="16" t="s">
        <v>1757</v>
      </c>
      <c r="G208" s="17" t="s">
        <v>1977</v>
      </c>
      <c r="H208" s="16" t="s">
        <v>1533</v>
      </c>
      <c r="I208" s="18" t="n">
        <v>113.645</v>
      </c>
      <c r="J208" s="16" t="n">
        <v>1</v>
      </c>
      <c r="K208" s="16" t="n">
        <v>312</v>
      </c>
      <c r="L208" s="19" t="n">
        <v>59827.18</v>
      </c>
      <c r="M208" s="17" t="s">
        <v>390</v>
      </c>
      <c r="N208" s="18" t="n">
        <v>113.645</v>
      </c>
      <c r="O208" s="16" t="s">
        <v>1534</v>
      </c>
      <c r="P208" s="16" t="s">
        <v>1700</v>
      </c>
      <c r="Q208" s="17" t="s">
        <v>1536</v>
      </c>
      <c r="R208" s="78" t="s">
        <v>1978</v>
      </c>
      <c r="S208" s="77" t="n">
        <f aca="false">IFERROR(INDEX('Injectable Value'!$Z$28:$Z$178,MATCH($C208,'Injectable Value'!$A$28:$A$178,0)),"")</f>
        <v>1</v>
      </c>
      <c r="T208" s="19" t="n">
        <f aca="false">IFERROR(ROUND(INDEX('Injectable Value'!$AA$28:$AA$178,MATCH($C208,'Injectable Value'!$A$28:$A$178,0)),1),"")</f>
        <v>59827.2</v>
      </c>
      <c r="U208" s="17" t="s">
        <v>717</v>
      </c>
      <c r="V208" s="16" t="n">
        <v>15</v>
      </c>
      <c r="W208" s="16" t="s">
        <v>716</v>
      </c>
      <c r="X208" s="16" t="s">
        <v>281</v>
      </c>
      <c r="Y208" s="16" t="s">
        <v>333</v>
      </c>
      <c r="Z208" s="17" t="str">
        <f aca="false">IFERROR(INDEX(Scoring!$U:$U,MATCH($C208&amp;"|"&amp;$E208,Scoring!$AD:$AD,0)),"")</f>
        <v>Reconstitution</v>
      </c>
      <c r="AA208" s="16" t="str">
        <f aca="false">IFERROR(INDEX(Scoring!$E:$E,MATCH($C208&amp;"|"&amp;$E208,Scoring!$AD:$AD,0)),"")</f>
        <v>Excluded – IV only</v>
      </c>
      <c r="AB208" s="19" t="n">
        <f aca="false">IFERROR(INDEX(Scoring!$M:$M,MATCH($C208&amp;"|"&amp;$E208,Scoring!$AD:$AD,0)),"")</f>
        <v>312</v>
      </c>
      <c r="AC208" s="16" t="str">
        <f aca="false">IFERROR(INDEX('Route of Administration'!$C$5:$C$155,MATCH($C208,'Route of Administration'!$A$5:$A$155,0)),"")</f>
        <v>IV</v>
      </c>
      <c r="AD208" s="15" t="str">
        <f aca="false">IFERROR(INDEX('Route of Administration'!$D$5:$D$155,MATCH($C208,'Route of Administration'!$A$5:$A$155,0)),"")</f>
        <v>No</v>
      </c>
      <c r="AE208" s="15" t="str">
        <f aca="false">IF($AD208="No","Not checked – drug is IV only",IFERROR(INDEX('Route of Administration'!$O$5:$O$170,MATCH($E208&amp;"|"&amp;$C208,'Route of Administration'!$S$5:$S$170,0)),"Not checked – price ≤ USD 5"))</f>
        <v>Not checked – drug is IV only</v>
      </c>
    </row>
    <row r="209" customFormat="false" ht="28.35" hidden="false" customHeight="false" outlineLevel="0" collapsed="false">
      <c r="B209" s="16" t="n">
        <v>207</v>
      </c>
      <c r="C209" s="16" t="s">
        <v>754</v>
      </c>
      <c r="D209" s="16" t="s">
        <v>755</v>
      </c>
      <c r="E209" s="16" t="s">
        <v>698</v>
      </c>
      <c r="F209" s="16" t="s">
        <v>1686</v>
      </c>
      <c r="G209" s="17" t="s">
        <v>1979</v>
      </c>
      <c r="H209" s="16" t="s">
        <v>1533</v>
      </c>
      <c r="I209" s="18" t="n">
        <v>22.7605</v>
      </c>
      <c r="J209" s="16" t="n">
        <v>1</v>
      </c>
      <c r="K209" s="16" t="n">
        <v>286</v>
      </c>
      <c r="L209" s="19" t="n">
        <v>3067.39</v>
      </c>
      <c r="M209" s="17" t="s">
        <v>756</v>
      </c>
      <c r="N209" s="18" t="n">
        <v>22.7605</v>
      </c>
      <c r="O209" s="16" t="s">
        <v>1534</v>
      </c>
      <c r="P209" s="16" t="s">
        <v>1535</v>
      </c>
      <c r="Q209" s="17" t="s">
        <v>1536</v>
      </c>
      <c r="R209" s="78" t="s">
        <v>1771</v>
      </c>
      <c r="S209" s="77" t="n">
        <f aca="false">IFERROR(INDEX('Injectable Value'!$Z$28:$Z$178,MATCH($C209,'Injectable Value'!$A$28:$A$178,0)),"")</f>
        <v>1</v>
      </c>
      <c r="T209" s="19" t="n">
        <f aca="false">IFERROR(ROUND(INDEX('Injectable Value'!$AA$28:$AA$178,MATCH($C209,'Injectable Value'!$A$28:$A$178,0)),1),"")</f>
        <v>3067.4</v>
      </c>
      <c r="U209" s="17" t="s">
        <v>516</v>
      </c>
      <c r="V209" s="16" t="n">
        <v>2</v>
      </c>
      <c r="W209" s="16" t="s">
        <v>515</v>
      </c>
      <c r="X209" s="16" t="s">
        <v>281</v>
      </c>
      <c r="Y209" s="16" t="s">
        <v>283</v>
      </c>
      <c r="Z209" s="17" t="str">
        <f aca="false">IFERROR(INDEX(Scoring!$U:$U,MATCH($C209&amp;"|"&amp;$E209,Scoring!$AD:$AD,0)),"")</f>
        <v/>
      </c>
      <c r="AA209" s="16" t="str">
        <f aca="false">IFERROR(INDEX(Scoring!$E:$E,MATCH($C209&amp;"|"&amp;$E209,Scoring!$AD:$AD,0)),"")</f>
        <v>Priority 2</v>
      </c>
      <c r="AB209" s="19" t="n">
        <f aca="false">IFERROR(INDEX(Scoring!$M:$M,MATCH($C209&amp;"|"&amp;$E209,Scoring!$AD:$AD,0)),"")</f>
        <v>286</v>
      </c>
      <c r="AC209" s="16" t="str">
        <f aca="false">IFERROR(INDEX('Route of Administration'!$C$5:$C$155,MATCH($C209,'Route of Administration'!$A$5:$A$155,0)),"")</f>
        <v>IV, IM</v>
      </c>
      <c r="AD209" s="15" t="str">
        <f aca="false">IFERROR(INDEX('Route of Administration'!$D$5:$D$155,MATCH($C209,'Route of Administration'!$A$5:$A$155,0)),"")</f>
        <v>Yes</v>
      </c>
      <c r="AE209" s="15" t="str">
        <f aca="false">IF($AD209="No","Not checked – drug is IV only",IFERROR(INDEX('Route of Administration'!$O$5:$O$170,MATCH($E209&amp;"|"&amp;$C209,'Route of Administration'!$S$5:$S$170,0)),"Not checked – price ≤ USD 5"))</f>
        <v>Pass</v>
      </c>
    </row>
    <row r="210" customFormat="false" ht="28.35" hidden="false" customHeight="false" outlineLevel="0" collapsed="false">
      <c r="B210" s="16" t="n">
        <v>208</v>
      </c>
      <c r="C210" s="16" t="s">
        <v>419</v>
      </c>
      <c r="D210" s="16" t="s">
        <v>419</v>
      </c>
      <c r="E210" s="16" t="s">
        <v>698</v>
      </c>
      <c r="F210" s="16" t="s">
        <v>1760</v>
      </c>
      <c r="G210" s="17" t="s">
        <v>1782</v>
      </c>
      <c r="H210" s="16" t="s">
        <v>1533</v>
      </c>
      <c r="I210" s="18" t="n">
        <v>36.5855</v>
      </c>
      <c r="J210" s="16" t="n">
        <v>1</v>
      </c>
      <c r="K210" s="16" t="n">
        <v>223</v>
      </c>
      <c r="L210" s="19" t="n">
        <v>53539.87</v>
      </c>
      <c r="M210" s="17" t="s">
        <v>421</v>
      </c>
      <c r="N210" s="18" t="n">
        <v>36.5855</v>
      </c>
      <c r="O210" s="16" t="s">
        <v>1534</v>
      </c>
      <c r="P210" s="16" t="s">
        <v>1700</v>
      </c>
      <c r="Q210" s="17" t="s">
        <v>1536</v>
      </c>
      <c r="R210" s="78" t="s">
        <v>1771</v>
      </c>
      <c r="S210" s="77" t="n">
        <f aca="false">IFERROR(INDEX('Injectable Value'!$Z$28:$Z$178,MATCH($C210,'Injectable Value'!$A$28:$A$178,0)),"")</f>
        <v>1</v>
      </c>
      <c r="T210" s="19" t="n">
        <f aca="false">IFERROR(ROUND(INDEX('Injectable Value'!$AA$28:$AA$178,MATCH($C210,'Injectable Value'!$A$28:$A$178,0)),1),"")</f>
        <v>53539.9</v>
      </c>
      <c r="U210" s="17" t="s">
        <v>464</v>
      </c>
      <c r="V210" s="16" t="n">
        <v>1</v>
      </c>
      <c r="W210" s="16" t="s">
        <v>463</v>
      </c>
      <c r="X210" s="16" t="s">
        <v>281</v>
      </c>
      <c r="Y210" s="16" t="s">
        <v>310</v>
      </c>
      <c r="Z210" s="17" t="str">
        <f aca="false">IFERROR(INDEX(Scoring!$U:$U,MATCH($C210&amp;"|"&amp;$E210,Scoring!$AD:$AD,0)),"")</f>
        <v/>
      </c>
      <c r="AA210" s="16" t="str">
        <f aca="false">IFERROR(INDEX(Scoring!$E:$E,MATCH($C210&amp;"|"&amp;$E210,Scoring!$AD:$AD,0)),"")</f>
        <v>Priority 1</v>
      </c>
      <c r="AB210" s="19" t="n">
        <f aca="false">IFERROR(INDEX(Scoring!$M:$M,MATCH($C210&amp;"|"&amp;$E210,Scoring!$AD:$AD,0)),"")</f>
        <v>223</v>
      </c>
      <c r="AC210" s="16" t="str">
        <f aca="false">IFERROR(INDEX('Route of Administration'!$C$5:$C$155,MATCH($C210,'Route of Administration'!$A$5:$A$155,0)),"")</f>
        <v>IV, IM</v>
      </c>
      <c r="AD210" s="15" t="str">
        <f aca="false">IFERROR(INDEX('Route of Administration'!$D$5:$D$155,MATCH($C210,'Route of Administration'!$A$5:$A$155,0)),"")</f>
        <v>Yes</v>
      </c>
      <c r="AE210" s="15" t="str">
        <f aca="false">IF($AD210="No","Not checked – drug is IV only",IFERROR(INDEX('Route of Administration'!$O$5:$O$170,MATCH($E210&amp;"|"&amp;$C210,'Route of Administration'!$S$5:$S$170,0)),"Not checked – price ≤ USD 5"))</f>
        <v>Pass</v>
      </c>
    </row>
    <row r="211" customFormat="false" ht="28.35" hidden="false" customHeight="false" outlineLevel="0" collapsed="false">
      <c r="B211" s="16" t="n">
        <v>209</v>
      </c>
      <c r="C211" s="16" t="s">
        <v>724</v>
      </c>
      <c r="D211" s="16" t="s">
        <v>1929</v>
      </c>
      <c r="E211" s="16" t="s">
        <v>698</v>
      </c>
      <c r="F211" s="16" t="s">
        <v>1980</v>
      </c>
      <c r="G211" s="17" t="s">
        <v>1981</v>
      </c>
      <c r="H211" s="16" t="s">
        <v>1533</v>
      </c>
      <c r="I211" s="18" t="n">
        <v>378</v>
      </c>
      <c r="J211" s="16" t="n">
        <v>1</v>
      </c>
      <c r="K211" s="16" t="n">
        <v>42</v>
      </c>
      <c r="L211" s="19" t="n">
        <v>1874.63</v>
      </c>
      <c r="M211" s="17" t="s">
        <v>726</v>
      </c>
      <c r="N211" s="18" t="n">
        <v>378</v>
      </c>
      <c r="O211" s="16" t="s">
        <v>1534</v>
      </c>
      <c r="P211" s="16" t="s">
        <v>1535</v>
      </c>
      <c r="Q211" s="17" t="s">
        <v>1536</v>
      </c>
      <c r="R211" s="78" t="s">
        <v>1771</v>
      </c>
      <c r="S211" s="77" t="n">
        <f aca="false">IFERROR(INDEX('Injectable Value'!$Z$28:$Z$178,MATCH($C211,'Injectable Value'!$A$28:$A$178,0)),"")</f>
        <v>1</v>
      </c>
      <c r="T211" s="19" t="n">
        <f aca="false">IFERROR(ROUND(INDEX('Injectable Value'!$AA$28:$AA$178,MATCH($C211,'Injectable Value'!$A$28:$A$178,0)),1),"")</f>
        <v>1874.6</v>
      </c>
      <c r="U211" s="17" t="s">
        <v>729</v>
      </c>
      <c r="V211" s="16" t="n">
        <v>8</v>
      </c>
      <c r="W211" s="16" t="s">
        <v>728</v>
      </c>
      <c r="X211" s="16" t="s">
        <v>281</v>
      </c>
      <c r="Y211" s="16" t="s">
        <v>283</v>
      </c>
      <c r="Z211" s="17" t="str">
        <f aca="false">IFERROR(INDEX(Scoring!$U:$U,MATCH($C211&amp;"|"&amp;$E211,Scoring!$AD:$AD,0)),"")</f>
        <v>Cancer drug (cytotoxic) – less relevant</v>
      </c>
      <c r="AA211" s="16" t="str">
        <f aca="false">IFERROR(INDEX(Scoring!$E:$E,MATCH($C211&amp;"|"&amp;$E211,Scoring!$AD:$AD,0)),"")</f>
        <v>Excluded – IV only</v>
      </c>
      <c r="AB211" s="19" t="n">
        <f aca="false">IFERROR(INDEX(Scoring!$M:$M,MATCH($C211&amp;"|"&amp;$E211,Scoring!$AD:$AD,0)),"")</f>
        <v>42</v>
      </c>
      <c r="AC211" s="16" t="str">
        <f aca="false">IFERROR(INDEX('Route of Administration'!$C$5:$C$155,MATCH($C211,'Route of Administration'!$A$5:$A$155,0)),"")</f>
        <v>IV</v>
      </c>
      <c r="AD211" s="15" t="str">
        <f aca="false">IFERROR(INDEX('Route of Administration'!$D$5:$D$155,MATCH($C211,'Route of Administration'!$A$5:$A$155,0)),"")</f>
        <v>No</v>
      </c>
      <c r="AE211" s="15" t="str">
        <f aca="false">IF($AD211="No","Not checked – drug is IV only",IFERROR(INDEX('Route of Administration'!$O$5:$O$170,MATCH($E211&amp;"|"&amp;$C211,'Route of Administration'!$S$5:$S$170,0)),"Not checked – price ≤ USD 5"))</f>
        <v>Not checked – drug is IV only</v>
      </c>
    </row>
    <row r="212" customFormat="false" ht="41.75" hidden="false" customHeight="false" outlineLevel="0" collapsed="false">
      <c r="B212" s="16" t="n">
        <v>210</v>
      </c>
      <c r="C212" s="16" t="s">
        <v>732</v>
      </c>
      <c r="D212" s="16" t="s">
        <v>733</v>
      </c>
      <c r="E212" s="16" t="s">
        <v>698</v>
      </c>
      <c r="F212" s="16" t="s">
        <v>1982</v>
      </c>
      <c r="G212" s="17" t="s">
        <v>1909</v>
      </c>
      <c r="H212" s="16" t="s">
        <v>1533</v>
      </c>
      <c r="I212" s="18" t="n">
        <v>28.679</v>
      </c>
      <c r="J212" s="16" t="n">
        <v>1</v>
      </c>
      <c r="K212" s="16" t="n">
        <v>132</v>
      </c>
      <c r="L212" s="19" t="n">
        <v>376.39</v>
      </c>
      <c r="M212" s="17" t="s">
        <v>734</v>
      </c>
      <c r="N212" s="18" t="n">
        <v>28.679</v>
      </c>
      <c r="O212" s="16" t="s">
        <v>1534</v>
      </c>
      <c r="P212" s="16" t="s">
        <v>1700</v>
      </c>
      <c r="Q212" s="17" t="s">
        <v>1536</v>
      </c>
      <c r="R212" s="78" t="s">
        <v>1799</v>
      </c>
      <c r="S212" s="77" t="n">
        <f aca="false">IFERROR(INDEX('Injectable Value'!$Z$28:$Z$178,MATCH($C212,'Injectable Value'!$A$28:$A$178,0)),"")</f>
        <v>0.993333333333333</v>
      </c>
      <c r="T212" s="19" t="n">
        <f aca="false">IFERROR(ROUND(INDEX('Injectable Value'!$AA$28:$AA$178,MATCH($C212,'Injectable Value'!$A$28:$A$178,0)),1),"")</f>
        <v>373.9</v>
      </c>
      <c r="U212" s="17" t="s">
        <v>614</v>
      </c>
      <c r="V212" s="16" t="n">
        <v>1</v>
      </c>
      <c r="W212" s="16" t="s">
        <v>112</v>
      </c>
      <c r="X212" s="16" t="s">
        <v>281</v>
      </c>
      <c r="Y212" s="16" t="s">
        <v>283</v>
      </c>
      <c r="Z212" s="17" t="str">
        <f aca="false">IFERROR(INDEX(Scoring!$U:$U,MATCH($C212&amp;"|"&amp;$E212,Scoring!$AD:$AD,0)),"")</f>
        <v/>
      </c>
      <c r="AA212" s="16" t="str">
        <f aca="false">IFERROR(INDEX(Scoring!$E:$E,MATCH($C212&amp;"|"&amp;$E212,Scoring!$AD:$AD,0)),"")</f>
        <v>Excluded – IV only</v>
      </c>
      <c r="AB212" s="19" t="n">
        <f aca="false">IFERROR(INDEX(Scoring!$M:$M,MATCH($C212&amp;"|"&amp;$E212,Scoring!$AD:$AD,0)),"")</f>
        <v>131</v>
      </c>
      <c r="AC212" s="16" t="str">
        <f aca="false">IFERROR(INDEX('Route of Administration'!$C$5:$C$155,MATCH($C212,'Route of Administration'!$A$5:$A$155,0)),"")</f>
        <v>IV</v>
      </c>
      <c r="AD212" s="15" t="str">
        <f aca="false">IFERROR(INDEX('Route of Administration'!$D$5:$D$155,MATCH($C212,'Route of Administration'!$A$5:$A$155,0)),"")</f>
        <v>No</v>
      </c>
      <c r="AE212" s="15" t="str">
        <f aca="false">IF($AD212="No","Not checked – drug is IV only",IFERROR(INDEX('Route of Administration'!$O$5:$O$170,MATCH($E212&amp;"|"&amp;$C212,'Route of Administration'!$S$5:$S$170,0)),"Not checked – price ≤ USD 5"))</f>
        <v>Not checked – drug is IV only</v>
      </c>
    </row>
    <row r="213" customFormat="false" ht="41.75" hidden="false" customHeight="false" outlineLevel="0" collapsed="false">
      <c r="B213" s="16" t="n">
        <v>211</v>
      </c>
      <c r="C213" s="16" t="s">
        <v>732</v>
      </c>
      <c r="D213" s="16" t="s">
        <v>733</v>
      </c>
      <c r="E213" s="16" t="s">
        <v>698</v>
      </c>
      <c r="F213" s="16" t="s">
        <v>1983</v>
      </c>
      <c r="G213" s="17" t="s">
        <v>1984</v>
      </c>
      <c r="H213" s="16" t="s">
        <v>1533</v>
      </c>
      <c r="I213" s="18" t="n">
        <v>57.358</v>
      </c>
      <c r="J213" s="16" t="n">
        <v>1</v>
      </c>
      <c r="K213" s="16" t="n">
        <v>132</v>
      </c>
      <c r="L213" s="19" t="n">
        <v>376.39</v>
      </c>
      <c r="M213" s="17" t="s">
        <v>734</v>
      </c>
      <c r="N213" s="18" t="n">
        <v>57.358</v>
      </c>
      <c r="O213" s="16" t="s">
        <v>1534</v>
      </c>
      <c r="P213" s="16" t="s">
        <v>1700</v>
      </c>
      <c r="Q213" s="17" t="s">
        <v>1536</v>
      </c>
      <c r="R213" s="78" t="s">
        <v>1799</v>
      </c>
      <c r="S213" s="77" t="n">
        <f aca="false">IFERROR(INDEX('Injectable Value'!$Z$28:$Z$178,MATCH($C213,'Injectable Value'!$A$28:$A$178,0)),"")</f>
        <v>0.993333333333333</v>
      </c>
      <c r="T213" s="19" t="n">
        <f aca="false">IFERROR(ROUND(INDEX('Injectable Value'!$AA$28:$AA$178,MATCH($C213,'Injectable Value'!$A$28:$A$178,0)),1),"")</f>
        <v>373.9</v>
      </c>
      <c r="U213" s="17" t="s">
        <v>614</v>
      </c>
      <c r="V213" s="16" t="n">
        <v>1</v>
      </c>
      <c r="W213" s="16" t="s">
        <v>112</v>
      </c>
      <c r="X213" s="16" t="s">
        <v>281</v>
      </c>
      <c r="Y213" s="16" t="s">
        <v>1547</v>
      </c>
      <c r="Z213" s="17" t="str">
        <f aca="false">IFERROR(INDEX(Scoring!$U:$U,MATCH($C213&amp;"|"&amp;$E213,Scoring!$AD:$AD,0)),"")</f>
        <v/>
      </c>
      <c r="AA213" s="16" t="str">
        <f aca="false">IFERROR(INDEX(Scoring!$E:$E,MATCH($C213&amp;"|"&amp;$E213,Scoring!$AD:$AD,0)),"")</f>
        <v>Excluded – IV only</v>
      </c>
      <c r="AB213" s="19" t="n">
        <f aca="false">IFERROR(INDEX(Scoring!$M:$M,MATCH($C213&amp;"|"&amp;$E213,Scoring!$AD:$AD,0)),"")</f>
        <v>131</v>
      </c>
      <c r="AC213" s="16" t="str">
        <f aca="false">IFERROR(INDEX('Route of Administration'!$C$5:$C$155,MATCH($C213,'Route of Administration'!$A$5:$A$155,0)),"")</f>
        <v>IV</v>
      </c>
      <c r="AD213" s="15" t="str">
        <f aca="false">IFERROR(INDEX('Route of Administration'!$D$5:$D$155,MATCH($C213,'Route of Administration'!$A$5:$A$155,0)),"")</f>
        <v>No</v>
      </c>
      <c r="AE213" s="15" t="str">
        <f aca="false">IF($AD213="No","Not checked – drug is IV only",IFERROR(INDEX('Route of Administration'!$O$5:$O$170,MATCH($E213&amp;"|"&amp;$C213,'Route of Administration'!$S$5:$S$170,0)),"Not checked – price ≤ USD 5"))</f>
        <v>Not checked – drug is IV only</v>
      </c>
    </row>
    <row r="214" customFormat="false" ht="41.75" hidden="false" customHeight="false" outlineLevel="0" collapsed="false">
      <c r="B214" s="16" t="n">
        <v>212</v>
      </c>
      <c r="C214" s="16" t="s">
        <v>732</v>
      </c>
      <c r="D214" s="16" t="s">
        <v>733</v>
      </c>
      <c r="E214" s="16" t="s">
        <v>698</v>
      </c>
      <c r="F214" s="16" t="s">
        <v>1985</v>
      </c>
      <c r="G214" s="17" t="s">
        <v>1850</v>
      </c>
      <c r="H214" s="16" t="s">
        <v>1533</v>
      </c>
      <c r="I214" s="18" t="n">
        <v>5.733</v>
      </c>
      <c r="J214" s="16" t="n">
        <v>1</v>
      </c>
      <c r="K214" s="16" t="n">
        <v>132</v>
      </c>
      <c r="L214" s="19" t="n">
        <v>376.39</v>
      </c>
      <c r="M214" s="17" t="s">
        <v>734</v>
      </c>
      <c r="N214" s="18" t="n">
        <v>5.733</v>
      </c>
      <c r="O214" s="16" t="s">
        <v>1534</v>
      </c>
      <c r="P214" s="16" t="s">
        <v>1535</v>
      </c>
      <c r="Q214" s="17" t="s">
        <v>1536</v>
      </c>
      <c r="R214" s="78" t="s">
        <v>1986</v>
      </c>
      <c r="S214" s="77" t="n">
        <f aca="false">IFERROR(INDEX('Injectable Value'!$Z$28:$Z$178,MATCH($C214,'Injectable Value'!$A$28:$A$178,0)),"")</f>
        <v>0.993333333333333</v>
      </c>
      <c r="T214" s="19" t="n">
        <f aca="false">IFERROR(ROUND(INDEX('Injectable Value'!$AA$28:$AA$178,MATCH($C214,'Injectable Value'!$A$28:$A$178,0)),1),"")</f>
        <v>373.9</v>
      </c>
      <c r="U214" s="17" t="s">
        <v>614</v>
      </c>
      <c r="V214" s="16" t="n">
        <v>1</v>
      </c>
      <c r="W214" s="16" t="s">
        <v>112</v>
      </c>
      <c r="X214" s="16" t="s">
        <v>281</v>
      </c>
      <c r="Y214" s="16" t="s">
        <v>283</v>
      </c>
      <c r="Z214" s="17" t="str">
        <f aca="false">IFERROR(INDEX(Scoring!$U:$U,MATCH($C214&amp;"|"&amp;$E214,Scoring!$AD:$AD,0)),"")</f>
        <v/>
      </c>
      <c r="AA214" s="16" t="str">
        <f aca="false">IFERROR(INDEX(Scoring!$E:$E,MATCH($C214&amp;"|"&amp;$E214,Scoring!$AD:$AD,0)),"")</f>
        <v>Excluded – IV only</v>
      </c>
      <c r="AB214" s="19" t="n">
        <f aca="false">IFERROR(INDEX(Scoring!$M:$M,MATCH($C214&amp;"|"&amp;$E214,Scoring!$AD:$AD,0)),"")</f>
        <v>131</v>
      </c>
      <c r="AC214" s="16" t="str">
        <f aca="false">IFERROR(INDEX('Route of Administration'!$C$5:$C$155,MATCH($C214,'Route of Administration'!$A$5:$A$155,0)),"")</f>
        <v>IV</v>
      </c>
      <c r="AD214" s="15" t="str">
        <f aca="false">IFERROR(INDEX('Route of Administration'!$D$5:$D$155,MATCH($C214,'Route of Administration'!$A$5:$A$155,0)),"")</f>
        <v>No</v>
      </c>
      <c r="AE214" s="15" t="str">
        <f aca="false">IF($AD214="No","Not checked – drug is IV only",IFERROR(INDEX('Route of Administration'!$O$5:$O$170,MATCH($E214&amp;"|"&amp;$C214,'Route of Administration'!$S$5:$S$170,0)),"Not checked – price ≤ USD 5"))</f>
        <v>Not checked – drug is IV only</v>
      </c>
    </row>
    <row r="215" customFormat="false" ht="28.35" hidden="false" customHeight="false" outlineLevel="0" collapsed="false">
      <c r="B215" s="16" t="n">
        <v>213</v>
      </c>
      <c r="C215" s="16" t="s">
        <v>724</v>
      </c>
      <c r="D215" s="16" t="s">
        <v>1987</v>
      </c>
      <c r="E215" s="16" t="s">
        <v>698</v>
      </c>
      <c r="F215" s="16" t="s">
        <v>1988</v>
      </c>
      <c r="G215" s="17" t="s">
        <v>1850</v>
      </c>
      <c r="H215" s="16" t="s">
        <v>1533</v>
      </c>
      <c r="I215" s="18" t="n">
        <v>113.715</v>
      </c>
      <c r="J215" s="16" t="n">
        <v>1</v>
      </c>
      <c r="K215" s="16" t="n">
        <v>42</v>
      </c>
      <c r="L215" s="19" t="n">
        <v>1874.63</v>
      </c>
      <c r="M215" s="17" t="s">
        <v>726</v>
      </c>
      <c r="N215" s="18" t="n">
        <v>113.715</v>
      </c>
      <c r="O215" s="16" t="s">
        <v>1534</v>
      </c>
      <c r="P215" s="16" t="s">
        <v>1700</v>
      </c>
      <c r="Q215" s="17" t="s">
        <v>1536</v>
      </c>
      <c r="R215" s="78" t="s">
        <v>1806</v>
      </c>
      <c r="S215" s="77" t="n">
        <f aca="false">IFERROR(INDEX('Injectable Value'!$Z$28:$Z$178,MATCH($C215,'Injectable Value'!$A$28:$A$178,0)),"")</f>
        <v>1</v>
      </c>
      <c r="T215" s="19" t="n">
        <f aca="false">IFERROR(ROUND(INDEX('Injectable Value'!$AA$28:$AA$178,MATCH($C215,'Injectable Value'!$A$28:$A$178,0)),1),"")</f>
        <v>1874.6</v>
      </c>
      <c r="U215" s="17" t="s">
        <v>729</v>
      </c>
      <c r="V215" s="16" t="n">
        <v>8</v>
      </c>
      <c r="W215" s="16" t="s">
        <v>728</v>
      </c>
      <c r="X215" s="16" t="s">
        <v>281</v>
      </c>
      <c r="Y215" s="16" t="s">
        <v>283</v>
      </c>
      <c r="Z215" s="17" t="str">
        <f aca="false">IFERROR(INDEX(Scoring!$U:$U,MATCH($C215&amp;"|"&amp;$E215,Scoring!$AD:$AD,0)),"")</f>
        <v>Cancer drug (cytotoxic) – less relevant</v>
      </c>
      <c r="AA215" s="16" t="str">
        <f aca="false">IFERROR(INDEX(Scoring!$E:$E,MATCH($C215&amp;"|"&amp;$E215,Scoring!$AD:$AD,0)),"")</f>
        <v>Excluded – IV only</v>
      </c>
      <c r="AB215" s="19" t="n">
        <f aca="false">IFERROR(INDEX(Scoring!$M:$M,MATCH($C215&amp;"|"&amp;$E215,Scoring!$AD:$AD,0)),"")</f>
        <v>42</v>
      </c>
      <c r="AC215" s="16" t="str">
        <f aca="false">IFERROR(INDEX('Route of Administration'!$C$5:$C$155,MATCH($C215,'Route of Administration'!$A$5:$A$155,0)),"")</f>
        <v>IV</v>
      </c>
      <c r="AD215" s="15" t="str">
        <f aca="false">IFERROR(INDEX('Route of Administration'!$D$5:$D$155,MATCH($C215,'Route of Administration'!$A$5:$A$155,0)),"")</f>
        <v>No</v>
      </c>
      <c r="AE215" s="15" t="str">
        <f aca="false">IF($AD215="No","Not checked – drug is IV only",IFERROR(INDEX('Route of Administration'!$O$5:$O$170,MATCH($E215&amp;"|"&amp;$C215,'Route of Administration'!$S$5:$S$170,0)),"Not checked – price ≤ USD 5"))</f>
        <v>Not checked – drug is IV only</v>
      </c>
    </row>
    <row r="216" customFormat="false" ht="28.35" hidden="false" customHeight="false" outlineLevel="0" collapsed="false">
      <c r="B216" s="16" t="n">
        <v>214</v>
      </c>
      <c r="C216" s="16" t="s">
        <v>278</v>
      </c>
      <c r="D216" s="16" t="s">
        <v>1989</v>
      </c>
      <c r="E216" s="16" t="s">
        <v>698</v>
      </c>
      <c r="F216" s="16" t="s">
        <v>1990</v>
      </c>
      <c r="G216" s="17" t="s">
        <v>1870</v>
      </c>
      <c r="H216" s="16" t="s">
        <v>1533</v>
      </c>
      <c r="I216" s="18"/>
      <c r="J216" s="16" t="n">
        <v>1</v>
      </c>
      <c r="K216" s="16" t="n">
        <v>156</v>
      </c>
      <c r="L216" s="19" t="n">
        <v>3954.83</v>
      </c>
      <c r="M216" s="17" t="s">
        <v>280</v>
      </c>
      <c r="N216" s="82" t="n">
        <v>127.38</v>
      </c>
      <c r="O216" s="64" t="s">
        <v>1541</v>
      </c>
      <c r="P216" s="16" t="s">
        <v>1535</v>
      </c>
      <c r="Q216" s="17" t="s">
        <v>1864</v>
      </c>
      <c r="R216" s="78" t="s">
        <v>1865</v>
      </c>
      <c r="S216" s="77" t="n">
        <f aca="false">IFERROR(INDEX('Injectable Value'!$Z$28:$Z$178,MATCH($C216,'Injectable Value'!$A$28:$A$178,0)),"")</f>
        <v>0.916666666666667</v>
      </c>
      <c r="T216" s="19" t="n">
        <f aca="false">IFERROR(ROUND(INDEX('Injectable Value'!$AA$28:$AA$178,MATCH($C216,'Injectable Value'!$A$28:$A$178,0)),1),"")</f>
        <v>3625.3</v>
      </c>
      <c r="U216" s="17" t="s">
        <v>635</v>
      </c>
      <c r="V216" s="16" t="n">
        <v>2</v>
      </c>
      <c r="W216" s="16" t="s">
        <v>284</v>
      </c>
      <c r="X216" s="16" t="s">
        <v>281</v>
      </c>
      <c r="Y216" s="16" t="s">
        <v>283</v>
      </c>
      <c r="Z216" s="17" t="str">
        <f aca="false">IFERROR(INDEX(Scoring!$U:$U,MATCH($C216&amp;"|"&amp;$E216,Scoring!$AD:$AD,0)),"")</f>
        <v/>
      </c>
      <c r="AA216" s="16" t="str">
        <f aca="false">IFERROR(INDEX(Scoring!$E:$E,MATCH($C216&amp;"|"&amp;$E216,Scoring!$AD:$AD,0)),"")</f>
        <v>Priority 2</v>
      </c>
      <c r="AB216" s="19" t="n">
        <f aca="false">IFERROR(INDEX(Scoring!$M:$M,MATCH($C216&amp;"|"&amp;$E216,Scoring!$AD:$AD,0)),"")</f>
        <v>143</v>
      </c>
      <c r="AC216" s="16" t="str">
        <f aca="false">IFERROR(INDEX('Route of Administration'!$C$5:$C$155,MATCH($C216,'Route of Administration'!$A$5:$A$155,0)),"")</f>
        <v>IM</v>
      </c>
      <c r="AD216" s="15" t="str">
        <f aca="false">IFERROR(INDEX('Route of Administration'!$D$5:$D$155,MATCH($C216,'Route of Administration'!$A$5:$A$155,0)),"")</f>
        <v>Yes</v>
      </c>
      <c r="AE216" s="15" t="str">
        <f aca="false">IF($AD216="No","Not checked – drug is IV only",IFERROR(INDEX('Route of Administration'!$O$5:$O$170,MATCH($E216&amp;"|"&amp;$C216,'Route of Administration'!$S$5:$S$170,0)),"Not checked – price ≤ USD 5"))</f>
        <v>Pass</v>
      </c>
    </row>
    <row r="217" customFormat="false" ht="41.75" hidden="false" customHeight="false" outlineLevel="0" collapsed="false">
      <c r="B217" s="16" t="n">
        <v>215</v>
      </c>
      <c r="C217" s="16" t="s">
        <v>388</v>
      </c>
      <c r="D217" s="16" t="s">
        <v>1991</v>
      </c>
      <c r="E217" s="16" t="s">
        <v>698</v>
      </c>
      <c r="F217" s="16" t="s">
        <v>1854</v>
      </c>
      <c r="G217" s="17" t="s">
        <v>1855</v>
      </c>
      <c r="H217" s="16" t="s">
        <v>1533</v>
      </c>
      <c r="I217" s="18"/>
      <c r="J217" s="16" t="n">
        <v>1</v>
      </c>
      <c r="K217" s="16" t="n">
        <v>312</v>
      </c>
      <c r="L217" s="19" t="n">
        <v>59827.18</v>
      </c>
      <c r="M217" s="17" t="s">
        <v>390</v>
      </c>
      <c r="N217" s="18"/>
      <c r="O217" s="16" t="s">
        <v>1573</v>
      </c>
      <c r="P217" s="16" t="s">
        <v>112</v>
      </c>
      <c r="Q217" s="17" t="s">
        <v>112</v>
      </c>
      <c r="R217" s="16"/>
      <c r="S217" s="77" t="n">
        <f aca="false">IFERROR(INDEX('Injectable Value'!$Z$28:$Z$178,MATCH($C217,'Injectable Value'!$A$28:$A$178,0)),"")</f>
        <v>1</v>
      </c>
      <c r="T217" s="19" t="n">
        <f aca="false">IFERROR(ROUND(INDEX('Injectable Value'!$AA$28:$AA$178,MATCH($C217,'Injectable Value'!$A$28:$A$178,0)),1),"")</f>
        <v>59827.2</v>
      </c>
      <c r="U217" s="17" t="s">
        <v>717</v>
      </c>
      <c r="V217" s="16" t="n">
        <v>15</v>
      </c>
      <c r="W217" s="16" t="s">
        <v>716</v>
      </c>
      <c r="X217" s="16" t="s">
        <v>281</v>
      </c>
      <c r="Y217" s="16" t="s">
        <v>333</v>
      </c>
      <c r="Z217" s="17" t="str">
        <f aca="false">IFERROR(INDEX(Scoring!$U:$U,MATCH($C217&amp;"|"&amp;$E217,Scoring!$AD:$AD,0)),"")</f>
        <v>Reconstitution</v>
      </c>
      <c r="AA217" s="16" t="str">
        <f aca="false">IFERROR(INDEX(Scoring!$E:$E,MATCH($C217&amp;"|"&amp;$E217,Scoring!$AD:$AD,0)),"")</f>
        <v>Excluded – IV only</v>
      </c>
      <c r="AB217" s="19" t="n">
        <f aca="false">IFERROR(INDEX(Scoring!$M:$M,MATCH($C217&amp;"|"&amp;$E217,Scoring!$AD:$AD,0)),"")</f>
        <v>312</v>
      </c>
      <c r="AC217" s="16" t="str">
        <f aca="false">IFERROR(INDEX('Route of Administration'!$C$5:$C$155,MATCH($C217,'Route of Administration'!$A$5:$A$155,0)),"")</f>
        <v>IV</v>
      </c>
      <c r="AD217" s="15" t="str">
        <f aca="false">IFERROR(INDEX('Route of Administration'!$D$5:$D$155,MATCH($C217,'Route of Administration'!$A$5:$A$155,0)),"")</f>
        <v>No</v>
      </c>
      <c r="AE217" s="15" t="str">
        <f aca="false">IF($AD217="No","Not checked – drug is IV only",IFERROR(INDEX('Route of Administration'!$O$5:$O$170,MATCH($E217&amp;"|"&amp;$C217,'Route of Administration'!$S$5:$S$170,0)),"Not checked – price ≤ USD 5"))</f>
        <v>Not checked – drug is IV only</v>
      </c>
    </row>
    <row r="218" customFormat="false" ht="41.75" hidden="false" customHeight="false" outlineLevel="0" collapsed="false">
      <c r="B218" s="16" t="n">
        <v>216</v>
      </c>
      <c r="C218" s="16" t="s">
        <v>388</v>
      </c>
      <c r="D218" s="16" t="s">
        <v>1991</v>
      </c>
      <c r="E218" s="16" t="s">
        <v>698</v>
      </c>
      <c r="F218" s="16" t="s">
        <v>1787</v>
      </c>
      <c r="G218" s="17" t="s">
        <v>1788</v>
      </c>
      <c r="H218" s="16" t="s">
        <v>1533</v>
      </c>
      <c r="I218" s="18"/>
      <c r="J218" s="16" t="n">
        <v>1</v>
      </c>
      <c r="K218" s="16" t="n">
        <v>312</v>
      </c>
      <c r="L218" s="19" t="n">
        <v>59827.18</v>
      </c>
      <c r="M218" s="17" t="s">
        <v>390</v>
      </c>
      <c r="N218" s="18"/>
      <c r="O218" s="16" t="s">
        <v>1573</v>
      </c>
      <c r="P218" s="16" t="s">
        <v>112</v>
      </c>
      <c r="Q218" s="17" t="s">
        <v>112</v>
      </c>
      <c r="R218" s="16"/>
      <c r="S218" s="77" t="n">
        <f aca="false">IFERROR(INDEX('Injectable Value'!$Z$28:$Z$178,MATCH($C218,'Injectable Value'!$A$28:$A$178,0)),"")</f>
        <v>1</v>
      </c>
      <c r="T218" s="19" t="n">
        <f aca="false">IFERROR(ROUND(INDEX('Injectable Value'!$AA$28:$AA$178,MATCH($C218,'Injectable Value'!$A$28:$A$178,0)),1),"")</f>
        <v>59827.2</v>
      </c>
      <c r="U218" s="17" t="s">
        <v>717</v>
      </c>
      <c r="V218" s="16" t="n">
        <v>15</v>
      </c>
      <c r="W218" s="16" t="s">
        <v>716</v>
      </c>
      <c r="X218" s="16" t="s">
        <v>281</v>
      </c>
      <c r="Y218" s="16" t="s">
        <v>333</v>
      </c>
      <c r="Z218" s="17" t="str">
        <f aca="false">IFERROR(INDEX(Scoring!$U:$U,MATCH($C218&amp;"|"&amp;$E218,Scoring!$AD:$AD,0)),"")</f>
        <v>Reconstitution</v>
      </c>
      <c r="AA218" s="16" t="str">
        <f aca="false">IFERROR(INDEX(Scoring!$E:$E,MATCH($C218&amp;"|"&amp;$E218,Scoring!$AD:$AD,0)),"")</f>
        <v>Excluded – IV only</v>
      </c>
      <c r="AB218" s="19" t="n">
        <f aca="false">IFERROR(INDEX(Scoring!$M:$M,MATCH($C218&amp;"|"&amp;$E218,Scoring!$AD:$AD,0)),"")</f>
        <v>312</v>
      </c>
      <c r="AC218" s="16" t="str">
        <f aca="false">IFERROR(INDEX('Route of Administration'!$C$5:$C$155,MATCH($C218,'Route of Administration'!$A$5:$A$155,0)),"")</f>
        <v>IV</v>
      </c>
      <c r="AD218" s="15" t="str">
        <f aca="false">IFERROR(INDEX('Route of Administration'!$D$5:$D$155,MATCH($C218,'Route of Administration'!$A$5:$A$155,0)),"")</f>
        <v>No</v>
      </c>
      <c r="AE218" s="15" t="str">
        <f aca="false">IF($AD218="No","Not checked – drug is IV only",IFERROR(INDEX('Route of Administration'!$O$5:$O$170,MATCH($E218&amp;"|"&amp;$C218,'Route of Administration'!$S$5:$S$170,0)),"Not checked – price ≤ USD 5"))</f>
        <v>Not checked – drug is IV only</v>
      </c>
    </row>
    <row r="219" customFormat="false" ht="55.2" hidden="false" customHeight="false" outlineLevel="0" collapsed="false">
      <c r="B219" s="16" t="n">
        <v>217</v>
      </c>
      <c r="C219" s="16" t="s">
        <v>665</v>
      </c>
      <c r="D219" s="16" t="s">
        <v>1992</v>
      </c>
      <c r="E219" s="16" t="s">
        <v>698</v>
      </c>
      <c r="F219" s="16" t="s">
        <v>1849</v>
      </c>
      <c r="G219" s="17" t="s">
        <v>1850</v>
      </c>
      <c r="H219" s="16" t="s">
        <v>1533</v>
      </c>
      <c r="I219" s="18"/>
      <c r="J219" s="16" t="n">
        <v>1</v>
      </c>
      <c r="K219" s="16" t="n">
        <v>346</v>
      </c>
      <c r="L219" s="19" t="n">
        <v>32830.17</v>
      </c>
      <c r="M219" s="17" t="s">
        <v>667</v>
      </c>
      <c r="N219" s="18"/>
      <c r="O219" s="16" t="s">
        <v>1573</v>
      </c>
      <c r="P219" s="16" t="s">
        <v>112</v>
      </c>
      <c r="Q219" s="17" t="s">
        <v>112</v>
      </c>
      <c r="R219" s="16"/>
      <c r="S219" s="77" t="n">
        <f aca="false">IFERROR(INDEX('Injectable Value'!$Z$28:$Z$178,MATCH($C219,'Injectable Value'!$A$28:$A$178,0)),"")</f>
        <v>1</v>
      </c>
      <c r="T219" s="19" t="n">
        <f aca="false">IFERROR(ROUND(INDEX('Injectable Value'!$AA$28:$AA$178,MATCH($C219,'Injectable Value'!$A$28:$A$178,0)),1),"")</f>
        <v>32830.2</v>
      </c>
      <c r="U219" s="17" t="s">
        <v>761</v>
      </c>
      <c r="V219" s="16" t="n">
        <v>21</v>
      </c>
      <c r="W219" s="16" t="s">
        <v>760</v>
      </c>
      <c r="X219" s="16" t="s">
        <v>281</v>
      </c>
      <c r="Y219" s="16" t="s">
        <v>283</v>
      </c>
      <c r="Z219" s="17" t="str">
        <f aca="false">IFERROR(INDEX(Scoring!$U:$U,MATCH($C219&amp;"|"&amp;$E219,Scoring!$AD:$AD,0)),"")</f>
        <v/>
      </c>
      <c r="AA219" s="16" t="str">
        <f aca="false">IFERROR(INDEX(Scoring!$E:$E,MATCH($C219&amp;"|"&amp;$E219,Scoring!$AD:$AD,0)),"")</f>
        <v>Excluded – IV only</v>
      </c>
      <c r="AB219" s="19" t="n">
        <f aca="false">IFERROR(INDEX(Scoring!$M:$M,MATCH($C219&amp;"|"&amp;$E219,Scoring!$AD:$AD,0)),"")</f>
        <v>346</v>
      </c>
      <c r="AC219" s="16" t="str">
        <f aca="false">IFERROR(INDEX('Route of Administration'!$C$5:$C$155,MATCH($C219,'Route of Administration'!$A$5:$A$155,0)),"")</f>
        <v>IV</v>
      </c>
      <c r="AD219" s="15" t="str">
        <f aca="false">IFERROR(INDEX('Route of Administration'!$D$5:$D$155,MATCH($C219,'Route of Administration'!$A$5:$A$155,0)),"")</f>
        <v>No</v>
      </c>
      <c r="AE219" s="15" t="str">
        <f aca="false">IF($AD219="No","Not checked – drug is IV only",IFERROR(INDEX('Route of Administration'!$O$5:$O$170,MATCH($E219&amp;"|"&amp;$C219,'Route of Administration'!$S$5:$S$170,0)),"Not checked – price ≤ USD 5"))</f>
        <v>Not checked – drug is IV only</v>
      </c>
    </row>
    <row r="220" customFormat="false" ht="55.2" hidden="false" customHeight="false" outlineLevel="0" collapsed="false">
      <c r="B220" s="16" t="n">
        <v>218</v>
      </c>
      <c r="C220" s="16" t="s">
        <v>665</v>
      </c>
      <c r="D220" s="16" t="s">
        <v>1993</v>
      </c>
      <c r="E220" s="16" t="s">
        <v>698</v>
      </c>
      <c r="F220" s="16" t="s">
        <v>1851</v>
      </c>
      <c r="G220" s="17" t="s">
        <v>1852</v>
      </c>
      <c r="H220" s="16" t="s">
        <v>1533</v>
      </c>
      <c r="I220" s="18"/>
      <c r="J220" s="16" t="n">
        <v>1</v>
      </c>
      <c r="K220" s="16" t="n">
        <v>346</v>
      </c>
      <c r="L220" s="19" t="n">
        <v>32830.17</v>
      </c>
      <c r="M220" s="17" t="s">
        <v>667</v>
      </c>
      <c r="N220" s="18"/>
      <c r="O220" s="16" t="s">
        <v>1573</v>
      </c>
      <c r="P220" s="16" t="s">
        <v>112</v>
      </c>
      <c r="Q220" s="17" t="s">
        <v>112</v>
      </c>
      <c r="R220" s="16"/>
      <c r="S220" s="77" t="n">
        <f aca="false">IFERROR(INDEX('Injectable Value'!$Z$28:$Z$178,MATCH($C220,'Injectable Value'!$A$28:$A$178,0)),"")</f>
        <v>1</v>
      </c>
      <c r="T220" s="19" t="n">
        <f aca="false">IFERROR(ROUND(INDEX('Injectable Value'!$AA$28:$AA$178,MATCH($C220,'Injectable Value'!$A$28:$A$178,0)),1),"")</f>
        <v>32830.2</v>
      </c>
      <c r="U220" s="17" t="s">
        <v>761</v>
      </c>
      <c r="V220" s="16" t="n">
        <v>21</v>
      </c>
      <c r="W220" s="16" t="s">
        <v>760</v>
      </c>
      <c r="X220" s="16" t="s">
        <v>281</v>
      </c>
      <c r="Y220" s="16" t="s">
        <v>283</v>
      </c>
      <c r="Z220" s="17" t="str">
        <f aca="false">IFERROR(INDEX(Scoring!$U:$U,MATCH($C220&amp;"|"&amp;$E220,Scoring!$AD:$AD,0)),"")</f>
        <v/>
      </c>
      <c r="AA220" s="16" t="str">
        <f aca="false">IFERROR(INDEX(Scoring!$E:$E,MATCH($C220&amp;"|"&amp;$E220,Scoring!$AD:$AD,0)),"")</f>
        <v>Excluded – IV only</v>
      </c>
      <c r="AB220" s="19" t="n">
        <f aca="false">IFERROR(INDEX(Scoring!$M:$M,MATCH($C220&amp;"|"&amp;$E220,Scoring!$AD:$AD,0)),"")</f>
        <v>346</v>
      </c>
      <c r="AC220" s="16" t="str">
        <f aca="false">IFERROR(INDEX('Route of Administration'!$C$5:$C$155,MATCH($C220,'Route of Administration'!$A$5:$A$155,0)),"")</f>
        <v>IV</v>
      </c>
      <c r="AD220" s="15" t="str">
        <f aca="false">IFERROR(INDEX('Route of Administration'!$D$5:$D$155,MATCH($C220,'Route of Administration'!$A$5:$A$155,0)),"")</f>
        <v>No</v>
      </c>
      <c r="AE220" s="15" t="str">
        <f aca="false">IF($AD220="No","Not checked – drug is IV only",IFERROR(INDEX('Route of Administration'!$O$5:$O$170,MATCH($E220&amp;"|"&amp;$C220,'Route of Administration'!$S$5:$S$170,0)),"Not checked – price ≤ USD 5"))</f>
        <v>Not checked – drug is IV only</v>
      </c>
    </row>
    <row r="221" customFormat="false" ht="28.35" hidden="false" customHeight="false" outlineLevel="0" collapsed="false">
      <c r="B221" s="16" t="n">
        <v>219</v>
      </c>
      <c r="C221" s="16" t="s">
        <v>529</v>
      </c>
      <c r="D221" s="16" t="s">
        <v>1994</v>
      </c>
      <c r="E221" s="16" t="s">
        <v>698</v>
      </c>
      <c r="F221" s="16" t="s">
        <v>1872</v>
      </c>
      <c r="G221" s="17" t="s">
        <v>1852</v>
      </c>
      <c r="H221" s="16" t="s">
        <v>1533</v>
      </c>
      <c r="I221" s="18" t="n">
        <v>6.937</v>
      </c>
      <c r="J221" s="16" t="n">
        <v>1</v>
      </c>
      <c r="K221" s="16" t="n">
        <v>119</v>
      </c>
      <c r="L221" s="19" t="n">
        <v>3113.83</v>
      </c>
      <c r="M221" s="17" t="s">
        <v>531</v>
      </c>
      <c r="N221" s="18" t="n">
        <v>6.937</v>
      </c>
      <c r="O221" s="16" t="s">
        <v>1534</v>
      </c>
      <c r="P221" s="16" t="s">
        <v>1700</v>
      </c>
      <c r="Q221" s="17" t="s">
        <v>1536</v>
      </c>
      <c r="R221" s="78" t="s">
        <v>1799</v>
      </c>
      <c r="S221" s="77" t="n">
        <f aca="false">IFERROR(INDEX('Injectable Value'!$Z$28:$Z$178,MATCH($C221,'Injectable Value'!$A$28:$A$178,0)),"")</f>
        <v>0.899884259259259</v>
      </c>
      <c r="T221" s="19" t="n">
        <f aca="false">IFERROR(ROUND(INDEX('Injectable Value'!$AA$28:$AA$178,MATCH($C221,'Injectable Value'!$A$28:$A$178,0)),1),"")</f>
        <v>2802.1</v>
      </c>
      <c r="U221" s="17" t="s">
        <v>752</v>
      </c>
      <c r="V221" s="16" t="n">
        <v>5</v>
      </c>
      <c r="W221" s="16" t="s">
        <v>751</v>
      </c>
      <c r="X221" s="16" t="s">
        <v>281</v>
      </c>
      <c r="Y221" s="16" t="s">
        <v>283</v>
      </c>
      <c r="Z221" s="17" t="str">
        <f aca="false">IFERROR(INDEX(Scoring!$U:$U,MATCH($C221&amp;"|"&amp;$E221,Scoring!$AD:$AD,0)),"")</f>
        <v/>
      </c>
      <c r="AA221" s="16" t="str">
        <f aca="false">IFERROR(INDEX(Scoring!$E:$E,MATCH($C221&amp;"|"&amp;$E221,Scoring!$AD:$AD,0)),"")</f>
        <v>Excluded – IV only</v>
      </c>
      <c r="AB221" s="19" t="n">
        <f aca="false">IFERROR(INDEX(Scoring!$M:$M,MATCH($C221&amp;"|"&amp;$E221,Scoring!$AD:$AD,0)),"")</f>
        <v>107</v>
      </c>
      <c r="AC221" s="16" t="str">
        <f aca="false">IFERROR(INDEX('Route of Administration'!$C$5:$C$155,MATCH($C221,'Route of Administration'!$A$5:$A$155,0)),"")</f>
        <v>IV</v>
      </c>
      <c r="AD221" s="15" t="str">
        <f aca="false">IFERROR(INDEX('Route of Administration'!$D$5:$D$155,MATCH($C221,'Route of Administration'!$A$5:$A$155,0)),"")</f>
        <v>No</v>
      </c>
      <c r="AE221" s="15" t="str">
        <f aca="false">IF($AD221="No","Not checked – drug is IV only",IFERROR(INDEX('Route of Administration'!$O$5:$O$170,MATCH($E221&amp;"|"&amp;$C221,'Route of Administration'!$S$5:$S$170,0)),"Not checked – price ≤ USD 5"))</f>
        <v>Not checked – drug is IV only</v>
      </c>
    </row>
    <row r="222" customFormat="false" ht="95.5" hidden="false" customHeight="false" outlineLevel="0" collapsed="false">
      <c r="B222" s="16" t="n">
        <v>220</v>
      </c>
      <c r="C222" s="16" t="s">
        <v>329</v>
      </c>
      <c r="D222" s="16" t="s">
        <v>1995</v>
      </c>
      <c r="E222" s="16" t="s">
        <v>698</v>
      </c>
      <c r="F222" s="16" t="s">
        <v>1801</v>
      </c>
      <c r="G222" s="17" t="s">
        <v>1802</v>
      </c>
      <c r="H222" s="16" t="s">
        <v>1533</v>
      </c>
      <c r="I222" s="18" t="n">
        <v>10.241</v>
      </c>
      <c r="J222" s="16" t="n">
        <v>1</v>
      </c>
      <c r="K222" s="16" t="n">
        <v>762</v>
      </c>
      <c r="L222" s="19" t="n">
        <v>50865.56</v>
      </c>
      <c r="M222" s="17" t="s">
        <v>331</v>
      </c>
      <c r="N222" s="18" t="n">
        <v>10.241</v>
      </c>
      <c r="O222" s="16" t="s">
        <v>1534</v>
      </c>
      <c r="P222" s="16" t="s">
        <v>1700</v>
      </c>
      <c r="Q222" s="17" t="s">
        <v>1536</v>
      </c>
      <c r="R222" s="78" t="s">
        <v>1799</v>
      </c>
      <c r="S222" s="77" t="n">
        <f aca="false">IFERROR(INDEX('Injectable Value'!$Z$28:$Z$178,MATCH($C222,'Injectable Value'!$A$28:$A$178,0)),"")</f>
        <v>0.829278792417718</v>
      </c>
      <c r="T222" s="19" t="n">
        <f aca="false">IFERROR(ROUND(INDEX('Injectable Value'!$AA$28:$AA$178,MATCH($C222,'Injectable Value'!$A$28:$A$178,0)),1),"")</f>
        <v>42181.7</v>
      </c>
      <c r="U222" s="17" t="s">
        <v>696</v>
      </c>
      <c r="V222" s="16" t="n">
        <v>34</v>
      </c>
      <c r="W222" s="16" t="s">
        <v>695</v>
      </c>
      <c r="X222" s="16" t="s">
        <v>281</v>
      </c>
      <c r="Y222" s="16" t="s">
        <v>333</v>
      </c>
      <c r="Z222" s="17" t="str">
        <f aca="false">IFERROR(INDEX(Scoring!$U:$U,MATCH($C222&amp;"|"&amp;$E222,Scoring!$AD:$AD,0)),"")</f>
        <v>Cancer drug (cytotoxic) – less relevant; Reconstitution</v>
      </c>
      <c r="AA222" s="16" t="str">
        <f aca="false">IFERROR(INDEX(Scoring!$E:$E,MATCH($C222&amp;"|"&amp;$E222,Scoring!$AD:$AD,0)),"")</f>
        <v>Priority 1</v>
      </c>
      <c r="AB222" s="19" t="n">
        <f aca="false">IFERROR(INDEX(Scoring!$M:$M,MATCH($C222&amp;"|"&amp;$E222,Scoring!$AD:$AD,0)),"")</f>
        <v>632</v>
      </c>
      <c r="AC222" s="16" t="str">
        <f aca="false">IFERROR(INDEX('Route of Administration'!$C$5:$C$155,MATCH($C222,'Route of Administration'!$A$5:$A$155,0)),"")</f>
        <v>IV, SC</v>
      </c>
      <c r="AD222" s="15" t="str">
        <f aca="false">IFERROR(INDEX('Route of Administration'!$D$5:$D$155,MATCH($C222,'Route of Administration'!$A$5:$A$155,0)),"")</f>
        <v>Yes</v>
      </c>
      <c r="AE222" s="15" t="str">
        <f aca="false">IF($AD222="No","Not checked – drug is IV only",IFERROR(INDEX('Route of Administration'!$O$5:$O$170,MATCH($E222&amp;"|"&amp;$C222,'Route of Administration'!$S$5:$S$170,0)),"Not checked – price ≤ USD 5"))</f>
        <v>Pass</v>
      </c>
    </row>
    <row r="223" customFormat="false" ht="28.35" hidden="false" customHeight="false" outlineLevel="0" collapsed="false">
      <c r="B223" s="16" t="n">
        <v>221</v>
      </c>
      <c r="C223" s="16" t="s">
        <v>724</v>
      </c>
      <c r="D223" s="16" t="s">
        <v>1996</v>
      </c>
      <c r="E223" s="16" t="s">
        <v>698</v>
      </c>
      <c r="F223" s="16" t="s">
        <v>1997</v>
      </c>
      <c r="G223" s="17" t="s">
        <v>1998</v>
      </c>
      <c r="H223" s="16" t="s">
        <v>1533</v>
      </c>
      <c r="I223" s="18" t="n">
        <v>308.77</v>
      </c>
      <c r="J223" s="16" t="n">
        <v>1</v>
      </c>
      <c r="K223" s="16" t="n">
        <v>42</v>
      </c>
      <c r="L223" s="19" t="n">
        <v>1874.63</v>
      </c>
      <c r="M223" s="17" t="s">
        <v>726</v>
      </c>
      <c r="N223" s="18" t="n">
        <v>308.77</v>
      </c>
      <c r="O223" s="16" t="s">
        <v>1534</v>
      </c>
      <c r="P223" s="16" t="s">
        <v>1700</v>
      </c>
      <c r="Q223" s="17" t="s">
        <v>1536</v>
      </c>
      <c r="R223" s="78" t="s">
        <v>1814</v>
      </c>
      <c r="S223" s="77" t="n">
        <f aca="false">IFERROR(INDEX('Injectable Value'!$Z$28:$Z$178,MATCH($C223,'Injectable Value'!$A$28:$A$178,0)),"")</f>
        <v>1</v>
      </c>
      <c r="T223" s="19" t="n">
        <f aca="false">IFERROR(ROUND(INDEX('Injectable Value'!$AA$28:$AA$178,MATCH($C223,'Injectable Value'!$A$28:$A$178,0)),1),"")</f>
        <v>1874.6</v>
      </c>
      <c r="U223" s="17" t="s">
        <v>729</v>
      </c>
      <c r="V223" s="16" t="n">
        <v>8</v>
      </c>
      <c r="W223" s="16" t="s">
        <v>728</v>
      </c>
      <c r="X223" s="16" t="s">
        <v>281</v>
      </c>
      <c r="Y223" s="16" t="s">
        <v>283</v>
      </c>
      <c r="Z223" s="17" t="str">
        <f aca="false">IFERROR(INDEX(Scoring!$U:$U,MATCH($C223&amp;"|"&amp;$E223,Scoring!$AD:$AD,0)),"")</f>
        <v>Cancer drug (cytotoxic) – less relevant</v>
      </c>
      <c r="AA223" s="16" t="str">
        <f aca="false">IFERROR(INDEX(Scoring!$E:$E,MATCH($C223&amp;"|"&amp;$E223,Scoring!$AD:$AD,0)),"")</f>
        <v>Excluded – IV only</v>
      </c>
      <c r="AB223" s="19" t="n">
        <f aca="false">IFERROR(INDEX(Scoring!$M:$M,MATCH($C223&amp;"|"&amp;$E223,Scoring!$AD:$AD,0)),"")</f>
        <v>42</v>
      </c>
      <c r="AC223" s="16" t="str">
        <f aca="false">IFERROR(INDEX('Route of Administration'!$C$5:$C$155,MATCH($C223,'Route of Administration'!$A$5:$A$155,0)),"")</f>
        <v>IV</v>
      </c>
      <c r="AD223" s="15" t="str">
        <f aca="false">IFERROR(INDEX('Route of Administration'!$D$5:$D$155,MATCH($C223,'Route of Administration'!$A$5:$A$155,0)),"")</f>
        <v>No</v>
      </c>
      <c r="AE223" s="15" t="str">
        <f aca="false">IF($AD223="No","Not checked – drug is IV only",IFERROR(INDEX('Route of Administration'!$O$5:$O$170,MATCH($E223&amp;"|"&amp;$C223,'Route of Administration'!$S$5:$S$170,0)),"Not checked – price ≤ USD 5"))</f>
        <v>Not checked – drug is IV only</v>
      </c>
    </row>
    <row r="224" customFormat="false" ht="55.2" hidden="false" customHeight="false" outlineLevel="0" collapsed="false">
      <c r="B224" s="16" t="n">
        <v>222</v>
      </c>
      <c r="C224" s="16" t="s">
        <v>665</v>
      </c>
      <c r="D224" s="16" t="s">
        <v>1999</v>
      </c>
      <c r="E224" s="16" t="s">
        <v>698</v>
      </c>
      <c r="F224" s="16" t="s">
        <v>1886</v>
      </c>
      <c r="G224" s="17" t="s">
        <v>1887</v>
      </c>
      <c r="H224" s="16" t="s">
        <v>1533</v>
      </c>
      <c r="I224" s="18" t="n">
        <v>6.93</v>
      </c>
      <c r="J224" s="16" t="n">
        <v>1</v>
      </c>
      <c r="K224" s="16" t="n">
        <v>346</v>
      </c>
      <c r="L224" s="19" t="n">
        <v>32830.17</v>
      </c>
      <c r="M224" s="17" t="s">
        <v>667</v>
      </c>
      <c r="N224" s="18" t="n">
        <v>6.93</v>
      </c>
      <c r="O224" s="16" t="s">
        <v>1534</v>
      </c>
      <c r="P224" s="16" t="s">
        <v>1700</v>
      </c>
      <c r="Q224" s="17" t="s">
        <v>1878</v>
      </c>
      <c r="R224" s="78" t="s">
        <v>2000</v>
      </c>
      <c r="S224" s="77" t="n">
        <f aca="false">IFERROR(INDEX('Injectable Value'!$Z$28:$Z$178,MATCH($C224,'Injectable Value'!$A$28:$A$178,0)),"")</f>
        <v>1</v>
      </c>
      <c r="T224" s="19" t="n">
        <f aca="false">IFERROR(ROUND(INDEX('Injectable Value'!$AA$28:$AA$178,MATCH($C224,'Injectable Value'!$A$28:$A$178,0)),1),"")</f>
        <v>32830.2</v>
      </c>
      <c r="U224" s="17" t="s">
        <v>761</v>
      </c>
      <c r="V224" s="16" t="n">
        <v>21</v>
      </c>
      <c r="W224" s="16" t="s">
        <v>760</v>
      </c>
      <c r="X224" s="16" t="s">
        <v>281</v>
      </c>
      <c r="Y224" s="16" t="s">
        <v>283</v>
      </c>
      <c r="Z224" s="17" t="str">
        <f aca="false">IFERROR(INDEX(Scoring!$U:$U,MATCH($C224&amp;"|"&amp;$E224,Scoring!$AD:$AD,0)),"")</f>
        <v/>
      </c>
      <c r="AA224" s="16" t="str">
        <f aca="false">IFERROR(INDEX(Scoring!$E:$E,MATCH($C224&amp;"|"&amp;$E224,Scoring!$AD:$AD,0)),"")</f>
        <v>Excluded – IV only</v>
      </c>
      <c r="AB224" s="19" t="n">
        <f aca="false">IFERROR(INDEX(Scoring!$M:$M,MATCH($C224&amp;"|"&amp;$E224,Scoring!$AD:$AD,0)),"")</f>
        <v>346</v>
      </c>
      <c r="AC224" s="16" t="str">
        <f aca="false">IFERROR(INDEX('Route of Administration'!$C$5:$C$155,MATCH($C224,'Route of Administration'!$A$5:$A$155,0)),"")</f>
        <v>IV</v>
      </c>
      <c r="AD224" s="15" t="str">
        <f aca="false">IFERROR(INDEX('Route of Administration'!$D$5:$D$155,MATCH($C224,'Route of Administration'!$A$5:$A$155,0)),"")</f>
        <v>No</v>
      </c>
      <c r="AE224" s="15" t="str">
        <f aca="false">IF($AD224="No","Not checked – drug is IV only",IFERROR(INDEX('Route of Administration'!$O$5:$O$170,MATCH($E224&amp;"|"&amp;$C224,'Route of Administration'!$S$5:$S$170,0)),"Not checked – price ≤ USD 5"))</f>
        <v>Not checked – drug is IV only</v>
      </c>
    </row>
    <row r="225" customFormat="false" ht="41.75" hidden="false" customHeight="false" outlineLevel="0" collapsed="false">
      <c r="B225" s="16" t="n">
        <v>223</v>
      </c>
      <c r="C225" s="16" t="s">
        <v>295</v>
      </c>
      <c r="D225" s="16" t="s">
        <v>2001</v>
      </c>
      <c r="E225" s="16" t="s">
        <v>698</v>
      </c>
      <c r="F225" s="16" t="s">
        <v>2002</v>
      </c>
      <c r="G225" s="17" t="s">
        <v>1729</v>
      </c>
      <c r="H225" s="16" t="s">
        <v>1540</v>
      </c>
      <c r="I225" s="18" t="n">
        <v>87.27</v>
      </c>
      <c r="J225" s="16" t="n">
        <v>1</v>
      </c>
      <c r="K225" s="16" t="n">
        <v>146</v>
      </c>
      <c r="L225" s="19" t="n">
        <v>11366.06</v>
      </c>
      <c r="M225" s="17" t="s">
        <v>296</v>
      </c>
      <c r="N225" s="18" t="n">
        <v>87.27</v>
      </c>
      <c r="O225" s="16" t="s">
        <v>1534</v>
      </c>
      <c r="P225" s="16" t="s">
        <v>1700</v>
      </c>
      <c r="Q225" s="17" t="s">
        <v>1878</v>
      </c>
      <c r="R225" s="78" t="s">
        <v>2003</v>
      </c>
      <c r="S225" s="77" t="n">
        <f aca="false">IFERROR(INDEX('Injectable Value'!$Z$28:$Z$178,MATCH($C225,'Injectable Value'!$A$28:$A$178,0)),"")</f>
        <v>1</v>
      </c>
      <c r="T225" s="19" t="n">
        <f aca="false">IFERROR(ROUND(INDEX('Injectable Value'!$AA$28:$AA$178,MATCH($C225,'Injectable Value'!$A$28:$A$178,0)),1),"")</f>
        <v>11366.1</v>
      </c>
      <c r="U225" s="17" t="s">
        <v>739</v>
      </c>
      <c r="V225" s="16" t="n">
        <v>14</v>
      </c>
      <c r="W225" s="16" t="s">
        <v>738</v>
      </c>
      <c r="X225" s="16" t="s">
        <v>291</v>
      </c>
      <c r="Y225" s="16" t="s">
        <v>283</v>
      </c>
      <c r="Z225" s="17" t="str">
        <f aca="false">IFERROR(INDEX(Scoring!$U:$U,MATCH($C225&amp;"|"&amp;$E225,Scoring!$AD:$AD,0)),"")</f>
        <v>Prefilled only</v>
      </c>
      <c r="AA225" s="16" t="str">
        <f aca="false">IFERROR(INDEX(Scoring!$E:$E,MATCH($C225&amp;"|"&amp;$E225,Scoring!$AD:$AD,0)),"")</f>
        <v>Priority 1</v>
      </c>
      <c r="AB225" s="19" t="n">
        <f aca="false">IFERROR(INDEX(Scoring!$M:$M,MATCH($C225&amp;"|"&amp;$E225,Scoring!$AD:$AD,0)),"")</f>
        <v>146</v>
      </c>
      <c r="AC225" s="16" t="str">
        <f aca="false">IFERROR(INDEX('Route of Administration'!$C$5:$C$155,MATCH($C225,'Route of Administration'!$A$5:$A$155,0)),"")</f>
        <v>IM</v>
      </c>
      <c r="AD225" s="15" t="str">
        <f aca="false">IFERROR(INDEX('Route of Administration'!$D$5:$D$155,MATCH($C225,'Route of Administration'!$A$5:$A$155,0)),"")</f>
        <v>Yes</v>
      </c>
      <c r="AE225" s="15" t="str">
        <f aca="false">IF($AD225="No","Not checked – drug is IV only",IFERROR(INDEX('Route of Administration'!$O$5:$O$170,MATCH($E225&amp;"|"&amp;$C225,'Route of Administration'!$S$5:$S$170,0)),"Not checked – price ≤ USD 5"))</f>
        <v>Pass</v>
      </c>
    </row>
    <row r="226" customFormat="false" ht="41.75" hidden="false" customHeight="false" outlineLevel="0" collapsed="false">
      <c r="B226" s="16" t="n">
        <v>224</v>
      </c>
      <c r="C226" s="16" t="s">
        <v>338</v>
      </c>
      <c r="D226" s="16" t="s">
        <v>2004</v>
      </c>
      <c r="E226" s="16" t="s">
        <v>698</v>
      </c>
      <c r="F226" s="16" t="s">
        <v>1889</v>
      </c>
      <c r="G226" s="17" t="s">
        <v>2005</v>
      </c>
      <c r="H226" s="16" t="s">
        <v>1533</v>
      </c>
      <c r="I226" s="18" t="n">
        <v>102.85</v>
      </c>
      <c r="J226" s="16" t="n">
        <v>1</v>
      </c>
      <c r="K226" s="16" t="n">
        <v>905</v>
      </c>
      <c r="L226" s="19" t="n">
        <v>28093.38</v>
      </c>
      <c r="M226" s="17" t="s">
        <v>340</v>
      </c>
      <c r="N226" s="18" t="n">
        <v>102.85</v>
      </c>
      <c r="O226" s="16" t="s">
        <v>1534</v>
      </c>
      <c r="P226" s="16" t="s">
        <v>1700</v>
      </c>
      <c r="Q226" s="17" t="s">
        <v>1878</v>
      </c>
      <c r="R226" s="78" t="s">
        <v>2006</v>
      </c>
      <c r="S226" s="77" t="n">
        <f aca="false">IFERROR(INDEX('Injectable Value'!$Z$28:$Z$178,MATCH($C226,'Injectable Value'!$A$28:$A$178,0)),"")</f>
        <v>1</v>
      </c>
      <c r="T226" s="19" t="n">
        <f aca="false">IFERROR(ROUND(INDEX('Injectable Value'!$AA$28:$AA$178,MATCH($C226,'Injectable Value'!$A$28:$A$178,0)),1),"")</f>
        <v>28093.4</v>
      </c>
      <c r="U226" s="17" t="s">
        <v>706</v>
      </c>
      <c r="V226" s="16" t="n">
        <v>18</v>
      </c>
      <c r="W226" s="16" t="s">
        <v>705</v>
      </c>
      <c r="X226" s="16" t="s">
        <v>281</v>
      </c>
      <c r="Y226" s="16" t="s">
        <v>283</v>
      </c>
      <c r="Z226" s="17" t="str">
        <f aca="false">IFERROR(INDEX(Scoring!$U:$U,MATCH($C226&amp;"|"&amp;$E226,Scoring!$AD:$AD,0)),"")</f>
        <v>Cancer drug (cytotoxic) – less relevant; Reconstitution</v>
      </c>
      <c r="AA226" s="16" t="str">
        <f aca="false">IFERROR(INDEX(Scoring!$E:$E,MATCH($C226&amp;"|"&amp;$E226,Scoring!$AD:$AD,0)),"")</f>
        <v>Priority 1</v>
      </c>
      <c r="AB226" s="19" t="n">
        <f aca="false">IFERROR(INDEX(Scoring!$M:$M,MATCH($C226&amp;"|"&amp;$E226,Scoring!$AD:$AD,0)),"")</f>
        <v>905</v>
      </c>
      <c r="AC226" s="16" t="str">
        <f aca="false">IFERROR(INDEX('Route of Administration'!$C$5:$C$155,MATCH($C226,'Route of Administration'!$A$5:$A$155,0)),"")</f>
        <v>IV, SC</v>
      </c>
      <c r="AD226" s="15" t="str">
        <f aca="false">IFERROR(INDEX('Route of Administration'!$D$5:$D$155,MATCH($C226,'Route of Administration'!$A$5:$A$155,0)),"")</f>
        <v>Yes</v>
      </c>
      <c r="AE226" s="15" t="str">
        <f aca="false">IF($AD226="No","Not checked – drug is IV only",IFERROR(INDEX('Route of Administration'!$O$5:$O$170,MATCH($E226&amp;"|"&amp;$C226,'Route of Administration'!$S$5:$S$170,0)),"Not checked – price ≤ USD 5"))</f>
        <v>Pass</v>
      </c>
    </row>
    <row r="227" customFormat="false" ht="95.5" hidden="false" customHeight="false" outlineLevel="0" collapsed="false">
      <c r="B227" s="16" t="n">
        <v>225</v>
      </c>
      <c r="C227" s="16" t="s">
        <v>329</v>
      </c>
      <c r="D227" s="16" t="s">
        <v>2007</v>
      </c>
      <c r="E227" s="16" t="s">
        <v>698</v>
      </c>
      <c r="F227" s="16" t="s">
        <v>2008</v>
      </c>
      <c r="G227" s="17" t="s">
        <v>2009</v>
      </c>
      <c r="H227" s="16" t="s">
        <v>1533</v>
      </c>
      <c r="I227" s="18" t="n">
        <v>129.54</v>
      </c>
      <c r="J227" s="16" t="n">
        <v>1</v>
      </c>
      <c r="K227" s="16" t="n">
        <v>762</v>
      </c>
      <c r="L227" s="19" t="n">
        <v>50865.56</v>
      </c>
      <c r="M227" s="17" t="s">
        <v>331</v>
      </c>
      <c r="N227" s="18" t="n">
        <v>129.54</v>
      </c>
      <c r="O227" s="16" t="s">
        <v>1534</v>
      </c>
      <c r="P227" s="16" t="s">
        <v>1700</v>
      </c>
      <c r="Q227" s="17" t="s">
        <v>1536</v>
      </c>
      <c r="R227" s="78" t="s">
        <v>1814</v>
      </c>
      <c r="S227" s="77" t="n">
        <f aca="false">IFERROR(INDEX('Injectable Value'!$Z$28:$Z$178,MATCH($C227,'Injectable Value'!$A$28:$A$178,0)),"")</f>
        <v>0.829278792417718</v>
      </c>
      <c r="T227" s="19" t="n">
        <f aca="false">IFERROR(ROUND(INDEX('Injectable Value'!$AA$28:$AA$178,MATCH($C227,'Injectable Value'!$A$28:$A$178,0)),1),"")</f>
        <v>42181.7</v>
      </c>
      <c r="U227" s="17" t="s">
        <v>696</v>
      </c>
      <c r="V227" s="16" t="n">
        <v>34</v>
      </c>
      <c r="W227" s="16" t="s">
        <v>695</v>
      </c>
      <c r="X227" s="16" t="s">
        <v>281</v>
      </c>
      <c r="Y227" s="16" t="s">
        <v>359</v>
      </c>
      <c r="Z227" s="17" t="str">
        <f aca="false">IFERROR(INDEX(Scoring!$U:$U,MATCH($C227&amp;"|"&amp;$E227,Scoring!$AD:$AD,0)),"")</f>
        <v>Cancer drug (cytotoxic) – less relevant; Reconstitution</v>
      </c>
      <c r="AA227" s="16" t="str">
        <f aca="false">IFERROR(INDEX(Scoring!$E:$E,MATCH($C227&amp;"|"&amp;$E227,Scoring!$AD:$AD,0)),"")</f>
        <v>Priority 1</v>
      </c>
      <c r="AB227" s="19" t="n">
        <f aca="false">IFERROR(INDEX(Scoring!$M:$M,MATCH($C227&amp;"|"&amp;$E227,Scoring!$AD:$AD,0)),"")</f>
        <v>632</v>
      </c>
      <c r="AC227" s="16" t="str">
        <f aca="false">IFERROR(INDEX('Route of Administration'!$C$5:$C$155,MATCH($C227,'Route of Administration'!$A$5:$A$155,0)),"")</f>
        <v>IV, SC</v>
      </c>
      <c r="AD227" s="15" t="str">
        <f aca="false">IFERROR(INDEX('Route of Administration'!$D$5:$D$155,MATCH($C227,'Route of Administration'!$A$5:$A$155,0)),"")</f>
        <v>Yes</v>
      </c>
      <c r="AE227" s="15" t="str">
        <f aca="false">IF($AD227="No","Not checked – drug is IV only",IFERROR(INDEX('Route of Administration'!$O$5:$O$170,MATCH($E227&amp;"|"&amp;$C227,'Route of Administration'!$S$5:$S$170,0)),"Not checked – price ≤ USD 5"))</f>
        <v>Pass</v>
      </c>
    </row>
    <row r="228" customFormat="false" ht="28.35" hidden="false" customHeight="false" outlineLevel="0" collapsed="false">
      <c r="B228" s="16" t="n">
        <v>226</v>
      </c>
      <c r="C228" s="16" t="s">
        <v>329</v>
      </c>
      <c r="D228" s="16" t="s">
        <v>2010</v>
      </c>
      <c r="E228" s="16" t="s">
        <v>773</v>
      </c>
      <c r="F228" s="16" t="s">
        <v>1689</v>
      </c>
      <c r="G228" s="17" t="s">
        <v>1690</v>
      </c>
      <c r="H228" s="16" t="s">
        <v>1533</v>
      </c>
      <c r="I228" s="18" t="n">
        <v>424.36</v>
      </c>
      <c r="J228" s="16" t="n">
        <v>1</v>
      </c>
      <c r="K228" s="16" t="n">
        <v>762</v>
      </c>
      <c r="L228" s="19" t="n">
        <v>50865.56</v>
      </c>
      <c r="M228" s="17" t="s">
        <v>331</v>
      </c>
      <c r="N228" s="18" t="n">
        <v>424.36</v>
      </c>
      <c r="O228" s="16" t="s">
        <v>1534</v>
      </c>
      <c r="P228" s="16" t="s">
        <v>1700</v>
      </c>
      <c r="Q228" s="17" t="s">
        <v>1536</v>
      </c>
      <c r="R228" s="78" t="s">
        <v>2011</v>
      </c>
      <c r="S228" s="77" t="n">
        <f aca="false">IFERROR(INDEX('Injectable Value'!$Z$28:$Z$178,MATCH($C228,'Injectable Value'!$A$28:$A$178,0)),"")</f>
        <v>0.829278792417718</v>
      </c>
      <c r="T228" s="19" t="n">
        <f aca="false">IFERROR(ROUND(INDEX('Injectable Value'!$AA$28:$AA$178,MATCH($C228,'Injectable Value'!$A$28:$A$178,0)),1),"")</f>
        <v>42181.7</v>
      </c>
      <c r="U228" s="17" t="s">
        <v>786</v>
      </c>
      <c r="V228" s="16" t="n">
        <v>11</v>
      </c>
      <c r="W228" s="16" t="s">
        <v>785</v>
      </c>
      <c r="X228" s="16" t="s">
        <v>281</v>
      </c>
      <c r="Y228" s="16" t="s">
        <v>333</v>
      </c>
      <c r="Z228" s="17" t="str">
        <f aca="false">IFERROR(INDEX(Scoring!$U:$U,MATCH($C228&amp;"|"&amp;$E228,Scoring!$AD:$AD,0)),"")</f>
        <v>Cancer drug (cytotoxic) – less relevant; Reconstitution</v>
      </c>
      <c r="AA228" s="16" t="str">
        <f aca="false">IFERROR(INDEX(Scoring!$E:$E,MATCH($C228&amp;"|"&amp;$E228,Scoring!$AD:$AD,0)),"")</f>
        <v>Priority 1</v>
      </c>
      <c r="AB228" s="19" t="n">
        <f aca="false">IFERROR(INDEX(Scoring!$M:$M,MATCH($C228&amp;"|"&amp;$E228,Scoring!$AD:$AD,0)),"")</f>
        <v>632</v>
      </c>
      <c r="AC228" s="16" t="str">
        <f aca="false">IFERROR(INDEX('Route of Administration'!$C$5:$C$155,MATCH($C228,'Route of Administration'!$A$5:$A$155,0)),"")</f>
        <v>IV, SC</v>
      </c>
      <c r="AD228" s="15" t="str">
        <f aca="false">IFERROR(INDEX('Route of Administration'!$D$5:$D$155,MATCH($C228,'Route of Administration'!$A$5:$A$155,0)),"")</f>
        <v>Yes</v>
      </c>
      <c r="AE228" s="15" t="str">
        <f aca="false">IF($AD228="No","Not checked – drug is IV only",IFERROR(INDEX('Route of Administration'!$O$5:$O$170,MATCH($E228&amp;"|"&amp;$C228,'Route of Administration'!$S$5:$S$170,0)),"Not checked – price ≤ USD 5"))</f>
        <v>Pass</v>
      </c>
    </row>
    <row r="229" customFormat="false" ht="28.35" hidden="false" customHeight="false" outlineLevel="0" collapsed="false">
      <c r="B229" s="16" t="n">
        <v>227</v>
      </c>
      <c r="C229" s="16" t="s">
        <v>665</v>
      </c>
      <c r="D229" s="16" t="s">
        <v>665</v>
      </c>
      <c r="E229" s="16" t="s">
        <v>773</v>
      </c>
      <c r="F229" s="16" t="s">
        <v>1762</v>
      </c>
      <c r="G229" s="17" t="s">
        <v>1887</v>
      </c>
      <c r="H229" s="16" t="s">
        <v>1533</v>
      </c>
      <c r="I229" s="18" t="n">
        <v>56.77</v>
      </c>
      <c r="J229" s="16" t="n">
        <v>1</v>
      </c>
      <c r="K229" s="16" t="n">
        <v>346</v>
      </c>
      <c r="L229" s="19" t="n">
        <v>32830.17</v>
      </c>
      <c r="M229" s="17" t="s">
        <v>667</v>
      </c>
      <c r="N229" s="18" t="n">
        <v>56.77</v>
      </c>
      <c r="O229" s="16" t="s">
        <v>1534</v>
      </c>
      <c r="P229" s="16" t="s">
        <v>1700</v>
      </c>
      <c r="Q229" s="17" t="s">
        <v>1536</v>
      </c>
      <c r="R229" s="78" t="s">
        <v>2012</v>
      </c>
      <c r="S229" s="77" t="n">
        <f aca="false">IFERROR(INDEX('Injectable Value'!$Z$28:$Z$178,MATCH($C229,'Injectable Value'!$A$28:$A$178,0)),"")</f>
        <v>1</v>
      </c>
      <c r="T229" s="19" t="n">
        <f aca="false">IFERROR(ROUND(INDEX('Injectable Value'!$AA$28:$AA$178,MATCH($C229,'Injectable Value'!$A$28:$A$178,0)),1),"")</f>
        <v>32830.2</v>
      </c>
      <c r="U229" s="17" t="s">
        <v>845</v>
      </c>
      <c r="V229" s="16" t="n">
        <v>7</v>
      </c>
      <c r="W229" s="16" t="s">
        <v>785</v>
      </c>
      <c r="X229" s="16" t="s">
        <v>281</v>
      </c>
      <c r="Y229" s="16" t="s">
        <v>283</v>
      </c>
      <c r="Z229" s="17" t="str">
        <f aca="false">IFERROR(INDEX(Scoring!$U:$U,MATCH($C229&amp;"|"&amp;$E229,Scoring!$AD:$AD,0)),"")</f>
        <v/>
      </c>
      <c r="AA229" s="16" t="str">
        <f aca="false">IFERROR(INDEX(Scoring!$E:$E,MATCH($C229&amp;"|"&amp;$E229,Scoring!$AD:$AD,0)),"")</f>
        <v>Excluded – IV only</v>
      </c>
      <c r="AB229" s="19" t="n">
        <f aca="false">IFERROR(INDEX(Scoring!$M:$M,MATCH($C229&amp;"|"&amp;$E229,Scoring!$AD:$AD,0)),"")</f>
        <v>346</v>
      </c>
      <c r="AC229" s="16" t="str">
        <f aca="false">IFERROR(INDEX('Route of Administration'!$C$5:$C$155,MATCH($C229,'Route of Administration'!$A$5:$A$155,0)),"")</f>
        <v>IV</v>
      </c>
      <c r="AD229" s="15" t="str">
        <f aca="false">IFERROR(INDEX('Route of Administration'!$D$5:$D$155,MATCH($C229,'Route of Administration'!$A$5:$A$155,0)),"")</f>
        <v>No</v>
      </c>
      <c r="AE229" s="15" t="str">
        <f aca="false">IF($AD229="No","Not checked – drug is IV only",IFERROR(INDEX('Route of Administration'!$O$5:$O$170,MATCH($E229&amp;"|"&amp;$C229,'Route of Administration'!$S$5:$S$170,0)),"Not checked – price ≤ USD 5"))</f>
        <v>Not checked – drug is IV only</v>
      </c>
    </row>
    <row r="230" customFormat="false" ht="28.35" hidden="false" customHeight="false" outlineLevel="0" collapsed="false">
      <c r="B230" s="16" t="n">
        <v>228</v>
      </c>
      <c r="C230" s="16" t="s">
        <v>388</v>
      </c>
      <c r="D230" s="16" t="s">
        <v>2013</v>
      </c>
      <c r="E230" s="16" t="s">
        <v>773</v>
      </c>
      <c r="F230" s="16" t="s">
        <v>1837</v>
      </c>
      <c r="G230" s="17" t="s">
        <v>2014</v>
      </c>
      <c r="H230" s="16" t="s">
        <v>1533</v>
      </c>
      <c r="I230" s="18" t="n">
        <v>81.96</v>
      </c>
      <c r="J230" s="16" t="n">
        <v>1</v>
      </c>
      <c r="K230" s="16" t="n">
        <v>312</v>
      </c>
      <c r="L230" s="19" t="n">
        <v>59827.18</v>
      </c>
      <c r="M230" s="17" t="s">
        <v>390</v>
      </c>
      <c r="N230" s="18" t="n">
        <v>81.96</v>
      </c>
      <c r="O230" s="16" t="s">
        <v>1534</v>
      </c>
      <c r="P230" s="16" t="s">
        <v>1700</v>
      </c>
      <c r="Q230" s="17" t="s">
        <v>1536</v>
      </c>
      <c r="R230" s="78" t="s">
        <v>2015</v>
      </c>
      <c r="S230" s="77" t="n">
        <f aca="false">IFERROR(INDEX('Injectable Value'!$Z$28:$Z$178,MATCH($C230,'Injectable Value'!$A$28:$A$178,0)),"")</f>
        <v>1</v>
      </c>
      <c r="T230" s="19" t="n">
        <f aca="false">IFERROR(ROUND(INDEX('Injectable Value'!$AA$28:$AA$178,MATCH($C230,'Injectable Value'!$A$28:$A$178,0)),1),"")</f>
        <v>59827.2</v>
      </c>
      <c r="U230" s="17" t="s">
        <v>798</v>
      </c>
      <c r="V230" s="16" t="n">
        <v>5</v>
      </c>
      <c r="W230" s="16" t="s">
        <v>797</v>
      </c>
      <c r="X230" s="16" t="s">
        <v>281</v>
      </c>
      <c r="Y230" s="16" t="s">
        <v>310</v>
      </c>
      <c r="Z230" s="17" t="str">
        <f aca="false">IFERROR(INDEX(Scoring!$U:$U,MATCH($C230&amp;"|"&amp;$E230,Scoring!$AD:$AD,0)),"")</f>
        <v>Reconstitution</v>
      </c>
      <c r="AA230" s="16" t="str">
        <f aca="false">IFERROR(INDEX(Scoring!$E:$E,MATCH($C230&amp;"|"&amp;$E230,Scoring!$AD:$AD,0)),"")</f>
        <v>Excluded – IV only</v>
      </c>
      <c r="AB230" s="19" t="n">
        <f aca="false">IFERROR(INDEX(Scoring!$M:$M,MATCH($C230&amp;"|"&amp;$E230,Scoring!$AD:$AD,0)),"")</f>
        <v>312</v>
      </c>
      <c r="AC230" s="16" t="str">
        <f aca="false">IFERROR(INDEX('Route of Administration'!$C$5:$C$155,MATCH($C230,'Route of Administration'!$A$5:$A$155,0)),"")</f>
        <v>IV</v>
      </c>
      <c r="AD230" s="15" t="str">
        <f aca="false">IFERROR(INDEX('Route of Administration'!$D$5:$D$155,MATCH($C230,'Route of Administration'!$A$5:$A$155,0)),"")</f>
        <v>No</v>
      </c>
      <c r="AE230" s="15" t="str">
        <f aca="false">IF($AD230="No","Not checked – drug is IV only",IFERROR(INDEX('Route of Administration'!$O$5:$O$170,MATCH($E230&amp;"|"&amp;$C230,'Route of Administration'!$S$5:$S$170,0)),"Not checked – price ≤ USD 5"))</f>
        <v>Not checked – drug is IV only</v>
      </c>
    </row>
    <row r="231" customFormat="false" ht="28.35" hidden="false" customHeight="false" outlineLevel="0" collapsed="false">
      <c r="B231" s="16" t="n">
        <v>229</v>
      </c>
      <c r="C231" s="16" t="s">
        <v>541</v>
      </c>
      <c r="D231" s="16" t="s">
        <v>541</v>
      </c>
      <c r="E231" s="16" t="s">
        <v>773</v>
      </c>
      <c r="F231" s="16" t="s">
        <v>1686</v>
      </c>
      <c r="G231" s="17" t="s">
        <v>1687</v>
      </c>
      <c r="H231" s="16" t="s">
        <v>1533</v>
      </c>
      <c r="I231" s="18" t="n">
        <v>5023.6</v>
      </c>
      <c r="J231" s="16" t="n">
        <v>1</v>
      </c>
      <c r="K231" s="16" t="n">
        <v>47</v>
      </c>
      <c r="L231" s="19" t="n">
        <v>7904.67</v>
      </c>
      <c r="M231" s="17" t="s">
        <v>543</v>
      </c>
      <c r="N231" s="18" t="n">
        <v>5023.6</v>
      </c>
      <c r="O231" s="16" t="s">
        <v>1534</v>
      </c>
      <c r="P231" s="16" t="s">
        <v>1700</v>
      </c>
      <c r="Q231" s="17" t="s">
        <v>1536</v>
      </c>
      <c r="R231" s="78" t="s">
        <v>2016</v>
      </c>
      <c r="S231" s="77" t="n">
        <f aca="false">IFERROR(INDEX('Injectable Value'!$Z$28:$Z$178,MATCH($C231,'Injectable Value'!$A$28:$A$178,0)),"")</f>
        <v>1</v>
      </c>
      <c r="T231" s="19" t="n">
        <f aca="false">IFERROR(ROUND(INDEX('Injectable Value'!$AA$28:$AA$178,MATCH($C231,'Injectable Value'!$A$28:$A$178,0)),1),"")</f>
        <v>7904.7</v>
      </c>
      <c r="U231" s="17" t="s">
        <v>838</v>
      </c>
      <c r="V231" s="16" t="n">
        <v>4</v>
      </c>
      <c r="W231" s="16" t="s">
        <v>797</v>
      </c>
      <c r="X231" s="16" t="s">
        <v>281</v>
      </c>
      <c r="Y231" s="16" t="s">
        <v>283</v>
      </c>
      <c r="Z231" s="17" t="str">
        <f aca="false">IFERROR(INDEX(Scoring!$U:$U,MATCH($C231&amp;"|"&amp;$E231,Scoring!$AD:$AD,0)),"")</f>
        <v/>
      </c>
      <c r="AA231" s="16" t="str">
        <f aca="false">IFERROR(INDEX(Scoring!$E:$E,MATCH($C231&amp;"|"&amp;$E231,Scoring!$AD:$AD,0)),"")</f>
        <v>Priority 2</v>
      </c>
      <c r="AB231" s="19" t="n">
        <f aca="false">IFERROR(INDEX(Scoring!$M:$M,MATCH($C231&amp;"|"&amp;$E231,Scoring!$AD:$AD,0)),"")</f>
        <v>47</v>
      </c>
      <c r="AC231" s="16" t="str">
        <f aca="false">IFERROR(INDEX('Route of Administration'!$C$5:$C$155,MATCH($C231,'Route of Administration'!$A$5:$A$155,0)),"")</f>
        <v>SC</v>
      </c>
      <c r="AD231" s="15" t="str">
        <f aca="false">IFERROR(INDEX('Route of Administration'!$D$5:$D$155,MATCH($C231,'Route of Administration'!$A$5:$A$155,0)),"")</f>
        <v>Yes</v>
      </c>
      <c r="AE231" s="15" t="str">
        <f aca="false">IF($AD231="No","Not checked – drug is IV only",IFERROR(INDEX('Route of Administration'!$O$5:$O$170,MATCH($E231&amp;"|"&amp;$C231,'Route of Administration'!$S$5:$S$170,0)),"Not checked – price ≤ USD 5"))</f>
        <v>Pass</v>
      </c>
    </row>
    <row r="232" customFormat="false" ht="41.75" hidden="false" customHeight="false" outlineLevel="0" collapsed="false">
      <c r="B232" s="16" t="n">
        <v>230</v>
      </c>
      <c r="C232" s="16" t="s">
        <v>829</v>
      </c>
      <c r="D232" s="16" t="s">
        <v>2017</v>
      </c>
      <c r="E232" s="16" t="s">
        <v>773</v>
      </c>
      <c r="F232" s="16" t="s">
        <v>2018</v>
      </c>
      <c r="G232" s="17" t="s">
        <v>2019</v>
      </c>
      <c r="H232" s="16" t="s">
        <v>1533</v>
      </c>
      <c r="I232" s="18" t="n">
        <v>452.12</v>
      </c>
      <c r="J232" s="16" t="n">
        <v>1</v>
      </c>
      <c r="K232" s="16" t="n">
        <v>12</v>
      </c>
      <c r="L232" s="19" t="n">
        <v>2202.64</v>
      </c>
      <c r="M232" s="17" t="s">
        <v>831</v>
      </c>
      <c r="N232" s="18" t="n">
        <v>452.12</v>
      </c>
      <c r="O232" s="16" t="s">
        <v>1534</v>
      </c>
      <c r="P232" s="16" t="s">
        <v>1700</v>
      </c>
      <c r="Q232" s="17" t="s">
        <v>1536</v>
      </c>
      <c r="R232" s="78" t="s">
        <v>2020</v>
      </c>
      <c r="S232" s="77" t="n">
        <f aca="false">IFERROR(INDEX('Injectable Value'!$Z$28:$Z$178,MATCH($C232,'Injectable Value'!$A$28:$A$178,0)),"")</f>
        <v>0.75</v>
      </c>
      <c r="T232" s="19" t="n">
        <f aca="false">IFERROR(ROUND(INDEX('Injectable Value'!$AA$28:$AA$178,MATCH($C232,'Injectable Value'!$A$28:$A$178,0)),1),"")</f>
        <v>1652</v>
      </c>
      <c r="U232" s="17" t="s">
        <v>834</v>
      </c>
      <c r="V232" s="16" t="n">
        <v>12</v>
      </c>
      <c r="W232" s="16" t="s">
        <v>833</v>
      </c>
      <c r="X232" s="16" t="s">
        <v>281</v>
      </c>
      <c r="Y232" s="16" t="s">
        <v>333</v>
      </c>
      <c r="Z232" s="17" t="str">
        <f aca="false">IFERROR(INDEX(Scoring!$U:$U,MATCH($C232&amp;"|"&amp;$E232,Scoring!$AD:$AD,0)),"")</f>
        <v>Reconstitution</v>
      </c>
      <c r="AA232" s="16" t="str">
        <f aca="false">IFERROR(INDEX(Scoring!$E:$E,MATCH($C232&amp;"|"&amp;$E232,Scoring!$AD:$AD,0)),"")</f>
        <v>Priority 2</v>
      </c>
      <c r="AB232" s="19" t="n">
        <f aca="false">IFERROR(INDEX(Scoring!$M:$M,MATCH($C232&amp;"|"&amp;$E232,Scoring!$AD:$AD,0)),"")</f>
        <v>9</v>
      </c>
      <c r="AC232" s="16" t="str">
        <f aca="false">IFERROR(INDEX('Route of Administration'!$C$5:$C$155,MATCH($C232,'Route of Administration'!$A$5:$A$155,0)),"")</f>
        <v>IV, IM</v>
      </c>
      <c r="AD232" s="15" t="str">
        <f aca="false">IFERROR(INDEX('Route of Administration'!$D$5:$D$155,MATCH($C232,'Route of Administration'!$A$5:$A$155,0)),"")</f>
        <v>Yes</v>
      </c>
      <c r="AE232" s="15" t="str">
        <f aca="false">IF($AD232="No","Not checked – drug is IV only",IFERROR(INDEX('Route of Administration'!$O$5:$O$170,MATCH($E232&amp;"|"&amp;$C232,'Route of Administration'!$S$5:$S$170,0)),"Not checked – price ≤ USD 5"))</f>
        <v>Pass</v>
      </c>
    </row>
    <row r="233" customFormat="false" ht="28.35" hidden="false" customHeight="false" outlineLevel="0" collapsed="false">
      <c r="B233" s="16" t="n">
        <v>231</v>
      </c>
      <c r="C233" s="16" t="s">
        <v>534</v>
      </c>
      <c r="D233" s="16" t="s">
        <v>534</v>
      </c>
      <c r="E233" s="16" t="s">
        <v>773</v>
      </c>
      <c r="F233" s="16" t="s">
        <v>1692</v>
      </c>
      <c r="G233" s="17" t="s">
        <v>2021</v>
      </c>
      <c r="H233" s="16" t="s">
        <v>1533</v>
      </c>
      <c r="I233" s="18" t="n">
        <v>6.61</v>
      </c>
      <c r="J233" s="16" t="n">
        <v>1</v>
      </c>
      <c r="K233" s="16" t="n">
        <v>3515</v>
      </c>
      <c r="L233" s="19" t="n">
        <v>140084.73</v>
      </c>
      <c r="M233" s="17" t="s">
        <v>535</v>
      </c>
      <c r="N233" s="18" t="n">
        <v>6.61</v>
      </c>
      <c r="O233" s="16" t="s">
        <v>1534</v>
      </c>
      <c r="P233" s="16" t="s">
        <v>1700</v>
      </c>
      <c r="Q233" s="17" t="s">
        <v>1536</v>
      </c>
      <c r="R233" s="78" t="s">
        <v>1694</v>
      </c>
      <c r="S233" s="77" t="n">
        <f aca="false">IFERROR(INDEX('Injectable Value'!$Z$28:$Z$178,MATCH($C233,'Injectable Value'!$A$28:$A$178,0)),"")</f>
        <v>0.251824206147514</v>
      </c>
      <c r="T233" s="19" t="n">
        <f aca="false">IFERROR(ROUND(INDEX('Injectable Value'!$AA$28:$AA$178,MATCH($C233,'Injectable Value'!$A$28:$A$178,0)),1),"")</f>
        <v>35276.7</v>
      </c>
      <c r="U233" s="17" t="s">
        <v>828</v>
      </c>
      <c r="V233" s="16" t="n">
        <v>5</v>
      </c>
      <c r="W233" s="16" t="s">
        <v>827</v>
      </c>
      <c r="X233" s="16" t="s">
        <v>281</v>
      </c>
      <c r="Y233" s="16" t="s">
        <v>333</v>
      </c>
      <c r="Z233" s="17" t="str">
        <f aca="false">IFERROR(INDEX(Scoring!$U:$U,MATCH($C233&amp;"|"&amp;$E233,Scoring!$AD:$AD,0)),"")</f>
        <v>Reconstitution</v>
      </c>
      <c r="AA233" s="16" t="str">
        <f aca="false">IFERROR(INDEX(Scoring!$E:$E,MATCH($C233&amp;"|"&amp;$E233,Scoring!$AD:$AD,0)),"")</f>
        <v>Excluded – IV only</v>
      </c>
      <c r="AB233" s="19" t="n">
        <f aca="false">IFERROR(INDEX(Scoring!$M:$M,MATCH($C233&amp;"|"&amp;$E233,Scoring!$AD:$AD,0)),"")</f>
        <v>885</v>
      </c>
      <c r="AC233" s="16" t="str">
        <f aca="false">IFERROR(INDEX('Route of Administration'!$C$5:$C$155,MATCH($C233,'Route of Administration'!$A$5:$A$155,0)),"")</f>
        <v>IV</v>
      </c>
      <c r="AD233" s="15" t="str">
        <f aca="false">IFERROR(INDEX('Route of Administration'!$D$5:$D$155,MATCH($C233,'Route of Administration'!$A$5:$A$155,0)),"")</f>
        <v>No</v>
      </c>
      <c r="AE233" s="15" t="str">
        <f aca="false">IF($AD233="No","Not checked – drug is IV only",IFERROR(INDEX('Route of Administration'!$O$5:$O$170,MATCH($E233&amp;"|"&amp;$C233,'Route of Administration'!$S$5:$S$170,0)),"Not checked – price ≤ USD 5"))</f>
        <v>Not checked – drug is IV only</v>
      </c>
    </row>
    <row r="234" customFormat="false" ht="28.35" hidden="false" customHeight="false" outlineLevel="0" collapsed="false">
      <c r="B234" s="16" t="n">
        <v>232</v>
      </c>
      <c r="C234" s="16" t="s">
        <v>819</v>
      </c>
      <c r="D234" s="16" t="s">
        <v>819</v>
      </c>
      <c r="E234" s="16" t="s">
        <v>773</v>
      </c>
      <c r="F234" s="16" t="s">
        <v>2022</v>
      </c>
      <c r="G234" s="17" t="s">
        <v>2023</v>
      </c>
      <c r="H234" s="16" t="s">
        <v>1533</v>
      </c>
      <c r="I234" s="18" t="n">
        <v>23.67</v>
      </c>
      <c r="J234" s="16" t="n">
        <v>1</v>
      </c>
      <c r="K234" s="16" t="n">
        <v>133</v>
      </c>
      <c r="L234" s="19" t="n">
        <v>4036.55</v>
      </c>
      <c r="M234" s="17" t="s">
        <v>821</v>
      </c>
      <c r="N234" s="18" t="n">
        <v>23.67</v>
      </c>
      <c r="O234" s="16" t="s">
        <v>1534</v>
      </c>
      <c r="P234" s="16" t="s">
        <v>1700</v>
      </c>
      <c r="Q234" s="17" t="s">
        <v>1536</v>
      </c>
      <c r="R234" s="78" t="s">
        <v>2024</v>
      </c>
      <c r="S234" s="77" t="n">
        <f aca="false">IFERROR(INDEX('Injectable Value'!$Z$28:$Z$178,MATCH($C234,'Injectable Value'!$A$28:$A$178,0)),"")</f>
        <v>1</v>
      </c>
      <c r="T234" s="19" t="n">
        <f aca="false">IFERROR(ROUND(INDEX('Injectable Value'!$AA$28:$AA$178,MATCH($C234,'Injectable Value'!$A$28:$A$178,0)),1),"")</f>
        <v>4036.6</v>
      </c>
      <c r="U234" s="17" t="s">
        <v>822</v>
      </c>
      <c r="V234" s="16" t="n">
        <v>7</v>
      </c>
      <c r="W234" s="16" t="s">
        <v>785</v>
      </c>
      <c r="X234" s="16" t="s">
        <v>281</v>
      </c>
      <c r="Y234" s="16" t="s">
        <v>283</v>
      </c>
      <c r="Z234" s="17" t="str">
        <f aca="false">IFERROR(INDEX(Scoring!$U:$U,MATCH($C234&amp;"|"&amp;$E234,Scoring!$AD:$AD,0)),"")</f>
        <v/>
      </c>
      <c r="AA234" s="16" t="str">
        <f aca="false">IFERROR(INDEX(Scoring!$E:$E,MATCH($C234&amp;"|"&amp;$E234,Scoring!$AD:$AD,0)),"")</f>
        <v>Excluded – IV only</v>
      </c>
      <c r="AB234" s="19" t="n">
        <f aca="false">IFERROR(INDEX(Scoring!$M:$M,MATCH($C234&amp;"|"&amp;$E234,Scoring!$AD:$AD,0)),"")</f>
        <v>133</v>
      </c>
      <c r="AC234" s="16" t="str">
        <f aca="false">IFERROR(INDEX('Route of Administration'!$C$5:$C$155,MATCH($C234,'Route of Administration'!$A$5:$A$155,0)),"")</f>
        <v>IV</v>
      </c>
      <c r="AD234" s="15" t="str">
        <f aca="false">IFERROR(INDEX('Route of Administration'!$D$5:$D$155,MATCH($C234,'Route of Administration'!$A$5:$A$155,0)),"")</f>
        <v>No</v>
      </c>
      <c r="AE234" s="15" t="str">
        <f aca="false">IF($AD234="No","Not checked – drug is IV only",IFERROR(INDEX('Route of Administration'!$O$5:$O$170,MATCH($E234&amp;"|"&amp;$C234,'Route of Administration'!$S$5:$S$170,0)),"Not checked – price ≤ USD 5"))</f>
        <v>Not checked – drug is IV only</v>
      </c>
    </row>
    <row r="235" customFormat="false" ht="41.75" hidden="false" customHeight="false" outlineLevel="0" collapsed="false">
      <c r="B235" s="16" t="n">
        <v>233</v>
      </c>
      <c r="C235" s="16" t="s">
        <v>476</v>
      </c>
      <c r="D235" s="16" t="s">
        <v>476</v>
      </c>
      <c r="E235" s="16" t="s">
        <v>773</v>
      </c>
      <c r="F235" s="16" t="s">
        <v>2025</v>
      </c>
      <c r="G235" s="17" t="s">
        <v>2026</v>
      </c>
      <c r="H235" s="16" t="s">
        <v>1533</v>
      </c>
      <c r="I235" s="18" t="n">
        <v>138.81</v>
      </c>
      <c r="J235" s="16" t="n">
        <v>1</v>
      </c>
      <c r="K235" s="16" t="n">
        <v>257</v>
      </c>
      <c r="L235" s="19" t="n">
        <v>4183.29</v>
      </c>
      <c r="M235" s="17" t="s">
        <v>478</v>
      </c>
      <c r="N235" s="18" t="n">
        <v>138.81</v>
      </c>
      <c r="O235" s="16" t="s">
        <v>1534</v>
      </c>
      <c r="P235" s="16" t="s">
        <v>1700</v>
      </c>
      <c r="Q235" s="17" t="s">
        <v>1536</v>
      </c>
      <c r="R235" s="78" t="s">
        <v>2027</v>
      </c>
      <c r="S235" s="77" t="n">
        <f aca="false">IFERROR(INDEX('Injectable Value'!$Z$28:$Z$178,MATCH($C235,'Injectable Value'!$A$28:$A$178,0)),"")</f>
        <v>0.689888576486515</v>
      </c>
      <c r="T235" s="19" t="n">
        <f aca="false">IFERROR(ROUND(INDEX('Injectable Value'!$AA$28:$AA$178,MATCH($C235,'Injectable Value'!$A$28:$A$178,0)),1),"")</f>
        <v>2886</v>
      </c>
      <c r="U235" s="17" t="s">
        <v>817</v>
      </c>
      <c r="V235" s="16" t="n">
        <v>18</v>
      </c>
      <c r="W235" s="16" t="s">
        <v>537</v>
      </c>
      <c r="X235" s="16" t="s">
        <v>281</v>
      </c>
      <c r="Y235" s="16" t="s">
        <v>283</v>
      </c>
      <c r="Z235" s="17" t="str">
        <f aca="false">IFERROR(INDEX(Scoring!$U:$U,MATCH($C235&amp;"|"&amp;$E235,Scoring!$AD:$AD,0)),"")</f>
        <v>Cancer drug (cytotoxic) – less relevant; Reconstitution</v>
      </c>
      <c r="AA235" s="16" t="str">
        <f aca="false">IFERROR(INDEX(Scoring!$E:$E,MATCH($C235&amp;"|"&amp;$E235,Scoring!$AD:$AD,0)),"")</f>
        <v>Excluded – IV only</v>
      </c>
      <c r="AB235" s="19" t="n">
        <f aca="false">IFERROR(INDEX(Scoring!$M:$M,MATCH($C235&amp;"|"&amp;$E235,Scoring!$AD:$AD,0)),"")</f>
        <v>177</v>
      </c>
      <c r="AC235" s="16" t="str">
        <f aca="false">IFERROR(INDEX('Route of Administration'!$C$5:$C$155,MATCH($C235,'Route of Administration'!$A$5:$A$155,0)),"")</f>
        <v>IV</v>
      </c>
      <c r="AD235" s="15" t="str">
        <f aca="false">IFERROR(INDEX('Route of Administration'!$D$5:$D$155,MATCH($C235,'Route of Administration'!$A$5:$A$155,0)),"")</f>
        <v>No</v>
      </c>
      <c r="AE235" s="15" t="str">
        <f aca="false">IF($AD235="No","Not checked – drug is IV only",IFERROR(INDEX('Route of Administration'!$O$5:$O$170,MATCH($E235&amp;"|"&amp;$C235,'Route of Administration'!$S$5:$S$170,0)),"Not checked – price ≤ USD 5"))</f>
        <v>Not checked – drug is IV only</v>
      </c>
    </row>
    <row r="236" customFormat="false" ht="28.35" hidden="false" customHeight="false" outlineLevel="0" collapsed="false">
      <c r="B236" s="16" t="n">
        <v>234</v>
      </c>
      <c r="C236" s="16" t="s">
        <v>775</v>
      </c>
      <c r="D236" s="16" t="s">
        <v>775</v>
      </c>
      <c r="E236" s="16" t="s">
        <v>773</v>
      </c>
      <c r="F236" s="16" t="s">
        <v>2028</v>
      </c>
      <c r="G236" s="17" t="s">
        <v>2029</v>
      </c>
      <c r="H236" s="16" t="s">
        <v>1533</v>
      </c>
      <c r="I236" s="18" t="n">
        <v>15.86</v>
      </c>
      <c r="J236" s="16" t="n">
        <v>1</v>
      </c>
      <c r="K236" s="16" t="n">
        <v>684</v>
      </c>
      <c r="L236" s="19" t="n">
        <v>8785.35</v>
      </c>
      <c r="M236" s="17" t="s">
        <v>777</v>
      </c>
      <c r="N236" s="18" t="n">
        <v>15.86</v>
      </c>
      <c r="O236" s="16" t="s">
        <v>1534</v>
      </c>
      <c r="P236" s="16" t="s">
        <v>1700</v>
      </c>
      <c r="Q236" s="17" t="s">
        <v>1536</v>
      </c>
      <c r="R236" s="78" t="s">
        <v>2030</v>
      </c>
      <c r="S236" s="77" t="n">
        <f aca="false">IFERROR(INDEX('Injectable Value'!$Z$28:$Z$178,MATCH($C236,'Injectable Value'!$A$28:$A$178,0)),"")</f>
        <v>0.959959846916369</v>
      </c>
      <c r="T236" s="19" t="n">
        <f aca="false">IFERROR(ROUND(INDEX('Injectable Value'!$AA$28:$AA$178,MATCH($C236,'Injectable Value'!$A$28:$A$178,0)),1),"")</f>
        <v>8433.6</v>
      </c>
      <c r="U236" s="17" t="s">
        <v>780</v>
      </c>
      <c r="V236" s="16" t="n">
        <v>5</v>
      </c>
      <c r="W236" s="16" t="s">
        <v>779</v>
      </c>
      <c r="X236" s="16" t="s">
        <v>281</v>
      </c>
      <c r="Y236" s="16" t="s">
        <v>283</v>
      </c>
      <c r="Z236" s="17" t="str">
        <f aca="false">IFERROR(INDEX(Scoring!$U:$U,MATCH($C236&amp;"|"&amp;$E236,Scoring!$AD:$AD,0)),"")</f>
        <v/>
      </c>
      <c r="AA236" s="16" t="str">
        <f aca="false">IFERROR(INDEX(Scoring!$E:$E,MATCH($C236&amp;"|"&amp;$E236,Scoring!$AD:$AD,0)),"")</f>
        <v>Priority 1</v>
      </c>
      <c r="AB236" s="19" t="n">
        <f aca="false">IFERROR(INDEX(Scoring!$M:$M,MATCH($C236&amp;"|"&amp;$E236,Scoring!$AD:$AD,0)),"")</f>
        <v>657</v>
      </c>
      <c r="AC236" s="16" t="str">
        <f aca="false">IFERROR(INDEX('Route of Administration'!$C$5:$C$155,MATCH($C236,'Route of Administration'!$A$5:$A$155,0)),"")</f>
        <v>IV, IM</v>
      </c>
      <c r="AD236" s="15" t="str">
        <f aca="false">IFERROR(INDEX('Route of Administration'!$D$5:$D$155,MATCH($C236,'Route of Administration'!$A$5:$A$155,0)),"")</f>
        <v>Yes</v>
      </c>
      <c r="AE236" s="15" t="str">
        <f aca="false">IF($AD236="No","Not checked – drug is IV only",IFERROR(INDEX('Route of Administration'!$O$5:$O$170,MATCH($E236&amp;"|"&amp;$C236,'Route of Administration'!$S$5:$S$170,0)),"Not checked – price ≤ USD 5"))</f>
        <v>Pass</v>
      </c>
    </row>
    <row r="237" customFormat="false" ht="28.35" hidden="false" customHeight="false" outlineLevel="0" collapsed="false">
      <c r="B237" s="16" t="n">
        <v>235</v>
      </c>
      <c r="C237" s="16" t="s">
        <v>768</v>
      </c>
      <c r="D237" s="16" t="s">
        <v>769</v>
      </c>
      <c r="E237" s="16" t="s">
        <v>773</v>
      </c>
      <c r="F237" s="16" t="s">
        <v>2031</v>
      </c>
      <c r="G237" s="17" t="s">
        <v>1693</v>
      </c>
      <c r="H237" s="16" t="s">
        <v>1533</v>
      </c>
      <c r="I237" s="18" t="n">
        <v>19.51</v>
      </c>
      <c r="J237" s="16" t="n">
        <v>1</v>
      </c>
      <c r="K237" s="16" t="n">
        <v>310</v>
      </c>
      <c r="L237" s="19" t="n">
        <v>8995.42</v>
      </c>
      <c r="M237" s="17" t="s">
        <v>770</v>
      </c>
      <c r="N237" s="18" t="n">
        <v>19.51</v>
      </c>
      <c r="O237" s="16" t="s">
        <v>1534</v>
      </c>
      <c r="P237" s="16" t="s">
        <v>1535</v>
      </c>
      <c r="Q237" s="17" t="s">
        <v>1536</v>
      </c>
      <c r="R237" s="78" t="s">
        <v>2032</v>
      </c>
      <c r="S237" s="77" t="n">
        <f aca="false">IFERROR(INDEX('Injectable Value'!$Z$28:$Z$178,MATCH($C237,'Injectable Value'!$A$28:$A$178,0)),"")</f>
        <v>0.156211180124224</v>
      </c>
      <c r="T237" s="19" t="n">
        <f aca="false">IFERROR(ROUND(INDEX('Injectable Value'!$AA$28:$AA$178,MATCH($C237,'Injectable Value'!$A$28:$A$178,0)),1),"")</f>
        <v>1405.2</v>
      </c>
      <c r="U237" s="17" t="s">
        <v>772</v>
      </c>
      <c r="V237" s="16" t="n">
        <v>2</v>
      </c>
      <c r="W237" s="16" t="s">
        <v>772</v>
      </c>
      <c r="X237" s="16" t="s">
        <v>281</v>
      </c>
      <c r="Y237" s="16" t="s">
        <v>310</v>
      </c>
      <c r="Z237" s="17" t="str">
        <f aca="false">IFERROR(INDEX(Scoring!$U:$U,MATCH($C237&amp;"|"&amp;$E237,Scoring!$AD:$AD,0)),"")</f>
        <v>Reconstitution</v>
      </c>
      <c r="AA237" s="16" t="str">
        <f aca="false">IFERROR(INDEX(Scoring!$E:$E,MATCH($C237&amp;"|"&amp;$E237,Scoring!$AD:$AD,0)),"")</f>
        <v>Priority 3</v>
      </c>
      <c r="AB237" s="19" t="n">
        <f aca="false">IFERROR(INDEX(Scoring!$M:$M,MATCH($C237&amp;"|"&amp;$E237,Scoring!$AD:$AD,0)),"")</f>
        <v>48</v>
      </c>
      <c r="AC237" s="16" t="str">
        <f aca="false">IFERROR(INDEX('Route of Administration'!$C$5:$C$155,MATCH($C237,'Route of Administration'!$A$5:$A$155,0)),"")</f>
        <v>IV, IM</v>
      </c>
      <c r="AD237" s="15" t="str">
        <f aca="false">IFERROR(INDEX('Route of Administration'!$D$5:$D$155,MATCH($C237,'Route of Administration'!$A$5:$A$155,0)),"")</f>
        <v>Yes</v>
      </c>
      <c r="AE237" s="15" t="str">
        <f aca="false">IF($AD237="No","Not checked – drug is IV only",IFERROR(INDEX('Route of Administration'!$O$5:$O$170,MATCH($E237&amp;"|"&amp;$C237,'Route of Administration'!$S$5:$S$170,0)),"Not checked – price ≤ USD 5"))</f>
        <v>Pass</v>
      </c>
    </row>
    <row r="238" customFormat="false" ht="28.35" hidden="false" customHeight="false" outlineLevel="0" collapsed="false">
      <c r="B238" s="16" t="n">
        <v>236</v>
      </c>
      <c r="C238" s="16" t="s">
        <v>768</v>
      </c>
      <c r="D238" s="16" t="s">
        <v>769</v>
      </c>
      <c r="E238" s="16" t="s">
        <v>773</v>
      </c>
      <c r="F238" s="16" t="s">
        <v>1733</v>
      </c>
      <c r="G238" s="17" t="s">
        <v>771</v>
      </c>
      <c r="H238" s="16" t="s">
        <v>1533</v>
      </c>
      <c r="I238" s="18" t="n">
        <v>16.1025</v>
      </c>
      <c r="J238" s="16" t="n">
        <v>26</v>
      </c>
      <c r="K238" s="16" t="n">
        <v>310</v>
      </c>
      <c r="L238" s="19" t="n">
        <v>8995.42</v>
      </c>
      <c r="M238" s="17" t="s">
        <v>770</v>
      </c>
      <c r="N238" s="18" t="n">
        <v>16.1025</v>
      </c>
      <c r="O238" s="16" t="s">
        <v>1534</v>
      </c>
      <c r="P238" s="16" t="s">
        <v>1561</v>
      </c>
      <c r="Q238" s="17" t="s">
        <v>1536</v>
      </c>
      <c r="R238" s="78" t="s">
        <v>2033</v>
      </c>
      <c r="S238" s="77" t="n">
        <f aca="false">IFERROR(INDEX('Injectable Value'!$Z$28:$Z$178,MATCH($C238,'Injectable Value'!$A$28:$A$178,0)),"")</f>
        <v>0.156211180124224</v>
      </c>
      <c r="T238" s="19" t="n">
        <f aca="false">IFERROR(ROUND(INDEX('Injectable Value'!$AA$28:$AA$178,MATCH($C238,'Injectable Value'!$A$28:$A$178,0)),1),"")</f>
        <v>1405.2</v>
      </c>
      <c r="U238" s="17" t="s">
        <v>772</v>
      </c>
      <c r="V238" s="16" t="n">
        <v>2</v>
      </c>
      <c r="W238" s="16" t="s">
        <v>772</v>
      </c>
      <c r="X238" s="16" t="s">
        <v>281</v>
      </c>
      <c r="Y238" s="16" t="s">
        <v>333</v>
      </c>
      <c r="Z238" s="17" t="str">
        <f aca="false">IFERROR(INDEX(Scoring!$U:$U,MATCH($C238&amp;"|"&amp;$E238,Scoring!$AD:$AD,0)),"")</f>
        <v>Reconstitution</v>
      </c>
      <c r="AA238" s="16" t="str">
        <f aca="false">IFERROR(INDEX(Scoring!$E:$E,MATCH($C238&amp;"|"&amp;$E238,Scoring!$AD:$AD,0)),"")</f>
        <v>Priority 3</v>
      </c>
      <c r="AB238" s="19" t="n">
        <f aca="false">IFERROR(INDEX(Scoring!$M:$M,MATCH($C238&amp;"|"&amp;$E238,Scoring!$AD:$AD,0)),"")</f>
        <v>48</v>
      </c>
      <c r="AC238" s="16" t="str">
        <f aca="false">IFERROR(INDEX('Route of Administration'!$C$5:$C$155,MATCH($C238,'Route of Administration'!$A$5:$A$155,0)),"")</f>
        <v>IV, IM</v>
      </c>
      <c r="AD238" s="15" t="str">
        <f aca="false">IFERROR(INDEX('Route of Administration'!$D$5:$D$155,MATCH($C238,'Route of Administration'!$A$5:$A$155,0)),"")</f>
        <v>Yes</v>
      </c>
      <c r="AE238" s="15" t="str">
        <f aca="false">IF($AD238="No","Not checked – drug is IV only",IFERROR(INDEX('Route of Administration'!$O$5:$O$170,MATCH($E238&amp;"|"&amp;$C238,'Route of Administration'!$S$5:$S$170,0)),"Not checked – price ≤ USD 5"))</f>
        <v>Pass</v>
      </c>
    </row>
    <row r="239" customFormat="false" ht="28.35" hidden="false" customHeight="false" outlineLevel="0" collapsed="false">
      <c r="B239" s="16" t="n">
        <v>237</v>
      </c>
      <c r="C239" s="16" t="s">
        <v>775</v>
      </c>
      <c r="D239" s="16" t="s">
        <v>2034</v>
      </c>
      <c r="E239" s="16" t="s">
        <v>773</v>
      </c>
      <c r="F239" s="16" t="s">
        <v>2035</v>
      </c>
      <c r="G239" s="17" t="s">
        <v>2029</v>
      </c>
      <c r="H239" s="16" t="s">
        <v>1533</v>
      </c>
      <c r="I239" s="18" t="n">
        <v>5.6839</v>
      </c>
      <c r="J239" s="16" t="n">
        <v>29</v>
      </c>
      <c r="K239" s="16" t="n">
        <v>684</v>
      </c>
      <c r="L239" s="19" t="n">
        <v>8785.35</v>
      </c>
      <c r="M239" s="17" t="s">
        <v>777</v>
      </c>
      <c r="N239" s="18" t="n">
        <v>5.6839</v>
      </c>
      <c r="O239" s="16" t="s">
        <v>1534</v>
      </c>
      <c r="P239" s="16" t="s">
        <v>1561</v>
      </c>
      <c r="Q239" s="17" t="s">
        <v>1536</v>
      </c>
      <c r="R239" s="78" t="s">
        <v>1715</v>
      </c>
      <c r="S239" s="77" t="n">
        <f aca="false">IFERROR(INDEX('Injectable Value'!$Z$28:$Z$178,MATCH($C239,'Injectable Value'!$A$28:$A$178,0)),"")</f>
        <v>0.959959846916369</v>
      </c>
      <c r="T239" s="19" t="n">
        <f aca="false">IFERROR(ROUND(INDEX('Injectable Value'!$AA$28:$AA$178,MATCH($C239,'Injectable Value'!$A$28:$A$178,0)),1),"")</f>
        <v>8433.6</v>
      </c>
      <c r="U239" s="17" t="s">
        <v>780</v>
      </c>
      <c r="V239" s="16" t="n">
        <v>5</v>
      </c>
      <c r="W239" s="16" t="s">
        <v>779</v>
      </c>
      <c r="X239" s="16" t="s">
        <v>281</v>
      </c>
      <c r="Y239" s="16" t="s">
        <v>283</v>
      </c>
      <c r="Z239" s="17" t="str">
        <f aca="false">IFERROR(INDEX(Scoring!$U:$U,MATCH($C239&amp;"|"&amp;$E239,Scoring!$AD:$AD,0)),"")</f>
        <v/>
      </c>
      <c r="AA239" s="16" t="str">
        <f aca="false">IFERROR(INDEX(Scoring!$E:$E,MATCH($C239&amp;"|"&amp;$E239,Scoring!$AD:$AD,0)),"")</f>
        <v>Priority 1</v>
      </c>
      <c r="AB239" s="19" t="n">
        <f aca="false">IFERROR(INDEX(Scoring!$M:$M,MATCH($C239&amp;"|"&amp;$E239,Scoring!$AD:$AD,0)),"")</f>
        <v>657</v>
      </c>
      <c r="AC239" s="16" t="str">
        <f aca="false">IFERROR(INDEX('Route of Administration'!$C$5:$C$155,MATCH($C239,'Route of Administration'!$A$5:$A$155,0)),"")</f>
        <v>IV, IM</v>
      </c>
      <c r="AD239" s="15" t="str">
        <f aca="false">IFERROR(INDEX('Route of Administration'!$D$5:$D$155,MATCH($C239,'Route of Administration'!$A$5:$A$155,0)),"")</f>
        <v>Yes</v>
      </c>
      <c r="AE239" s="15" t="str">
        <f aca="false">IF($AD239="No","Not checked – drug is IV only",IFERROR(INDEX('Route of Administration'!$O$5:$O$170,MATCH($E239&amp;"|"&amp;$C239,'Route of Administration'!$S$5:$S$170,0)),"Not checked – price ≤ USD 5"))</f>
        <v>Pass</v>
      </c>
    </row>
    <row r="240" customFormat="false" ht="28.35" hidden="false" customHeight="false" outlineLevel="0" collapsed="false">
      <c r="B240" s="16" t="n">
        <v>238</v>
      </c>
      <c r="C240" s="16" t="s">
        <v>314</v>
      </c>
      <c r="D240" s="16" t="s">
        <v>782</v>
      </c>
      <c r="E240" s="16" t="s">
        <v>773</v>
      </c>
      <c r="F240" s="16" t="s">
        <v>1707</v>
      </c>
      <c r="G240" s="17" t="s">
        <v>2036</v>
      </c>
      <c r="H240" s="16" t="s">
        <v>1533</v>
      </c>
      <c r="I240" s="18" t="n">
        <v>9.04</v>
      </c>
      <c r="J240" s="16" t="n">
        <v>24</v>
      </c>
      <c r="K240" s="16" t="n">
        <v>1393</v>
      </c>
      <c r="L240" s="19" t="n">
        <v>52401.4</v>
      </c>
      <c r="M240" s="17" t="s">
        <v>316</v>
      </c>
      <c r="N240" s="18" t="n">
        <v>9.04</v>
      </c>
      <c r="O240" s="16" t="s">
        <v>1534</v>
      </c>
      <c r="P240" s="16" t="s">
        <v>1700</v>
      </c>
      <c r="Q240" s="17" t="s">
        <v>1536</v>
      </c>
      <c r="R240" s="78" t="s">
        <v>2037</v>
      </c>
      <c r="S240" s="77" t="n">
        <f aca="false">IFERROR(INDEX('Injectable Value'!$Z$28:$Z$178,MATCH($C240,'Injectable Value'!$A$28:$A$178,0)),"")</f>
        <v>0.670397578386193</v>
      </c>
      <c r="T240" s="19" t="n">
        <f aca="false">IFERROR(ROUND(INDEX('Injectable Value'!$AA$28:$AA$178,MATCH($C240,'Injectable Value'!$A$28:$A$178,0)),1),"")</f>
        <v>35129.8</v>
      </c>
      <c r="U240" s="17" t="s">
        <v>783</v>
      </c>
      <c r="V240" s="16" t="n">
        <v>1</v>
      </c>
      <c r="W240" s="16" t="s">
        <v>112</v>
      </c>
      <c r="X240" s="16" t="s">
        <v>281</v>
      </c>
      <c r="Y240" s="16" t="s">
        <v>310</v>
      </c>
      <c r="Z240" s="17" t="str">
        <f aca="false">IFERROR(INDEX(Scoring!$U:$U,MATCH($C240&amp;"|"&amp;$E240,Scoring!$AD:$AD,0)),"")</f>
        <v/>
      </c>
      <c r="AA240" s="16" t="str">
        <f aca="false">IFERROR(INDEX(Scoring!$E:$E,MATCH($C240&amp;"|"&amp;$E240,Scoring!$AD:$AD,0)),"")</f>
        <v>Priority 2</v>
      </c>
      <c r="AB240" s="19" t="n">
        <f aca="false">IFERROR(INDEX(Scoring!$M:$M,MATCH($C240&amp;"|"&amp;$E240,Scoring!$AD:$AD,0)),"")</f>
        <v>934</v>
      </c>
      <c r="AC240" s="16" t="str">
        <f aca="false">IFERROR(INDEX('Route of Administration'!$C$5:$C$155,MATCH($C240,'Route of Administration'!$A$5:$A$155,0)),"")</f>
        <v>IV, IM</v>
      </c>
      <c r="AD240" s="15" t="str">
        <f aca="false">IFERROR(INDEX('Route of Administration'!$D$5:$D$155,MATCH($C240,'Route of Administration'!$A$5:$A$155,0)),"")</f>
        <v>Yes</v>
      </c>
      <c r="AE240" s="15" t="str">
        <f aca="false">IF($AD240="No","Not checked – drug is IV only",IFERROR(INDEX('Route of Administration'!$O$5:$O$170,MATCH($E240&amp;"|"&amp;$C240,'Route of Administration'!$S$5:$S$170,0)),"Not checked – price ≤ USD 5"))</f>
        <v>Pass</v>
      </c>
    </row>
    <row r="241" customFormat="false" ht="28.35" hidden="false" customHeight="false" outlineLevel="0" collapsed="false">
      <c r="B241" s="16" t="n">
        <v>239</v>
      </c>
      <c r="C241" s="16" t="s">
        <v>329</v>
      </c>
      <c r="D241" s="16" t="s">
        <v>2038</v>
      </c>
      <c r="E241" s="16" t="s">
        <v>773</v>
      </c>
      <c r="F241" s="16" t="s">
        <v>1699</v>
      </c>
      <c r="G241" s="17" t="s">
        <v>1690</v>
      </c>
      <c r="H241" s="16" t="s">
        <v>1533</v>
      </c>
      <c r="I241" s="18" t="n">
        <v>397.421</v>
      </c>
      <c r="J241" s="16" t="n">
        <v>30</v>
      </c>
      <c r="K241" s="16" t="n">
        <v>762</v>
      </c>
      <c r="L241" s="19" t="n">
        <v>50865.56</v>
      </c>
      <c r="M241" s="17" t="s">
        <v>331</v>
      </c>
      <c r="N241" s="18" t="n">
        <v>397.421</v>
      </c>
      <c r="O241" s="16" t="s">
        <v>1534</v>
      </c>
      <c r="P241" s="16" t="s">
        <v>1700</v>
      </c>
      <c r="Q241" s="17" t="s">
        <v>1536</v>
      </c>
      <c r="R241" s="78" t="s">
        <v>1701</v>
      </c>
      <c r="S241" s="77" t="n">
        <f aca="false">IFERROR(INDEX('Injectable Value'!$Z$28:$Z$178,MATCH($C241,'Injectable Value'!$A$28:$A$178,0)),"")</f>
        <v>0.829278792417718</v>
      </c>
      <c r="T241" s="19" t="n">
        <f aca="false">IFERROR(ROUND(INDEX('Injectable Value'!$AA$28:$AA$178,MATCH($C241,'Injectable Value'!$A$28:$A$178,0)),1),"")</f>
        <v>42181.7</v>
      </c>
      <c r="U241" s="17" t="s">
        <v>786</v>
      </c>
      <c r="V241" s="16" t="n">
        <v>11</v>
      </c>
      <c r="W241" s="16" t="s">
        <v>785</v>
      </c>
      <c r="X241" s="16" t="s">
        <v>281</v>
      </c>
      <c r="Y241" s="16" t="s">
        <v>333</v>
      </c>
      <c r="Z241" s="17" t="str">
        <f aca="false">IFERROR(INDEX(Scoring!$U:$U,MATCH($C241&amp;"|"&amp;$E241,Scoring!$AD:$AD,0)),"")</f>
        <v>Cancer drug (cytotoxic) – less relevant; Reconstitution</v>
      </c>
      <c r="AA241" s="16" t="str">
        <f aca="false">IFERROR(INDEX(Scoring!$E:$E,MATCH($C241&amp;"|"&amp;$E241,Scoring!$AD:$AD,0)),"")</f>
        <v>Priority 1</v>
      </c>
      <c r="AB241" s="19" t="n">
        <f aca="false">IFERROR(INDEX(Scoring!$M:$M,MATCH($C241&amp;"|"&amp;$E241,Scoring!$AD:$AD,0)),"")</f>
        <v>632</v>
      </c>
      <c r="AC241" s="16" t="str">
        <f aca="false">IFERROR(INDEX('Route of Administration'!$C$5:$C$155,MATCH($C241,'Route of Administration'!$A$5:$A$155,0)),"")</f>
        <v>IV, SC</v>
      </c>
      <c r="AD241" s="15" t="str">
        <f aca="false">IFERROR(INDEX('Route of Administration'!$D$5:$D$155,MATCH($C241,'Route of Administration'!$A$5:$A$155,0)),"")</f>
        <v>Yes</v>
      </c>
      <c r="AE241" s="15" t="str">
        <f aca="false">IF($AD241="No","Not checked – drug is IV only",IFERROR(INDEX('Route of Administration'!$O$5:$O$170,MATCH($E241&amp;"|"&amp;$C241,'Route of Administration'!$S$5:$S$170,0)),"Not checked – price ≤ USD 5"))</f>
        <v>Pass</v>
      </c>
    </row>
    <row r="242" customFormat="false" ht="28.35" hidden="false" customHeight="false" outlineLevel="0" collapsed="false">
      <c r="B242" s="16" t="n">
        <v>240</v>
      </c>
      <c r="C242" s="16" t="s">
        <v>338</v>
      </c>
      <c r="D242" s="16" t="s">
        <v>2039</v>
      </c>
      <c r="E242" s="16" t="s">
        <v>773</v>
      </c>
      <c r="F242" s="16" t="s">
        <v>1703</v>
      </c>
      <c r="G242" s="17" t="s">
        <v>1681</v>
      </c>
      <c r="H242" s="16" t="s">
        <v>1533</v>
      </c>
      <c r="I242" s="18" t="n">
        <v>1444.1174</v>
      </c>
      <c r="J242" s="16" t="n">
        <v>29</v>
      </c>
      <c r="K242" s="16" t="n">
        <v>905</v>
      </c>
      <c r="L242" s="19" t="n">
        <v>28093.38</v>
      </c>
      <c r="M242" s="17" t="s">
        <v>340</v>
      </c>
      <c r="N242" s="18" t="n">
        <v>1444.1174</v>
      </c>
      <c r="O242" s="16" t="s">
        <v>1534</v>
      </c>
      <c r="P242" s="16" t="s">
        <v>1561</v>
      </c>
      <c r="Q242" s="17" t="s">
        <v>1536</v>
      </c>
      <c r="R242" s="78" t="s">
        <v>1701</v>
      </c>
      <c r="S242" s="77" t="n">
        <f aca="false">IFERROR(INDEX('Injectable Value'!$Z$28:$Z$178,MATCH($C242,'Injectable Value'!$A$28:$A$178,0)),"")</f>
        <v>1</v>
      </c>
      <c r="T242" s="19" t="n">
        <f aca="false">IFERROR(ROUND(INDEX('Injectable Value'!$AA$28:$AA$178,MATCH($C242,'Injectable Value'!$A$28:$A$178,0)),1),"")</f>
        <v>28093.4</v>
      </c>
      <c r="U242" s="17" t="s">
        <v>789</v>
      </c>
      <c r="V242" s="16" t="n">
        <v>4</v>
      </c>
      <c r="W242" s="16" t="s">
        <v>591</v>
      </c>
      <c r="X242" s="16" t="s">
        <v>281</v>
      </c>
      <c r="Y242" s="16" t="s">
        <v>333</v>
      </c>
      <c r="Z242" s="17" t="str">
        <f aca="false">IFERROR(INDEX(Scoring!$U:$U,MATCH($C242&amp;"|"&amp;$E242,Scoring!$AD:$AD,0)),"")</f>
        <v>Cancer drug (cytotoxic) – less relevant; Reconstitution</v>
      </c>
      <c r="AA242" s="16" t="str">
        <f aca="false">IFERROR(INDEX(Scoring!$E:$E,MATCH($C242&amp;"|"&amp;$E242,Scoring!$AD:$AD,0)),"")</f>
        <v>Priority 1</v>
      </c>
      <c r="AB242" s="19" t="n">
        <f aca="false">IFERROR(INDEX(Scoring!$M:$M,MATCH($C242&amp;"|"&amp;$E242,Scoring!$AD:$AD,0)),"")</f>
        <v>905</v>
      </c>
      <c r="AC242" s="16" t="str">
        <f aca="false">IFERROR(INDEX('Route of Administration'!$C$5:$C$155,MATCH($C242,'Route of Administration'!$A$5:$A$155,0)),"")</f>
        <v>IV, SC</v>
      </c>
      <c r="AD242" s="15" t="str">
        <f aca="false">IFERROR(INDEX('Route of Administration'!$D$5:$D$155,MATCH($C242,'Route of Administration'!$A$5:$A$155,0)),"")</f>
        <v>Yes</v>
      </c>
      <c r="AE242" s="15" t="str">
        <f aca="false">IF($AD242="No","Not checked – drug is IV only",IFERROR(INDEX('Route of Administration'!$O$5:$O$170,MATCH($E242&amp;"|"&amp;$C242,'Route of Administration'!$S$5:$S$170,0)),"Not checked – price ≤ USD 5"))</f>
        <v>Pass</v>
      </c>
    </row>
    <row r="243" customFormat="false" ht="28.35" hidden="false" customHeight="false" outlineLevel="0" collapsed="false">
      <c r="B243" s="16" t="n">
        <v>241</v>
      </c>
      <c r="C243" s="16" t="s">
        <v>388</v>
      </c>
      <c r="D243" s="16" t="s">
        <v>2040</v>
      </c>
      <c r="E243" s="16" t="s">
        <v>773</v>
      </c>
      <c r="F243" s="16" t="s">
        <v>1716</v>
      </c>
      <c r="G243" s="17" t="s">
        <v>1717</v>
      </c>
      <c r="H243" s="16" t="s">
        <v>1533</v>
      </c>
      <c r="I243" s="18" t="n">
        <v>93.7335</v>
      </c>
      <c r="J243" s="16" t="n">
        <v>28</v>
      </c>
      <c r="K243" s="16" t="n">
        <v>312</v>
      </c>
      <c r="L243" s="19" t="n">
        <v>59827.18</v>
      </c>
      <c r="M243" s="17" t="s">
        <v>390</v>
      </c>
      <c r="N243" s="18" t="n">
        <v>93.7335</v>
      </c>
      <c r="O243" s="16" t="s">
        <v>1534</v>
      </c>
      <c r="P243" s="16" t="s">
        <v>1700</v>
      </c>
      <c r="Q243" s="17" t="s">
        <v>1536</v>
      </c>
      <c r="R243" s="78" t="s">
        <v>1701</v>
      </c>
      <c r="S243" s="77" t="n">
        <f aca="false">IFERROR(INDEX('Injectable Value'!$Z$28:$Z$178,MATCH($C243,'Injectable Value'!$A$28:$A$178,0)),"")</f>
        <v>1</v>
      </c>
      <c r="T243" s="19" t="n">
        <f aca="false">IFERROR(ROUND(INDEX('Injectable Value'!$AA$28:$AA$178,MATCH($C243,'Injectable Value'!$A$28:$A$178,0)),1),"")</f>
        <v>59827.2</v>
      </c>
      <c r="U243" s="17" t="s">
        <v>798</v>
      </c>
      <c r="V243" s="16" t="n">
        <v>5</v>
      </c>
      <c r="W243" s="16" t="s">
        <v>797</v>
      </c>
      <c r="X243" s="16" t="s">
        <v>281</v>
      </c>
      <c r="Y243" s="16" t="s">
        <v>333</v>
      </c>
      <c r="Z243" s="17" t="str">
        <f aca="false">IFERROR(INDEX(Scoring!$U:$U,MATCH($C243&amp;"|"&amp;$E243,Scoring!$AD:$AD,0)),"")</f>
        <v>Reconstitution</v>
      </c>
      <c r="AA243" s="16" t="str">
        <f aca="false">IFERROR(INDEX(Scoring!$E:$E,MATCH($C243&amp;"|"&amp;$E243,Scoring!$AD:$AD,0)),"")</f>
        <v>Excluded – IV only</v>
      </c>
      <c r="AB243" s="19" t="n">
        <f aca="false">IFERROR(INDEX(Scoring!$M:$M,MATCH($C243&amp;"|"&amp;$E243,Scoring!$AD:$AD,0)),"")</f>
        <v>312</v>
      </c>
      <c r="AC243" s="16" t="str">
        <f aca="false">IFERROR(INDEX('Route of Administration'!$C$5:$C$155,MATCH($C243,'Route of Administration'!$A$5:$A$155,0)),"")</f>
        <v>IV</v>
      </c>
      <c r="AD243" s="15" t="str">
        <f aca="false">IFERROR(INDEX('Route of Administration'!$D$5:$D$155,MATCH($C243,'Route of Administration'!$A$5:$A$155,0)),"")</f>
        <v>No</v>
      </c>
      <c r="AE243" s="15" t="str">
        <f aca="false">IF($AD243="No","Not checked – drug is IV only",IFERROR(INDEX('Route of Administration'!$O$5:$O$170,MATCH($E243&amp;"|"&amp;$C243,'Route of Administration'!$S$5:$S$170,0)),"Not checked – price ≤ USD 5"))</f>
        <v>Not checked – drug is IV only</v>
      </c>
    </row>
    <row r="244" customFormat="false" ht="28.35" hidden="false" customHeight="false" outlineLevel="0" collapsed="false">
      <c r="B244" s="16" t="n">
        <v>242</v>
      </c>
      <c r="C244" s="16" t="s">
        <v>724</v>
      </c>
      <c r="D244" s="16" t="s">
        <v>799</v>
      </c>
      <c r="E244" s="16" t="s">
        <v>773</v>
      </c>
      <c r="F244" s="16" t="s">
        <v>2041</v>
      </c>
      <c r="G244" s="17" t="s">
        <v>1998</v>
      </c>
      <c r="H244" s="16" t="s">
        <v>1533</v>
      </c>
      <c r="I244" s="18" t="n">
        <v>404.5852</v>
      </c>
      <c r="J244" s="16" t="n">
        <v>25</v>
      </c>
      <c r="K244" s="16" t="n">
        <v>42</v>
      </c>
      <c r="L244" s="19" t="n">
        <v>1874.63</v>
      </c>
      <c r="M244" s="17" t="s">
        <v>726</v>
      </c>
      <c r="N244" s="18" t="n">
        <v>404.5852</v>
      </c>
      <c r="O244" s="16" t="s">
        <v>1534</v>
      </c>
      <c r="P244" s="16" t="s">
        <v>1535</v>
      </c>
      <c r="Q244" s="17" t="s">
        <v>1536</v>
      </c>
      <c r="R244" s="78" t="s">
        <v>2042</v>
      </c>
      <c r="S244" s="77" t="n">
        <f aca="false">IFERROR(INDEX('Injectable Value'!$Z$28:$Z$178,MATCH($C244,'Injectable Value'!$A$28:$A$178,0)),"")</f>
        <v>1</v>
      </c>
      <c r="T244" s="19" t="n">
        <f aca="false">IFERROR(ROUND(INDEX('Injectable Value'!$AA$28:$AA$178,MATCH($C244,'Injectable Value'!$A$28:$A$178,0)),1),"")</f>
        <v>1874.6</v>
      </c>
      <c r="U244" s="17" t="s">
        <v>802</v>
      </c>
      <c r="V244" s="16" t="n">
        <v>7</v>
      </c>
      <c r="W244" s="16" t="s">
        <v>801</v>
      </c>
      <c r="X244" s="16" t="s">
        <v>281</v>
      </c>
      <c r="Y244" s="16" t="s">
        <v>283</v>
      </c>
      <c r="Z244" s="17" t="str">
        <f aca="false">IFERROR(INDEX(Scoring!$U:$U,MATCH($C244&amp;"|"&amp;$E244,Scoring!$AD:$AD,0)),"")</f>
        <v>Cancer drug (cytotoxic) – less relevant</v>
      </c>
      <c r="AA244" s="16" t="str">
        <f aca="false">IFERROR(INDEX(Scoring!$E:$E,MATCH($C244&amp;"|"&amp;$E244,Scoring!$AD:$AD,0)),"")</f>
        <v>Excluded – IV only</v>
      </c>
      <c r="AB244" s="19" t="n">
        <f aca="false">IFERROR(INDEX(Scoring!$M:$M,MATCH($C244&amp;"|"&amp;$E244,Scoring!$AD:$AD,0)),"")</f>
        <v>42</v>
      </c>
      <c r="AC244" s="16" t="str">
        <f aca="false">IFERROR(INDEX('Route of Administration'!$C$5:$C$155,MATCH($C244,'Route of Administration'!$A$5:$A$155,0)),"")</f>
        <v>IV</v>
      </c>
      <c r="AD244" s="15" t="str">
        <f aca="false">IFERROR(INDEX('Route of Administration'!$D$5:$D$155,MATCH($C244,'Route of Administration'!$A$5:$A$155,0)),"")</f>
        <v>No</v>
      </c>
      <c r="AE244" s="15" t="str">
        <f aca="false">IF($AD244="No","Not checked – drug is IV only",IFERROR(INDEX('Route of Administration'!$O$5:$O$170,MATCH($E244&amp;"|"&amp;$C244,'Route of Administration'!$S$5:$S$170,0)),"Not checked – price ≤ USD 5"))</f>
        <v>Not checked – drug is IV only</v>
      </c>
    </row>
    <row r="245" customFormat="false" ht="28.35" hidden="false" customHeight="false" outlineLevel="0" collapsed="false">
      <c r="B245" s="16" t="n">
        <v>243</v>
      </c>
      <c r="C245" s="16" t="s">
        <v>804</v>
      </c>
      <c r="D245" s="16" t="s">
        <v>805</v>
      </c>
      <c r="E245" s="16" t="s">
        <v>773</v>
      </c>
      <c r="F245" s="16" t="s">
        <v>2043</v>
      </c>
      <c r="G245" s="17" t="s">
        <v>2044</v>
      </c>
      <c r="H245" s="16" t="s">
        <v>1533</v>
      </c>
      <c r="I245" s="18" t="n">
        <v>7.2772</v>
      </c>
      <c r="J245" s="16" t="n">
        <v>31</v>
      </c>
      <c r="K245" s="16" t="n">
        <v>3168</v>
      </c>
      <c r="L245" s="19" t="n">
        <v>130453.11</v>
      </c>
      <c r="M245" s="17" t="s">
        <v>806</v>
      </c>
      <c r="N245" s="18" t="n">
        <v>7.2772</v>
      </c>
      <c r="O245" s="16" t="s">
        <v>1534</v>
      </c>
      <c r="P245" s="16" t="s">
        <v>1700</v>
      </c>
      <c r="Q245" s="17" t="s">
        <v>1536</v>
      </c>
      <c r="R245" s="78" t="s">
        <v>1701</v>
      </c>
      <c r="S245" s="77" t="n">
        <f aca="false">IFERROR(INDEX('Injectable Value'!$Z$28:$Z$178,MATCH($C245,'Injectable Value'!$A$28:$A$178,0)),"")</f>
        <v>0.103608949323645</v>
      </c>
      <c r="T245" s="19" t="n">
        <f aca="false">IFERROR(ROUND(INDEX('Injectable Value'!$AA$28:$AA$178,MATCH($C245,'Injectable Value'!$A$28:$A$178,0)),1),"")</f>
        <v>13516.1</v>
      </c>
      <c r="U245" s="17" t="s">
        <v>809</v>
      </c>
      <c r="V245" s="16" t="n">
        <v>8</v>
      </c>
      <c r="W245" s="16" t="s">
        <v>808</v>
      </c>
      <c r="X245" s="16" t="s">
        <v>281</v>
      </c>
      <c r="Y245" s="16" t="s">
        <v>333</v>
      </c>
      <c r="Z245" s="17" t="str">
        <f aca="false">IFERROR(INDEX(Scoring!$U:$U,MATCH($C245&amp;"|"&amp;$E245,Scoring!$AD:$AD,0)),"")</f>
        <v>Reconstitution</v>
      </c>
      <c r="AA245" s="16" t="str">
        <f aca="false">IFERROR(INDEX(Scoring!$E:$E,MATCH($C245&amp;"|"&amp;$E245,Scoring!$AD:$AD,0)),"")</f>
        <v>Excluded – IV only</v>
      </c>
      <c r="AB245" s="19" t="n">
        <f aca="false">IFERROR(INDEX(Scoring!$M:$M,MATCH($C245&amp;"|"&amp;$E245,Scoring!$AD:$AD,0)),"")</f>
        <v>328</v>
      </c>
      <c r="AC245" s="16" t="str">
        <f aca="false">IFERROR(INDEX('Route of Administration'!$C$5:$C$155,MATCH($C245,'Route of Administration'!$A$5:$A$155,0)),"")</f>
        <v>IV</v>
      </c>
      <c r="AD245" s="15" t="str">
        <f aca="false">IFERROR(INDEX('Route of Administration'!$D$5:$D$155,MATCH($C245,'Route of Administration'!$A$5:$A$155,0)),"")</f>
        <v>No</v>
      </c>
      <c r="AE245" s="15" t="str">
        <f aca="false">IF($AD245="No","Not checked – drug is IV only",IFERROR(INDEX('Route of Administration'!$O$5:$O$170,MATCH($E245&amp;"|"&amp;$C245,'Route of Administration'!$S$5:$S$170,0)),"Not checked – price ≤ USD 5"))</f>
        <v>Not checked – drug is IV only</v>
      </c>
    </row>
    <row r="246" customFormat="false" ht="41.75" hidden="false" customHeight="false" outlineLevel="0" collapsed="false">
      <c r="B246" s="16" t="n">
        <v>244</v>
      </c>
      <c r="C246" s="16" t="s">
        <v>476</v>
      </c>
      <c r="D246" s="16" t="s">
        <v>2045</v>
      </c>
      <c r="E246" s="16" t="s">
        <v>773</v>
      </c>
      <c r="F246" s="16" t="s">
        <v>1730</v>
      </c>
      <c r="G246" s="17" t="s">
        <v>2026</v>
      </c>
      <c r="H246" s="16" t="s">
        <v>1533</v>
      </c>
      <c r="I246" s="18" t="n">
        <v>189.1846</v>
      </c>
      <c r="J246" s="16" t="n">
        <v>28</v>
      </c>
      <c r="K246" s="16" t="n">
        <v>257</v>
      </c>
      <c r="L246" s="19" t="n">
        <v>4183.29</v>
      </c>
      <c r="M246" s="17" t="s">
        <v>478</v>
      </c>
      <c r="N246" s="18" t="n">
        <v>189.1846</v>
      </c>
      <c r="O246" s="16" t="s">
        <v>1534</v>
      </c>
      <c r="P246" s="16" t="s">
        <v>1700</v>
      </c>
      <c r="Q246" s="17" t="s">
        <v>1536</v>
      </c>
      <c r="R246" s="78" t="s">
        <v>1701</v>
      </c>
      <c r="S246" s="77" t="n">
        <f aca="false">IFERROR(INDEX('Injectable Value'!$Z$28:$Z$178,MATCH($C246,'Injectable Value'!$A$28:$A$178,0)),"")</f>
        <v>0.689888576486515</v>
      </c>
      <c r="T246" s="19" t="n">
        <f aca="false">IFERROR(ROUND(INDEX('Injectable Value'!$AA$28:$AA$178,MATCH($C246,'Injectable Value'!$A$28:$A$178,0)),1),"")</f>
        <v>2886</v>
      </c>
      <c r="U246" s="17" t="s">
        <v>817</v>
      </c>
      <c r="V246" s="16" t="n">
        <v>18</v>
      </c>
      <c r="W246" s="16" t="s">
        <v>537</v>
      </c>
      <c r="X246" s="16" t="s">
        <v>281</v>
      </c>
      <c r="Y246" s="16" t="s">
        <v>283</v>
      </c>
      <c r="Z246" s="17" t="str">
        <f aca="false">IFERROR(INDEX(Scoring!$U:$U,MATCH($C246&amp;"|"&amp;$E246,Scoring!$AD:$AD,0)),"")</f>
        <v>Cancer drug (cytotoxic) – less relevant; Reconstitution</v>
      </c>
      <c r="AA246" s="16" t="str">
        <f aca="false">IFERROR(INDEX(Scoring!$E:$E,MATCH($C246&amp;"|"&amp;$E246,Scoring!$AD:$AD,0)),"")</f>
        <v>Excluded – IV only</v>
      </c>
      <c r="AB246" s="19" t="n">
        <f aca="false">IFERROR(INDEX(Scoring!$M:$M,MATCH($C246&amp;"|"&amp;$E246,Scoring!$AD:$AD,0)),"")</f>
        <v>177</v>
      </c>
      <c r="AC246" s="16" t="str">
        <f aca="false">IFERROR(INDEX('Route of Administration'!$C$5:$C$155,MATCH($C246,'Route of Administration'!$A$5:$A$155,0)),"")</f>
        <v>IV</v>
      </c>
      <c r="AD246" s="15" t="str">
        <f aca="false">IFERROR(INDEX('Route of Administration'!$D$5:$D$155,MATCH($C246,'Route of Administration'!$A$5:$A$155,0)),"")</f>
        <v>No</v>
      </c>
      <c r="AE246" s="15" t="str">
        <f aca="false">IF($AD246="No","Not checked – drug is IV only",IFERROR(INDEX('Route of Administration'!$O$5:$O$170,MATCH($E246&amp;"|"&amp;$C246,'Route of Administration'!$S$5:$S$170,0)),"Not checked – price ≤ USD 5"))</f>
        <v>Not checked – drug is IV only</v>
      </c>
    </row>
    <row r="247" customFormat="false" ht="41.75" hidden="false" customHeight="false" outlineLevel="0" collapsed="false">
      <c r="B247" s="16" t="n">
        <v>245</v>
      </c>
      <c r="C247" s="16" t="s">
        <v>476</v>
      </c>
      <c r="D247" s="16" t="s">
        <v>2046</v>
      </c>
      <c r="E247" s="16" t="s">
        <v>773</v>
      </c>
      <c r="F247" s="16" t="s">
        <v>1730</v>
      </c>
      <c r="G247" s="17" t="s">
        <v>2026</v>
      </c>
      <c r="H247" s="16" t="s">
        <v>1533</v>
      </c>
      <c r="I247" s="18" t="n">
        <v>189.1846</v>
      </c>
      <c r="J247" s="16" t="n">
        <v>13</v>
      </c>
      <c r="K247" s="16" t="n">
        <v>257</v>
      </c>
      <c r="L247" s="19" t="n">
        <v>4183.29</v>
      </c>
      <c r="M247" s="17" t="s">
        <v>478</v>
      </c>
      <c r="N247" s="18" t="n">
        <v>189.1846</v>
      </c>
      <c r="O247" s="16" t="s">
        <v>1534</v>
      </c>
      <c r="P247" s="16" t="s">
        <v>1700</v>
      </c>
      <c r="Q247" s="17" t="s">
        <v>1536</v>
      </c>
      <c r="R247" s="78" t="s">
        <v>1701</v>
      </c>
      <c r="S247" s="77" t="n">
        <f aca="false">IFERROR(INDEX('Injectable Value'!$Z$28:$Z$178,MATCH($C247,'Injectable Value'!$A$28:$A$178,0)),"")</f>
        <v>0.689888576486515</v>
      </c>
      <c r="T247" s="19" t="n">
        <f aca="false">IFERROR(ROUND(INDEX('Injectable Value'!$AA$28:$AA$178,MATCH($C247,'Injectable Value'!$A$28:$A$178,0)),1),"")</f>
        <v>2886</v>
      </c>
      <c r="U247" s="17" t="s">
        <v>817</v>
      </c>
      <c r="V247" s="16" t="n">
        <v>18</v>
      </c>
      <c r="W247" s="16" t="s">
        <v>537</v>
      </c>
      <c r="X247" s="16" t="s">
        <v>281</v>
      </c>
      <c r="Y247" s="16" t="s">
        <v>283</v>
      </c>
      <c r="Z247" s="17" t="str">
        <f aca="false">IFERROR(INDEX(Scoring!$U:$U,MATCH($C247&amp;"|"&amp;$E247,Scoring!$AD:$AD,0)),"")</f>
        <v>Cancer drug (cytotoxic) – less relevant; Reconstitution</v>
      </c>
      <c r="AA247" s="16" t="str">
        <f aca="false">IFERROR(INDEX(Scoring!$E:$E,MATCH($C247&amp;"|"&amp;$E247,Scoring!$AD:$AD,0)),"")</f>
        <v>Excluded – IV only</v>
      </c>
      <c r="AB247" s="19" t="n">
        <f aca="false">IFERROR(INDEX(Scoring!$M:$M,MATCH($C247&amp;"|"&amp;$E247,Scoring!$AD:$AD,0)),"")</f>
        <v>177</v>
      </c>
      <c r="AC247" s="16" t="str">
        <f aca="false">IFERROR(INDEX('Route of Administration'!$C$5:$C$155,MATCH($C247,'Route of Administration'!$A$5:$A$155,0)),"")</f>
        <v>IV</v>
      </c>
      <c r="AD247" s="15" t="str">
        <f aca="false">IFERROR(INDEX('Route of Administration'!$D$5:$D$155,MATCH($C247,'Route of Administration'!$A$5:$A$155,0)),"")</f>
        <v>No</v>
      </c>
      <c r="AE247" s="15" t="str">
        <f aca="false">IF($AD247="No","Not checked – drug is IV only",IFERROR(INDEX('Route of Administration'!$O$5:$O$170,MATCH($E247&amp;"|"&amp;$C247,'Route of Administration'!$S$5:$S$170,0)),"Not checked – price ≤ USD 5"))</f>
        <v>Not checked – drug is IV only</v>
      </c>
    </row>
    <row r="248" customFormat="false" ht="28.35" hidden="false" customHeight="false" outlineLevel="0" collapsed="false">
      <c r="B248" s="16" t="n">
        <v>246</v>
      </c>
      <c r="C248" s="16" t="s">
        <v>819</v>
      </c>
      <c r="D248" s="16" t="s">
        <v>2047</v>
      </c>
      <c r="E248" s="16" t="s">
        <v>773</v>
      </c>
      <c r="F248" s="16" t="s">
        <v>2048</v>
      </c>
      <c r="G248" s="17" t="s">
        <v>2023</v>
      </c>
      <c r="H248" s="16" t="s">
        <v>1533</v>
      </c>
      <c r="I248" s="18" t="n">
        <v>21.0971</v>
      </c>
      <c r="J248" s="16" t="n">
        <v>24</v>
      </c>
      <c r="K248" s="16" t="n">
        <v>133</v>
      </c>
      <c r="L248" s="19" t="n">
        <v>4036.55</v>
      </c>
      <c r="M248" s="17" t="s">
        <v>821</v>
      </c>
      <c r="N248" s="18" t="n">
        <v>21.0971</v>
      </c>
      <c r="O248" s="16" t="s">
        <v>1534</v>
      </c>
      <c r="P248" s="16" t="s">
        <v>1535</v>
      </c>
      <c r="Q248" s="17" t="s">
        <v>1536</v>
      </c>
      <c r="R248" s="78" t="s">
        <v>2049</v>
      </c>
      <c r="S248" s="77" t="n">
        <f aca="false">IFERROR(INDEX('Injectable Value'!$Z$28:$Z$178,MATCH($C248,'Injectable Value'!$A$28:$A$178,0)),"")</f>
        <v>1</v>
      </c>
      <c r="T248" s="19" t="n">
        <f aca="false">IFERROR(ROUND(INDEX('Injectable Value'!$AA$28:$AA$178,MATCH($C248,'Injectable Value'!$A$28:$A$178,0)),1),"")</f>
        <v>4036.6</v>
      </c>
      <c r="U248" s="17" t="s">
        <v>822</v>
      </c>
      <c r="V248" s="16" t="n">
        <v>7</v>
      </c>
      <c r="W248" s="16" t="s">
        <v>785</v>
      </c>
      <c r="X248" s="16" t="s">
        <v>281</v>
      </c>
      <c r="Y248" s="16" t="s">
        <v>283</v>
      </c>
      <c r="Z248" s="17" t="str">
        <f aca="false">IFERROR(INDEX(Scoring!$U:$U,MATCH($C248&amp;"|"&amp;$E248,Scoring!$AD:$AD,0)),"")</f>
        <v/>
      </c>
      <c r="AA248" s="16" t="str">
        <f aca="false">IFERROR(INDEX(Scoring!$E:$E,MATCH($C248&amp;"|"&amp;$E248,Scoring!$AD:$AD,0)),"")</f>
        <v>Excluded – IV only</v>
      </c>
      <c r="AB248" s="19" t="n">
        <f aca="false">IFERROR(INDEX(Scoring!$M:$M,MATCH($C248&amp;"|"&amp;$E248,Scoring!$AD:$AD,0)),"")</f>
        <v>133</v>
      </c>
      <c r="AC248" s="16" t="str">
        <f aca="false">IFERROR(INDEX('Route of Administration'!$C$5:$C$155,MATCH($C248,'Route of Administration'!$A$5:$A$155,0)),"")</f>
        <v>IV</v>
      </c>
      <c r="AD248" s="15" t="str">
        <f aca="false">IFERROR(INDEX('Route of Administration'!$D$5:$D$155,MATCH($C248,'Route of Administration'!$A$5:$A$155,0)),"")</f>
        <v>No</v>
      </c>
      <c r="AE248" s="15" t="str">
        <f aca="false">IF($AD248="No","Not checked – drug is IV only",IFERROR(INDEX('Route of Administration'!$O$5:$O$170,MATCH($E248&amp;"|"&amp;$C248,'Route of Administration'!$S$5:$S$170,0)),"Not checked – price ≤ USD 5"))</f>
        <v>Not checked – drug is IV only</v>
      </c>
    </row>
    <row r="249" customFormat="false" ht="28.35" hidden="false" customHeight="false" outlineLevel="0" collapsed="false">
      <c r="B249" s="16" t="n">
        <v>247</v>
      </c>
      <c r="C249" s="16" t="s">
        <v>518</v>
      </c>
      <c r="D249" s="16" t="s">
        <v>825</v>
      </c>
      <c r="E249" s="16" t="s">
        <v>773</v>
      </c>
      <c r="F249" s="16" t="s">
        <v>1740</v>
      </c>
      <c r="G249" s="17" t="s">
        <v>2050</v>
      </c>
      <c r="H249" s="16" t="s">
        <v>1533</v>
      </c>
      <c r="I249" s="18" t="n">
        <v>5.3223</v>
      </c>
      <c r="J249" s="16" t="n">
        <v>28</v>
      </c>
      <c r="K249" s="16" t="n">
        <v>2546</v>
      </c>
      <c r="L249" s="19" t="n">
        <v>46507.62</v>
      </c>
      <c r="M249" s="17" t="s">
        <v>520</v>
      </c>
      <c r="N249" s="18" t="n">
        <v>5.3223</v>
      </c>
      <c r="O249" s="16" t="s">
        <v>1534</v>
      </c>
      <c r="P249" s="16" t="s">
        <v>1561</v>
      </c>
      <c r="Q249" s="17" t="s">
        <v>1536</v>
      </c>
      <c r="R249" s="78" t="s">
        <v>1701</v>
      </c>
      <c r="S249" s="77" t="n">
        <f aca="false">IFERROR(INDEX('Injectable Value'!$Z$28:$Z$178,MATCH($C249,'Injectable Value'!$A$28:$A$178,0)),"")</f>
        <v>0.378228374732698</v>
      </c>
      <c r="T249" s="19" t="n">
        <f aca="false">IFERROR(ROUND(INDEX('Injectable Value'!$AA$28:$AA$178,MATCH($C249,'Injectable Value'!$A$28:$A$178,0)),1),"")</f>
        <v>17590.5</v>
      </c>
      <c r="U249" s="17" t="s">
        <v>453</v>
      </c>
      <c r="V249" s="16" t="n">
        <v>1</v>
      </c>
      <c r="W249" s="16" t="s">
        <v>452</v>
      </c>
      <c r="X249" s="16" t="s">
        <v>349</v>
      </c>
      <c r="Y249" s="16" t="s">
        <v>283</v>
      </c>
      <c r="Z249" s="17" t="str">
        <f aca="false">IFERROR(INDEX(Scoring!$U:$U,MATCH($C249&amp;"|"&amp;$E249,Scoring!$AD:$AD,0)),"")</f>
        <v/>
      </c>
      <c r="AA249" s="16" t="str">
        <f aca="false">IFERROR(INDEX(Scoring!$E:$E,MATCH($C249&amp;"|"&amp;$E249,Scoring!$AD:$AD,0)),"")</f>
        <v>Priority 2</v>
      </c>
      <c r="AB249" s="19" t="n">
        <f aca="false">IFERROR(INDEX(Scoring!$M:$M,MATCH($C249&amp;"|"&amp;$E249,Scoring!$AD:$AD,0)),"")</f>
        <v>963</v>
      </c>
      <c r="AC249" s="16" t="str">
        <f aca="false">IFERROR(INDEX('Route of Administration'!$C$5:$C$155,MATCH($C249,'Route of Administration'!$A$5:$A$155,0)),"")</f>
        <v>IV, IM</v>
      </c>
      <c r="AD249" s="15" t="str">
        <f aca="false">IFERROR(INDEX('Route of Administration'!$D$5:$D$155,MATCH($C249,'Route of Administration'!$A$5:$A$155,0)),"")</f>
        <v>Yes</v>
      </c>
      <c r="AE249" s="15" t="str">
        <f aca="false">IF($AD249="No","Not checked – drug is IV only",IFERROR(INDEX('Route of Administration'!$O$5:$O$170,MATCH($E249&amp;"|"&amp;$C249,'Route of Administration'!$S$5:$S$170,0)),"Not checked – price ≤ USD 5"))</f>
        <v>Pass</v>
      </c>
    </row>
    <row r="250" customFormat="false" ht="41.75" hidden="false" customHeight="false" outlineLevel="0" collapsed="false">
      <c r="B250" s="16" t="n">
        <v>248</v>
      </c>
      <c r="C250" s="16" t="s">
        <v>829</v>
      </c>
      <c r="D250" s="16" t="s">
        <v>2051</v>
      </c>
      <c r="E250" s="16" t="s">
        <v>773</v>
      </c>
      <c r="F250" s="16" t="s">
        <v>2052</v>
      </c>
      <c r="G250" s="17" t="s">
        <v>2053</v>
      </c>
      <c r="H250" s="16" t="s">
        <v>1533</v>
      </c>
      <c r="I250" s="18" t="n">
        <v>15.0064</v>
      </c>
      <c r="J250" s="16" t="n">
        <v>13</v>
      </c>
      <c r="K250" s="16" t="n">
        <v>12</v>
      </c>
      <c r="L250" s="19" t="n">
        <v>2202.64</v>
      </c>
      <c r="M250" s="17" t="s">
        <v>831</v>
      </c>
      <c r="N250" s="18" t="n">
        <v>15.0064</v>
      </c>
      <c r="O250" s="16" t="s">
        <v>1534</v>
      </c>
      <c r="P250" s="16" t="s">
        <v>1700</v>
      </c>
      <c r="Q250" s="17" t="s">
        <v>1536</v>
      </c>
      <c r="R250" s="78" t="s">
        <v>2054</v>
      </c>
      <c r="S250" s="77" t="n">
        <f aca="false">IFERROR(INDEX('Injectable Value'!$Z$28:$Z$178,MATCH($C250,'Injectable Value'!$A$28:$A$178,0)),"")</f>
        <v>0.75</v>
      </c>
      <c r="T250" s="19" t="n">
        <f aca="false">IFERROR(ROUND(INDEX('Injectable Value'!$AA$28:$AA$178,MATCH($C250,'Injectable Value'!$A$28:$A$178,0)),1),"")</f>
        <v>1652</v>
      </c>
      <c r="U250" s="17" t="s">
        <v>834</v>
      </c>
      <c r="V250" s="16" t="n">
        <v>12</v>
      </c>
      <c r="W250" s="16" t="s">
        <v>833</v>
      </c>
      <c r="X250" s="16" t="s">
        <v>281</v>
      </c>
      <c r="Y250" s="16" t="s">
        <v>333</v>
      </c>
      <c r="Z250" s="17" t="str">
        <f aca="false">IFERROR(INDEX(Scoring!$U:$U,MATCH($C250&amp;"|"&amp;$E250,Scoring!$AD:$AD,0)),"")</f>
        <v>Reconstitution</v>
      </c>
      <c r="AA250" s="16" t="str">
        <f aca="false">IFERROR(INDEX(Scoring!$E:$E,MATCH($C250&amp;"|"&amp;$E250,Scoring!$AD:$AD,0)),"")</f>
        <v>Priority 2</v>
      </c>
      <c r="AB250" s="19" t="n">
        <f aca="false">IFERROR(INDEX(Scoring!$M:$M,MATCH($C250&amp;"|"&amp;$E250,Scoring!$AD:$AD,0)),"")</f>
        <v>9</v>
      </c>
      <c r="AC250" s="16" t="str">
        <f aca="false">IFERROR(INDEX('Route of Administration'!$C$5:$C$155,MATCH($C250,'Route of Administration'!$A$5:$A$155,0)),"")</f>
        <v>IV, IM</v>
      </c>
      <c r="AD250" s="15" t="str">
        <f aca="false">IFERROR(INDEX('Route of Administration'!$D$5:$D$155,MATCH($C250,'Route of Administration'!$A$5:$A$155,0)),"")</f>
        <v>Yes</v>
      </c>
      <c r="AE250" s="15" t="str">
        <f aca="false">IF($AD250="No","Not checked – drug is IV only",IFERROR(INDEX('Route of Administration'!$O$5:$O$170,MATCH($E250&amp;"|"&amp;$C250,'Route of Administration'!$S$5:$S$170,0)),"Not checked – price ≤ USD 5"))</f>
        <v>Pass</v>
      </c>
    </row>
    <row r="251" customFormat="false" ht="28.35" hidden="false" customHeight="false" outlineLevel="0" collapsed="false">
      <c r="B251" s="16" t="n">
        <v>249</v>
      </c>
      <c r="C251" s="16" t="s">
        <v>541</v>
      </c>
      <c r="D251" s="16" t="s">
        <v>2055</v>
      </c>
      <c r="E251" s="16" t="s">
        <v>773</v>
      </c>
      <c r="F251" s="16" t="s">
        <v>1743</v>
      </c>
      <c r="G251" s="17" t="s">
        <v>1687</v>
      </c>
      <c r="H251" s="16" t="s">
        <v>1533</v>
      </c>
      <c r="I251" s="18" t="n">
        <v>7322.4226</v>
      </c>
      <c r="J251" s="16" t="n">
        <v>25</v>
      </c>
      <c r="K251" s="16" t="n">
        <v>47</v>
      </c>
      <c r="L251" s="19" t="n">
        <v>7904.67</v>
      </c>
      <c r="M251" s="17" t="s">
        <v>543</v>
      </c>
      <c r="N251" s="18" t="n">
        <v>7322.4226</v>
      </c>
      <c r="O251" s="16" t="s">
        <v>1534</v>
      </c>
      <c r="P251" s="16" t="s">
        <v>1700</v>
      </c>
      <c r="Q251" s="17" t="s">
        <v>1536</v>
      </c>
      <c r="R251" s="78" t="s">
        <v>1701</v>
      </c>
      <c r="S251" s="77" t="n">
        <f aca="false">IFERROR(INDEX('Injectable Value'!$Z$28:$Z$178,MATCH($C251,'Injectable Value'!$A$28:$A$178,0)),"")</f>
        <v>1</v>
      </c>
      <c r="T251" s="19" t="n">
        <f aca="false">IFERROR(ROUND(INDEX('Injectable Value'!$AA$28:$AA$178,MATCH($C251,'Injectable Value'!$A$28:$A$178,0)),1),"")</f>
        <v>7904.7</v>
      </c>
      <c r="U251" s="17" t="s">
        <v>838</v>
      </c>
      <c r="V251" s="16" t="n">
        <v>4</v>
      </c>
      <c r="W251" s="16" t="s">
        <v>797</v>
      </c>
      <c r="X251" s="16" t="s">
        <v>281</v>
      </c>
      <c r="Y251" s="16" t="s">
        <v>283</v>
      </c>
      <c r="Z251" s="17" t="str">
        <f aca="false">IFERROR(INDEX(Scoring!$U:$U,MATCH($C251&amp;"|"&amp;$E251,Scoring!$AD:$AD,0)),"")</f>
        <v/>
      </c>
      <c r="AA251" s="16" t="str">
        <f aca="false">IFERROR(INDEX(Scoring!$E:$E,MATCH($C251&amp;"|"&amp;$E251,Scoring!$AD:$AD,0)),"")</f>
        <v>Priority 2</v>
      </c>
      <c r="AB251" s="19" t="n">
        <f aca="false">IFERROR(INDEX(Scoring!$M:$M,MATCH($C251&amp;"|"&amp;$E251,Scoring!$AD:$AD,0)),"")</f>
        <v>47</v>
      </c>
      <c r="AC251" s="16" t="str">
        <f aca="false">IFERROR(INDEX('Route of Administration'!$C$5:$C$155,MATCH($C251,'Route of Administration'!$A$5:$A$155,0)),"")</f>
        <v>SC</v>
      </c>
      <c r="AD251" s="15" t="str">
        <f aca="false">IFERROR(INDEX('Route of Administration'!$D$5:$D$155,MATCH($C251,'Route of Administration'!$A$5:$A$155,0)),"")</f>
        <v>Yes</v>
      </c>
      <c r="AE251" s="15" t="str">
        <f aca="false">IF($AD251="No","Not checked – drug is IV only",IFERROR(INDEX('Route of Administration'!$O$5:$O$170,MATCH($E251&amp;"|"&amp;$C251,'Route of Administration'!$S$5:$S$170,0)),"Not checked – price ≤ USD 5"))</f>
        <v>Pass</v>
      </c>
    </row>
    <row r="252" customFormat="false" ht="28.35" hidden="false" customHeight="false" outlineLevel="0" collapsed="false">
      <c r="B252" s="16" t="n">
        <v>250</v>
      </c>
      <c r="C252" s="16" t="s">
        <v>665</v>
      </c>
      <c r="D252" s="16" t="s">
        <v>2056</v>
      </c>
      <c r="E252" s="16" t="s">
        <v>773</v>
      </c>
      <c r="F252" s="16" t="s">
        <v>1972</v>
      </c>
      <c r="G252" s="17" t="s">
        <v>1887</v>
      </c>
      <c r="H252" s="16" t="s">
        <v>1533</v>
      </c>
      <c r="I252" s="18" t="n">
        <v>92.0498</v>
      </c>
      <c r="J252" s="16" t="n">
        <v>31</v>
      </c>
      <c r="K252" s="16" t="n">
        <v>346</v>
      </c>
      <c r="L252" s="19" t="n">
        <v>32830.17</v>
      </c>
      <c r="M252" s="17" t="s">
        <v>667</v>
      </c>
      <c r="N252" s="18" t="n">
        <v>92.0498</v>
      </c>
      <c r="O252" s="16" t="s">
        <v>1534</v>
      </c>
      <c r="P252" s="16" t="s">
        <v>1700</v>
      </c>
      <c r="Q252" s="17" t="s">
        <v>1536</v>
      </c>
      <c r="R252" s="78" t="s">
        <v>1701</v>
      </c>
      <c r="S252" s="77" t="n">
        <f aca="false">IFERROR(INDEX('Injectable Value'!$Z$28:$Z$178,MATCH($C252,'Injectable Value'!$A$28:$A$178,0)),"")</f>
        <v>1</v>
      </c>
      <c r="T252" s="19" t="n">
        <f aca="false">IFERROR(ROUND(INDEX('Injectable Value'!$AA$28:$AA$178,MATCH($C252,'Injectable Value'!$A$28:$A$178,0)),1),"")</f>
        <v>32830.2</v>
      </c>
      <c r="U252" s="17" t="s">
        <v>845</v>
      </c>
      <c r="V252" s="16" t="n">
        <v>7</v>
      </c>
      <c r="W252" s="16" t="s">
        <v>785</v>
      </c>
      <c r="X252" s="16" t="s">
        <v>281</v>
      </c>
      <c r="Y252" s="16" t="s">
        <v>283</v>
      </c>
      <c r="Z252" s="17" t="str">
        <f aca="false">IFERROR(INDEX(Scoring!$U:$U,MATCH($C252&amp;"|"&amp;$E252,Scoring!$AD:$AD,0)),"")</f>
        <v/>
      </c>
      <c r="AA252" s="16" t="str">
        <f aca="false">IFERROR(INDEX(Scoring!$E:$E,MATCH($C252&amp;"|"&amp;$E252,Scoring!$AD:$AD,0)),"")</f>
        <v>Excluded – IV only</v>
      </c>
      <c r="AB252" s="19" t="n">
        <f aca="false">IFERROR(INDEX(Scoring!$M:$M,MATCH($C252&amp;"|"&amp;$E252,Scoring!$AD:$AD,0)),"")</f>
        <v>346</v>
      </c>
      <c r="AC252" s="16" t="str">
        <f aca="false">IFERROR(INDEX('Route of Administration'!$C$5:$C$155,MATCH($C252,'Route of Administration'!$A$5:$A$155,0)),"")</f>
        <v>IV</v>
      </c>
      <c r="AD252" s="15" t="str">
        <f aca="false">IFERROR(INDEX('Route of Administration'!$D$5:$D$155,MATCH($C252,'Route of Administration'!$A$5:$A$155,0)),"")</f>
        <v>No</v>
      </c>
      <c r="AE252" s="15" t="str">
        <f aca="false">IF($AD252="No","Not checked – drug is IV only",IFERROR(INDEX('Route of Administration'!$O$5:$O$170,MATCH($E252&amp;"|"&amp;$C252,'Route of Administration'!$S$5:$S$170,0)),"Not checked – price ≤ USD 5"))</f>
        <v>Not checked – drug is IV only</v>
      </c>
    </row>
    <row r="253" customFormat="false" ht="41.75" hidden="false" customHeight="false" outlineLevel="0" collapsed="false">
      <c r="B253" s="16" t="n">
        <v>251</v>
      </c>
      <c r="C253" s="16" t="s">
        <v>476</v>
      </c>
      <c r="D253" s="16" t="s">
        <v>476</v>
      </c>
      <c r="E253" s="16" t="s">
        <v>773</v>
      </c>
      <c r="F253" s="16" t="s">
        <v>2057</v>
      </c>
      <c r="G253" s="17" t="s">
        <v>2058</v>
      </c>
      <c r="H253" s="16" t="s">
        <v>1533</v>
      </c>
      <c r="I253" s="18" t="n">
        <v>265.643</v>
      </c>
      <c r="J253" s="16" t="n">
        <v>1</v>
      </c>
      <c r="K253" s="16" t="n">
        <v>257</v>
      </c>
      <c r="L253" s="19" t="n">
        <v>4183.29</v>
      </c>
      <c r="M253" s="17" t="s">
        <v>478</v>
      </c>
      <c r="N253" s="18" t="n">
        <v>265.643</v>
      </c>
      <c r="O253" s="16" t="s">
        <v>1534</v>
      </c>
      <c r="P253" s="16" t="s">
        <v>1535</v>
      </c>
      <c r="Q253" s="17" t="s">
        <v>1536</v>
      </c>
      <c r="R253" s="78" t="s">
        <v>1771</v>
      </c>
      <c r="S253" s="77" t="n">
        <f aca="false">IFERROR(INDEX('Injectable Value'!$Z$28:$Z$178,MATCH($C253,'Injectable Value'!$A$28:$A$178,0)),"")</f>
        <v>0.689888576486515</v>
      </c>
      <c r="T253" s="19" t="n">
        <f aca="false">IFERROR(ROUND(INDEX('Injectable Value'!$AA$28:$AA$178,MATCH($C253,'Injectable Value'!$A$28:$A$178,0)),1),"")</f>
        <v>2886</v>
      </c>
      <c r="U253" s="17" t="s">
        <v>817</v>
      </c>
      <c r="V253" s="16" t="n">
        <v>18</v>
      </c>
      <c r="W253" s="16" t="s">
        <v>537</v>
      </c>
      <c r="X253" s="16" t="s">
        <v>281</v>
      </c>
      <c r="Y253" s="16" t="s">
        <v>283</v>
      </c>
      <c r="Z253" s="17" t="str">
        <f aca="false">IFERROR(INDEX(Scoring!$U:$U,MATCH($C253&amp;"|"&amp;$E253,Scoring!$AD:$AD,0)),"")</f>
        <v>Cancer drug (cytotoxic) – less relevant; Reconstitution</v>
      </c>
      <c r="AA253" s="16" t="str">
        <f aca="false">IFERROR(INDEX(Scoring!$E:$E,MATCH($C253&amp;"|"&amp;$E253,Scoring!$AD:$AD,0)),"")</f>
        <v>Excluded – IV only</v>
      </c>
      <c r="AB253" s="19" t="n">
        <f aca="false">IFERROR(INDEX(Scoring!$M:$M,MATCH($C253&amp;"|"&amp;$E253,Scoring!$AD:$AD,0)),"")</f>
        <v>177</v>
      </c>
      <c r="AC253" s="16" t="str">
        <f aca="false">IFERROR(INDEX('Route of Administration'!$C$5:$C$155,MATCH($C253,'Route of Administration'!$A$5:$A$155,0)),"")</f>
        <v>IV</v>
      </c>
      <c r="AD253" s="15" t="str">
        <f aca="false">IFERROR(INDEX('Route of Administration'!$D$5:$D$155,MATCH($C253,'Route of Administration'!$A$5:$A$155,0)),"")</f>
        <v>No</v>
      </c>
      <c r="AE253" s="15" t="str">
        <f aca="false">IF($AD253="No","Not checked – drug is IV only",IFERROR(INDEX('Route of Administration'!$O$5:$O$170,MATCH($E253&amp;"|"&amp;$C253,'Route of Administration'!$S$5:$S$170,0)),"Not checked – price ≤ USD 5"))</f>
        <v>Not checked – drug is IV only</v>
      </c>
    </row>
    <row r="254" customFormat="false" ht="28.35" hidden="false" customHeight="false" outlineLevel="0" collapsed="false">
      <c r="B254" s="16" t="n">
        <v>252</v>
      </c>
      <c r="C254" s="16" t="s">
        <v>744</v>
      </c>
      <c r="D254" s="16" t="s">
        <v>745</v>
      </c>
      <c r="E254" s="16" t="s">
        <v>773</v>
      </c>
      <c r="F254" s="16" t="s">
        <v>1980</v>
      </c>
      <c r="G254" s="17" t="s">
        <v>2059</v>
      </c>
      <c r="H254" s="16" t="s">
        <v>1533</v>
      </c>
      <c r="I254" s="18" t="n">
        <v>7.56</v>
      </c>
      <c r="J254" s="16" t="n">
        <v>1</v>
      </c>
      <c r="K254" s="16" t="n">
        <v>236</v>
      </c>
      <c r="L254" s="19" t="n">
        <v>1845.67</v>
      </c>
      <c r="M254" s="17" t="s">
        <v>746</v>
      </c>
      <c r="N254" s="18" t="n">
        <v>7.56</v>
      </c>
      <c r="O254" s="16" t="s">
        <v>1534</v>
      </c>
      <c r="P254" s="16" t="s">
        <v>1535</v>
      </c>
      <c r="Q254" s="17" t="s">
        <v>1536</v>
      </c>
      <c r="R254" s="78" t="s">
        <v>1771</v>
      </c>
      <c r="S254" s="77" t="n">
        <f aca="false">IFERROR(INDEX('Injectable Value'!$Z$28:$Z$178,MATCH($C254,'Injectable Value'!$A$28:$A$178,0)),"")</f>
        <v>0.991758241758242</v>
      </c>
      <c r="T254" s="19" t="n">
        <f aca="false">IFERROR(ROUND(INDEX('Injectable Value'!$AA$28:$AA$178,MATCH($C254,'Injectable Value'!$A$28:$A$178,0)),1),"")</f>
        <v>1830.5</v>
      </c>
      <c r="U254" s="17" t="s">
        <v>464</v>
      </c>
      <c r="V254" s="16" t="n">
        <v>1</v>
      </c>
      <c r="W254" s="16" t="s">
        <v>463</v>
      </c>
      <c r="X254" s="16" t="s">
        <v>281</v>
      </c>
      <c r="Y254" s="16" t="s">
        <v>283</v>
      </c>
      <c r="Z254" s="17" t="str">
        <f aca="false">IFERROR(INDEX(Scoring!$U:$U,MATCH($C254&amp;"|"&amp;$E254,Scoring!$AD:$AD,0)),"")</f>
        <v/>
      </c>
      <c r="AA254" s="16" t="str">
        <f aca="false">IFERROR(INDEX(Scoring!$E:$E,MATCH($C254&amp;"|"&amp;$E254,Scoring!$AD:$AD,0)),"")</f>
        <v>Excluded – IV only</v>
      </c>
      <c r="AB254" s="19" t="n">
        <f aca="false">IFERROR(INDEX(Scoring!$M:$M,MATCH($C254&amp;"|"&amp;$E254,Scoring!$AD:$AD,0)),"")</f>
        <v>234</v>
      </c>
      <c r="AC254" s="16" t="str">
        <f aca="false">IFERROR(INDEX('Route of Administration'!$C$5:$C$155,MATCH($C254,'Route of Administration'!$A$5:$A$155,0)),"")</f>
        <v>IV, SC, IM</v>
      </c>
      <c r="AD254" s="15" t="str">
        <f aca="false">IFERROR(INDEX('Route of Administration'!$D$5:$D$155,MATCH($C254,'Route of Administration'!$A$5:$A$155,0)),"")</f>
        <v>Yes</v>
      </c>
      <c r="AE254" s="15" t="str">
        <f aca="false">IF($AD254="No","Not checked – drug is IV only",IFERROR(INDEX('Route of Administration'!$O$5:$O$170,MATCH($E254&amp;"|"&amp;$C254,'Route of Administration'!$S$5:$S$170,0)),"Not checked – price ≤ USD 5"))</f>
        <v>Fail</v>
      </c>
    </row>
    <row r="255" customFormat="false" ht="28.35" hidden="false" customHeight="false" outlineLevel="0" collapsed="false">
      <c r="B255" s="16" t="n">
        <v>253</v>
      </c>
      <c r="C255" s="16" t="s">
        <v>744</v>
      </c>
      <c r="D255" s="16" t="s">
        <v>745</v>
      </c>
      <c r="E255" s="16" t="s">
        <v>773</v>
      </c>
      <c r="F255" s="16" t="s">
        <v>2022</v>
      </c>
      <c r="G255" s="17" t="s">
        <v>2059</v>
      </c>
      <c r="H255" s="16" t="s">
        <v>1533</v>
      </c>
      <c r="I255" s="18" t="n">
        <v>8.393</v>
      </c>
      <c r="J255" s="16" t="n">
        <v>1</v>
      </c>
      <c r="K255" s="16" t="n">
        <v>236</v>
      </c>
      <c r="L255" s="19" t="n">
        <v>1845.67</v>
      </c>
      <c r="M255" s="17" t="s">
        <v>746</v>
      </c>
      <c r="N255" s="18" t="n">
        <v>8.393</v>
      </c>
      <c r="O255" s="16" t="s">
        <v>1534</v>
      </c>
      <c r="P255" s="16" t="s">
        <v>1535</v>
      </c>
      <c r="Q255" s="17" t="s">
        <v>1536</v>
      </c>
      <c r="R255" s="78" t="s">
        <v>1771</v>
      </c>
      <c r="S255" s="77" t="n">
        <f aca="false">IFERROR(INDEX('Injectable Value'!$Z$28:$Z$178,MATCH($C255,'Injectable Value'!$A$28:$A$178,0)),"")</f>
        <v>0.991758241758242</v>
      </c>
      <c r="T255" s="19" t="n">
        <f aca="false">IFERROR(ROUND(INDEX('Injectable Value'!$AA$28:$AA$178,MATCH($C255,'Injectable Value'!$A$28:$A$178,0)),1),"")</f>
        <v>1830.5</v>
      </c>
      <c r="U255" s="17" t="s">
        <v>464</v>
      </c>
      <c r="V255" s="16" t="n">
        <v>1</v>
      </c>
      <c r="W255" s="16" t="s">
        <v>463</v>
      </c>
      <c r="X255" s="16" t="s">
        <v>281</v>
      </c>
      <c r="Y255" s="16" t="s">
        <v>283</v>
      </c>
      <c r="Z255" s="17" t="str">
        <f aca="false">IFERROR(INDEX(Scoring!$U:$U,MATCH($C255&amp;"|"&amp;$E255,Scoring!$AD:$AD,0)),"")</f>
        <v/>
      </c>
      <c r="AA255" s="16" t="str">
        <f aca="false">IFERROR(INDEX(Scoring!$E:$E,MATCH($C255&amp;"|"&amp;$E255,Scoring!$AD:$AD,0)),"")</f>
        <v>Excluded – IV only</v>
      </c>
      <c r="AB255" s="19" t="n">
        <f aca="false">IFERROR(INDEX(Scoring!$M:$M,MATCH($C255&amp;"|"&amp;$E255,Scoring!$AD:$AD,0)),"")</f>
        <v>234</v>
      </c>
      <c r="AC255" s="16" t="str">
        <f aca="false">IFERROR(INDEX('Route of Administration'!$C$5:$C$155,MATCH($C255,'Route of Administration'!$A$5:$A$155,0)),"")</f>
        <v>IV, SC, IM</v>
      </c>
      <c r="AD255" s="15" t="str">
        <f aca="false">IFERROR(INDEX('Route of Administration'!$D$5:$D$155,MATCH($C255,'Route of Administration'!$A$5:$A$155,0)),"")</f>
        <v>Yes</v>
      </c>
      <c r="AE255" s="15" t="str">
        <f aca="false">IF($AD255="No","Not checked – drug is IV only",IFERROR(INDEX('Route of Administration'!$O$5:$O$170,MATCH($E255&amp;"|"&amp;$C255,'Route of Administration'!$S$5:$S$170,0)),"Not checked – price ≤ USD 5"))</f>
        <v>Fail</v>
      </c>
    </row>
    <row r="256" customFormat="false" ht="28.35" hidden="false" customHeight="false" outlineLevel="0" collapsed="false">
      <c r="B256" s="16" t="n">
        <v>254</v>
      </c>
      <c r="C256" s="16" t="s">
        <v>775</v>
      </c>
      <c r="D256" s="16" t="s">
        <v>2060</v>
      </c>
      <c r="E256" s="16" t="s">
        <v>773</v>
      </c>
      <c r="F256" s="16" t="s">
        <v>2061</v>
      </c>
      <c r="G256" s="17" t="s">
        <v>2062</v>
      </c>
      <c r="H256" s="16" t="s">
        <v>1533</v>
      </c>
      <c r="I256" s="18" t="n">
        <v>62.4008</v>
      </c>
      <c r="J256" s="16" t="n">
        <v>1</v>
      </c>
      <c r="K256" s="16" t="n">
        <v>684</v>
      </c>
      <c r="L256" s="19" t="n">
        <v>8785.35</v>
      </c>
      <c r="M256" s="17" t="s">
        <v>777</v>
      </c>
      <c r="N256" s="18" t="n">
        <v>62.4008</v>
      </c>
      <c r="O256" s="16" t="s">
        <v>1534</v>
      </c>
      <c r="P256" s="16" t="s">
        <v>1700</v>
      </c>
      <c r="Q256" s="17" t="s">
        <v>1536</v>
      </c>
      <c r="R256" s="78" t="s">
        <v>1764</v>
      </c>
      <c r="S256" s="77" t="n">
        <f aca="false">IFERROR(INDEX('Injectable Value'!$Z$28:$Z$178,MATCH($C256,'Injectable Value'!$A$28:$A$178,0)),"")</f>
        <v>0.959959846916369</v>
      </c>
      <c r="T256" s="19" t="n">
        <f aca="false">IFERROR(ROUND(INDEX('Injectable Value'!$AA$28:$AA$178,MATCH($C256,'Injectable Value'!$A$28:$A$178,0)),1),"")</f>
        <v>8433.6</v>
      </c>
      <c r="U256" s="17" t="s">
        <v>780</v>
      </c>
      <c r="V256" s="16" t="n">
        <v>5</v>
      </c>
      <c r="W256" s="16" t="s">
        <v>779</v>
      </c>
      <c r="X256" s="16" t="s">
        <v>281</v>
      </c>
      <c r="Y256" s="16" t="s">
        <v>283</v>
      </c>
      <c r="Z256" s="17" t="str">
        <f aca="false">IFERROR(INDEX(Scoring!$U:$U,MATCH($C256&amp;"|"&amp;$E256,Scoring!$AD:$AD,0)),"")</f>
        <v/>
      </c>
      <c r="AA256" s="16" t="str">
        <f aca="false">IFERROR(INDEX(Scoring!$E:$E,MATCH($C256&amp;"|"&amp;$E256,Scoring!$AD:$AD,0)),"")</f>
        <v>Priority 1</v>
      </c>
      <c r="AB256" s="19" t="n">
        <f aca="false">IFERROR(INDEX(Scoring!$M:$M,MATCH($C256&amp;"|"&amp;$E256,Scoring!$AD:$AD,0)),"")</f>
        <v>657</v>
      </c>
      <c r="AC256" s="16" t="str">
        <f aca="false">IFERROR(INDEX('Route of Administration'!$C$5:$C$155,MATCH($C256,'Route of Administration'!$A$5:$A$155,0)),"")</f>
        <v>IV, IM</v>
      </c>
      <c r="AD256" s="15" t="str">
        <f aca="false">IFERROR(INDEX('Route of Administration'!$D$5:$D$155,MATCH($C256,'Route of Administration'!$A$5:$A$155,0)),"")</f>
        <v>Yes</v>
      </c>
      <c r="AE256" s="15" t="str">
        <f aca="false">IF($AD256="No","Not checked – drug is IV only",IFERROR(INDEX('Route of Administration'!$O$5:$O$170,MATCH($E256&amp;"|"&amp;$C256,'Route of Administration'!$S$5:$S$170,0)),"Not checked – price ≤ USD 5"))</f>
        <v>Pass</v>
      </c>
    </row>
    <row r="257" customFormat="false" ht="28.35" hidden="false" customHeight="false" outlineLevel="0" collapsed="false">
      <c r="B257" s="16" t="n">
        <v>255</v>
      </c>
      <c r="C257" s="16" t="s">
        <v>338</v>
      </c>
      <c r="D257" s="16" t="s">
        <v>338</v>
      </c>
      <c r="E257" s="16" t="s">
        <v>773</v>
      </c>
      <c r="F257" s="16" t="s">
        <v>1973</v>
      </c>
      <c r="G257" s="17" t="s">
        <v>2063</v>
      </c>
      <c r="H257" s="16" t="s">
        <v>1533</v>
      </c>
      <c r="I257" s="18" t="n">
        <v>981.694</v>
      </c>
      <c r="J257" s="16" t="n">
        <v>1</v>
      </c>
      <c r="K257" s="16" t="n">
        <v>905</v>
      </c>
      <c r="L257" s="19" t="n">
        <v>28093.38</v>
      </c>
      <c r="M257" s="17" t="s">
        <v>340</v>
      </c>
      <c r="N257" s="18" t="n">
        <v>981.694</v>
      </c>
      <c r="O257" s="16" t="s">
        <v>1534</v>
      </c>
      <c r="P257" s="16" t="s">
        <v>1535</v>
      </c>
      <c r="Q257" s="17" t="s">
        <v>1536</v>
      </c>
      <c r="R257" s="78" t="s">
        <v>1771</v>
      </c>
      <c r="S257" s="77" t="n">
        <f aca="false">IFERROR(INDEX('Injectable Value'!$Z$28:$Z$178,MATCH($C257,'Injectable Value'!$A$28:$A$178,0)),"")</f>
        <v>1</v>
      </c>
      <c r="T257" s="19" t="n">
        <f aca="false">IFERROR(ROUND(INDEX('Injectable Value'!$AA$28:$AA$178,MATCH($C257,'Injectable Value'!$A$28:$A$178,0)),1),"")</f>
        <v>28093.4</v>
      </c>
      <c r="U257" s="17" t="s">
        <v>789</v>
      </c>
      <c r="V257" s="16" t="n">
        <v>4</v>
      </c>
      <c r="W257" s="16" t="s">
        <v>591</v>
      </c>
      <c r="X257" s="16" t="s">
        <v>281</v>
      </c>
      <c r="Y257" s="16" t="s">
        <v>283</v>
      </c>
      <c r="Z257" s="17" t="str">
        <f aca="false">IFERROR(INDEX(Scoring!$U:$U,MATCH($C257&amp;"|"&amp;$E257,Scoring!$AD:$AD,0)),"")</f>
        <v>Cancer drug (cytotoxic) – less relevant; Reconstitution</v>
      </c>
      <c r="AA257" s="16" t="str">
        <f aca="false">IFERROR(INDEX(Scoring!$E:$E,MATCH($C257&amp;"|"&amp;$E257,Scoring!$AD:$AD,0)),"")</f>
        <v>Priority 1</v>
      </c>
      <c r="AB257" s="19" t="n">
        <f aca="false">IFERROR(INDEX(Scoring!$M:$M,MATCH($C257&amp;"|"&amp;$E257,Scoring!$AD:$AD,0)),"")</f>
        <v>905</v>
      </c>
      <c r="AC257" s="16" t="str">
        <f aca="false">IFERROR(INDEX('Route of Administration'!$C$5:$C$155,MATCH($C257,'Route of Administration'!$A$5:$A$155,0)),"")</f>
        <v>IV, SC</v>
      </c>
      <c r="AD257" s="15" t="str">
        <f aca="false">IFERROR(INDEX('Route of Administration'!$D$5:$D$155,MATCH($C257,'Route of Administration'!$A$5:$A$155,0)),"")</f>
        <v>Yes</v>
      </c>
      <c r="AE257" s="15" t="str">
        <f aca="false">IF($AD257="No","Not checked – drug is IV only",IFERROR(INDEX('Route of Administration'!$O$5:$O$170,MATCH($E257&amp;"|"&amp;$C257,'Route of Administration'!$S$5:$S$170,0)),"Not checked – price ≤ USD 5"))</f>
        <v>Pass</v>
      </c>
    </row>
    <row r="258" customFormat="false" ht="28.35" hidden="false" customHeight="false" outlineLevel="0" collapsed="false">
      <c r="B258" s="16" t="n">
        <v>256</v>
      </c>
      <c r="C258" s="16" t="s">
        <v>637</v>
      </c>
      <c r="D258" s="16" t="s">
        <v>812</v>
      </c>
      <c r="E258" s="16" t="s">
        <v>773</v>
      </c>
      <c r="F258" s="16" t="s">
        <v>2064</v>
      </c>
      <c r="G258" s="17" t="s">
        <v>2065</v>
      </c>
      <c r="H258" s="16" t="s">
        <v>1533</v>
      </c>
      <c r="I258" s="18" t="n">
        <v>8.4133</v>
      </c>
      <c r="J258" s="16" t="n">
        <v>1</v>
      </c>
      <c r="K258" s="16" t="n">
        <v>87</v>
      </c>
      <c r="L258" s="19" t="n">
        <v>2931.42</v>
      </c>
      <c r="M258" s="17" t="s">
        <v>639</v>
      </c>
      <c r="N258" s="18" t="n">
        <v>8.4133</v>
      </c>
      <c r="O258" s="16" t="s">
        <v>1534</v>
      </c>
      <c r="P258" s="16" t="s">
        <v>1962</v>
      </c>
      <c r="Q258" s="17" t="s">
        <v>1536</v>
      </c>
      <c r="R258" s="16"/>
      <c r="S258" s="77" t="n">
        <f aca="false">IFERROR(INDEX('Injectable Value'!$Z$28:$Z$178,MATCH($C258,'Injectable Value'!$A$28:$A$178,0)),"")</f>
        <v>1</v>
      </c>
      <c r="T258" s="19" t="n">
        <f aca="false">IFERROR(ROUND(INDEX('Injectable Value'!$AA$28:$AA$178,MATCH($C258,'Injectable Value'!$A$28:$A$178,0)),1),"")</f>
        <v>2931.4</v>
      </c>
      <c r="U258" s="17" t="s">
        <v>815</v>
      </c>
      <c r="V258" s="16" t="n">
        <v>3</v>
      </c>
      <c r="W258" s="16" t="s">
        <v>814</v>
      </c>
      <c r="X258" s="16" t="s">
        <v>281</v>
      </c>
      <c r="Y258" s="16" t="s">
        <v>283</v>
      </c>
      <c r="Z258" s="17" t="str">
        <f aca="false">IFERROR(INDEX(Scoring!$U:$U,MATCH($C258&amp;"|"&amp;$E258,Scoring!$AD:$AD,0)),"")</f>
        <v/>
      </c>
      <c r="AA258" s="16" t="str">
        <f aca="false">IFERROR(INDEX(Scoring!$E:$E,MATCH($C258&amp;"|"&amp;$E258,Scoring!$AD:$AD,0)),"")</f>
        <v>Excluded – IV only</v>
      </c>
      <c r="AB258" s="19" t="n">
        <f aca="false">IFERROR(INDEX(Scoring!$M:$M,MATCH($C258&amp;"|"&amp;$E258,Scoring!$AD:$AD,0)),"")</f>
        <v>87</v>
      </c>
      <c r="AC258" s="16" t="str">
        <f aca="false">IFERROR(INDEX('Route of Administration'!$C$5:$C$155,MATCH($C258,'Route of Administration'!$A$5:$A$155,0)),"")</f>
        <v>IV, IM, SC</v>
      </c>
      <c r="AD258" s="15" t="str">
        <f aca="false">IFERROR(INDEX('Route of Administration'!$D$5:$D$155,MATCH($C258,'Route of Administration'!$A$5:$A$155,0)),"")</f>
        <v>Yes</v>
      </c>
      <c r="AE258" s="15" t="str">
        <f aca="false">IF($AD258="No","Not checked – drug is IV only",IFERROR(INDEX('Route of Administration'!$O$5:$O$170,MATCH($E258&amp;"|"&amp;$C258,'Route of Administration'!$S$5:$S$170,0)),"Not checked – price ≤ USD 5"))</f>
        <v>Fail</v>
      </c>
    </row>
    <row r="259" customFormat="false" ht="28.35" hidden="false" customHeight="false" outlineLevel="0" collapsed="false">
      <c r="B259" s="16" t="n">
        <v>257</v>
      </c>
      <c r="C259" s="16" t="s">
        <v>637</v>
      </c>
      <c r="D259" s="16" t="s">
        <v>812</v>
      </c>
      <c r="E259" s="16" t="s">
        <v>773</v>
      </c>
      <c r="F259" s="16" t="s">
        <v>2066</v>
      </c>
      <c r="G259" s="17" t="s">
        <v>2067</v>
      </c>
      <c r="H259" s="16" t="s">
        <v>1533</v>
      </c>
      <c r="I259" s="18" t="n">
        <v>42.0665</v>
      </c>
      <c r="J259" s="16" t="n">
        <v>1</v>
      </c>
      <c r="K259" s="16" t="n">
        <v>87</v>
      </c>
      <c r="L259" s="19" t="n">
        <v>2931.42</v>
      </c>
      <c r="M259" s="17" t="s">
        <v>639</v>
      </c>
      <c r="N259" s="18" t="n">
        <v>42.0665</v>
      </c>
      <c r="O259" s="16" t="s">
        <v>1534</v>
      </c>
      <c r="P259" s="16" t="s">
        <v>1962</v>
      </c>
      <c r="Q259" s="17" t="s">
        <v>1536</v>
      </c>
      <c r="R259" s="16"/>
      <c r="S259" s="77" t="n">
        <f aca="false">IFERROR(INDEX('Injectable Value'!$Z$28:$Z$178,MATCH($C259,'Injectable Value'!$A$28:$A$178,0)),"")</f>
        <v>1</v>
      </c>
      <c r="T259" s="19" t="n">
        <f aca="false">IFERROR(ROUND(INDEX('Injectable Value'!$AA$28:$AA$178,MATCH($C259,'Injectable Value'!$A$28:$A$178,0)),1),"")</f>
        <v>2931.4</v>
      </c>
      <c r="U259" s="17" t="s">
        <v>815</v>
      </c>
      <c r="V259" s="16" t="n">
        <v>3</v>
      </c>
      <c r="W259" s="16" t="s">
        <v>814</v>
      </c>
      <c r="X259" s="16" t="s">
        <v>281</v>
      </c>
      <c r="Y259" s="16" t="s">
        <v>283</v>
      </c>
      <c r="Z259" s="17" t="str">
        <f aca="false">IFERROR(INDEX(Scoring!$U:$U,MATCH($C259&amp;"|"&amp;$E259,Scoring!$AD:$AD,0)),"")</f>
        <v/>
      </c>
      <c r="AA259" s="16" t="str">
        <f aca="false">IFERROR(INDEX(Scoring!$E:$E,MATCH($C259&amp;"|"&amp;$E259,Scoring!$AD:$AD,0)),"")</f>
        <v>Excluded – IV only</v>
      </c>
      <c r="AB259" s="19" t="n">
        <f aca="false">IFERROR(INDEX(Scoring!$M:$M,MATCH($C259&amp;"|"&amp;$E259,Scoring!$AD:$AD,0)),"")</f>
        <v>87</v>
      </c>
      <c r="AC259" s="16" t="str">
        <f aca="false">IFERROR(INDEX('Route of Administration'!$C$5:$C$155,MATCH($C259,'Route of Administration'!$A$5:$A$155,0)),"")</f>
        <v>IV, IM, SC</v>
      </c>
      <c r="AD259" s="15" t="str">
        <f aca="false">IFERROR(INDEX('Route of Administration'!$D$5:$D$155,MATCH($C259,'Route of Administration'!$A$5:$A$155,0)),"")</f>
        <v>Yes</v>
      </c>
      <c r="AE259" s="15" t="str">
        <f aca="false">IF($AD259="No","Not checked – drug is IV only",IFERROR(INDEX('Route of Administration'!$O$5:$O$170,MATCH($E259&amp;"|"&amp;$C259,'Route of Administration'!$S$5:$S$170,0)),"Not checked – price ≤ USD 5"))</f>
        <v>Fail</v>
      </c>
    </row>
    <row r="260" customFormat="false" ht="41.75" hidden="false" customHeight="false" outlineLevel="0" collapsed="false">
      <c r="B260" s="16" t="n">
        <v>258</v>
      </c>
      <c r="C260" s="16" t="s">
        <v>829</v>
      </c>
      <c r="D260" s="16" t="s">
        <v>2068</v>
      </c>
      <c r="E260" s="16" t="s">
        <v>773</v>
      </c>
      <c r="F260" s="16" t="s">
        <v>2069</v>
      </c>
      <c r="G260" s="17" t="s">
        <v>2070</v>
      </c>
      <c r="H260" s="16" t="s">
        <v>1533</v>
      </c>
      <c r="I260" s="18" t="n">
        <v>91</v>
      </c>
      <c r="J260" s="16" t="n">
        <v>1</v>
      </c>
      <c r="K260" s="16" t="n">
        <v>12</v>
      </c>
      <c r="L260" s="19" t="n">
        <v>2202.64</v>
      </c>
      <c r="M260" s="17" t="s">
        <v>831</v>
      </c>
      <c r="N260" s="18" t="n">
        <v>91</v>
      </c>
      <c r="O260" s="16" t="s">
        <v>1534</v>
      </c>
      <c r="P260" s="16" t="s">
        <v>1700</v>
      </c>
      <c r="Q260" s="17" t="s">
        <v>1536</v>
      </c>
      <c r="R260" s="78" t="s">
        <v>1771</v>
      </c>
      <c r="S260" s="77" t="n">
        <f aca="false">IFERROR(INDEX('Injectable Value'!$Z$28:$Z$178,MATCH($C260,'Injectable Value'!$A$28:$A$178,0)),"")</f>
        <v>0.75</v>
      </c>
      <c r="T260" s="19" t="n">
        <f aca="false">IFERROR(ROUND(INDEX('Injectable Value'!$AA$28:$AA$178,MATCH($C260,'Injectable Value'!$A$28:$A$178,0)),1),"")</f>
        <v>1652</v>
      </c>
      <c r="U260" s="17" t="s">
        <v>834</v>
      </c>
      <c r="V260" s="16" t="n">
        <v>12</v>
      </c>
      <c r="W260" s="16" t="s">
        <v>833</v>
      </c>
      <c r="X260" s="16" t="s">
        <v>281</v>
      </c>
      <c r="Y260" s="16" t="s">
        <v>359</v>
      </c>
      <c r="Z260" s="17" t="str">
        <f aca="false">IFERROR(INDEX(Scoring!$U:$U,MATCH($C260&amp;"|"&amp;$E260,Scoring!$AD:$AD,0)),"")</f>
        <v>Reconstitution</v>
      </c>
      <c r="AA260" s="16" t="str">
        <f aca="false">IFERROR(INDEX(Scoring!$E:$E,MATCH($C260&amp;"|"&amp;$E260,Scoring!$AD:$AD,0)),"")</f>
        <v>Priority 2</v>
      </c>
      <c r="AB260" s="19" t="n">
        <f aca="false">IFERROR(INDEX(Scoring!$M:$M,MATCH($C260&amp;"|"&amp;$E260,Scoring!$AD:$AD,0)),"")</f>
        <v>9</v>
      </c>
      <c r="AC260" s="16" t="str">
        <f aca="false">IFERROR(INDEX('Route of Administration'!$C$5:$C$155,MATCH($C260,'Route of Administration'!$A$5:$A$155,0)),"")</f>
        <v>IV, IM</v>
      </c>
      <c r="AD260" s="15" t="str">
        <f aca="false">IFERROR(INDEX('Route of Administration'!$D$5:$D$155,MATCH($C260,'Route of Administration'!$A$5:$A$155,0)),"")</f>
        <v>Yes</v>
      </c>
      <c r="AE260" s="15" t="str">
        <f aca="false">IF($AD260="No","Not checked – drug is IV only",IFERROR(INDEX('Route of Administration'!$O$5:$O$170,MATCH($E260&amp;"|"&amp;$C260,'Route of Administration'!$S$5:$S$170,0)),"Not checked – price ≤ USD 5"))</f>
        <v>Pass</v>
      </c>
    </row>
    <row r="261" customFormat="false" ht="28.35" hidden="false" customHeight="false" outlineLevel="0" collapsed="false">
      <c r="B261" s="16" t="n">
        <v>259</v>
      </c>
      <c r="C261" s="16" t="s">
        <v>839</v>
      </c>
      <c r="D261" s="16" t="s">
        <v>839</v>
      </c>
      <c r="E261" s="16" t="s">
        <v>773</v>
      </c>
      <c r="F261" s="16" t="s">
        <v>2071</v>
      </c>
      <c r="G261" s="17" t="s">
        <v>2072</v>
      </c>
      <c r="H261" s="16" t="s">
        <v>1533</v>
      </c>
      <c r="I261" s="18" t="n">
        <v>6.44</v>
      </c>
      <c r="J261" s="16" t="n">
        <v>1</v>
      </c>
      <c r="K261" s="16" t="n">
        <v>615</v>
      </c>
      <c r="L261" s="19" t="n">
        <v>54682.27</v>
      </c>
      <c r="M261" s="17" t="s">
        <v>840</v>
      </c>
      <c r="N261" s="18" t="n">
        <v>6.44</v>
      </c>
      <c r="O261" s="16" t="s">
        <v>1534</v>
      </c>
      <c r="P261" s="16" t="s">
        <v>1535</v>
      </c>
      <c r="Q261" s="17" t="s">
        <v>1536</v>
      </c>
      <c r="R261" s="78" t="s">
        <v>1771</v>
      </c>
      <c r="S261" s="77" t="n">
        <f aca="false">IFERROR(INDEX('Injectable Value'!$Z$28:$Z$178,MATCH($C261,'Injectable Value'!$A$28:$A$178,0)),"")</f>
        <v>0.998949579831933</v>
      </c>
      <c r="T261" s="19" t="n">
        <f aca="false">IFERROR(ROUND(INDEX('Injectable Value'!$AA$28:$AA$178,MATCH($C261,'Injectable Value'!$A$28:$A$178,0)),1),"")</f>
        <v>54624.8</v>
      </c>
      <c r="U261" s="17" t="s">
        <v>464</v>
      </c>
      <c r="V261" s="16" t="n">
        <v>1</v>
      </c>
      <c r="W261" s="16" t="s">
        <v>463</v>
      </c>
      <c r="X261" s="16" t="s">
        <v>281</v>
      </c>
      <c r="Y261" s="16" t="s">
        <v>1547</v>
      </c>
      <c r="Z261" s="17" t="str">
        <f aca="false">IFERROR(INDEX(Scoring!$U:$U,MATCH($C261&amp;"|"&amp;$E261,Scoring!$AD:$AD,0)),"")</f>
        <v/>
      </c>
      <c r="AA261" s="16" t="str">
        <f aca="false">IFERROR(INDEX(Scoring!$E:$E,MATCH($C261&amp;"|"&amp;$E261,Scoring!$AD:$AD,0)),"")</f>
        <v>Excluded – IV only</v>
      </c>
      <c r="AB261" s="19" t="n">
        <f aca="false">IFERROR(INDEX(Scoring!$M:$M,MATCH($C261&amp;"|"&amp;$E261,Scoring!$AD:$AD,0)),"")</f>
        <v>614</v>
      </c>
      <c r="AC261" s="16" t="str">
        <f aca="false">IFERROR(INDEX('Route of Administration'!$C$5:$C$155,MATCH($C261,'Route of Administration'!$A$5:$A$155,0)),"")</f>
        <v>IV</v>
      </c>
      <c r="AD261" s="15" t="str">
        <f aca="false">IFERROR(INDEX('Route of Administration'!$D$5:$D$155,MATCH($C261,'Route of Administration'!$A$5:$A$155,0)),"")</f>
        <v>No</v>
      </c>
      <c r="AE261" s="15" t="str">
        <f aca="false">IF($AD261="No","Not checked – drug is IV only",IFERROR(INDEX('Route of Administration'!$O$5:$O$170,MATCH($E261&amp;"|"&amp;$C261,'Route of Administration'!$S$5:$S$170,0)),"Not checked – price ≤ USD 5"))</f>
        <v>Not checked – drug is IV only</v>
      </c>
    </row>
    <row r="262" customFormat="false" ht="28.35" hidden="false" customHeight="false" outlineLevel="0" collapsed="false">
      <c r="B262" s="16" t="n">
        <v>260</v>
      </c>
      <c r="C262" s="16" t="s">
        <v>790</v>
      </c>
      <c r="D262" s="16" t="s">
        <v>791</v>
      </c>
      <c r="E262" s="16" t="s">
        <v>773</v>
      </c>
      <c r="F262" s="16" t="s">
        <v>2073</v>
      </c>
      <c r="G262" s="17" t="s">
        <v>2074</v>
      </c>
      <c r="H262" s="16" t="s">
        <v>1533</v>
      </c>
      <c r="I262" s="18" t="n">
        <v>23.975</v>
      </c>
      <c r="J262" s="16" t="n">
        <v>1</v>
      </c>
      <c r="K262" s="16" t="n">
        <v>123</v>
      </c>
      <c r="L262" s="19" t="n">
        <v>3010.2</v>
      </c>
      <c r="M262" s="17" t="s">
        <v>792</v>
      </c>
      <c r="N262" s="18" t="n">
        <v>23.975</v>
      </c>
      <c r="O262" s="16" t="s">
        <v>1534</v>
      </c>
      <c r="P262" s="16" t="s">
        <v>1535</v>
      </c>
      <c r="Q262" s="17" t="s">
        <v>1536</v>
      </c>
      <c r="R262" s="78" t="s">
        <v>1771</v>
      </c>
      <c r="S262" s="77" t="n">
        <f aca="false">IFERROR(INDEX('Injectable Value'!$Z$28:$Z$178,MATCH($C262,'Injectable Value'!$A$28:$A$178,0)),"")</f>
        <v>0.675601982054373</v>
      </c>
      <c r="T262" s="19" t="n">
        <f aca="false">IFERROR(ROUND(INDEX('Injectable Value'!$AA$28:$AA$178,MATCH($C262,'Injectable Value'!$A$28:$A$178,0)),1),"")</f>
        <v>2033.7</v>
      </c>
      <c r="U262" s="17" t="s">
        <v>464</v>
      </c>
      <c r="V262" s="16" t="n">
        <v>1</v>
      </c>
      <c r="W262" s="16" t="s">
        <v>463</v>
      </c>
      <c r="X262" s="16" t="s">
        <v>281</v>
      </c>
      <c r="Y262" s="16" t="s">
        <v>283</v>
      </c>
      <c r="Z262" s="17" t="str">
        <f aca="false">IFERROR(INDEX(Scoring!$U:$U,MATCH($C262&amp;"|"&amp;$E262,Scoring!$AD:$AD,0)),"")</f>
        <v/>
      </c>
      <c r="AA262" s="16" t="str">
        <f aca="false">IFERROR(INDEX(Scoring!$E:$E,MATCH($C262&amp;"|"&amp;$E262,Scoring!$AD:$AD,0)),"")</f>
        <v>Priority 3</v>
      </c>
      <c r="AB262" s="19" t="n">
        <f aca="false">IFERROR(INDEX(Scoring!$M:$M,MATCH($C262&amp;"|"&amp;$E262,Scoring!$AD:$AD,0)),"")</f>
        <v>83</v>
      </c>
      <c r="AC262" s="16" t="str">
        <f aca="false">IFERROR(INDEX('Route of Administration'!$C$5:$C$155,MATCH($C262,'Route of Administration'!$A$5:$A$155,0)),"")</f>
        <v>IV, IM</v>
      </c>
      <c r="AD262" s="15" t="str">
        <f aca="false">IFERROR(INDEX('Route of Administration'!$D$5:$D$155,MATCH($C262,'Route of Administration'!$A$5:$A$155,0)),"")</f>
        <v>Yes</v>
      </c>
      <c r="AE262" s="15" t="str">
        <f aca="false">IF($AD262="No","Not checked – drug is IV only",IFERROR(INDEX('Route of Administration'!$O$5:$O$170,MATCH($E262&amp;"|"&amp;$C262,'Route of Administration'!$S$5:$S$170,0)),"Not checked – price ≤ USD 5"))</f>
        <v>Pass</v>
      </c>
    </row>
    <row r="263" customFormat="false" ht="28.35" hidden="false" customHeight="false" outlineLevel="0" collapsed="false">
      <c r="B263" s="16" t="n">
        <v>261</v>
      </c>
      <c r="C263" s="16" t="s">
        <v>380</v>
      </c>
      <c r="D263" s="16" t="s">
        <v>380</v>
      </c>
      <c r="E263" s="16" t="s">
        <v>773</v>
      </c>
      <c r="F263" s="16" t="s">
        <v>2075</v>
      </c>
      <c r="G263" s="17" t="s">
        <v>2076</v>
      </c>
      <c r="H263" s="16" t="s">
        <v>1533</v>
      </c>
      <c r="I263" s="18" t="n">
        <v>80.5</v>
      </c>
      <c r="J263" s="16" t="n">
        <v>1</v>
      </c>
      <c r="K263" s="16" t="n">
        <v>843</v>
      </c>
      <c r="L263" s="19" t="n">
        <v>4508</v>
      </c>
      <c r="M263" s="17" t="s">
        <v>381</v>
      </c>
      <c r="N263" s="18" t="n">
        <v>80.5</v>
      </c>
      <c r="O263" s="16" t="s">
        <v>1534</v>
      </c>
      <c r="P263" s="16" t="s">
        <v>1535</v>
      </c>
      <c r="Q263" s="17" t="s">
        <v>1536</v>
      </c>
      <c r="R263" s="78" t="s">
        <v>1771</v>
      </c>
      <c r="S263" s="77" t="n">
        <f aca="false">IFERROR(INDEX('Injectable Value'!$Z$28:$Z$178,MATCH($C263,'Injectable Value'!$A$28:$A$178,0)),"")</f>
        <v>0.858739397335643</v>
      </c>
      <c r="T263" s="19" t="n">
        <f aca="false">IFERROR(ROUND(INDEX('Injectable Value'!$AA$28:$AA$178,MATCH($C263,'Injectable Value'!$A$28:$A$178,0)),1),"")</f>
        <v>3871.2</v>
      </c>
      <c r="U263" s="17" t="s">
        <v>464</v>
      </c>
      <c r="V263" s="16" t="n">
        <v>1</v>
      </c>
      <c r="W263" s="16" t="s">
        <v>463</v>
      </c>
      <c r="X263" s="16" t="s">
        <v>281</v>
      </c>
      <c r="Y263" s="16" t="s">
        <v>1547</v>
      </c>
      <c r="Z263" s="17" t="str">
        <f aca="false">IFERROR(INDEX(Scoring!$U:$U,MATCH($C263&amp;"|"&amp;$E263,Scoring!$AD:$AD,0)),"")</f>
        <v>Cancer drug (cytotoxic) – less relevant</v>
      </c>
      <c r="AA263" s="16" t="str">
        <f aca="false">IFERROR(INDEX(Scoring!$E:$E,MATCH($C263&amp;"|"&amp;$E263,Scoring!$AD:$AD,0)),"")</f>
        <v>Excluded – IV only</v>
      </c>
      <c r="AB263" s="19" t="n">
        <f aca="false">IFERROR(INDEX(Scoring!$M:$M,MATCH($C263&amp;"|"&amp;$E263,Scoring!$AD:$AD,0)),"")</f>
        <v>724</v>
      </c>
      <c r="AC263" s="16" t="str">
        <f aca="false">IFERROR(INDEX('Route of Administration'!$C$5:$C$155,MATCH($C263,'Route of Administration'!$A$5:$A$155,0)),"")</f>
        <v>IV</v>
      </c>
      <c r="AD263" s="15" t="str">
        <f aca="false">IFERROR(INDEX('Route of Administration'!$D$5:$D$155,MATCH($C263,'Route of Administration'!$A$5:$A$155,0)),"")</f>
        <v>No</v>
      </c>
      <c r="AE263" s="15" t="str">
        <f aca="false">IF($AD263="No","Not checked – drug is IV only",IFERROR(INDEX('Route of Administration'!$O$5:$O$170,MATCH($E263&amp;"|"&amp;$C263,'Route of Administration'!$S$5:$S$170,0)),"Not checked – price ≤ USD 5"))</f>
        <v>Not checked – drug is IV only</v>
      </c>
    </row>
    <row r="264" customFormat="false" ht="28.35" hidden="false" customHeight="false" outlineLevel="0" collapsed="false">
      <c r="B264" s="16" t="n">
        <v>262</v>
      </c>
      <c r="C264" s="16" t="s">
        <v>380</v>
      </c>
      <c r="D264" s="16" t="s">
        <v>380</v>
      </c>
      <c r="E264" s="16" t="s">
        <v>773</v>
      </c>
      <c r="F264" s="16" t="s">
        <v>2077</v>
      </c>
      <c r="G264" s="17" t="s">
        <v>2078</v>
      </c>
      <c r="H264" s="16" t="s">
        <v>1533</v>
      </c>
      <c r="I264" s="18" t="n">
        <v>105</v>
      </c>
      <c r="J264" s="16" t="n">
        <v>1</v>
      </c>
      <c r="K264" s="16" t="n">
        <v>843</v>
      </c>
      <c r="L264" s="19" t="n">
        <v>4508</v>
      </c>
      <c r="M264" s="17" t="s">
        <v>381</v>
      </c>
      <c r="N264" s="18" t="n">
        <v>105</v>
      </c>
      <c r="O264" s="16" t="s">
        <v>1534</v>
      </c>
      <c r="P264" s="16" t="s">
        <v>1535</v>
      </c>
      <c r="Q264" s="17" t="s">
        <v>1536</v>
      </c>
      <c r="R264" s="78" t="s">
        <v>1771</v>
      </c>
      <c r="S264" s="77" t="n">
        <f aca="false">IFERROR(INDEX('Injectable Value'!$Z$28:$Z$178,MATCH($C264,'Injectable Value'!$A$28:$A$178,0)),"")</f>
        <v>0.858739397335643</v>
      </c>
      <c r="T264" s="19" t="n">
        <f aca="false">IFERROR(ROUND(INDEX('Injectable Value'!$AA$28:$AA$178,MATCH($C264,'Injectable Value'!$A$28:$A$178,0)),1),"")</f>
        <v>3871.2</v>
      </c>
      <c r="U264" s="17" t="s">
        <v>464</v>
      </c>
      <c r="V264" s="16" t="n">
        <v>1</v>
      </c>
      <c r="W264" s="16" t="s">
        <v>463</v>
      </c>
      <c r="X264" s="16" t="s">
        <v>281</v>
      </c>
      <c r="Y264" s="16" t="s">
        <v>1547</v>
      </c>
      <c r="Z264" s="17" t="str">
        <f aca="false">IFERROR(INDEX(Scoring!$U:$U,MATCH($C264&amp;"|"&amp;$E264,Scoring!$AD:$AD,0)),"")</f>
        <v>Cancer drug (cytotoxic) – less relevant</v>
      </c>
      <c r="AA264" s="16" t="str">
        <f aca="false">IFERROR(INDEX(Scoring!$E:$E,MATCH($C264&amp;"|"&amp;$E264,Scoring!$AD:$AD,0)),"")</f>
        <v>Excluded – IV only</v>
      </c>
      <c r="AB264" s="19" t="n">
        <f aca="false">IFERROR(INDEX(Scoring!$M:$M,MATCH($C264&amp;"|"&amp;$E264,Scoring!$AD:$AD,0)),"")</f>
        <v>724</v>
      </c>
      <c r="AC264" s="16" t="str">
        <f aca="false">IFERROR(INDEX('Route of Administration'!$C$5:$C$155,MATCH($C264,'Route of Administration'!$A$5:$A$155,0)),"")</f>
        <v>IV</v>
      </c>
      <c r="AD264" s="15" t="str">
        <f aca="false">IFERROR(INDEX('Route of Administration'!$D$5:$D$155,MATCH($C264,'Route of Administration'!$A$5:$A$155,0)),"")</f>
        <v>No</v>
      </c>
      <c r="AE264" s="15" t="str">
        <f aca="false">IF($AD264="No","Not checked – drug is IV only",IFERROR(INDEX('Route of Administration'!$O$5:$O$170,MATCH($E264&amp;"|"&amp;$C264,'Route of Administration'!$S$5:$S$170,0)),"Not checked – price ≤ USD 5"))</f>
        <v>Not checked – drug is IV only</v>
      </c>
    </row>
    <row r="265" customFormat="false" ht="41.75" hidden="false" customHeight="false" outlineLevel="0" collapsed="false">
      <c r="B265" s="16" t="n">
        <v>263</v>
      </c>
      <c r="C265" s="16" t="s">
        <v>829</v>
      </c>
      <c r="D265" s="16" t="s">
        <v>2079</v>
      </c>
      <c r="E265" s="16" t="s">
        <v>773</v>
      </c>
      <c r="F265" s="16" t="s">
        <v>2080</v>
      </c>
      <c r="G265" s="17" t="s">
        <v>2081</v>
      </c>
      <c r="H265" s="16" t="s">
        <v>1533</v>
      </c>
      <c r="I265" s="18"/>
      <c r="J265" s="16" t="n">
        <v>1</v>
      </c>
      <c r="K265" s="16" t="n">
        <v>12</v>
      </c>
      <c r="L265" s="19" t="n">
        <v>2202.64</v>
      </c>
      <c r="M265" s="17" t="s">
        <v>831</v>
      </c>
      <c r="N265" s="18"/>
      <c r="O265" s="16" t="s">
        <v>1573</v>
      </c>
      <c r="P265" s="16" t="s">
        <v>112</v>
      </c>
      <c r="Q265" s="17" t="s">
        <v>112</v>
      </c>
      <c r="R265" s="16"/>
      <c r="S265" s="77" t="n">
        <f aca="false">IFERROR(INDEX('Injectable Value'!$Z$28:$Z$178,MATCH($C265,'Injectable Value'!$A$28:$A$178,0)),"")</f>
        <v>0.75</v>
      </c>
      <c r="T265" s="19" t="n">
        <f aca="false">IFERROR(ROUND(INDEX('Injectable Value'!$AA$28:$AA$178,MATCH($C265,'Injectable Value'!$A$28:$A$178,0)),1),"")</f>
        <v>1652</v>
      </c>
      <c r="U265" s="17" t="s">
        <v>834</v>
      </c>
      <c r="V265" s="16" t="n">
        <v>12</v>
      </c>
      <c r="W265" s="16" t="s">
        <v>833</v>
      </c>
      <c r="X265" s="16" t="s">
        <v>281</v>
      </c>
      <c r="Y265" s="16" t="s">
        <v>333</v>
      </c>
      <c r="Z265" s="17" t="str">
        <f aca="false">IFERROR(INDEX(Scoring!$U:$U,MATCH($C265&amp;"|"&amp;$E265,Scoring!$AD:$AD,0)),"")</f>
        <v>Reconstitution</v>
      </c>
      <c r="AA265" s="16" t="str">
        <f aca="false">IFERROR(INDEX(Scoring!$E:$E,MATCH($C265&amp;"|"&amp;$E265,Scoring!$AD:$AD,0)),"")</f>
        <v>Priority 2</v>
      </c>
      <c r="AB265" s="19" t="n">
        <f aca="false">IFERROR(INDEX(Scoring!$M:$M,MATCH($C265&amp;"|"&amp;$E265,Scoring!$AD:$AD,0)),"")</f>
        <v>9</v>
      </c>
      <c r="AC265" s="16" t="str">
        <f aca="false">IFERROR(INDEX('Route of Administration'!$C$5:$C$155,MATCH($C265,'Route of Administration'!$A$5:$A$155,0)),"")</f>
        <v>IV, IM</v>
      </c>
      <c r="AD265" s="15" t="str">
        <f aca="false">IFERROR(INDEX('Route of Administration'!$D$5:$D$155,MATCH($C265,'Route of Administration'!$A$5:$A$155,0)),"")</f>
        <v>Yes</v>
      </c>
      <c r="AE265" s="15" t="str">
        <f aca="false">IF($AD265="No","Not checked – drug is IV only",IFERROR(INDEX('Route of Administration'!$O$5:$O$170,MATCH($E265&amp;"|"&amp;$C265,'Route of Administration'!$S$5:$S$170,0)),"Not checked – price ≤ USD 5"))</f>
        <v>Pass</v>
      </c>
    </row>
    <row r="266" customFormat="false" ht="28.35" hidden="false" customHeight="false" outlineLevel="0" collapsed="false">
      <c r="B266" s="16" t="n">
        <v>264</v>
      </c>
      <c r="C266" s="16" t="s">
        <v>775</v>
      </c>
      <c r="D266" s="16" t="s">
        <v>2082</v>
      </c>
      <c r="E266" s="16" t="s">
        <v>773</v>
      </c>
      <c r="F266" s="16" t="s">
        <v>2083</v>
      </c>
      <c r="G266" s="17" t="s">
        <v>1850</v>
      </c>
      <c r="H266" s="16" t="s">
        <v>1533</v>
      </c>
      <c r="I266" s="18"/>
      <c r="J266" s="16" t="n">
        <v>1</v>
      </c>
      <c r="K266" s="16" t="n">
        <v>684</v>
      </c>
      <c r="L266" s="19" t="n">
        <v>8785.35</v>
      </c>
      <c r="M266" s="17" t="s">
        <v>777</v>
      </c>
      <c r="N266" s="18"/>
      <c r="O266" s="16" t="s">
        <v>1573</v>
      </c>
      <c r="P266" s="16" t="s">
        <v>112</v>
      </c>
      <c r="Q266" s="17" t="s">
        <v>112</v>
      </c>
      <c r="R266" s="16"/>
      <c r="S266" s="77" t="n">
        <f aca="false">IFERROR(INDEX('Injectable Value'!$Z$28:$Z$178,MATCH($C266,'Injectable Value'!$A$28:$A$178,0)),"")</f>
        <v>0.959959846916369</v>
      </c>
      <c r="T266" s="19" t="n">
        <f aca="false">IFERROR(ROUND(INDEX('Injectable Value'!$AA$28:$AA$178,MATCH($C266,'Injectable Value'!$A$28:$A$178,0)),1),"")</f>
        <v>8433.6</v>
      </c>
      <c r="U266" s="17" t="s">
        <v>780</v>
      </c>
      <c r="V266" s="16" t="n">
        <v>5</v>
      </c>
      <c r="W266" s="16" t="s">
        <v>779</v>
      </c>
      <c r="X266" s="16" t="s">
        <v>281</v>
      </c>
      <c r="Y266" s="16" t="s">
        <v>283</v>
      </c>
      <c r="Z266" s="17" t="str">
        <f aca="false">IFERROR(INDEX(Scoring!$U:$U,MATCH($C266&amp;"|"&amp;$E266,Scoring!$AD:$AD,0)),"")</f>
        <v/>
      </c>
      <c r="AA266" s="16" t="str">
        <f aca="false">IFERROR(INDEX(Scoring!$E:$E,MATCH($C266&amp;"|"&amp;$E266,Scoring!$AD:$AD,0)),"")</f>
        <v>Priority 1</v>
      </c>
      <c r="AB266" s="19" t="n">
        <f aca="false">IFERROR(INDEX(Scoring!$M:$M,MATCH($C266&amp;"|"&amp;$E266,Scoring!$AD:$AD,0)),"")</f>
        <v>657</v>
      </c>
      <c r="AC266" s="16" t="str">
        <f aca="false">IFERROR(INDEX('Route of Administration'!$C$5:$C$155,MATCH($C266,'Route of Administration'!$A$5:$A$155,0)),"")</f>
        <v>IV, IM</v>
      </c>
      <c r="AD266" s="15" t="str">
        <f aca="false">IFERROR(INDEX('Route of Administration'!$D$5:$D$155,MATCH($C266,'Route of Administration'!$A$5:$A$155,0)),"")</f>
        <v>Yes</v>
      </c>
      <c r="AE266" s="15" t="str">
        <f aca="false">IF($AD266="No","Not checked – drug is IV only",IFERROR(INDEX('Route of Administration'!$O$5:$O$170,MATCH($E266&amp;"|"&amp;$C266,'Route of Administration'!$S$5:$S$170,0)),"Not checked – price ≤ USD 5"))</f>
        <v>Pass</v>
      </c>
    </row>
    <row r="267" customFormat="false" ht="41.75" hidden="false" customHeight="false" outlineLevel="0" collapsed="false">
      <c r="B267" s="16" t="n">
        <v>265</v>
      </c>
      <c r="C267" s="16" t="s">
        <v>476</v>
      </c>
      <c r="D267" s="16" t="s">
        <v>2084</v>
      </c>
      <c r="E267" s="16" t="s">
        <v>773</v>
      </c>
      <c r="F267" s="16" t="s">
        <v>2085</v>
      </c>
      <c r="G267" s="17" t="s">
        <v>2086</v>
      </c>
      <c r="H267" s="16" t="s">
        <v>1533</v>
      </c>
      <c r="I267" s="18"/>
      <c r="J267" s="16" t="n">
        <v>1</v>
      </c>
      <c r="K267" s="16" t="n">
        <v>257</v>
      </c>
      <c r="L267" s="19" t="n">
        <v>4183.29</v>
      </c>
      <c r="M267" s="17" t="s">
        <v>478</v>
      </c>
      <c r="N267" s="18"/>
      <c r="O267" s="16" t="s">
        <v>1573</v>
      </c>
      <c r="P267" s="16" t="s">
        <v>112</v>
      </c>
      <c r="Q267" s="17" t="s">
        <v>112</v>
      </c>
      <c r="R267" s="16"/>
      <c r="S267" s="77" t="n">
        <f aca="false">IFERROR(INDEX('Injectable Value'!$Z$28:$Z$178,MATCH($C267,'Injectable Value'!$A$28:$A$178,0)),"")</f>
        <v>0.689888576486515</v>
      </c>
      <c r="T267" s="19" t="n">
        <f aca="false">IFERROR(ROUND(INDEX('Injectable Value'!$AA$28:$AA$178,MATCH($C267,'Injectable Value'!$A$28:$A$178,0)),1),"")</f>
        <v>2886</v>
      </c>
      <c r="U267" s="17" t="s">
        <v>817</v>
      </c>
      <c r="V267" s="16" t="n">
        <v>18</v>
      </c>
      <c r="W267" s="16" t="s">
        <v>537</v>
      </c>
      <c r="X267" s="16" t="s">
        <v>281</v>
      </c>
      <c r="Y267" s="16" t="s">
        <v>333</v>
      </c>
      <c r="Z267" s="17" t="str">
        <f aca="false">IFERROR(INDEX(Scoring!$U:$U,MATCH($C267&amp;"|"&amp;$E267,Scoring!$AD:$AD,0)),"")</f>
        <v>Cancer drug (cytotoxic) – less relevant; Reconstitution</v>
      </c>
      <c r="AA267" s="16" t="str">
        <f aca="false">IFERROR(INDEX(Scoring!$E:$E,MATCH($C267&amp;"|"&amp;$E267,Scoring!$AD:$AD,0)),"")</f>
        <v>Excluded – IV only</v>
      </c>
      <c r="AB267" s="19" t="n">
        <f aca="false">IFERROR(INDEX(Scoring!$M:$M,MATCH($C267&amp;"|"&amp;$E267,Scoring!$AD:$AD,0)),"")</f>
        <v>177</v>
      </c>
      <c r="AC267" s="16" t="str">
        <f aca="false">IFERROR(INDEX('Route of Administration'!$C$5:$C$155,MATCH($C267,'Route of Administration'!$A$5:$A$155,0)),"")</f>
        <v>IV</v>
      </c>
      <c r="AD267" s="15" t="str">
        <f aca="false">IFERROR(INDEX('Route of Administration'!$D$5:$D$155,MATCH($C267,'Route of Administration'!$A$5:$A$155,0)),"")</f>
        <v>No</v>
      </c>
      <c r="AE267" s="15" t="str">
        <f aca="false">IF($AD267="No","Not checked – drug is IV only",IFERROR(INDEX('Route of Administration'!$O$5:$O$170,MATCH($E267&amp;"|"&amp;$C267,'Route of Administration'!$S$5:$S$170,0)),"Not checked – price ≤ USD 5"))</f>
        <v>Not checked – drug is IV only</v>
      </c>
    </row>
    <row r="268" customFormat="false" ht="28.35" hidden="false" customHeight="false" outlineLevel="0" collapsed="false">
      <c r="B268" s="16" t="n">
        <v>266</v>
      </c>
      <c r="C268" s="16" t="s">
        <v>295</v>
      </c>
      <c r="D268" s="16" t="s">
        <v>295</v>
      </c>
      <c r="E268" s="16" t="s">
        <v>848</v>
      </c>
      <c r="F268" s="16" t="s">
        <v>1554</v>
      </c>
      <c r="G268" s="17" t="s">
        <v>2087</v>
      </c>
      <c r="H268" s="16" t="s">
        <v>1556</v>
      </c>
      <c r="I268" s="18" t="n">
        <v>29.97</v>
      </c>
      <c r="J268" s="16" t="n">
        <v>1</v>
      </c>
      <c r="K268" s="16" t="n">
        <v>146</v>
      </c>
      <c r="L268" s="19" t="n">
        <v>11366.06</v>
      </c>
      <c r="M268" s="17" t="s">
        <v>296</v>
      </c>
      <c r="N268" s="18" t="n">
        <v>29.97</v>
      </c>
      <c r="O268" s="16" t="s">
        <v>1534</v>
      </c>
      <c r="P268" s="16" t="s">
        <v>1535</v>
      </c>
      <c r="Q268" s="17" t="s">
        <v>1536</v>
      </c>
      <c r="R268" s="78" t="s">
        <v>1557</v>
      </c>
      <c r="S268" s="77" t="n">
        <f aca="false">IFERROR(INDEX('Injectable Value'!$Z$28:$Z$178,MATCH($C268,'Injectable Value'!$A$28:$A$178,0)),"")</f>
        <v>1</v>
      </c>
      <c r="T268" s="19" t="n">
        <f aca="false">IFERROR(ROUND(INDEX('Injectable Value'!$AA$28:$AA$178,MATCH($C268,'Injectable Value'!$A$28:$A$178,0)),1),"")</f>
        <v>11366.1</v>
      </c>
      <c r="U268" s="17" t="s">
        <v>860</v>
      </c>
      <c r="V268" s="16" t="n">
        <v>8</v>
      </c>
      <c r="W268" s="16" t="s">
        <v>859</v>
      </c>
      <c r="X268" s="16" t="s">
        <v>291</v>
      </c>
      <c r="Y268" s="16" t="s">
        <v>283</v>
      </c>
      <c r="Z268" s="17" t="str">
        <f aca="false">IFERROR(INDEX(Scoring!$U:$U,MATCH($C268&amp;"|"&amp;$E268,Scoring!$AD:$AD,0)),"")</f>
        <v>Prefilled only</v>
      </c>
      <c r="AA268" s="16" t="str">
        <f aca="false">IFERROR(INDEX(Scoring!$E:$E,MATCH($C268&amp;"|"&amp;$E268,Scoring!$AD:$AD,0)),"")</f>
        <v>Priority 1</v>
      </c>
      <c r="AB268" s="19" t="n">
        <f aca="false">IFERROR(INDEX(Scoring!$M:$M,MATCH($C268&amp;"|"&amp;$E268,Scoring!$AD:$AD,0)),"")</f>
        <v>146</v>
      </c>
      <c r="AC268" s="16" t="str">
        <f aca="false">IFERROR(INDEX('Route of Administration'!$C$5:$C$155,MATCH($C268,'Route of Administration'!$A$5:$A$155,0)),"")</f>
        <v>IM</v>
      </c>
      <c r="AD268" s="15" t="str">
        <f aca="false">IFERROR(INDEX('Route of Administration'!$D$5:$D$155,MATCH($C268,'Route of Administration'!$A$5:$A$155,0)),"")</f>
        <v>Yes</v>
      </c>
      <c r="AE268" s="15" t="str">
        <f aca="false">IF($AD268="No","Not checked – drug is IV only",IFERROR(INDEX('Route of Administration'!$O$5:$O$170,MATCH($E268&amp;"|"&amp;$C268,'Route of Administration'!$S$5:$S$170,0)),"Not checked – price ≤ USD 5"))</f>
        <v>Pass</v>
      </c>
    </row>
    <row r="269" customFormat="false" ht="28.35" hidden="false" customHeight="false" outlineLevel="0" collapsed="false">
      <c r="B269" s="16" t="n">
        <v>267</v>
      </c>
      <c r="C269" s="16" t="s">
        <v>724</v>
      </c>
      <c r="D269" s="16" t="s">
        <v>1929</v>
      </c>
      <c r="E269" s="16" t="s">
        <v>848</v>
      </c>
      <c r="F269" s="16" t="s">
        <v>1930</v>
      </c>
      <c r="G269" s="17" t="s">
        <v>2088</v>
      </c>
      <c r="H269" s="16" t="s">
        <v>281</v>
      </c>
      <c r="I269" s="18" t="n">
        <v>301.8</v>
      </c>
      <c r="J269" s="16" t="n">
        <v>1</v>
      </c>
      <c r="K269" s="16" t="n">
        <v>42</v>
      </c>
      <c r="L269" s="19" t="n">
        <v>1874.63</v>
      </c>
      <c r="M269" s="17" t="s">
        <v>726</v>
      </c>
      <c r="N269" s="18" t="n">
        <v>301.8</v>
      </c>
      <c r="O269" s="16" t="s">
        <v>1534</v>
      </c>
      <c r="P269" s="16" t="s">
        <v>1535</v>
      </c>
      <c r="Q269" s="17" t="s">
        <v>1536</v>
      </c>
      <c r="R269" s="78" t="s">
        <v>1932</v>
      </c>
      <c r="S269" s="77" t="n">
        <f aca="false">IFERROR(INDEX('Injectable Value'!$Z$28:$Z$178,MATCH($C269,'Injectable Value'!$A$28:$A$178,0)),"")</f>
        <v>1</v>
      </c>
      <c r="T269" s="19" t="n">
        <f aca="false">IFERROR(ROUND(INDEX('Injectable Value'!$AA$28:$AA$178,MATCH($C269,'Injectable Value'!$A$28:$A$178,0)),1),"")</f>
        <v>1874.6</v>
      </c>
      <c r="U269" s="17" t="s">
        <v>856</v>
      </c>
      <c r="V269" s="16" t="n">
        <v>9</v>
      </c>
      <c r="W269" s="16" t="s">
        <v>855</v>
      </c>
      <c r="X269" s="16" t="s">
        <v>281</v>
      </c>
      <c r="Y269" s="16" t="s">
        <v>283</v>
      </c>
      <c r="Z269" s="17" t="str">
        <f aca="false">IFERROR(INDEX(Scoring!$U:$U,MATCH($C269&amp;"|"&amp;$E269,Scoring!$AD:$AD,0)),"")</f>
        <v>Cancer drug (cytotoxic) – less relevant</v>
      </c>
      <c r="AA269" s="16" t="str">
        <f aca="false">IFERROR(INDEX(Scoring!$E:$E,MATCH($C269&amp;"|"&amp;$E269,Scoring!$AD:$AD,0)),"")</f>
        <v>Excluded – IV only</v>
      </c>
      <c r="AB269" s="19" t="n">
        <f aca="false">IFERROR(INDEX(Scoring!$M:$M,MATCH($C269&amp;"|"&amp;$E269,Scoring!$AD:$AD,0)),"")</f>
        <v>42</v>
      </c>
      <c r="AC269" s="16" t="str">
        <f aca="false">IFERROR(INDEX('Route of Administration'!$C$5:$C$155,MATCH($C269,'Route of Administration'!$A$5:$A$155,0)),"")</f>
        <v>IV</v>
      </c>
      <c r="AD269" s="15" t="str">
        <f aca="false">IFERROR(INDEX('Route of Administration'!$D$5:$D$155,MATCH($C269,'Route of Administration'!$A$5:$A$155,0)),"")</f>
        <v>No</v>
      </c>
      <c r="AE269" s="15" t="str">
        <f aca="false">IF($AD269="No","Not checked – drug is IV only",IFERROR(INDEX('Route of Administration'!$O$5:$O$170,MATCH($E269&amp;"|"&amp;$C269,'Route of Administration'!$S$5:$S$170,0)),"Not checked – price ≤ USD 5"))</f>
        <v>Not checked – drug is IV only</v>
      </c>
    </row>
    <row r="270" customFormat="false" ht="28.35" hidden="false" customHeight="false" outlineLevel="0" collapsed="false">
      <c r="B270" s="16" t="n">
        <v>268</v>
      </c>
      <c r="C270" s="16" t="s">
        <v>295</v>
      </c>
      <c r="D270" s="16" t="s">
        <v>295</v>
      </c>
      <c r="E270" s="16" t="s">
        <v>848</v>
      </c>
      <c r="F270" s="16" t="s">
        <v>1683</v>
      </c>
      <c r="G270" s="17" t="s">
        <v>2089</v>
      </c>
      <c r="H270" s="16" t="s">
        <v>1540</v>
      </c>
      <c r="I270" s="18" t="n">
        <v>345.31</v>
      </c>
      <c r="J270" s="16" t="n">
        <v>1</v>
      </c>
      <c r="K270" s="16" t="n">
        <v>146</v>
      </c>
      <c r="L270" s="19" t="n">
        <v>11366.06</v>
      </c>
      <c r="M270" s="17" t="s">
        <v>296</v>
      </c>
      <c r="N270" s="18" t="n">
        <v>345.31</v>
      </c>
      <c r="O270" s="16" t="s">
        <v>1534</v>
      </c>
      <c r="P270" s="16" t="s">
        <v>1535</v>
      </c>
      <c r="Q270" s="17" t="s">
        <v>1536</v>
      </c>
      <c r="R270" s="78" t="s">
        <v>1685</v>
      </c>
      <c r="S270" s="77" t="n">
        <f aca="false">IFERROR(INDEX('Injectable Value'!$Z$28:$Z$178,MATCH($C270,'Injectable Value'!$A$28:$A$178,0)),"")</f>
        <v>1</v>
      </c>
      <c r="T270" s="19" t="n">
        <f aca="false">IFERROR(ROUND(INDEX('Injectable Value'!$AA$28:$AA$178,MATCH($C270,'Injectable Value'!$A$28:$A$178,0)),1),"")</f>
        <v>11366.1</v>
      </c>
      <c r="U270" s="17" t="s">
        <v>860</v>
      </c>
      <c r="V270" s="16" t="n">
        <v>8</v>
      </c>
      <c r="W270" s="16" t="s">
        <v>859</v>
      </c>
      <c r="X270" s="16" t="s">
        <v>291</v>
      </c>
      <c r="Y270" s="16" t="s">
        <v>310</v>
      </c>
      <c r="Z270" s="17" t="str">
        <f aca="false">IFERROR(INDEX(Scoring!$U:$U,MATCH($C270&amp;"|"&amp;$E270,Scoring!$AD:$AD,0)),"")</f>
        <v>Prefilled only</v>
      </c>
      <c r="AA270" s="16" t="str">
        <f aca="false">IFERROR(INDEX(Scoring!$E:$E,MATCH($C270&amp;"|"&amp;$E270,Scoring!$AD:$AD,0)),"")</f>
        <v>Priority 1</v>
      </c>
      <c r="AB270" s="19" t="n">
        <f aca="false">IFERROR(INDEX(Scoring!$M:$M,MATCH($C270&amp;"|"&amp;$E270,Scoring!$AD:$AD,0)),"")</f>
        <v>146</v>
      </c>
      <c r="AC270" s="16" t="str">
        <f aca="false">IFERROR(INDEX('Route of Administration'!$C$5:$C$155,MATCH($C270,'Route of Administration'!$A$5:$A$155,0)),"")</f>
        <v>IM</v>
      </c>
      <c r="AD270" s="15" t="str">
        <f aca="false">IFERROR(INDEX('Route of Administration'!$D$5:$D$155,MATCH($C270,'Route of Administration'!$A$5:$A$155,0)),"")</f>
        <v>Yes</v>
      </c>
      <c r="AE270" s="15" t="str">
        <f aca="false">IF($AD270="No","Not checked – drug is IV only",IFERROR(INDEX('Route of Administration'!$O$5:$O$170,MATCH($E270&amp;"|"&amp;$C270,'Route of Administration'!$S$5:$S$170,0)),"Not checked – price ≤ USD 5"))</f>
        <v>Pass</v>
      </c>
    </row>
    <row r="271" customFormat="false" ht="28.35" hidden="false" customHeight="false" outlineLevel="0" collapsed="false">
      <c r="B271" s="16" t="n">
        <v>269</v>
      </c>
      <c r="C271" s="16" t="s">
        <v>665</v>
      </c>
      <c r="D271" s="16" t="s">
        <v>665</v>
      </c>
      <c r="E271" s="16" t="s">
        <v>848</v>
      </c>
      <c r="F271" s="16" t="s">
        <v>1762</v>
      </c>
      <c r="G271" s="17" t="s">
        <v>2090</v>
      </c>
      <c r="H271" s="16" t="s">
        <v>1533</v>
      </c>
      <c r="I271" s="18" t="n">
        <v>67.02</v>
      </c>
      <c r="J271" s="16" t="n">
        <v>1</v>
      </c>
      <c r="K271" s="16" t="n">
        <v>346</v>
      </c>
      <c r="L271" s="19" t="n">
        <v>32830.17</v>
      </c>
      <c r="M271" s="17" t="s">
        <v>667</v>
      </c>
      <c r="N271" s="18" t="n">
        <v>67.02</v>
      </c>
      <c r="O271" s="16" t="s">
        <v>1534</v>
      </c>
      <c r="P271" s="16" t="s">
        <v>1535</v>
      </c>
      <c r="Q271" s="17" t="s">
        <v>1536</v>
      </c>
      <c r="R271" s="78" t="s">
        <v>2091</v>
      </c>
      <c r="S271" s="77" t="n">
        <f aca="false">IFERROR(INDEX('Injectable Value'!$Z$28:$Z$178,MATCH($C271,'Injectable Value'!$A$28:$A$178,0)),"")</f>
        <v>1</v>
      </c>
      <c r="T271" s="19" t="n">
        <f aca="false">IFERROR(ROUND(INDEX('Injectable Value'!$AA$28:$AA$178,MATCH($C271,'Injectable Value'!$A$28:$A$178,0)),1),"")</f>
        <v>32830.2</v>
      </c>
      <c r="U271" s="17" t="s">
        <v>866</v>
      </c>
      <c r="V271" s="16" t="n">
        <v>9</v>
      </c>
      <c r="W271" s="16" t="s">
        <v>865</v>
      </c>
      <c r="X271" s="16" t="s">
        <v>281</v>
      </c>
      <c r="Y271" s="16" t="s">
        <v>310</v>
      </c>
      <c r="Z271" s="17" t="str">
        <f aca="false">IFERROR(INDEX(Scoring!$U:$U,MATCH($C271&amp;"|"&amp;$E271,Scoring!$AD:$AD,0)),"")</f>
        <v/>
      </c>
      <c r="AA271" s="16" t="str">
        <f aca="false">IFERROR(INDEX(Scoring!$E:$E,MATCH($C271&amp;"|"&amp;$E271,Scoring!$AD:$AD,0)),"")</f>
        <v>Excluded – IV only</v>
      </c>
      <c r="AB271" s="19" t="n">
        <f aca="false">IFERROR(INDEX(Scoring!$M:$M,MATCH($C271&amp;"|"&amp;$E271,Scoring!$AD:$AD,0)),"")</f>
        <v>346</v>
      </c>
      <c r="AC271" s="16" t="str">
        <f aca="false">IFERROR(INDEX('Route of Administration'!$C$5:$C$155,MATCH($C271,'Route of Administration'!$A$5:$A$155,0)),"")</f>
        <v>IV</v>
      </c>
      <c r="AD271" s="15" t="str">
        <f aca="false">IFERROR(INDEX('Route of Administration'!$D$5:$D$155,MATCH($C271,'Route of Administration'!$A$5:$A$155,0)),"")</f>
        <v>No</v>
      </c>
      <c r="AE271" s="15" t="str">
        <f aca="false">IF($AD271="No","Not checked – drug is IV only",IFERROR(INDEX('Route of Administration'!$O$5:$O$170,MATCH($E271&amp;"|"&amp;$C271,'Route of Administration'!$S$5:$S$170,0)),"Not checked – price ≤ USD 5"))</f>
        <v>Not checked – drug is IV only</v>
      </c>
    </row>
    <row r="272" customFormat="false" ht="28.35" hidden="false" customHeight="false" outlineLevel="0" collapsed="false">
      <c r="B272" s="16" t="n">
        <v>270</v>
      </c>
      <c r="C272" s="16" t="s">
        <v>724</v>
      </c>
      <c r="D272" s="16" t="s">
        <v>724</v>
      </c>
      <c r="E272" s="16" t="s">
        <v>848</v>
      </c>
      <c r="F272" s="16" t="s">
        <v>1954</v>
      </c>
      <c r="G272" s="17" t="s">
        <v>1693</v>
      </c>
      <c r="H272" s="16" t="s">
        <v>1533</v>
      </c>
      <c r="I272" s="18" t="n">
        <v>429.52</v>
      </c>
      <c r="J272" s="16" t="n">
        <v>1</v>
      </c>
      <c r="K272" s="16" t="n">
        <v>42</v>
      </c>
      <c r="L272" s="19" t="n">
        <v>1874.63</v>
      </c>
      <c r="M272" s="17" t="s">
        <v>726</v>
      </c>
      <c r="N272" s="18" t="n">
        <v>429.52</v>
      </c>
      <c r="O272" s="16" t="s">
        <v>1534</v>
      </c>
      <c r="P272" s="16" t="s">
        <v>1535</v>
      </c>
      <c r="Q272" s="17" t="s">
        <v>1536</v>
      </c>
      <c r="R272" s="78" t="s">
        <v>2092</v>
      </c>
      <c r="S272" s="77" t="n">
        <f aca="false">IFERROR(INDEX('Injectable Value'!$Z$28:$Z$178,MATCH($C272,'Injectable Value'!$A$28:$A$178,0)),"")</f>
        <v>1</v>
      </c>
      <c r="T272" s="19" t="n">
        <f aca="false">IFERROR(ROUND(INDEX('Injectable Value'!$AA$28:$AA$178,MATCH($C272,'Injectable Value'!$A$28:$A$178,0)),1),"")</f>
        <v>1874.6</v>
      </c>
      <c r="U272" s="17" t="s">
        <v>856</v>
      </c>
      <c r="V272" s="16" t="n">
        <v>9</v>
      </c>
      <c r="W272" s="16" t="s">
        <v>855</v>
      </c>
      <c r="X272" s="16" t="s">
        <v>281</v>
      </c>
      <c r="Y272" s="16" t="s">
        <v>310</v>
      </c>
      <c r="Z272" s="17" t="str">
        <f aca="false">IFERROR(INDEX(Scoring!$U:$U,MATCH($C272&amp;"|"&amp;$E272,Scoring!$AD:$AD,0)),"")</f>
        <v>Cancer drug (cytotoxic) – less relevant</v>
      </c>
      <c r="AA272" s="16" t="str">
        <f aca="false">IFERROR(INDEX(Scoring!$E:$E,MATCH($C272&amp;"|"&amp;$E272,Scoring!$AD:$AD,0)),"")</f>
        <v>Excluded – IV only</v>
      </c>
      <c r="AB272" s="19" t="n">
        <f aca="false">IFERROR(INDEX(Scoring!$M:$M,MATCH($C272&amp;"|"&amp;$E272,Scoring!$AD:$AD,0)),"")</f>
        <v>42</v>
      </c>
      <c r="AC272" s="16" t="str">
        <f aca="false">IFERROR(INDEX('Route of Administration'!$C$5:$C$155,MATCH($C272,'Route of Administration'!$A$5:$A$155,0)),"")</f>
        <v>IV</v>
      </c>
      <c r="AD272" s="15" t="str">
        <f aca="false">IFERROR(INDEX('Route of Administration'!$D$5:$D$155,MATCH($C272,'Route of Administration'!$A$5:$A$155,0)),"")</f>
        <v>No</v>
      </c>
      <c r="AE272" s="15" t="str">
        <f aca="false">IF($AD272="No","Not checked – drug is IV only",IFERROR(INDEX('Route of Administration'!$O$5:$O$170,MATCH($E272&amp;"|"&amp;$C272,'Route of Administration'!$S$5:$S$170,0)),"Not checked – price ≤ USD 5"))</f>
        <v>Not checked – drug is IV only</v>
      </c>
    </row>
    <row r="273" customFormat="false" ht="55.2" hidden="false" customHeight="false" outlineLevel="0" collapsed="false">
      <c r="B273" s="16" t="n">
        <v>271</v>
      </c>
      <c r="C273" s="16" t="s">
        <v>329</v>
      </c>
      <c r="D273" s="16" t="s">
        <v>846</v>
      </c>
      <c r="E273" s="16" t="s">
        <v>848</v>
      </c>
      <c r="F273" s="16" t="s">
        <v>1699</v>
      </c>
      <c r="G273" s="17" t="s">
        <v>1690</v>
      </c>
      <c r="H273" s="16" t="s">
        <v>1533</v>
      </c>
      <c r="I273" s="18" t="n">
        <v>397.421</v>
      </c>
      <c r="J273" s="16" t="n">
        <v>30</v>
      </c>
      <c r="K273" s="16" t="n">
        <v>762</v>
      </c>
      <c r="L273" s="19" t="n">
        <v>50865.56</v>
      </c>
      <c r="M273" s="17" t="s">
        <v>331</v>
      </c>
      <c r="N273" s="82" t="n">
        <v>400.02</v>
      </c>
      <c r="O273" s="64" t="s">
        <v>1724</v>
      </c>
      <c r="P273" s="64" t="s">
        <v>1700</v>
      </c>
      <c r="Q273" s="83" t="s">
        <v>2093</v>
      </c>
      <c r="R273" s="78" t="s">
        <v>2094</v>
      </c>
      <c r="S273" s="77" t="n">
        <f aca="false">IFERROR(INDEX('Injectable Value'!$Z$28:$Z$178,MATCH($C273,'Injectable Value'!$A$28:$A$178,0)),"")</f>
        <v>0.829278792417718</v>
      </c>
      <c r="T273" s="19" t="n">
        <f aca="false">IFERROR(ROUND(INDEX('Injectable Value'!$AA$28:$AA$178,MATCH($C273,'Injectable Value'!$A$28:$A$178,0)),1),"")</f>
        <v>42181.7</v>
      </c>
      <c r="U273" s="17" t="s">
        <v>847</v>
      </c>
      <c r="V273" s="16" t="n">
        <v>3</v>
      </c>
      <c r="W273" s="16" t="s">
        <v>112</v>
      </c>
      <c r="X273" s="16" t="s">
        <v>281</v>
      </c>
      <c r="Y273" s="16" t="s">
        <v>333</v>
      </c>
      <c r="Z273" s="17" t="str">
        <f aca="false">IFERROR(INDEX(Scoring!$U:$U,MATCH($C273&amp;"|"&amp;$E273,Scoring!$AD:$AD,0)),"")</f>
        <v>Cancer drug (cytotoxic) – less relevant; Reconstitution</v>
      </c>
      <c r="AA273" s="16" t="str">
        <f aca="false">IFERROR(INDEX(Scoring!$E:$E,MATCH($C273&amp;"|"&amp;$E273,Scoring!$AD:$AD,0)),"")</f>
        <v>Priority 1</v>
      </c>
      <c r="AB273" s="19" t="n">
        <f aca="false">IFERROR(INDEX(Scoring!$M:$M,MATCH($C273&amp;"|"&amp;$E273,Scoring!$AD:$AD,0)),"")</f>
        <v>632</v>
      </c>
      <c r="AC273" s="16" t="str">
        <f aca="false">IFERROR(INDEX('Route of Administration'!$C$5:$C$155,MATCH($C273,'Route of Administration'!$A$5:$A$155,0)),"")</f>
        <v>IV, SC</v>
      </c>
      <c r="AD273" s="15" t="str">
        <f aca="false">IFERROR(INDEX('Route of Administration'!$D$5:$D$155,MATCH($C273,'Route of Administration'!$A$5:$A$155,0)),"")</f>
        <v>Yes</v>
      </c>
      <c r="AE273" s="15" t="str">
        <f aca="false">IF($AD273="No","Not checked – drug is IV only",IFERROR(INDEX('Route of Administration'!$O$5:$O$170,MATCH($E273&amp;"|"&amp;$C273,'Route of Administration'!$S$5:$S$170,0)),"Not checked – price ≤ USD 5"))</f>
        <v>Pass</v>
      </c>
    </row>
    <row r="274" customFormat="false" ht="41.75" hidden="false" customHeight="false" outlineLevel="0" collapsed="false">
      <c r="B274" s="16" t="n">
        <v>272</v>
      </c>
      <c r="C274" s="16" t="s">
        <v>338</v>
      </c>
      <c r="D274" s="16" t="s">
        <v>2095</v>
      </c>
      <c r="E274" s="16" t="s">
        <v>848</v>
      </c>
      <c r="F274" s="16" t="s">
        <v>1744</v>
      </c>
      <c r="G274" s="17" t="s">
        <v>2096</v>
      </c>
      <c r="H274" s="16" t="s">
        <v>1533</v>
      </c>
      <c r="I274" s="18" t="n">
        <v>162.9686</v>
      </c>
      <c r="J274" s="16" t="n">
        <v>29</v>
      </c>
      <c r="K274" s="16" t="n">
        <v>905</v>
      </c>
      <c r="L274" s="19" t="n">
        <v>28093.38</v>
      </c>
      <c r="M274" s="17" t="s">
        <v>340</v>
      </c>
      <c r="N274" s="18" t="n">
        <v>162.9686</v>
      </c>
      <c r="O274" s="16" t="s">
        <v>1534</v>
      </c>
      <c r="P274" s="16" t="s">
        <v>1535</v>
      </c>
      <c r="Q274" s="17" t="s">
        <v>1536</v>
      </c>
      <c r="R274" s="78" t="s">
        <v>1960</v>
      </c>
      <c r="S274" s="77" t="n">
        <f aca="false">IFERROR(INDEX('Injectable Value'!$Z$28:$Z$178,MATCH($C274,'Injectable Value'!$A$28:$A$178,0)),"")</f>
        <v>1</v>
      </c>
      <c r="T274" s="19" t="n">
        <f aca="false">IFERROR(ROUND(INDEX('Injectable Value'!$AA$28:$AA$178,MATCH($C274,'Injectable Value'!$A$28:$A$178,0)),1),"")</f>
        <v>28093.4</v>
      </c>
      <c r="U274" s="17" t="s">
        <v>851</v>
      </c>
      <c r="V274" s="16" t="n">
        <v>12</v>
      </c>
      <c r="W274" s="16" t="s">
        <v>398</v>
      </c>
      <c r="X274" s="16" t="s">
        <v>281</v>
      </c>
      <c r="Y274" s="16" t="s">
        <v>333</v>
      </c>
      <c r="Z274" s="17" t="str">
        <f aca="false">IFERROR(INDEX(Scoring!$U:$U,MATCH($C274&amp;"|"&amp;$E274,Scoring!$AD:$AD,0)),"")</f>
        <v>Cancer drug (cytotoxic) – less relevant; Reconstitution</v>
      </c>
      <c r="AA274" s="16" t="str">
        <f aca="false">IFERROR(INDEX(Scoring!$E:$E,MATCH($C274&amp;"|"&amp;$E274,Scoring!$AD:$AD,0)),"")</f>
        <v>Priority 1</v>
      </c>
      <c r="AB274" s="19" t="n">
        <f aca="false">IFERROR(INDEX(Scoring!$M:$M,MATCH($C274&amp;"|"&amp;$E274,Scoring!$AD:$AD,0)),"")</f>
        <v>905</v>
      </c>
      <c r="AC274" s="16" t="str">
        <f aca="false">IFERROR(INDEX('Route of Administration'!$C$5:$C$155,MATCH($C274,'Route of Administration'!$A$5:$A$155,0)),"")</f>
        <v>IV, SC</v>
      </c>
      <c r="AD274" s="15" t="str">
        <f aca="false">IFERROR(INDEX('Route of Administration'!$D$5:$D$155,MATCH($C274,'Route of Administration'!$A$5:$A$155,0)),"")</f>
        <v>Yes</v>
      </c>
      <c r="AE274" s="15" t="str">
        <f aca="false">IF($AD274="No","Not checked – drug is IV only",IFERROR(INDEX('Route of Administration'!$O$5:$O$170,MATCH($E274&amp;"|"&amp;$C274,'Route of Administration'!$S$5:$S$170,0)),"Not checked – price ≤ USD 5"))</f>
        <v>Pass</v>
      </c>
    </row>
    <row r="275" customFormat="false" ht="28.35" hidden="false" customHeight="false" outlineLevel="0" collapsed="false">
      <c r="B275" s="16" t="n">
        <v>273</v>
      </c>
      <c r="C275" s="16" t="s">
        <v>724</v>
      </c>
      <c r="D275" s="16" t="s">
        <v>2097</v>
      </c>
      <c r="E275" s="16" t="s">
        <v>848</v>
      </c>
      <c r="F275" s="16" t="s">
        <v>1964</v>
      </c>
      <c r="G275" s="17" t="s">
        <v>1998</v>
      </c>
      <c r="H275" s="16" t="s">
        <v>1533</v>
      </c>
      <c r="I275" s="18" t="n">
        <v>471.2665</v>
      </c>
      <c r="J275" s="16" t="n">
        <v>25</v>
      </c>
      <c r="K275" s="16" t="n">
        <v>42</v>
      </c>
      <c r="L275" s="19" t="n">
        <v>1874.63</v>
      </c>
      <c r="M275" s="17" t="s">
        <v>726</v>
      </c>
      <c r="N275" s="18" t="n">
        <v>471.2665</v>
      </c>
      <c r="O275" s="16" t="s">
        <v>1534</v>
      </c>
      <c r="P275" s="16" t="s">
        <v>1700</v>
      </c>
      <c r="Q275" s="17" t="s">
        <v>1536</v>
      </c>
      <c r="R275" s="78" t="s">
        <v>1701</v>
      </c>
      <c r="S275" s="77" t="n">
        <f aca="false">IFERROR(INDEX('Injectable Value'!$Z$28:$Z$178,MATCH($C275,'Injectable Value'!$A$28:$A$178,0)),"")</f>
        <v>1</v>
      </c>
      <c r="T275" s="19" t="n">
        <f aca="false">IFERROR(ROUND(INDEX('Injectable Value'!$AA$28:$AA$178,MATCH($C275,'Injectable Value'!$A$28:$A$178,0)),1),"")</f>
        <v>1874.6</v>
      </c>
      <c r="U275" s="17" t="s">
        <v>856</v>
      </c>
      <c r="V275" s="16" t="n">
        <v>9</v>
      </c>
      <c r="W275" s="16" t="s">
        <v>855</v>
      </c>
      <c r="X275" s="16" t="s">
        <v>281</v>
      </c>
      <c r="Y275" s="16" t="s">
        <v>283</v>
      </c>
      <c r="Z275" s="17" t="str">
        <f aca="false">IFERROR(INDEX(Scoring!$U:$U,MATCH($C275&amp;"|"&amp;$E275,Scoring!$AD:$AD,0)),"")</f>
        <v>Cancer drug (cytotoxic) – less relevant</v>
      </c>
      <c r="AA275" s="16" t="str">
        <f aca="false">IFERROR(INDEX(Scoring!$E:$E,MATCH($C275&amp;"|"&amp;$E275,Scoring!$AD:$AD,0)),"")</f>
        <v>Excluded – IV only</v>
      </c>
      <c r="AB275" s="19" t="n">
        <f aca="false">IFERROR(INDEX(Scoring!$M:$M,MATCH($C275&amp;"|"&amp;$E275,Scoring!$AD:$AD,0)),"")</f>
        <v>42</v>
      </c>
      <c r="AC275" s="16" t="str">
        <f aca="false">IFERROR(INDEX('Route of Administration'!$C$5:$C$155,MATCH($C275,'Route of Administration'!$A$5:$A$155,0)),"")</f>
        <v>IV</v>
      </c>
      <c r="AD275" s="15" t="str">
        <f aca="false">IFERROR(INDEX('Route of Administration'!$D$5:$D$155,MATCH($C275,'Route of Administration'!$A$5:$A$155,0)),"")</f>
        <v>No</v>
      </c>
      <c r="AE275" s="15" t="str">
        <f aca="false">IF($AD275="No","Not checked – drug is IV only",IFERROR(INDEX('Route of Administration'!$O$5:$O$170,MATCH($E275&amp;"|"&amp;$C275,'Route of Administration'!$S$5:$S$170,0)),"Not checked – price ≤ USD 5"))</f>
        <v>Not checked – drug is IV only</v>
      </c>
    </row>
    <row r="276" customFormat="false" ht="28.35" hidden="false" customHeight="false" outlineLevel="0" collapsed="false">
      <c r="B276" s="16" t="n">
        <v>274</v>
      </c>
      <c r="C276" s="16" t="s">
        <v>295</v>
      </c>
      <c r="D276" s="16" t="s">
        <v>2098</v>
      </c>
      <c r="E276" s="16" t="s">
        <v>848</v>
      </c>
      <c r="F276" s="16" t="s">
        <v>2099</v>
      </c>
      <c r="G276" s="17" t="s">
        <v>2100</v>
      </c>
      <c r="H276" s="16" t="s">
        <v>1540</v>
      </c>
      <c r="I276" s="18" t="n">
        <v>531.8684</v>
      </c>
      <c r="J276" s="16" t="n">
        <v>31</v>
      </c>
      <c r="K276" s="16" t="n">
        <v>146</v>
      </c>
      <c r="L276" s="19" t="n">
        <v>11366.06</v>
      </c>
      <c r="M276" s="17" t="s">
        <v>296</v>
      </c>
      <c r="N276" s="18" t="n">
        <v>531.8684</v>
      </c>
      <c r="O276" s="16" t="s">
        <v>1534</v>
      </c>
      <c r="P276" s="16" t="s">
        <v>1561</v>
      </c>
      <c r="Q276" s="17" t="s">
        <v>1536</v>
      </c>
      <c r="R276" s="78" t="s">
        <v>1701</v>
      </c>
      <c r="S276" s="77" t="n">
        <f aca="false">IFERROR(INDEX('Injectable Value'!$Z$28:$Z$178,MATCH($C276,'Injectable Value'!$A$28:$A$178,0)),"")</f>
        <v>1</v>
      </c>
      <c r="T276" s="19" t="n">
        <f aca="false">IFERROR(ROUND(INDEX('Injectable Value'!$AA$28:$AA$178,MATCH($C276,'Injectable Value'!$A$28:$A$178,0)),1),"")</f>
        <v>11366.1</v>
      </c>
      <c r="U276" s="17" t="s">
        <v>860</v>
      </c>
      <c r="V276" s="16" t="n">
        <v>8</v>
      </c>
      <c r="W276" s="16" t="s">
        <v>859</v>
      </c>
      <c r="X276" s="16" t="s">
        <v>291</v>
      </c>
      <c r="Y276" s="16" t="s">
        <v>310</v>
      </c>
      <c r="Z276" s="17" t="str">
        <f aca="false">IFERROR(INDEX(Scoring!$U:$U,MATCH($C276&amp;"|"&amp;$E276,Scoring!$AD:$AD,0)),"")</f>
        <v>Prefilled only</v>
      </c>
      <c r="AA276" s="16" t="str">
        <f aca="false">IFERROR(INDEX(Scoring!$E:$E,MATCH($C276&amp;"|"&amp;$E276,Scoring!$AD:$AD,0)),"")</f>
        <v>Priority 1</v>
      </c>
      <c r="AB276" s="19" t="n">
        <f aca="false">IFERROR(INDEX(Scoring!$M:$M,MATCH($C276&amp;"|"&amp;$E276,Scoring!$AD:$AD,0)),"")</f>
        <v>146</v>
      </c>
      <c r="AC276" s="16" t="str">
        <f aca="false">IFERROR(INDEX('Route of Administration'!$C$5:$C$155,MATCH($C276,'Route of Administration'!$A$5:$A$155,0)),"")</f>
        <v>IM</v>
      </c>
      <c r="AD276" s="15" t="str">
        <f aca="false">IFERROR(INDEX('Route of Administration'!$D$5:$D$155,MATCH($C276,'Route of Administration'!$A$5:$A$155,0)),"")</f>
        <v>Yes</v>
      </c>
      <c r="AE276" s="15" t="str">
        <f aca="false">IF($AD276="No","Not checked – drug is IV only",IFERROR(INDEX('Route of Administration'!$O$5:$O$170,MATCH($E276&amp;"|"&amp;$C276,'Route of Administration'!$S$5:$S$170,0)),"Not checked – price ≤ USD 5"))</f>
        <v>Pass</v>
      </c>
    </row>
    <row r="277" customFormat="false" ht="28.35" hidden="false" customHeight="false" outlineLevel="0" collapsed="false">
      <c r="B277" s="16" t="n">
        <v>275</v>
      </c>
      <c r="C277" s="16" t="s">
        <v>541</v>
      </c>
      <c r="D277" s="16" t="s">
        <v>861</v>
      </c>
      <c r="E277" s="16" t="s">
        <v>848</v>
      </c>
      <c r="F277" s="16" t="s">
        <v>2101</v>
      </c>
      <c r="G277" s="17" t="s">
        <v>2102</v>
      </c>
      <c r="H277" s="16" t="s">
        <v>1533</v>
      </c>
      <c r="I277" s="18" t="n">
        <v>7322.4226</v>
      </c>
      <c r="J277" s="16" t="n">
        <v>25</v>
      </c>
      <c r="K277" s="16" t="n">
        <v>47</v>
      </c>
      <c r="L277" s="19" t="n">
        <v>7904.67</v>
      </c>
      <c r="M277" s="17" t="s">
        <v>543</v>
      </c>
      <c r="N277" s="18" t="n">
        <v>7322.4226</v>
      </c>
      <c r="O277" s="16" t="s">
        <v>1534</v>
      </c>
      <c r="P277" s="16" t="s">
        <v>1561</v>
      </c>
      <c r="Q277" s="17" t="s">
        <v>1536</v>
      </c>
      <c r="R277" s="78" t="s">
        <v>1701</v>
      </c>
      <c r="S277" s="77" t="n">
        <f aca="false">IFERROR(INDEX('Injectable Value'!$Z$28:$Z$178,MATCH($C277,'Injectable Value'!$A$28:$A$178,0)),"")</f>
        <v>1</v>
      </c>
      <c r="T277" s="19" t="n">
        <f aca="false">IFERROR(ROUND(INDEX('Injectable Value'!$AA$28:$AA$178,MATCH($C277,'Injectable Value'!$A$28:$A$178,0)),1),"")</f>
        <v>7904.7</v>
      </c>
      <c r="U277" s="17" t="s">
        <v>862</v>
      </c>
      <c r="V277" s="16" t="n">
        <v>1</v>
      </c>
      <c r="W277" s="16" t="s">
        <v>112</v>
      </c>
      <c r="X277" s="16" t="s">
        <v>281</v>
      </c>
      <c r="Y277" s="16" t="s">
        <v>283</v>
      </c>
      <c r="Z277" s="17" t="str">
        <f aca="false">IFERROR(INDEX(Scoring!$U:$U,MATCH($C277&amp;"|"&amp;$E277,Scoring!$AD:$AD,0)),"")</f>
        <v/>
      </c>
      <c r="AA277" s="16" t="str">
        <f aca="false">IFERROR(INDEX(Scoring!$E:$E,MATCH($C277&amp;"|"&amp;$E277,Scoring!$AD:$AD,0)),"")</f>
        <v>Priority 2</v>
      </c>
      <c r="AB277" s="19" t="n">
        <f aca="false">IFERROR(INDEX(Scoring!$M:$M,MATCH($C277&amp;"|"&amp;$E277,Scoring!$AD:$AD,0)),"")</f>
        <v>47</v>
      </c>
      <c r="AC277" s="16" t="str">
        <f aca="false">IFERROR(INDEX('Route of Administration'!$C$5:$C$155,MATCH($C277,'Route of Administration'!$A$5:$A$155,0)),"")</f>
        <v>SC</v>
      </c>
      <c r="AD277" s="15" t="str">
        <f aca="false">IFERROR(INDEX('Route of Administration'!$D$5:$D$155,MATCH($C277,'Route of Administration'!$A$5:$A$155,0)),"")</f>
        <v>Yes</v>
      </c>
      <c r="AE277" s="15" t="str">
        <f aca="false">IF($AD277="No","Not checked – drug is IV only",IFERROR(INDEX('Route of Administration'!$O$5:$O$170,MATCH($E277&amp;"|"&amp;$C277,'Route of Administration'!$S$5:$S$170,0)),"Not checked – price ≤ USD 5"))</f>
        <v>Pass</v>
      </c>
    </row>
    <row r="278" customFormat="false" ht="28.35" hidden="false" customHeight="false" outlineLevel="0" collapsed="false">
      <c r="B278" s="16" t="n">
        <v>276</v>
      </c>
      <c r="C278" s="16" t="s">
        <v>665</v>
      </c>
      <c r="D278" s="16" t="s">
        <v>2103</v>
      </c>
      <c r="E278" s="16" t="s">
        <v>848</v>
      </c>
      <c r="F278" s="16" t="s">
        <v>1972</v>
      </c>
      <c r="G278" s="17" t="s">
        <v>1887</v>
      </c>
      <c r="H278" s="16" t="s">
        <v>1533</v>
      </c>
      <c r="I278" s="18" t="n">
        <v>92.0498</v>
      </c>
      <c r="J278" s="16" t="n">
        <v>31</v>
      </c>
      <c r="K278" s="16" t="n">
        <v>346</v>
      </c>
      <c r="L278" s="19" t="n">
        <v>32830.17</v>
      </c>
      <c r="M278" s="17" t="s">
        <v>667</v>
      </c>
      <c r="N278" s="18" t="n">
        <v>92.0498</v>
      </c>
      <c r="O278" s="16" t="s">
        <v>1534</v>
      </c>
      <c r="P278" s="16" t="s">
        <v>1535</v>
      </c>
      <c r="Q278" s="17" t="s">
        <v>1536</v>
      </c>
      <c r="R278" s="78" t="s">
        <v>1701</v>
      </c>
      <c r="S278" s="77" t="n">
        <f aca="false">IFERROR(INDEX('Injectable Value'!$Z$28:$Z$178,MATCH($C278,'Injectable Value'!$A$28:$A$178,0)),"")</f>
        <v>1</v>
      </c>
      <c r="T278" s="19" t="n">
        <f aca="false">IFERROR(ROUND(INDEX('Injectable Value'!$AA$28:$AA$178,MATCH($C278,'Injectable Value'!$A$28:$A$178,0)),1),"")</f>
        <v>32830.2</v>
      </c>
      <c r="U278" s="17" t="s">
        <v>866</v>
      </c>
      <c r="V278" s="16" t="n">
        <v>9</v>
      </c>
      <c r="W278" s="16" t="s">
        <v>865</v>
      </c>
      <c r="X278" s="16" t="s">
        <v>281</v>
      </c>
      <c r="Y278" s="16" t="s">
        <v>283</v>
      </c>
      <c r="Z278" s="17" t="str">
        <f aca="false">IFERROR(INDEX(Scoring!$U:$U,MATCH($C278&amp;"|"&amp;$E278,Scoring!$AD:$AD,0)),"")</f>
        <v/>
      </c>
      <c r="AA278" s="16" t="str">
        <f aca="false">IFERROR(INDEX(Scoring!$E:$E,MATCH($C278&amp;"|"&amp;$E278,Scoring!$AD:$AD,0)),"")</f>
        <v>Excluded – IV only</v>
      </c>
      <c r="AB278" s="19" t="n">
        <f aca="false">IFERROR(INDEX(Scoring!$M:$M,MATCH($C278&amp;"|"&amp;$E278,Scoring!$AD:$AD,0)),"")</f>
        <v>346</v>
      </c>
      <c r="AC278" s="16" t="str">
        <f aca="false">IFERROR(INDEX('Route of Administration'!$C$5:$C$155,MATCH($C278,'Route of Administration'!$A$5:$A$155,0)),"")</f>
        <v>IV</v>
      </c>
      <c r="AD278" s="15" t="str">
        <f aca="false">IFERROR(INDEX('Route of Administration'!$D$5:$D$155,MATCH($C278,'Route of Administration'!$A$5:$A$155,0)),"")</f>
        <v>No</v>
      </c>
      <c r="AE278" s="15" t="str">
        <f aca="false">IF($AD278="No","Not checked – drug is IV only",IFERROR(INDEX('Route of Administration'!$O$5:$O$170,MATCH($E278&amp;"|"&amp;$C278,'Route of Administration'!$S$5:$S$170,0)),"Not checked – price ≤ USD 5"))</f>
        <v>Not checked – drug is IV only</v>
      </c>
    </row>
    <row r="279" customFormat="false" ht="41.75" hidden="false" customHeight="false" outlineLevel="0" collapsed="false">
      <c r="B279" s="16" t="n">
        <v>277</v>
      </c>
      <c r="C279" s="16" t="s">
        <v>338</v>
      </c>
      <c r="D279" s="16" t="s">
        <v>2104</v>
      </c>
      <c r="E279" s="16" t="s">
        <v>848</v>
      </c>
      <c r="F279" s="16" t="s">
        <v>2105</v>
      </c>
      <c r="G279" s="17" t="s">
        <v>1870</v>
      </c>
      <c r="H279" s="16" t="s">
        <v>1533</v>
      </c>
      <c r="I279" s="18" t="n">
        <v>17.444</v>
      </c>
      <c r="J279" s="16" t="n">
        <v>1</v>
      </c>
      <c r="K279" s="16" t="n">
        <v>905</v>
      </c>
      <c r="L279" s="19" t="n">
        <v>28093.38</v>
      </c>
      <c r="M279" s="17" t="s">
        <v>340</v>
      </c>
      <c r="N279" s="18" t="n">
        <v>17.444</v>
      </c>
      <c r="O279" s="16" t="s">
        <v>1534</v>
      </c>
      <c r="P279" s="16" t="s">
        <v>1700</v>
      </c>
      <c r="Q279" s="17" t="s">
        <v>1536</v>
      </c>
      <c r="R279" s="78" t="s">
        <v>1806</v>
      </c>
      <c r="S279" s="77" t="n">
        <f aca="false">IFERROR(INDEX('Injectable Value'!$Z$28:$Z$178,MATCH($C279,'Injectable Value'!$A$28:$A$178,0)),"")</f>
        <v>1</v>
      </c>
      <c r="T279" s="19" t="n">
        <f aca="false">IFERROR(ROUND(INDEX('Injectable Value'!$AA$28:$AA$178,MATCH($C279,'Injectable Value'!$A$28:$A$178,0)),1),"")</f>
        <v>28093.4</v>
      </c>
      <c r="U279" s="17" t="s">
        <v>851</v>
      </c>
      <c r="V279" s="16" t="n">
        <v>12</v>
      </c>
      <c r="W279" s="16" t="s">
        <v>398</v>
      </c>
      <c r="X279" s="16" t="s">
        <v>281</v>
      </c>
      <c r="Y279" s="16" t="s">
        <v>283</v>
      </c>
      <c r="Z279" s="17" t="str">
        <f aca="false">IFERROR(INDEX(Scoring!$U:$U,MATCH($C279&amp;"|"&amp;$E279,Scoring!$AD:$AD,0)),"")</f>
        <v>Cancer drug (cytotoxic) – less relevant; Reconstitution</v>
      </c>
      <c r="AA279" s="16" t="str">
        <f aca="false">IFERROR(INDEX(Scoring!$E:$E,MATCH($C279&amp;"|"&amp;$E279,Scoring!$AD:$AD,0)),"")</f>
        <v>Priority 1</v>
      </c>
      <c r="AB279" s="19" t="n">
        <f aca="false">IFERROR(INDEX(Scoring!$M:$M,MATCH($C279&amp;"|"&amp;$E279,Scoring!$AD:$AD,0)),"")</f>
        <v>905</v>
      </c>
      <c r="AC279" s="16" t="str">
        <f aca="false">IFERROR(INDEX('Route of Administration'!$C$5:$C$155,MATCH($C279,'Route of Administration'!$A$5:$A$155,0)),"")</f>
        <v>IV, SC</v>
      </c>
      <c r="AD279" s="15" t="str">
        <f aca="false">IFERROR(INDEX('Route of Administration'!$D$5:$D$155,MATCH($C279,'Route of Administration'!$A$5:$A$155,0)),"")</f>
        <v>Yes</v>
      </c>
      <c r="AE279" s="15" t="str">
        <f aca="false">IF($AD279="No","Not checked – drug is IV only",IFERROR(INDEX('Route of Administration'!$O$5:$O$170,MATCH($E279&amp;"|"&amp;$C279,'Route of Administration'!$S$5:$S$170,0)),"Not checked – price ≤ USD 5"))</f>
        <v>Pass</v>
      </c>
    </row>
    <row r="280" customFormat="false" ht="41.75" hidden="false" customHeight="false" outlineLevel="0" collapsed="false">
      <c r="B280" s="16" t="n">
        <v>278</v>
      </c>
      <c r="C280" s="16" t="s">
        <v>338</v>
      </c>
      <c r="D280" s="16" t="s">
        <v>2104</v>
      </c>
      <c r="E280" s="16" t="s">
        <v>848</v>
      </c>
      <c r="F280" s="16" t="s">
        <v>2106</v>
      </c>
      <c r="G280" s="17" t="s">
        <v>2107</v>
      </c>
      <c r="H280" s="16" t="s">
        <v>1533</v>
      </c>
      <c r="I280" s="18" t="n">
        <v>14.329</v>
      </c>
      <c r="J280" s="16" t="n">
        <v>1</v>
      </c>
      <c r="K280" s="16" t="n">
        <v>905</v>
      </c>
      <c r="L280" s="19" t="n">
        <v>28093.38</v>
      </c>
      <c r="M280" s="17" t="s">
        <v>340</v>
      </c>
      <c r="N280" s="18" t="n">
        <v>14.329</v>
      </c>
      <c r="O280" s="16" t="s">
        <v>1534</v>
      </c>
      <c r="P280" s="16" t="s">
        <v>1700</v>
      </c>
      <c r="Q280" s="17" t="s">
        <v>1536</v>
      </c>
      <c r="R280" s="78" t="s">
        <v>1806</v>
      </c>
      <c r="S280" s="77" t="n">
        <f aca="false">IFERROR(INDEX('Injectable Value'!$Z$28:$Z$178,MATCH($C280,'Injectable Value'!$A$28:$A$178,0)),"")</f>
        <v>1</v>
      </c>
      <c r="T280" s="19" t="n">
        <f aca="false">IFERROR(ROUND(INDEX('Injectable Value'!$AA$28:$AA$178,MATCH($C280,'Injectable Value'!$A$28:$A$178,0)),1),"")</f>
        <v>28093.4</v>
      </c>
      <c r="U280" s="17" t="s">
        <v>851</v>
      </c>
      <c r="V280" s="16" t="n">
        <v>12</v>
      </c>
      <c r="W280" s="16" t="s">
        <v>398</v>
      </c>
      <c r="X280" s="16" t="s">
        <v>281</v>
      </c>
      <c r="Y280" s="16" t="s">
        <v>283</v>
      </c>
      <c r="Z280" s="17" t="str">
        <f aca="false">IFERROR(INDEX(Scoring!$U:$U,MATCH($C280&amp;"|"&amp;$E280,Scoring!$AD:$AD,0)),"")</f>
        <v>Cancer drug (cytotoxic) – less relevant; Reconstitution</v>
      </c>
      <c r="AA280" s="16" t="str">
        <f aca="false">IFERROR(INDEX(Scoring!$E:$E,MATCH($C280&amp;"|"&amp;$E280,Scoring!$AD:$AD,0)),"")</f>
        <v>Priority 1</v>
      </c>
      <c r="AB280" s="19" t="n">
        <f aca="false">IFERROR(INDEX(Scoring!$M:$M,MATCH($C280&amp;"|"&amp;$E280,Scoring!$AD:$AD,0)),"")</f>
        <v>905</v>
      </c>
      <c r="AC280" s="16" t="str">
        <f aca="false">IFERROR(INDEX('Route of Administration'!$C$5:$C$155,MATCH($C280,'Route of Administration'!$A$5:$A$155,0)),"")</f>
        <v>IV, SC</v>
      </c>
      <c r="AD280" s="15" t="str">
        <f aca="false">IFERROR(INDEX('Route of Administration'!$D$5:$D$155,MATCH($C280,'Route of Administration'!$A$5:$A$155,0)),"")</f>
        <v>Yes</v>
      </c>
      <c r="AE280" s="15" t="str">
        <f aca="false">IF($AD280="No","Not checked – drug is IV only",IFERROR(INDEX('Route of Administration'!$O$5:$O$170,MATCH($E280&amp;"|"&amp;$C280,'Route of Administration'!$S$5:$S$170,0)),"Not checked – price ≤ USD 5"))</f>
        <v>Pass</v>
      </c>
    </row>
    <row r="281" customFormat="false" ht="28.35" hidden="false" customHeight="false" outlineLevel="0" collapsed="false">
      <c r="B281" s="16" t="n">
        <v>279</v>
      </c>
      <c r="C281" s="16" t="s">
        <v>375</v>
      </c>
      <c r="D281" s="16" t="s">
        <v>376</v>
      </c>
      <c r="E281" s="16" t="s">
        <v>870</v>
      </c>
      <c r="F281" s="16" t="s">
        <v>1563</v>
      </c>
      <c r="G281" s="17" t="s">
        <v>2108</v>
      </c>
      <c r="H281" s="16" t="s">
        <v>1533</v>
      </c>
      <c r="I281" s="18" t="n">
        <v>14.96</v>
      </c>
      <c r="J281" s="16" t="n">
        <v>1</v>
      </c>
      <c r="K281" s="16" t="n">
        <v>472</v>
      </c>
      <c r="L281" s="19" t="n">
        <v>7831.08</v>
      </c>
      <c r="M281" s="17" t="s">
        <v>377</v>
      </c>
      <c r="N281" s="18" t="n">
        <v>14.96</v>
      </c>
      <c r="O281" s="16" t="s">
        <v>1534</v>
      </c>
      <c r="P281" s="16" t="s">
        <v>1535</v>
      </c>
      <c r="Q281" s="17" t="s">
        <v>1536</v>
      </c>
      <c r="R281" s="78" t="s">
        <v>1565</v>
      </c>
      <c r="S281" s="77" t="n">
        <f aca="false">IFERROR(INDEX('Injectable Value'!$Z$28:$Z$178,MATCH($C281,'Injectable Value'!$A$28:$A$178,0)),"")</f>
        <v>0.1734375</v>
      </c>
      <c r="T281" s="19" t="n">
        <f aca="false">IFERROR(ROUND(INDEX('Injectable Value'!$AA$28:$AA$178,MATCH($C281,'Injectable Value'!$A$28:$A$178,0)),1),"")</f>
        <v>1358.2</v>
      </c>
      <c r="U281" s="17" t="s">
        <v>284</v>
      </c>
      <c r="V281" s="16" t="n">
        <v>1</v>
      </c>
      <c r="W281" s="16" t="s">
        <v>284</v>
      </c>
      <c r="X281" s="16" t="s">
        <v>281</v>
      </c>
      <c r="Y281" s="16" t="s">
        <v>283</v>
      </c>
      <c r="Z281" s="17" t="str">
        <f aca="false">IFERROR(INDEX(Scoring!$U:$U,MATCH($C281&amp;"|"&amp;$E281,Scoring!$AD:$AD,0)),"")</f>
        <v/>
      </c>
      <c r="AA281" s="16" t="str">
        <f aca="false">IFERROR(INDEX(Scoring!$E:$E,MATCH($C281&amp;"|"&amp;$E281,Scoring!$AD:$AD,0)),"")</f>
        <v>Priority 3</v>
      </c>
      <c r="AB281" s="19" t="n">
        <f aca="false">IFERROR(INDEX(Scoring!$M:$M,MATCH($C281&amp;"|"&amp;$E281,Scoring!$AD:$AD,0)),"")</f>
        <v>82</v>
      </c>
      <c r="AC281" s="16" t="str">
        <f aca="false">IFERROR(INDEX('Route of Administration'!$C$5:$C$155,MATCH($C281,'Route of Administration'!$A$5:$A$155,0)),"")</f>
        <v>IM</v>
      </c>
      <c r="AD281" s="15" t="str">
        <f aca="false">IFERROR(INDEX('Route of Administration'!$D$5:$D$155,MATCH($C281,'Route of Administration'!$A$5:$A$155,0)),"")</f>
        <v>Yes</v>
      </c>
      <c r="AE281" s="15" t="str">
        <f aca="false">IF($AD281="No","Not checked – drug is IV only",IFERROR(INDEX('Route of Administration'!$O$5:$O$170,MATCH($E281&amp;"|"&amp;$C281,'Route of Administration'!$S$5:$S$170,0)),"Not checked – price ≤ USD 5"))</f>
        <v>Pass</v>
      </c>
    </row>
    <row r="282" customFormat="false" ht="28.35" hidden="false" customHeight="false" outlineLevel="0" collapsed="false">
      <c r="B282" s="16" t="n">
        <v>280</v>
      </c>
      <c r="C282" s="16" t="s">
        <v>881</v>
      </c>
      <c r="D282" s="16" t="s">
        <v>881</v>
      </c>
      <c r="E282" s="16" t="s">
        <v>870</v>
      </c>
      <c r="F282" s="16" t="s">
        <v>1600</v>
      </c>
      <c r="G282" s="17"/>
      <c r="H282" s="16"/>
      <c r="I282" s="18"/>
      <c r="J282" s="16" t="n">
        <v>1</v>
      </c>
      <c r="K282" s="16" t="n">
        <v>445</v>
      </c>
      <c r="L282" s="19" t="n">
        <v>8796.85</v>
      </c>
      <c r="M282" s="17" t="s">
        <v>882</v>
      </c>
      <c r="N282" s="82" t="n">
        <v>0.65</v>
      </c>
      <c r="O282" s="64" t="s">
        <v>1541</v>
      </c>
      <c r="P282" s="16" t="s">
        <v>1535</v>
      </c>
      <c r="Q282" s="17" t="s">
        <v>1542</v>
      </c>
      <c r="R282" s="78" t="s">
        <v>1543</v>
      </c>
      <c r="S282" s="77" t="n">
        <f aca="false">IFERROR(INDEX('Injectable Value'!$Z$28:$Z$178,MATCH($C282,'Injectable Value'!$A$28:$A$178,0)),"")</f>
        <v>0.274306714947369</v>
      </c>
      <c r="T282" s="19" t="n">
        <f aca="false">IFERROR(ROUND(INDEX('Injectable Value'!$AA$28:$AA$178,MATCH($C282,'Injectable Value'!$A$28:$A$178,0)),1),"")</f>
        <v>2413</v>
      </c>
      <c r="U282" s="17" t="s">
        <v>284</v>
      </c>
      <c r="V282" s="16" t="n">
        <v>1</v>
      </c>
      <c r="W282" s="16" t="s">
        <v>284</v>
      </c>
      <c r="X282" s="16" t="s">
        <v>310</v>
      </c>
      <c r="Y282" s="16" t="s">
        <v>310</v>
      </c>
      <c r="Z282" s="17" t="str">
        <f aca="false">IFERROR(INDEX(Scoring!$U:$U,MATCH($C282&amp;"|"&amp;$E282,Scoring!$AD:$AD,0)),"")</f>
        <v/>
      </c>
      <c r="AA282" s="16" t="str">
        <f aca="false">IFERROR(INDEX(Scoring!$E:$E,MATCH($C282&amp;"|"&amp;$E282,Scoring!$AD:$AD,0)),"")</f>
        <v>Excluded – price ≤ USD 5</v>
      </c>
      <c r="AB282" s="19" t="n">
        <f aca="false">IFERROR(INDEX(Scoring!$M:$M,MATCH($C282&amp;"|"&amp;$E282,Scoring!$AD:$AD,0)),"")</f>
        <v>122</v>
      </c>
      <c r="AC282" s="16" t="str">
        <f aca="false">IFERROR(INDEX('Route of Administration'!$C$5:$C$155,MATCH($C282,'Route of Administration'!$A$5:$A$155,0)),"")</f>
        <v>IM, SC</v>
      </c>
      <c r="AD282" s="15" t="str">
        <f aca="false">IFERROR(INDEX('Route of Administration'!$D$5:$D$155,MATCH($C282,'Route of Administration'!$A$5:$A$155,0)),"")</f>
        <v>Yes</v>
      </c>
      <c r="AE282" s="15" t="str">
        <f aca="false">IF($AD282="No","Not checked – drug is IV only",IFERROR(INDEX('Route of Administration'!$O$5:$O$170,MATCH($E282&amp;"|"&amp;$C282,'Route of Administration'!$S$5:$S$170,0)),"Not checked – price ≤ USD 5"))</f>
        <v>Not checked – price ≤ USD 5</v>
      </c>
    </row>
    <row r="283" customFormat="false" ht="28.35" hidden="false" customHeight="false" outlineLevel="0" collapsed="false">
      <c r="B283" s="16" t="n">
        <v>281</v>
      </c>
      <c r="C283" s="16" t="s">
        <v>637</v>
      </c>
      <c r="D283" s="16" t="s">
        <v>812</v>
      </c>
      <c r="E283" s="16" t="s">
        <v>870</v>
      </c>
      <c r="F283" s="16" t="s">
        <v>2109</v>
      </c>
      <c r="G283" s="17"/>
      <c r="H283" s="16"/>
      <c r="I283" s="18"/>
      <c r="J283" s="16" t="n">
        <v>1</v>
      </c>
      <c r="K283" s="16" t="n">
        <v>87</v>
      </c>
      <c r="L283" s="19" t="n">
        <v>2931.42</v>
      </c>
      <c r="M283" s="17" t="s">
        <v>639</v>
      </c>
      <c r="N283" s="82" t="n">
        <v>69.18</v>
      </c>
      <c r="O283" s="64" t="s">
        <v>1541</v>
      </c>
      <c r="P283" s="16" t="s">
        <v>1535</v>
      </c>
      <c r="Q283" s="17" t="s">
        <v>1864</v>
      </c>
      <c r="R283" s="78" t="s">
        <v>1865</v>
      </c>
      <c r="S283" s="77" t="n">
        <f aca="false">IFERROR(INDEX('Injectable Value'!$Z$28:$Z$178,MATCH($C283,'Injectable Value'!$A$28:$A$178,0)),"")</f>
        <v>1</v>
      </c>
      <c r="T283" s="19" t="n">
        <f aca="false">IFERROR(ROUND(INDEX('Injectable Value'!$AA$28:$AA$178,MATCH($C283,'Injectable Value'!$A$28:$A$178,0)),1),"")</f>
        <v>2931.4</v>
      </c>
      <c r="U283" s="17" t="s">
        <v>284</v>
      </c>
      <c r="V283" s="16" t="n">
        <v>1</v>
      </c>
      <c r="W283" s="16" t="s">
        <v>284</v>
      </c>
      <c r="X283" s="16" t="s">
        <v>310</v>
      </c>
      <c r="Y283" s="16" t="s">
        <v>310</v>
      </c>
      <c r="Z283" s="17" t="str">
        <f aca="false">IFERROR(INDEX(Scoring!$U:$U,MATCH($C283&amp;"|"&amp;$E283,Scoring!$AD:$AD,0)),"")</f>
        <v/>
      </c>
      <c r="AA283" s="16" t="str">
        <f aca="false">IFERROR(INDEX(Scoring!$E:$E,MATCH($C283&amp;"|"&amp;$E283,Scoring!$AD:$AD,0)),"")</f>
        <v>Priority 2</v>
      </c>
      <c r="AB283" s="19" t="n">
        <f aca="false">IFERROR(INDEX(Scoring!$M:$M,MATCH($C283&amp;"|"&amp;$E283,Scoring!$AD:$AD,0)),"")</f>
        <v>87</v>
      </c>
      <c r="AC283" s="16" t="str">
        <f aca="false">IFERROR(INDEX('Route of Administration'!$C$5:$C$155,MATCH($C283,'Route of Administration'!$A$5:$A$155,0)),"")</f>
        <v>IV, IM, SC</v>
      </c>
      <c r="AD283" s="15" t="str">
        <f aca="false">IFERROR(INDEX('Route of Administration'!$D$5:$D$155,MATCH($C283,'Route of Administration'!$A$5:$A$155,0)),"")</f>
        <v>Yes</v>
      </c>
      <c r="AE283" s="15" t="str">
        <f aca="false">IF($AD283="No","Not checked – drug is IV only",IFERROR(INDEX('Route of Administration'!$O$5:$O$170,MATCH($E283&amp;"|"&amp;$C283,'Route of Administration'!$S$5:$S$170,0)),"Not checked – price ≤ USD 5"))</f>
        <v>To confirm</v>
      </c>
    </row>
    <row r="284" customFormat="false" ht="28.35" hidden="false" customHeight="false" outlineLevel="0" collapsed="false">
      <c r="B284" s="16" t="n">
        <v>282</v>
      </c>
      <c r="C284" s="16" t="s">
        <v>894</v>
      </c>
      <c r="D284" s="16" t="s">
        <v>895</v>
      </c>
      <c r="E284" s="16" t="s">
        <v>870</v>
      </c>
      <c r="F284" s="16" t="s">
        <v>2110</v>
      </c>
      <c r="G284" s="17" t="s">
        <v>2111</v>
      </c>
      <c r="H284" s="16" t="s">
        <v>1533</v>
      </c>
      <c r="I284" s="18"/>
      <c r="J284" s="16" t="n">
        <v>1</v>
      </c>
      <c r="K284" s="16" t="n">
        <v>1683</v>
      </c>
      <c r="L284" s="19" t="n">
        <v>46739.27</v>
      </c>
      <c r="M284" s="17" t="s">
        <v>896</v>
      </c>
      <c r="N284" s="82" t="n">
        <v>1.91</v>
      </c>
      <c r="O284" s="64" t="s">
        <v>1541</v>
      </c>
      <c r="P284" s="16" t="s">
        <v>1535</v>
      </c>
      <c r="Q284" s="17" t="s">
        <v>1864</v>
      </c>
      <c r="R284" s="78" t="s">
        <v>1865</v>
      </c>
      <c r="S284" s="77" t="n">
        <f aca="false">IFERROR(INDEX('Injectable Value'!$Z$28:$Z$178,MATCH($C284,'Injectable Value'!$A$28:$A$178,0)),"")</f>
        <v>0.398200810013986</v>
      </c>
      <c r="T284" s="19" t="n">
        <f aca="false">IFERROR(ROUND(INDEX('Injectable Value'!$AA$28:$AA$178,MATCH($C284,'Injectable Value'!$A$28:$A$178,0)),1),"")</f>
        <v>18611.6</v>
      </c>
      <c r="U284" s="17" t="s">
        <v>284</v>
      </c>
      <c r="V284" s="16" t="n">
        <v>1</v>
      </c>
      <c r="W284" s="16" t="s">
        <v>284</v>
      </c>
      <c r="X284" s="16" t="s">
        <v>281</v>
      </c>
      <c r="Y284" s="16" t="s">
        <v>1547</v>
      </c>
      <c r="Z284" s="17" t="str">
        <f aca="false">IFERROR(INDEX(Scoring!$U:$U,MATCH($C284&amp;"|"&amp;$E284,Scoring!$AD:$AD,0)),"")</f>
        <v/>
      </c>
      <c r="AA284" s="16" t="str">
        <f aca="false">IFERROR(INDEX(Scoring!$E:$E,MATCH($C284&amp;"|"&amp;$E284,Scoring!$AD:$AD,0)),"")</f>
        <v>Excluded – price ≤ USD 5</v>
      </c>
      <c r="AB284" s="19" t="n">
        <f aca="false">IFERROR(INDEX(Scoring!$M:$M,MATCH($C284&amp;"|"&amp;$E284,Scoring!$AD:$AD,0)),"")</f>
        <v>670</v>
      </c>
      <c r="AC284" s="16" t="str">
        <f aca="false">IFERROR(INDEX('Route of Administration'!$C$5:$C$155,MATCH($C284,'Route of Administration'!$A$5:$A$155,0)),"")</f>
        <v>IV, infiltration (ID, SC), perineural</v>
      </c>
      <c r="AD284" s="15" t="str">
        <f aca="false">IFERROR(INDEX('Route of Administration'!$D$5:$D$155,MATCH($C284,'Route of Administration'!$A$5:$A$155,0)),"")</f>
        <v>Yes</v>
      </c>
      <c r="AE284" s="15" t="str">
        <f aca="false">IF($AD284="No","Not checked – drug is IV only",IFERROR(INDEX('Route of Administration'!$O$5:$O$170,MATCH($E284&amp;"|"&amp;$C284,'Route of Administration'!$S$5:$S$170,0)),"Not checked – price ≤ USD 5"))</f>
        <v>Not checked – price ≤ USD 5</v>
      </c>
    </row>
    <row r="285" customFormat="false" ht="41.75" hidden="false" customHeight="false" outlineLevel="0" collapsed="false">
      <c r="B285" s="16" t="n">
        <v>283</v>
      </c>
      <c r="C285" s="16" t="s">
        <v>299</v>
      </c>
      <c r="D285" s="16" t="s">
        <v>300</v>
      </c>
      <c r="E285" s="16" t="s">
        <v>870</v>
      </c>
      <c r="F285" s="16" t="s">
        <v>1548</v>
      </c>
      <c r="G285" s="17"/>
      <c r="H285" s="16"/>
      <c r="I285" s="18" t="n">
        <v>7.15</v>
      </c>
      <c r="J285" s="16" t="n">
        <v>1</v>
      </c>
      <c r="K285" s="16" t="n">
        <v>1282</v>
      </c>
      <c r="L285" s="19" t="n">
        <v>16792.84</v>
      </c>
      <c r="M285" s="17" t="s">
        <v>301</v>
      </c>
      <c r="N285" s="18" t="n">
        <v>7.15</v>
      </c>
      <c r="O285" s="16" t="s">
        <v>1534</v>
      </c>
      <c r="P285" s="16" t="s">
        <v>1535</v>
      </c>
      <c r="Q285" s="17" t="s">
        <v>1536</v>
      </c>
      <c r="R285" s="78" t="s">
        <v>1546</v>
      </c>
      <c r="S285" s="77" t="n">
        <f aca="false">IFERROR(INDEX('Injectable Value'!$Z$28:$Z$178,MATCH($C285,'Injectable Value'!$A$28:$A$178,0)),"")</f>
        <v>0.776857437207773</v>
      </c>
      <c r="T285" s="19" t="n">
        <f aca="false">IFERROR(ROUND(INDEX('Injectable Value'!$AA$28:$AA$178,MATCH($C285,'Injectable Value'!$A$28:$A$178,0)),1),"")</f>
        <v>13045.6</v>
      </c>
      <c r="U285" s="17" t="s">
        <v>284</v>
      </c>
      <c r="V285" s="16" t="n">
        <v>1</v>
      </c>
      <c r="W285" s="16" t="s">
        <v>284</v>
      </c>
      <c r="X285" s="16" t="s">
        <v>310</v>
      </c>
      <c r="Y285" s="16" t="s">
        <v>283</v>
      </c>
      <c r="Z285" s="17" t="str">
        <f aca="false">IFERROR(INDEX(Scoring!$U:$U,MATCH($C285&amp;"|"&amp;$E285,Scoring!$AD:$AD,0)),"")</f>
        <v>Cancer drug (cytotoxic) – less relevant</v>
      </c>
      <c r="AA285" s="16" t="str">
        <f aca="false">IFERROR(INDEX(Scoring!$E:$E,MATCH($C285&amp;"|"&amp;$E285,Scoring!$AD:$AD,0)),"")</f>
        <v>Priority 2</v>
      </c>
      <c r="AB285" s="19" t="n">
        <f aca="false">IFERROR(INDEX(Scoring!$M:$M,MATCH($C285&amp;"|"&amp;$E285,Scoring!$AD:$AD,0)),"")</f>
        <v>996</v>
      </c>
      <c r="AC285" s="16" t="str">
        <f aca="false">IFERROR(INDEX('Route of Administration'!$C$5:$C$155,MATCH($C285,'Route of Administration'!$A$5:$A$155,0)),"")</f>
        <v>IV, IM, SC</v>
      </c>
      <c r="AD285" s="15" t="str">
        <f aca="false">IFERROR(INDEX('Route of Administration'!$D$5:$D$155,MATCH($C285,'Route of Administration'!$A$5:$A$155,0)),"")</f>
        <v>Yes</v>
      </c>
      <c r="AE285" s="15" t="str">
        <f aca="false">IF($AD285="No","Not checked – drug is IV only",IFERROR(INDEX('Route of Administration'!$O$5:$O$170,MATCH($E285&amp;"|"&amp;$C285,'Route of Administration'!$S$5:$S$170,0)),"Not checked – price ≤ USD 5"))</f>
        <v>Pass</v>
      </c>
    </row>
    <row r="286" customFormat="false" ht="28.35" hidden="false" customHeight="false" outlineLevel="0" collapsed="false">
      <c r="B286" s="16" t="n">
        <v>284</v>
      </c>
      <c r="C286" s="16" t="s">
        <v>839</v>
      </c>
      <c r="D286" s="16" t="s">
        <v>839</v>
      </c>
      <c r="E286" s="16" t="s">
        <v>870</v>
      </c>
      <c r="F286" s="16" t="s">
        <v>1824</v>
      </c>
      <c r="G286" s="17"/>
      <c r="H286" s="16"/>
      <c r="I286" s="18"/>
      <c r="J286" s="16" t="n">
        <v>1</v>
      </c>
      <c r="K286" s="16" t="n">
        <v>615</v>
      </c>
      <c r="L286" s="19" t="n">
        <v>54682.27</v>
      </c>
      <c r="M286" s="17" t="s">
        <v>840</v>
      </c>
      <c r="N286" s="82" t="n">
        <v>1.86</v>
      </c>
      <c r="O286" s="64" t="s">
        <v>1541</v>
      </c>
      <c r="P286" s="16" t="s">
        <v>1535</v>
      </c>
      <c r="Q286" s="17" t="s">
        <v>1542</v>
      </c>
      <c r="R286" s="78" t="s">
        <v>1543</v>
      </c>
      <c r="S286" s="77" t="n">
        <f aca="false">IFERROR(INDEX('Injectable Value'!$Z$28:$Z$178,MATCH($C286,'Injectable Value'!$A$28:$A$178,0)),"")</f>
        <v>0.998949579831933</v>
      </c>
      <c r="T286" s="19" t="n">
        <f aca="false">IFERROR(ROUND(INDEX('Injectable Value'!$AA$28:$AA$178,MATCH($C286,'Injectable Value'!$A$28:$A$178,0)),1),"")</f>
        <v>54624.8</v>
      </c>
      <c r="U286" s="17" t="s">
        <v>284</v>
      </c>
      <c r="V286" s="16" t="n">
        <v>1</v>
      </c>
      <c r="W286" s="16" t="s">
        <v>284</v>
      </c>
      <c r="X286" s="16" t="s">
        <v>310</v>
      </c>
      <c r="Y286" s="16" t="s">
        <v>310</v>
      </c>
      <c r="Z286" s="17" t="str">
        <f aca="false">IFERROR(INDEX(Scoring!$U:$U,MATCH($C286&amp;"|"&amp;$E286,Scoring!$AD:$AD,0)),"")</f>
        <v/>
      </c>
      <c r="AA286" s="16" t="str">
        <f aca="false">IFERROR(INDEX(Scoring!$E:$E,MATCH($C286&amp;"|"&amp;$E286,Scoring!$AD:$AD,0)),"")</f>
        <v>Excluded – IV only</v>
      </c>
      <c r="AB286" s="19" t="n">
        <f aca="false">IFERROR(INDEX(Scoring!$M:$M,MATCH($C286&amp;"|"&amp;$E286,Scoring!$AD:$AD,0)),"")</f>
        <v>614</v>
      </c>
      <c r="AC286" s="16" t="str">
        <f aca="false">IFERROR(INDEX('Route of Administration'!$C$5:$C$155,MATCH($C286,'Route of Administration'!$A$5:$A$155,0)),"")</f>
        <v>IV</v>
      </c>
      <c r="AD286" s="15" t="str">
        <f aca="false">IFERROR(INDEX('Route of Administration'!$D$5:$D$155,MATCH($C286,'Route of Administration'!$A$5:$A$155,0)),"")</f>
        <v>No</v>
      </c>
      <c r="AE286" s="15" t="str">
        <f aca="false">IF($AD286="No","Not checked – drug is IV only",IFERROR(INDEX('Route of Administration'!$O$5:$O$170,MATCH($E286&amp;"|"&amp;$C286,'Route of Administration'!$S$5:$S$170,0)),"Not checked – price ≤ USD 5"))</f>
        <v>Not checked – drug is IV only</v>
      </c>
    </row>
    <row r="287" customFormat="false" ht="41.75" hidden="false" customHeight="false" outlineLevel="0" collapsed="false">
      <c r="B287" s="16" t="n">
        <v>285</v>
      </c>
      <c r="C287" s="16" t="s">
        <v>754</v>
      </c>
      <c r="D287" s="16" t="s">
        <v>755</v>
      </c>
      <c r="E287" s="16" t="s">
        <v>870</v>
      </c>
      <c r="F287" s="16" t="s">
        <v>1914</v>
      </c>
      <c r="G287" s="17" t="s">
        <v>2112</v>
      </c>
      <c r="H287" s="16" t="s">
        <v>1533</v>
      </c>
      <c r="I287" s="18"/>
      <c r="J287" s="16" t="n">
        <v>1</v>
      </c>
      <c r="K287" s="16" t="n">
        <v>286</v>
      </c>
      <c r="L287" s="19" t="n">
        <v>3067.39</v>
      </c>
      <c r="M287" s="17" t="s">
        <v>756</v>
      </c>
      <c r="N287" s="82" t="n">
        <v>5.03</v>
      </c>
      <c r="O287" s="64" t="s">
        <v>1541</v>
      </c>
      <c r="P287" s="16" t="s">
        <v>1535</v>
      </c>
      <c r="Q287" s="17" t="s">
        <v>1864</v>
      </c>
      <c r="R287" s="78" t="s">
        <v>1865</v>
      </c>
      <c r="S287" s="77" t="n">
        <f aca="false">IFERROR(INDEX('Injectable Value'!$Z$28:$Z$178,MATCH($C287,'Injectable Value'!$A$28:$A$178,0)),"")</f>
        <v>1</v>
      </c>
      <c r="T287" s="19" t="n">
        <f aca="false">IFERROR(ROUND(INDEX('Injectable Value'!$AA$28:$AA$178,MATCH($C287,'Injectable Value'!$A$28:$A$178,0)),1),"")</f>
        <v>3067.4</v>
      </c>
      <c r="U287" s="17" t="s">
        <v>284</v>
      </c>
      <c r="V287" s="16" t="n">
        <v>1</v>
      </c>
      <c r="W287" s="16" t="s">
        <v>284</v>
      </c>
      <c r="X287" s="16" t="s">
        <v>281</v>
      </c>
      <c r="Y287" s="16" t="s">
        <v>283</v>
      </c>
      <c r="Z287" s="17" t="str">
        <f aca="false">IFERROR(INDEX(Scoring!$U:$U,MATCH($C287&amp;"|"&amp;$E287,Scoring!$AD:$AD,0)),"")</f>
        <v/>
      </c>
      <c r="AA287" s="16" t="str">
        <f aca="false">IFERROR(INDEX(Scoring!$E:$E,MATCH($C287&amp;"|"&amp;$E287,Scoring!$AD:$AD,0)),"")</f>
        <v>Priority 2</v>
      </c>
      <c r="AB287" s="19" t="n">
        <f aca="false">IFERROR(INDEX(Scoring!$M:$M,MATCH($C287&amp;"|"&amp;$E287,Scoring!$AD:$AD,0)),"")</f>
        <v>286</v>
      </c>
      <c r="AC287" s="16" t="str">
        <f aca="false">IFERROR(INDEX('Route of Administration'!$C$5:$C$155,MATCH($C287,'Route of Administration'!$A$5:$A$155,0)),"")</f>
        <v>IV, IM</v>
      </c>
      <c r="AD287" s="15" t="str">
        <f aca="false">IFERROR(INDEX('Route of Administration'!$D$5:$D$155,MATCH($C287,'Route of Administration'!$A$5:$A$155,0)),"")</f>
        <v>Yes</v>
      </c>
      <c r="AE287" s="15" t="str">
        <f aca="false">IF($AD287="No","Not checked – drug is IV only",IFERROR(INDEX('Route of Administration'!$O$5:$O$170,MATCH($E287&amp;"|"&amp;$C287,'Route of Administration'!$S$5:$S$170,0)),"Not checked – price ≤ USD 5"))</f>
        <v>Pass</v>
      </c>
    </row>
    <row r="288" customFormat="false" ht="28.35" hidden="false" customHeight="false" outlineLevel="0" collapsed="false">
      <c r="B288" s="16" t="n">
        <v>286</v>
      </c>
      <c r="C288" s="16" t="s">
        <v>599</v>
      </c>
      <c r="D288" s="16" t="s">
        <v>600</v>
      </c>
      <c r="E288" s="16" t="s">
        <v>870</v>
      </c>
      <c r="F288" s="16" t="s">
        <v>1622</v>
      </c>
      <c r="G288" s="17" t="s">
        <v>1553</v>
      </c>
      <c r="H288" s="16" t="s">
        <v>1553</v>
      </c>
      <c r="I288" s="18"/>
      <c r="J288" s="16" t="n">
        <v>1</v>
      </c>
      <c r="K288" s="16" t="n">
        <v>374</v>
      </c>
      <c r="L288" s="19" t="n">
        <v>13615.47</v>
      </c>
      <c r="M288" s="17" t="s">
        <v>601</v>
      </c>
      <c r="N288" s="82" t="n">
        <v>2.67</v>
      </c>
      <c r="O288" s="64" t="s">
        <v>1541</v>
      </c>
      <c r="P288" s="16" t="s">
        <v>1535</v>
      </c>
      <c r="Q288" s="17" t="s">
        <v>1864</v>
      </c>
      <c r="R288" s="78" t="s">
        <v>1865</v>
      </c>
      <c r="S288" s="77" t="n">
        <f aca="false">IFERROR(INDEX('Injectable Value'!$Z$28:$Z$178,MATCH($C288,'Injectable Value'!$A$28:$A$178,0)),"")</f>
        <v>0.18191811645244</v>
      </c>
      <c r="T288" s="19" t="n">
        <f aca="false">IFERROR(ROUND(INDEX('Injectable Value'!$AA$28:$AA$178,MATCH($C288,'Injectable Value'!$A$28:$A$178,0)),1),"")</f>
        <v>2476.9</v>
      </c>
      <c r="U288" s="17" t="s">
        <v>284</v>
      </c>
      <c r="V288" s="16" t="n">
        <v>1</v>
      </c>
      <c r="W288" s="16" t="s">
        <v>284</v>
      </c>
      <c r="X288" s="16" t="s">
        <v>310</v>
      </c>
      <c r="Y288" s="16" t="s">
        <v>310</v>
      </c>
      <c r="Z288" s="17" t="str">
        <f aca="false">IFERROR(INDEX(Scoring!$U:$U,MATCH($C288&amp;"|"&amp;$E288,Scoring!$AD:$AD,0)),"")</f>
        <v/>
      </c>
      <c r="AA288" s="16" t="str">
        <f aca="false">IFERROR(INDEX(Scoring!$E:$E,MATCH($C288&amp;"|"&amp;$E288,Scoring!$AD:$AD,0)),"")</f>
        <v>Excluded – IV only</v>
      </c>
      <c r="AB288" s="19" t="n">
        <f aca="false">IFERROR(INDEX(Scoring!$M:$M,MATCH($C288&amp;"|"&amp;$E288,Scoring!$AD:$AD,0)),"")</f>
        <v>68</v>
      </c>
      <c r="AC288" s="16" t="str">
        <f aca="false">IFERROR(INDEX('Route of Administration'!$C$5:$C$155,MATCH($C288,'Route of Administration'!$A$5:$A$155,0)),"")</f>
        <v>IV</v>
      </c>
      <c r="AD288" s="15" t="str">
        <f aca="false">IFERROR(INDEX('Route of Administration'!$D$5:$D$155,MATCH($C288,'Route of Administration'!$A$5:$A$155,0)),"")</f>
        <v>No</v>
      </c>
      <c r="AE288" s="15" t="str">
        <f aca="false">IF($AD288="No","Not checked – drug is IV only",IFERROR(INDEX('Route of Administration'!$O$5:$O$170,MATCH($E288&amp;"|"&amp;$C288,'Route of Administration'!$S$5:$S$170,0)),"Not checked – price ≤ USD 5"))</f>
        <v>Not checked – drug is IV only</v>
      </c>
    </row>
    <row r="289" customFormat="false" ht="28.35" hidden="false" customHeight="false" outlineLevel="0" collapsed="false">
      <c r="B289" s="16" t="n">
        <v>287</v>
      </c>
      <c r="C289" s="16" t="s">
        <v>338</v>
      </c>
      <c r="D289" s="16" t="s">
        <v>338</v>
      </c>
      <c r="E289" s="16" t="s">
        <v>870</v>
      </c>
      <c r="F289" s="16" t="s">
        <v>1636</v>
      </c>
      <c r="G289" s="17" t="s">
        <v>2113</v>
      </c>
      <c r="H289" s="16" t="s">
        <v>281</v>
      </c>
      <c r="I289" s="18" t="n">
        <v>22.25</v>
      </c>
      <c r="J289" s="16" t="n">
        <v>1</v>
      </c>
      <c r="K289" s="16" t="n">
        <v>905</v>
      </c>
      <c r="L289" s="19" t="n">
        <v>28093.38</v>
      </c>
      <c r="M289" s="17" t="s">
        <v>340</v>
      </c>
      <c r="N289" s="18" t="n">
        <v>22.25</v>
      </c>
      <c r="O289" s="16" t="s">
        <v>1534</v>
      </c>
      <c r="P289" s="16" t="s">
        <v>1535</v>
      </c>
      <c r="Q289" s="17" t="s">
        <v>1536</v>
      </c>
      <c r="R289" s="78" t="s">
        <v>1638</v>
      </c>
      <c r="S289" s="77" t="n">
        <f aca="false">IFERROR(INDEX('Injectable Value'!$Z$28:$Z$178,MATCH($C289,'Injectable Value'!$A$28:$A$178,0)),"")</f>
        <v>1</v>
      </c>
      <c r="T289" s="19" t="n">
        <f aca="false">IFERROR(ROUND(INDEX('Injectable Value'!$AA$28:$AA$178,MATCH($C289,'Injectable Value'!$A$28:$A$178,0)),1),"")</f>
        <v>28093.4</v>
      </c>
      <c r="U289" s="17" t="s">
        <v>873</v>
      </c>
      <c r="V289" s="16" t="n">
        <v>8</v>
      </c>
      <c r="W289" s="16" t="s">
        <v>859</v>
      </c>
      <c r="X289" s="16" t="s">
        <v>281</v>
      </c>
      <c r="Y289" s="16" t="s">
        <v>333</v>
      </c>
      <c r="Z289" s="17" t="str">
        <f aca="false">IFERROR(INDEX(Scoring!$U:$U,MATCH($C289&amp;"|"&amp;$E289,Scoring!$AD:$AD,0)),"")</f>
        <v>Cancer drug (cytotoxic) – less relevant; Reconstitution</v>
      </c>
      <c r="AA289" s="16" t="str">
        <f aca="false">IFERROR(INDEX(Scoring!$E:$E,MATCH($C289&amp;"|"&amp;$E289,Scoring!$AD:$AD,0)),"")</f>
        <v>Priority 1</v>
      </c>
      <c r="AB289" s="19" t="n">
        <f aca="false">IFERROR(INDEX(Scoring!$M:$M,MATCH($C289&amp;"|"&amp;$E289,Scoring!$AD:$AD,0)),"")</f>
        <v>905</v>
      </c>
      <c r="AC289" s="16" t="str">
        <f aca="false">IFERROR(INDEX('Route of Administration'!$C$5:$C$155,MATCH($C289,'Route of Administration'!$A$5:$A$155,0)),"")</f>
        <v>IV, SC</v>
      </c>
      <c r="AD289" s="15" t="str">
        <f aca="false">IFERROR(INDEX('Route of Administration'!$D$5:$D$155,MATCH($C289,'Route of Administration'!$A$5:$A$155,0)),"")</f>
        <v>Yes</v>
      </c>
      <c r="AE289" s="15" t="str">
        <f aca="false">IF($AD289="No","Not checked – drug is IV only",IFERROR(INDEX('Route of Administration'!$O$5:$O$170,MATCH($E289&amp;"|"&amp;$C289,'Route of Administration'!$S$5:$S$170,0)),"Not checked – price ≤ USD 5"))</f>
        <v>Pass</v>
      </c>
    </row>
    <row r="290" customFormat="false" ht="28.35" hidden="false" customHeight="false" outlineLevel="0" collapsed="false">
      <c r="B290" s="16" t="n">
        <v>288</v>
      </c>
      <c r="C290" s="16" t="s">
        <v>899</v>
      </c>
      <c r="D290" s="16" t="s">
        <v>899</v>
      </c>
      <c r="E290" s="16" t="s">
        <v>870</v>
      </c>
      <c r="F290" s="16" t="s">
        <v>2114</v>
      </c>
      <c r="G290" s="17" t="s">
        <v>2115</v>
      </c>
      <c r="H290" s="16" t="s">
        <v>281</v>
      </c>
      <c r="I290" s="18" t="n">
        <v>9.12</v>
      </c>
      <c r="J290" s="16" t="n">
        <v>1</v>
      </c>
      <c r="K290" s="16" t="n">
        <v>160</v>
      </c>
      <c r="L290" s="19" t="n">
        <v>16781.35</v>
      </c>
      <c r="M290" s="17" t="s">
        <v>900</v>
      </c>
      <c r="N290" s="18" t="n">
        <v>9.12</v>
      </c>
      <c r="O290" s="16" t="s">
        <v>1534</v>
      </c>
      <c r="P290" s="16" t="s">
        <v>1535</v>
      </c>
      <c r="Q290" s="17" t="s">
        <v>1536</v>
      </c>
      <c r="R290" s="78" t="s">
        <v>2116</v>
      </c>
      <c r="S290" s="77" t="n">
        <f aca="false">IFERROR(INDEX('Injectable Value'!$Z$28:$Z$178,MATCH($C290,'Injectable Value'!$A$28:$A$178,0)),"")</f>
        <v>0.727614400337057</v>
      </c>
      <c r="T290" s="19" t="n">
        <f aca="false">IFERROR(ROUND(INDEX('Injectable Value'!$AA$28:$AA$178,MATCH($C290,'Injectable Value'!$A$28:$A$178,0)),1),"")</f>
        <v>12210.4</v>
      </c>
      <c r="U290" s="17" t="s">
        <v>284</v>
      </c>
      <c r="V290" s="16" t="n">
        <v>1</v>
      </c>
      <c r="W290" s="16" t="s">
        <v>284</v>
      </c>
      <c r="X290" s="16" t="s">
        <v>281</v>
      </c>
      <c r="Y290" s="16" t="s">
        <v>1547</v>
      </c>
      <c r="Z290" s="17" t="str">
        <f aca="false">IFERROR(INDEX(Scoring!$U:$U,MATCH($C290&amp;"|"&amp;$E290,Scoring!$AD:$AD,0)),"")</f>
        <v/>
      </c>
      <c r="AA290" s="16" t="str">
        <f aca="false">IFERROR(INDEX(Scoring!$E:$E,MATCH($C290&amp;"|"&amp;$E290,Scoring!$AD:$AD,0)),"")</f>
        <v>Priority 3</v>
      </c>
      <c r="AB290" s="19" t="n">
        <f aca="false">IFERROR(INDEX(Scoring!$M:$M,MATCH($C290&amp;"|"&amp;$E290,Scoring!$AD:$AD,0)),"")</f>
        <v>116</v>
      </c>
      <c r="AC290" s="16" t="str">
        <f aca="false">IFERROR(INDEX('Route of Administration'!$C$5:$C$155,MATCH($C290,'Route of Administration'!$A$5:$A$155,0)),"")</f>
        <v>IV, IM</v>
      </c>
      <c r="AD290" s="15" t="str">
        <f aca="false">IFERROR(INDEX('Route of Administration'!$D$5:$D$155,MATCH($C290,'Route of Administration'!$A$5:$A$155,0)),"")</f>
        <v>Yes</v>
      </c>
      <c r="AE290" s="15" t="str">
        <f aca="false">IF($AD290="No","Not checked – drug is IV only",IFERROR(INDEX('Route of Administration'!$O$5:$O$170,MATCH($E290&amp;"|"&amp;$C290,'Route of Administration'!$S$5:$S$170,0)),"Not checked – price ≤ USD 5"))</f>
        <v>Pass</v>
      </c>
    </row>
    <row r="291" customFormat="false" ht="28.35" hidden="false" customHeight="false" outlineLevel="0" collapsed="false">
      <c r="B291" s="16" t="n">
        <v>289</v>
      </c>
      <c r="C291" s="16" t="s">
        <v>914</v>
      </c>
      <c r="D291" s="16" t="s">
        <v>914</v>
      </c>
      <c r="E291" s="16" t="s">
        <v>870</v>
      </c>
      <c r="F291" s="16" t="s">
        <v>2117</v>
      </c>
      <c r="G291" s="17" t="s">
        <v>2118</v>
      </c>
      <c r="H291" s="16" t="s">
        <v>281</v>
      </c>
      <c r="I291" s="18" t="n">
        <v>6.53</v>
      </c>
      <c r="J291" s="16" t="n">
        <v>1</v>
      </c>
      <c r="K291" s="16" t="n">
        <v>1011</v>
      </c>
      <c r="L291" s="19" t="n">
        <v>19666.38</v>
      </c>
      <c r="M291" s="17" t="s">
        <v>915</v>
      </c>
      <c r="N291" s="18" t="n">
        <v>6.53</v>
      </c>
      <c r="O291" s="16" t="s">
        <v>1534</v>
      </c>
      <c r="P291" s="16" t="s">
        <v>1535</v>
      </c>
      <c r="Q291" s="17" t="s">
        <v>1536</v>
      </c>
      <c r="R291" s="78" t="s">
        <v>2119</v>
      </c>
      <c r="S291" s="77" t="n">
        <f aca="false">IFERROR(INDEX('Injectable Value'!$Z$28:$Z$178,MATCH($C291,'Injectable Value'!$A$28:$A$178,0)),"")</f>
        <v>0.185632969158154</v>
      </c>
      <c r="T291" s="19" t="n">
        <f aca="false">IFERROR(ROUND(INDEX('Injectable Value'!$AA$28:$AA$178,MATCH($C291,'Injectable Value'!$A$28:$A$178,0)),1),"")</f>
        <v>3650.7</v>
      </c>
      <c r="U291" s="17" t="s">
        <v>284</v>
      </c>
      <c r="V291" s="16" t="n">
        <v>1</v>
      </c>
      <c r="W291" s="16" t="s">
        <v>284</v>
      </c>
      <c r="X291" s="16" t="s">
        <v>281</v>
      </c>
      <c r="Y291" s="16" t="s">
        <v>283</v>
      </c>
      <c r="Z291" s="17" t="str">
        <f aca="false">IFERROR(INDEX(Scoring!$U:$U,MATCH($C291&amp;"|"&amp;$E291,Scoring!$AD:$AD,0)),"")</f>
        <v/>
      </c>
      <c r="AA291" s="16" t="str">
        <f aca="false">IFERROR(INDEX(Scoring!$E:$E,MATCH($C291&amp;"|"&amp;$E291,Scoring!$AD:$AD,0)),"")</f>
        <v>Excluded – IV only</v>
      </c>
      <c r="AB291" s="19" t="n">
        <f aca="false">IFERROR(INDEX(Scoring!$M:$M,MATCH($C291&amp;"|"&amp;$E291,Scoring!$AD:$AD,0)),"")</f>
        <v>188</v>
      </c>
      <c r="AC291" s="16" t="str">
        <f aca="false">IFERROR(INDEX('Route of Administration'!$C$5:$C$155,MATCH($C291,'Route of Administration'!$A$5:$A$155,0)),"")</f>
        <v>IV</v>
      </c>
      <c r="AD291" s="15" t="str">
        <f aca="false">IFERROR(INDEX('Route of Administration'!$D$5:$D$155,MATCH($C291,'Route of Administration'!$A$5:$A$155,0)),"")</f>
        <v>No</v>
      </c>
      <c r="AE291" s="15" t="str">
        <f aca="false">IF($AD291="No","Not checked – drug is IV only",IFERROR(INDEX('Route of Administration'!$O$5:$O$170,MATCH($E291&amp;"|"&amp;$C291,'Route of Administration'!$S$5:$S$170,0)),"Not checked – price ≤ USD 5"))</f>
        <v>Not checked – drug is IV only</v>
      </c>
    </row>
    <row r="292" customFormat="false" ht="28.35" hidden="false" customHeight="false" outlineLevel="0" collapsed="false">
      <c r="B292" s="16" t="n">
        <v>290</v>
      </c>
      <c r="C292" s="16" t="s">
        <v>665</v>
      </c>
      <c r="D292" s="16" t="s">
        <v>1504</v>
      </c>
      <c r="E292" s="16" t="s">
        <v>870</v>
      </c>
      <c r="F292" s="16" t="s">
        <v>1942</v>
      </c>
      <c r="G292" s="17" t="s">
        <v>2120</v>
      </c>
      <c r="H292" s="16" t="s">
        <v>281</v>
      </c>
      <c r="I292" s="18" t="n">
        <v>21.78</v>
      </c>
      <c r="J292" s="16" t="n">
        <v>1</v>
      </c>
      <c r="K292" s="16" t="n">
        <v>346</v>
      </c>
      <c r="L292" s="19" t="n">
        <v>32830.17</v>
      </c>
      <c r="M292" s="17" t="s">
        <v>667</v>
      </c>
      <c r="N292" s="18" t="n">
        <v>21.78</v>
      </c>
      <c r="O292" s="16" t="s">
        <v>1534</v>
      </c>
      <c r="P292" s="16" t="s">
        <v>1535</v>
      </c>
      <c r="Q292" s="17" t="s">
        <v>1536</v>
      </c>
      <c r="R292" s="78" t="s">
        <v>1944</v>
      </c>
      <c r="S292" s="77" t="n">
        <f aca="false">IFERROR(INDEX('Injectable Value'!$Z$28:$Z$178,MATCH($C292,'Injectable Value'!$A$28:$A$178,0)),"")</f>
        <v>1</v>
      </c>
      <c r="T292" s="19" t="n">
        <f aca="false">IFERROR(ROUND(INDEX('Injectable Value'!$AA$28:$AA$178,MATCH($C292,'Injectable Value'!$A$28:$A$178,0)),1),"")</f>
        <v>32830.2</v>
      </c>
      <c r="U292" s="17" t="s">
        <v>908</v>
      </c>
      <c r="V292" s="16" t="n">
        <v>7</v>
      </c>
      <c r="W292" s="16" t="s">
        <v>859</v>
      </c>
      <c r="X292" s="16" t="s">
        <v>281</v>
      </c>
      <c r="Y292" s="16" t="s">
        <v>283</v>
      </c>
      <c r="Z292" s="17" t="str">
        <f aca="false">IFERROR(INDEX(Scoring!$U:$U,MATCH($C292&amp;"|"&amp;$E292,Scoring!$AD:$AD,0)),"")</f>
        <v/>
      </c>
      <c r="AA292" s="16" t="str">
        <f aca="false">IFERROR(INDEX(Scoring!$E:$E,MATCH($C292&amp;"|"&amp;$E292,Scoring!$AD:$AD,0)),"")</f>
        <v>Excluded – IV only</v>
      </c>
      <c r="AB292" s="19" t="n">
        <f aca="false">IFERROR(INDEX(Scoring!$M:$M,MATCH($C292&amp;"|"&amp;$E292,Scoring!$AD:$AD,0)),"")</f>
        <v>346</v>
      </c>
      <c r="AC292" s="16" t="str">
        <f aca="false">IFERROR(INDEX('Route of Administration'!$C$5:$C$155,MATCH($C292,'Route of Administration'!$A$5:$A$155,0)),"")</f>
        <v>IV</v>
      </c>
      <c r="AD292" s="15" t="str">
        <f aca="false">IFERROR(INDEX('Route of Administration'!$D$5:$D$155,MATCH($C292,'Route of Administration'!$A$5:$A$155,0)),"")</f>
        <v>No</v>
      </c>
      <c r="AE292" s="15" t="str">
        <f aca="false">IF($AD292="No","Not checked – drug is IV only",IFERROR(INDEX('Route of Administration'!$O$5:$O$170,MATCH($E292&amp;"|"&amp;$C292,'Route of Administration'!$S$5:$S$170,0)),"Not checked – price ≤ USD 5"))</f>
        <v>Not checked – drug is IV only</v>
      </c>
    </row>
    <row r="293" customFormat="false" ht="28.35" hidden="false" customHeight="false" outlineLevel="0" collapsed="false">
      <c r="B293" s="16" t="n">
        <v>291</v>
      </c>
      <c r="C293" s="16" t="s">
        <v>665</v>
      </c>
      <c r="D293" s="16" t="s">
        <v>1504</v>
      </c>
      <c r="E293" s="16" t="s">
        <v>870</v>
      </c>
      <c r="F293" s="16" t="s">
        <v>1945</v>
      </c>
      <c r="G293" s="17" t="s">
        <v>1946</v>
      </c>
      <c r="H293" s="16" t="s">
        <v>281</v>
      </c>
      <c r="I293" s="18" t="n">
        <v>48.28</v>
      </c>
      <c r="J293" s="16" t="n">
        <v>1</v>
      </c>
      <c r="K293" s="16" t="n">
        <v>346</v>
      </c>
      <c r="L293" s="19" t="n">
        <v>32830.17</v>
      </c>
      <c r="M293" s="17" t="s">
        <v>667</v>
      </c>
      <c r="N293" s="18" t="n">
        <v>48.28</v>
      </c>
      <c r="O293" s="16" t="s">
        <v>1534</v>
      </c>
      <c r="P293" s="16" t="s">
        <v>1535</v>
      </c>
      <c r="Q293" s="17" t="s">
        <v>1536</v>
      </c>
      <c r="R293" s="78" t="s">
        <v>1944</v>
      </c>
      <c r="S293" s="77" t="n">
        <f aca="false">IFERROR(INDEX('Injectable Value'!$Z$28:$Z$178,MATCH($C293,'Injectable Value'!$A$28:$A$178,0)),"")</f>
        <v>1</v>
      </c>
      <c r="T293" s="19" t="n">
        <f aca="false">IFERROR(ROUND(INDEX('Injectable Value'!$AA$28:$AA$178,MATCH($C293,'Injectable Value'!$A$28:$A$178,0)),1),"")</f>
        <v>32830.2</v>
      </c>
      <c r="U293" s="17" t="s">
        <v>908</v>
      </c>
      <c r="V293" s="16" t="n">
        <v>7</v>
      </c>
      <c r="W293" s="16" t="s">
        <v>859</v>
      </c>
      <c r="X293" s="16" t="s">
        <v>281</v>
      </c>
      <c r="Y293" s="16" t="s">
        <v>283</v>
      </c>
      <c r="Z293" s="17" t="str">
        <f aca="false">IFERROR(INDEX(Scoring!$U:$U,MATCH($C293&amp;"|"&amp;$E293,Scoring!$AD:$AD,0)),"")</f>
        <v/>
      </c>
      <c r="AA293" s="16" t="str">
        <f aca="false">IFERROR(INDEX(Scoring!$E:$E,MATCH($C293&amp;"|"&amp;$E293,Scoring!$AD:$AD,0)),"")</f>
        <v>Excluded – IV only</v>
      </c>
      <c r="AB293" s="19" t="n">
        <f aca="false">IFERROR(INDEX(Scoring!$M:$M,MATCH($C293&amp;"|"&amp;$E293,Scoring!$AD:$AD,0)),"")</f>
        <v>346</v>
      </c>
      <c r="AC293" s="16" t="str">
        <f aca="false">IFERROR(INDEX('Route of Administration'!$C$5:$C$155,MATCH($C293,'Route of Administration'!$A$5:$A$155,0)),"")</f>
        <v>IV</v>
      </c>
      <c r="AD293" s="15" t="str">
        <f aca="false">IFERROR(INDEX('Route of Administration'!$D$5:$D$155,MATCH($C293,'Route of Administration'!$A$5:$A$155,0)),"")</f>
        <v>No</v>
      </c>
      <c r="AE293" s="15" t="str">
        <f aca="false">IF($AD293="No","Not checked – drug is IV only",IFERROR(INDEX('Route of Administration'!$O$5:$O$170,MATCH($E293&amp;"|"&amp;$C293,'Route of Administration'!$S$5:$S$170,0)),"Not checked – price ≤ USD 5"))</f>
        <v>Not checked – drug is IV only</v>
      </c>
    </row>
    <row r="294" customFormat="false" ht="28.35" hidden="false" customHeight="false" outlineLevel="0" collapsed="false">
      <c r="B294" s="16" t="n">
        <v>292</v>
      </c>
      <c r="C294" s="16" t="s">
        <v>541</v>
      </c>
      <c r="D294" s="16" t="s">
        <v>541</v>
      </c>
      <c r="E294" s="16" t="s">
        <v>870</v>
      </c>
      <c r="F294" s="16" t="s">
        <v>1676</v>
      </c>
      <c r="G294" s="17" t="s">
        <v>2121</v>
      </c>
      <c r="H294" s="16" t="s">
        <v>1533</v>
      </c>
      <c r="I294" s="18" t="n">
        <v>343.8</v>
      </c>
      <c r="J294" s="16" t="n">
        <v>1</v>
      </c>
      <c r="K294" s="16" t="n">
        <v>47</v>
      </c>
      <c r="L294" s="19" t="n">
        <v>7904.67</v>
      </c>
      <c r="M294" s="17" t="s">
        <v>543</v>
      </c>
      <c r="N294" s="18" t="n">
        <v>343.8</v>
      </c>
      <c r="O294" s="16" t="s">
        <v>1534</v>
      </c>
      <c r="P294" s="16" t="s">
        <v>1535</v>
      </c>
      <c r="Q294" s="17" t="s">
        <v>1536</v>
      </c>
      <c r="R294" s="78" t="s">
        <v>1678</v>
      </c>
      <c r="S294" s="77" t="n">
        <f aca="false">IFERROR(INDEX('Injectable Value'!$Z$28:$Z$178,MATCH($C294,'Injectable Value'!$A$28:$A$178,0)),"")</f>
        <v>1</v>
      </c>
      <c r="T294" s="19" t="n">
        <f aca="false">IFERROR(ROUND(INDEX('Injectable Value'!$AA$28:$AA$178,MATCH($C294,'Injectable Value'!$A$28:$A$178,0)),1),"")</f>
        <v>7904.7</v>
      </c>
      <c r="U294" s="17" t="s">
        <v>908</v>
      </c>
      <c r="V294" s="16" t="n">
        <v>7</v>
      </c>
      <c r="W294" s="16" t="s">
        <v>859</v>
      </c>
      <c r="X294" s="16" t="s">
        <v>281</v>
      </c>
      <c r="Y294" s="16" t="s">
        <v>283</v>
      </c>
      <c r="Z294" s="17" t="str">
        <f aca="false">IFERROR(INDEX(Scoring!$U:$U,MATCH($C294&amp;"|"&amp;$E294,Scoring!$AD:$AD,0)),"")</f>
        <v/>
      </c>
      <c r="AA294" s="16" t="str">
        <f aca="false">IFERROR(INDEX(Scoring!$E:$E,MATCH($C294&amp;"|"&amp;$E294,Scoring!$AD:$AD,0)),"")</f>
        <v>Priority 2</v>
      </c>
      <c r="AB294" s="19" t="n">
        <f aca="false">IFERROR(INDEX(Scoring!$M:$M,MATCH($C294&amp;"|"&amp;$E294,Scoring!$AD:$AD,0)),"")</f>
        <v>47</v>
      </c>
      <c r="AC294" s="16" t="str">
        <f aca="false">IFERROR(INDEX('Route of Administration'!$C$5:$C$155,MATCH($C294,'Route of Administration'!$A$5:$A$155,0)),"")</f>
        <v>SC</v>
      </c>
      <c r="AD294" s="15" t="str">
        <f aca="false">IFERROR(INDEX('Route of Administration'!$D$5:$D$155,MATCH($C294,'Route of Administration'!$A$5:$A$155,0)),"")</f>
        <v>Yes</v>
      </c>
      <c r="AE294" s="15" t="str">
        <f aca="false">IF($AD294="No","Not checked – drug is IV only",IFERROR(INDEX('Route of Administration'!$O$5:$O$170,MATCH($E294&amp;"|"&amp;$C294,'Route of Administration'!$S$5:$S$170,0)),"Not checked – price ≤ USD 5"))</f>
        <v>Pass</v>
      </c>
    </row>
    <row r="295" customFormat="false" ht="28.35" hidden="false" customHeight="false" outlineLevel="0" collapsed="false">
      <c r="B295" s="16" t="n">
        <v>293</v>
      </c>
      <c r="C295" s="16" t="s">
        <v>665</v>
      </c>
      <c r="D295" s="16" t="s">
        <v>665</v>
      </c>
      <c r="E295" s="16" t="s">
        <v>870</v>
      </c>
      <c r="F295" s="16" t="s">
        <v>1762</v>
      </c>
      <c r="G295" s="17" t="s">
        <v>1887</v>
      </c>
      <c r="H295" s="16" t="s">
        <v>1533</v>
      </c>
      <c r="I295" s="18" t="n">
        <v>67.02</v>
      </c>
      <c r="J295" s="16" t="n">
        <v>1</v>
      </c>
      <c r="K295" s="16" t="n">
        <v>346</v>
      </c>
      <c r="L295" s="19" t="n">
        <v>32830.17</v>
      </c>
      <c r="M295" s="17" t="s">
        <v>667</v>
      </c>
      <c r="N295" s="18" t="n">
        <v>67.02</v>
      </c>
      <c r="O295" s="16" t="s">
        <v>1534</v>
      </c>
      <c r="P295" s="16" t="s">
        <v>1535</v>
      </c>
      <c r="Q295" s="17" t="s">
        <v>1536</v>
      </c>
      <c r="R295" s="78" t="s">
        <v>2091</v>
      </c>
      <c r="S295" s="77" t="n">
        <f aca="false">IFERROR(INDEX('Injectable Value'!$Z$28:$Z$178,MATCH($C295,'Injectable Value'!$A$28:$A$178,0)),"")</f>
        <v>1</v>
      </c>
      <c r="T295" s="19" t="n">
        <f aca="false">IFERROR(ROUND(INDEX('Injectable Value'!$AA$28:$AA$178,MATCH($C295,'Injectable Value'!$A$28:$A$178,0)),1),"")</f>
        <v>32830.2</v>
      </c>
      <c r="U295" s="17" t="s">
        <v>908</v>
      </c>
      <c r="V295" s="16" t="n">
        <v>7</v>
      </c>
      <c r="W295" s="16" t="s">
        <v>859</v>
      </c>
      <c r="X295" s="16" t="s">
        <v>281</v>
      </c>
      <c r="Y295" s="16" t="s">
        <v>283</v>
      </c>
      <c r="Z295" s="17" t="str">
        <f aca="false">IFERROR(INDEX(Scoring!$U:$U,MATCH($C295&amp;"|"&amp;$E295,Scoring!$AD:$AD,0)),"")</f>
        <v/>
      </c>
      <c r="AA295" s="16" t="str">
        <f aca="false">IFERROR(INDEX(Scoring!$E:$E,MATCH($C295&amp;"|"&amp;$E295,Scoring!$AD:$AD,0)),"")</f>
        <v>Excluded – IV only</v>
      </c>
      <c r="AB295" s="19" t="n">
        <f aca="false">IFERROR(INDEX(Scoring!$M:$M,MATCH($C295&amp;"|"&amp;$E295,Scoring!$AD:$AD,0)),"")</f>
        <v>346</v>
      </c>
      <c r="AC295" s="16" t="str">
        <f aca="false">IFERROR(INDEX('Route of Administration'!$C$5:$C$155,MATCH($C295,'Route of Administration'!$A$5:$A$155,0)),"")</f>
        <v>IV</v>
      </c>
      <c r="AD295" s="15" t="str">
        <f aca="false">IFERROR(INDEX('Route of Administration'!$D$5:$D$155,MATCH($C295,'Route of Administration'!$A$5:$A$155,0)),"")</f>
        <v>No</v>
      </c>
      <c r="AE295" s="15" t="str">
        <f aca="false">IF($AD295="No","Not checked – drug is IV only",IFERROR(INDEX('Route of Administration'!$O$5:$O$170,MATCH($E295&amp;"|"&amp;$C295,'Route of Administration'!$S$5:$S$170,0)),"Not checked – price ≤ USD 5"))</f>
        <v>Not checked – drug is IV only</v>
      </c>
    </row>
    <row r="296" customFormat="false" ht="28.35" hidden="false" customHeight="false" outlineLevel="0" collapsed="false">
      <c r="B296" s="16" t="n">
        <v>294</v>
      </c>
      <c r="C296" s="16" t="s">
        <v>329</v>
      </c>
      <c r="D296" s="16" t="s">
        <v>329</v>
      </c>
      <c r="E296" s="16" t="s">
        <v>870</v>
      </c>
      <c r="F296" s="16" t="s">
        <v>1689</v>
      </c>
      <c r="G296" s="17" t="s">
        <v>1690</v>
      </c>
      <c r="H296" s="16" t="s">
        <v>1533</v>
      </c>
      <c r="I296" s="18" t="n">
        <v>360.71</v>
      </c>
      <c r="J296" s="16" t="n">
        <v>1</v>
      </c>
      <c r="K296" s="16" t="n">
        <v>762</v>
      </c>
      <c r="L296" s="19" t="n">
        <v>50865.56</v>
      </c>
      <c r="M296" s="17" t="s">
        <v>331</v>
      </c>
      <c r="N296" s="18" t="n">
        <v>360.71</v>
      </c>
      <c r="O296" s="16" t="s">
        <v>1534</v>
      </c>
      <c r="P296" s="16" t="s">
        <v>1535</v>
      </c>
      <c r="Q296" s="17" t="s">
        <v>1536</v>
      </c>
      <c r="R296" s="78" t="s">
        <v>1691</v>
      </c>
      <c r="S296" s="77" t="n">
        <f aca="false">IFERROR(INDEX('Injectable Value'!$Z$28:$Z$178,MATCH($C296,'Injectable Value'!$A$28:$A$178,0)),"")</f>
        <v>0.829278792417718</v>
      </c>
      <c r="T296" s="19" t="n">
        <f aca="false">IFERROR(ROUND(INDEX('Injectable Value'!$AA$28:$AA$178,MATCH($C296,'Injectable Value'!$A$28:$A$178,0)),1),"")</f>
        <v>42181.7</v>
      </c>
      <c r="U296" s="17" t="s">
        <v>772</v>
      </c>
      <c r="V296" s="16" t="n">
        <v>2</v>
      </c>
      <c r="W296" s="16" t="s">
        <v>772</v>
      </c>
      <c r="X296" s="16" t="s">
        <v>281</v>
      </c>
      <c r="Y296" s="16" t="s">
        <v>333</v>
      </c>
      <c r="Z296" s="17" t="str">
        <f aca="false">IFERROR(INDEX(Scoring!$U:$U,MATCH($C296&amp;"|"&amp;$E296,Scoring!$AD:$AD,0)),"")</f>
        <v>Cancer drug (cytotoxic) – less relevant; Reconstitution</v>
      </c>
      <c r="AA296" s="16" t="str">
        <f aca="false">IFERROR(INDEX(Scoring!$E:$E,MATCH($C296&amp;"|"&amp;$E296,Scoring!$AD:$AD,0)),"")</f>
        <v>Priority 1</v>
      </c>
      <c r="AB296" s="19" t="n">
        <f aca="false">IFERROR(INDEX(Scoring!$M:$M,MATCH($C296&amp;"|"&amp;$E296,Scoring!$AD:$AD,0)),"")</f>
        <v>632</v>
      </c>
      <c r="AC296" s="16" t="str">
        <f aca="false">IFERROR(INDEX('Route of Administration'!$C$5:$C$155,MATCH($C296,'Route of Administration'!$A$5:$A$155,0)),"")</f>
        <v>IV, SC</v>
      </c>
      <c r="AD296" s="15" t="str">
        <f aca="false">IFERROR(INDEX('Route of Administration'!$D$5:$D$155,MATCH($C296,'Route of Administration'!$A$5:$A$155,0)),"")</f>
        <v>Yes</v>
      </c>
      <c r="AE296" s="15" t="str">
        <f aca="false">IF($AD296="No","Not checked – drug is IV only",IFERROR(INDEX('Route of Administration'!$O$5:$O$170,MATCH($E296&amp;"|"&amp;$C296,'Route of Administration'!$S$5:$S$170,0)),"Not checked – price ≤ USD 5"))</f>
        <v>Pass</v>
      </c>
    </row>
    <row r="297" customFormat="false" ht="28.35" hidden="false" customHeight="false" outlineLevel="0" collapsed="false">
      <c r="B297" s="16" t="n">
        <v>295</v>
      </c>
      <c r="C297" s="16" t="s">
        <v>388</v>
      </c>
      <c r="D297" s="16" t="s">
        <v>388</v>
      </c>
      <c r="E297" s="16" t="s">
        <v>870</v>
      </c>
      <c r="F297" s="16" t="s">
        <v>1837</v>
      </c>
      <c r="G297" s="17" t="s">
        <v>1717</v>
      </c>
      <c r="H297" s="16" t="s">
        <v>1533</v>
      </c>
      <c r="I297" s="18" t="n">
        <v>73.77</v>
      </c>
      <c r="J297" s="16" t="n">
        <v>1</v>
      </c>
      <c r="K297" s="16" t="n">
        <v>312</v>
      </c>
      <c r="L297" s="19" t="n">
        <v>59827.18</v>
      </c>
      <c r="M297" s="17" t="s">
        <v>390</v>
      </c>
      <c r="N297" s="18" t="n">
        <v>73.77</v>
      </c>
      <c r="O297" s="16" t="s">
        <v>1534</v>
      </c>
      <c r="P297" s="16" t="s">
        <v>1535</v>
      </c>
      <c r="Q297" s="17" t="s">
        <v>1536</v>
      </c>
      <c r="R297" s="78" t="s">
        <v>2122</v>
      </c>
      <c r="S297" s="77" t="n">
        <f aca="false">IFERROR(INDEX('Injectable Value'!$Z$28:$Z$178,MATCH($C297,'Injectable Value'!$A$28:$A$178,0)),"")</f>
        <v>1</v>
      </c>
      <c r="T297" s="19" t="n">
        <f aca="false">IFERROR(ROUND(INDEX('Injectable Value'!$AA$28:$AA$178,MATCH($C297,'Injectable Value'!$A$28:$A$178,0)),1),"")</f>
        <v>59827.2</v>
      </c>
      <c r="U297" s="17" t="s">
        <v>887</v>
      </c>
      <c r="V297" s="16" t="n">
        <v>5</v>
      </c>
      <c r="W297" s="16" t="s">
        <v>886</v>
      </c>
      <c r="X297" s="16" t="s">
        <v>281</v>
      </c>
      <c r="Y297" s="16" t="s">
        <v>333</v>
      </c>
      <c r="Z297" s="17" t="str">
        <f aca="false">IFERROR(INDEX(Scoring!$U:$U,MATCH($C297&amp;"|"&amp;$E297,Scoring!$AD:$AD,0)),"")</f>
        <v>Reconstitution</v>
      </c>
      <c r="AA297" s="16" t="str">
        <f aca="false">IFERROR(INDEX(Scoring!$E:$E,MATCH($C297&amp;"|"&amp;$E297,Scoring!$AD:$AD,0)),"")</f>
        <v>Excluded – IV only</v>
      </c>
      <c r="AB297" s="19" t="n">
        <f aca="false">IFERROR(INDEX(Scoring!$M:$M,MATCH($C297&amp;"|"&amp;$E297,Scoring!$AD:$AD,0)),"")</f>
        <v>312</v>
      </c>
      <c r="AC297" s="16" t="str">
        <f aca="false">IFERROR(INDEX('Route of Administration'!$C$5:$C$155,MATCH($C297,'Route of Administration'!$A$5:$A$155,0)),"")</f>
        <v>IV</v>
      </c>
      <c r="AD297" s="15" t="str">
        <f aca="false">IFERROR(INDEX('Route of Administration'!$D$5:$D$155,MATCH($C297,'Route of Administration'!$A$5:$A$155,0)),"")</f>
        <v>No</v>
      </c>
      <c r="AE297" s="15" t="str">
        <f aca="false">IF($AD297="No","Not checked – drug is IV only",IFERROR(INDEX('Route of Administration'!$O$5:$O$170,MATCH($E297&amp;"|"&amp;$C297,'Route of Administration'!$S$5:$S$170,0)),"Not checked – price ≤ USD 5"))</f>
        <v>Not checked – drug is IV only</v>
      </c>
    </row>
    <row r="298" customFormat="false" ht="28.35" hidden="false" customHeight="false" outlineLevel="0" collapsed="false">
      <c r="B298" s="16" t="n">
        <v>296</v>
      </c>
      <c r="C298" s="16" t="s">
        <v>541</v>
      </c>
      <c r="D298" s="16" t="s">
        <v>541</v>
      </c>
      <c r="E298" s="16" t="s">
        <v>870</v>
      </c>
      <c r="F298" s="16" t="s">
        <v>1686</v>
      </c>
      <c r="G298" s="17" t="s">
        <v>1687</v>
      </c>
      <c r="H298" s="16" t="s">
        <v>1533</v>
      </c>
      <c r="I298" s="18" t="n">
        <v>6345.6</v>
      </c>
      <c r="J298" s="16" t="n">
        <v>1</v>
      </c>
      <c r="K298" s="16" t="n">
        <v>47</v>
      </c>
      <c r="L298" s="19" t="n">
        <v>7904.67</v>
      </c>
      <c r="M298" s="17" t="s">
        <v>543</v>
      </c>
      <c r="N298" s="18" t="n">
        <v>6345.6</v>
      </c>
      <c r="O298" s="16" t="s">
        <v>1534</v>
      </c>
      <c r="P298" s="16" t="s">
        <v>1535</v>
      </c>
      <c r="Q298" s="17" t="s">
        <v>1536</v>
      </c>
      <c r="R298" s="78" t="s">
        <v>1688</v>
      </c>
      <c r="S298" s="77" t="n">
        <f aca="false">IFERROR(INDEX('Injectable Value'!$Z$28:$Z$178,MATCH($C298,'Injectable Value'!$A$28:$A$178,0)),"")</f>
        <v>1</v>
      </c>
      <c r="T298" s="19" t="n">
        <f aca="false">IFERROR(ROUND(INDEX('Injectable Value'!$AA$28:$AA$178,MATCH($C298,'Injectable Value'!$A$28:$A$178,0)),1),"")</f>
        <v>7904.7</v>
      </c>
      <c r="U298" s="17" t="s">
        <v>908</v>
      </c>
      <c r="V298" s="16" t="n">
        <v>7</v>
      </c>
      <c r="W298" s="16" t="s">
        <v>859</v>
      </c>
      <c r="X298" s="16" t="s">
        <v>281</v>
      </c>
      <c r="Y298" s="16" t="s">
        <v>283</v>
      </c>
      <c r="Z298" s="17" t="str">
        <f aca="false">IFERROR(INDEX(Scoring!$U:$U,MATCH($C298&amp;"|"&amp;$E298,Scoring!$AD:$AD,0)),"")</f>
        <v/>
      </c>
      <c r="AA298" s="16" t="str">
        <f aca="false">IFERROR(INDEX(Scoring!$E:$E,MATCH($C298&amp;"|"&amp;$E298,Scoring!$AD:$AD,0)),"")</f>
        <v>Priority 2</v>
      </c>
      <c r="AB298" s="19" t="n">
        <f aca="false">IFERROR(INDEX(Scoring!$M:$M,MATCH($C298&amp;"|"&amp;$E298,Scoring!$AD:$AD,0)),"")</f>
        <v>47</v>
      </c>
      <c r="AC298" s="16" t="str">
        <f aca="false">IFERROR(INDEX('Route of Administration'!$C$5:$C$155,MATCH($C298,'Route of Administration'!$A$5:$A$155,0)),"")</f>
        <v>SC</v>
      </c>
      <c r="AD298" s="15" t="str">
        <f aca="false">IFERROR(INDEX('Route of Administration'!$D$5:$D$155,MATCH($C298,'Route of Administration'!$A$5:$A$155,0)),"")</f>
        <v>Yes</v>
      </c>
      <c r="AE298" s="15" t="str">
        <f aca="false">IF($AD298="No","Not checked – drug is IV only",IFERROR(INDEX('Route of Administration'!$O$5:$O$170,MATCH($E298&amp;"|"&amp;$C298,'Route of Administration'!$S$5:$S$170,0)),"Not checked – price ≤ USD 5"))</f>
        <v>Pass</v>
      </c>
    </row>
    <row r="299" customFormat="false" ht="15" hidden="false" customHeight="false" outlineLevel="0" collapsed="false">
      <c r="B299" s="16" t="n">
        <v>297</v>
      </c>
      <c r="C299" s="16" t="s">
        <v>874</v>
      </c>
      <c r="D299" s="16" t="s">
        <v>874</v>
      </c>
      <c r="E299" s="16" t="s">
        <v>870</v>
      </c>
      <c r="F299" s="16" t="s">
        <v>2071</v>
      </c>
      <c r="G299" s="17" t="s">
        <v>2123</v>
      </c>
      <c r="H299" s="16" t="s">
        <v>1533</v>
      </c>
      <c r="I299" s="18" t="n">
        <v>29.45</v>
      </c>
      <c r="J299" s="16" t="n">
        <v>1</v>
      </c>
      <c r="K299" s="16" t="n">
        <v>45</v>
      </c>
      <c r="L299" s="19" t="n">
        <v>263.65</v>
      </c>
      <c r="M299" s="17" t="s">
        <v>876</v>
      </c>
      <c r="N299" s="18" t="n">
        <v>29.45</v>
      </c>
      <c r="O299" s="16" t="s">
        <v>1534</v>
      </c>
      <c r="P299" s="16" t="s">
        <v>1535</v>
      </c>
      <c r="Q299" s="17" t="s">
        <v>1536</v>
      </c>
      <c r="R299" s="78" t="s">
        <v>2124</v>
      </c>
      <c r="S299" s="77" t="n">
        <f aca="false">IFERROR(INDEX('Injectable Value'!$Z$28:$Z$178,MATCH($C299,'Injectable Value'!$A$28:$A$178,0)),"")</f>
        <v>0.0828659263441872</v>
      </c>
      <c r="T299" s="19" t="n">
        <f aca="false">IFERROR(ROUND(INDEX('Injectable Value'!$AA$28:$AA$178,MATCH($C299,'Injectable Value'!$A$28:$A$178,0)),1),"")</f>
        <v>21.8</v>
      </c>
      <c r="U299" s="17" t="s">
        <v>878</v>
      </c>
      <c r="V299" s="16" t="n">
        <v>5</v>
      </c>
      <c r="W299" s="16" t="s">
        <v>865</v>
      </c>
      <c r="X299" s="16" t="s">
        <v>281</v>
      </c>
      <c r="Y299" s="16" t="s">
        <v>283</v>
      </c>
      <c r="Z299" s="17" t="str">
        <f aca="false">IFERROR(INDEX(Scoring!$U:$U,MATCH($C299&amp;"|"&amp;$E299,Scoring!$AD:$AD,0)),"")</f>
        <v/>
      </c>
      <c r="AA299" s="16" t="str">
        <f aca="false">IFERROR(INDEX(Scoring!$E:$E,MATCH($C299&amp;"|"&amp;$E299,Scoring!$AD:$AD,0)),"")</f>
        <v>Excluded – IV only</v>
      </c>
      <c r="AB299" s="19" t="n">
        <f aca="false">IFERROR(INDEX(Scoring!$M:$M,MATCH($C299&amp;"|"&amp;$E299,Scoring!$AD:$AD,0)),"")</f>
        <v>4</v>
      </c>
      <c r="AC299" s="16" t="str">
        <f aca="false">IFERROR(INDEX('Route of Administration'!$C$5:$C$155,MATCH($C299,'Route of Administration'!$A$5:$A$155,0)),"")</f>
        <v>IV</v>
      </c>
      <c r="AD299" s="15" t="str">
        <f aca="false">IFERROR(INDEX('Route of Administration'!$D$5:$D$155,MATCH($C299,'Route of Administration'!$A$5:$A$155,0)),"")</f>
        <v>No</v>
      </c>
      <c r="AE299" s="15" t="str">
        <f aca="false">IF($AD299="No","Not checked – drug is IV only",IFERROR(INDEX('Route of Administration'!$O$5:$O$170,MATCH($E299&amp;"|"&amp;$C299,'Route of Administration'!$S$5:$S$170,0)),"Not checked – price ≤ USD 5"))</f>
        <v>Not checked – drug is IV only</v>
      </c>
    </row>
    <row r="300" customFormat="false" ht="28.35" hidden="false" customHeight="false" outlineLevel="0" collapsed="false">
      <c r="B300" s="16" t="n">
        <v>298</v>
      </c>
      <c r="C300" s="16" t="s">
        <v>338</v>
      </c>
      <c r="D300" s="16" t="s">
        <v>338</v>
      </c>
      <c r="E300" s="16" t="s">
        <v>870</v>
      </c>
      <c r="F300" s="16" t="s">
        <v>2125</v>
      </c>
      <c r="G300" s="17" t="s">
        <v>2126</v>
      </c>
      <c r="H300" s="16" t="s">
        <v>1533</v>
      </c>
      <c r="I300" s="18" t="n">
        <v>187.18</v>
      </c>
      <c r="J300" s="16" t="n">
        <v>1</v>
      </c>
      <c r="K300" s="16" t="n">
        <v>905</v>
      </c>
      <c r="L300" s="19" t="n">
        <v>28093.38</v>
      </c>
      <c r="M300" s="17" t="s">
        <v>340</v>
      </c>
      <c r="N300" s="18" t="n">
        <v>187.18</v>
      </c>
      <c r="O300" s="16" t="s">
        <v>1534</v>
      </c>
      <c r="P300" s="16" t="s">
        <v>1535</v>
      </c>
      <c r="Q300" s="17" t="s">
        <v>1536</v>
      </c>
      <c r="R300" s="78" t="s">
        <v>2127</v>
      </c>
      <c r="S300" s="77" t="n">
        <f aca="false">IFERROR(INDEX('Injectable Value'!$Z$28:$Z$178,MATCH($C300,'Injectable Value'!$A$28:$A$178,0)),"")</f>
        <v>1</v>
      </c>
      <c r="T300" s="19" t="n">
        <f aca="false">IFERROR(ROUND(INDEX('Injectable Value'!$AA$28:$AA$178,MATCH($C300,'Injectable Value'!$A$28:$A$178,0)),1),"")</f>
        <v>28093.4</v>
      </c>
      <c r="U300" s="17" t="s">
        <v>873</v>
      </c>
      <c r="V300" s="16" t="n">
        <v>8</v>
      </c>
      <c r="W300" s="16" t="s">
        <v>859</v>
      </c>
      <c r="X300" s="16" t="s">
        <v>281</v>
      </c>
      <c r="Y300" s="16" t="s">
        <v>283</v>
      </c>
      <c r="Z300" s="17" t="str">
        <f aca="false">IFERROR(INDEX(Scoring!$U:$U,MATCH($C300&amp;"|"&amp;$E300,Scoring!$AD:$AD,0)),"")</f>
        <v>Cancer drug (cytotoxic) – less relevant; Reconstitution</v>
      </c>
      <c r="AA300" s="16" t="str">
        <f aca="false">IFERROR(INDEX(Scoring!$E:$E,MATCH($C300&amp;"|"&amp;$E300,Scoring!$AD:$AD,0)),"")</f>
        <v>Priority 1</v>
      </c>
      <c r="AB300" s="19" t="n">
        <f aca="false">IFERROR(INDEX(Scoring!$M:$M,MATCH($C300&amp;"|"&amp;$E300,Scoring!$AD:$AD,0)),"")</f>
        <v>905</v>
      </c>
      <c r="AC300" s="16" t="str">
        <f aca="false">IFERROR(INDEX('Route of Administration'!$C$5:$C$155,MATCH($C300,'Route of Administration'!$A$5:$A$155,0)),"")</f>
        <v>IV, SC</v>
      </c>
      <c r="AD300" s="15" t="str">
        <f aca="false">IFERROR(INDEX('Route of Administration'!$D$5:$D$155,MATCH($C300,'Route of Administration'!$A$5:$A$155,0)),"")</f>
        <v>Yes</v>
      </c>
      <c r="AE300" s="15" t="str">
        <f aca="false">IF($AD300="No","Not checked – drug is IV only",IFERROR(INDEX('Route of Administration'!$O$5:$O$170,MATCH($E300&amp;"|"&amp;$C300,'Route of Administration'!$S$5:$S$170,0)),"Not checked – price ≤ USD 5"))</f>
        <v>Pass</v>
      </c>
    </row>
    <row r="301" customFormat="false" ht="28.35" hidden="false" customHeight="false" outlineLevel="0" collapsed="false">
      <c r="B301" s="16" t="n">
        <v>299</v>
      </c>
      <c r="C301" s="16" t="s">
        <v>671</v>
      </c>
      <c r="D301" s="16" t="s">
        <v>671</v>
      </c>
      <c r="E301" s="16" t="s">
        <v>870</v>
      </c>
      <c r="F301" s="16" t="s">
        <v>2128</v>
      </c>
      <c r="G301" s="17" t="s">
        <v>2129</v>
      </c>
      <c r="H301" s="16" t="s">
        <v>1533</v>
      </c>
      <c r="I301" s="18" t="n">
        <v>10.85</v>
      </c>
      <c r="J301" s="16" t="n">
        <v>1</v>
      </c>
      <c r="K301" s="16" t="n">
        <v>106</v>
      </c>
      <c r="L301" s="19" t="n">
        <v>7074.72</v>
      </c>
      <c r="M301" s="17" t="s">
        <v>673</v>
      </c>
      <c r="N301" s="18" t="n">
        <v>10.85</v>
      </c>
      <c r="O301" s="16" t="s">
        <v>1534</v>
      </c>
      <c r="P301" s="16" t="s">
        <v>1535</v>
      </c>
      <c r="Q301" s="17" t="s">
        <v>1536</v>
      </c>
      <c r="R301" s="78" t="s">
        <v>1685</v>
      </c>
      <c r="S301" s="77" t="n">
        <f aca="false">IFERROR(INDEX('Injectable Value'!$Z$28:$Z$178,MATCH($C301,'Injectable Value'!$A$28:$A$178,0)),"")</f>
        <v>0.9375</v>
      </c>
      <c r="T301" s="19" t="n">
        <f aca="false">IFERROR(ROUND(INDEX('Injectable Value'!$AA$28:$AA$178,MATCH($C301,'Injectable Value'!$A$28:$A$178,0)),1),"")</f>
        <v>6632.6</v>
      </c>
      <c r="U301" s="17" t="s">
        <v>772</v>
      </c>
      <c r="V301" s="16" t="n">
        <v>2</v>
      </c>
      <c r="W301" s="16" t="s">
        <v>772</v>
      </c>
      <c r="X301" s="16" t="s">
        <v>281</v>
      </c>
      <c r="Y301" s="16" t="s">
        <v>333</v>
      </c>
      <c r="Z301" s="17" t="str">
        <f aca="false">IFERROR(INDEX(Scoring!$U:$U,MATCH($C301&amp;"|"&amp;$E301,Scoring!$AD:$AD,0)),"")</f>
        <v>Reconstitution</v>
      </c>
      <c r="AA301" s="16" t="str">
        <f aca="false">IFERROR(INDEX(Scoring!$E:$E,MATCH($C301&amp;"|"&amp;$E301,Scoring!$AD:$AD,0)),"")</f>
        <v>Priority 2</v>
      </c>
      <c r="AB301" s="19" t="n">
        <f aca="false">IFERROR(INDEX(Scoring!$M:$M,MATCH($C301&amp;"|"&amp;$E301,Scoring!$AD:$AD,0)),"")</f>
        <v>99</v>
      </c>
      <c r="AC301" s="16" t="str">
        <f aca="false">IFERROR(INDEX('Route of Administration'!$C$5:$C$155,MATCH($C301,'Route of Administration'!$A$5:$A$155,0)),"")</f>
        <v>IV, IM</v>
      </c>
      <c r="AD301" s="15" t="str">
        <f aca="false">IFERROR(INDEX('Route of Administration'!$D$5:$D$155,MATCH($C301,'Route of Administration'!$A$5:$A$155,0)),"")</f>
        <v>Yes</v>
      </c>
      <c r="AE301" s="15" t="str">
        <f aca="false">IF($AD301="No","Not checked – drug is IV only",IFERROR(INDEX('Route of Administration'!$O$5:$O$170,MATCH($E301&amp;"|"&amp;$C301,'Route of Administration'!$S$5:$S$170,0)),"Not checked – price ≤ USD 5"))</f>
        <v>Pass</v>
      </c>
    </row>
    <row r="302" customFormat="false" ht="28.35" hidden="false" customHeight="false" outlineLevel="0" collapsed="false">
      <c r="B302" s="16" t="n">
        <v>300</v>
      </c>
      <c r="C302" s="16" t="s">
        <v>534</v>
      </c>
      <c r="D302" s="16" t="s">
        <v>534</v>
      </c>
      <c r="E302" s="16" t="s">
        <v>870</v>
      </c>
      <c r="F302" s="16" t="s">
        <v>1692</v>
      </c>
      <c r="G302" s="17" t="s">
        <v>1693</v>
      </c>
      <c r="H302" s="16" t="s">
        <v>1533</v>
      </c>
      <c r="I302" s="18" t="n">
        <v>6.61</v>
      </c>
      <c r="J302" s="16" t="n">
        <v>1</v>
      </c>
      <c r="K302" s="16" t="n">
        <v>3515</v>
      </c>
      <c r="L302" s="19" t="n">
        <v>140084.73</v>
      </c>
      <c r="M302" s="17" t="s">
        <v>535</v>
      </c>
      <c r="N302" s="18" t="n">
        <v>6.61</v>
      </c>
      <c r="O302" s="16" t="s">
        <v>1534</v>
      </c>
      <c r="P302" s="16" t="s">
        <v>1535</v>
      </c>
      <c r="Q302" s="17" t="s">
        <v>1536</v>
      </c>
      <c r="R302" s="78" t="s">
        <v>1694</v>
      </c>
      <c r="S302" s="77" t="n">
        <f aca="false">IFERROR(INDEX('Injectable Value'!$Z$28:$Z$178,MATCH($C302,'Injectable Value'!$A$28:$A$178,0)),"")</f>
        <v>0.251824206147514</v>
      </c>
      <c r="T302" s="19" t="n">
        <f aca="false">IFERROR(ROUND(INDEX('Injectable Value'!$AA$28:$AA$178,MATCH($C302,'Injectable Value'!$A$28:$A$178,0)),1),"")</f>
        <v>35276.7</v>
      </c>
      <c r="U302" s="17" t="s">
        <v>887</v>
      </c>
      <c r="V302" s="16" t="n">
        <v>5</v>
      </c>
      <c r="W302" s="16" t="s">
        <v>886</v>
      </c>
      <c r="X302" s="16" t="s">
        <v>281</v>
      </c>
      <c r="Y302" s="16" t="s">
        <v>310</v>
      </c>
      <c r="Z302" s="17" t="str">
        <f aca="false">IFERROR(INDEX(Scoring!$U:$U,MATCH($C302&amp;"|"&amp;$E302,Scoring!$AD:$AD,0)),"")</f>
        <v>Reconstitution</v>
      </c>
      <c r="AA302" s="16" t="str">
        <f aca="false">IFERROR(INDEX(Scoring!$E:$E,MATCH($C302&amp;"|"&amp;$E302,Scoring!$AD:$AD,0)),"")</f>
        <v>Excluded – IV only</v>
      </c>
      <c r="AB302" s="19" t="n">
        <f aca="false">IFERROR(INDEX(Scoring!$M:$M,MATCH($C302&amp;"|"&amp;$E302,Scoring!$AD:$AD,0)),"")</f>
        <v>885</v>
      </c>
      <c r="AC302" s="16" t="str">
        <f aca="false">IFERROR(INDEX('Route of Administration'!$C$5:$C$155,MATCH($C302,'Route of Administration'!$A$5:$A$155,0)),"")</f>
        <v>IV</v>
      </c>
      <c r="AD302" s="15" t="str">
        <f aca="false">IFERROR(INDEX('Route of Administration'!$D$5:$D$155,MATCH($C302,'Route of Administration'!$A$5:$A$155,0)),"")</f>
        <v>No</v>
      </c>
      <c r="AE302" s="15" t="str">
        <f aca="false">IF($AD302="No","Not checked – drug is IV only",IFERROR(INDEX('Route of Administration'!$O$5:$O$170,MATCH($E302&amp;"|"&amp;$C302,'Route of Administration'!$S$5:$S$170,0)),"Not checked – price ≤ USD 5"))</f>
        <v>Not checked – drug is IV only</v>
      </c>
    </row>
    <row r="303" customFormat="false" ht="28.35" hidden="false" customHeight="false" outlineLevel="0" collapsed="false">
      <c r="B303" s="16" t="n">
        <v>301</v>
      </c>
      <c r="C303" s="16" t="s">
        <v>476</v>
      </c>
      <c r="D303" s="16" t="s">
        <v>476</v>
      </c>
      <c r="E303" s="16" t="s">
        <v>870</v>
      </c>
      <c r="F303" s="16" t="s">
        <v>2025</v>
      </c>
      <c r="G303" s="17" t="s">
        <v>2026</v>
      </c>
      <c r="H303" s="16" t="s">
        <v>1533</v>
      </c>
      <c r="I303" s="18" t="n">
        <v>35.22</v>
      </c>
      <c r="J303" s="16" t="n">
        <v>1</v>
      </c>
      <c r="K303" s="16" t="n">
        <v>257</v>
      </c>
      <c r="L303" s="19" t="n">
        <v>4183.29</v>
      </c>
      <c r="M303" s="17" t="s">
        <v>478</v>
      </c>
      <c r="N303" s="18" t="n">
        <v>35.22</v>
      </c>
      <c r="O303" s="16" t="s">
        <v>1534</v>
      </c>
      <c r="P303" s="16" t="s">
        <v>1535</v>
      </c>
      <c r="Q303" s="17" t="s">
        <v>1536</v>
      </c>
      <c r="R303" s="78" t="s">
        <v>2130</v>
      </c>
      <c r="S303" s="77" t="n">
        <f aca="false">IFERROR(INDEX('Injectable Value'!$Z$28:$Z$178,MATCH($C303,'Injectable Value'!$A$28:$A$178,0)),"")</f>
        <v>0.689888576486515</v>
      </c>
      <c r="T303" s="19" t="n">
        <f aca="false">IFERROR(ROUND(INDEX('Injectable Value'!$AA$28:$AA$178,MATCH($C303,'Injectable Value'!$A$28:$A$178,0)),1),"")</f>
        <v>2886</v>
      </c>
      <c r="U303" s="17" t="s">
        <v>887</v>
      </c>
      <c r="V303" s="16" t="n">
        <v>5</v>
      </c>
      <c r="W303" s="16" t="s">
        <v>886</v>
      </c>
      <c r="X303" s="16" t="s">
        <v>281</v>
      </c>
      <c r="Y303" s="16" t="s">
        <v>283</v>
      </c>
      <c r="Z303" s="17" t="str">
        <f aca="false">IFERROR(INDEX(Scoring!$U:$U,MATCH($C303&amp;"|"&amp;$E303,Scoring!$AD:$AD,0)),"")</f>
        <v>Cancer drug (cytotoxic) – less relevant; Reconstitution</v>
      </c>
      <c r="AA303" s="16" t="str">
        <f aca="false">IFERROR(INDEX(Scoring!$E:$E,MATCH($C303&amp;"|"&amp;$E303,Scoring!$AD:$AD,0)),"")</f>
        <v>Excluded – IV only</v>
      </c>
      <c r="AB303" s="19" t="n">
        <f aca="false">IFERROR(INDEX(Scoring!$M:$M,MATCH($C303&amp;"|"&amp;$E303,Scoring!$AD:$AD,0)),"")</f>
        <v>177</v>
      </c>
      <c r="AC303" s="16" t="str">
        <f aca="false">IFERROR(INDEX('Route of Administration'!$C$5:$C$155,MATCH($C303,'Route of Administration'!$A$5:$A$155,0)),"")</f>
        <v>IV</v>
      </c>
      <c r="AD303" s="15" t="str">
        <f aca="false">IFERROR(INDEX('Route of Administration'!$D$5:$D$155,MATCH($C303,'Route of Administration'!$A$5:$A$155,0)),"")</f>
        <v>No</v>
      </c>
      <c r="AE303" s="15" t="str">
        <f aca="false">IF($AD303="No","Not checked – drug is IV only",IFERROR(INDEX('Route of Administration'!$O$5:$O$170,MATCH($E303&amp;"|"&amp;$C303,'Route of Administration'!$S$5:$S$170,0)),"Not checked – price ≤ USD 5"))</f>
        <v>Not checked – drug is IV only</v>
      </c>
    </row>
    <row r="304" customFormat="false" ht="28.35" hidden="false" customHeight="false" outlineLevel="0" collapsed="false">
      <c r="B304" s="16" t="n">
        <v>302</v>
      </c>
      <c r="C304" s="16" t="s">
        <v>329</v>
      </c>
      <c r="D304" s="16" t="s">
        <v>2131</v>
      </c>
      <c r="E304" s="16" t="s">
        <v>870</v>
      </c>
      <c r="F304" s="16"/>
      <c r="G304" s="17"/>
      <c r="H304" s="16"/>
      <c r="I304" s="18"/>
      <c r="J304" s="16" t="n">
        <v>30</v>
      </c>
      <c r="K304" s="16" t="n">
        <v>762</v>
      </c>
      <c r="L304" s="19" t="n">
        <v>50865.56</v>
      </c>
      <c r="M304" s="17" t="s">
        <v>331</v>
      </c>
      <c r="N304" s="18"/>
      <c r="O304" s="16" t="s">
        <v>1573</v>
      </c>
      <c r="P304" s="16" t="s">
        <v>112</v>
      </c>
      <c r="Q304" s="17" t="s">
        <v>112</v>
      </c>
      <c r="R304" s="16"/>
      <c r="S304" s="77" t="n">
        <f aca="false">IFERROR(INDEX('Injectable Value'!$Z$28:$Z$178,MATCH($C304,'Injectable Value'!$A$28:$A$178,0)),"")</f>
        <v>0.829278792417718</v>
      </c>
      <c r="T304" s="19" t="n">
        <f aca="false">IFERROR(ROUND(INDEX('Injectable Value'!$AA$28:$AA$178,MATCH($C304,'Injectable Value'!$A$28:$A$178,0)),1),"")</f>
        <v>42181.7</v>
      </c>
      <c r="U304" s="17" t="s">
        <v>772</v>
      </c>
      <c r="V304" s="16" t="n">
        <v>2</v>
      </c>
      <c r="W304" s="16" t="s">
        <v>772</v>
      </c>
      <c r="X304" s="16" t="s">
        <v>310</v>
      </c>
      <c r="Y304" s="16" t="s">
        <v>310</v>
      </c>
      <c r="Z304" s="17" t="str">
        <f aca="false">IFERROR(INDEX(Scoring!$U:$U,MATCH($C304&amp;"|"&amp;$E304,Scoring!$AD:$AD,0)),"")</f>
        <v>Cancer drug (cytotoxic) – less relevant; Reconstitution</v>
      </c>
      <c r="AA304" s="16" t="str">
        <f aca="false">IFERROR(INDEX(Scoring!$E:$E,MATCH($C304&amp;"|"&amp;$E304,Scoring!$AD:$AD,0)),"")</f>
        <v>Priority 1</v>
      </c>
      <c r="AB304" s="19" t="n">
        <f aca="false">IFERROR(INDEX(Scoring!$M:$M,MATCH($C304&amp;"|"&amp;$E304,Scoring!$AD:$AD,0)),"")</f>
        <v>632</v>
      </c>
      <c r="AC304" s="16" t="str">
        <f aca="false">IFERROR(INDEX('Route of Administration'!$C$5:$C$155,MATCH($C304,'Route of Administration'!$A$5:$A$155,0)),"")</f>
        <v>IV, SC</v>
      </c>
      <c r="AD304" s="15" t="str">
        <f aca="false">IFERROR(INDEX('Route of Administration'!$D$5:$D$155,MATCH($C304,'Route of Administration'!$A$5:$A$155,0)),"")</f>
        <v>Yes</v>
      </c>
      <c r="AE304" s="15" t="str">
        <f aca="false">IF($AD304="No","Not checked – drug is IV only",IFERROR(INDEX('Route of Administration'!$O$5:$O$170,MATCH($E304&amp;"|"&amp;$C304,'Route of Administration'!$S$5:$S$170,0)),"Not checked – price ≤ USD 5"))</f>
        <v>Pass</v>
      </c>
    </row>
    <row r="305" customFormat="false" ht="28.35" hidden="false" customHeight="false" outlineLevel="0" collapsed="false">
      <c r="B305" s="16" t="n">
        <v>303</v>
      </c>
      <c r="C305" s="16" t="s">
        <v>338</v>
      </c>
      <c r="D305" s="16" t="s">
        <v>2132</v>
      </c>
      <c r="E305" s="16" t="s">
        <v>870</v>
      </c>
      <c r="F305" s="16" t="s">
        <v>2133</v>
      </c>
      <c r="G305" s="17" t="s">
        <v>2134</v>
      </c>
      <c r="H305" s="16" t="s">
        <v>1533</v>
      </c>
      <c r="I305" s="18" t="n">
        <v>1444.1174</v>
      </c>
      <c r="J305" s="16" t="n">
        <v>29</v>
      </c>
      <c r="K305" s="16" t="n">
        <v>905</v>
      </c>
      <c r="L305" s="19" t="n">
        <v>28093.38</v>
      </c>
      <c r="M305" s="17" t="s">
        <v>340</v>
      </c>
      <c r="N305" s="18" t="n">
        <v>1444.1174</v>
      </c>
      <c r="O305" s="16" t="s">
        <v>1534</v>
      </c>
      <c r="P305" s="16" t="s">
        <v>1561</v>
      </c>
      <c r="Q305" s="17" t="s">
        <v>1536</v>
      </c>
      <c r="R305" s="78" t="s">
        <v>1701</v>
      </c>
      <c r="S305" s="77" t="n">
        <f aca="false">IFERROR(INDEX('Injectable Value'!$Z$28:$Z$178,MATCH($C305,'Injectable Value'!$A$28:$A$178,0)),"")</f>
        <v>1</v>
      </c>
      <c r="T305" s="19" t="n">
        <f aca="false">IFERROR(ROUND(INDEX('Injectable Value'!$AA$28:$AA$178,MATCH($C305,'Injectable Value'!$A$28:$A$178,0)),1),"")</f>
        <v>28093.4</v>
      </c>
      <c r="U305" s="17" t="s">
        <v>873</v>
      </c>
      <c r="V305" s="16" t="n">
        <v>8</v>
      </c>
      <c r="W305" s="16" t="s">
        <v>859</v>
      </c>
      <c r="X305" s="16" t="s">
        <v>281</v>
      </c>
      <c r="Y305" s="16" t="s">
        <v>283</v>
      </c>
      <c r="Z305" s="17" t="str">
        <f aca="false">IFERROR(INDEX(Scoring!$U:$U,MATCH($C305&amp;"|"&amp;$E305,Scoring!$AD:$AD,0)),"")</f>
        <v>Cancer drug (cytotoxic) – less relevant; Reconstitution</v>
      </c>
      <c r="AA305" s="16" t="str">
        <f aca="false">IFERROR(INDEX(Scoring!$E:$E,MATCH($C305&amp;"|"&amp;$E305,Scoring!$AD:$AD,0)),"")</f>
        <v>Priority 1</v>
      </c>
      <c r="AB305" s="19" t="n">
        <f aca="false">IFERROR(INDEX(Scoring!$M:$M,MATCH($C305&amp;"|"&amp;$E305,Scoring!$AD:$AD,0)),"")</f>
        <v>905</v>
      </c>
      <c r="AC305" s="16" t="str">
        <f aca="false">IFERROR(INDEX('Route of Administration'!$C$5:$C$155,MATCH($C305,'Route of Administration'!$A$5:$A$155,0)),"")</f>
        <v>IV, SC</v>
      </c>
      <c r="AD305" s="15" t="str">
        <f aca="false">IFERROR(INDEX('Route of Administration'!$D$5:$D$155,MATCH($C305,'Route of Administration'!$A$5:$A$155,0)),"")</f>
        <v>Yes</v>
      </c>
      <c r="AE305" s="15" t="str">
        <f aca="false">IF($AD305="No","Not checked – drug is IV only",IFERROR(INDEX('Route of Administration'!$O$5:$O$170,MATCH($E305&amp;"|"&amp;$C305,'Route of Administration'!$S$5:$S$170,0)),"Not checked – price ≤ USD 5"))</f>
        <v>Pass</v>
      </c>
    </row>
    <row r="306" customFormat="false" ht="15" hidden="false" customHeight="false" outlineLevel="0" collapsed="false">
      <c r="B306" s="16" t="n">
        <v>304</v>
      </c>
      <c r="C306" s="16" t="s">
        <v>874</v>
      </c>
      <c r="D306" s="16" t="s">
        <v>2135</v>
      </c>
      <c r="E306" s="16" t="s">
        <v>870</v>
      </c>
      <c r="F306" s="16" t="s">
        <v>1722</v>
      </c>
      <c r="G306" s="17" t="s">
        <v>2123</v>
      </c>
      <c r="H306" s="16" t="s">
        <v>1533</v>
      </c>
      <c r="I306" s="18" t="n">
        <v>48.3866</v>
      </c>
      <c r="J306" s="16" t="n">
        <v>26</v>
      </c>
      <c r="K306" s="16" t="n">
        <v>45</v>
      </c>
      <c r="L306" s="19" t="n">
        <v>263.65</v>
      </c>
      <c r="M306" s="17" t="s">
        <v>876</v>
      </c>
      <c r="N306" s="18" t="n">
        <v>48.3866</v>
      </c>
      <c r="O306" s="16" t="s">
        <v>1534</v>
      </c>
      <c r="P306" s="16" t="s">
        <v>1561</v>
      </c>
      <c r="Q306" s="17" t="s">
        <v>1536</v>
      </c>
      <c r="R306" s="78" t="s">
        <v>2136</v>
      </c>
      <c r="S306" s="77" t="n">
        <f aca="false">IFERROR(INDEX('Injectable Value'!$Z$28:$Z$178,MATCH($C306,'Injectable Value'!$A$28:$A$178,0)),"")</f>
        <v>0.0828659263441872</v>
      </c>
      <c r="T306" s="19" t="n">
        <f aca="false">IFERROR(ROUND(INDEX('Injectable Value'!$AA$28:$AA$178,MATCH($C306,'Injectable Value'!$A$28:$A$178,0)),1),"")</f>
        <v>21.8</v>
      </c>
      <c r="U306" s="17" t="s">
        <v>878</v>
      </c>
      <c r="V306" s="16" t="n">
        <v>5</v>
      </c>
      <c r="W306" s="16" t="s">
        <v>865</v>
      </c>
      <c r="X306" s="16" t="s">
        <v>281</v>
      </c>
      <c r="Y306" s="16" t="s">
        <v>283</v>
      </c>
      <c r="Z306" s="17" t="str">
        <f aca="false">IFERROR(INDEX(Scoring!$U:$U,MATCH($C306&amp;"|"&amp;$E306,Scoring!$AD:$AD,0)),"")</f>
        <v/>
      </c>
      <c r="AA306" s="16" t="str">
        <f aca="false">IFERROR(INDEX(Scoring!$E:$E,MATCH($C306&amp;"|"&amp;$E306,Scoring!$AD:$AD,0)),"")</f>
        <v>Excluded – IV only</v>
      </c>
      <c r="AB306" s="19" t="n">
        <f aca="false">IFERROR(INDEX(Scoring!$M:$M,MATCH($C306&amp;"|"&amp;$E306,Scoring!$AD:$AD,0)),"")</f>
        <v>4</v>
      </c>
      <c r="AC306" s="16" t="str">
        <f aca="false">IFERROR(INDEX('Route of Administration'!$C$5:$C$155,MATCH($C306,'Route of Administration'!$A$5:$A$155,0)),"")</f>
        <v>IV</v>
      </c>
      <c r="AD306" s="15" t="str">
        <f aca="false">IFERROR(INDEX('Route of Administration'!$D$5:$D$155,MATCH($C306,'Route of Administration'!$A$5:$A$155,0)),"")</f>
        <v>No</v>
      </c>
      <c r="AE306" s="15" t="str">
        <f aca="false">IF($AD306="No","Not checked – drug is IV only",IFERROR(INDEX('Route of Administration'!$O$5:$O$170,MATCH($E306&amp;"|"&amp;$C306,'Route of Administration'!$S$5:$S$170,0)),"Not checked – price ≤ USD 5"))</f>
        <v>Not checked – drug is IV only</v>
      </c>
    </row>
    <row r="307" customFormat="false" ht="28.35" hidden="false" customHeight="false" outlineLevel="0" collapsed="false">
      <c r="B307" s="16" t="n">
        <v>305</v>
      </c>
      <c r="C307" s="16" t="s">
        <v>388</v>
      </c>
      <c r="D307" s="16" t="s">
        <v>2137</v>
      </c>
      <c r="E307" s="16" t="s">
        <v>870</v>
      </c>
      <c r="F307" s="16" t="s">
        <v>1716</v>
      </c>
      <c r="G307" s="17" t="s">
        <v>1717</v>
      </c>
      <c r="H307" s="16" t="s">
        <v>1533</v>
      </c>
      <c r="I307" s="18" t="n">
        <v>93.7335</v>
      </c>
      <c r="J307" s="16" t="n">
        <v>28</v>
      </c>
      <c r="K307" s="16" t="n">
        <v>312</v>
      </c>
      <c r="L307" s="19" t="n">
        <v>59827.18</v>
      </c>
      <c r="M307" s="17" t="s">
        <v>390</v>
      </c>
      <c r="N307" s="18" t="n">
        <v>93.7335</v>
      </c>
      <c r="O307" s="16" t="s">
        <v>1534</v>
      </c>
      <c r="P307" s="16" t="s">
        <v>1561</v>
      </c>
      <c r="Q307" s="17" t="s">
        <v>1536</v>
      </c>
      <c r="R307" s="78" t="s">
        <v>1701</v>
      </c>
      <c r="S307" s="77" t="n">
        <f aca="false">IFERROR(INDEX('Injectable Value'!$Z$28:$Z$178,MATCH($C307,'Injectable Value'!$A$28:$A$178,0)),"")</f>
        <v>1</v>
      </c>
      <c r="T307" s="19" t="n">
        <f aca="false">IFERROR(ROUND(INDEX('Injectable Value'!$AA$28:$AA$178,MATCH($C307,'Injectable Value'!$A$28:$A$178,0)),1),"")</f>
        <v>59827.2</v>
      </c>
      <c r="U307" s="17" t="s">
        <v>887</v>
      </c>
      <c r="V307" s="16" t="n">
        <v>5</v>
      </c>
      <c r="W307" s="16" t="s">
        <v>886</v>
      </c>
      <c r="X307" s="16" t="s">
        <v>281</v>
      </c>
      <c r="Y307" s="16" t="s">
        <v>333</v>
      </c>
      <c r="Z307" s="17" t="str">
        <f aca="false">IFERROR(INDEX(Scoring!$U:$U,MATCH($C307&amp;"|"&amp;$E307,Scoring!$AD:$AD,0)),"")</f>
        <v>Reconstitution</v>
      </c>
      <c r="AA307" s="16" t="str">
        <f aca="false">IFERROR(INDEX(Scoring!$E:$E,MATCH($C307&amp;"|"&amp;$E307,Scoring!$AD:$AD,0)),"")</f>
        <v>Excluded – IV only</v>
      </c>
      <c r="AB307" s="19" t="n">
        <f aca="false">IFERROR(INDEX(Scoring!$M:$M,MATCH($C307&amp;"|"&amp;$E307,Scoring!$AD:$AD,0)),"")</f>
        <v>312</v>
      </c>
      <c r="AC307" s="16" t="str">
        <f aca="false">IFERROR(INDEX('Route of Administration'!$C$5:$C$155,MATCH($C307,'Route of Administration'!$A$5:$A$155,0)),"")</f>
        <v>IV</v>
      </c>
      <c r="AD307" s="15" t="str">
        <f aca="false">IFERROR(INDEX('Route of Administration'!$D$5:$D$155,MATCH($C307,'Route of Administration'!$A$5:$A$155,0)),"")</f>
        <v>No</v>
      </c>
      <c r="AE307" s="15" t="str">
        <f aca="false">IF($AD307="No","Not checked – drug is IV only",IFERROR(INDEX('Route of Administration'!$O$5:$O$170,MATCH($E307&amp;"|"&amp;$C307,'Route of Administration'!$S$5:$S$170,0)),"Not checked – price ≤ USD 5"))</f>
        <v>Not checked – drug is IV only</v>
      </c>
    </row>
    <row r="308" customFormat="false" ht="28.35" hidden="false" customHeight="false" outlineLevel="0" collapsed="false">
      <c r="B308" s="16" t="n">
        <v>306</v>
      </c>
      <c r="C308" s="16" t="s">
        <v>476</v>
      </c>
      <c r="D308" s="16" t="s">
        <v>2138</v>
      </c>
      <c r="E308" s="16" t="s">
        <v>870</v>
      </c>
      <c r="F308" s="16" t="s">
        <v>1730</v>
      </c>
      <c r="G308" s="17" t="s">
        <v>2139</v>
      </c>
      <c r="H308" s="16" t="s">
        <v>1533</v>
      </c>
      <c r="I308" s="18" t="n">
        <v>147.804</v>
      </c>
      <c r="J308" s="16" t="n">
        <v>13</v>
      </c>
      <c r="K308" s="16" t="n">
        <v>257</v>
      </c>
      <c r="L308" s="19" t="n">
        <v>4183.29</v>
      </c>
      <c r="M308" s="17" t="s">
        <v>478</v>
      </c>
      <c r="N308" s="18" t="n">
        <v>147.804</v>
      </c>
      <c r="O308" s="16" t="s">
        <v>1534</v>
      </c>
      <c r="P308" s="16" t="s">
        <v>1700</v>
      </c>
      <c r="Q308" s="17" t="s">
        <v>1536</v>
      </c>
      <c r="R308" s="78" t="s">
        <v>2140</v>
      </c>
      <c r="S308" s="77" t="n">
        <f aca="false">IFERROR(INDEX('Injectable Value'!$Z$28:$Z$178,MATCH($C308,'Injectable Value'!$A$28:$A$178,0)),"")</f>
        <v>0.689888576486515</v>
      </c>
      <c r="T308" s="19" t="n">
        <f aca="false">IFERROR(ROUND(INDEX('Injectable Value'!$AA$28:$AA$178,MATCH($C308,'Injectable Value'!$A$28:$A$178,0)),1),"")</f>
        <v>2886</v>
      </c>
      <c r="U308" s="17" t="s">
        <v>887</v>
      </c>
      <c r="V308" s="16" t="n">
        <v>5</v>
      </c>
      <c r="W308" s="16" t="s">
        <v>886</v>
      </c>
      <c r="X308" s="16" t="s">
        <v>281</v>
      </c>
      <c r="Y308" s="16" t="s">
        <v>283</v>
      </c>
      <c r="Z308" s="17" t="str">
        <f aca="false">IFERROR(INDEX(Scoring!$U:$U,MATCH($C308&amp;"|"&amp;$E308,Scoring!$AD:$AD,0)),"")</f>
        <v>Cancer drug (cytotoxic) – less relevant; Reconstitution</v>
      </c>
      <c r="AA308" s="16" t="str">
        <f aca="false">IFERROR(INDEX(Scoring!$E:$E,MATCH($C308&amp;"|"&amp;$E308,Scoring!$AD:$AD,0)),"")</f>
        <v>Excluded – IV only</v>
      </c>
      <c r="AB308" s="19" t="n">
        <f aca="false">IFERROR(INDEX(Scoring!$M:$M,MATCH($C308&amp;"|"&amp;$E308,Scoring!$AD:$AD,0)),"")</f>
        <v>177</v>
      </c>
      <c r="AC308" s="16" t="str">
        <f aca="false">IFERROR(INDEX('Route of Administration'!$C$5:$C$155,MATCH($C308,'Route of Administration'!$A$5:$A$155,0)),"")</f>
        <v>IV</v>
      </c>
      <c r="AD308" s="15" t="str">
        <f aca="false">IFERROR(INDEX('Route of Administration'!$D$5:$D$155,MATCH($C308,'Route of Administration'!$A$5:$A$155,0)),"")</f>
        <v>No</v>
      </c>
      <c r="AE308" s="15" t="str">
        <f aca="false">IF($AD308="No","Not checked – drug is IV only",IFERROR(INDEX('Route of Administration'!$O$5:$O$170,MATCH($E308&amp;"|"&amp;$C308,'Route of Administration'!$S$5:$S$170,0)),"Not checked – price ≤ USD 5"))</f>
        <v>Not checked – drug is IV only</v>
      </c>
    </row>
    <row r="309" customFormat="false" ht="28.35" hidden="false" customHeight="false" outlineLevel="0" collapsed="false">
      <c r="B309" s="16" t="n">
        <v>307</v>
      </c>
      <c r="C309" s="16" t="s">
        <v>476</v>
      </c>
      <c r="D309" s="16" t="s">
        <v>2141</v>
      </c>
      <c r="E309" s="16" t="s">
        <v>870</v>
      </c>
      <c r="F309" s="16" t="s">
        <v>1730</v>
      </c>
      <c r="G309" s="17" t="s">
        <v>2026</v>
      </c>
      <c r="H309" s="16" t="s">
        <v>1533</v>
      </c>
      <c r="I309" s="18" t="n">
        <v>95.2025</v>
      </c>
      <c r="J309" s="16" t="n">
        <v>28</v>
      </c>
      <c r="K309" s="16" t="n">
        <v>257</v>
      </c>
      <c r="L309" s="19" t="n">
        <v>4183.29</v>
      </c>
      <c r="M309" s="17" t="s">
        <v>478</v>
      </c>
      <c r="N309" s="18" t="n">
        <v>95.2025</v>
      </c>
      <c r="O309" s="16" t="s">
        <v>1534</v>
      </c>
      <c r="P309" s="16" t="s">
        <v>1561</v>
      </c>
      <c r="Q309" s="17" t="s">
        <v>1536</v>
      </c>
      <c r="R309" s="78" t="s">
        <v>1701</v>
      </c>
      <c r="S309" s="77" t="n">
        <f aca="false">IFERROR(INDEX('Injectable Value'!$Z$28:$Z$178,MATCH($C309,'Injectable Value'!$A$28:$A$178,0)),"")</f>
        <v>0.689888576486515</v>
      </c>
      <c r="T309" s="19" t="n">
        <f aca="false">IFERROR(ROUND(INDEX('Injectable Value'!$AA$28:$AA$178,MATCH($C309,'Injectable Value'!$A$28:$A$178,0)),1),"")</f>
        <v>2886</v>
      </c>
      <c r="U309" s="17" t="s">
        <v>887</v>
      </c>
      <c r="V309" s="16" t="n">
        <v>5</v>
      </c>
      <c r="W309" s="16" t="s">
        <v>886</v>
      </c>
      <c r="X309" s="16" t="s">
        <v>281</v>
      </c>
      <c r="Y309" s="16" t="s">
        <v>283</v>
      </c>
      <c r="Z309" s="17" t="str">
        <f aca="false">IFERROR(INDEX(Scoring!$U:$U,MATCH($C309&amp;"|"&amp;$E309,Scoring!$AD:$AD,0)),"")</f>
        <v>Cancer drug (cytotoxic) – less relevant; Reconstitution</v>
      </c>
      <c r="AA309" s="16" t="str">
        <f aca="false">IFERROR(INDEX(Scoring!$E:$E,MATCH($C309&amp;"|"&amp;$E309,Scoring!$AD:$AD,0)),"")</f>
        <v>Excluded – IV only</v>
      </c>
      <c r="AB309" s="19" t="n">
        <f aca="false">IFERROR(INDEX(Scoring!$M:$M,MATCH($C309&amp;"|"&amp;$E309,Scoring!$AD:$AD,0)),"")</f>
        <v>177</v>
      </c>
      <c r="AC309" s="16" t="str">
        <f aca="false">IFERROR(INDEX('Route of Administration'!$C$5:$C$155,MATCH($C309,'Route of Administration'!$A$5:$A$155,0)),"")</f>
        <v>IV</v>
      </c>
      <c r="AD309" s="15" t="str">
        <f aca="false">IFERROR(INDEX('Route of Administration'!$D$5:$D$155,MATCH($C309,'Route of Administration'!$A$5:$A$155,0)),"")</f>
        <v>No</v>
      </c>
      <c r="AE309" s="15" t="str">
        <f aca="false">IF($AD309="No","Not checked – drug is IV only",IFERROR(INDEX('Route of Administration'!$O$5:$O$170,MATCH($E309&amp;"|"&amp;$C309,'Route of Administration'!$S$5:$S$170,0)),"Not checked – price ≤ USD 5"))</f>
        <v>Not checked – drug is IV only</v>
      </c>
    </row>
    <row r="310" customFormat="false" ht="28.35" hidden="false" customHeight="false" outlineLevel="0" collapsed="false">
      <c r="B310" s="16" t="n">
        <v>308</v>
      </c>
      <c r="C310" s="16" t="s">
        <v>534</v>
      </c>
      <c r="D310" s="16" t="s">
        <v>2142</v>
      </c>
      <c r="E310" s="16" t="s">
        <v>870</v>
      </c>
      <c r="F310" s="16" t="s">
        <v>2043</v>
      </c>
      <c r="G310" s="17" t="s">
        <v>2021</v>
      </c>
      <c r="H310" s="16" t="s">
        <v>1533</v>
      </c>
      <c r="I310" s="18" t="n">
        <v>5.5596</v>
      </c>
      <c r="J310" s="16" t="n">
        <v>31</v>
      </c>
      <c r="K310" s="16" t="n">
        <v>3515</v>
      </c>
      <c r="L310" s="19" t="n">
        <v>140084.73</v>
      </c>
      <c r="M310" s="17" t="s">
        <v>535</v>
      </c>
      <c r="N310" s="18" t="n">
        <v>5.5596</v>
      </c>
      <c r="O310" s="16" t="s">
        <v>1534</v>
      </c>
      <c r="P310" s="16" t="s">
        <v>1561</v>
      </c>
      <c r="Q310" s="17" t="s">
        <v>1536</v>
      </c>
      <c r="R310" s="78" t="s">
        <v>1701</v>
      </c>
      <c r="S310" s="77" t="n">
        <f aca="false">IFERROR(INDEX('Injectable Value'!$Z$28:$Z$178,MATCH($C310,'Injectable Value'!$A$28:$A$178,0)),"")</f>
        <v>0.251824206147514</v>
      </c>
      <c r="T310" s="19" t="n">
        <f aca="false">IFERROR(ROUND(INDEX('Injectable Value'!$AA$28:$AA$178,MATCH($C310,'Injectable Value'!$A$28:$A$178,0)),1),"")</f>
        <v>35276.7</v>
      </c>
      <c r="U310" s="17" t="s">
        <v>887</v>
      </c>
      <c r="V310" s="16" t="n">
        <v>5</v>
      </c>
      <c r="W310" s="16" t="s">
        <v>886</v>
      </c>
      <c r="X310" s="16" t="s">
        <v>281</v>
      </c>
      <c r="Y310" s="16" t="s">
        <v>333</v>
      </c>
      <c r="Z310" s="17" t="str">
        <f aca="false">IFERROR(INDEX(Scoring!$U:$U,MATCH($C310&amp;"|"&amp;$E310,Scoring!$AD:$AD,0)),"")</f>
        <v>Reconstitution</v>
      </c>
      <c r="AA310" s="16" t="str">
        <f aca="false">IFERROR(INDEX(Scoring!$E:$E,MATCH($C310&amp;"|"&amp;$E310,Scoring!$AD:$AD,0)),"")</f>
        <v>Excluded – IV only</v>
      </c>
      <c r="AB310" s="19" t="n">
        <f aca="false">IFERROR(INDEX(Scoring!$M:$M,MATCH($C310&amp;"|"&amp;$E310,Scoring!$AD:$AD,0)),"")</f>
        <v>885</v>
      </c>
      <c r="AC310" s="16" t="str">
        <f aca="false">IFERROR(INDEX('Route of Administration'!$C$5:$C$155,MATCH($C310,'Route of Administration'!$A$5:$A$155,0)),"")</f>
        <v>IV</v>
      </c>
      <c r="AD310" s="15" t="str">
        <f aca="false">IFERROR(INDEX('Route of Administration'!$D$5:$D$155,MATCH($C310,'Route of Administration'!$A$5:$A$155,0)),"")</f>
        <v>No</v>
      </c>
      <c r="AE310" s="15" t="str">
        <f aca="false">IF($AD310="No","Not checked – drug is IV only",IFERROR(INDEX('Route of Administration'!$O$5:$O$170,MATCH($E310&amp;"|"&amp;$C310,'Route of Administration'!$S$5:$S$170,0)),"Not checked – price ≤ USD 5"))</f>
        <v>Not checked – drug is IV only</v>
      </c>
    </row>
    <row r="311" customFormat="false" ht="28.35" hidden="false" customHeight="false" outlineLevel="0" collapsed="false">
      <c r="B311" s="16" t="n">
        <v>309</v>
      </c>
      <c r="C311" s="16" t="s">
        <v>541</v>
      </c>
      <c r="D311" s="16" t="s">
        <v>2143</v>
      </c>
      <c r="E311" s="16" t="s">
        <v>870</v>
      </c>
      <c r="F311" s="16" t="s">
        <v>1743</v>
      </c>
      <c r="G311" s="17" t="s">
        <v>1687</v>
      </c>
      <c r="H311" s="16" t="s">
        <v>1533</v>
      </c>
      <c r="I311" s="18" t="n">
        <v>7322.4226</v>
      </c>
      <c r="J311" s="16" t="n">
        <v>25</v>
      </c>
      <c r="K311" s="16" t="n">
        <v>47</v>
      </c>
      <c r="L311" s="19" t="n">
        <v>7904.67</v>
      </c>
      <c r="M311" s="17" t="s">
        <v>543</v>
      </c>
      <c r="N311" s="18" t="n">
        <v>7322.4226</v>
      </c>
      <c r="O311" s="16" t="s">
        <v>1534</v>
      </c>
      <c r="P311" s="16" t="s">
        <v>1561</v>
      </c>
      <c r="Q311" s="17" t="s">
        <v>1536</v>
      </c>
      <c r="R311" s="78" t="s">
        <v>1701</v>
      </c>
      <c r="S311" s="77" t="n">
        <f aca="false">IFERROR(INDEX('Injectable Value'!$Z$28:$Z$178,MATCH($C311,'Injectable Value'!$A$28:$A$178,0)),"")</f>
        <v>1</v>
      </c>
      <c r="T311" s="19" t="n">
        <f aca="false">IFERROR(ROUND(INDEX('Injectable Value'!$AA$28:$AA$178,MATCH($C311,'Injectable Value'!$A$28:$A$178,0)),1),"")</f>
        <v>7904.7</v>
      </c>
      <c r="U311" s="17" t="s">
        <v>908</v>
      </c>
      <c r="V311" s="16" t="n">
        <v>7</v>
      </c>
      <c r="W311" s="16" t="s">
        <v>859</v>
      </c>
      <c r="X311" s="16" t="s">
        <v>281</v>
      </c>
      <c r="Y311" s="16" t="s">
        <v>283</v>
      </c>
      <c r="Z311" s="17" t="str">
        <f aca="false">IFERROR(INDEX(Scoring!$U:$U,MATCH($C311&amp;"|"&amp;$E311,Scoring!$AD:$AD,0)),"")</f>
        <v/>
      </c>
      <c r="AA311" s="16" t="str">
        <f aca="false">IFERROR(INDEX(Scoring!$E:$E,MATCH($C311&amp;"|"&amp;$E311,Scoring!$AD:$AD,0)),"")</f>
        <v>Priority 2</v>
      </c>
      <c r="AB311" s="19" t="n">
        <f aca="false">IFERROR(INDEX(Scoring!$M:$M,MATCH($C311&amp;"|"&amp;$E311,Scoring!$AD:$AD,0)),"")</f>
        <v>47</v>
      </c>
      <c r="AC311" s="16" t="str">
        <f aca="false">IFERROR(INDEX('Route of Administration'!$C$5:$C$155,MATCH($C311,'Route of Administration'!$A$5:$A$155,0)),"")</f>
        <v>SC</v>
      </c>
      <c r="AD311" s="15" t="str">
        <f aca="false">IFERROR(INDEX('Route of Administration'!$D$5:$D$155,MATCH($C311,'Route of Administration'!$A$5:$A$155,0)),"")</f>
        <v>Yes</v>
      </c>
      <c r="AE311" s="15" t="str">
        <f aca="false">IF($AD311="No","Not checked – drug is IV only",IFERROR(INDEX('Route of Administration'!$O$5:$O$170,MATCH($E311&amp;"|"&amp;$C311,'Route of Administration'!$S$5:$S$170,0)),"Not checked – price ≤ USD 5"))</f>
        <v>Pass</v>
      </c>
    </row>
    <row r="312" customFormat="false" ht="28.35" hidden="false" customHeight="false" outlineLevel="0" collapsed="false">
      <c r="B312" s="16" t="n">
        <v>310</v>
      </c>
      <c r="C312" s="16" t="s">
        <v>910</v>
      </c>
      <c r="D312" s="16" t="s">
        <v>911</v>
      </c>
      <c r="E312" s="16" t="s">
        <v>870</v>
      </c>
      <c r="F312" s="16" t="s">
        <v>2144</v>
      </c>
      <c r="G312" s="17" t="s">
        <v>2123</v>
      </c>
      <c r="H312" s="16" t="s">
        <v>1533</v>
      </c>
      <c r="I312" s="18" t="n">
        <v>6.1698</v>
      </c>
      <c r="J312" s="16" t="n">
        <v>30</v>
      </c>
      <c r="K312" s="16" t="n">
        <v>264</v>
      </c>
      <c r="L312" s="19" t="n">
        <v>20408.58</v>
      </c>
      <c r="M312" s="17" t="s">
        <v>596</v>
      </c>
      <c r="N312" s="18" t="n">
        <v>6.1698</v>
      </c>
      <c r="O312" s="16" t="s">
        <v>1534</v>
      </c>
      <c r="P312" s="16" t="s">
        <v>1561</v>
      </c>
      <c r="Q312" s="17" t="s">
        <v>1536</v>
      </c>
      <c r="R312" s="78" t="s">
        <v>1701</v>
      </c>
      <c r="S312" s="77" t="n">
        <f aca="false">IFERROR(INDEX('Injectable Value'!$Z$28:$Z$178,MATCH($C312,'Injectable Value'!$A$28:$A$178,0)),"")</f>
        <v>0.989010989010989</v>
      </c>
      <c r="T312" s="19" t="n">
        <f aca="false">IFERROR(ROUND(INDEX('Injectable Value'!$AA$28:$AA$178,MATCH($C312,'Injectable Value'!$A$28:$A$178,0)),1),"")</f>
        <v>20184.3</v>
      </c>
      <c r="U312" s="17" t="s">
        <v>912</v>
      </c>
      <c r="V312" s="16" t="n">
        <v>1</v>
      </c>
      <c r="W312" s="16" t="s">
        <v>912</v>
      </c>
      <c r="X312" s="16" t="s">
        <v>281</v>
      </c>
      <c r="Y312" s="16" t="s">
        <v>283</v>
      </c>
      <c r="Z312" s="17" t="str">
        <f aca="false">IFERROR(INDEX(Scoring!$U:$U,MATCH($C312&amp;"|"&amp;$E312,Scoring!$AD:$AD,0)),"")</f>
        <v/>
      </c>
      <c r="AA312" s="16" t="str">
        <f aca="false">IFERROR(INDEX(Scoring!$E:$E,MATCH($C312&amp;"|"&amp;$E312,Scoring!$AD:$AD,0)),"")</f>
        <v>Excluded – IV only</v>
      </c>
      <c r="AB312" s="19" t="n">
        <f aca="false">IFERROR(INDEX(Scoring!$M:$M,MATCH($C312&amp;"|"&amp;$E312,Scoring!$AD:$AD,0)),"")</f>
        <v>261</v>
      </c>
      <c r="AC312" s="16" t="str">
        <f aca="false">IFERROR(INDEX('Route of Administration'!$C$5:$C$155,MATCH($C312,'Route of Administration'!$A$5:$A$155,0)),"")</f>
        <v>IV</v>
      </c>
      <c r="AD312" s="15" t="str">
        <f aca="false">IFERROR(INDEX('Route of Administration'!$D$5:$D$155,MATCH($C312,'Route of Administration'!$A$5:$A$155,0)),"")</f>
        <v>No</v>
      </c>
      <c r="AE312" s="15" t="str">
        <f aca="false">IF($AD312="No","Not checked – drug is IV only",IFERROR(INDEX('Route of Administration'!$O$5:$O$170,MATCH($E312&amp;"|"&amp;$C312,'Route of Administration'!$S$5:$S$170,0)),"Not checked – price ≤ USD 5"))</f>
        <v>Not checked – drug is IV only</v>
      </c>
    </row>
    <row r="313" customFormat="false" ht="28.35" hidden="false" customHeight="false" outlineLevel="0" collapsed="false">
      <c r="B313" s="16" t="n">
        <v>311</v>
      </c>
      <c r="C313" s="16" t="s">
        <v>665</v>
      </c>
      <c r="D313" s="16" t="s">
        <v>2145</v>
      </c>
      <c r="E313" s="16" t="s">
        <v>870</v>
      </c>
      <c r="F313" s="16" t="s">
        <v>1972</v>
      </c>
      <c r="G313" s="17" t="s">
        <v>2146</v>
      </c>
      <c r="H313" s="16" t="s">
        <v>1533</v>
      </c>
      <c r="I313" s="18" t="n">
        <v>65.0089</v>
      </c>
      <c r="J313" s="16" t="n">
        <v>31</v>
      </c>
      <c r="K313" s="16" t="n">
        <v>346</v>
      </c>
      <c r="L313" s="19" t="n">
        <v>32830.17</v>
      </c>
      <c r="M313" s="17" t="s">
        <v>667</v>
      </c>
      <c r="N313" s="18" t="n">
        <v>65.0089</v>
      </c>
      <c r="O313" s="16" t="s">
        <v>1534</v>
      </c>
      <c r="P313" s="16" t="s">
        <v>1700</v>
      </c>
      <c r="Q313" s="17" t="s">
        <v>1536</v>
      </c>
      <c r="R313" s="78" t="s">
        <v>1847</v>
      </c>
      <c r="S313" s="77" t="n">
        <f aca="false">IFERROR(INDEX('Injectable Value'!$Z$28:$Z$178,MATCH($C313,'Injectable Value'!$A$28:$A$178,0)),"")</f>
        <v>1</v>
      </c>
      <c r="T313" s="19" t="n">
        <f aca="false">IFERROR(ROUND(INDEX('Injectable Value'!$AA$28:$AA$178,MATCH($C313,'Injectable Value'!$A$28:$A$178,0)),1),"")</f>
        <v>32830.2</v>
      </c>
      <c r="U313" s="17" t="s">
        <v>908</v>
      </c>
      <c r="V313" s="16" t="n">
        <v>7</v>
      </c>
      <c r="W313" s="16" t="s">
        <v>859</v>
      </c>
      <c r="X313" s="16" t="s">
        <v>310</v>
      </c>
      <c r="Y313" s="16" t="s">
        <v>283</v>
      </c>
      <c r="Z313" s="17" t="str">
        <f aca="false">IFERROR(INDEX(Scoring!$U:$U,MATCH($C313&amp;"|"&amp;$E313,Scoring!$AD:$AD,0)),"")</f>
        <v/>
      </c>
      <c r="AA313" s="16" t="str">
        <f aca="false">IFERROR(INDEX(Scoring!$E:$E,MATCH($C313&amp;"|"&amp;$E313,Scoring!$AD:$AD,0)),"")</f>
        <v>Excluded – IV only</v>
      </c>
      <c r="AB313" s="19" t="n">
        <f aca="false">IFERROR(INDEX(Scoring!$M:$M,MATCH($C313&amp;"|"&amp;$E313,Scoring!$AD:$AD,0)),"")</f>
        <v>346</v>
      </c>
      <c r="AC313" s="16" t="str">
        <f aca="false">IFERROR(INDEX('Route of Administration'!$C$5:$C$155,MATCH($C313,'Route of Administration'!$A$5:$A$155,0)),"")</f>
        <v>IV</v>
      </c>
      <c r="AD313" s="15" t="str">
        <f aca="false">IFERROR(INDEX('Route of Administration'!$D$5:$D$155,MATCH($C313,'Route of Administration'!$A$5:$A$155,0)),"")</f>
        <v>No</v>
      </c>
      <c r="AE313" s="15" t="str">
        <f aca="false">IF($AD313="No","Not checked – drug is IV only",IFERROR(INDEX('Route of Administration'!$O$5:$O$170,MATCH($E313&amp;"|"&amp;$C313,'Route of Administration'!$S$5:$S$170,0)),"Not checked – price ≤ USD 5"))</f>
        <v>Not checked – drug is IV only</v>
      </c>
    </row>
    <row r="314" customFormat="false" ht="28.35" hidden="false" customHeight="false" outlineLevel="0" collapsed="false">
      <c r="B314" s="16" t="n">
        <v>312</v>
      </c>
      <c r="C314" s="16" t="s">
        <v>671</v>
      </c>
      <c r="D314" s="16" t="s">
        <v>2147</v>
      </c>
      <c r="E314" s="16" t="s">
        <v>870</v>
      </c>
      <c r="F314" s="16" t="s">
        <v>2148</v>
      </c>
      <c r="G314" s="17" t="s">
        <v>2149</v>
      </c>
      <c r="H314" s="16" t="s">
        <v>1533</v>
      </c>
      <c r="I314" s="18" t="n">
        <v>62.2065</v>
      </c>
      <c r="J314" s="16" t="n">
        <v>26</v>
      </c>
      <c r="K314" s="16" t="n">
        <v>106</v>
      </c>
      <c r="L314" s="19" t="n">
        <v>7074.72</v>
      </c>
      <c r="M314" s="17" t="s">
        <v>673</v>
      </c>
      <c r="N314" s="18" t="n">
        <v>62.2065</v>
      </c>
      <c r="O314" s="16" t="s">
        <v>1534</v>
      </c>
      <c r="P314" s="16" t="s">
        <v>1561</v>
      </c>
      <c r="Q314" s="17" t="s">
        <v>1536</v>
      </c>
      <c r="R314" s="78" t="s">
        <v>1701</v>
      </c>
      <c r="S314" s="77" t="n">
        <f aca="false">IFERROR(INDEX('Injectable Value'!$Z$28:$Z$178,MATCH($C314,'Injectable Value'!$A$28:$A$178,0)),"")</f>
        <v>0.9375</v>
      </c>
      <c r="T314" s="19" t="n">
        <f aca="false">IFERROR(ROUND(INDEX('Injectable Value'!$AA$28:$AA$178,MATCH($C314,'Injectable Value'!$A$28:$A$178,0)),1),"")</f>
        <v>6632.6</v>
      </c>
      <c r="U314" s="17" t="s">
        <v>772</v>
      </c>
      <c r="V314" s="16" t="n">
        <v>2</v>
      </c>
      <c r="W314" s="16" t="s">
        <v>772</v>
      </c>
      <c r="X314" s="16" t="s">
        <v>281</v>
      </c>
      <c r="Y314" s="16" t="s">
        <v>283</v>
      </c>
      <c r="Z314" s="17" t="str">
        <f aca="false">IFERROR(INDEX(Scoring!$U:$U,MATCH($C314&amp;"|"&amp;$E314,Scoring!$AD:$AD,0)),"")</f>
        <v>Reconstitution</v>
      </c>
      <c r="AA314" s="16" t="str">
        <f aca="false">IFERROR(INDEX(Scoring!$E:$E,MATCH($C314&amp;"|"&amp;$E314,Scoring!$AD:$AD,0)),"")</f>
        <v>Priority 2</v>
      </c>
      <c r="AB314" s="19" t="n">
        <f aca="false">IFERROR(INDEX(Scoring!$M:$M,MATCH($C314&amp;"|"&amp;$E314,Scoring!$AD:$AD,0)),"")</f>
        <v>99</v>
      </c>
      <c r="AC314" s="16" t="str">
        <f aca="false">IFERROR(INDEX('Route of Administration'!$C$5:$C$155,MATCH($C314,'Route of Administration'!$A$5:$A$155,0)),"")</f>
        <v>IV, IM</v>
      </c>
      <c r="AD314" s="15" t="str">
        <f aca="false">IFERROR(INDEX('Route of Administration'!$D$5:$D$155,MATCH($C314,'Route of Administration'!$A$5:$A$155,0)),"")</f>
        <v>Yes</v>
      </c>
      <c r="AE314" s="15" t="str">
        <f aca="false">IF($AD314="No","Not checked – drug is IV only",IFERROR(INDEX('Route of Administration'!$O$5:$O$170,MATCH($E314&amp;"|"&amp;$C314,'Route of Administration'!$S$5:$S$170,0)),"Not checked – price ≤ USD 5"))</f>
        <v>Pass</v>
      </c>
    </row>
    <row r="315" customFormat="false" ht="28.35" hidden="false" customHeight="false" outlineLevel="0" collapsed="false">
      <c r="B315" s="16" t="n">
        <v>313</v>
      </c>
      <c r="C315" s="16" t="s">
        <v>338</v>
      </c>
      <c r="D315" s="16" t="s">
        <v>2150</v>
      </c>
      <c r="E315" s="16" t="s">
        <v>870</v>
      </c>
      <c r="F315" s="16" t="s">
        <v>1804</v>
      </c>
      <c r="G315" s="17" t="s">
        <v>1805</v>
      </c>
      <c r="H315" s="16" t="s">
        <v>1533</v>
      </c>
      <c r="I315" s="18"/>
      <c r="J315" s="16" t="n">
        <v>1</v>
      </c>
      <c r="K315" s="16" t="n">
        <v>905</v>
      </c>
      <c r="L315" s="19" t="n">
        <v>28093.38</v>
      </c>
      <c r="M315" s="17" t="s">
        <v>340</v>
      </c>
      <c r="N315" s="18"/>
      <c r="O315" s="16" t="s">
        <v>1573</v>
      </c>
      <c r="P315" s="16" t="s">
        <v>112</v>
      </c>
      <c r="Q315" s="17" t="s">
        <v>112</v>
      </c>
      <c r="R315" s="16"/>
      <c r="S315" s="77" t="n">
        <f aca="false">IFERROR(INDEX('Injectable Value'!$Z$28:$Z$178,MATCH($C315,'Injectable Value'!$A$28:$A$178,0)),"")</f>
        <v>1</v>
      </c>
      <c r="T315" s="19" t="n">
        <f aca="false">IFERROR(ROUND(INDEX('Injectable Value'!$AA$28:$AA$178,MATCH($C315,'Injectable Value'!$A$28:$A$178,0)),1),"")</f>
        <v>28093.4</v>
      </c>
      <c r="U315" s="17" t="s">
        <v>873</v>
      </c>
      <c r="V315" s="16" t="n">
        <v>8</v>
      </c>
      <c r="W315" s="16" t="s">
        <v>859</v>
      </c>
      <c r="X315" s="16" t="s">
        <v>281</v>
      </c>
      <c r="Y315" s="16" t="s">
        <v>333</v>
      </c>
      <c r="Z315" s="17" t="str">
        <f aca="false">IFERROR(INDEX(Scoring!$U:$U,MATCH($C315&amp;"|"&amp;$E315,Scoring!$AD:$AD,0)),"")</f>
        <v>Cancer drug (cytotoxic) – less relevant; Reconstitution</v>
      </c>
      <c r="AA315" s="16" t="str">
        <f aca="false">IFERROR(INDEX(Scoring!$E:$E,MATCH($C315&amp;"|"&amp;$E315,Scoring!$AD:$AD,0)),"")</f>
        <v>Priority 1</v>
      </c>
      <c r="AB315" s="19" t="n">
        <f aca="false">IFERROR(INDEX(Scoring!$M:$M,MATCH($C315&amp;"|"&amp;$E315,Scoring!$AD:$AD,0)),"")</f>
        <v>905</v>
      </c>
      <c r="AC315" s="16" t="str">
        <f aca="false">IFERROR(INDEX('Route of Administration'!$C$5:$C$155,MATCH($C315,'Route of Administration'!$A$5:$A$155,0)),"")</f>
        <v>IV, SC</v>
      </c>
      <c r="AD315" s="15" t="str">
        <f aca="false">IFERROR(INDEX('Route of Administration'!$D$5:$D$155,MATCH($C315,'Route of Administration'!$A$5:$A$155,0)),"")</f>
        <v>Yes</v>
      </c>
      <c r="AE315" s="15" t="str">
        <f aca="false">IF($AD315="No","Not checked – drug is IV only",IFERROR(INDEX('Route of Administration'!$O$5:$O$170,MATCH($E315&amp;"|"&amp;$C315,'Route of Administration'!$S$5:$S$170,0)),"Not checked – price ≤ USD 5"))</f>
        <v>Pass</v>
      </c>
    </row>
    <row r="316" customFormat="false" ht="28.35" hidden="false" customHeight="false" outlineLevel="0" collapsed="false">
      <c r="B316" s="16" t="n">
        <v>314</v>
      </c>
      <c r="C316" s="16" t="s">
        <v>888</v>
      </c>
      <c r="D316" s="16" t="s">
        <v>889</v>
      </c>
      <c r="E316" s="16" t="s">
        <v>870</v>
      </c>
      <c r="F316" s="16" t="s">
        <v>2151</v>
      </c>
      <c r="G316" s="17" t="s">
        <v>2152</v>
      </c>
      <c r="H316" s="16" t="s">
        <v>1533</v>
      </c>
      <c r="I316" s="18" t="n">
        <v>30.23</v>
      </c>
      <c r="J316" s="16" t="n">
        <v>1</v>
      </c>
      <c r="K316" s="16" t="n">
        <v>286</v>
      </c>
      <c r="L316" s="19" t="n">
        <v>3193.58</v>
      </c>
      <c r="M316" s="17" t="s">
        <v>890</v>
      </c>
      <c r="N316" s="18" t="n">
        <v>30.23</v>
      </c>
      <c r="O316" s="16" t="s">
        <v>1534</v>
      </c>
      <c r="P316" s="16" t="s">
        <v>1700</v>
      </c>
      <c r="Q316" s="17" t="s">
        <v>1878</v>
      </c>
      <c r="R316" s="16"/>
      <c r="S316" s="77" t="n">
        <f aca="false">IFERROR(INDEX('Injectable Value'!$Z$28:$Z$178,MATCH($C316,'Injectable Value'!$A$28:$A$178,0)),"")</f>
        <v>0.4171983066393</v>
      </c>
      <c r="T316" s="19" t="n">
        <f aca="false">IFERROR(ROUND(INDEX('Injectable Value'!$AA$28:$AA$178,MATCH($C316,'Injectable Value'!$A$28:$A$178,0)),1),"")</f>
        <v>1332.4</v>
      </c>
      <c r="U316" s="17" t="s">
        <v>360</v>
      </c>
      <c r="V316" s="16" t="n">
        <v>1</v>
      </c>
      <c r="W316" s="16" t="s">
        <v>112</v>
      </c>
      <c r="X316" s="16" t="s">
        <v>281</v>
      </c>
      <c r="Y316" s="16" t="s">
        <v>283</v>
      </c>
      <c r="Z316" s="17" t="str">
        <f aca="false">IFERROR(INDEX(Scoring!$U:$U,MATCH($C316&amp;"|"&amp;$E316,Scoring!$AD:$AD,0)),"")</f>
        <v/>
      </c>
      <c r="AA316" s="16" t="str">
        <f aca="false">IFERROR(INDEX(Scoring!$E:$E,MATCH($C316&amp;"|"&amp;$E316,Scoring!$AD:$AD,0)),"")</f>
        <v>Priority 2</v>
      </c>
      <c r="AB316" s="19" t="n">
        <f aca="false">IFERROR(INDEX(Scoring!$M:$M,MATCH($C316&amp;"|"&amp;$E316,Scoring!$AD:$AD,0)),"")</f>
        <v>119</v>
      </c>
      <c r="AC316" s="16" t="str">
        <f aca="false">IFERROR(INDEX('Route of Administration'!$C$5:$C$155,MATCH($C316,'Route of Administration'!$A$5:$A$155,0)),"")</f>
        <v>IV, IM</v>
      </c>
      <c r="AD316" s="15" t="str">
        <f aca="false">IFERROR(INDEX('Route of Administration'!$D$5:$D$155,MATCH($C316,'Route of Administration'!$A$5:$A$155,0)),"")</f>
        <v>Yes</v>
      </c>
      <c r="AE316" s="15" t="str">
        <f aca="false">IF($AD316="No","Not checked – drug is IV only",IFERROR(INDEX('Route of Administration'!$O$5:$O$170,MATCH($E316&amp;"|"&amp;$C316,'Route of Administration'!$S$5:$S$170,0)),"Not checked – price ≤ USD 5"))</f>
        <v>Pass</v>
      </c>
    </row>
    <row r="317" customFormat="false" ht="28.35" hidden="false" customHeight="false" outlineLevel="0" collapsed="false">
      <c r="B317" s="16" t="n">
        <v>315</v>
      </c>
      <c r="C317" s="16" t="s">
        <v>338</v>
      </c>
      <c r="D317" s="16" t="s">
        <v>2153</v>
      </c>
      <c r="E317" s="16" t="s">
        <v>870</v>
      </c>
      <c r="F317" s="16" t="s">
        <v>2154</v>
      </c>
      <c r="G317" s="17" t="s">
        <v>1749</v>
      </c>
      <c r="H317" s="16" t="s">
        <v>1533</v>
      </c>
      <c r="I317" s="18" t="n">
        <v>118.13</v>
      </c>
      <c r="J317" s="16" t="n">
        <v>1</v>
      </c>
      <c r="K317" s="16" t="n">
        <v>905</v>
      </c>
      <c r="L317" s="19" t="n">
        <v>28093.38</v>
      </c>
      <c r="M317" s="17" t="s">
        <v>340</v>
      </c>
      <c r="N317" s="18" t="n">
        <v>118.13</v>
      </c>
      <c r="O317" s="16" t="s">
        <v>1534</v>
      </c>
      <c r="P317" s="16" t="s">
        <v>1700</v>
      </c>
      <c r="Q317" s="17" t="s">
        <v>1878</v>
      </c>
      <c r="R317" s="78" t="s">
        <v>2155</v>
      </c>
      <c r="S317" s="77" t="n">
        <f aca="false">IFERROR(INDEX('Injectable Value'!$Z$28:$Z$178,MATCH($C317,'Injectable Value'!$A$28:$A$178,0)),"")</f>
        <v>1</v>
      </c>
      <c r="T317" s="19" t="n">
        <f aca="false">IFERROR(ROUND(INDEX('Injectable Value'!$AA$28:$AA$178,MATCH($C317,'Injectable Value'!$A$28:$A$178,0)),1),"")</f>
        <v>28093.4</v>
      </c>
      <c r="U317" s="17" t="s">
        <v>873</v>
      </c>
      <c r="V317" s="16" t="n">
        <v>8</v>
      </c>
      <c r="W317" s="16" t="s">
        <v>859</v>
      </c>
      <c r="X317" s="16" t="s">
        <v>281</v>
      </c>
      <c r="Y317" s="16" t="s">
        <v>283</v>
      </c>
      <c r="Z317" s="17" t="str">
        <f aca="false">IFERROR(INDEX(Scoring!$U:$U,MATCH($C317&amp;"|"&amp;$E317,Scoring!$AD:$AD,0)),"")</f>
        <v>Cancer drug (cytotoxic) – less relevant; Reconstitution</v>
      </c>
      <c r="AA317" s="16" t="str">
        <f aca="false">IFERROR(INDEX(Scoring!$E:$E,MATCH($C317&amp;"|"&amp;$E317,Scoring!$AD:$AD,0)),"")</f>
        <v>Priority 1</v>
      </c>
      <c r="AB317" s="19" t="n">
        <f aca="false">IFERROR(INDEX(Scoring!$M:$M,MATCH($C317&amp;"|"&amp;$E317,Scoring!$AD:$AD,0)),"")</f>
        <v>905</v>
      </c>
      <c r="AC317" s="16" t="str">
        <f aca="false">IFERROR(INDEX('Route of Administration'!$C$5:$C$155,MATCH($C317,'Route of Administration'!$A$5:$A$155,0)),"")</f>
        <v>IV, SC</v>
      </c>
      <c r="AD317" s="15" t="str">
        <f aca="false">IFERROR(INDEX('Route of Administration'!$D$5:$D$155,MATCH($C317,'Route of Administration'!$A$5:$A$155,0)),"")</f>
        <v>Yes</v>
      </c>
      <c r="AE317" s="15" t="str">
        <f aca="false">IF($AD317="No","Not checked – drug is IV only",IFERROR(INDEX('Route of Administration'!$O$5:$O$170,MATCH($E317&amp;"|"&amp;$C317,'Route of Administration'!$S$5:$S$170,0)),"Not checked – price ≤ USD 5"))</f>
        <v>Pass</v>
      </c>
    </row>
    <row r="318" customFormat="false" ht="28.35" hidden="false" customHeight="false" outlineLevel="0" collapsed="false">
      <c r="B318" s="16" t="n">
        <v>316</v>
      </c>
      <c r="C318" s="16" t="s">
        <v>338</v>
      </c>
      <c r="D318" s="16" t="s">
        <v>2153</v>
      </c>
      <c r="E318" s="16" t="s">
        <v>870</v>
      </c>
      <c r="F318" s="16" t="s">
        <v>2156</v>
      </c>
      <c r="G318" s="17" t="s">
        <v>1890</v>
      </c>
      <c r="H318" s="16" t="s">
        <v>1533</v>
      </c>
      <c r="I318" s="18" t="n">
        <v>102.88</v>
      </c>
      <c r="J318" s="16" t="n">
        <v>1</v>
      </c>
      <c r="K318" s="16" t="n">
        <v>905</v>
      </c>
      <c r="L318" s="19" t="n">
        <v>28093.38</v>
      </c>
      <c r="M318" s="17" t="s">
        <v>340</v>
      </c>
      <c r="N318" s="18" t="n">
        <v>102.88</v>
      </c>
      <c r="O318" s="16" t="s">
        <v>1534</v>
      </c>
      <c r="P318" s="16" t="s">
        <v>1700</v>
      </c>
      <c r="Q318" s="17" t="s">
        <v>1878</v>
      </c>
      <c r="R318" s="78" t="s">
        <v>2155</v>
      </c>
      <c r="S318" s="77" t="n">
        <f aca="false">IFERROR(INDEX('Injectable Value'!$Z$28:$Z$178,MATCH($C318,'Injectable Value'!$A$28:$A$178,0)),"")</f>
        <v>1</v>
      </c>
      <c r="T318" s="19" t="n">
        <f aca="false">IFERROR(ROUND(INDEX('Injectable Value'!$AA$28:$AA$178,MATCH($C318,'Injectable Value'!$A$28:$A$178,0)),1),"")</f>
        <v>28093.4</v>
      </c>
      <c r="U318" s="17" t="s">
        <v>873</v>
      </c>
      <c r="V318" s="16" t="n">
        <v>8</v>
      </c>
      <c r="W318" s="16" t="s">
        <v>859</v>
      </c>
      <c r="X318" s="16" t="s">
        <v>281</v>
      </c>
      <c r="Y318" s="16" t="s">
        <v>283</v>
      </c>
      <c r="Z318" s="17" t="str">
        <f aca="false">IFERROR(INDEX(Scoring!$U:$U,MATCH($C318&amp;"|"&amp;$E318,Scoring!$AD:$AD,0)),"")</f>
        <v>Cancer drug (cytotoxic) – less relevant; Reconstitution</v>
      </c>
      <c r="AA318" s="16" t="str">
        <f aca="false">IFERROR(INDEX(Scoring!$E:$E,MATCH($C318&amp;"|"&amp;$E318,Scoring!$AD:$AD,0)),"")</f>
        <v>Priority 1</v>
      </c>
      <c r="AB318" s="19" t="n">
        <f aca="false">IFERROR(INDEX(Scoring!$M:$M,MATCH($C318&amp;"|"&amp;$E318,Scoring!$AD:$AD,0)),"")</f>
        <v>905</v>
      </c>
      <c r="AC318" s="16" t="str">
        <f aca="false">IFERROR(INDEX('Route of Administration'!$C$5:$C$155,MATCH($C318,'Route of Administration'!$A$5:$A$155,0)),"")</f>
        <v>IV, SC</v>
      </c>
      <c r="AD318" s="15" t="str">
        <f aca="false">IFERROR(INDEX('Route of Administration'!$D$5:$D$155,MATCH($C318,'Route of Administration'!$A$5:$A$155,0)),"")</f>
        <v>Yes</v>
      </c>
      <c r="AE318" s="15" t="str">
        <f aca="false">IF($AD318="No","Not checked – drug is IV only",IFERROR(INDEX('Route of Administration'!$O$5:$O$170,MATCH($E318&amp;"|"&amp;$C318,'Route of Administration'!$S$5:$S$170,0)),"Not checked – price ≤ USD 5"))</f>
        <v>Pass</v>
      </c>
    </row>
    <row r="319" customFormat="false" ht="28.35" hidden="false" customHeight="false" outlineLevel="0" collapsed="false">
      <c r="B319" s="16" t="n">
        <v>317</v>
      </c>
      <c r="C319" s="16" t="s">
        <v>338</v>
      </c>
      <c r="D319" s="16" t="s">
        <v>2153</v>
      </c>
      <c r="E319" s="16" t="s">
        <v>870</v>
      </c>
      <c r="F319" s="16" t="s">
        <v>2157</v>
      </c>
      <c r="G319" s="17" t="s">
        <v>2158</v>
      </c>
      <c r="H319" s="16" t="s">
        <v>1533</v>
      </c>
      <c r="I319" s="18" t="n">
        <v>92.78</v>
      </c>
      <c r="J319" s="16" t="n">
        <v>1</v>
      </c>
      <c r="K319" s="16" t="n">
        <v>905</v>
      </c>
      <c r="L319" s="19" t="n">
        <v>28093.38</v>
      </c>
      <c r="M319" s="17" t="s">
        <v>340</v>
      </c>
      <c r="N319" s="18" t="n">
        <v>92.78</v>
      </c>
      <c r="O319" s="16" t="s">
        <v>1534</v>
      </c>
      <c r="P319" s="16" t="s">
        <v>1700</v>
      </c>
      <c r="Q319" s="17" t="s">
        <v>1878</v>
      </c>
      <c r="R319" s="78" t="s">
        <v>2155</v>
      </c>
      <c r="S319" s="77" t="n">
        <f aca="false">IFERROR(INDEX('Injectable Value'!$Z$28:$Z$178,MATCH($C319,'Injectable Value'!$A$28:$A$178,0)),"")</f>
        <v>1</v>
      </c>
      <c r="T319" s="19" t="n">
        <f aca="false">IFERROR(ROUND(INDEX('Injectable Value'!$AA$28:$AA$178,MATCH($C319,'Injectable Value'!$A$28:$A$178,0)),1),"")</f>
        <v>28093.4</v>
      </c>
      <c r="U319" s="17" t="s">
        <v>873</v>
      </c>
      <c r="V319" s="16" t="n">
        <v>8</v>
      </c>
      <c r="W319" s="16" t="s">
        <v>859</v>
      </c>
      <c r="X319" s="16" t="s">
        <v>281</v>
      </c>
      <c r="Y319" s="16" t="s">
        <v>283</v>
      </c>
      <c r="Z319" s="17" t="str">
        <f aca="false">IFERROR(INDEX(Scoring!$U:$U,MATCH($C319&amp;"|"&amp;$E319,Scoring!$AD:$AD,0)),"")</f>
        <v>Cancer drug (cytotoxic) – less relevant; Reconstitution</v>
      </c>
      <c r="AA319" s="16" t="str">
        <f aca="false">IFERROR(INDEX(Scoring!$E:$E,MATCH($C319&amp;"|"&amp;$E319,Scoring!$AD:$AD,0)),"")</f>
        <v>Priority 1</v>
      </c>
      <c r="AB319" s="19" t="n">
        <f aca="false">IFERROR(INDEX(Scoring!$M:$M,MATCH($C319&amp;"|"&amp;$E319,Scoring!$AD:$AD,0)),"")</f>
        <v>905</v>
      </c>
      <c r="AC319" s="16" t="str">
        <f aca="false">IFERROR(INDEX('Route of Administration'!$C$5:$C$155,MATCH($C319,'Route of Administration'!$A$5:$A$155,0)),"")</f>
        <v>IV, SC</v>
      </c>
      <c r="AD319" s="15" t="str">
        <f aca="false">IFERROR(INDEX('Route of Administration'!$D$5:$D$155,MATCH($C319,'Route of Administration'!$A$5:$A$155,0)),"")</f>
        <v>Yes</v>
      </c>
      <c r="AE319" s="15" t="str">
        <f aca="false">IF($AD319="No","Not checked – drug is IV only",IFERROR(INDEX('Route of Administration'!$O$5:$O$170,MATCH($E319&amp;"|"&amp;$C319,'Route of Administration'!$S$5:$S$170,0)),"Not checked – price ≤ USD 5"))</f>
        <v>Pass</v>
      </c>
    </row>
    <row r="320" customFormat="false" ht="28.35" hidden="false" customHeight="false" outlineLevel="0" collapsed="false">
      <c r="B320" s="16" t="n">
        <v>318</v>
      </c>
      <c r="C320" s="16" t="s">
        <v>529</v>
      </c>
      <c r="D320" s="16" t="s">
        <v>905</v>
      </c>
      <c r="E320" s="16" t="s">
        <v>870</v>
      </c>
      <c r="F320" s="16" t="s">
        <v>2159</v>
      </c>
      <c r="G320" s="17" t="s">
        <v>1719</v>
      </c>
      <c r="H320" s="16" t="s">
        <v>1533</v>
      </c>
      <c r="I320" s="18" t="n">
        <v>13.99</v>
      </c>
      <c r="J320" s="16" t="n">
        <v>1</v>
      </c>
      <c r="K320" s="16" t="n">
        <v>119</v>
      </c>
      <c r="L320" s="19" t="n">
        <v>3113.83</v>
      </c>
      <c r="M320" s="17" t="s">
        <v>531</v>
      </c>
      <c r="N320" s="18" t="n">
        <v>13.99</v>
      </c>
      <c r="O320" s="16" t="s">
        <v>1534</v>
      </c>
      <c r="P320" s="16" t="s">
        <v>1700</v>
      </c>
      <c r="Q320" s="17" t="s">
        <v>1536</v>
      </c>
      <c r="R320" s="78" t="s">
        <v>1814</v>
      </c>
      <c r="S320" s="77" t="n">
        <f aca="false">IFERROR(INDEX('Injectable Value'!$Z$28:$Z$178,MATCH($C320,'Injectable Value'!$A$28:$A$178,0)),"")</f>
        <v>0.899884259259259</v>
      </c>
      <c r="T320" s="19" t="n">
        <f aca="false">IFERROR(ROUND(INDEX('Injectable Value'!$AA$28:$AA$178,MATCH($C320,'Injectable Value'!$A$28:$A$178,0)),1),"")</f>
        <v>2802.1</v>
      </c>
      <c r="U320" s="17" t="s">
        <v>360</v>
      </c>
      <c r="V320" s="16" t="n">
        <v>1</v>
      </c>
      <c r="W320" s="16" t="s">
        <v>112</v>
      </c>
      <c r="X320" s="16" t="s">
        <v>281</v>
      </c>
      <c r="Y320" s="16" t="s">
        <v>283</v>
      </c>
      <c r="Z320" s="17" t="str">
        <f aca="false">IFERROR(INDEX(Scoring!$U:$U,MATCH($C320&amp;"|"&amp;$E320,Scoring!$AD:$AD,0)),"")</f>
        <v/>
      </c>
      <c r="AA320" s="16" t="str">
        <f aca="false">IFERROR(INDEX(Scoring!$E:$E,MATCH($C320&amp;"|"&amp;$E320,Scoring!$AD:$AD,0)),"")</f>
        <v>Excluded – IV only</v>
      </c>
      <c r="AB320" s="19" t="n">
        <f aca="false">IFERROR(INDEX(Scoring!$M:$M,MATCH($C320&amp;"|"&amp;$E320,Scoring!$AD:$AD,0)),"")</f>
        <v>107</v>
      </c>
      <c r="AC320" s="16" t="str">
        <f aca="false">IFERROR(INDEX('Route of Administration'!$C$5:$C$155,MATCH($C320,'Route of Administration'!$A$5:$A$155,0)),"")</f>
        <v>IV</v>
      </c>
      <c r="AD320" s="15" t="str">
        <f aca="false">IFERROR(INDEX('Route of Administration'!$D$5:$D$155,MATCH($C320,'Route of Administration'!$A$5:$A$155,0)),"")</f>
        <v>No</v>
      </c>
      <c r="AE320" s="15" t="str">
        <f aca="false">IF($AD320="No","Not checked – drug is IV only",IFERROR(INDEX('Route of Administration'!$O$5:$O$170,MATCH($E320&amp;"|"&amp;$C320,'Route of Administration'!$S$5:$S$170,0)),"Not checked – price ≤ USD 5"))</f>
        <v>Not checked – drug is IV only</v>
      </c>
    </row>
    <row r="321" customFormat="false" ht="28.35" hidden="false" customHeight="false" outlineLevel="0" collapsed="false">
      <c r="B321" s="16" t="n">
        <v>319</v>
      </c>
      <c r="C321" s="16" t="s">
        <v>665</v>
      </c>
      <c r="D321" s="16" t="s">
        <v>2160</v>
      </c>
      <c r="E321" s="16" t="s">
        <v>870</v>
      </c>
      <c r="F321" s="16" t="s">
        <v>2161</v>
      </c>
      <c r="G321" s="17" t="s">
        <v>2162</v>
      </c>
      <c r="H321" s="16" t="s">
        <v>1533</v>
      </c>
      <c r="I321" s="18" t="n">
        <v>8.68</v>
      </c>
      <c r="J321" s="16" t="n">
        <v>1</v>
      </c>
      <c r="K321" s="16" t="n">
        <v>346</v>
      </c>
      <c r="L321" s="19" t="n">
        <v>32830.17</v>
      </c>
      <c r="M321" s="17" t="s">
        <v>667</v>
      </c>
      <c r="N321" s="18" t="n">
        <v>8.68</v>
      </c>
      <c r="O321" s="16" t="s">
        <v>1534</v>
      </c>
      <c r="P321" s="16" t="s">
        <v>1700</v>
      </c>
      <c r="Q321" s="17" t="s">
        <v>1878</v>
      </c>
      <c r="R321" s="78" t="s">
        <v>2163</v>
      </c>
      <c r="S321" s="77" t="n">
        <f aca="false">IFERROR(INDEX('Injectable Value'!$Z$28:$Z$178,MATCH($C321,'Injectable Value'!$A$28:$A$178,0)),"")</f>
        <v>1</v>
      </c>
      <c r="T321" s="19" t="n">
        <f aca="false">IFERROR(ROUND(INDEX('Injectable Value'!$AA$28:$AA$178,MATCH($C321,'Injectable Value'!$A$28:$A$178,0)),1),"")</f>
        <v>32830.2</v>
      </c>
      <c r="U321" s="17" t="s">
        <v>908</v>
      </c>
      <c r="V321" s="16" t="n">
        <v>7</v>
      </c>
      <c r="W321" s="16" t="s">
        <v>859</v>
      </c>
      <c r="X321" s="16" t="s">
        <v>281</v>
      </c>
      <c r="Y321" s="16" t="s">
        <v>283</v>
      </c>
      <c r="Z321" s="17" t="str">
        <f aca="false">IFERROR(INDEX(Scoring!$U:$U,MATCH($C321&amp;"|"&amp;$E321,Scoring!$AD:$AD,0)),"")</f>
        <v/>
      </c>
      <c r="AA321" s="16" t="str">
        <f aca="false">IFERROR(INDEX(Scoring!$E:$E,MATCH($C321&amp;"|"&amp;$E321,Scoring!$AD:$AD,0)),"")</f>
        <v>Excluded – IV only</v>
      </c>
      <c r="AB321" s="19" t="n">
        <f aca="false">IFERROR(INDEX(Scoring!$M:$M,MATCH($C321&amp;"|"&amp;$E321,Scoring!$AD:$AD,0)),"")</f>
        <v>346</v>
      </c>
      <c r="AC321" s="16" t="str">
        <f aca="false">IFERROR(INDEX('Route of Administration'!$C$5:$C$155,MATCH($C321,'Route of Administration'!$A$5:$A$155,0)),"")</f>
        <v>IV</v>
      </c>
      <c r="AD321" s="15" t="str">
        <f aca="false">IFERROR(INDEX('Route of Administration'!$D$5:$D$155,MATCH($C321,'Route of Administration'!$A$5:$A$155,0)),"")</f>
        <v>No</v>
      </c>
      <c r="AE321" s="15" t="str">
        <f aca="false">IF($AD321="No","Not checked – drug is IV only",IFERROR(INDEX('Route of Administration'!$O$5:$O$170,MATCH($E321&amp;"|"&amp;$C321,'Route of Administration'!$S$5:$S$170,0)),"Not checked – price ≤ USD 5"))</f>
        <v>Not checked – drug is IV only</v>
      </c>
    </row>
    <row r="322" customFormat="false" ht="28.35" hidden="false" customHeight="false" outlineLevel="0" collapsed="false">
      <c r="B322" s="16" t="n">
        <v>320</v>
      </c>
      <c r="C322" s="16" t="s">
        <v>541</v>
      </c>
      <c r="D322" s="16" t="s">
        <v>2164</v>
      </c>
      <c r="E322" s="16" t="s">
        <v>870</v>
      </c>
      <c r="F322" s="16" t="s">
        <v>2165</v>
      </c>
      <c r="G322" s="17" t="s">
        <v>1687</v>
      </c>
      <c r="H322" s="16" t="s">
        <v>1533</v>
      </c>
      <c r="I322" s="18" t="n">
        <v>3147.91</v>
      </c>
      <c r="J322" s="16" t="n">
        <v>1</v>
      </c>
      <c r="K322" s="16" t="n">
        <v>47</v>
      </c>
      <c r="L322" s="19" t="n">
        <v>7904.67</v>
      </c>
      <c r="M322" s="17" t="s">
        <v>543</v>
      </c>
      <c r="N322" s="18" t="n">
        <v>3147.91</v>
      </c>
      <c r="O322" s="16" t="s">
        <v>1534</v>
      </c>
      <c r="P322" s="16" t="s">
        <v>1700</v>
      </c>
      <c r="Q322" s="17" t="s">
        <v>1878</v>
      </c>
      <c r="R322" s="78" t="s">
        <v>2166</v>
      </c>
      <c r="S322" s="77" t="n">
        <f aca="false">IFERROR(INDEX('Injectable Value'!$Z$28:$Z$178,MATCH($C322,'Injectable Value'!$A$28:$A$178,0)),"")</f>
        <v>1</v>
      </c>
      <c r="T322" s="19" t="n">
        <f aca="false">IFERROR(ROUND(INDEX('Injectable Value'!$AA$28:$AA$178,MATCH($C322,'Injectable Value'!$A$28:$A$178,0)),1),"")</f>
        <v>7904.7</v>
      </c>
      <c r="U322" s="17" t="s">
        <v>908</v>
      </c>
      <c r="V322" s="16" t="n">
        <v>7</v>
      </c>
      <c r="W322" s="16" t="s">
        <v>859</v>
      </c>
      <c r="X322" s="16" t="s">
        <v>281</v>
      </c>
      <c r="Y322" s="16" t="s">
        <v>283</v>
      </c>
      <c r="Z322" s="17" t="str">
        <f aca="false">IFERROR(INDEX(Scoring!$U:$U,MATCH($C322&amp;"|"&amp;$E322,Scoring!$AD:$AD,0)),"")</f>
        <v/>
      </c>
      <c r="AA322" s="16" t="str">
        <f aca="false">IFERROR(INDEX(Scoring!$E:$E,MATCH($C322&amp;"|"&amp;$E322,Scoring!$AD:$AD,0)),"")</f>
        <v>Priority 2</v>
      </c>
      <c r="AB322" s="19" t="n">
        <f aca="false">IFERROR(INDEX(Scoring!$M:$M,MATCH($C322&amp;"|"&amp;$E322,Scoring!$AD:$AD,0)),"")</f>
        <v>47</v>
      </c>
      <c r="AC322" s="16" t="str">
        <f aca="false">IFERROR(INDEX('Route of Administration'!$C$5:$C$155,MATCH($C322,'Route of Administration'!$A$5:$A$155,0)),"")</f>
        <v>SC</v>
      </c>
      <c r="AD322" s="15" t="str">
        <f aca="false">IFERROR(INDEX('Route of Administration'!$D$5:$D$155,MATCH($C322,'Route of Administration'!$A$5:$A$155,0)),"")</f>
        <v>Yes</v>
      </c>
      <c r="AE322" s="15" t="str">
        <f aca="false">IF($AD322="No","Not checked – drug is IV only",IFERROR(INDEX('Route of Administration'!$O$5:$O$170,MATCH($E322&amp;"|"&amp;$C322,'Route of Administration'!$S$5:$S$170,0)),"Not checked – price ≤ USD 5"))</f>
        <v>Pass</v>
      </c>
    </row>
    <row r="323" customFormat="false" ht="28.35" hidden="false" customHeight="false" outlineLevel="0" collapsed="false">
      <c r="B323" s="16" t="n">
        <v>321</v>
      </c>
      <c r="C323" s="16" t="s">
        <v>338</v>
      </c>
      <c r="D323" s="16" t="s">
        <v>2153</v>
      </c>
      <c r="E323" s="16" t="s">
        <v>870</v>
      </c>
      <c r="F323" s="16" t="s">
        <v>2167</v>
      </c>
      <c r="G323" s="17" t="s">
        <v>2005</v>
      </c>
      <c r="H323" s="16" t="s">
        <v>1533</v>
      </c>
      <c r="I323" s="18" t="n">
        <v>102.88</v>
      </c>
      <c r="J323" s="16" t="n">
        <v>1</v>
      </c>
      <c r="K323" s="16" t="n">
        <v>905</v>
      </c>
      <c r="L323" s="19" t="n">
        <v>28093.38</v>
      </c>
      <c r="M323" s="17" t="s">
        <v>340</v>
      </c>
      <c r="N323" s="18" t="n">
        <v>102.88</v>
      </c>
      <c r="O323" s="16" t="s">
        <v>1534</v>
      </c>
      <c r="P323" s="16" t="s">
        <v>1700</v>
      </c>
      <c r="Q323" s="17" t="s">
        <v>1536</v>
      </c>
      <c r="R323" s="78" t="s">
        <v>1814</v>
      </c>
      <c r="S323" s="77" t="n">
        <f aca="false">IFERROR(INDEX('Injectable Value'!$Z$28:$Z$178,MATCH($C323,'Injectable Value'!$A$28:$A$178,0)),"")</f>
        <v>1</v>
      </c>
      <c r="T323" s="19" t="n">
        <f aca="false">IFERROR(ROUND(INDEX('Injectable Value'!$AA$28:$AA$178,MATCH($C323,'Injectable Value'!$A$28:$A$178,0)),1),"")</f>
        <v>28093.4</v>
      </c>
      <c r="U323" s="17" t="s">
        <v>873</v>
      </c>
      <c r="V323" s="16" t="n">
        <v>8</v>
      </c>
      <c r="W323" s="16" t="s">
        <v>859</v>
      </c>
      <c r="X323" s="16" t="s">
        <v>281</v>
      </c>
      <c r="Y323" s="16" t="s">
        <v>283</v>
      </c>
      <c r="Z323" s="17" t="str">
        <f aca="false">IFERROR(INDEX(Scoring!$U:$U,MATCH($C323&amp;"|"&amp;$E323,Scoring!$AD:$AD,0)),"")</f>
        <v>Cancer drug (cytotoxic) – less relevant; Reconstitution</v>
      </c>
      <c r="AA323" s="16" t="str">
        <f aca="false">IFERROR(INDEX(Scoring!$E:$E,MATCH($C323&amp;"|"&amp;$E323,Scoring!$AD:$AD,0)),"")</f>
        <v>Priority 1</v>
      </c>
      <c r="AB323" s="19" t="n">
        <f aca="false">IFERROR(INDEX(Scoring!$M:$M,MATCH($C323&amp;"|"&amp;$E323,Scoring!$AD:$AD,0)),"")</f>
        <v>905</v>
      </c>
      <c r="AC323" s="16" t="str">
        <f aca="false">IFERROR(INDEX('Route of Administration'!$C$5:$C$155,MATCH($C323,'Route of Administration'!$A$5:$A$155,0)),"")</f>
        <v>IV, SC</v>
      </c>
      <c r="AD323" s="15" t="str">
        <f aca="false">IFERROR(INDEX('Route of Administration'!$D$5:$D$155,MATCH($C323,'Route of Administration'!$A$5:$A$155,0)),"")</f>
        <v>Yes</v>
      </c>
      <c r="AE323" s="15" t="str">
        <f aca="false">IF($AD323="No","Not checked – drug is IV only",IFERROR(INDEX('Route of Administration'!$O$5:$O$170,MATCH($E323&amp;"|"&amp;$C323,'Route of Administration'!$S$5:$S$170,0)),"Not checked – price ≤ USD 5"))</f>
        <v>Pass</v>
      </c>
    </row>
    <row r="324" customFormat="false" ht="41.75" hidden="false" customHeight="false" outlineLevel="0" collapsed="false">
      <c r="B324" s="16" t="n">
        <v>322</v>
      </c>
      <c r="C324" s="16" t="s">
        <v>75</v>
      </c>
      <c r="D324" s="16" t="s">
        <v>512</v>
      </c>
      <c r="E324" s="16" t="s">
        <v>927</v>
      </c>
      <c r="F324" s="16" t="s">
        <v>1602</v>
      </c>
      <c r="G324" s="17"/>
      <c r="H324" s="16"/>
      <c r="I324" s="18"/>
      <c r="J324" s="16" t="n">
        <v>1</v>
      </c>
      <c r="K324" s="16" t="n">
        <v>365</v>
      </c>
      <c r="L324" s="19" t="n">
        <v>5976.94</v>
      </c>
      <c r="M324" s="17" t="s">
        <v>513</v>
      </c>
      <c r="N324" s="18"/>
      <c r="O324" s="16" t="s">
        <v>1573</v>
      </c>
      <c r="P324" s="16" t="s">
        <v>112</v>
      </c>
      <c r="Q324" s="17" t="s">
        <v>112</v>
      </c>
      <c r="R324" s="16"/>
      <c r="S324" s="77" t="n">
        <f aca="false">IFERROR(INDEX('Injectable Value'!$Z$28:$Z$178,MATCH($C324,'Injectable Value'!$A$28:$A$178,0)),"")</f>
        <v>0.240571827983426</v>
      </c>
      <c r="T324" s="19" t="n">
        <f aca="false">IFERROR(ROUND(INDEX('Injectable Value'!$AA$28:$AA$178,MATCH($C324,'Injectable Value'!$A$28:$A$178,0)),1),"")</f>
        <v>1437.9</v>
      </c>
      <c r="U324" s="17" t="s">
        <v>1099</v>
      </c>
      <c r="V324" s="16" t="n">
        <v>15</v>
      </c>
      <c r="W324" s="16" t="s">
        <v>760</v>
      </c>
      <c r="X324" s="16" t="s">
        <v>310</v>
      </c>
      <c r="Y324" s="16" t="s">
        <v>310</v>
      </c>
      <c r="Z324" s="17" t="str">
        <f aca="false">IFERROR(INDEX(Scoring!$U:$U,MATCH($C324&amp;"|"&amp;$E324,Scoring!$AD:$AD,0)),"")</f>
        <v>Prefilled only</v>
      </c>
      <c r="AA324" s="16" t="str">
        <f aca="false">IFERROR(INDEX(Scoring!$E:$E,MATCH($C324&amp;"|"&amp;$E324,Scoring!$AD:$AD,0)),"")</f>
        <v>Priority 3</v>
      </c>
      <c r="AB324" s="19" t="n">
        <f aca="false">IFERROR(INDEX(Scoring!$M:$M,MATCH($C324&amp;"|"&amp;$E324,Scoring!$AD:$AD,0)),"")</f>
        <v>88</v>
      </c>
      <c r="AC324" s="16" t="str">
        <f aca="false">IFERROR(INDEX('Route of Administration'!$C$5:$C$155,MATCH($C324,'Route of Administration'!$A$5:$A$155,0)),"")</f>
        <v>IV, IM, SC</v>
      </c>
      <c r="AD324" s="15" t="str">
        <f aca="false">IFERROR(INDEX('Route of Administration'!$D$5:$D$155,MATCH($C324,'Route of Administration'!$A$5:$A$155,0)),"")</f>
        <v>Yes</v>
      </c>
      <c r="AE324" s="15" t="str">
        <f aca="false">IF($AD324="No","Not checked – drug is IV only",IFERROR(INDEX('Route of Administration'!$O$5:$O$170,MATCH($E324&amp;"|"&amp;$C324,'Route of Administration'!$S$5:$S$170,0)),"Not checked – price ≤ USD 5"))</f>
        <v>Pass</v>
      </c>
    </row>
    <row r="325" customFormat="false" ht="41.75" hidden="false" customHeight="false" outlineLevel="0" collapsed="false">
      <c r="B325" s="16" t="n">
        <v>323</v>
      </c>
      <c r="C325" s="16" t="s">
        <v>75</v>
      </c>
      <c r="D325" s="16" t="s">
        <v>512</v>
      </c>
      <c r="E325" s="16" t="s">
        <v>927</v>
      </c>
      <c r="F325" s="16" t="s">
        <v>1600</v>
      </c>
      <c r="G325" s="17"/>
      <c r="H325" s="16"/>
      <c r="I325" s="18"/>
      <c r="J325" s="16" t="n">
        <v>1</v>
      </c>
      <c r="K325" s="16" t="n">
        <v>365</v>
      </c>
      <c r="L325" s="19" t="n">
        <v>5976.94</v>
      </c>
      <c r="M325" s="17" t="s">
        <v>513</v>
      </c>
      <c r="N325" s="18"/>
      <c r="O325" s="16" t="s">
        <v>1573</v>
      </c>
      <c r="P325" s="16" t="s">
        <v>112</v>
      </c>
      <c r="Q325" s="17" t="s">
        <v>112</v>
      </c>
      <c r="R325" s="16"/>
      <c r="S325" s="77" t="n">
        <f aca="false">IFERROR(INDEX('Injectable Value'!$Z$28:$Z$178,MATCH($C325,'Injectable Value'!$A$28:$A$178,0)),"")</f>
        <v>0.240571827983426</v>
      </c>
      <c r="T325" s="19" t="n">
        <f aca="false">IFERROR(ROUND(INDEX('Injectable Value'!$AA$28:$AA$178,MATCH($C325,'Injectable Value'!$A$28:$A$178,0)),1),"")</f>
        <v>1437.9</v>
      </c>
      <c r="U325" s="17" t="s">
        <v>1099</v>
      </c>
      <c r="V325" s="16" t="n">
        <v>15</v>
      </c>
      <c r="W325" s="16" t="s">
        <v>760</v>
      </c>
      <c r="X325" s="16" t="s">
        <v>310</v>
      </c>
      <c r="Y325" s="16" t="s">
        <v>310</v>
      </c>
      <c r="Z325" s="17" t="str">
        <f aca="false">IFERROR(INDEX(Scoring!$U:$U,MATCH($C325&amp;"|"&amp;$E325,Scoring!$AD:$AD,0)),"")</f>
        <v>Prefilled only</v>
      </c>
      <c r="AA325" s="16" t="str">
        <f aca="false">IFERROR(INDEX(Scoring!$E:$E,MATCH($C325&amp;"|"&amp;$E325,Scoring!$AD:$AD,0)),"")</f>
        <v>Priority 3</v>
      </c>
      <c r="AB325" s="19" t="n">
        <f aca="false">IFERROR(INDEX(Scoring!$M:$M,MATCH($C325&amp;"|"&amp;$E325,Scoring!$AD:$AD,0)),"")</f>
        <v>88</v>
      </c>
      <c r="AC325" s="16" t="str">
        <f aca="false">IFERROR(INDEX('Route of Administration'!$C$5:$C$155,MATCH($C325,'Route of Administration'!$A$5:$A$155,0)),"")</f>
        <v>IV, IM, SC</v>
      </c>
      <c r="AD325" s="15" t="str">
        <f aca="false">IFERROR(INDEX('Route of Administration'!$D$5:$D$155,MATCH($C325,'Route of Administration'!$A$5:$A$155,0)),"")</f>
        <v>Yes</v>
      </c>
      <c r="AE325" s="15" t="str">
        <f aca="false">IF($AD325="No","Not checked – drug is IV only",IFERROR(INDEX('Route of Administration'!$O$5:$O$170,MATCH($E325&amp;"|"&amp;$C325,'Route of Administration'!$S$5:$S$170,0)),"Not checked – price ≤ USD 5"))</f>
        <v>Pass</v>
      </c>
    </row>
    <row r="326" customFormat="false" ht="68.65" hidden="false" customHeight="false" outlineLevel="0" collapsed="false">
      <c r="B326" s="16" t="n">
        <v>324</v>
      </c>
      <c r="C326" s="16" t="s">
        <v>518</v>
      </c>
      <c r="D326" s="16" t="s">
        <v>2168</v>
      </c>
      <c r="E326" s="16" t="s">
        <v>927</v>
      </c>
      <c r="F326" s="16" t="s">
        <v>2169</v>
      </c>
      <c r="G326" s="17" t="s">
        <v>2170</v>
      </c>
      <c r="H326" s="16" t="s">
        <v>1533</v>
      </c>
      <c r="I326" s="18" t="n">
        <v>6.32</v>
      </c>
      <c r="J326" s="16" t="n">
        <v>1</v>
      </c>
      <c r="K326" s="16" t="n">
        <v>2546</v>
      </c>
      <c r="L326" s="19" t="n">
        <v>46507.62</v>
      </c>
      <c r="M326" s="17" t="s">
        <v>520</v>
      </c>
      <c r="N326" s="18" t="n">
        <v>6.32</v>
      </c>
      <c r="O326" s="16" t="s">
        <v>1534</v>
      </c>
      <c r="P326" s="16" t="s">
        <v>1535</v>
      </c>
      <c r="Q326" s="17" t="s">
        <v>1536</v>
      </c>
      <c r="R326" s="78" t="s">
        <v>2171</v>
      </c>
      <c r="S326" s="77" t="n">
        <f aca="false">IFERROR(INDEX('Injectable Value'!$Z$28:$Z$178,MATCH($C326,'Injectable Value'!$A$28:$A$178,0)),"")</f>
        <v>0.378228374732698</v>
      </c>
      <c r="T326" s="19" t="n">
        <f aca="false">IFERROR(ROUND(INDEX('Injectable Value'!$AA$28:$AA$178,MATCH($C326,'Injectable Value'!$A$28:$A$178,0)),1),"")</f>
        <v>17590.5</v>
      </c>
      <c r="U326" s="17" t="s">
        <v>1104</v>
      </c>
      <c r="V326" s="16" t="n">
        <v>27</v>
      </c>
      <c r="W326" s="16" t="s">
        <v>342</v>
      </c>
      <c r="X326" s="16" t="s">
        <v>281</v>
      </c>
      <c r="Y326" s="16" t="s">
        <v>1547</v>
      </c>
      <c r="Z326" s="17" t="str">
        <f aca="false">IFERROR(INDEX(Scoring!$U:$U,MATCH($C326&amp;"|"&amp;$E326,Scoring!$AD:$AD,0)),"")</f>
        <v/>
      </c>
      <c r="AA326" s="16" t="str">
        <f aca="false">IFERROR(INDEX(Scoring!$E:$E,MATCH($C326&amp;"|"&amp;$E326,Scoring!$AD:$AD,0)),"")</f>
        <v>Priority 2</v>
      </c>
      <c r="AB326" s="19" t="n">
        <f aca="false">IFERROR(INDEX(Scoring!$M:$M,MATCH($C326&amp;"|"&amp;$E326,Scoring!$AD:$AD,0)),"")</f>
        <v>963</v>
      </c>
      <c r="AC326" s="16" t="str">
        <f aca="false">IFERROR(INDEX('Route of Administration'!$C$5:$C$155,MATCH($C326,'Route of Administration'!$A$5:$A$155,0)),"")</f>
        <v>IV, IM</v>
      </c>
      <c r="AD326" s="15" t="str">
        <f aca="false">IFERROR(INDEX('Route of Administration'!$D$5:$D$155,MATCH($C326,'Route of Administration'!$A$5:$A$155,0)),"")</f>
        <v>Yes</v>
      </c>
      <c r="AE326" s="15" t="str">
        <f aca="false">IF($AD326="No","Not checked – drug is IV only",IFERROR(INDEX('Route of Administration'!$O$5:$O$170,MATCH($E326&amp;"|"&amp;$C326,'Route of Administration'!$S$5:$S$170,0)),"Not checked – price ≤ USD 5"))</f>
        <v>Pass</v>
      </c>
    </row>
    <row r="327" customFormat="false" ht="28.35" hidden="false" customHeight="false" outlineLevel="0" collapsed="false">
      <c r="B327" s="16" t="n">
        <v>325</v>
      </c>
      <c r="C327" s="16" t="s">
        <v>548</v>
      </c>
      <c r="D327" s="16" t="s">
        <v>548</v>
      </c>
      <c r="E327" s="16" t="s">
        <v>927</v>
      </c>
      <c r="F327" s="16" t="s">
        <v>1607</v>
      </c>
      <c r="G327" s="17"/>
      <c r="H327" s="16"/>
      <c r="I327" s="18"/>
      <c r="J327" s="16" t="n">
        <v>1</v>
      </c>
      <c r="K327" s="16" t="n">
        <v>736</v>
      </c>
      <c r="L327" s="19" t="n">
        <v>22018.81</v>
      </c>
      <c r="M327" s="17" t="s">
        <v>549</v>
      </c>
      <c r="N327" s="82" t="n">
        <v>6.23</v>
      </c>
      <c r="O327" s="64" t="s">
        <v>1541</v>
      </c>
      <c r="P327" s="16" t="s">
        <v>1535</v>
      </c>
      <c r="Q327" s="17" t="s">
        <v>1542</v>
      </c>
      <c r="R327" s="78" t="s">
        <v>1543</v>
      </c>
      <c r="S327" s="77" t="n">
        <f aca="false">IFERROR(INDEX('Injectable Value'!$Z$28:$Z$178,MATCH($C327,'Injectable Value'!$A$28:$A$178,0)),"")</f>
        <v>0.120198430249293</v>
      </c>
      <c r="T327" s="19" t="n">
        <f aca="false">IFERROR(ROUND(INDEX('Injectable Value'!$AA$28:$AA$178,MATCH($C327,'Injectable Value'!$A$28:$A$178,0)),1),"")</f>
        <v>2646.6</v>
      </c>
      <c r="U327" s="17" t="s">
        <v>284</v>
      </c>
      <c r="V327" s="16" t="n">
        <v>1</v>
      </c>
      <c r="W327" s="16" t="s">
        <v>284</v>
      </c>
      <c r="X327" s="16" t="s">
        <v>310</v>
      </c>
      <c r="Y327" s="16" t="s">
        <v>310</v>
      </c>
      <c r="Z327" s="17" t="str">
        <f aca="false">IFERROR(INDEX(Scoring!$U:$U,MATCH($C327&amp;"|"&amp;$E327,Scoring!$AD:$AD,0)),"")</f>
        <v/>
      </c>
      <c r="AA327" s="16" t="str">
        <f aca="false">IFERROR(INDEX(Scoring!$E:$E,MATCH($C327&amp;"|"&amp;$E327,Scoring!$AD:$AD,0)),"")</f>
        <v>Priority 3</v>
      </c>
      <c r="AB327" s="19" t="n">
        <f aca="false">IFERROR(INDEX(Scoring!$M:$M,MATCH($C327&amp;"|"&amp;$E327,Scoring!$AD:$AD,0)),"")</f>
        <v>88</v>
      </c>
      <c r="AC327" s="16" t="str">
        <f aca="false">IFERROR(INDEX('Route of Administration'!$C$5:$C$155,MATCH($C327,'Route of Administration'!$A$5:$A$155,0)),"")</f>
        <v>IM</v>
      </c>
      <c r="AD327" s="15" t="str">
        <f aca="false">IFERROR(INDEX('Route of Administration'!$D$5:$D$155,MATCH($C327,'Route of Administration'!$A$5:$A$155,0)),"")</f>
        <v>Yes</v>
      </c>
      <c r="AE327" s="15" t="str">
        <f aca="false">IF($AD327="No","Not checked – drug is IV only",IFERROR(INDEX('Route of Administration'!$O$5:$O$170,MATCH($E327&amp;"|"&amp;$C327,'Route of Administration'!$S$5:$S$170,0)),"Not checked – price ≤ USD 5"))</f>
        <v>Pass</v>
      </c>
    </row>
    <row r="328" customFormat="false" ht="41.75" hidden="false" customHeight="false" outlineLevel="0" collapsed="false">
      <c r="B328" s="16" t="n">
        <v>326</v>
      </c>
      <c r="C328" s="16" t="s">
        <v>699</v>
      </c>
      <c r="D328" s="16" t="s">
        <v>699</v>
      </c>
      <c r="E328" s="16" t="s">
        <v>927</v>
      </c>
      <c r="F328" s="16" t="s">
        <v>2172</v>
      </c>
      <c r="G328" s="17" t="s">
        <v>2173</v>
      </c>
      <c r="H328" s="16" t="s">
        <v>1533</v>
      </c>
      <c r="I328" s="18" t="n">
        <v>31.16</v>
      </c>
      <c r="J328" s="16" t="n">
        <v>1</v>
      </c>
      <c r="K328" s="16" t="n">
        <v>5</v>
      </c>
      <c r="L328" s="19" t="n">
        <v>806.34</v>
      </c>
      <c r="M328" s="17" t="s">
        <v>700</v>
      </c>
      <c r="N328" s="18" t="n">
        <v>31.16</v>
      </c>
      <c r="O328" s="16" t="s">
        <v>1534</v>
      </c>
      <c r="P328" s="16" t="s">
        <v>1535</v>
      </c>
      <c r="Q328" s="17" t="s">
        <v>1536</v>
      </c>
      <c r="R328" s="78" t="s">
        <v>1921</v>
      </c>
      <c r="S328" s="77" t="n">
        <f aca="false">IFERROR(INDEX('Injectable Value'!$Z$28:$Z$178,MATCH($C328,'Injectable Value'!$A$28:$A$178,0)),"")</f>
        <v>1</v>
      </c>
      <c r="T328" s="19" t="n">
        <f aca="false">IFERROR(ROUND(INDEX('Injectable Value'!$AA$28:$AA$178,MATCH($C328,'Injectable Value'!$A$28:$A$178,0)),1),"")</f>
        <v>806.3</v>
      </c>
      <c r="U328" s="17" t="s">
        <v>953</v>
      </c>
      <c r="V328" s="16" t="n">
        <v>12</v>
      </c>
      <c r="W328" s="16" t="s">
        <v>342</v>
      </c>
      <c r="X328" s="16" t="s">
        <v>281</v>
      </c>
      <c r="Y328" s="16" t="s">
        <v>333</v>
      </c>
      <c r="Z328" s="17" t="str">
        <f aca="false">IFERROR(INDEX(Scoring!$U:$U,MATCH($C328&amp;"|"&amp;$E328,Scoring!$AD:$AD,0)),"")</f>
        <v>Reconstitution</v>
      </c>
      <c r="AA328" s="16" t="str">
        <f aca="false">IFERROR(INDEX(Scoring!$E:$E,MATCH($C328&amp;"|"&amp;$E328,Scoring!$AD:$AD,0)),"")</f>
        <v>Excluded – IV only</v>
      </c>
      <c r="AB328" s="19" t="n">
        <f aca="false">IFERROR(INDEX(Scoring!$M:$M,MATCH($C328&amp;"|"&amp;$E328,Scoring!$AD:$AD,0)),"")</f>
        <v>5</v>
      </c>
      <c r="AC328" s="16" t="str">
        <f aca="false">IFERROR(INDEX('Route of Administration'!$C$5:$C$155,MATCH($C328,'Route of Administration'!$A$5:$A$155,0)),"")</f>
        <v>IV</v>
      </c>
      <c r="AD328" s="15" t="str">
        <f aca="false">IFERROR(INDEX('Route of Administration'!$D$5:$D$155,MATCH($C328,'Route of Administration'!$A$5:$A$155,0)),"")</f>
        <v>No</v>
      </c>
      <c r="AE328" s="15" t="str">
        <f aca="false">IF($AD328="No","Not checked – drug is IV only",IFERROR(INDEX('Route of Administration'!$O$5:$O$170,MATCH($E328&amp;"|"&amp;$C328,'Route of Administration'!$S$5:$S$170,0)),"Not checked – price ≤ USD 5"))</f>
        <v>Not checked – drug is IV only</v>
      </c>
    </row>
    <row r="329" customFormat="false" ht="82.05" hidden="false" customHeight="false" outlineLevel="0" collapsed="false">
      <c r="B329" s="16" t="n">
        <v>327</v>
      </c>
      <c r="C329" s="16" t="s">
        <v>466</v>
      </c>
      <c r="D329" s="16" t="s">
        <v>467</v>
      </c>
      <c r="E329" s="16" t="s">
        <v>927</v>
      </c>
      <c r="F329" s="16" t="s">
        <v>1628</v>
      </c>
      <c r="G329" s="17" t="s">
        <v>2174</v>
      </c>
      <c r="H329" s="16" t="s">
        <v>1540</v>
      </c>
      <c r="I329" s="18" t="n">
        <v>125</v>
      </c>
      <c r="J329" s="16" t="n">
        <v>1</v>
      </c>
      <c r="K329" s="16" t="n">
        <v>116</v>
      </c>
      <c r="L329" s="19" t="n">
        <v>1162.12</v>
      </c>
      <c r="M329" s="17" t="s">
        <v>468</v>
      </c>
      <c r="N329" s="18" t="n">
        <v>125</v>
      </c>
      <c r="O329" s="16" t="s">
        <v>1534</v>
      </c>
      <c r="P329" s="16" t="s">
        <v>1535</v>
      </c>
      <c r="Q329" s="17" t="s">
        <v>1536</v>
      </c>
      <c r="R329" s="78" t="s">
        <v>1630</v>
      </c>
      <c r="S329" s="77" t="n">
        <f aca="false">IFERROR(INDEX('Injectable Value'!$Z$28:$Z$178,MATCH($C329,'Injectable Value'!$A$28:$A$178,0)),"")</f>
        <v>0.444974105461394</v>
      </c>
      <c r="T329" s="19" t="n">
        <f aca="false">IFERROR(ROUND(INDEX('Injectable Value'!$AA$28:$AA$178,MATCH($C329,'Injectable Value'!$A$28:$A$178,0)),1),"")</f>
        <v>517.1</v>
      </c>
      <c r="U329" s="17" t="s">
        <v>1057</v>
      </c>
      <c r="V329" s="16" t="n">
        <v>32</v>
      </c>
      <c r="W329" s="16" t="s">
        <v>1056</v>
      </c>
      <c r="X329" s="16" t="s">
        <v>291</v>
      </c>
      <c r="Y329" s="16" t="s">
        <v>283</v>
      </c>
      <c r="Z329" s="17" t="str">
        <f aca="false">IFERROR(INDEX(Scoring!$U:$U,MATCH($C329&amp;"|"&amp;$E329,Scoring!$AD:$AD,0)),"")</f>
        <v>Prefilled only</v>
      </c>
      <c r="AA329" s="16" t="str">
        <f aca="false">IFERROR(INDEX(Scoring!$E:$E,MATCH($C329&amp;"|"&amp;$E329,Scoring!$AD:$AD,0)),"")</f>
        <v>Excluded – IV only</v>
      </c>
      <c r="AB329" s="19" t="n">
        <f aca="false">IFERROR(INDEX(Scoring!$M:$M,MATCH($C329&amp;"|"&amp;$E329,Scoring!$AD:$AD,0)),"")</f>
        <v>52</v>
      </c>
      <c r="AC329" s="16" t="str">
        <f aca="false">IFERROR(INDEX('Route of Administration'!$C$5:$C$155,MATCH($C329,'Route of Administration'!$A$5:$A$155,0)),"")</f>
        <v>IV</v>
      </c>
      <c r="AD329" s="15" t="str">
        <f aca="false">IFERROR(INDEX('Route of Administration'!$D$5:$D$155,MATCH($C329,'Route of Administration'!$A$5:$A$155,0)),"")</f>
        <v>No</v>
      </c>
      <c r="AE329" s="15" t="str">
        <f aca="false">IF($AD329="No","Not checked – drug is IV only",IFERROR(INDEX('Route of Administration'!$O$5:$O$170,MATCH($E329&amp;"|"&amp;$C329,'Route of Administration'!$S$5:$S$170,0)),"Not checked – price ≤ USD 5"))</f>
        <v>Not checked – drug is IV only</v>
      </c>
    </row>
    <row r="330" customFormat="false" ht="82.05" hidden="false" customHeight="false" outlineLevel="0" collapsed="false">
      <c r="B330" s="16" t="n">
        <v>328</v>
      </c>
      <c r="C330" s="16" t="s">
        <v>295</v>
      </c>
      <c r="D330" s="16" t="s">
        <v>295</v>
      </c>
      <c r="E330" s="16" t="s">
        <v>927</v>
      </c>
      <c r="F330" s="16" t="s">
        <v>1554</v>
      </c>
      <c r="G330" s="17" t="s">
        <v>2175</v>
      </c>
      <c r="H330" s="16" t="s">
        <v>1556</v>
      </c>
      <c r="I330" s="18" t="n">
        <v>29.97</v>
      </c>
      <c r="J330" s="16" t="n">
        <v>1</v>
      </c>
      <c r="K330" s="16" t="n">
        <v>146</v>
      </c>
      <c r="L330" s="19" t="n">
        <v>11366.06</v>
      </c>
      <c r="M330" s="17" t="s">
        <v>296</v>
      </c>
      <c r="N330" s="18" t="n">
        <v>29.97</v>
      </c>
      <c r="O330" s="16" t="s">
        <v>1534</v>
      </c>
      <c r="P330" s="16" t="s">
        <v>1535</v>
      </c>
      <c r="Q330" s="17" t="s">
        <v>1536</v>
      </c>
      <c r="R330" s="78" t="s">
        <v>1557</v>
      </c>
      <c r="S330" s="77" t="n">
        <f aca="false">IFERROR(INDEX('Injectable Value'!$Z$28:$Z$178,MATCH($C330,'Injectable Value'!$A$28:$A$178,0)),"")</f>
        <v>1</v>
      </c>
      <c r="T330" s="19" t="n">
        <f aca="false">IFERROR(ROUND(INDEX('Injectable Value'!$AA$28:$AA$178,MATCH($C330,'Injectable Value'!$A$28:$A$178,0)),1),"")</f>
        <v>11366.1</v>
      </c>
      <c r="U330" s="17" t="s">
        <v>1045</v>
      </c>
      <c r="V330" s="16" t="n">
        <v>30</v>
      </c>
      <c r="W330" s="16" t="s">
        <v>342</v>
      </c>
      <c r="X330" s="16" t="s">
        <v>291</v>
      </c>
      <c r="Y330" s="16" t="s">
        <v>283</v>
      </c>
      <c r="Z330" s="17" t="str">
        <f aca="false">IFERROR(INDEX(Scoring!$U:$U,MATCH($C330&amp;"|"&amp;$E330,Scoring!$AD:$AD,0)),"")</f>
        <v>Prefilled only</v>
      </c>
      <c r="AA330" s="16" t="str">
        <f aca="false">IFERROR(INDEX(Scoring!$E:$E,MATCH($C330&amp;"|"&amp;$E330,Scoring!$AD:$AD,0)),"")</f>
        <v>Priority 1</v>
      </c>
      <c r="AB330" s="19" t="n">
        <f aca="false">IFERROR(INDEX(Scoring!$M:$M,MATCH($C330&amp;"|"&amp;$E330,Scoring!$AD:$AD,0)),"")</f>
        <v>146</v>
      </c>
      <c r="AC330" s="16" t="str">
        <f aca="false">IFERROR(INDEX('Route of Administration'!$C$5:$C$155,MATCH($C330,'Route of Administration'!$A$5:$A$155,0)),"")</f>
        <v>IM</v>
      </c>
      <c r="AD330" s="15" t="str">
        <f aca="false">IFERROR(INDEX('Route of Administration'!$D$5:$D$155,MATCH($C330,'Route of Administration'!$A$5:$A$155,0)),"")</f>
        <v>Yes</v>
      </c>
      <c r="AE330" s="15" t="str">
        <f aca="false">IF($AD330="No","Not checked – drug is IV only",IFERROR(INDEX('Route of Administration'!$O$5:$O$170,MATCH($E330&amp;"|"&amp;$C330,'Route of Administration'!$S$5:$S$170,0)),"Not checked – price ≤ USD 5"))</f>
        <v>Pass</v>
      </c>
    </row>
    <row r="331" customFormat="false" ht="28.35" hidden="false" customHeight="false" outlineLevel="0" collapsed="false">
      <c r="B331" s="16" t="n">
        <v>329</v>
      </c>
      <c r="C331" s="16" t="s">
        <v>324</v>
      </c>
      <c r="D331" s="16" t="s">
        <v>325</v>
      </c>
      <c r="E331" s="16" t="s">
        <v>927</v>
      </c>
      <c r="F331" s="16" t="s">
        <v>1652</v>
      </c>
      <c r="G331" s="17" t="s">
        <v>2176</v>
      </c>
      <c r="H331" s="16" t="s">
        <v>281</v>
      </c>
      <c r="I331" s="18" t="n">
        <v>90.4</v>
      </c>
      <c r="J331" s="16" t="n">
        <v>1</v>
      </c>
      <c r="K331" s="16" t="n">
        <v>22</v>
      </c>
      <c r="L331" s="19" t="n">
        <v>2127.31</v>
      </c>
      <c r="M331" s="17" t="s">
        <v>326</v>
      </c>
      <c r="N331" s="18" t="n">
        <v>90.4</v>
      </c>
      <c r="O331" s="16" t="s">
        <v>1534</v>
      </c>
      <c r="P331" s="16" t="s">
        <v>1535</v>
      </c>
      <c r="Q331" s="17" t="s">
        <v>1536</v>
      </c>
      <c r="R331" s="78" t="s">
        <v>1654</v>
      </c>
      <c r="S331" s="77" t="n">
        <f aca="false">IFERROR(INDEX('Injectable Value'!$Z$28:$Z$178,MATCH($C331,'Injectable Value'!$A$28:$A$178,0)),"")</f>
        <v>1</v>
      </c>
      <c r="T331" s="19" t="n">
        <f aca="false">IFERROR(ROUND(INDEX('Injectable Value'!$AA$28:$AA$178,MATCH($C331,'Injectable Value'!$A$28:$A$178,0)),1),"")</f>
        <v>2127.3</v>
      </c>
      <c r="U331" s="17" t="s">
        <v>936</v>
      </c>
      <c r="V331" s="16" t="n">
        <v>5</v>
      </c>
      <c r="W331" s="16" t="s">
        <v>935</v>
      </c>
      <c r="X331" s="16" t="s">
        <v>281</v>
      </c>
      <c r="Y331" s="16" t="s">
        <v>1547</v>
      </c>
      <c r="Z331" s="17" t="str">
        <f aca="false">IFERROR(INDEX(Scoring!$U:$U,MATCH($C331&amp;"|"&amp;$E331,Scoring!$AD:$AD,0)),"")</f>
        <v/>
      </c>
      <c r="AA331" s="16" t="str">
        <f aca="false">IFERROR(INDEX(Scoring!$E:$E,MATCH($C331&amp;"|"&amp;$E331,Scoring!$AD:$AD,0)),"")</f>
        <v>Excluded – IV only</v>
      </c>
      <c r="AB331" s="19" t="n">
        <f aca="false">IFERROR(INDEX(Scoring!$M:$M,MATCH($C331&amp;"|"&amp;$E331,Scoring!$AD:$AD,0)),"")</f>
        <v>22</v>
      </c>
      <c r="AC331" s="16" t="str">
        <f aca="false">IFERROR(INDEX('Route of Administration'!$C$5:$C$155,MATCH($C331,'Route of Administration'!$A$5:$A$155,0)),"")</f>
        <v>IV</v>
      </c>
      <c r="AD331" s="15" t="str">
        <f aca="false">IFERROR(INDEX('Route of Administration'!$D$5:$D$155,MATCH($C331,'Route of Administration'!$A$5:$A$155,0)),"")</f>
        <v>No</v>
      </c>
      <c r="AE331" s="15" t="str">
        <f aca="false">IF($AD331="No","Not checked – drug is IV only",IFERROR(INDEX('Route of Administration'!$O$5:$O$170,MATCH($E331&amp;"|"&amp;$C331,'Route of Administration'!$S$5:$S$170,0)),"Not checked – price ≤ USD 5"))</f>
        <v>Not checked – drug is IV only</v>
      </c>
    </row>
    <row r="332" customFormat="false" ht="41.75" hidden="false" customHeight="false" outlineLevel="0" collapsed="false">
      <c r="B332" s="16" t="n">
        <v>330</v>
      </c>
      <c r="C332" s="16" t="s">
        <v>940</v>
      </c>
      <c r="D332" s="16" t="s">
        <v>2177</v>
      </c>
      <c r="E332" s="16" t="s">
        <v>927</v>
      </c>
      <c r="F332" s="16" t="s">
        <v>2178</v>
      </c>
      <c r="G332" s="17" t="s">
        <v>2179</v>
      </c>
      <c r="H332" s="16" t="s">
        <v>291</v>
      </c>
      <c r="I332" s="18" t="n">
        <v>31.1</v>
      </c>
      <c r="J332" s="16" t="n">
        <v>1</v>
      </c>
      <c r="K332" s="16" t="n">
        <v>976</v>
      </c>
      <c r="L332" s="19" t="n">
        <v>9295.14</v>
      </c>
      <c r="M332" s="17" t="s">
        <v>942</v>
      </c>
      <c r="N332" s="18" t="n">
        <v>31.1</v>
      </c>
      <c r="O332" s="16" t="s">
        <v>1534</v>
      </c>
      <c r="P332" s="16" t="s">
        <v>1535</v>
      </c>
      <c r="Q332" s="17" t="s">
        <v>1536</v>
      </c>
      <c r="R332" s="78" t="s">
        <v>2180</v>
      </c>
      <c r="S332" s="77" t="n">
        <f aca="false">IFERROR(INDEX('Injectable Value'!$Z$28:$Z$178,MATCH($C332,'Injectable Value'!$A$28:$A$178,0)),"")</f>
        <v>0.732106666907168</v>
      </c>
      <c r="T332" s="19" t="n">
        <f aca="false">IFERROR(ROUND(INDEX('Injectable Value'!$AA$28:$AA$178,MATCH($C332,'Injectable Value'!$A$28:$A$178,0)),1),"")</f>
        <v>6805</v>
      </c>
      <c r="U332" s="17" t="s">
        <v>944</v>
      </c>
      <c r="V332" s="16" t="n">
        <v>16</v>
      </c>
      <c r="W332" s="16" t="s">
        <v>760</v>
      </c>
      <c r="X332" s="16" t="s">
        <v>291</v>
      </c>
      <c r="Y332" s="16" t="s">
        <v>283</v>
      </c>
      <c r="Z332" s="17" t="str">
        <f aca="false">IFERROR(INDEX(Scoring!$U:$U,MATCH($C332&amp;"|"&amp;$E332,Scoring!$AD:$AD,0)),"")</f>
        <v/>
      </c>
      <c r="AA332" s="16" t="str">
        <f aca="false">IFERROR(INDEX(Scoring!$E:$E,MATCH($C332&amp;"|"&amp;$E332,Scoring!$AD:$AD,0)),"")</f>
        <v>Priority 2</v>
      </c>
      <c r="AB332" s="19" t="n">
        <f aca="false">IFERROR(INDEX(Scoring!$M:$M,MATCH($C332&amp;"|"&amp;$E332,Scoring!$AD:$AD,0)),"")</f>
        <v>715</v>
      </c>
      <c r="AC332" s="16" t="str">
        <f aca="false">IFERROR(INDEX('Route of Administration'!$C$5:$C$155,MATCH($C332,'Route of Administration'!$A$5:$A$155,0)),"")</f>
        <v>IV, IM, SC</v>
      </c>
      <c r="AD332" s="15" t="str">
        <f aca="false">IFERROR(INDEX('Route of Administration'!$D$5:$D$155,MATCH($C332,'Route of Administration'!$A$5:$A$155,0)),"")</f>
        <v>Yes</v>
      </c>
      <c r="AE332" s="15" t="str">
        <f aca="false">IF($AD332="No","Not checked – drug is IV only",IFERROR(INDEX('Route of Administration'!$O$5:$O$170,MATCH($E332&amp;"|"&amp;$C332,'Route of Administration'!$S$5:$S$170,0)),"Not checked – price ≤ USD 5"))</f>
        <v>Pass</v>
      </c>
    </row>
    <row r="333" customFormat="false" ht="41.75" hidden="false" customHeight="false" outlineLevel="0" collapsed="false">
      <c r="B333" s="16" t="n">
        <v>331</v>
      </c>
      <c r="C333" s="16" t="s">
        <v>940</v>
      </c>
      <c r="D333" s="16" t="s">
        <v>2177</v>
      </c>
      <c r="E333" s="16" t="s">
        <v>927</v>
      </c>
      <c r="F333" s="16" t="s">
        <v>2181</v>
      </c>
      <c r="G333" s="17" t="s">
        <v>2182</v>
      </c>
      <c r="H333" s="16" t="s">
        <v>281</v>
      </c>
      <c r="I333" s="18" t="n">
        <v>9.25</v>
      </c>
      <c r="J333" s="16" t="n">
        <v>1</v>
      </c>
      <c r="K333" s="16" t="n">
        <v>976</v>
      </c>
      <c r="L333" s="19" t="n">
        <v>9295.14</v>
      </c>
      <c r="M333" s="17" t="s">
        <v>942</v>
      </c>
      <c r="N333" s="18" t="n">
        <v>9.25</v>
      </c>
      <c r="O333" s="16" t="s">
        <v>1534</v>
      </c>
      <c r="P333" s="16" t="s">
        <v>1535</v>
      </c>
      <c r="Q333" s="17" t="s">
        <v>1536</v>
      </c>
      <c r="R333" s="78" t="s">
        <v>2180</v>
      </c>
      <c r="S333" s="77" t="n">
        <f aca="false">IFERROR(INDEX('Injectable Value'!$Z$28:$Z$178,MATCH($C333,'Injectable Value'!$A$28:$A$178,0)),"")</f>
        <v>0.732106666907168</v>
      </c>
      <c r="T333" s="19" t="n">
        <f aca="false">IFERROR(ROUND(INDEX('Injectable Value'!$AA$28:$AA$178,MATCH($C333,'Injectable Value'!$A$28:$A$178,0)),1),"")</f>
        <v>6805</v>
      </c>
      <c r="U333" s="17" t="s">
        <v>944</v>
      </c>
      <c r="V333" s="16" t="n">
        <v>16</v>
      </c>
      <c r="W333" s="16" t="s">
        <v>760</v>
      </c>
      <c r="X333" s="16" t="s">
        <v>281</v>
      </c>
      <c r="Y333" s="16" t="s">
        <v>283</v>
      </c>
      <c r="Z333" s="17" t="str">
        <f aca="false">IFERROR(INDEX(Scoring!$U:$U,MATCH($C333&amp;"|"&amp;$E333,Scoring!$AD:$AD,0)),"")</f>
        <v/>
      </c>
      <c r="AA333" s="16" t="str">
        <f aca="false">IFERROR(INDEX(Scoring!$E:$E,MATCH($C333&amp;"|"&amp;$E333,Scoring!$AD:$AD,0)),"")</f>
        <v>Priority 2</v>
      </c>
      <c r="AB333" s="19" t="n">
        <f aca="false">IFERROR(INDEX(Scoring!$M:$M,MATCH($C333&amp;"|"&amp;$E333,Scoring!$AD:$AD,0)),"")</f>
        <v>715</v>
      </c>
      <c r="AC333" s="16" t="str">
        <f aca="false">IFERROR(INDEX('Route of Administration'!$C$5:$C$155,MATCH($C333,'Route of Administration'!$A$5:$A$155,0)),"")</f>
        <v>IV, IM, SC</v>
      </c>
      <c r="AD333" s="15" t="str">
        <f aca="false">IFERROR(INDEX('Route of Administration'!$D$5:$D$155,MATCH($C333,'Route of Administration'!$A$5:$A$155,0)),"")</f>
        <v>Yes</v>
      </c>
      <c r="AE333" s="15" t="str">
        <f aca="false">IF($AD333="No","Not checked – drug is IV only",IFERROR(INDEX('Route of Administration'!$O$5:$O$170,MATCH($E333&amp;"|"&amp;$C333,'Route of Administration'!$S$5:$S$170,0)),"Not checked – price ≤ USD 5"))</f>
        <v>Pass</v>
      </c>
    </row>
    <row r="334" customFormat="false" ht="41.75" hidden="false" customHeight="false" outlineLevel="0" collapsed="false">
      <c r="B334" s="16" t="n">
        <v>332</v>
      </c>
      <c r="C334" s="16" t="s">
        <v>940</v>
      </c>
      <c r="D334" s="16" t="s">
        <v>2177</v>
      </c>
      <c r="E334" s="16" t="s">
        <v>927</v>
      </c>
      <c r="F334" s="16" t="s">
        <v>2183</v>
      </c>
      <c r="G334" s="17" t="s">
        <v>2184</v>
      </c>
      <c r="H334" s="16" t="s">
        <v>291</v>
      </c>
      <c r="I334" s="18" t="n">
        <v>8.8</v>
      </c>
      <c r="J334" s="16" t="n">
        <v>1</v>
      </c>
      <c r="K334" s="16" t="n">
        <v>976</v>
      </c>
      <c r="L334" s="19" t="n">
        <v>9295.14</v>
      </c>
      <c r="M334" s="17" t="s">
        <v>942</v>
      </c>
      <c r="N334" s="18" t="n">
        <v>8.8</v>
      </c>
      <c r="O334" s="16" t="s">
        <v>1534</v>
      </c>
      <c r="P334" s="16" t="s">
        <v>1535</v>
      </c>
      <c r="Q334" s="17" t="s">
        <v>1536</v>
      </c>
      <c r="R334" s="78" t="s">
        <v>2180</v>
      </c>
      <c r="S334" s="77" t="n">
        <f aca="false">IFERROR(INDEX('Injectable Value'!$Z$28:$Z$178,MATCH($C334,'Injectable Value'!$A$28:$A$178,0)),"")</f>
        <v>0.732106666907168</v>
      </c>
      <c r="T334" s="19" t="n">
        <f aca="false">IFERROR(ROUND(INDEX('Injectable Value'!$AA$28:$AA$178,MATCH($C334,'Injectable Value'!$A$28:$A$178,0)),1),"")</f>
        <v>6805</v>
      </c>
      <c r="U334" s="17" t="s">
        <v>944</v>
      </c>
      <c r="V334" s="16" t="n">
        <v>16</v>
      </c>
      <c r="W334" s="16" t="s">
        <v>760</v>
      </c>
      <c r="X334" s="16" t="s">
        <v>291</v>
      </c>
      <c r="Y334" s="16" t="s">
        <v>283</v>
      </c>
      <c r="Z334" s="17" t="str">
        <f aca="false">IFERROR(INDEX(Scoring!$U:$U,MATCH($C334&amp;"|"&amp;$E334,Scoring!$AD:$AD,0)),"")</f>
        <v/>
      </c>
      <c r="AA334" s="16" t="str">
        <f aca="false">IFERROR(INDEX(Scoring!$E:$E,MATCH($C334&amp;"|"&amp;$E334,Scoring!$AD:$AD,0)),"")</f>
        <v>Priority 2</v>
      </c>
      <c r="AB334" s="19" t="n">
        <f aca="false">IFERROR(INDEX(Scoring!$M:$M,MATCH($C334&amp;"|"&amp;$E334,Scoring!$AD:$AD,0)),"")</f>
        <v>715</v>
      </c>
      <c r="AC334" s="16" t="str">
        <f aca="false">IFERROR(INDEX('Route of Administration'!$C$5:$C$155,MATCH($C334,'Route of Administration'!$A$5:$A$155,0)),"")</f>
        <v>IV, IM, SC</v>
      </c>
      <c r="AD334" s="15" t="str">
        <f aca="false">IFERROR(INDEX('Route of Administration'!$D$5:$D$155,MATCH($C334,'Route of Administration'!$A$5:$A$155,0)),"")</f>
        <v>Yes</v>
      </c>
      <c r="AE334" s="15" t="str">
        <f aca="false">IF($AD334="No","Not checked – drug is IV only",IFERROR(INDEX('Route of Administration'!$O$5:$O$170,MATCH($E334&amp;"|"&amp;$C334,'Route of Administration'!$S$5:$S$170,0)),"Not checked – price ≤ USD 5"))</f>
        <v>Pass</v>
      </c>
    </row>
    <row r="335" customFormat="false" ht="41.75" hidden="false" customHeight="false" outlineLevel="0" collapsed="false">
      <c r="B335" s="16" t="n">
        <v>333</v>
      </c>
      <c r="C335" s="16" t="s">
        <v>940</v>
      </c>
      <c r="D335" s="16" t="s">
        <v>2177</v>
      </c>
      <c r="E335" s="16" t="s">
        <v>927</v>
      </c>
      <c r="F335" s="16" t="s">
        <v>2185</v>
      </c>
      <c r="G335" s="17" t="s">
        <v>2186</v>
      </c>
      <c r="H335" s="16" t="s">
        <v>291</v>
      </c>
      <c r="I335" s="18" t="n">
        <v>9.18</v>
      </c>
      <c r="J335" s="16" t="n">
        <v>1</v>
      </c>
      <c r="K335" s="16" t="n">
        <v>976</v>
      </c>
      <c r="L335" s="19" t="n">
        <v>9295.14</v>
      </c>
      <c r="M335" s="17" t="s">
        <v>942</v>
      </c>
      <c r="N335" s="18" t="n">
        <v>9.18</v>
      </c>
      <c r="O335" s="16" t="s">
        <v>1534</v>
      </c>
      <c r="P335" s="16" t="s">
        <v>1535</v>
      </c>
      <c r="Q335" s="17" t="s">
        <v>1536</v>
      </c>
      <c r="R335" s="78" t="s">
        <v>2180</v>
      </c>
      <c r="S335" s="77" t="n">
        <f aca="false">IFERROR(INDEX('Injectable Value'!$Z$28:$Z$178,MATCH($C335,'Injectable Value'!$A$28:$A$178,0)),"")</f>
        <v>0.732106666907168</v>
      </c>
      <c r="T335" s="19" t="n">
        <f aca="false">IFERROR(ROUND(INDEX('Injectable Value'!$AA$28:$AA$178,MATCH($C335,'Injectable Value'!$A$28:$A$178,0)),1),"")</f>
        <v>6805</v>
      </c>
      <c r="U335" s="17" t="s">
        <v>944</v>
      </c>
      <c r="V335" s="16" t="n">
        <v>16</v>
      </c>
      <c r="W335" s="16" t="s">
        <v>760</v>
      </c>
      <c r="X335" s="16" t="s">
        <v>291</v>
      </c>
      <c r="Y335" s="16" t="s">
        <v>283</v>
      </c>
      <c r="Z335" s="17" t="str">
        <f aca="false">IFERROR(INDEX(Scoring!$U:$U,MATCH($C335&amp;"|"&amp;$E335,Scoring!$AD:$AD,0)),"")</f>
        <v/>
      </c>
      <c r="AA335" s="16" t="str">
        <f aca="false">IFERROR(INDEX(Scoring!$E:$E,MATCH($C335&amp;"|"&amp;$E335,Scoring!$AD:$AD,0)),"")</f>
        <v>Priority 2</v>
      </c>
      <c r="AB335" s="19" t="n">
        <f aca="false">IFERROR(INDEX(Scoring!$M:$M,MATCH($C335&amp;"|"&amp;$E335,Scoring!$AD:$AD,0)),"")</f>
        <v>715</v>
      </c>
      <c r="AC335" s="16" t="str">
        <f aca="false">IFERROR(INDEX('Route of Administration'!$C$5:$C$155,MATCH($C335,'Route of Administration'!$A$5:$A$155,0)),"")</f>
        <v>IV, IM, SC</v>
      </c>
      <c r="AD335" s="15" t="str">
        <f aca="false">IFERROR(INDEX('Route of Administration'!$D$5:$D$155,MATCH($C335,'Route of Administration'!$A$5:$A$155,0)),"")</f>
        <v>Yes</v>
      </c>
      <c r="AE335" s="15" t="str">
        <f aca="false">IF($AD335="No","Not checked – drug is IV only",IFERROR(INDEX('Route of Administration'!$O$5:$O$170,MATCH($E335&amp;"|"&amp;$C335,'Route of Administration'!$S$5:$S$170,0)),"Not checked – price ≤ USD 5"))</f>
        <v>Pass</v>
      </c>
    </row>
    <row r="336" customFormat="false" ht="41.75" hidden="false" customHeight="false" outlineLevel="0" collapsed="false">
      <c r="B336" s="16" t="n">
        <v>334</v>
      </c>
      <c r="C336" s="16" t="s">
        <v>940</v>
      </c>
      <c r="D336" s="16" t="s">
        <v>2177</v>
      </c>
      <c r="E336" s="16" t="s">
        <v>927</v>
      </c>
      <c r="F336" s="16" t="s">
        <v>2187</v>
      </c>
      <c r="G336" s="17" t="s">
        <v>2188</v>
      </c>
      <c r="H336" s="16" t="s">
        <v>281</v>
      </c>
      <c r="I336" s="18" t="n">
        <v>12.74</v>
      </c>
      <c r="J336" s="16" t="n">
        <v>1</v>
      </c>
      <c r="K336" s="16" t="n">
        <v>976</v>
      </c>
      <c r="L336" s="19" t="n">
        <v>9295.14</v>
      </c>
      <c r="M336" s="17" t="s">
        <v>942</v>
      </c>
      <c r="N336" s="18" t="n">
        <v>12.74</v>
      </c>
      <c r="O336" s="16" t="s">
        <v>1534</v>
      </c>
      <c r="P336" s="16" t="s">
        <v>1535</v>
      </c>
      <c r="Q336" s="17" t="s">
        <v>1536</v>
      </c>
      <c r="R336" s="78" t="s">
        <v>2180</v>
      </c>
      <c r="S336" s="77" t="n">
        <f aca="false">IFERROR(INDEX('Injectable Value'!$Z$28:$Z$178,MATCH($C336,'Injectable Value'!$A$28:$A$178,0)),"")</f>
        <v>0.732106666907168</v>
      </c>
      <c r="T336" s="19" t="n">
        <f aca="false">IFERROR(ROUND(INDEX('Injectable Value'!$AA$28:$AA$178,MATCH($C336,'Injectable Value'!$A$28:$A$178,0)),1),"")</f>
        <v>6805</v>
      </c>
      <c r="U336" s="17" t="s">
        <v>944</v>
      </c>
      <c r="V336" s="16" t="n">
        <v>16</v>
      </c>
      <c r="W336" s="16" t="s">
        <v>760</v>
      </c>
      <c r="X336" s="16" t="s">
        <v>281</v>
      </c>
      <c r="Y336" s="16" t="s">
        <v>283</v>
      </c>
      <c r="Z336" s="17" t="str">
        <f aca="false">IFERROR(INDEX(Scoring!$U:$U,MATCH($C336&amp;"|"&amp;$E336,Scoring!$AD:$AD,0)),"")</f>
        <v/>
      </c>
      <c r="AA336" s="16" t="str">
        <f aca="false">IFERROR(INDEX(Scoring!$E:$E,MATCH($C336&amp;"|"&amp;$E336,Scoring!$AD:$AD,0)),"")</f>
        <v>Priority 2</v>
      </c>
      <c r="AB336" s="19" t="n">
        <f aca="false">IFERROR(INDEX(Scoring!$M:$M,MATCH($C336&amp;"|"&amp;$E336,Scoring!$AD:$AD,0)),"")</f>
        <v>715</v>
      </c>
      <c r="AC336" s="16" t="str">
        <f aca="false">IFERROR(INDEX('Route of Administration'!$C$5:$C$155,MATCH($C336,'Route of Administration'!$A$5:$A$155,0)),"")</f>
        <v>IV, IM, SC</v>
      </c>
      <c r="AD336" s="15" t="str">
        <f aca="false">IFERROR(INDEX('Route of Administration'!$D$5:$D$155,MATCH($C336,'Route of Administration'!$A$5:$A$155,0)),"")</f>
        <v>Yes</v>
      </c>
      <c r="AE336" s="15" t="str">
        <f aca="false">IF($AD336="No","Not checked – drug is IV only",IFERROR(INDEX('Route of Administration'!$O$5:$O$170,MATCH($E336&amp;"|"&amp;$C336,'Route of Administration'!$S$5:$S$170,0)),"Not checked – price ≤ USD 5"))</f>
        <v>Pass</v>
      </c>
    </row>
    <row r="337" customFormat="false" ht="28.35" hidden="false" customHeight="false" outlineLevel="0" collapsed="false">
      <c r="B337" s="16" t="n">
        <v>335</v>
      </c>
      <c r="C337" s="16" t="s">
        <v>1120</v>
      </c>
      <c r="D337" s="16" t="s">
        <v>1120</v>
      </c>
      <c r="E337" s="16" t="s">
        <v>927</v>
      </c>
      <c r="F337" s="16" t="s">
        <v>2189</v>
      </c>
      <c r="G337" s="17" t="s">
        <v>2190</v>
      </c>
      <c r="H337" s="16" t="s">
        <v>281</v>
      </c>
      <c r="I337" s="18" t="n">
        <v>9.13</v>
      </c>
      <c r="J337" s="16" t="n">
        <v>1</v>
      </c>
      <c r="K337" s="16" t="n">
        <v>55</v>
      </c>
      <c r="L337" s="19" t="n">
        <v>6450.54</v>
      </c>
      <c r="M337" s="17" t="s">
        <v>1121</v>
      </c>
      <c r="N337" s="18" t="n">
        <v>9.13</v>
      </c>
      <c r="O337" s="16" t="s">
        <v>1534</v>
      </c>
      <c r="P337" s="16" t="s">
        <v>1535</v>
      </c>
      <c r="Q337" s="17" t="s">
        <v>1536</v>
      </c>
      <c r="R337" s="78" t="s">
        <v>2191</v>
      </c>
      <c r="S337" s="77" t="n">
        <f aca="false">IFERROR(INDEX('Injectable Value'!$Z$28:$Z$178,MATCH($C337,'Injectable Value'!$A$28:$A$178,0)),"")</f>
        <v>0.449896846448571</v>
      </c>
      <c r="T337" s="19" t="n">
        <f aca="false">IFERROR(ROUND(INDEX('Injectable Value'!$AA$28:$AA$178,MATCH($C337,'Injectable Value'!$A$28:$A$178,0)),1),"")</f>
        <v>2902.1</v>
      </c>
      <c r="U337" s="17" t="s">
        <v>1124</v>
      </c>
      <c r="V337" s="16" t="n">
        <v>6</v>
      </c>
      <c r="W337" s="16" t="s">
        <v>1123</v>
      </c>
      <c r="X337" s="16" t="s">
        <v>281</v>
      </c>
      <c r="Y337" s="16" t="s">
        <v>283</v>
      </c>
      <c r="Z337" s="17" t="str">
        <f aca="false">IFERROR(INDEX(Scoring!$U:$U,MATCH($C337&amp;"|"&amp;$E337,Scoring!$AD:$AD,0)),"")</f>
        <v/>
      </c>
      <c r="AA337" s="16" t="str">
        <f aca="false">IFERROR(INDEX(Scoring!$E:$E,MATCH($C337&amp;"|"&amp;$E337,Scoring!$AD:$AD,0)),"")</f>
        <v>Excluded – IV only</v>
      </c>
      <c r="AB337" s="19" t="n">
        <f aca="false">IFERROR(INDEX(Scoring!$M:$M,MATCH($C337&amp;"|"&amp;$E337,Scoring!$AD:$AD,0)),"")</f>
        <v>25</v>
      </c>
      <c r="AC337" s="16" t="str">
        <f aca="false">IFERROR(INDEX('Route of Administration'!$C$5:$C$155,MATCH($C337,'Route of Administration'!$A$5:$A$155,0)),"")</f>
        <v>IV</v>
      </c>
      <c r="AD337" s="15" t="str">
        <f aca="false">IFERROR(INDEX('Route of Administration'!$D$5:$D$155,MATCH($C337,'Route of Administration'!$A$5:$A$155,0)),"")</f>
        <v>No</v>
      </c>
      <c r="AE337" s="15" t="str">
        <f aca="false">IF($AD337="No","Not checked – drug is IV only",IFERROR(INDEX('Route of Administration'!$O$5:$O$170,MATCH($E337&amp;"|"&amp;$C337,'Route of Administration'!$S$5:$S$170,0)),"Not checked – price ≤ USD 5"))</f>
        <v>Not checked – drug is IV only</v>
      </c>
    </row>
    <row r="338" customFormat="false" ht="28.35" hidden="false" customHeight="false" outlineLevel="0" collapsed="false">
      <c r="B338" s="16" t="n">
        <v>336</v>
      </c>
      <c r="C338" s="16" t="s">
        <v>1120</v>
      </c>
      <c r="D338" s="16" t="s">
        <v>1120</v>
      </c>
      <c r="E338" s="16" t="s">
        <v>927</v>
      </c>
      <c r="F338" s="16" t="s">
        <v>2192</v>
      </c>
      <c r="G338" s="17" t="s">
        <v>2193</v>
      </c>
      <c r="H338" s="16" t="s">
        <v>281</v>
      </c>
      <c r="I338" s="18" t="n">
        <v>17.95</v>
      </c>
      <c r="J338" s="16" t="n">
        <v>1</v>
      </c>
      <c r="K338" s="16" t="n">
        <v>55</v>
      </c>
      <c r="L338" s="19" t="n">
        <v>6450.54</v>
      </c>
      <c r="M338" s="17" t="s">
        <v>1121</v>
      </c>
      <c r="N338" s="18" t="n">
        <v>17.95</v>
      </c>
      <c r="O338" s="16" t="s">
        <v>1534</v>
      </c>
      <c r="P338" s="16" t="s">
        <v>1535</v>
      </c>
      <c r="Q338" s="17" t="s">
        <v>1536</v>
      </c>
      <c r="R338" s="78" t="s">
        <v>2191</v>
      </c>
      <c r="S338" s="77" t="n">
        <f aca="false">IFERROR(INDEX('Injectable Value'!$Z$28:$Z$178,MATCH($C338,'Injectable Value'!$A$28:$A$178,0)),"")</f>
        <v>0.449896846448571</v>
      </c>
      <c r="T338" s="19" t="n">
        <f aca="false">IFERROR(ROUND(INDEX('Injectable Value'!$AA$28:$AA$178,MATCH($C338,'Injectable Value'!$A$28:$A$178,0)),1),"")</f>
        <v>2902.1</v>
      </c>
      <c r="U338" s="17" t="s">
        <v>1124</v>
      </c>
      <c r="V338" s="16" t="n">
        <v>6</v>
      </c>
      <c r="W338" s="16" t="s">
        <v>1123</v>
      </c>
      <c r="X338" s="16" t="s">
        <v>281</v>
      </c>
      <c r="Y338" s="16" t="s">
        <v>283</v>
      </c>
      <c r="Z338" s="17" t="str">
        <f aca="false">IFERROR(INDEX(Scoring!$U:$U,MATCH($C338&amp;"|"&amp;$E338,Scoring!$AD:$AD,0)),"")</f>
        <v/>
      </c>
      <c r="AA338" s="16" t="str">
        <f aca="false">IFERROR(INDEX(Scoring!$E:$E,MATCH($C338&amp;"|"&amp;$E338,Scoring!$AD:$AD,0)),"")</f>
        <v>Excluded – IV only</v>
      </c>
      <c r="AB338" s="19" t="n">
        <f aca="false">IFERROR(INDEX(Scoring!$M:$M,MATCH($C338&amp;"|"&amp;$E338,Scoring!$AD:$AD,0)),"")</f>
        <v>25</v>
      </c>
      <c r="AC338" s="16" t="str">
        <f aca="false">IFERROR(INDEX('Route of Administration'!$C$5:$C$155,MATCH($C338,'Route of Administration'!$A$5:$A$155,0)),"")</f>
        <v>IV</v>
      </c>
      <c r="AD338" s="15" t="str">
        <f aca="false">IFERROR(INDEX('Route of Administration'!$D$5:$D$155,MATCH($C338,'Route of Administration'!$A$5:$A$155,0)),"")</f>
        <v>No</v>
      </c>
      <c r="AE338" s="15" t="str">
        <f aca="false">IF($AD338="No","Not checked – drug is IV only",IFERROR(INDEX('Route of Administration'!$O$5:$O$170,MATCH($E338&amp;"|"&amp;$C338,'Route of Administration'!$S$5:$S$170,0)),"Not checked – price ≤ USD 5"))</f>
        <v>Not checked – drug is IV only</v>
      </c>
    </row>
    <row r="339" customFormat="false" ht="28.35" hidden="false" customHeight="false" outlineLevel="0" collapsed="false">
      <c r="B339" s="16" t="n">
        <v>337</v>
      </c>
      <c r="C339" s="16" t="s">
        <v>552</v>
      </c>
      <c r="D339" s="16" t="s">
        <v>552</v>
      </c>
      <c r="E339" s="16" t="s">
        <v>927</v>
      </c>
      <c r="F339" s="16" t="s">
        <v>1665</v>
      </c>
      <c r="G339" s="17" t="s">
        <v>2194</v>
      </c>
      <c r="H339" s="16" t="s">
        <v>1667</v>
      </c>
      <c r="I339" s="18"/>
      <c r="J339" s="16" t="n">
        <v>1</v>
      </c>
      <c r="K339" s="16" t="n">
        <v>9</v>
      </c>
      <c r="L339" s="19" t="n">
        <v>1127.64</v>
      </c>
      <c r="M339" s="17" t="s">
        <v>553</v>
      </c>
      <c r="N339" s="82" t="n">
        <v>10.03</v>
      </c>
      <c r="O339" s="64" t="s">
        <v>1541</v>
      </c>
      <c r="P339" s="16" t="s">
        <v>1535</v>
      </c>
      <c r="Q339" s="17" t="s">
        <v>1542</v>
      </c>
      <c r="R339" s="78" t="s">
        <v>1543</v>
      </c>
      <c r="S339" s="77" t="n">
        <f aca="false">IFERROR(INDEX('Injectable Value'!$Z$28:$Z$178,MATCH($C339,'Injectable Value'!$A$28:$A$178,0)),"")</f>
        <v>1</v>
      </c>
      <c r="T339" s="19" t="n">
        <f aca="false">IFERROR(ROUND(INDEX('Injectable Value'!$AA$28:$AA$178,MATCH($C339,'Injectable Value'!$A$28:$A$178,0)),1),"")</f>
        <v>1127.6</v>
      </c>
      <c r="U339" s="17" t="s">
        <v>284</v>
      </c>
      <c r="V339" s="16" t="n">
        <v>1</v>
      </c>
      <c r="W339" s="16" t="s">
        <v>284</v>
      </c>
      <c r="X339" s="16" t="s">
        <v>291</v>
      </c>
      <c r="Y339" s="16" t="s">
        <v>283</v>
      </c>
      <c r="Z339" s="17" t="str">
        <f aca="false">IFERROR(INDEX(Scoring!$U:$U,MATCH($C339&amp;"|"&amp;$E339,Scoring!$AD:$AD,0)),"")</f>
        <v>Prefilled only</v>
      </c>
      <c r="AA339" s="16" t="str">
        <f aca="false">IFERROR(INDEX(Scoring!$E:$E,MATCH($C339&amp;"|"&amp;$E339,Scoring!$AD:$AD,0)),"")</f>
        <v>Excluded – IV only</v>
      </c>
      <c r="AB339" s="19" t="n">
        <f aca="false">IFERROR(INDEX(Scoring!$M:$M,MATCH($C339&amp;"|"&amp;$E339,Scoring!$AD:$AD,0)),"")</f>
        <v>9</v>
      </c>
      <c r="AC339" s="16" t="str">
        <f aca="false">IFERROR(INDEX('Route of Administration'!$C$5:$C$155,MATCH($C339,'Route of Administration'!$A$5:$A$155,0)),"")</f>
        <v>IV</v>
      </c>
      <c r="AD339" s="15" t="str">
        <f aca="false">IFERROR(INDEX('Route of Administration'!$D$5:$D$155,MATCH($C339,'Route of Administration'!$A$5:$A$155,0)),"")</f>
        <v>No</v>
      </c>
      <c r="AE339" s="15" t="str">
        <f aca="false">IF($AD339="No","Not checked – drug is IV only",IFERROR(INDEX('Route of Administration'!$O$5:$O$170,MATCH($E339&amp;"|"&amp;$C339,'Route of Administration'!$S$5:$S$170,0)),"Not checked – price ≤ USD 5"))</f>
        <v>Not checked – drug is IV only</v>
      </c>
    </row>
    <row r="340" customFormat="false" ht="55.2" hidden="false" customHeight="false" outlineLevel="0" collapsed="false">
      <c r="B340" s="16" t="n">
        <v>338</v>
      </c>
      <c r="C340" s="16" t="s">
        <v>388</v>
      </c>
      <c r="D340" s="16" t="s">
        <v>388</v>
      </c>
      <c r="E340" s="16" t="s">
        <v>927</v>
      </c>
      <c r="F340" s="16" t="s">
        <v>1837</v>
      </c>
      <c r="G340" s="17" t="s">
        <v>1717</v>
      </c>
      <c r="H340" s="16" t="s">
        <v>1533</v>
      </c>
      <c r="I340" s="18" t="n">
        <v>79.32</v>
      </c>
      <c r="J340" s="16" t="n">
        <v>1</v>
      </c>
      <c r="K340" s="16" t="n">
        <v>312</v>
      </c>
      <c r="L340" s="19" t="n">
        <v>59827.18</v>
      </c>
      <c r="M340" s="17" t="s">
        <v>390</v>
      </c>
      <c r="N340" s="18" t="n">
        <v>79.32</v>
      </c>
      <c r="O340" s="16" t="s">
        <v>1534</v>
      </c>
      <c r="P340" s="16" t="s">
        <v>1700</v>
      </c>
      <c r="Q340" s="17" t="s">
        <v>1536</v>
      </c>
      <c r="R340" s="78" t="s">
        <v>2195</v>
      </c>
      <c r="S340" s="77" t="n">
        <f aca="false">IFERROR(INDEX('Injectable Value'!$Z$28:$Z$178,MATCH($C340,'Injectable Value'!$A$28:$A$178,0)),"")</f>
        <v>1</v>
      </c>
      <c r="T340" s="19" t="n">
        <f aca="false">IFERROR(ROUND(INDEX('Injectable Value'!$AA$28:$AA$178,MATCH($C340,'Injectable Value'!$A$28:$A$178,0)),1),"")</f>
        <v>59827.2</v>
      </c>
      <c r="U340" s="17" t="s">
        <v>993</v>
      </c>
      <c r="V340" s="16" t="n">
        <v>21</v>
      </c>
      <c r="W340" s="16" t="s">
        <v>785</v>
      </c>
      <c r="X340" s="16" t="s">
        <v>281</v>
      </c>
      <c r="Y340" s="16" t="s">
        <v>333</v>
      </c>
      <c r="Z340" s="17" t="str">
        <f aca="false">IFERROR(INDEX(Scoring!$U:$U,MATCH($C340&amp;"|"&amp;$E340,Scoring!$AD:$AD,0)),"")</f>
        <v>Reconstitution</v>
      </c>
      <c r="AA340" s="16" t="str">
        <f aca="false">IFERROR(INDEX(Scoring!$E:$E,MATCH($C340&amp;"|"&amp;$E340,Scoring!$AD:$AD,0)),"")</f>
        <v>Excluded – IV only</v>
      </c>
      <c r="AB340" s="19" t="n">
        <f aca="false">IFERROR(INDEX(Scoring!$M:$M,MATCH($C340&amp;"|"&amp;$E340,Scoring!$AD:$AD,0)),"")</f>
        <v>312</v>
      </c>
      <c r="AC340" s="16" t="str">
        <f aca="false">IFERROR(INDEX('Route of Administration'!$C$5:$C$155,MATCH($C340,'Route of Administration'!$A$5:$A$155,0)),"")</f>
        <v>IV</v>
      </c>
      <c r="AD340" s="15" t="str">
        <f aca="false">IFERROR(INDEX('Route of Administration'!$D$5:$D$155,MATCH($C340,'Route of Administration'!$A$5:$A$155,0)),"")</f>
        <v>No</v>
      </c>
      <c r="AE340" s="15" t="str">
        <f aca="false">IF($AD340="No","Not checked – drug is IV only",IFERROR(INDEX('Route of Administration'!$O$5:$O$170,MATCH($E340&amp;"|"&amp;$C340,'Route of Administration'!$S$5:$S$170,0)),"Not checked – price ≤ USD 5"))</f>
        <v>Not checked – drug is IV only</v>
      </c>
    </row>
    <row r="341" customFormat="false" ht="41.75" hidden="false" customHeight="false" outlineLevel="0" collapsed="false">
      <c r="B341" s="16" t="n">
        <v>339</v>
      </c>
      <c r="C341" s="16" t="s">
        <v>699</v>
      </c>
      <c r="D341" s="16" t="s">
        <v>699</v>
      </c>
      <c r="E341" s="16" t="s">
        <v>927</v>
      </c>
      <c r="F341" s="16" t="s">
        <v>1683</v>
      </c>
      <c r="G341" s="17" t="s">
        <v>2196</v>
      </c>
      <c r="H341" s="16" t="s">
        <v>1533</v>
      </c>
      <c r="I341" s="18" t="n">
        <v>231.35</v>
      </c>
      <c r="J341" s="16" t="n">
        <v>1</v>
      </c>
      <c r="K341" s="16" t="n">
        <v>5</v>
      </c>
      <c r="L341" s="19" t="n">
        <v>806.34</v>
      </c>
      <c r="M341" s="17" t="s">
        <v>700</v>
      </c>
      <c r="N341" s="18" t="n">
        <v>231.35</v>
      </c>
      <c r="O341" s="16" t="s">
        <v>1534</v>
      </c>
      <c r="P341" s="16" t="s">
        <v>1700</v>
      </c>
      <c r="Q341" s="17" t="s">
        <v>1536</v>
      </c>
      <c r="R341" s="78" t="s">
        <v>2197</v>
      </c>
      <c r="S341" s="77" t="n">
        <f aca="false">IFERROR(INDEX('Injectable Value'!$Z$28:$Z$178,MATCH($C341,'Injectable Value'!$A$28:$A$178,0)),"")</f>
        <v>1</v>
      </c>
      <c r="T341" s="19" t="n">
        <f aca="false">IFERROR(ROUND(INDEX('Injectable Value'!$AA$28:$AA$178,MATCH($C341,'Injectable Value'!$A$28:$A$178,0)),1),"")</f>
        <v>806.3</v>
      </c>
      <c r="U341" s="17" t="s">
        <v>953</v>
      </c>
      <c r="V341" s="16" t="n">
        <v>12</v>
      </c>
      <c r="W341" s="16" t="s">
        <v>342</v>
      </c>
      <c r="X341" s="16" t="s">
        <v>281</v>
      </c>
      <c r="Y341" s="16" t="s">
        <v>333</v>
      </c>
      <c r="Z341" s="17" t="str">
        <f aca="false">IFERROR(INDEX(Scoring!$U:$U,MATCH($C341&amp;"|"&amp;$E341,Scoring!$AD:$AD,0)),"")</f>
        <v>Reconstitution</v>
      </c>
      <c r="AA341" s="16" t="str">
        <f aca="false">IFERROR(INDEX(Scoring!$E:$E,MATCH($C341&amp;"|"&amp;$E341,Scoring!$AD:$AD,0)),"")</f>
        <v>Excluded – IV only</v>
      </c>
      <c r="AB341" s="19" t="n">
        <f aca="false">IFERROR(INDEX(Scoring!$M:$M,MATCH($C341&amp;"|"&amp;$E341,Scoring!$AD:$AD,0)),"")</f>
        <v>5</v>
      </c>
      <c r="AC341" s="16" t="str">
        <f aca="false">IFERROR(INDEX('Route of Administration'!$C$5:$C$155,MATCH($C341,'Route of Administration'!$A$5:$A$155,0)),"")</f>
        <v>IV</v>
      </c>
      <c r="AD341" s="15" t="str">
        <f aca="false">IFERROR(INDEX('Route of Administration'!$D$5:$D$155,MATCH($C341,'Route of Administration'!$A$5:$A$155,0)),"")</f>
        <v>No</v>
      </c>
      <c r="AE341" s="15" t="str">
        <f aca="false">IF($AD341="No","Not checked – drug is IV only",IFERROR(INDEX('Route of Administration'!$O$5:$O$170,MATCH($E341&amp;"|"&amp;$C341,'Route of Administration'!$S$5:$S$170,0)),"Not checked – price ≤ USD 5"))</f>
        <v>Not checked – drug is IV only</v>
      </c>
    </row>
    <row r="342" customFormat="false" ht="82.05" hidden="false" customHeight="false" outlineLevel="0" collapsed="false">
      <c r="B342" s="16" t="n">
        <v>340</v>
      </c>
      <c r="C342" s="16" t="s">
        <v>295</v>
      </c>
      <c r="D342" s="16" t="s">
        <v>295</v>
      </c>
      <c r="E342" s="16" t="s">
        <v>927</v>
      </c>
      <c r="F342" s="16" t="s">
        <v>1683</v>
      </c>
      <c r="G342" s="17" t="s">
        <v>1684</v>
      </c>
      <c r="H342" s="16" t="s">
        <v>1540</v>
      </c>
      <c r="I342" s="18" t="n">
        <v>345.31</v>
      </c>
      <c r="J342" s="16" t="n">
        <v>1</v>
      </c>
      <c r="K342" s="16" t="n">
        <v>146</v>
      </c>
      <c r="L342" s="19" t="n">
        <v>11366.06</v>
      </c>
      <c r="M342" s="17" t="s">
        <v>296</v>
      </c>
      <c r="N342" s="18" t="n">
        <v>345.31</v>
      </c>
      <c r="O342" s="16" t="s">
        <v>1534</v>
      </c>
      <c r="P342" s="16" t="s">
        <v>1535</v>
      </c>
      <c r="Q342" s="17" t="s">
        <v>1536</v>
      </c>
      <c r="R342" s="78" t="s">
        <v>1685</v>
      </c>
      <c r="S342" s="77" t="n">
        <f aca="false">IFERROR(INDEX('Injectable Value'!$Z$28:$Z$178,MATCH($C342,'Injectable Value'!$A$28:$A$178,0)),"")</f>
        <v>1</v>
      </c>
      <c r="T342" s="19" t="n">
        <f aca="false">IFERROR(ROUND(INDEX('Injectable Value'!$AA$28:$AA$178,MATCH($C342,'Injectable Value'!$A$28:$A$178,0)),1),"")</f>
        <v>11366.1</v>
      </c>
      <c r="U342" s="17" t="s">
        <v>1045</v>
      </c>
      <c r="V342" s="16" t="n">
        <v>30</v>
      </c>
      <c r="W342" s="16" t="s">
        <v>342</v>
      </c>
      <c r="X342" s="16" t="s">
        <v>291</v>
      </c>
      <c r="Y342" s="16" t="s">
        <v>283</v>
      </c>
      <c r="Z342" s="17" t="str">
        <f aca="false">IFERROR(INDEX(Scoring!$U:$U,MATCH($C342&amp;"|"&amp;$E342,Scoring!$AD:$AD,0)),"")</f>
        <v>Prefilled only</v>
      </c>
      <c r="AA342" s="16" t="str">
        <f aca="false">IFERROR(INDEX(Scoring!$E:$E,MATCH($C342&amp;"|"&amp;$E342,Scoring!$AD:$AD,0)),"")</f>
        <v>Priority 1</v>
      </c>
      <c r="AB342" s="19" t="n">
        <f aca="false">IFERROR(INDEX(Scoring!$M:$M,MATCH($C342&amp;"|"&amp;$E342,Scoring!$AD:$AD,0)),"")</f>
        <v>146</v>
      </c>
      <c r="AC342" s="16" t="str">
        <f aca="false">IFERROR(INDEX('Route of Administration'!$C$5:$C$155,MATCH($C342,'Route of Administration'!$A$5:$A$155,0)),"")</f>
        <v>IM</v>
      </c>
      <c r="AD342" s="15" t="str">
        <f aca="false">IFERROR(INDEX('Route of Administration'!$D$5:$D$155,MATCH($C342,'Route of Administration'!$A$5:$A$155,0)),"")</f>
        <v>Yes</v>
      </c>
      <c r="AE342" s="15" t="str">
        <f aca="false">IF($AD342="No","Not checked – drug is IV only",IFERROR(INDEX('Route of Administration'!$O$5:$O$170,MATCH($E342&amp;"|"&amp;$C342,'Route of Administration'!$S$5:$S$170,0)),"Not checked – price ≤ USD 5"))</f>
        <v>Pass</v>
      </c>
    </row>
    <row r="343" customFormat="false" ht="95.5" hidden="false" customHeight="false" outlineLevel="0" collapsed="false">
      <c r="B343" s="16" t="n">
        <v>341</v>
      </c>
      <c r="C343" s="16" t="s">
        <v>338</v>
      </c>
      <c r="D343" s="16" t="s">
        <v>338</v>
      </c>
      <c r="E343" s="16" t="s">
        <v>927</v>
      </c>
      <c r="F343" s="16" t="s">
        <v>2198</v>
      </c>
      <c r="G343" s="17" t="s">
        <v>2199</v>
      </c>
      <c r="H343" s="16" t="s">
        <v>1540</v>
      </c>
      <c r="I343" s="18"/>
      <c r="J343" s="16" t="n">
        <v>1</v>
      </c>
      <c r="K343" s="16" t="n">
        <v>905</v>
      </c>
      <c r="L343" s="19" t="n">
        <v>28093.38</v>
      </c>
      <c r="M343" s="17" t="s">
        <v>340</v>
      </c>
      <c r="N343" s="18"/>
      <c r="O343" s="16" t="s">
        <v>1573</v>
      </c>
      <c r="P343" s="16" t="s">
        <v>112</v>
      </c>
      <c r="Q343" s="17" t="s">
        <v>112</v>
      </c>
      <c r="R343" s="16"/>
      <c r="S343" s="77" t="n">
        <f aca="false">IFERROR(INDEX('Injectable Value'!$Z$28:$Z$178,MATCH($C343,'Injectable Value'!$A$28:$A$178,0)),"")</f>
        <v>1</v>
      </c>
      <c r="T343" s="19" t="n">
        <f aca="false">IFERROR(ROUND(INDEX('Injectable Value'!$AA$28:$AA$178,MATCH($C343,'Injectable Value'!$A$28:$A$178,0)),1),"")</f>
        <v>28093.4</v>
      </c>
      <c r="U343" s="17" t="s">
        <v>961</v>
      </c>
      <c r="V343" s="16" t="n">
        <v>34</v>
      </c>
      <c r="W343" s="16" t="s">
        <v>334</v>
      </c>
      <c r="X343" s="16" t="s">
        <v>291</v>
      </c>
      <c r="Y343" s="16" t="s">
        <v>310</v>
      </c>
      <c r="Z343" s="17" t="str">
        <f aca="false">IFERROR(INDEX(Scoring!$U:$U,MATCH($C343&amp;"|"&amp;$E343,Scoring!$AD:$AD,0)),"")</f>
        <v>Cancer drug (cytotoxic) – less relevant; Reconstitution</v>
      </c>
      <c r="AA343" s="16" t="str">
        <f aca="false">IFERROR(INDEX(Scoring!$E:$E,MATCH($C343&amp;"|"&amp;$E343,Scoring!$AD:$AD,0)),"")</f>
        <v>Priority 1</v>
      </c>
      <c r="AB343" s="19" t="n">
        <f aca="false">IFERROR(INDEX(Scoring!$M:$M,MATCH($C343&amp;"|"&amp;$E343,Scoring!$AD:$AD,0)),"")</f>
        <v>905</v>
      </c>
      <c r="AC343" s="16" t="str">
        <f aca="false">IFERROR(INDEX('Route of Administration'!$C$5:$C$155,MATCH($C343,'Route of Administration'!$A$5:$A$155,0)),"")</f>
        <v>IV, SC</v>
      </c>
      <c r="AD343" s="15" t="str">
        <f aca="false">IFERROR(INDEX('Route of Administration'!$D$5:$D$155,MATCH($C343,'Route of Administration'!$A$5:$A$155,0)),"")</f>
        <v>Yes</v>
      </c>
      <c r="AE343" s="15" t="str">
        <f aca="false">IF($AD343="No","Not checked – drug is IV only",IFERROR(INDEX('Route of Administration'!$O$5:$O$170,MATCH($E343&amp;"|"&amp;$C343,'Route of Administration'!$S$5:$S$170,0)),"Not checked – price ≤ USD 5"))</f>
        <v>Pass</v>
      </c>
    </row>
    <row r="344" customFormat="false" ht="55.2" hidden="false" customHeight="false" outlineLevel="0" collapsed="false">
      <c r="B344" s="16" t="n">
        <v>342</v>
      </c>
      <c r="C344" s="16" t="s">
        <v>665</v>
      </c>
      <c r="D344" s="16" t="s">
        <v>665</v>
      </c>
      <c r="E344" s="16" t="s">
        <v>927</v>
      </c>
      <c r="F344" s="16" t="s">
        <v>1762</v>
      </c>
      <c r="G344" s="17" t="s">
        <v>2090</v>
      </c>
      <c r="H344" s="16" t="s">
        <v>1533</v>
      </c>
      <c r="I344" s="18" t="n">
        <v>67.02</v>
      </c>
      <c r="J344" s="16" t="n">
        <v>1</v>
      </c>
      <c r="K344" s="16" t="n">
        <v>346</v>
      </c>
      <c r="L344" s="19" t="n">
        <v>32830.17</v>
      </c>
      <c r="M344" s="17" t="s">
        <v>667</v>
      </c>
      <c r="N344" s="18" t="n">
        <v>67.02</v>
      </c>
      <c r="O344" s="16" t="s">
        <v>1534</v>
      </c>
      <c r="P344" s="16" t="s">
        <v>1535</v>
      </c>
      <c r="Q344" s="17" t="s">
        <v>1536</v>
      </c>
      <c r="R344" s="78" t="s">
        <v>2091</v>
      </c>
      <c r="S344" s="77" t="n">
        <f aca="false">IFERROR(INDEX('Injectable Value'!$Z$28:$Z$178,MATCH($C344,'Injectable Value'!$A$28:$A$178,0)),"")</f>
        <v>1</v>
      </c>
      <c r="T344" s="19" t="n">
        <f aca="false">IFERROR(ROUND(INDEX('Injectable Value'!$AA$28:$AA$178,MATCH($C344,'Injectable Value'!$A$28:$A$178,0)),1),"")</f>
        <v>32830.2</v>
      </c>
      <c r="U344" s="17" t="s">
        <v>1154</v>
      </c>
      <c r="V344" s="16" t="n">
        <v>21</v>
      </c>
      <c r="W344" s="16" t="s">
        <v>971</v>
      </c>
      <c r="X344" s="16" t="s">
        <v>281</v>
      </c>
      <c r="Y344" s="16" t="s">
        <v>310</v>
      </c>
      <c r="Z344" s="17" t="str">
        <f aca="false">IFERROR(INDEX(Scoring!$U:$U,MATCH($C344&amp;"|"&amp;$E344,Scoring!$AD:$AD,0)),"")</f>
        <v/>
      </c>
      <c r="AA344" s="16" t="str">
        <f aca="false">IFERROR(INDEX(Scoring!$E:$E,MATCH($C344&amp;"|"&amp;$E344,Scoring!$AD:$AD,0)),"")</f>
        <v>Excluded – IV only</v>
      </c>
      <c r="AB344" s="19" t="n">
        <f aca="false">IFERROR(INDEX(Scoring!$M:$M,MATCH($C344&amp;"|"&amp;$E344,Scoring!$AD:$AD,0)),"")</f>
        <v>346</v>
      </c>
      <c r="AC344" s="16" t="str">
        <f aca="false">IFERROR(INDEX('Route of Administration'!$C$5:$C$155,MATCH($C344,'Route of Administration'!$A$5:$A$155,0)),"")</f>
        <v>IV</v>
      </c>
      <c r="AD344" s="15" t="str">
        <f aca="false">IFERROR(INDEX('Route of Administration'!$D$5:$D$155,MATCH($C344,'Route of Administration'!$A$5:$A$155,0)),"")</f>
        <v>No</v>
      </c>
      <c r="AE344" s="15" t="str">
        <f aca="false">IF($AD344="No","Not checked – drug is IV only",IFERROR(INDEX('Route of Administration'!$O$5:$O$170,MATCH($E344&amp;"|"&amp;$C344,'Route of Administration'!$S$5:$S$170,0)),"Not checked – price ≤ USD 5"))</f>
        <v>Not checked – drug is IV only</v>
      </c>
    </row>
    <row r="345" customFormat="false" ht="82.05" hidden="false" customHeight="false" outlineLevel="0" collapsed="false">
      <c r="B345" s="16" t="n">
        <v>343</v>
      </c>
      <c r="C345" s="16" t="s">
        <v>1002</v>
      </c>
      <c r="D345" s="16" t="s">
        <v>2200</v>
      </c>
      <c r="E345" s="16" t="s">
        <v>927</v>
      </c>
      <c r="F345" s="16" t="s">
        <v>2201</v>
      </c>
      <c r="G345" s="17" t="s">
        <v>2202</v>
      </c>
      <c r="H345" s="16" t="s">
        <v>1533</v>
      </c>
      <c r="I345" s="18" t="n">
        <v>145.71</v>
      </c>
      <c r="J345" s="16" t="n">
        <v>1</v>
      </c>
      <c r="K345" s="16" t="n">
        <v>314</v>
      </c>
      <c r="L345" s="19" t="n">
        <v>3429.51</v>
      </c>
      <c r="M345" s="17" t="s">
        <v>1004</v>
      </c>
      <c r="N345" s="18" t="n">
        <v>145.71</v>
      </c>
      <c r="O345" s="16" t="s">
        <v>1534</v>
      </c>
      <c r="P345" s="16" t="s">
        <v>1700</v>
      </c>
      <c r="Q345" s="17" t="s">
        <v>2203</v>
      </c>
      <c r="R345" s="16"/>
      <c r="S345" s="77" t="n">
        <f aca="false">IFERROR(INDEX('Injectable Value'!$Z$28:$Z$178,MATCH($C345,'Injectable Value'!$A$28:$A$178,0)),"")</f>
        <v>1</v>
      </c>
      <c r="T345" s="19" t="n">
        <f aca="false">IFERROR(ROUND(INDEX('Injectable Value'!$AA$28:$AA$178,MATCH($C345,'Injectable Value'!$A$28:$A$178,0)),1),"")</f>
        <v>3429.5</v>
      </c>
      <c r="U345" s="17" t="s">
        <v>949</v>
      </c>
      <c r="V345" s="16" t="n">
        <v>32</v>
      </c>
      <c r="W345" s="16" t="s">
        <v>456</v>
      </c>
      <c r="X345" s="16" t="s">
        <v>281</v>
      </c>
      <c r="Y345" s="16" t="s">
        <v>283</v>
      </c>
      <c r="Z345" s="17" t="str">
        <f aca="false">IFERROR(INDEX(Scoring!$U:$U,MATCH($C345&amp;"|"&amp;$E345,Scoring!$AD:$AD,0)),"")</f>
        <v/>
      </c>
      <c r="AA345" s="16" t="str">
        <f aca="false">IFERROR(INDEX(Scoring!$E:$E,MATCH($C345&amp;"|"&amp;$E345,Scoring!$AD:$AD,0)),"")</f>
        <v>Priority 1</v>
      </c>
      <c r="AB345" s="19" t="n">
        <f aca="false">IFERROR(INDEX(Scoring!$M:$M,MATCH($C345&amp;"|"&amp;$E345,Scoring!$AD:$AD,0)),"")</f>
        <v>314</v>
      </c>
      <c r="AC345" s="16" t="str">
        <f aca="false">IFERROR(INDEX('Route of Administration'!$C$5:$C$155,MATCH($C345,'Route of Administration'!$A$5:$A$155,0)),"")</f>
        <v>SC</v>
      </c>
      <c r="AD345" s="15" t="str">
        <f aca="false">IFERROR(INDEX('Route of Administration'!$D$5:$D$155,MATCH($C345,'Route of Administration'!$A$5:$A$155,0)),"")</f>
        <v>Yes</v>
      </c>
      <c r="AE345" s="15" t="str">
        <f aca="false">IF($AD345="No","Not checked – drug is IV only",IFERROR(INDEX('Route of Administration'!$O$5:$O$170,MATCH($E345&amp;"|"&amp;$C345,'Route of Administration'!$S$5:$S$170,0)),"Not checked – price ≤ USD 5"))</f>
        <v>Pass</v>
      </c>
    </row>
    <row r="346" customFormat="false" ht="41.75" hidden="false" customHeight="false" outlineLevel="0" collapsed="false">
      <c r="B346" s="16" t="n">
        <v>344</v>
      </c>
      <c r="C346" s="16" t="s">
        <v>1140</v>
      </c>
      <c r="D346" s="16" t="s">
        <v>1141</v>
      </c>
      <c r="E346" s="16" t="s">
        <v>927</v>
      </c>
      <c r="F346" s="16" t="s">
        <v>2071</v>
      </c>
      <c r="G346" s="17" t="s">
        <v>2204</v>
      </c>
      <c r="H346" s="16" t="s">
        <v>1533</v>
      </c>
      <c r="I346" s="18" t="n">
        <v>655.58</v>
      </c>
      <c r="J346" s="16" t="n">
        <v>1</v>
      </c>
      <c r="K346" s="16" t="n">
        <v>64</v>
      </c>
      <c r="L346" s="19" t="n">
        <v>843.51</v>
      </c>
      <c r="M346" s="17" t="s">
        <v>1142</v>
      </c>
      <c r="N346" s="18" t="n">
        <v>655.58</v>
      </c>
      <c r="O346" s="16" t="s">
        <v>1534</v>
      </c>
      <c r="P346" s="16" t="s">
        <v>1962</v>
      </c>
      <c r="Q346" s="17" t="s">
        <v>1536</v>
      </c>
      <c r="R346" s="16"/>
      <c r="S346" s="77" t="n">
        <f aca="false">IFERROR(INDEX('Injectable Value'!$Z$28:$Z$178,MATCH($C346,'Injectable Value'!$A$28:$A$178,0)),"")</f>
        <v>1</v>
      </c>
      <c r="T346" s="19" t="n">
        <f aca="false">IFERROR(ROUND(INDEX('Injectable Value'!$AA$28:$AA$178,MATCH($C346,'Injectable Value'!$A$28:$A$178,0)),1),"")</f>
        <v>843.5</v>
      </c>
      <c r="U346" s="17" t="s">
        <v>1144</v>
      </c>
      <c r="V346" s="16" t="n">
        <v>1</v>
      </c>
      <c r="W346" s="16" t="s">
        <v>1144</v>
      </c>
      <c r="X346" s="16" t="s">
        <v>281</v>
      </c>
      <c r="Y346" s="16" t="s">
        <v>283</v>
      </c>
      <c r="Z346" s="17" t="str">
        <f aca="false">IFERROR(INDEX(Scoring!$U:$U,MATCH($C346&amp;"|"&amp;$E346,Scoring!$AD:$AD,0)),"")</f>
        <v/>
      </c>
      <c r="AA346" s="16" t="str">
        <f aca="false">IFERROR(INDEX(Scoring!$E:$E,MATCH($C346&amp;"|"&amp;$E346,Scoring!$AD:$AD,0)),"")</f>
        <v>Excluded – IV only</v>
      </c>
      <c r="AB346" s="19" t="n">
        <f aca="false">IFERROR(INDEX(Scoring!$M:$M,MATCH($C346&amp;"|"&amp;$E346,Scoring!$AD:$AD,0)),"")</f>
        <v>64</v>
      </c>
      <c r="AC346" s="16" t="str">
        <f aca="false">IFERROR(INDEX('Route of Administration'!$C$5:$C$155,MATCH($C346,'Route of Administration'!$A$5:$A$155,0)),"")</f>
        <v>Intravitreal</v>
      </c>
      <c r="AD346" s="15" t="str">
        <f aca="false">IFERROR(INDEX('Route of Administration'!$D$5:$D$155,MATCH($C346,'Route of Administration'!$A$5:$A$155,0)),"")</f>
        <v>No</v>
      </c>
      <c r="AE346" s="15" t="str">
        <f aca="false">IF($AD346="No","Not checked – drug is IV only",IFERROR(INDEX('Route of Administration'!$O$5:$O$170,MATCH($E346&amp;"|"&amp;$C346,'Route of Administration'!$S$5:$S$170,0)),"Not checked – price ≤ USD 5"))</f>
        <v>Not checked – drug is IV only</v>
      </c>
    </row>
    <row r="347" customFormat="false" ht="82.05" hidden="false" customHeight="false" outlineLevel="0" collapsed="false">
      <c r="B347" s="16" t="n">
        <v>345</v>
      </c>
      <c r="C347" s="16" t="s">
        <v>466</v>
      </c>
      <c r="D347" s="16" t="s">
        <v>2205</v>
      </c>
      <c r="E347" s="16" t="s">
        <v>927</v>
      </c>
      <c r="F347" s="16" t="s">
        <v>2206</v>
      </c>
      <c r="G347" s="17" t="s">
        <v>2207</v>
      </c>
      <c r="H347" s="16" t="s">
        <v>1540</v>
      </c>
      <c r="I347" s="18" t="n">
        <v>86.46</v>
      </c>
      <c r="J347" s="16" t="n">
        <v>1</v>
      </c>
      <c r="K347" s="16" t="n">
        <v>116</v>
      </c>
      <c r="L347" s="19" t="n">
        <v>1162.12</v>
      </c>
      <c r="M347" s="17" t="s">
        <v>468</v>
      </c>
      <c r="N347" s="18" t="n">
        <v>86.46</v>
      </c>
      <c r="O347" s="16" t="s">
        <v>1534</v>
      </c>
      <c r="P347" s="16" t="s">
        <v>1700</v>
      </c>
      <c r="Q347" s="17" t="s">
        <v>1536</v>
      </c>
      <c r="R347" s="78" t="s">
        <v>2208</v>
      </c>
      <c r="S347" s="77" t="n">
        <f aca="false">IFERROR(INDEX('Injectable Value'!$Z$28:$Z$178,MATCH($C347,'Injectable Value'!$A$28:$A$178,0)),"")</f>
        <v>0.444974105461394</v>
      </c>
      <c r="T347" s="19" t="n">
        <f aca="false">IFERROR(ROUND(INDEX('Injectable Value'!$AA$28:$AA$178,MATCH($C347,'Injectable Value'!$A$28:$A$178,0)),1),"")</f>
        <v>517.1</v>
      </c>
      <c r="U347" s="17" t="s">
        <v>1057</v>
      </c>
      <c r="V347" s="16" t="n">
        <v>32</v>
      </c>
      <c r="W347" s="16" t="s">
        <v>1056</v>
      </c>
      <c r="X347" s="16" t="s">
        <v>291</v>
      </c>
      <c r="Y347" s="16" t="s">
        <v>283</v>
      </c>
      <c r="Z347" s="17" t="str">
        <f aca="false">IFERROR(INDEX(Scoring!$U:$U,MATCH($C347&amp;"|"&amp;$E347,Scoring!$AD:$AD,0)),"")</f>
        <v>Prefilled only</v>
      </c>
      <c r="AA347" s="16" t="str">
        <f aca="false">IFERROR(INDEX(Scoring!$E:$E,MATCH($C347&amp;"|"&amp;$E347,Scoring!$AD:$AD,0)),"")</f>
        <v>Excluded – IV only</v>
      </c>
      <c r="AB347" s="19" t="n">
        <f aca="false">IFERROR(INDEX(Scoring!$M:$M,MATCH($C347&amp;"|"&amp;$E347,Scoring!$AD:$AD,0)),"")</f>
        <v>52</v>
      </c>
      <c r="AC347" s="16" t="str">
        <f aca="false">IFERROR(INDEX('Route of Administration'!$C$5:$C$155,MATCH($C347,'Route of Administration'!$A$5:$A$155,0)),"")</f>
        <v>IV</v>
      </c>
      <c r="AD347" s="15" t="str">
        <f aca="false">IFERROR(INDEX('Route of Administration'!$D$5:$D$155,MATCH($C347,'Route of Administration'!$A$5:$A$155,0)),"")</f>
        <v>No</v>
      </c>
      <c r="AE347" s="15" t="str">
        <f aca="false">IF($AD347="No","Not checked – drug is IV only",IFERROR(INDEX('Route of Administration'!$O$5:$O$170,MATCH($E347&amp;"|"&amp;$C347,'Route of Administration'!$S$5:$S$170,0)),"Not checked – price ≤ USD 5"))</f>
        <v>Not checked – drug is IV only</v>
      </c>
    </row>
    <row r="348" customFormat="false" ht="82.05" hidden="false" customHeight="false" outlineLevel="0" collapsed="false">
      <c r="B348" s="16" t="n">
        <v>346</v>
      </c>
      <c r="C348" s="16" t="s">
        <v>529</v>
      </c>
      <c r="D348" s="16" t="s">
        <v>2209</v>
      </c>
      <c r="E348" s="16" t="s">
        <v>927</v>
      </c>
      <c r="F348" s="16" t="s">
        <v>2210</v>
      </c>
      <c r="G348" s="17" t="s">
        <v>2211</v>
      </c>
      <c r="H348" s="16" t="s">
        <v>1533</v>
      </c>
      <c r="I348" s="18" t="n">
        <v>70.2</v>
      </c>
      <c r="J348" s="16" t="n">
        <v>1</v>
      </c>
      <c r="K348" s="16" t="n">
        <v>119</v>
      </c>
      <c r="L348" s="19" t="n">
        <v>3113.83</v>
      </c>
      <c r="M348" s="17" t="s">
        <v>531</v>
      </c>
      <c r="N348" s="18" t="n">
        <v>70.2</v>
      </c>
      <c r="O348" s="16" t="s">
        <v>1534</v>
      </c>
      <c r="P348" s="16" t="s">
        <v>1700</v>
      </c>
      <c r="Q348" s="17" t="s">
        <v>1536</v>
      </c>
      <c r="R348" s="78" t="s">
        <v>2212</v>
      </c>
      <c r="S348" s="77" t="n">
        <f aca="false">IFERROR(INDEX('Injectable Value'!$Z$28:$Z$178,MATCH($C348,'Injectable Value'!$A$28:$A$178,0)),"")</f>
        <v>0.899884259259259</v>
      </c>
      <c r="T348" s="19" t="n">
        <f aca="false">IFERROR(ROUND(INDEX('Injectable Value'!$AA$28:$AA$178,MATCH($C348,'Injectable Value'!$A$28:$A$178,0)),1),"")</f>
        <v>2802.1</v>
      </c>
      <c r="U348" s="17" t="s">
        <v>1114</v>
      </c>
      <c r="V348" s="16" t="n">
        <v>32</v>
      </c>
      <c r="W348" s="16" t="s">
        <v>456</v>
      </c>
      <c r="X348" s="16" t="s">
        <v>281</v>
      </c>
      <c r="Y348" s="16" t="s">
        <v>283</v>
      </c>
      <c r="Z348" s="17" t="str">
        <f aca="false">IFERROR(INDEX(Scoring!$U:$U,MATCH($C348&amp;"|"&amp;$E348,Scoring!$AD:$AD,0)),"")</f>
        <v/>
      </c>
      <c r="AA348" s="16" t="str">
        <f aca="false">IFERROR(INDEX(Scoring!$E:$E,MATCH($C348&amp;"|"&amp;$E348,Scoring!$AD:$AD,0)),"")</f>
        <v>Excluded – IV only</v>
      </c>
      <c r="AB348" s="19" t="n">
        <f aca="false">IFERROR(INDEX(Scoring!$M:$M,MATCH($C348&amp;"|"&amp;$E348,Scoring!$AD:$AD,0)),"")</f>
        <v>107</v>
      </c>
      <c r="AC348" s="16" t="str">
        <f aca="false">IFERROR(INDEX('Route of Administration'!$C$5:$C$155,MATCH($C348,'Route of Administration'!$A$5:$A$155,0)),"")</f>
        <v>IV</v>
      </c>
      <c r="AD348" s="15" t="str">
        <f aca="false">IFERROR(INDEX('Route of Administration'!$D$5:$D$155,MATCH($C348,'Route of Administration'!$A$5:$A$155,0)),"")</f>
        <v>No</v>
      </c>
      <c r="AE348" s="15" t="str">
        <f aca="false">IF($AD348="No","Not checked – drug is IV only",IFERROR(INDEX('Route of Administration'!$O$5:$O$170,MATCH($E348&amp;"|"&amp;$C348,'Route of Administration'!$S$5:$S$170,0)),"Not checked – price ≤ USD 5"))</f>
        <v>Not checked – drug is IV only</v>
      </c>
    </row>
    <row r="349" customFormat="false" ht="82.05" hidden="false" customHeight="false" outlineLevel="0" collapsed="false">
      <c r="B349" s="16" t="n">
        <v>347</v>
      </c>
      <c r="C349" s="16" t="s">
        <v>1126</v>
      </c>
      <c r="D349" s="16" t="s">
        <v>1127</v>
      </c>
      <c r="E349" s="16" t="s">
        <v>927</v>
      </c>
      <c r="F349" s="16" t="s">
        <v>2213</v>
      </c>
      <c r="G349" s="17" t="s">
        <v>2214</v>
      </c>
      <c r="H349" s="16" t="s">
        <v>1540</v>
      </c>
      <c r="I349" s="18" t="n">
        <v>907.38</v>
      </c>
      <c r="J349" s="16" t="n">
        <v>1</v>
      </c>
      <c r="K349" s="16" t="n">
        <v>157</v>
      </c>
      <c r="L349" s="19" t="n">
        <v>22355.46</v>
      </c>
      <c r="M349" s="17" t="s">
        <v>1128</v>
      </c>
      <c r="N349" s="18" t="n">
        <v>907.38</v>
      </c>
      <c r="O349" s="16" t="s">
        <v>1534</v>
      </c>
      <c r="P349" s="16" t="s">
        <v>1700</v>
      </c>
      <c r="Q349" s="17" t="s">
        <v>2203</v>
      </c>
      <c r="R349" s="16"/>
      <c r="S349" s="77" t="n">
        <f aca="false">IFERROR(INDEX('Injectable Value'!$Z$28:$Z$178,MATCH($C349,'Injectable Value'!$A$28:$A$178,0)),"")</f>
        <v>0.985714285714286</v>
      </c>
      <c r="T349" s="19" t="n">
        <f aca="false">IFERROR(ROUND(INDEX('Injectable Value'!$AA$28:$AA$178,MATCH($C349,'Injectable Value'!$A$28:$A$178,0)),1),"")</f>
        <v>22036.1</v>
      </c>
      <c r="U349" s="17" t="s">
        <v>999</v>
      </c>
      <c r="V349" s="16" t="n">
        <v>31</v>
      </c>
      <c r="W349" s="16" t="s">
        <v>456</v>
      </c>
      <c r="X349" s="16" t="s">
        <v>291</v>
      </c>
      <c r="Y349" s="16" t="s">
        <v>283</v>
      </c>
      <c r="Z349" s="17" t="str">
        <f aca="false">IFERROR(INDEX(Scoring!$U:$U,MATCH($C349&amp;"|"&amp;$E349,Scoring!$AD:$AD,0)),"")</f>
        <v>Prefilled only</v>
      </c>
      <c r="AA349" s="16" t="str">
        <f aca="false">IFERROR(INDEX(Scoring!$E:$E,MATCH($C349&amp;"|"&amp;$E349,Scoring!$AD:$AD,0)),"")</f>
        <v>Priority 1</v>
      </c>
      <c r="AB349" s="19" t="n">
        <f aca="false">IFERROR(INDEX(Scoring!$M:$M,MATCH($C349&amp;"|"&amp;$E349,Scoring!$AD:$AD,0)),"")</f>
        <v>155</v>
      </c>
      <c r="AC349" s="16" t="str">
        <f aca="false">IFERROR(INDEX('Route of Administration'!$C$5:$C$155,MATCH($C349,'Route of Administration'!$A$5:$A$155,0)),"")</f>
        <v>SC</v>
      </c>
      <c r="AD349" s="15" t="str">
        <f aca="false">IFERROR(INDEX('Route of Administration'!$D$5:$D$155,MATCH($C349,'Route of Administration'!$A$5:$A$155,0)),"")</f>
        <v>Yes</v>
      </c>
      <c r="AE349" s="15" t="str">
        <f aca="false">IF($AD349="No","Not checked – drug is IV only",IFERROR(INDEX('Route of Administration'!$O$5:$O$170,MATCH($E349&amp;"|"&amp;$C349,'Route of Administration'!$S$5:$S$170,0)),"Not checked – price ≤ USD 5"))</f>
        <v>Pass</v>
      </c>
    </row>
    <row r="350" customFormat="false" ht="82.05" hidden="false" customHeight="false" outlineLevel="0" collapsed="false">
      <c r="B350" s="16" t="n">
        <v>348</v>
      </c>
      <c r="C350" s="16" t="s">
        <v>329</v>
      </c>
      <c r="D350" s="16" t="s">
        <v>2215</v>
      </c>
      <c r="E350" s="16" t="s">
        <v>927</v>
      </c>
      <c r="F350" s="16" t="s">
        <v>1689</v>
      </c>
      <c r="G350" s="17" t="s">
        <v>2216</v>
      </c>
      <c r="H350" s="16" t="s">
        <v>1533</v>
      </c>
      <c r="I350" s="18" t="n">
        <v>360.71</v>
      </c>
      <c r="J350" s="16" t="n">
        <v>1</v>
      </c>
      <c r="K350" s="16" t="n">
        <v>762</v>
      </c>
      <c r="L350" s="19" t="n">
        <v>50865.56</v>
      </c>
      <c r="M350" s="17" t="s">
        <v>331</v>
      </c>
      <c r="N350" s="18" t="n">
        <v>360.71</v>
      </c>
      <c r="O350" s="16" t="s">
        <v>1534</v>
      </c>
      <c r="P350" s="16" t="s">
        <v>1535</v>
      </c>
      <c r="Q350" s="17" t="s">
        <v>1536</v>
      </c>
      <c r="R350" s="78" t="s">
        <v>1691</v>
      </c>
      <c r="S350" s="77" t="n">
        <f aca="false">IFERROR(INDEX('Injectable Value'!$Z$28:$Z$178,MATCH($C350,'Injectable Value'!$A$28:$A$178,0)),"")</f>
        <v>0.829278792417718</v>
      </c>
      <c r="T350" s="19" t="n">
        <f aca="false">IFERROR(ROUND(INDEX('Injectable Value'!$AA$28:$AA$178,MATCH($C350,'Injectable Value'!$A$28:$A$178,0)),1),"")</f>
        <v>42181.7</v>
      </c>
      <c r="U350" s="17" t="s">
        <v>949</v>
      </c>
      <c r="V350" s="16" t="n">
        <v>32</v>
      </c>
      <c r="W350" s="16" t="s">
        <v>456</v>
      </c>
      <c r="X350" s="16" t="s">
        <v>281</v>
      </c>
      <c r="Y350" s="16" t="s">
        <v>310</v>
      </c>
      <c r="Z350" s="17" t="str">
        <f aca="false">IFERROR(INDEX(Scoring!$U:$U,MATCH($C350&amp;"|"&amp;$E350,Scoring!$AD:$AD,0)),"")</f>
        <v>Cancer drug (cytotoxic) – less relevant; Reconstitution</v>
      </c>
      <c r="AA350" s="16" t="str">
        <f aca="false">IFERROR(INDEX(Scoring!$E:$E,MATCH($C350&amp;"|"&amp;$E350,Scoring!$AD:$AD,0)),"")</f>
        <v>Priority 1</v>
      </c>
      <c r="AB350" s="19" t="n">
        <f aca="false">IFERROR(INDEX(Scoring!$M:$M,MATCH($C350&amp;"|"&amp;$E350,Scoring!$AD:$AD,0)),"")</f>
        <v>632</v>
      </c>
      <c r="AC350" s="16" t="str">
        <f aca="false">IFERROR(INDEX('Route of Administration'!$C$5:$C$155,MATCH($C350,'Route of Administration'!$A$5:$A$155,0)),"")</f>
        <v>IV, SC</v>
      </c>
      <c r="AD350" s="15" t="str">
        <f aca="false">IFERROR(INDEX('Route of Administration'!$D$5:$D$155,MATCH($C350,'Route of Administration'!$A$5:$A$155,0)),"")</f>
        <v>Yes</v>
      </c>
      <c r="AE350" s="15" t="str">
        <f aca="false">IF($AD350="No","Not checked – drug is IV only",IFERROR(INDEX('Route of Administration'!$O$5:$O$170,MATCH($E350&amp;"|"&amp;$C350,'Route of Administration'!$S$5:$S$170,0)),"Not checked – price ≤ USD 5"))</f>
        <v>Pass</v>
      </c>
    </row>
    <row r="351" customFormat="false" ht="82.05" hidden="false" customHeight="false" outlineLevel="0" collapsed="false">
      <c r="B351" s="16" t="n">
        <v>349</v>
      </c>
      <c r="C351" s="16" t="s">
        <v>541</v>
      </c>
      <c r="D351" s="16" t="s">
        <v>541</v>
      </c>
      <c r="E351" s="16" t="s">
        <v>927</v>
      </c>
      <c r="F351" s="16" t="s">
        <v>1686</v>
      </c>
      <c r="G351" s="17" t="s">
        <v>1687</v>
      </c>
      <c r="H351" s="16" t="s">
        <v>1533</v>
      </c>
      <c r="I351" s="18" t="n">
        <v>6455.02</v>
      </c>
      <c r="J351" s="16" t="n">
        <v>1</v>
      </c>
      <c r="K351" s="16" t="n">
        <v>47</v>
      </c>
      <c r="L351" s="19" t="n">
        <v>7904.67</v>
      </c>
      <c r="M351" s="17" t="s">
        <v>543</v>
      </c>
      <c r="N351" s="18" t="n">
        <v>6455.02</v>
      </c>
      <c r="O351" s="16" t="s">
        <v>1534</v>
      </c>
      <c r="P351" s="16" t="s">
        <v>1700</v>
      </c>
      <c r="Q351" s="17" t="s">
        <v>1536</v>
      </c>
      <c r="R351" s="78" t="s">
        <v>2217</v>
      </c>
      <c r="S351" s="77" t="n">
        <f aca="false">IFERROR(INDEX('Injectable Value'!$Z$28:$Z$178,MATCH($C351,'Injectable Value'!$A$28:$A$178,0)),"")</f>
        <v>1</v>
      </c>
      <c r="T351" s="19" t="n">
        <f aca="false">IFERROR(ROUND(INDEX('Injectable Value'!$AA$28:$AA$178,MATCH($C351,'Injectable Value'!$A$28:$A$178,0)),1),"")</f>
        <v>7904.7</v>
      </c>
      <c r="U351" s="17" t="s">
        <v>949</v>
      </c>
      <c r="V351" s="16" t="n">
        <v>32</v>
      </c>
      <c r="W351" s="16" t="s">
        <v>456</v>
      </c>
      <c r="X351" s="16" t="s">
        <v>281</v>
      </c>
      <c r="Y351" s="16" t="s">
        <v>283</v>
      </c>
      <c r="Z351" s="17" t="str">
        <f aca="false">IFERROR(INDEX(Scoring!$U:$U,MATCH($C351&amp;"|"&amp;$E351,Scoring!$AD:$AD,0)),"")</f>
        <v/>
      </c>
      <c r="AA351" s="16" t="str">
        <f aca="false">IFERROR(INDEX(Scoring!$E:$E,MATCH($C351&amp;"|"&amp;$E351,Scoring!$AD:$AD,0)),"")</f>
        <v>Priority 2</v>
      </c>
      <c r="AB351" s="19" t="n">
        <f aca="false">IFERROR(INDEX(Scoring!$M:$M,MATCH($C351&amp;"|"&amp;$E351,Scoring!$AD:$AD,0)),"")</f>
        <v>47</v>
      </c>
      <c r="AC351" s="16" t="str">
        <f aca="false">IFERROR(INDEX('Route of Administration'!$C$5:$C$155,MATCH($C351,'Route of Administration'!$A$5:$A$155,0)),"")</f>
        <v>SC</v>
      </c>
      <c r="AD351" s="15" t="str">
        <f aca="false">IFERROR(INDEX('Route of Administration'!$D$5:$D$155,MATCH($C351,'Route of Administration'!$A$5:$A$155,0)),"")</f>
        <v>Yes</v>
      </c>
      <c r="AE351" s="15" t="str">
        <f aca="false">IF($AD351="No","Not checked – drug is IV only",IFERROR(INDEX('Route of Administration'!$O$5:$O$170,MATCH($E351&amp;"|"&amp;$C351,'Route of Administration'!$S$5:$S$170,0)),"Not checked – price ≤ USD 5"))</f>
        <v>Pass</v>
      </c>
    </row>
    <row r="352" customFormat="false" ht="82.05" hidden="false" customHeight="false" outlineLevel="0" collapsed="false">
      <c r="B352" s="16" t="n">
        <v>350</v>
      </c>
      <c r="C352" s="16" t="s">
        <v>995</v>
      </c>
      <c r="D352" s="16" t="s">
        <v>995</v>
      </c>
      <c r="E352" s="16" t="s">
        <v>927</v>
      </c>
      <c r="F352" s="16" t="s">
        <v>2218</v>
      </c>
      <c r="G352" s="17" t="s">
        <v>2219</v>
      </c>
      <c r="H352" s="16" t="s">
        <v>1533</v>
      </c>
      <c r="I352" s="18" t="n">
        <v>132.2</v>
      </c>
      <c r="J352" s="16" t="n">
        <v>1</v>
      </c>
      <c r="K352" s="16" t="n">
        <v>26</v>
      </c>
      <c r="L352" s="19" t="n">
        <v>140.86</v>
      </c>
      <c r="M352" s="17" t="s">
        <v>997</v>
      </c>
      <c r="N352" s="18" t="n">
        <v>132.2</v>
      </c>
      <c r="O352" s="16" t="s">
        <v>1534</v>
      </c>
      <c r="P352" s="16" t="s">
        <v>1700</v>
      </c>
      <c r="Q352" s="17" t="s">
        <v>1536</v>
      </c>
      <c r="R352" s="78" t="s">
        <v>2220</v>
      </c>
      <c r="S352" s="77" t="n">
        <f aca="false">IFERROR(INDEX('Injectable Value'!$Z$28:$Z$178,MATCH($C352,'Injectable Value'!$A$28:$A$178,0)),"")</f>
        <v>1</v>
      </c>
      <c r="T352" s="19" t="n">
        <f aca="false">IFERROR(ROUND(INDEX('Injectable Value'!$AA$28:$AA$178,MATCH($C352,'Injectable Value'!$A$28:$A$178,0)),1),"")</f>
        <v>140.9</v>
      </c>
      <c r="U352" s="17" t="s">
        <v>999</v>
      </c>
      <c r="V352" s="16" t="n">
        <v>31</v>
      </c>
      <c r="W352" s="16" t="s">
        <v>456</v>
      </c>
      <c r="X352" s="16" t="s">
        <v>281</v>
      </c>
      <c r="Y352" s="16" t="s">
        <v>310</v>
      </c>
      <c r="Z352" s="17" t="str">
        <f aca="false">IFERROR(INDEX(Scoring!$U:$U,MATCH($C352&amp;"|"&amp;$E352,Scoring!$AD:$AD,0)),"")</f>
        <v>Reconstitution</v>
      </c>
      <c r="AA352" s="16" t="str">
        <f aca="false">IFERROR(INDEX(Scoring!$E:$E,MATCH($C352&amp;"|"&amp;$E352,Scoring!$AD:$AD,0)),"")</f>
        <v>Priority 2</v>
      </c>
      <c r="AB352" s="19" t="n">
        <f aca="false">IFERROR(INDEX(Scoring!$M:$M,MATCH($C352&amp;"|"&amp;$E352,Scoring!$AD:$AD,0)),"")</f>
        <v>26</v>
      </c>
      <c r="AC352" s="16" t="str">
        <f aca="false">IFERROR(INDEX('Route of Administration'!$C$5:$C$155,MATCH($C352,'Route of Administration'!$A$5:$A$155,0)),"")</f>
        <v>SC</v>
      </c>
      <c r="AD352" s="15" t="str">
        <f aca="false">IFERROR(INDEX('Route of Administration'!$D$5:$D$155,MATCH($C352,'Route of Administration'!$A$5:$A$155,0)),"")</f>
        <v>Yes</v>
      </c>
      <c r="AE352" s="15" t="str">
        <f aca="false">IF($AD352="No","Not checked – drug is IV only",IFERROR(INDEX('Route of Administration'!$O$5:$O$170,MATCH($E352&amp;"|"&amp;$C352,'Route of Administration'!$S$5:$S$170,0)),"Not checked – price ≤ USD 5"))</f>
        <v>Pass</v>
      </c>
    </row>
    <row r="353" customFormat="false" ht="82.05" hidden="false" customHeight="false" outlineLevel="0" collapsed="false">
      <c r="B353" s="16" t="n">
        <v>351</v>
      </c>
      <c r="C353" s="16" t="s">
        <v>1165</v>
      </c>
      <c r="D353" s="16" t="s">
        <v>1166</v>
      </c>
      <c r="E353" s="16" t="s">
        <v>927</v>
      </c>
      <c r="F353" s="16" t="s">
        <v>2221</v>
      </c>
      <c r="G353" s="17" t="s">
        <v>2222</v>
      </c>
      <c r="H353" s="16" t="s">
        <v>1540</v>
      </c>
      <c r="I353" s="18" t="n">
        <v>2838.33</v>
      </c>
      <c r="J353" s="16" t="n">
        <v>1</v>
      </c>
      <c r="K353" s="16" t="n">
        <v>125</v>
      </c>
      <c r="L353" s="19" t="n">
        <v>2485.93</v>
      </c>
      <c r="M353" s="17" t="s">
        <v>1167</v>
      </c>
      <c r="N353" s="18" t="n">
        <v>2838.33</v>
      </c>
      <c r="O353" s="16" t="s">
        <v>1534</v>
      </c>
      <c r="P353" s="16" t="s">
        <v>1700</v>
      </c>
      <c r="Q353" s="17" t="s">
        <v>2203</v>
      </c>
      <c r="R353" s="16"/>
      <c r="S353" s="77" t="n">
        <f aca="false">IFERROR(INDEX('Injectable Value'!$Z$28:$Z$178,MATCH($C353,'Injectable Value'!$A$28:$A$178,0)),"")</f>
        <v>1</v>
      </c>
      <c r="T353" s="19" t="n">
        <f aca="false">IFERROR(ROUND(INDEX('Injectable Value'!$AA$28:$AA$178,MATCH($C353,'Injectable Value'!$A$28:$A$178,0)),1),"")</f>
        <v>2485.9</v>
      </c>
      <c r="U353" s="17" t="s">
        <v>1169</v>
      </c>
      <c r="V353" s="16" t="n">
        <v>32</v>
      </c>
      <c r="W353" s="16" t="s">
        <v>334</v>
      </c>
      <c r="X353" s="16" t="s">
        <v>291</v>
      </c>
      <c r="Y353" s="16" t="s">
        <v>283</v>
      </c>
      <c r="Z353" s="17" t="str">
        <f aca="false">IFERROR(INDEX(Scoring!$U:$U,MATCH($C353&amp;"|"&amp;$E353,Scoring!$AD:$AD,0)),"")</f>
        <v>Prefilled only</v>
      </c>
      <c r="AA353" s="16" t="str">
        <f aca="false">IFERROR(INDEX(Scoring!$E:$E,MATCH($C353&amp;"|"&amp;$E353,Scoring!$AD:$AD,0)),"")</f>
        <v>Priority 2</v>
      </c>
      <c r="AB353" s="19" t="n">
        <f aca="false">IFERROR(INDEX(Scoring!$M:$M,MATCH($C353&amp;"|"&amp;$E353,Scoring!$AD:$AD,0)),"")</f>
        <v>125</v>
      </c>
      <c r="AC353" s="16" t="str">
        <f aca="false">IFERROR(INDEX('Route of Administration'!$C$5:$C$155,MATCH($C353,'Route of Administration'!$A$5:$A$155,0)),"")</f>
        <v>IV, SC</v>
      </c>
      <c r="AD353" s="15" t="str">
        <f aca="false">IFERROR(INDEX('Route of Administration'!$D$5:$D$155,MATCH($C353,'Route of Administration'!$A$5:$A$155,0)),"")</f>
        <v>Yes</v>
      </c>
      <c r="AE353" s="15" t="str">
        <f aca="false">IF($AD353="No","Not checked – drug is IV only",IFERROR(INDEX('Route of Administration'!$O$5:$O$170,MATCH($E353&amp;"|"&amp;$C353,'Route of Administration'!$S$5:$S$170,0)),"Not checked – price ≤ USD 5"))</f>
        <v>Pass</v>
      </c>
    </row>
    <row r="354" customFormat="false" ht="41.75" hidden="false" customHeight="false" outlineLevel="0" collapsed="false">
      <c r="B354" s="16" t="n">
        <v>352</v>
      </c>
      <c r="C354" s="16" t="s">
        <v>534</v>
      </c>
      <c r="D354" s="16" t="s">
        <v>534</v>
      </c>
      <c r="E354" s="16" t="s">
        <v>927</v>
      </c>
      <c r="F354" s="16" t="s">
        <v>1692</v>
      </c>
      <c r="G354" s="17" t="s">
        <v>1693</v>
      </c>
      <c r="H354" s="16" t="s">
        <v>1533</v>
      </c>
      <c r="I354" s="18" t="n">
        <v>6.61</v>
      </c>
      <c r="J354" s="16" t="n">
        <v>1</v>
      </c>
      <c r="K354" s="16" t="n">
        <v>3515</v>
      </c>
      <c r="L354" s="19" t="n">
        <v>140084.73</v>
      </c>
      <c r="M354" s="17" t="s">
        <v>535</v>
      </c>
      <c r="N354" s="18" t="n">
        <v>6.61</v>
      </c>
      <c r="O354" s="16" t="s">
        <v>1534</v>
      </c>
      <c r="P354" s="16" t="s">
        <v>1535</v>
      </c>
      <c r="Q354" s="17" t="s">
        <v>1536</v>
      </c>
      <c r="R354" s="78" t="s">
        <v>1694</v>
      </c>
      <c r="S354" s="77" t="n">
        <f aca="false">IFERROR(INDEX('Injectable Value'!$Z$28:$Z$178,MATCH($C354,'Injectable Value'!$A$28:$A$178,0)),"")</f>
        <v>0.251824206147514</v>
      </c>
      <c r="T354" s="19" t="n">
        <f aca="false">IFERROR(ROUND(INDEX('Injectable Value'!$AA$28:$AA$178,MATCH($C354,'Injectable Value'!$A$28:$A$178,0)),1),"")</f>
        <v>35276.7</v>
      </c>
      <c r="U354" s="17" t="s">
        <v>1118</v>
      </c>
      <c r="V354" s="16" t="n">
        <v>14</v>
      </c>
      <c r="W354" s="16" t="s">
        <v>1117</v>
      </c>
      <c r="X354" s="16" t="s">
        <v>281</v>
      </c>
      <c r="Y354" s="16" t="s">
        <v>310</v>
      </c>
      <c r="Z354" s="17" t="str">
        <f aca="false">IFERROR(INDEX(Scoring!$U:$U,MATCH($C354&amp;"|"&amp;$E354,Scoring!$AD:$AD,0)),"")</f>
        <v>Reconstitution</v>
      </c>
      <c r="AA354" s="16" t="str">
        <f aca="false">IFERROR(INDEX(Scoring!$E:$E,MATCH($C354&amp;"|"&amp;$E354,Scoring!$AD:$AD,0)),"")</f>
        <v>Excluded – IV only</v>
      </c>
      <c r="AB354" s="19" t="n">
        <f aca="false">IFERROR(INDEX(Scoring!$M:$M,MATCH($C354&amp;"|"&amp;$E354,Scoring!$AD:$AD,0)),"")</f>
        <v>885</v>
      </c>
      <c r="AC354" s="16" t="str">
        <f aca="false">IFERROR(INDEX('Route of Administration'!$C$5:$C$155,MATCH($C354,'Route of Administration'!$A$5:$A$155,0)),"")</f>
        <v>IV</v>
      </c>
      <c r="AD354" s="15" t="str">
        <f aca="false">IFERROR(INDEX('Route of Administration'!$D$5:$D$155,MATCH($C354,'Route of Administration'!$A$5:$A$155,0)),"")</f>
        <v>No</v>
      </c>
      <c r="AE354" s="15" t="str">
        <f aca="false">IF($AD354="No","Not checked – drug is IV only",IFERROR(INDEX('Route of Administration'!$O$5:$O$170,MATCH($E354&amp;"|"&amp;$C354,'Route of Administration'!$S$5:$S$170,0)),"Not checked – price ≤ USD 5"))</f>
        <v>Not checked – drug is IV only</v>
      </c>
    </row>
    <row r="355" customFormat="false" ht="68.65" hidden="false" customHeight="false" outlineLevel="0" collapsed="false">
      <c r="B355" s="16" t="n">
        <v>353</v>
      </c>
      <c r="C355" s="16" t="s">
        <v>518</v>
      </c>
      <c r="D355" s="16" t="s">
        <v>518</v>
      </c>
      <c r="E355" s="16" t="s">
        <v>927</v>
      </c>
      <c r="F355" s="16" t="s">
        <v>2223</v>
      </c>
      <c r="G355" s="17" t="s">
        <v>2224</v>
      </c>
      <c r="H355" s="16" t="s">
        <v>1540</v>
      </c>
      <c r="I355" s="18" t="n">
        <v>79.25</v>
      </c>
      <c r="J355" s="16" t="n">
        <v>1</v>
      </c>
      <c r="K355" s="16" t="n">
        <v>2546</v>
      </c>
      <c r="L355" s="19" t="n">
        <v>46507.62</v>
      </c>
      <c r="M355" s="17" t="s">
        <v>520</v>
      </c>
      <c r="N355" s="18" t="n">
        <v>79.25</v>
      </c>
      <c r="O355" s="16" t="s">
        <v>1534</v>
      </c>
      <c r="P355" s="16" t="s">
        <v>1700</v>
      </c>
      <c r="Q355" s="17" t="s">
        <v>1536</v>
      </c>
      <c r="R355" s="78" t="s">
        <v>2225</v>
      </c>
      <c r="S355" s="77" t="n">
        <f aca="false">IFERROR(INDEX('Injectable Value'!$Z$28:$Z$178,MATCH($C355,'Injectable Value'!$A$28:$A$178,0)),"")</f>
        <v>0.378228374732698</v>
      </c>
      <c r="T355" s="19" t="n">
        <f aca="false">IFERROR(ROUND(INDEX('Injectable Value'!$AA$28:$AA$178,MATCH($C355,'Injectable Value'!$A$28:$A$178,0)),1),"")</f>
        <v>17590.5</v>
      </c>
      <c r="U355" s="17" t="s">
        <v>1104</v>
      </c>
      <c r="V355" s="16" t="n">
        <v>27</v>
      </c>
      <c r="W355" s="16" t="s">
        <v>342</v>
      </c>
      <c r="X355" s="16" t="s">
        <v>291</v>
      </c>
      <c r="Y355" s="16" t="s">
        <v>283</v>
      </c>
      <c r="Z355" s="17" t="str">
        <f aca="false">IFERROR(INDEX(Scoring!$U:$U,MATCH($C355&amp;"|"&amp;$E355,Scoring!$AD:$AD,0)),"")</f>
        <v/>
      </c>
      <c r="AA355" s="16" t="str">
        <f aca="false">IFERROR(INDEX(Scoring!$E:$E,MATCH($C355&amp;"|"&amp;$E355,Scoring!$AD:$AD,0)),"")</f>
        <v>Priority 2</v>
      </c>
      <c r="AB355" s="19" t="n">
        <f aca="false">IFERROR(INDEX(Scoring!$M:$M,MATCH($C355&amp;"|"&amp;$E355,Scoring!$AD:$AD,0)),"")</f>
        <v>963</v>
      </c>
      <c r="AC355" s="16" t="str">
        <f aca="false">IFERROR(INDEX('Route of Administration'!$C$5:$C$155,MATCH($C355,'Route of Administration'!$A$5:$A$155,0)),"")</f>
        <v>IV, IM</v>
      </c>
      <c r="AD355" s="15" t="str">
        <f aca="false">IFERROR(INDEX('Route of Administration'!$D$5:$D$155,MATCH($C355,'Route of Administration'!$A$5:$A$155,0)),"")</f>
        <v>Yes</v>
      </c>
      <c r="AE355" s="15" t="str">
        <f aca="false">IF($AD355="No","Not checked – drug is IV only",IFERROR(INDEX('Route of Administration'!$O$5:$O$170,MATCH($E355&amp;"|"&amp;$C355,'Route of Administration'!$S$5:$S$170,0)),"Not checked – price ≤ USD 5"))</f>
        <v>Pass</v>
      </c>
    </row>
    <row r="356" customFormat="false" ht="41.75" hidden="false" customHeight="false" outlineLevel="0" collapsed="false">
      <c r="B356" s="16" t="n">
        <v>354</v>
      </c>
      <c r="C356" s="16" t="s">
        <v>75</v>
      </c>
      <c r="D356" s="16" t="s">
        <v>75</v>
      </c>
      <c r="E356" s="16" t="s">
        <v>927</v>
      </c>
      <c r="F356" s="16" t="s">
        <v>2226</v>
      </c>
      <c r="G356" s="17" t="s">
        <v>2227</v>
      </c>
      <c r="H356" s="16" t="s">
        <v>1540</v>
      </c>
      <c r="I356" s="18" t="n">
        <v>5.42</v>
      </c>
      <c r="J356" s="16" t="n">
        <v>1</v>
      </c>
      <c r="K356" s="16" t="n">
        <v>365</v>
      </c>
      <c r="L356" s="19" t="n">
        <v>5976.94</v>
      </c>
      <c r="M356" s="17" t="s">
        <v>513</v>
      </c>
      <c r="N356" s="18" t="n">
        <v>5.42</v>
      </c>
      <c r="O356" s="16" t="s">
        <v>1534</v>
      </c>
      <c r="P356" s="16" t="s">
        <v>1535</v>
      </c>
      <c r="Q356" s="17" t="s">
        <v>1536</v>
      </c>
      <c r="R356" s="78" t="s">
        <v>2228</v>
      </c>
      <c r="S356" s="77" t="n">
        <f aca="false">IFERROR(INDEX('Injectable Value'!$Z$28:$Z$178,MATCH($C356,'Injectable Value'!$A$28:$A$178,0)),"")</f>
        <v>0.240571827983426</v>
      </c>
      <c r="T356" s="19" t="n">
        <f aca="false">IFERROR(ROUND(INDEX('Injectable Value'!$AA$28:$AA$178,MATCH($C356,'Injectable Value'!$A$28:$A$178,0)),1),"")</f>
        <v>1437.9</v>
      </c>
      <c r="U356" s="17" t="s">
        <v>1099</v>
      </c>
      <c r="V356" s="16" t="n">
        <v>15</v>
      </c>
      <c r="W356" s="16" t="s">
        <v>760</v>
      </c>
      <c r="X356" s="16" t="s">
        <v>291</v>
      </c>
      <c r="Y356" s="16" t="s">
        <v>310</v>
      </c>
      <c r="Z356" s="17" t="str">
        <f aca="false">IFERROR(INDEX(Scoring!$U:$U,MATCH($C356&amp;"|"&amp;$E356,Scoring!$AD:$AD,0)),"")</f>
        <v>Prefilled only</v>
      </c>
      <c r="AA356" s="16" t="str">
        <f aca="false">IFERROR(INDEX(Scoring!$E:$E,MATCH($C356&amp;"|"&amp;$E356,Scoring!$AD:$AD,0)),"")</f>
        <v>Priority 3</v>
      </c>
      <c r="AB356" s="19" t="n">
        <f aca="false">IFERROR(INDEX(Scoring!$M:$M,MATCH($C356&amp;"|"&amp;$E356,Scoring!$AD:$AD,0)),"")</f>
        <v>88</v>
      </c>
      <c r="AC356" s="16" t="str">
        <f aca="false">IFERROR(INDEX('Route of Administration'!$C$5:$C$155,MATCH($C356,'Route of Administration'!$A$5:$A$155,0)),"")</f>
        <v>IV, IM, SC</v>
      </c>
      <c r="AD356" s="15" t="str">
        <f aca="false">IFERROR(INDEX('Route of Administration'!$D$5:$D$155,MATCH($C356,'Route of Administration'!$A$5:$A$155,0)),"")</f>
        <v>Yes</v>
      </c>
      <c r="AE356" s="15" t="str">
        <f aca="false">IF($AD356="No","Not checked – drug is IV only",IFERROR(INDEX('Route of Administration'!$O$5:$O$170,MATCH($E356&amp;"|"&amp;$C356,'Route of Administration'!$S$5:$S$170,0)),"Not checked – price ≤ USD 5"))</f>
        <v>Pass</v>
      </c>
    </row>
    <row r="357" customFormat="false" ht="55.2" hidden="false" customHeight="false" outlineLevel="0" collapsed="false">
      <c r="B357" s="16" t="n">
        <v>355</v>
      </c>
      <c r="C357" s="16" t="s">
        <v>501</v>
      </c>
      <c r="D357" s="16" t="s">
        <v>501</v>
      </c>
      <c r="E357" s="16" t="s">
        <v>927</v>
      </c>
      <c r="F357" s="16" t="s">
        <v>1692</v>
      </c>
      <c r="G357" s="17" t="s">
        <v>2021</v>
      </c>
      <c r="H357" s="16" t="s">
        <v>1533</v>
      </c>
      <c r="I357" s="18" t="n">
        <v>100.33</v>
      </c>
      <c r="J357" s="16" t="n">
        <v>1</v>
      </c>
      <c r="K357" s="16" t="n">
        <v>544</v>
      </c>
      <c r="L357" s="19" t="n">
        <v>7654.85</v>
      </c>
      <c r="M357" s="17" t="s">
        <v>503</v>
      </c>
      <c r="N357" s="18" t="n">
        <v>100.33</v>
      </c>
      <c r="O357" s="16" t="s">
        <v>1534</v>
      </c>
      <c r="P357" s="16" t="s">
        <v>1700</v>
      </c>
      <c r="Q357" s="17" t="s">
        <v>1536</v>
      </c>
      <c r="R357" s="78" t="s">
        <v>2229</v>
      </c>
      <c r="S357" s="77" t="n">
        <f aca="false">IFERROR(INDEX('Injectable Value'!$Z$28:$Z$178,MATCH($C357,'Injectable Value'!$A$28:$A$178,0)),"")</f>
        <v>0.882348668280872</v>
      </c>
      <c r="T357" s="19" t="n">
        <f aca="false">IFERROR(ROUND(INDEX('Injectable Value'!$AA$28:$AA$178,MATCH($C357,'Injectable Value'!$A$28:$A$178,0)),1),"")</f>
        <v>6754.2</v>
      </c>
      <c r="U357" s="17" t="s">
        <v>1089</v>
      </c>
      <c r="V357" s="16" t="n">
        <v>19</v>
      </c>
      <c r="W357" s="16" t="s">
        <v>537</v>
      </c>
      <c r="X357" s="16" t="s">
        <v>281</v>
      </c>
      <c r="Y357" s="16" t="s">
        <v>333</v>
      </c>
      <c r="Z357" s="17" t="str">
        <f aca="false">IFERROR(INDEX(Scoring!$U:$U,MATCH($C357&amp;"|"&amp;$E357,Scoring!$AD:$AD,0)),"")</f>
        <v>Cancer drug (cytotoxic) – less relevant; Reconstitution</v>
      </c>
      <c r="AA357" s="16" t="str">
        <f aca="false">IFERROR(INDEX(Scoring!$E:$E,MATCH($C357&amp;"|"&amp;$E357,Scoring!$AD:$AD,0)),"")</f>
        <v>Excluded – IV only</v>
      </c>
      <c r="AB357" s="19" t="n">
        <f aca="false">IFERROR(INDEX(Scoring!$M:$M,MATCH($C357&amp;"|"&amp;$E357,Scoring!$AD:$AD,0)),"")</f>
        <v>480</v>
      </c>
      <c r="AC357" s="16" t="str">
        <f aca="false">IFERROR(INDEX('Route of Administration'!$C$5:$C$155,MATCH($C357,'Route of Administration'!$A$5:$A$155,0)),"")</f>
        <v>IV</v>
      </c>
      <c r="AD357" s="15" t="str">
        <f aca="false">IFERROR(INDEX('Route of Administration'!$D$5:$D$155,MATCH($C357,'Route of Administration'!$A$5:$A$155,0)),"")</f>
        <v>No</v>
      </c>
      <c r="AE357" s="15" t="str">
        <f aca="false">IF($AD357="No","Not checked – drug is IV only",IFERROR(INDEX('Route of Administration'!$O$5:$O$170,MATCH($E357&amp;"|"&amp;$C357,'Route of Administration'!$S$5:$S$170,0)),"Not checked – price ≤ USD 5"))</f>
        <v>Not checked – drug is IV only</v>
      </c>
    </row>
    <row r="358" customFormat="false" ht="68.65" hidden="false" customHeight="false" outlineLevel="0" collapsed="false">
      <c r="B358" s="16" t="n">
        <v>356</v>
      </c>
      <c r="C358" s="16" t="s">
        <v>299</v>
      </c>
      <c r="D358" s="16" t="s">
        <v>299</v>
      </c>
      <c r="E358" s="16" t="s">
        <v>927</v>
      </c>
      <c r="F358" s="16" t="s">
        <v>1689</v>
      </c>
      <c r="G358" s="17" t="s">
        <v>1998</v>
      </c>
      <c r="H358" s="16" t="s">
        <v>1533</v>
      </c>
      <c r="I358" s="18" t="n">
        <v>96.02</v>
      </c>
      <c r="J358" s="16" t="n">
        <v>1</v>
      </c>
      <c r="K358" s="16" t="n">
        <v>1282</v>
      </c>
      <c r="L358" s="19" t="n">
        <v>16792.84</v>
      </c>
      <c r="M358" s="17" t="s">
        <v>301</v>
      </c>
      <c r="N358" s="18" t="n">
        <v>96.02</v>
      </c>
      <c r="O358" s="16" t="s">
        <v>1534</v>
      </c>
      <c r="P358" s="16" t="s">
        <v>1700</v>
      </c>
      <c r="Q358" s="17" t="s">
        <v>1536</v>
      </c>
      <c r="R358" s="78" t="s">
        <v>2230</v>
      </c>
      <c r="S358" s="77" t="n">
        <f aca="false">IFERROR(INDEX('Injectable Value'!$Z$28:$Z$178,MATCH($C358,'Injectable Value'!$A$28:$A$178,0)),"")</f>
        <v>0.776857437207773</v>
      </c>
      <c r="T358" s="19" t="n">
        <f aca="false">IFERROR(ROUND(INDEX('Injectable Value'!$AA$28:$AA$178,MATCH($C358,'Injectable Value'!$A$28:$A$178,0)),1),"")</f>
        <v>13045.6</v>
      </c>
      <c r="U358" s="17" t="s">
        <v>1077</v>
      </c>
      <c r="V358" s="16" t="n">
        <v>29</v>
      </c>
      <c r="W358" s="16" t="s">
        <v>537</v>
      </c>
      <c r="X358" s="16" t="s">
        <v>281</v>
      </c>
      <c r="Y358" s="16" t="s">
        <v>283</v>
      </c>
      <c r="Z358" s="17" t="str">
        <f aca="false">IFERROR(INDEX(Scoring!$U:$U,MATCH($C358&amp;"|"&amp;$E358,Scoring!$AD:$AD,0)),"")</f>
        <v>Cancer drug (cytotoxic) – less relevant</v>
      </c>
      <c r="AA358" s="16" t="str">
        <f aca="false">IFERROR(INDEX(Scoring!$E:$E,MATCH($C358&amp;"|"&amp;$E358,Scoring!$AD:$AD,0)),"")</f>
        <v>Priority 1</v>
      </c>
      <c r="AB358" s="19" t="n">
        <f aca="false">IFERROR(INDEX(Scoring!$M:$M,MATCH($C358&amp;"|"&amp;$E358,Scoring!$AD:$AD,0)),"")</f>
        <v>996</v>
      </c>
      <c r="AC358" s="16" t="str">
        <f aca="false">IFERROR(INDEX('Route of Administration'!$C$5:$C$155,MATCH($C358,'Route of Administration'!$A$5:$A$155,0)),"")</f>
        <v>IV, IM, SC</v>
      </c>
      <c r="AD358" s="15" t="str">
        <f aca="false">IFERROR(INDEX('Route of Administration'!$D$5:$D$155,MATCH($C358,'Route of Administration'!$A$5:$A$155,0)),"")</f>
        <v>Yes</v>
      </c>
      <c r="AE358" s="15" t="str">
        <f aca="false">IF($AD358="No","Not checked – drug is IV only",IFERROR(INDEX('Route of Administration'!$O$5:$O$170,MATCH($E358&amp;"|"&amp;$C358,'Route of Administration'!$S$5:$S$170,0)),"Not checked – price ≤ USD 5"))</f>
        <v>Pass</v>
      </c>
    </row>
    <row r="359" customFormat="false" ht="28.35" hidden="false" customHeight="false" outlineLevel="0" collapsed="false">
      <c r="B359" s="16" t="n">
        <v>357</v>
      </c>
      <c r="C359" s="16" t="s">
        <v>476</v>
      </c>
      <c r="D359" s="16" t="s">
        <v>476</v>
      </c>
      <c r="E359" s="16" t="s">
        <v>927</v>
      </c>
      <c r="F359" s="16" t="s">
        <v>2025</v>
      </c>
      <c r="G359" s="17" t="s">
        <v>2231</v>
      </c>
      <c r="H359" s="16" t="s">
        <v>1533</v>
      </c>
      <c r="I359" s="18"/>
      <c r="J359" s="16" t="n">
        <v>1</v>
      </c>
      <c r="K359" s="16" t="n">
        <v>257</v>
      </c>
      <c r="L359" s="19" t="n">
        <v>4183.29</v>
      </c>
      <c r="M359" s="17" t="s">
        <v>478</v>
      </c>
      <c r="N359" s="18"/>
      <c r="O359" s="16" t="s">
        <v>1573</v>
      </c>
      <c r="P359" s="16" t="s">
        <v>112</v>
      </c>
      <c r="Q359" s="17" t="s">
        <v>112</v>
      </c>
      <c r="R359" s="16"/>
      <c r="S359" s="77" t="n">
        <f aca="false">IFERROR(INDEX('Injectable Value'!$Z$28:$Z$178,MATCH($C359,'Injectable Value'!$A$28:$A$178,0)),"")</f>
        <v>0.689888576486515</v>
      </c>
      <c r="T359" s="19" t="n">
        <f aca="false">IFERROR(ROUND(INDEX('Injectable Value'!$AA$28:$AA$178,MATCH($C359,'Injectable Value'!$A$28:$A$178,0)),1),"")</f>
        <v>2886</v>
      </c>
      <c r="U359" s="17" t="s">
        <v>772</v>
      </c>
      <c r="V359" s="16" t="n">
        <v>2</v>
      </c>
      <c r="W359" s="16" t="s">
        <v>772</v>
      </c>
      <c r="X359" s="16" t="s">
        <v>281</v>
      </c>
      <c r="Y359" s="16" t="s">
        <v>283</v>
      </c>
      <c r="Z359" s="17" t="str">
        <f aca="false">IFERROR(INDEX(Scoring!$U:$U,MATCH($C359&amp;"|"&amp;$E359,Scoring!$AD:$AD,0)),"")</f>
        <v>Cancer drug (cytotoxic) – less relevant; Reconstitution</v>
      </c>
      <c r="AA359" s="16" t="str">
        <f aca="false">IFERROR(INDEX(Scoring!$E:$E,MATCH($C359&amp;"|"&amp;$E359,Scoring!$AD:$AD,0)),"")</f>
        <v>Excluded – IV only</v>
      </c>
      <c r="AB359" s="19" t="n">
        <f aca="false">IFERROR(INDEX(Scoring!$M:$M,MATCH($C359&amp;"|"&amp;$E359,Scoring!$AD:$AD,0)),"")</f>
        <v>177</v>
      </c>
      <c r="AC359" s="16" t="str">
        <f aca="false">IFERROR(INDEX('Route of Administration'!$C$5:$C$155,MATCH($C359,'Route of Administration'!$A$5:$A$155,0)),"")</f>
        <v>IV</v>
      </c>
      <c r="AD359" s="15" t="str">
        <f aca="false">IFERROR(INDEX('Route of Administration'!$D$5:$D$155,MATCH($C359,'Route of Administration'!$A$5:$A$155,0)),"")</f>
        <v>No</v>
      </c>
      <c r="AE359" s="15" t="str">
        <f aca="false">IF($AD359="No","Not checked – drug is IV only",IFERROR(INDEX('Route of Administration'!$O$5:$O$170,MATCH($E359&amp;"|"&amp;$C359,'Route of Administration'!$S$5:$S$170,0)),"Not checked – price ≤ USD 5"))</f>
        <v>Not checked – drug is IV only</v>
      </c>
    </row>
    <row r="360" customFormat="false" ht="82.05" hidden="false" customHeight="false" outlineLevel="0" collapsed="false">
      <c r="B360" s="16" t="n">
        <v>358</v>
      </c>
      <c r="C360" s="16" t="s">
        <v>440</v>
      </c>
      <c r="D360" s="16" t="s">
        <v>440</v>
      </c>
      <c r="E360" s="16" t="s">
        <v>927</v>
      </c>
      <c r="F360" s="16" t="s">
        <v>2232</v>
      </c>
      <c r="G360" s="17" t="s">
        <v>2233</v>
      </c>
      <c r="H360" s="16" t="s">
        <v>1533</v>
      </c>
      <c r="I360" s="18" t="n">
        <v>8.46</v>
      </c>
      <c r="J360" s="16" t="n">
        <v>1</v>
      </c>
      <c r="K360" s="16" t="n">
        <v>727</v>
      </c>
      <c r="L360" s="19" t="n">
        <v>7496</v>
      </c>
      <c r="M360" s="17" t="s">
        <v>441</v>
      </c>
      <c r="N360" s="18" t="n">
        <v>8.46</v>
      </c>
      <c r="O360" s="16" t="s">
        <v>1534</v>
      </c>
      <c r="P360" s="16" t="s">
        <v>1700</v>
      </c>
      <c r="Q360" s="17" t="s">
        <v>1536</v>
      </c>
      <c r="R360" s="78" t="s">
        <v>2234</v>
      </c>
      <c r="S360" s="77" t="n">
        <f aca="false">IFERROR(INDEX('Injectable Value'!$Z$28:$Z$178,MATCH($C360,'Injectable Value'!$A$28:$A$178,0)),"")</f>
        <v>0.650751867180439</v>
      </c>
      <c r="T360" s="19" t="n">
        <f aca="false">IFERROR(ROUND(INDEX('Injectable Value'!$AA$28:$AA$178,MATCH($C360,'Injectable Value'!$A$28:$A$178,0)),1),"")</f>
        <v>4878</v>
      </c>
      <c r="U360" s="17" t="s">
        <v>1042</v>
      </c>
      <c r="V360" s="16" t="n">
        <v>30</v>
      </c>
      <c r="W360" s="16" t="s">
        <v>537</v>
      </c>
      <c r="X360" s="16" t="s">
        <v>281</v>
      </c>
      <c r="Y360" s="16" t="s">
        <v>283</v>
      </c>
      <c r="Z360" s="17" t="str">
        <f aca="false">IFERROR(INDEX(Scoring!$U:$U,MATCH($C360&amp;"|"&amp;$E360,Scoring!$AD:$AD,0)),"")</f>
        <v>Cancer drug (cytotoxic) – less relevant</v>
      </c>
      <c r="AA360" s="16" t="str">
        <f aca="false">IFERROR(INDEX(Scoring!$E:$E,MATCH($C360&amp;"|"&amp;$E360,Scoring!$AD:$AD,0)),"")</f>
        <v>Excluded – IV only</v>
      </c>
      <c r="AB360" s="19" t="n">
        <f aca="false">IFERROR(INDEX(Scoring!$M:$M,MATCH($C360&amp;"|"&amp;$E360,Scoring!$AD:$AD,0)),"")</f>
        <v>473</v>
      </c>
      <c r="AC360" s="16" t="str">
        <f aca="false">IFERROR(INDEX('Route of Administration'!$C$5:$C$155,MATCH($C360,'Route of Administration'!$A$5:$A$155,0)),"")</f>
        <v>IV</v>
      </c>
      <c r="AD360" s="15" t="str">
        <f aca="false">IFERROR(INDEX('Route of Administration'!$D$5:$D$155,MATCH($C360,'Route of Administration'!$A$5:$A$155,0)),"")</f>
        <v>No</v>
      </c>
      <c r="AE360" s="15" t="str">
        <f aca="false">IF($AD360="No","Not checked – drug is IV only",IFERROR(INDEX('Route of Administration'!$O$5:$O$170,MATCH($E360&amp;"|"&amp;$C360,'Route of Administration'!$S$5:$S$170,0)),"Not checked – price ≤ USD 5"))</f>
        <v>Not checked – drug is IV only</v>
      </c>
    </row>
    <row r="361" customFormat="false" ht="68.65" hidden="false" customHeight="false" outlineLevel="0" collapsed="false">
      <c r="B361" s="16" t="n">
        <v>359</v>
      </c>
      <c r="C361" s="16" t="s">
        <v>1034</v>
      </c>
      <c r="D361" s="16" t="s">
        <v>1034</v>
      </c>
      <c r="E361" s="16" t="s">
        <v>927</v>
      </c>
      <c r="F361" s="16" t="s">
        <v>1689</v>
      </c>
      <c r="G361" s="17" t="s">
        <v>1998</v>
      </c>
      <c r="H361" s="16" t="s">
        <v>1533</v>
      </c>
      <c r="I361" s="18" t="n">
        <v>204.91</v>
      </c>
      <c r="J361" s="16" t="n">
        <v>1</v>
      </c>
      <c r="K361" s="16" t="n">
        <v>120</v>
      </c>
      <c r="L361" s="19" t="n">
        <v>5234.47</v>
      </c>
      <c r="M361" s="17" t="s">
        <v>1036</v>
      </c>
      <c r="N361" s="18" t="n">
        <v>204.91</v>
      </c>
      <c r="O361" s="16" t="s">
        <v>1534</v>
      </c>
      <c r="P361" s="16" t="s">
        <v>1700</v>
      </c>
      <c r="Q361" s="17" t="s">
        <v>1536</v>
      </c>
      <c r="R361" s="78" t="s">
        <v>2235</v>
      </c>
      <c r="S361" s="77" t="n">
        <f aca="false">IFERROR(INDEX('Injectable Value'!$Z$28:$Z$178,MATCH($C361,'Injectable Value'!$A$28:$A$178,0)),"")</f>
        <v>0.833333333333333</v>
      </c>
      <c r="T361" s="19" t="n">
        <f aca="false">IFERROR(ROUND(INDEX('Injectable Value'!$AA$28:$AA$178,MATCH($C361,'Injectable Value'!$A$28:$A$178,0)),1),"")</f>
        <v>4362.1</v>
      </c>
      <c r="U361" s="17" t="s">
        <v>1038</v>
      </c>
      <c r="V361" s="16" t="n">
        <v>23</v>
      </c>
      <c r="W361" s="16" t="s">
        <v>334</v>
      </c>
      <c r="X361" s="16" t="s">
        <v>281</v>
      </c>
      <c r="Y361" s="16" t="s">
        <v>283</v>
      </c>
      <c r="Z361" s="17" t="str">
        <f aca="false">IFERROR(INDEX(Scoring!$U:$U,MATCH($C361&amp;"|"&amp;$E361,Scoring!$AD:$AD,0)),"")</f>
        <v>Cancer drug (cytotoxic) – less relevant</v>
      </c>
      <c r="AA361" s="16" t="str">
        <f aca="false">IFERROR(INDEX(Scoring!$E:$E,MATCH($C361&amp;"|"&amp;$E361,Scoring!$AD:$AD,0)),"")</f>
        <v>Excluded – IV only</v>
      </c>
      <c r="AB361" s="19" t="n">
        <f aca="false">IFERROR(INDEX(Scoring!$M:$M,MATCH($C361&amp;"|"&amp;$E361,Scoring!$AD:$AD,0)),"")</f>
        <v>100</v>
      </c>
      <c r="AC361" s="16" t="str">
        <f aca="false">IFERROR(INDEX('Route of Administration'!$C$5:$C$155,MATCH($C361,'Route of Administration'!$A$5:$A$155,0)),"")</f>
        <v>IV</v>
      </c>
      <c r="AD361" s="15" t="str">
        <f aca="false">IFERROR(INDEX('Route of Administration'!$D$5:$D$155,MATCH($C361,'Route of Administration'!$A$5:$A$155,0)),"")</f>
        <v>No</v>
      </c>
      <c r="AE361" s="15" t="str">
        <f aca="false">IF($AD361="No","Not checked – drug is IV only",IFERROR(INDEX('Route of Administration'!$O$5:$O$170,MATCH($E361&amp;"|"&amp;$C361,'Route of Administration'!$S$5:$S$170,0)),"Not checked – price ≤ USD 5"))</f>
        <v>Not checked – drug is IV only</v>
      </c>
    </row>
    <row r="362" customFormat="false" ht="28.35" hidden="false" customHeight="false" outlineLevel="0" collapsed="false">
      <c r="B362" s="16" t="n">
        <v>360</v>
      </c>
      <c r="C362" s="16" t="s">
        <v>804</v>
      </c>
      <c r="D362" s="16" t="s">
        <v>804</v>
      </c>
      <c r="E362" s="16" t="s">
        <v>927</v>
      </c>
      <c r="F362" s="16" t="s">
        <v>1692</v>
      </c>
      <c r="G362" s="17" t="s">
        <v>1693</v>
      </c>
      <c r="H362" s="16" t="s">
        <v>1533</v>
      </c>
      <c r="I362" s="18" t="n">
        <v>5.62</v>
      </c>
      <c r="J362" s="16" t="n">
        <v>1</v>
      </c>
      <c r="K362" s="16" t="n">
        <v>3168</v>
      </c>
      <c r="L362" s="19" t="n">
        <v>130453.11</v>
      </c>
      <c r="M362" s="17" t="s">
        <v>806</v>
      </c>
      <c r="N362" s="18" t="n">
        <v>5.62</v>
      </c>
      <c r="O362" s="16" t="s">
        <v>1534</v>
      </c>
      <c r="P362" s="16" t="s">
        <v>1535</v>
      </c>
      <c r="Q362" s="17" t="s">
        <v>1536</v>
      </c>
      <c r="R362" s="78" t="s">
        <v>2236</v>
      </c>
      <c r="S362" s="77" t="n">
        <f aca="false">IFERROR(INDEX('Injectable Value'!$Z$28:$Z$178,MATCH($C362,'Injectable Value'!$A$28:$A$178,0)),"")</f>
        <v>0.103608949323645</v>
      </c>
      <c r="T362" s="19" t="n">
        <f aca="false">IFERROR(ROUND(INDEX('Injectable Value'!$AA$28:$AA$178,MATCH($C362,'Injectable Value'!$A$28:$A$178,0)),1),"")</f>
        <v>13516.1</v>
      </c>
      <c r="U362" s="17" t="s">
        <v>1032</v>
      </c>
      <c r="V362" s="16" t="n">
        <v>6</v>
      </c>
      <c r="W362" s="16" t="s">
        <v>1031</v>
      </c>
      <c r="X362" s="16" t="s">
        <v>281</v>
      </c>
      <c r="Y362" s="16" t="s">
        <v>310</v>
      </c>
      <c r="Z362" s="17" t="str">
        <f aca="false">IFERROR(INDEX(Scoring!$U:$U,MATCH($C362&amp;"|"&amp;$E362,Scoring!$AD:$AD,0)),"")</f>
        <v>Reconstitution</v>
      </c>
      <c r="AA362" s="16" t="str">
        <f aca="false">IFERROR(INDEX(Scoring!$E:$E,MATCH($C362&amp;"|"&amp;$E362,Scoring!$AD:$AD,0)),"")</f>
        <v>Excluded – IV only</v>
      </c>
      <c r="AB362" s="19" t="n">
        <f aca="false">IFERROR(INDEX(Scoring!$M:$M,MATCH($C362&amp;"|"&amp;$E362,Scoring!$AD:$AD,0)),"")</f>
        <v>328</v>
      </c>
      <c r="AC362" s="16" t="str">
        <f aca="false">IFERROR(INDEX('Route of Administration'!$C$5:$C$155,MATCH($C362,'Route of Administration'!$A$5:$A$155,0)),"")</f>
        <v>IV</v>
      </c>
      <c r="AD362" s="15" t="str">
        <f aca="false">IFERROR(INDEX('Route of Administration'!$D$5:$D$155,MATCH($C362,'Route of Administration'!$A$5:$A$155,0)),"")</f>
        <v>No</v>
      </c>
      <c r="AE362" s="15" t="str">
        <f aca="false">IF($AD362="No","Not checked – drug is IV only",IFERROR(INDEX('Route of Administration'!$O$5:$O$170,MATCH($E362&amp;"|"&amp;$C362,'Route of Administration'!$S$5:$S$170,0)),"Not checked – price ≤ USD 5"))</f>
        <v>Not checked – drug is IV only</v>
      </c>
    </row>
    <row r="363" customFormat="false" ht="55.2" hidden="false" customHeight="false" outlineLevel="0" collapsed="false">
      <c r="B363" s="16" t="n">
        <v>361</v>
      </c>
      <c r="C363" s="16" t="s">
        <v>408</v>
      </c>
      <c r="D363" s="16" t="s">
        <v>2237</v>
      </c>
      <c r="E363" s="16" t="s">
        <v>927</v>
      </c>
      <c r="F363" s="16" t="s">
        <v>1695</v>
      </c>
      <c r="G363" s="17" t="s">
        <v>1719</v>
      </c>
      <c r="H363" s="16" t="s">
        <v>1533</v>
      </c>
      <c r="I363" s="18" t="n">
        <v>26.68</v>
      </c>
      <c r="J363" s="16" t="n">
        <v>1</v>
      </c>
      <c r="K363" s="16" t="n">
        <v>345</v>
      </c>
      <c r="L363" s="19" t="n">
        <v>2783.28</v>
      </c>
      <c r="M363" s="17" t="s">
        <v>410</v>
      </c>
      <c r="N363" s="18" t="n">
        <v>26.68</v>
      </c>
      <c r="O363" s="16" t="s">
        <v>1534</v>
      </c>
      <c r="P363" s="16" t="s">
        <v>1700</v>
      </c>
      <c r="Q363" s="17" t="s">
        <v>1536</v>
      </c>
      <c r="R363" s="78" t="s">
        <v>2238</v>
      </c>
      <c r="S363" s="77" t="n">
        <f aca="false">IFERROR(INDEX('Injectable Value'!$Z$28:$Z$178,MATCH($C363,'Injectable Value'!$A$28:$A$178,0)),"")</f>
        <v>0.995283018867925</v>
      </c>
      <c r="T363" s="19" t="n">
        <f aca="false">IFERROR(ROUND(INDEX('Injectable Value'!$AA$28:$AA$178,MATCH($C363,'Injectable Value'!$A$28:$A$178,0)),1),"")</f>
        <v>2770.2</v>
      </c>
      <c r="U363" s="17" t="s">
        <v>1020</v>
      </c>
      <c r="V363" s="16" t="n">
        <v>24</v>
      </c>
      <c r="W363" s="16" t="s">
        <v>977</v>
      </c>
      <c r="X363" s="16" t="s">
        <v>281</v>
      </c>
      <c r="Y363" s="16" t="s">
        <v>283</v>
      </c>
      <c r="Z363" s="17" t="str">
        <f aca="false">IFERROR(INDEX(Scoring!$U:$U,MATCH($C363&amp;"|"&amp;$E363,Scoring!$AD:$AD,0)),"")</f>
        <v>Cancer drug (cytotoxic) – less relevant</v>
      </c>
      <c r="AA363" s="16" t="str">
        <f aca="false">IFERROR(INDEX(Scoring!$E:$E,MATCH($C363&amp;"|"&amp;$E363,Scoring!$AD:$AD,0)),"")</f>
        <v>Excluded – IV only</v>
      </c>
      <c r="AB363" s="19" t="n">
        <f aca="false">IFERROR(INDEX(Scoring!$M:$M,MATCH($C363&amp;"|"&amp;$E363,Scoring!$AD:$AD,0)),"")</f>
        <v>343</v>
      </c>
      <c r="AC363" s="16" t="str">
        <f aca="false">IFERROR(INDEX('Route of Administration'!$C$5:$C$155,MATCH($C363,'Route of Administration'!$A$5:$A$155,0)),"")</f>
        <v>IV</v>
      </c>
      <c r="AD363" s="15" t="str">
        <f aca="false">IFERROR(INDEX('Route of Administration'!$D$5:$D$155,MATCH($C363,'Route of Administration'!$A$5:$A$155,0)),"")</f>
        <v>No</v>
      </c>
      <c r="AE363" s="15" t="str">
        <f aca="false">IF($AD363="No","Not checked – drug is IV only",IFERROR(INDEX('Route of Administration'!$O$5:$O$170,MATCH($E363&amp;"|"&amp;$C363,'Route of Administration'!$S$5:$S$170,0)),"Not checked – price ≤ USD 5"))</f>
        <v>Not checked – drug is IV only</v>
      </c>
    </row>
    <row r="364" customFormat="false" ht="68.65" hidden="false" customHeight="false" outlineLevel="0" collapsed="false">
      <c r="B364" s="16" t="n">
        <v>362</v>
      </c>
      <c r="C364" s="16" t="s">
        <v>984</v>
      </c>
      <c r="D364" s="16" t="s">
        <v>984</v>
      </c>
      <c r="E364" s="16" t="s">
        <v>927</v>
      </c>
      <c r="F364" s="16" t="s">
        <v>1686</v>
      </c>
      <c r="G364" s="17" t="s">
        <v>2239</v>
      </c>
      <c r="H364" s="16" t="s">
        <v>1533</v>
      </c>
      <c r="I364" s="18" t="n">
        <v>5.41</v>
      </c>
      <c r="J364" s="16" t="n">
        <v>1</v>
      </c>
      <c r="K364" s="16" t="n">
        <v>799</v>
      </c>
      <c r="L364" s="19" t="n">
        <v>7738.99</v>
      </c>
      <c r="M364" s="17" t="s">
        <v>986</v>
      </c>
      <c r="N364" s="18" t="n">
        <v>5.41</v>
      </c>
      <c r="O364" s="16" t="s">
        <v>1534</v>
      </c>
      <c r="P364" s="16" t="s">
        <v>1700</v>
      </c>
      <c r="Q364" s="17" t="s">
        <v>1536</v>
      </c>
      <c r="R364" s="78" t="s">
        <v>2240</v>
      </c>
      <c r="S364" s="77" t="n">
        <f aca="false">IFERROR(INDEX('Injectable Value'!$Z$28:$Z$178,MATCH($C364,'Injectable Value'!$A$28:$A$178,0)),"")</f>
        <v>1</v>
      </c>
      <c r="T364" s="19" t="n">
        <f aca="false">IFERROR(ROUND(INDEX('Injectable Value'!$AA$28:$AA$178,MATCH($C364,'Injectable Value'!$A$28:$A$178,0)),1),"")</f>
        <v>7739</v>
      </c>
      <c r="U364" s="17" t="s">
        <v>988</v>
      </c>
      <c r="V364" s="16" t="n">
        <v>28</v>
      </c>
      <c r="W364" s="16" t="s">
        <v>334</v>
      </c>
      <c r="X364" s="16" t="s">
        <v>281</v>
      </c>
      <c r="Y364" s="16" t="s">
        <v>283</v>
      </c>
      <c r="Z364" s="17" t="str">
        <f aca="false">IFERROR(INDEX(Scoring!$U:$U,MATCH($C364&amp;"|"&amp;$E364,Scoring!$AD:$AD,0)),"")</f>
        <v>Cancer drug (cytotoxic) – less relevant</v>
      </c>
      <c r="AA364" s="16" t="str">
        <f aca="false">IFERROR(INDEX(Scoring!$E:$E,MATCH($C364&amp;"|"&amp;$E364,Scoring!$AD:$AD,0)),"")</f>
        <v>Priority 2</v>
      </c>
      <c r="AB364" s="19" t="n">
        <f aca="false">IFERROR(INDEX(Scoring!$M:$M,MATCH($C364&amp;"|"&amp;$E364,Scoring!$AD:$AD,0)),"")</f>
        <v>799</v>
      </c>
      <c r="AC364" s="16" t="str">
        <f aca="false">IFERROR(INDEX('Route of Administration'!$C$5:$C$155,MATCH($C364,'Route of Administration'!$A$5:$A$155,0)),"")</f>
        <v>IV, SC</v>
      </c>
      <c r="AD364" s="15" t="str">
        <f aca="false">IFERROR(INDEX('Route of Administration'!$D$5:$D$155,MATCH($C364,'Route of Administration'!$A$5:$A$155,0)),"")</f>
        <v>Yes</v>
      </c>
      <c r="AE364" s="15" t="str">
        <f aca="false">IF($AD364="No","Not checked – drug is IV only",IFERROR(INDEX('Route of Administration'!$O$5:$O$170,MATCH($E364&amp;"|"&amp;$C364,'Route of Administration'!$S$5:$S$170,0)),"Not checked – price ≤ USD 5"))</f>
        <v>Pass</v>
      </c>
    </row>
    <row r="365" customFormat="false" ht="68.65" hidden="false" customHeight="false" outlineLevel="0" collapsed="false">
      <c r="B365" s="16" t="n">
        <v>363</v>
      </c>
      <c r="C365" s="16" t="s">
        <v>380</v>
      </c>
      <c r="D365" s="16" t="s">
        <v>2241</v>
      </c>
      <c r="E365" s="16" t="s">
        <v>927</v>
      </c>
      <c r="F365" s="16" t="s">
        <v>2242</v>
      </c>
      <c r="G365" s="17" t="s">
        <v>2243</v>
      </c>
      <c r="H365" s="16" t="s">
        <v>1533</v>
      </c>
      <c r="I365" s="18" t="n">
        <v>56.21</v>
      </c>
      <c r="J365" s="16" t="n">
        <v>1</v>
      </c>
      <c r="K365" s="16" t="n">
        <v>843</v>
      </c>
      <c r="L365" s="19" t="n">
        <v>4508</v>
      </c>
      <c r="M365" s="17" t="s">
        <v>381</v>
      </c>
      <c r="N365" s="18" t="n">
        <v>56.21</v>
      </c>
      <c r="O365" s="16" t="s">
        <v>1534</v>
      </c>
      <c r="P365" s="16" t="s">
        <v>1535</v>
      </c>
      <c r="Q365" s="17" t="s">
        <v>1536</v>
      </c>
      <c r="R365" s="78" t="s">
        <v>2244</v>
      </c>
      <c r="S365" s="77" t="n">
        <f aca="false">IFERROR(INDEX('Injectable Value'!$Z$28:$Z$178,MATCH($C365,'Injectable Value'!$A$28:$A$178,0)),"")</f>
        <v>0.858739397335643</v>
      </c>
      <c r="T365" s="19" t="n">
        <f aca="false">IFERROR(ROUND(INDEX('Injectable Value'!$AA$28:$AA$178,MATCH($C365,'Injectable Value'!$A$28:$A$178,0)),1),"")</f>
        <v>3871.2</v>
      </c>
      <c r="U365" s="17" t="s">
        <v>982</v>
      </c>
      <c r="V365" s="16" t="n">
        <v>23</v>
      </c>
      <c r="W365" s="16" t="s">
        <v>334</v>
      </c>
      <c r="X365" s="16" t="s">
        <v>281</v>
      </c>
      <c r="Y365" s="16" t="s">
        <v>333</v>
      </c>
      <c r="Z365" s="17" t="str">
        <f aca="false">IFERROR(INDEX(Scoring!$U:$U,MATCH($C365&amp;"|"&amp;$E365,Scoring!$AD:$AD,0)),"")</f>
        <v>Cancer drug (cytotoxic) – less relevant; Reconstitution</v>
      </c>
      <c r="AA365" s="16" t="str">
        <f aca="false">IFERROR(INDEX(Scoring!$E:$E,MATCH($C365&amp;"|"&amp;$E365,Scoring!$AD:$AD,0)),"")</f>
        <v>Excluded – IV only</v>
      </c>
      <c r="AB365" s="19" t="n">
        <f aca="false">IFERROR(INDEX(Scoring!$M:$M,MATCH($C365&amp;"|"&amp;$E365,Scoring!$AD:$AD,0)),"")</f>
        <v>724</v>
      </c>
      <c r="AC365" s="16" t="str">
        <f aca="false">IFERROR(INDEX('Route of Administration'!$C$5:$C$155,MATCH($C365,'Route of Administration'!$A$5:$A$155,0)),"")</f>
        <v>IV</v>
      </c>
      <c r="AD365" s="15" t="str">
        <f aca="false">IFERROR(INDEX('Route of Administration'!$D$5:$D$155,MATCH($C365,'Route of Administration'!$A$5:$A$155,0)),"")</f>
        <v>No</v>
      </c>
      <c r="AE365" s="15" t="str">
        <f aca="false">IF($AD365="No","Not checked – drug is IV only",IFERROR(INDEX('Route of Administration'!$O$5:$O$170,MATCH($E365&amp;"|"&amp;$C365,'Route of Administration'!$S$5:$S$170,0)),"Not checked – price ≤ USD 5"))</f>
        <v>Not checked – drug is IV only</v>
      </c>
    </row>
    <row r="366" customFormat="false" ht="55.2" hidden="false" customHeight="false" outlineLevel="0" collapsed="false">
      <c r="B366" s="16" t="n">
        <v>364</v>
      </c>
      <c r="C366" s="16" t="s">
        <v>790</v>
      </c>
      <c r="D366" s="16" t="s">
        <v>790</v>
      </c>
      <c r="E366" s="16" t="s">
        <v>927</v>
      </c>
      <c r="F366" s="16" t="s">
        <v>2245</v>
      </c>
      <c r="G366" s="17" t="s">
        <v>2246</v>
      </c>
      <c r="H366" s="16" t="s">
        <v>1533</v>
      </c>
      <c r="I366" s="18" t="n">
        <v>7.27</v>
      </c>
      <c r="J366" s="16" t="n">
        <v>1</v>
      </c>
      <c r="K366" s="16" t="n">
        <v>123</v>
      </c>
      <c r="L366" s="19" t="n">
        <v>3010.2</v>
      </c>
      <c r="M366" s="17" t="s">
        <v>792</v>
      </c>
      <c r="N366" s="18" t="n">
        <v>7.27</v>
      </c>
      <c r="O366" s="16" t="s">
        <v>1534</v>
      </c>
      <c r="P366" s="16" t="s">
        <v>1535</v>
      </c>
      <c r="Q366" s="17" t="s">
        <v>1536</v>
      </c>
      <c r="R366" s="78" t="s">
        <v>1685</v>
      </c>
      <c r="S366" s="77" t="n">
        <f aca="false">IFERROR(INDEX('Injectable Value'!$Z$28:$Z$178,MATCH($C366,'Injectable Value'!$A$28:$A$178,0)),"")</f>
        <v>0.675601982054373</v>
      </c>
      <c r="T366" s="19" t="n">
        <f aca="false">IFERROR(ROUND(INDEX('Injectable Value'!$AA$28:$AA$178,MATCH($C366,'Injectable Value'!$A$28:$A$178,0)),1),"")</f>
        <v>2033.7</v>
      </c>
      <c r="U366" s="17" t="s">
        <v>978</v>
      </c>
      <c r="V366" s="16" t="n">
        <v>22</v>
      </c>
      <c r="W366" s="16" t="s">
        <v>977</v>
      </c>
      <c r="X366" s="16" t="s">
        <v>281</v>
      </c>
      <c r="Y366" s="16" t="s">
        <v>333</v>
      </c>
      <c r="Z366" s="17" t="str">
        <f aca="false">IFERROR(INDEX(Scoring!$U:$U,MATCH($C366&amp;"|"&amp;$E366,Scoring!$AD:$AD,0)),"")</f>
        <v>Reconstitution</v>
      </c>
      <c r="AA366" s="16" t="str">
        <f aca="false">IFERROR(INDEX(Scoring!$E:$E,MATCH($C366&amp;"|"&amp;$E366,Scoring!$AD:$AD,0)),"")</f>
        <v>Excluded – IV only</v>
      </c>
      <c r="AB366" s="19" t="n">
        <f aca="false">IFERROR(INDEX(Scoring!$M:$M,MATCH($C366&amp;"|"&amp;$E366,Scoring!$AD:$AD,0)),"")</f>
        <v>83</v>
      </c>
      <c r="AC366" s="16" t="str">
        <f aca="false">IFERROR(INDEX('Route of Administration'!$C$5:$C$155,MATCH($C366,'Route of Administration'!$A$5:$A$155,0)),"")</f>
        <v>IV, IM</v>
      </c>
      <c r="AD366" s="15" t="str">
        <f aca="false">IFERROR(INDEX('Route of Administration'!$D$5:$D$155,MATCH($C366,'Route of Administration'!$A$5:$A$155,0)),"")</f>
        <v>Yes</v>
      </c>
      <c r="AE366" s="15" t="str">
        <f aca="false">IF($AD366="No","Not checked – drug is IV only",IFERROR(INDEX('Route of Administration'!$O$5:$O$170,MATCH($E366&amp;"|"&amp;$C366,'Route of Administration'!$S$5:$S$170,0)),"Not checked – price ≤ USD 5"))</f>
        <v>Fail</v>
      </c>
    </row>
    <row r="367" customFormat="false" ht="41.75" hidden="false" customHeight="false" outlineLevel="0" collapsed="false">
      <c r="B367" s="16" t="n">
        <v>365</v>
      </c>
      <c r="C367" s="16" t="s">
        <v>967</v>
      </c>
      <c r="D367" s="16" t="s">
        <v>967</v>
      </c>
      <c r="E367" s="16" t="s">
        <v>927</v>
      </c>
      <c r="F367" s="16" t="s">
        <v>2247</v>
      </c>
      <c r="G367" s="17" t="s">
        <v>2248</v>
      </c>
      <c r="H367" s="16" t="s">
        <v>1533</v>
      </c>
      <c r="I367" s="18" t="n">
        <v>39.05</v>
      </c>
      <c r="J367" s="16" t="n">
        <v>1</v>
      </c>
      <c r="K367" s="16" t="n">
        <v>117</v>
      </c>
      <c r="L367" s="19" t="n">
        <v>2508.09</v>
      </c>
      <c r="M367" s="17" t="s">
        <v>969</v>
      </c>
      <c r="N367" s="18" t="n">
        <v>39.05</v>
      </c>
      <c r="O367" s="16" t="s">
        <v>1534</v>
      </c>
      <c r="P367" s="16" t="s">
        <v>1700</v>
      </c>
      <c r="Q367" s="17" t="s">
        <v>1536</v>
      </c>
      <c r="R367" s="78" t="s">
        <v>2249</v>
      </c>
      <c r="S367" s="77" t="n">
        <f aca="false">IFERROR(INDEX('Injectable Value'!$Z$28:$Z$178,MATCH($C367,'Injectable Value'!$A$28:$A$178,0)),"")</f>
        <v>1</v>
      </c>
      <c r="T367" s="19" t="n">
        <f aca="false">IFERROR(ROUND(INDEX('Injectable Value'!$AA$28:$AA$178,MATCH($C367,'Injectable Value'!$A$28:$A$178,0)),1),"")</f>
        <v>2508.1</v>
      </c>
      <c r="U367" s="17" t="s">
        <v>972</v>
      </c>
      <c r="V367" s="16" t="n">
        <v>15</v>
      </c>
      <c r="W367" s="16" t="s">
        <v>971</v>
      </c>
      <c r="X367" s="16" t="s">
        <v>281</v>
      </c>
      <c r="Y367" s="16" t="s">
        <v>1547</v>
      </c>
      <c r="Z367" s="17" t="str">
        <f aca="false">IFERROR(INDEX(Scoring!$U:$U,MATCH($C367&amp;"|"&amp;$E367,Scoring!$AD:$AD,0)),"")</f>
        <v/>
      </c>
      <c r="AA367" s="16" t="str">
        <f aca="false">IFERROR(INDEX(Scoring!$E:$E,MATCH($C367&amp;"|"&amp;$E367,Scoring!$AD:$AD,0)),"")</f>
        <v>Excluded – IV only</v>
      </c>
      <c r="AB367" s="19" t="n">
        <f aca="false">IFERROR(INDEX(Scoring!$M:$M,MATCH($C367&amp;"|"&amp;$E367,Scoring!$AD:$AD,0)),"")</f>
        <v>117</v>
      </c>
      <c r="AC367" s="16" t="str">
        <f aca="false">IFERROR(INDEX('Route of Administration'!$C$5:$C$155,MATCH($C367,'Route of Administration'!$A$5:$A$155,0)),"")</f>
        <v>IV</v>
      </c>
      <c r="AD367" s="15" t="str">
        <f aca="false">IFERROR(INDEX('Route of Administration'!$D$5:$D$155,MATCH($C367,'Route of Administration'!$A$5:$A$155,0)),"")</f>
        <v>No</v>
      </c>
      <c r="AE367" s="15" t="str">
        <f aca="false">IF($AD367="No","Not checked – drug is IV only",IFERROR(INDEX('Route of Administration'!$O$5:$O$170,MATCH($E367&amp;"|"&amp;$C367,'Route of Administration'!$S$5:$S$170,0)),"Not checked – price ≤ USD 5"))</f>
        <v>Not checked – drug is IV only</v>
      </c>
    </row>
    <row r="368" customFormat="false" ht="55.2" hidden="false" customHeight="false" outlineLevel="0" collapsed="false">
      <c r="B368" s="16" t="n">
        <v>366</v>
      </c>
      <c r="C368" s="16" t="s">
        <v>615</v>
      </c>
      <c r="D368" s="16" t="s">
        <v>615</v>
      </c>
      <c r="E368" s="16" t="s">
        <v>927</v>
      </c>
      <c r="F368" s="16" t="s">
        <v>2250</v>
      </c>
      <c r="G368" s="17" t="s">
        <v>2251</v>
      </c>
      <c r="H368" s="16" t="s">
        <v>1533</v>
      </c>
      <c r="I368" s="18" t="n">
        <v>25.2</v>
      </c>
      <c r="J368" s="16" t="n">
        <v>1</v>
      </c>
      <c r="K368" s="16" t="n">
        <v>441</v>
      </c>
      <c r="L368" s="19" t="n">
        <v>3973.65</v>
      </c>
      <c r="M368" s="17" t="s">
        <v>617</v>
      </c>
      <c r="N368" s="18" t="n">
        <v>25.2</v>
      </c>
      <c r="O368" s="16" t="s">
        <v>1534</v>
      </c>
      <c r="P368" s="16" t="s">
        <v>1700</v>
      </c>
      <c r="Q368" s="17" t="s">
        <v>1536</v>
      </c>
      <c r="R368" s="78" t="s">
        <v>2252</v>
      </c>
      <c r="S368" s="77" t="n">
        <f aca="false">IFERROR(INDEX('Injectable Value'!$Z$28:$Z$178,MATCH($C368,'Injectable Value'!$A$28:$A$178,0)),"")</f>
        <v>1</v>
      </c>
      <c r="T368" s="19" t="n">
        <f aca="false">IFERROR(ROUND(INDEX('Injectable Value'!$AA$28:$AA$178,MATCH($C368,'Injectable Value'!$A$28:$A$178,0)),1),"")</f>
        <v>3973.7</v>
      </c>
      <c r="U368" s="17" t="s">
        <v>957</v>
      </c>
      <c r="V368" s="16" t="n">
        <v>17</v>
      </c>
      <c r="W368" s="16" t="s">
        <v>334</v>
      </c>
      <c r="X368" s="16" t="s">
        <v>281</v>
      </c>
      <c r="Y368" s="16" t="s">
        <v>333</v>
      </c>
      <c r="Z368" s="17" t="str">
        <f aca="false">IFERROR(INDEX(Scoring!$U:$U,MATCH($C368&amp;"|"&amp;$E368,Scoring!$AD:$AD,0)),"")</f>
        <v>Cancer drug (cytotoxic) – less relevant; Reconstitution</v>
      </c>
      <c r="AA368" s="16" t="str">
        <f aca="false">IFERROR(INDEX(Scoring!$E:$E,MATCH($C368&amp;"|"&amp;$E368,Scoring!$AD:$AD,0)),"")</f>
        <v>Priority 1</v>
      </c>
      <c r="AB368" s="19" t="n">
        <f aca="false">IFERROR(INDEX(Scoring!$M:$M,MATCH($C368&amp;"|"&amp;$E368,Scoring!$AD:$AD,0)),"")</f>
        <v>441</v>
      </c>
      <c r="AC368" s="16" t="str">
        <f aca="false">IFERROR(INDEX('Route of Administration'!$C$5:$C$155,MATCH($C368,'Route of Administration'!$A$5:$A$155,0)),"")</f>
        <v>IV, IM, SC</v>
      </c>
      <c r="AD368" s="15" t="str">
        <f aca="false">IFERROR(INDEX('Route of Administration'!$D$5:$D$155,MATCH($C368,'Route of Administration'!$A$5:$A$155,0)),"")</f>
        <v>Yes</v>
      </c>
      <c r="AE368" s="15" t="str">
        <f aca="false">IF($AD368="No","Not checked – drug is IV only",IFERROR(INDEX('Route of Administration'!$O$5:$O$170,MATCH($E368&amp;"|"&amp;$C368,'Route of Administration'!$S$5:$S$170,0)),"Not checked – price ≤ USD 5"))</f>
        <v>Pass</v>
      </c>
    </row>
    <row r="369" customFormat="false" ht="41.75" hidden="false" customHeight="false" outlineLevel="0" collapsed="false">
      <c r="B369" s="16" t="n">
        <v>367</v>
      </c>
      <c r="C369" s="16" t="s">
        <v>940</v>
      </c>
      <c r="D369" s="16" t="s">
        <v>2177</v>
      </c>
      <c r="E369" s="16" t="s">
        <v>927</v>
      </c>
      <c r="F369" s="16" t="s">
        <v>2253</v>
      </c>
      <c r="G369" s="17" t="s">
        <v>2254</v>
      </c>
      <c r="H369" s="16" t="s">
        <v>2255</v>
      </c>
      <c r="I369" s="18" t="n">
        <v>16.33</v>
      </c>
      <c r="J369" s="16" t="n">
        <v>1</v>
      </c>
      <c r="K369" s="16" t="n">
        <v>976</v>
      </c>
      <c r="L369" s="19" t="n">
        <v>9295.14</v>
      </c>
      <c r="M369" s="17" t="s">
        <v>942</v>
      </c>
      <c r="N369" s="18" t="n">
        <v>16.33</v>
      </c>
      <c r="O369" s="16" t="s">
        <v>1534</v>
      </c>
      <c r="P369" s="16" t="s">
        <v>1700</v>
      </c>
      <c r="Q369" s="17" t="s">
        <v>1536</v>
      </c>
      <c r="R369" s="78" t="s">
        <v>2256</v>
      </c>
      <c r="S369" s="77" t="n">
        <f aca="false">IFERROR(INDEX('Injectable Value'!$Z$28:$Z$178,MATCH($C369,'Injectable Value'!$A$28:$A$178,0)),"")</f>
        <v>0.732106666907168</v>
      </c>
      <c r="T369" s="19" t="n">
        <f aca="false">IFERROR(ROUND(INDEX('Injectable Value'!$AA$28:$AA$178,MATCH($C369,'Injectable Value'!$A$28:$A$178,0)),1),"")</f>
        <v>6805</v>
      </c>
      <c r="U369" s="17" t="s">
        <v>944</v>
      </c>
      <c r="V369" s="16" t="n">
        <v>16</v>
      </c>
      <c r="W369" s="16" t="s">
        <v>760</v>
      </c>
      <c r="X369" s="16" t="s">
        <v>291</v>
      </c>
      <c r="Y369" s="16" t="s">
        <v>310</v>
      </c>
      <c r="Z369" s="17" t="str">
        <f aca="false">IFERROR(INDEX(Scoring!$U:$U,MATCH($C369&amp;"|"&amp;$E369,Scoring!$AD:$AD,0)),"")</f>
        <v/>
      </c>
      <c r="AA369" s="16" t="str">
        <f aca="false">IFERROR(INDEX(Scoring!$E:$E,MATCH($C369&amp;"|"&amp;$E369,Scoring!$AD:$AD,0)),"")</f>
        <v>Priority 2</v>
      </c>
      <c r="AB369" s="19" t="n">
        <f aca="false">IFERROR(INDEX(Scoring!$M:$M,MATCH($C369&amp;"|"&amp;$E369,Scoring!$AD:$AD,0)),"")</f>
        <v>715</v>
      </c>
      <c r="AC369" s="16" t="str">
        <f aca="false">IFERROR(INDEX('Route of Administration'!$C$5:$C$155,MATCH($C369,'Route of Administration'!$A$5:$A$155,0)),"")</f>
        <v>IV, IM, SC</v>
      </c>
      <c r="AD369" s="15" t="str">
        <f aca="false">IFERROR(INDEX('Route of Administration'!$D$5:$D$155,MATCH($C369,'Route of Administration'!$A$5:$A$155,0)),"")</f>
        <v>Yes</v>
      </c>
      <c r="AE369" s="15" t="str">
        <f aca="false">IF($AD369="No","Not checked – drug is IV only",IFERROR(INDEX('Route of Administration'!$O$5:$O$170,MATCH($E369&amp;"|"&amp;$C369,'Route of Administration'!$S$5:$S$170,0)),"Not checked – price ≤ USD 5"))</f>
        <v>Pass</v>
      </c>
    </row>
    <row r="370" customFormat="false" ht="82.05" hidden="false" customHeight="false" outlineLevel="0" collapsed="false">
      <c r="B370" s="16" t="n">
        <v>368</v>
      </c>
      <c r="C370" s="16" t="s">
        <v>1065</v>
      </c>
      <c r="D370" s="16" t="s">
        <v>1066</v>
      </c>
      <c r="E370" s="16" t="s">
        <v>927</v>
      </c>
      <c r="F370" s="16" t="s">
        <v>2257</v>
      </c>
      <c r="G370" s="17" t="s">
        <v>2258</v>
      </c>
      <c r="H370" s="16" t="s">
        <v>2255</v>
      </c>
      <c r="I370" s="18"/>
      <c r="J370" s="16" t="n">
        <v>1</v>
      </c>
      <c r="K370" s="16" t="n">
        <v>121</v>
      </c>
      <c r="L370" s="19" t="n">
        <v>2714.83</v>
      </c>
      <c r="M370" s="17" t="s">
        <v>997</v>
      </c>
      <c r="N370" s="18"/>
      <c r="O370" s="16" t="s">
        <v>1573</v>
      </c>
      <c r="P370" s="16" t="s">
        <v>112</v>
      </c>
      <c r="Q370" s="17" t="s">
        <v>112</v>
      </c>
      <c r="R370" s="16"/>
      <c r="S370" s="77" t="n">
        <f aca="false">IFERROR(INDEX('Injectable Value'!$Z$28:$Z$178,MATCH($C370,'Injectable Value'!$A$28:$A$178,0)),"")</f>
        <v>0.916950682168073</v>
      </c>
      <c r="T370" s="19" t="n">
        <f aca="false">IFERROR(ROUND(INDEX('Injectable Value'!$AA$28:$AA$178,MATCH($C370,'Injectable Value'!$A$28:$A$178,0)),1),"")</f>
        <v>2489.4</v>
      </c>
      <c r="U370" s="17" t="s">
        <v>999</v>
      </c>
      <c r="V370" s="16" t="n">
        <v>31</v>
      </c>
      <c r="W370" s="16" t="s">
        <v>456</v>
      </c>
      <c r="X370" s="16" t="s">
        <v>291</v>
      </c>
      <c r="Y370" s="16" t="s">
        <v>310</v>
      </c>
      <c r="Z370" s="17" t="str">
        <f aca="false">IFERROR(INDEX(Scoring!$U:$U,MATCH($C370&amp;"|"&amp;$E370,Scoring!$AD:$AD,0)),"")</f>
        <v>Prefilled only</v>
      </c>
      <c r="AA370" s="16" t="str">
        <f aca="false">IFERROR(INDEX(Scoring!$E:$E,MATCH($C370&amp;"|"&amp;$E370,Scoring!$AD:$AD,0)),"")</f>
        <v>Priority 2</v>
      </c>
      <c r="AB370" s="19" t="n">
        <f aca="false">IFERROR(INDEX(Scoring!$M:$M,MATCH($C370&amp;"|"&amp;$E370,Scoring!$AD:$AD,0)),"")</f>
        <v>111</v>
      </c>
      <c r="AC370" s="16" t="str">
        <f aca="false">IFERROR(INDEX('Route of Administration'!$C$5:$C$155,MATCH($C370,'Route of Administration'!$A$5:$A$155,0)),"")</f>
        <v>SC (some depots IM)</v>
      </c>
      <c r="AD370" s="15" t="str">
        <f aca="false">IFERROR(INDEX('Route of Administration'!$D$5:$D$155,MATCH($C370,'Route of Administration'!$A$5:$A$155,0)),"")</f>
        <v>Yes</v>
      </c>
      <c r="AE370" s="15" t="str">
        <f aca="false">IF($AD370="No","Not checked – drug is IV only",IFERROR(INDEX('Route of Administration'!$O$5:$O$170,MATCH($E370&amp;"|"&amp;$C370,'Route of Administration'!$S$5:$S$170,0)),"Not checked – price ≤ USD 5"))</f>
        <v>Pass</v>
      </c>
    </row>
    <row r="371" customFormat="false" ht="82.05" hidden="false" customHeight="false" outlineLevel="0" collapsed="false">
      <c r="B371" s="16" t="n">
        <v>369</v>
      </c>
      <c r="C371" s="16" t="s">
        <v>1012</v>
      </c>
      <c r="D371" s="16" t="s">
        <v>1013</v>
      </c>
      <c r="E371" s="16" t="s">
        <v>927</v>
      </c>
      <c r="F371" s="16" t="s">
        <v>2259</v>
      </c>
      <c r="G371" s="17" t="s">
        <v>2260</v>
      </c>
      <c r="H371" s="16" t="s">
        <v>1540</v>
      </c>
      <c r="I371" s="18" t="n">
        <v>28.6681</v>
      </c>
      <c r="J371" s="16" t="n">
        <v>31</v>
      </c>
      <c r="K371" s="16" t="n">
        <v>912</v>
      </c>
      <c r="L371" s="19" t="n">
        <v>4620.39</v>
      </c>
      <c r="M371" s="17" t="s">
        <v>1014</v>
      </c>
      <c r="N371" s="18" t="n">
        <v>28.6681</v>
      </c>
      <c r="O371" s="16" t="s">
        <v>1534</v>
      </c>
      <c r="P371" s="16" t="s">
        <v>1561</v>
      </c>
      <c r="Q371" s="17" t="s">
        <v>1536</v>
      </c>
      <c r="R371" s="78" t="s">
        <v>2261</v>
      </c>
      <c r="S371" s="77" t="n">
        <f aca="false">IFERROR(INDEX('Injectable Value'!$Z$28:$Z$178,MATCH($C371,'Injectable Value'!$A$28:$A$178,0)),"")</f>
        <v>0.876447689591637</v>
      </c>
      <c r="T371" s="19" t="n">
        <f aca="false">IFERROR(ROUND(INDEX('Injectable Value'!$AA$28:$AA$178,MATCH($C371,'Injectable Value'!$A$28:$A$178,0)),1),"")</f>
        <v>4049.5</v>
      </c>
      <c r="U371" s="17" t="s">
        <v>1016</v>
      </c>
      <c r="V371" s="16" t="n">
        <v>3</v>
      </c>
      <c r="W371" s="16" t="s">
        <v>801</v>
      </c>
      <c r="X371" s="16" t="s">
        <v>291</v>
      </c>
      <c r="Y371" s="16" t="s">
        <v>283</v>
      </c>
      <c r="Z371" s="17" t="str">
        <f aca="false">IFERROR(INDEX(Scoring!$U:$U,MATCH($C371&amp;"|"&amp;$E371,Scoring!$AD:$AD,0)),"")</f>
        <v>Prefilled only; Intas sells only the 0.1 mg/mL prefilled syringe, labelled for IV or intraosseous use in cardiac arrest, not IM – ask whether Intas has a 1 mg/mL product</v>
      </c>
      <c r="AA371" s="16" t="str">
        <f aca="false">IFERROR(INDEX(Scoring!$E:$E,MATCH($C371&amp;"|"&amp;$E371,Scoring!$AD:$AD,0)),"")</f>
        <v>Excluded – IV only</v>
      </c>
      <c r="AB371" s="19" t="n">
        <f aca="false">IFERROR(INDEX(Scoring!$M:$M,MATCH($C371&amp;"|"&amp;$E371,Scoring!$AD:$AD,0)),"")</f>
        <v>799</v>
      </c>
      <c r="AC371" s="16" t="str">
        <f aca="false">IFERROR(INDEX('Route of Administration'!$C$5:$C$155,MATCH($C371,'Route of Administration'!$A$5:$A$155,0)),"")</f>
        <v>IV, IM, SC</v>
      </c>
      <c r="AD371" s="15" t="str">
        <f aca="false">IFERROR(INDEX('Route of Administration'!$D$5:$D$155,MATCH($C371,'Route of Administration'!$A$5:$A$155,0)),"")</f>
        <v>Yes</v>
      </c>
      <c r="AE371" s="15" t="str">
        <f aca="false">IF($AD371="No","Not checked – drug is IV only",IFERROR(INDEX('Route of Administration'!$O$5:$O$170,MATCH($E371&amp;"|"&amp;$C371,'Route of Administration'!$S$5:$S$170,0)),"Not checked – price ≤ USD 5"))</f>
        <v>Fail</v>
      </c>
    </row>
    <row r="372" customFormat="false" ht="28.35" hidden="false" customHeight="false" outlineLevel="0" collapsed="false">
      <c r="B372" s="16" t="n">
        <v>370</v>
      </c>
      <c r="C372" s="16" t="s">
        <v>922</v>
      </c>
      <c r="D372" s="16" t="s">
        <v>2262</v>
      </c>
      <c r="E372" s="16" t="s">
        <v>927</v>
      </c>
      <c r="F372" s="16" t="s">
        <v>2263</v>
      </c>
      <c r="G372" s="17" t="s">
        <v>2260</v>
      </c>
      <c r="H372" s="16" t="s">
        <v>1540</v>
      </c>
      <c r="I372" s="18"/>
      <c r="J372" s="16" t="n">
        <v>30</v>
      </c>
      <c r="K372" s="16" t="n">
        <v>646</v>
      </c>
      <c r="L372" s="19" t="n">
        <v>19089.13</v>
      </c>
      <c r="M372" s="17" t="s">
        <v>924</v>
      </c>
      <c r="N372" s="18"/>
      <c r="O372" s="16" t="s">
        <v>1573</v>
      </c>
      <c r="P372" s="16" t="s">
        <v>112</v>
      </c>
      <c r="Q372" s="17" t="s">
        <v>112</v>
      </c>
      <c r="R372" s="16"/>
      <c r="S372" s="77" t="n">
        <f aca="false">IFERROR(INDEX('Injectable Value'!$Z$28:$Z$178,MATCH($C372,'Injectable Value'!$A$28:$A$178,0)),"")</f>
        <v>0.295137394358018</v>
      </c>
      <c r="T372" s="19" t="n">
        <f aca="false">IFERROR(ROUND(INDEX('Injectable Value'!$AA$28:$AA$178,MATCH($C372,'Injectable Value'!$A$28:$A$178,0)),1),"")</f>
        <v>5633.9</v>
      </c>
      <c r="U372" s="17" t="s">
        <v>926</v>
      </c>
      <c r="V372" s="16" t="n">
        <v>2</v>
      </c>
      <c r="W372" s="16" t="s">
        <v>912</v>
      </c>
      <c r="X372" s="16" t="s">
        <v>291</v>
      </c>
      <c r="Y372" s="16" t="s">
        <v>283</v>
      </c>
      <c r="Z372" s="17" t="str">
        <f aca="false">IFERROR(INDEX(Scoring!$U:$U,MATCH($C372&amp;"|"&amp;$E372,Scoring!$AD:$AD,0)),"")</f>
        <v>Prefilled only</v>
      </c>
      <c r="AA372" s="16" t="str">
        <f aca="false">IFERROR(INDEX(Scoring!$E:$E,MATCH($C372&amp;"|"&amp;$E372,Scoring!$AD:$AD,0)),"")</f>
        <v>Excluded – IV only</v>
      </c>
      <c r="AB372" s="19" t="n">
        <f aca="false">IFERROR(INDEX(Scoring!$M:$M,MATCH($C372&amp;"|"&amp;$E372,Scoring!$AD:$AD,0)),"")</f>
        <v>191</v>
      </c>
      <c r="AC372" s="16" t="str">
        <f aca="false">IFERROR(INDEX('Route of Administration'!$C$5:$C$155,MATCH($C372,'Route of Administration'!$A$5:$A$155,0)),"")</f>
        <v>IV</v>
      </c>
      <c r="AD372" s="15" t="str">
        <f aca="false">IFERROR(INDEX('Route of Administration'!$D$5:$D$155,MATCH($C372,'Route of Administration'!$A$5:$A$155,0)),"")</f>
        <v>No</v>
      </c>
      <c r="AE372" s="15" t="str">
        <f aca="false">IF($AD372="No","Not checked – drug is IV only",IFERROR(INDEX('Route of Administration'!$O$5:$O$170,MATCH($E372&amp;"|"&amp;$C372,'Route of Administration'!$S$5:$S$170,0)),"Not checked – price ≤ USD 5"))</f>
        <v>Not checked – drug is IV only</v>
      </c>
    </row>
    <row r="373" customFormat="false" ht="41.75" hidden="false" customHeight="false" outlineLevel="0" collapsed="false">
      <c r="B373" s="16" t="n">
        <v>371</v>
      </c>
      <c r="C373" s="16" t="s">
        <v>929</v>
      </c>
      <c r="D373" s="16" t="s">
        <v>930</v>
      </c>
      <c r="E373" s="16" t="s">
        <v>927</v>
      </c>
      <c r="F373" s="16" t="s">
        <v>1733</v>
      </c>
      <c r="G373" s="17"/>
      <c r="H373" s="16"/>
      <c r="I373" s="18"/>
      <c r="J373" s="16" t="n">
        <v>29</v>
      </c>
      <c r="K373" s="16" t="n">
        <v>9172</v>
      </c>
      <c r="L373" s="19" t="n">
        <v>433588.09</v>
      </c>
      <c r="M373" s="17" t="s">
        <v>931</v>
      </c>
      <c r="N373" s="82" t="n">
        <v>1.59</v>
      </c>
      <c r="O373" s="64" t="s">
        <v>1541</v>
      </c>
      <c r="P373" s="16" t="s">
        <v>1535</v>
      </c>
      <c r="Q373" s="17" t="s">
        <v>2264</v>
      </c>
      <c r="R373" s="78" t="s">
        <v>2265</v>
      </c>
      <c r="S373" s="77" t="n">
        <f aca="false">IFERROR(INDEX('Injectable Value'!$Z$28:$Z$178,MATCH($C373,'Injectable Value'!$A$28:$A$178,0)),"")</f>
        <v>0.0779425190719572</v>
      </c>
      <c r="T373" s="19" t="n">
        <f aca="false">IFERROR(ROUND(INDEX('Injectable Value'!$AA$28:$AA$178,MATCH($C373,'Injectable Value'!$A$28:$A$178,0)),1),"")</f>
        <v>33794.9</v>
      </c>
      <c r="U373" s="17" t="s">
        <v>933</v>
      </c>
      <c r="V373" s="16" t="n">
        <v>2</v>
      </c>
      <c r="W373" s="16" t="s">
        <v>912</v>
      </c>
      <c r="X373" s="16" t="s">
        <v>310</v>
      </c>
      <c r="Y373" s="16" t="s">
        <v>310</v>
      </c>
      <c r="Z373" s="17" t="str">
        <f aca="false">IFERROR(INDEX(Scoring!$U:$U,MATCH($C373&amp;"|"&amp;$E373,Scoring!$AD:$AD,0)),"")</f>
        <v/>
      </c>
      <c r="AA373" s="16" t="str">
        <f aca="false">IFERROR(INDEX(Scoring!$E:$E,MATCH($C373&amp;"|"&amp;$E373,Scoring!$AD:$AD,0)),"")</f>
        <v>Excluded – price ≤ USD 5</v>
      </c>
      <c r="AB373" s="19" t="n">
        <f aca="false">IFERROR(INDEX(Scoring!$M:$M,MATCH($C373&amp;"|"&amp;$E373,Scoring!$AD:$AD,0)),"")</f>
        <v>715</v>
      </c>
      <c r="AC373" s="16" t="str">
        <f aca="false">IFERROR(INDEX('Route of Administration'!$C$5:$C$155,MATCH($C373,'Route of Administration'!$A$5:$A$155,0)),"")</f>
        <v>IV, IM</v>
      </c>
      <c r="AD373" s="15" t="str">
        <f aca="false">IFERROR(INDEX('Route of Administration'!$D$5:$D$155,MATCH($C373,'Route of Administration'!$A$5:$A$155,0)),"")</f>
        <v>Yes</v>
      </c>
      <c r="AE373" s="15" t="str">
        <f aca="false">IF($AD373="No","Not checked – drug is IV only",IFERROR(INDEX('Route of Administration'!$O$5:$O$170,MATCH($E373&amp;"|"&amp;$C373,'Route of Administration'!$S$5:$S$170,0)),"Not checked – price ≤ USD 5"))</f>
        <v>Not checked – price ≤ USD 5</v>
      </c>
    </row>
    <row r="374" customFormat="false" ht="28.35" hidden="false" customHeight="false" outlineLevel="0" collapsed="false">
      <c r="B374" s="16" t="n">
        <v>372</v>
      </c>
      <c r="C374" s="16" t="s">
        <v>937</v>
      </c>
      <c r="D374" s="16" t="s">
        <v>938</v>
      </c>
      <c r="E374" s="16" t="s">
        <v>927</v>
      </c>
      <c r="F374" s="16" t="s">
        <v>1722</v>
      </c>
      <c r="G374" s="17"/>
      <c r="H374" s="16"/>
      <c r="I374" s="18" t="n">
        <v>5.4805</v>
      </c>
      <c r="J374" s="16" t="n">
        <v>21</v>
      </c>
      <c r="K374" s="16" t="n">
        <v>252</v>
      </c>
      <c r="L374" s="19" t="n">
        <v>3257.58</v>
      </c>
      <c r="M374" s="17" t="s">
        <v>596</v>
      </c>
      <c r="N374" s="18" t="n">
        <v>5.4805</v>
      </c>
      <c r="O374" s="16" t="s">
        <v>1534</v>
      </c>
      <c r="P374" s="16" t="s">
        <v>1561</v>
      </c>
      <c r="Q374" s="17" t="s">
        <v>1536</v>
      </c>
      <c r="R374" s="78" t="s">
        <v>2266</v>
      </c>
      <c r="S374" s="77" t="n">
        <f aca="false">IFERROR(INDEX('Injectable Value'!$Z$28:$Z$178,MATCH($C374,'Injectable Value'!$A$28:$A$178,0)),"")</f>
        <v>1</v>
      </c>
      <c r="T374" s="19" t="n">
        <f aca="false">IFERROR(ROUND(INDEX('Injectable Value'!$AA$28:$AA$178,MATCH($C374,'Injectable Value'!$A$28:$A$178,0)),1),"")</f>
        <v>3257.6</v>
      </c>
      <c r="U374" s="17" t="s">
        <v>912</v>
      </c>
      <c r="V374" s="16" t="n">
        <v>1</v>
      </c>
      <c r="W374" s="16" t="s">
        <v>912</v>
      </c>
      <c r="X374" s="16" t="s">
        <v>310</v>
      </c>
      <c r="Y374" s="16" t="s">
        <v>310</v>
      </c>
      <c r="Z374" s="17" t="str">
        <f aca="false">IFERROR(INDEX(Scoring!$U:$U,MATCH($C374&amp;"|"&amp;$E374,Scoring!$AD:$AD,0)),"")</f>
        <v/>
      </c>
      <c r="AA374" s="16" t="str">
        <f aca="false">IFERROR(INDEX(Scoring!$E:$E,MATCH($C374&amp;"|"&amp;$E374,Scoring!$AD:$AD,0)),"")</f>
        <v>Excluded – IV only</v>
      </c>
      <c r="AB374" s="19" t="n">
        <f aca="false">IFERROR(INDEX(Scoring!$M:$M,MATCH($C374&amp;"|"&amp;$E374,Scoring!$AD:$AD,0)),"")</f>
        <v>252</v>
      </c>
      <c r="AC374" s="16" t="str">
        <f aca="false">IFERROR(INDEX('Route of Administration'!$C$5:$C$155,MATCH($C374,'Route of Administration'!$A$5:$A$155,0)),"")</f>
        <v>IV</v>
      </c>
      <c r="AD374" s="15" t="str">
        <f aca="false">IFERROR(INDEX('Route of Administration'!$D$5:$D$155,MATCH($C374,'Route of Administration'!$A$5:$A$155,0)),"")</f>
        <v>No</v>
      </c>
      <c r="AE374" s="15" t="str">
        <f aca="false">IF($AD374="No","Not checked – drug is IV only",IFERROR(INDEX('Route of Administration'!$O$5:$O$170,MATCH($E374&amp;"|"&amp;$C374,'Route of Administration'!$S$5:$S$170,0)),"Not checked – price ≤ USD 5"))</f>
        <v>Not checked – drug is IV only</v>
      </c>
    </row>
    <row r="375" customFormat="false" ht="41.75" hidden="false" customHeight="false" outlineLevel="0" collapsed="false">
      <c r="B375" s="16" t="n">
        <v>373</v>
      </c>
      <c r="C375" s="16" t="s">
        <v>940</v>
      </c>
      <c r="D375" s="16" t="s">
        <v>2267</v>
      </c>
      <c r="E375" s="16" t="s">
        <v>927</v>
      </c>
      <c r="F375" s="16" t="s">
        <v>2268</v>
      </c>
      <c r="G375" s="17" t="s">
        <v>2269</v>
      </c>
      <c r="H375" s="16" t="s">
        <v>1540</v>
      </c>
      <c r="I375" s="18" t="n">
        <v>22.2384</v>
      </c>
      <c r="J375" s="16" t="n">
        <v>2</v>
      </c>
      <c r="K375" s="16" t="n">
        <v>976</v>
      </c>
      <c r="L375" s="19" t="n">
        <v>9295.14</v>
      </c>
      <c r="M375" s="17" t="s">
        <v>942</v>
      </c>
      <c r="N375" s="18" t="n">
        <v>22.2384</v>
      </c>
      <c r="O375" s="16" t="s">
        <v>1534</v>
      </c>
      <c r="P375" s="16" t="s">
        <v>1700</v>
      </c>
      <c r="Q375" s="17" t="s">
        <v>1536</v>
      </c>
      <c r="R375" s="78" t="s">
        <v>2270</v>
      </c>
      <c r="S375" s="77" t="n">
        <f aca="false">IFERROR(INDEX('Injectable Value'!$Z$28:$Z$178,MATCH($C375,'Injectable Value'!$A$28:$A$178,0)),"")</f>
        <v>0.732106666907168</v>
      </c>
      <c r="T375" s="19" t="n">
        <f aca="false">IFERROR(ROUND(INDEX('Injectable Value'!$AA$28:$AA$178,MATCH($C375,'Injectable Value'!$A$28:$A$178,0)),1),"")</f>
        <v>6805</v>
      </c>
      <c r="U375" s="17" t="s">
        <v>944</v>
      </c>
      <c r="V375" s="16" t="n">
        <v>16</v>
      </c>
      <c r="W375" s="16" t="s">
        <v>760</v>
      </c>
      <c r="X375" s="16" t="s">
        <v>291</v>
      </c>
      <c r="Y375" s="16" t="s">
        <v>283</v>
      </c>
      <c r="Z375" s="17" t="str">
        <f aca="false">IFERROR(INDEX(Scoring!$U:$U,MATCH($C375&amp;"|"&amp;$E375,Scoring!$AD:$AD,0)),"")</f>
        <v/>
      </c>
      <c r="AA375" s="16" t="str">
        <f aca="false">IFERROR(INDEX(Scoring!$E:$E,MATCH($C375&amp;"|"&amp;$E375,Scoring!$AD:$AD,0)),"")</f>
        <v>Priority 2</v>
      </c>
      <c r="AB375" s="19" t="n">
        <f aca="false">IFERROR(INDEX(Scoring!$M:$M,MATCH($C375&amp;"|"&amp;$E375,Scoring!$AD:$AD,0)),"")</f>
        <v>715</v>
      </c>
      <c r="AC375" s="16" t="str">
        <f aca="false">IFERROR(INDEX('Route of Administration'!$C$5:$C$155,MATCH($C375,'Route of Administration'!$A$5:$A$155,0)),"")</f>
        <v>IV, IM, SC</v>
      </c>
      <c r="AD375" s="15" t="str">
        <f aca="false">IFERROR(INDEX('Route of Administration'!$D$5:$D$155,MATCH($C375,'Route of Administration'!$A$5:$A$155,0)),"")</f>
        <v>Yes</v>
      </c>
      <c r="AE375" s="15" t="str">
        <f aca="false">IF($AD375="No","Not checked – drug is IV only",IFERROR(INDEX('Route of Administration'!$O$5:$O$170,MATCH($E375&amp;"|"&amp;$C375,'Route of Administration'!$S$5:$S$170,0)),"Not checked – price ≤ USD 5"))</f>
        <v>Pass</v>
      </c>
    </row>
    <row r="376" customFormat="false" ht="41.75" hidden="false" customHeight="false" outlineLevel="0" collapsed="false">
      <c r="B376" s="16" t="n">
        <v>374</v>
      </c>
      <c r="C376" s="16" t="s">
        <v>940</v>
      </c>
      <c r="D376" s="16" t="s">
        <v>2271</v>
      </c>
      <c r="E376" s="16" t="s">
        <v>927</v>
      </c>
      <c r="F376" s="16" t="s">
        <v>2272</v>
      </c>
      <c r="G376" s="17" t="s">
        <v>2269</v>
      </c>
      <c r="H376" s="16" t="s">
        <v>1540</v>
      </c>
      <c r="I376" s="18" t="n">
        <v>22.2384</v>
      </c>
      <c r="J376" s="16" t="n">
        <v>19</v>
      </c>
      <c r="K376" s="16" t="n">
        <v>976</v>
      </c>
      <c r="L376" s="19" t="n">
        <v>9295.14</v>
      </c>
      <c r="M376" s="17" t="s">
        <v>942</v>
      </c>
      <c r="N376" s="18" t="n">
        <v>22.2384</v>
      </c>
      <c r="O376" s="16" t="s">
        <v>1534</v>
      </c>
      <c r="P376" s="16" t="s">
        <v>1700</v>
      </c>
      <c r="Q376" s="17" t="s">
        <v>1536</v>
      </c>
      <c r="R376" s="78" t="s">
        <v>2270</v>
      </c>
      <c r="S376" s="77" t="n">
        <f aca="false">IFERROR(INDEX('Injectable Value'!$Z$28:$Z$178,MATCH($C376,'Injectable Value'!$A$28:$A$178,0)),"")</f>
        <v>0.732106666907168</v>
      </c>
      <c r="T376" s="19" t="n">
        <f aca="false">IFERROR(ROUND(INDEX('Injectable Value'!$AA$28:$AA$178,MATCH($C376,'Injectable Value'!$A$28:$A$178,0)),1),"")</f>
        <v>6805</v>
      </c>
      <c r="U376" s="17" t="s">
        <v>944</v>
      </c>
      <c r="V376" s="16" t="n">
        <v>16</v>
      </c>
      <c r="W376" s="16" t="s">
        <v>760</v>
      </c>
      <c r="X376" s="16" t="s">
        <v>291</v>
      </c>
      <c r="Y376" s="16" t="s">
        <v>283</v>
      </c>
      <c r="Z376" s="17" t="str">
        <f aca="false">IFERROR(INDEX(Scoring!$U:$U,MATCH($C376&amp;"|"&amp;$E376,Scoring!$AD:$AD,0)),"")</f>
        <v/>
      </c>
      <c r="AA376" s="16" t="str">
        <f aca="false">IFERROR(INDEX(Scoring!$E:$E,MATCH($C376&amp;"|"&amp;$E376,Scoring!$AD:$AD,0)),"")</f>
        <v>Priority 2</v>
      </c>
      <c r="AB376" s="19" t="n">
        <f aca="false">IFERROR(INDEX(Scoring!$M:$M,MATCH($C376&amp;"|"&amp;$E376,Scoring!$AD:$AD,0)),"")</f>
        <v>715</v>
      </c>
      <c r="AC376" s="16" t="str">
        <f aca="false">IFERROR(INDEX('Route of Administration'!$C$5:$C$155,MATCH($C376,'Route of Administration'!$A$5:$A$155,0)),"")</f>
        <v>IV, IM, SC</v>
      </c>
      <c r="AD376" s="15" t="str">
        <f aca="false">IFERROR(INDEX('Route of Administration'!$D$5:$D$155,MATCH($C376,'Route of Administration'!$A$5:$A$155,0)),"")</f>
        <v>Yes</v>
      </c>
      <c r="AE376" s="15" t="str">
        <f aca="false">IF($AD376="No","Not checked – drug is IV only",IFERROR(INDEX('Route of Administration'!$O$5:$O$170,MATCH($E376&amp;"|"&amp;$C376,'Route of Administration'!$S$5:$S$170,0)),"Not checked – price ≤ USD 5"))</f>
        <v>Pass</v>
      </c>
    </row>
    <row r="377" customFormat="false" ht="82.05" hidden="false" customHeight="false" outlineLevel="0" collapsed="false">
      <c r="B377" s="16" t="n">
        <v>375</v>
      </c>
      <c r="C377" s="16" t="s">
        <v>329</v>
      </c>
      <c r="D377" s="16" t="s">
        <v>2215</v>
      </c>
      <c r="E377" s="16" t="s">
        <v>927</v>
      </c>
      <c r="F377" s="16" t="s">
        <v>1699</v>
      </c>
      <c r="G377" s="17" t="s">
        <v>1690</v>
      </c>
      <c r="H377" s="16" t="s">
        <v>1533</v>
      </c>
      <c r="I377" s="18" t="n">
        <v>397.421</v>
      </c>
      <c r="J377" s="16" t="n">
        <v>30</v>
      </c>
      <c r="K377" s="16" t="n">
        <v>762</v>
      </c>
      <c r="L377" s="19" t="n">
        <v>50865.56</v>
      </c>
      <c r="M377" s="17" t="s">
        <v>331</v>
      </c>
      <c r="N377" s="18" t="n">
        <v>397.421</v>
      </c>
      <c r="O377" s="16" t="s">
        <v>1534</v>
      </c>
      <c r="P377" s="16" t="s">
        <v>1700</v>
      </c>
      <c r="Q377" s="17" t="s">
        <v>1536</v>
      </c>
      <c r="R377" s="78" t="s">
        <v>1701</v>
      </c>
      <c r="S377" s="77" t="n">
        <f aca="false">IFERROR(INDEX('Injectable Value'!$Z$28:$Z$178,MATCH($C377,'Injectable Value'!$A$28:$A$178,0)),"")</f>
        <v>0.829278792417718</v>
      </c>
      <c r="T377" s="19" t="n">
        <f aca="false">IFERROR(ROUND(INDEX('Injectable Value'!$AA$28:$AA$178,MATCH($C377,'Injectable Value'!$A$28:$A$178,0)),1),"")</f>
        <v>42181.7</v>
      </c>
      <c r="U377" s="17" t="s">
        <v>949</v>
      </c>
      <c r="V377" s="16" t="n">
        <v>32</v>
      </c>
      <c r="W377" s="16" t="s">
        <v>456</v>
      </c>
      <c r="X377" s="16" t="s">
        <v>281</v>
      </c>
      <c r="Y377" s="16" t="s">
        <v>333</v>
      </c>
      <c r="Z377" s="17" t="str">
        <f aca="false">IFERROR(INDEX(Scoring!$U:$U,MATCH($C377&amp;"|"&amp;$E377,Scoring!$AD:$AD,0)),"")</f>
        <v>Cancer drug (cytotoxic) – less relevant; Reconstitution</v>
      </c>
      <c r="AA377" s="16" t="str">
        <f aca="false">IFERROR(INDEX(Scoring!$E:$E,MATCH($C377&amp;"|"&amp;$E377,Scoring!$AD:$AD,0)),"")</f>
        <v>Priority 1</v>
      </c>
      <c r="AB377" s="19" t="n">
        <f aca="false">IFERROR(INDEX(Scoring!$M:$M,MATCH($C377&amp;"|"&amp;$E377,Scoring!$AD:$AD,0)),"")</f>
        <v>632</v>
      </c>
      <c r="AC377" s="16" t="str">
        <f aca="false">IFERROR(INDEX('Route of Administration'!$C$5:$C$155,MATCH($C377,'Route of Administration'!$A$5:$A$155,0)),"")</f>
        <v>IV, SC</v>
      </c>
      <c r="AD377" s="15" t="str">
        <f aca="false">IFERROR(INDEX('Route of Administration'!$D$5:$D$155,MATCH($C377,'Route of Administration'!$A$5:$A$155,0)),"")</f>
        <v>Yes</v>
      </c>
      <c r="AE377" s="15" t="str">
        <f aca="false">IF($AD377="No","Not checked – drug is IV only",IFERROR(INDEX('Route of Administration'!$O$5:$O$170,MATCH($E377&amp;"|"&amp;$C377,'Route of Administration'!$S$5:$S$170,0)),"Not checked – price ≤ USD 5"))</f>
        <v>Pass</v>
      </c>
    </row>
    <row r="378" customFormat="false" ht="41.75" hidden="false" customHeight="false" outlineLevel="0" collapsed="false">
      <c r="B378" s="16" t="n">
        <v>376</v>
      </c>
      <c r="C378" s="16" t="s">
        <v>699</v>
      </c>
      <c r="D378" s="16" t="s">
        <v>2273</v>
      </c>
      <c r="E378" s="16" t="s">
        <v>927</v>
      </c>
      <c r="F378" s="16" t="s">
        <v>2099</v>
      </c>
      <c r="G378" s="17" t="s">
        <v>2274</v>
      </c>
      <c r="H378" s="16" t="s">
        <v>1533</v>
      </c>
      <c r="I378" s="18" t="n">
        <v>503.5393</v>
      </c>
      <c r="J378" s="16" t="n">
        <v>14</v>
      </c>
      <c r="K378" s="16" t="n">
        <v>5</v>
      </c>
      <c r="L378" s="19" t="n">
        <v>806.34</v>
      </c>
      <c r="M378" s="17" t="s">
        <v>700</v>
      </c>
      <c r="N378" s="18" t="n">
        <v>503.5393</v>
      </c>
      <c r="O378" s="16" t="s">
        <v>1534</v>
      </c>
      <c r="P378" s="16" t="s">
        <v>1700</v>
      </c>
      <c r="Q378" s="17" t="s">
        <v>1536</v>
      </c>
      <c r="R378" s="78" t="s">
        <v>1701</v>
      </c>
      <c r="S378" s="77" t="n">
        <f aca="false">IFERROR(INDEX('Injectable Value'!$Z$28:$Z$178,MATCH($C378,'Injectable Value'!$A$28:$A$178,0)),"")</f>
        <v>1</v>
      </c>
      <c r="T378" s="19" t="n">
        <f aca="false">IFERROR(ROUND(INDEX('Injectable Value'!$AA$28:$AA$178,MATCH($C378,'Injectable Value'!$A$28:$A$178,0)),1),"")</f>
        <v>806.3</v>
      </c>
      <c r="U378" s="17" t="s">
        <v>953</v>
      </c>
      <c r="V378" s="16" t="n">
        <v>12</v>
      </c>
      <c r="W378" s="16" t="s">
        <v>342</v>
      </c>
      <c r="X378" s="16" t="s">
        <v>281</v>
      </c>
      <c r="Y378" s="16" t="s">
        <v>310</v>
      </c>
      <c r="Z378" s="17" t="str">
        <f aca="false">IFERROR(INDEX(Scoring!$U:$U,MATCH($C378&amp;"|"&amp;$E378,Scoring!$AD:$AD,0)),"")</f>
        <v>Reconstitution</v>
      </c>
      <c r="AA378" s="16" t="str">
        <f aca="false">IFERROR(INDEX(Scoring!$E:$E,MATCH($C378&amp;"|"&amp;$E378,Scoring!$AD:$AD,0)),"")</f>
        <v>Excluded – IV only</v>
      </c>
      <c r="AB378" s="19" t="n">
        <f aca="false">IFERROR(INDEX(Scoring!$M:$M,MATCH($C378&amp;"|"&amp;$E378,Scoring!$AD:$AD,0)),"")</f>
        <v>5</v>
      </c>
      <c r="AC378" s="16" t="str">
        <f aca="false">IFERROR(INDEX('Route of Administration'!$C$5:$C$155,MATCH($C378,'Route of Administration'!$A$5:$A$155,0)),"")</f>
        <v>IV</v>
      </c>
      <c r="AD378" s="15" t="str">
        <f aca="false">IFERROR(INDEX('Route of Administration'!$D$5:$D$155,MATCH($C378,'Route of Administration'!$A$5:$A$155,0)),"")</f>
        <v>No</v>
      </c>
      <c r="AE378" s="15" t="str">
        <f aca="false">IF($AD378="No","Not checked – drug is IV only",IFERROR(INDEX('Route of Administration'!$O$5:$O$170,MATCH($E378&amp;"|"&amp;$C378,'Route of Administration'!$S$5:$S$170,0)),"Not checked – price ≤ USD 5"))</f>
        <v>Not checked – drug is IV only</v>
      </c>
    </row>
    <row r="379" customFormat="false" ht="55.2" hidden="false" customHeight="false" outlineLevel="0" collapsed="false">
      <c r="B379" s="16" t="n">
        <v>377</v>
      </c>
      <c r="C379" s="16" t="s">
        <v>615</v>
      </c>
      <c r="D379" s="16" t="s">
        <v>2275</v>
      </c>
      <c r="E379" s="16" t="s">
        <v>927</v>
      </c>
      <c r="F379" s="16" t="s">
        <v>2250</v>
      </c>
      <c r="G379" s="17" t="s">
        <v>2276</v>
      </c>
      <c r="H379" s="16" t="s">
        <v>1533</v>
      </c>
      <c r="I379" s="18" t="n">
        <v>95.0217</v>
      </c>
      <c r="J379" s="16" t="n">
        <v>16</v>
      </c>
      <c r="K379" s="16" t="n">
        <v>441</v>
      </c>
      <c r="L379" s="19" t="n">
        <v>3973.65</v>
      </c>
      <c r="M379" s="17" t="s">
        <v>617</v>
      </c>
      <c r="N379" s="18" t="n">
        <v>95.0217</v>
      </c>
      <c r="O379" s="16" t="s">
        <v>1534</v>
      </c>
      <c r="P379" s="16" t="s">
        <v>1700</v>
      </c>
      <c r="Q379" s="17" t="s">
        <v>1536</v>
      </c>
      <c r="R379" s="78" t="s">
        <v>2277</v>
      </c>
      <c r="S379" s="77" t="n">
        <f aca="false">IFERROR(INDEX('Injectable Value'!$Z$28:$Z$178,MATCH($C379,'Injectable Value'!$A$28:$A$178,0)),"")</f>
        <v>1</v>
      </c>
      <c r="T379" s="19" t="n">
        <f aca="false">IFERROR(ROUND(INDEX('Injectable Value'!$AA$28:$AA$178,MATCH($C379,'Injectable Value'!$A$28:$A$178,0)),1),"")</f>
        <v>3973.7</v>
      </c>
      <c r="U379" s="17" t="s">
        <v>957</v>
      </c>
      <c r="V379" s="16" t="n">
        <v>17</v>
      </c>
      <c r="W379" s="16" t="s">
        <v>334</v>
      </c>
      <c r="X379" s="16" t="s">
        <v>281</v>
      </c>
      <c r="Y379" s="16" t="s">
        <v>333</v>
      </c>
      <c r="Z379" s="17" t="str">
        <f aca="false">IFERROR(INDEX(Scoring!$U:$U,MATCH($C379&amp;"|"&amp;$E379,Scoring!$AD:$AD,0)),"")</f>
        <v>Cancer drug (cytotoxic) – less relevant; Reconstitution</v>
      </c>
      <c r="AA379" s="16" t="str">
        <f aca="false">IFERROR(INDEX(Scoring!$E:$E,MATCH($C379&amp;"|"&amp;$E379,Scoring!$AD:$AD,0)),"")</f>
        <v>Priority 1</v>
      </c>
      <c r="AB379" s="19" t="n">
        <f aca="false">IFERROR(INDEX(Scoring!$M:$M,MATCH($C379&amp;"|"&amp;$E379,Scoring!$AD:$AD,0)),"")</f>
        <v>441</v>
      </c>
      <c r="AC379" s="16" t="str">
        <f aca="false">IFERROR(INDEX('Route of Administration'!$C$5:$C$155,MATCH($C379,'Route of Administration'!$A$5:$A$155,0)),"")</f>
        <v>IV, IM, SC</v>
      </c>
      <c r="AD379" s="15" t="str">
        <f aca="false">IFERROR(INDEX('Route of Administration'!$D$5:$D$155,MATCH($C379,'Route of Administration'!$A$5:$A$155,0)),"")</f>
        <v>Yes</v>
      </c>
      <c r="AE379" s="15" t="str">
        <f aca="false">IF($AD379="No","Not checked – drug is IV only",IFERROR(INDEX('Route of Administration'!$O$5:$O$170,MATCH($E379&amp;"|"&amp;$C379,'Route of Administration'!$S$5:$S$170,0)),"Not checked – price ≤ USD 5"))</f>
        <v>Pass</v>
      </c>
    </row>
    <row r="380" customFormat="false" ht="95.5" hidden="false" customHeight="false" outlineLevel="0" collapsed="false">
      <c r="B380" s="16" t="n">
        <v>378</v>
      </c>
      <c r="C380" s="16" t="s">
        <v>338</v>
      </c>
      <c r="D380" s="16" t="s">
        <v>2278</v>
      </c>
      <c r="E380" s="16" t="s">
        <v>927</v>
      </c>
      <c r="F380" s="16" t="s">
        <v>2133</v>
      </c>
      <c r="G380" s="17" t="s">
        <v>2134</v>
      </c>
      <c r="H380" s="16" t="s">
        <v>1533</v>
      </c>
      <c r="I380" s="18" t="n">
        <v>1444.1174</v>
      </c>
      <c r="J380" s="16" t="n">
        <v>29</v>
      </c>
      <c r="K380" s="16" t="n">
        <v>905</v>
      </c>
      <c r="L380" s="19" t="n">
        <v>28093.38</v>
      </c>
      <c r="M380" s="17" t="s">
        <v>340</v>
      </c>
      <c r="N380" s="18" t="n">
        <v>1444.1174</v>
      </c>
      <c r="O380" s="16" t="s">
        <v>1534</v>
      </c>
      <c r="P380" s="16" t="s">
        <v>1700</v>
      </c>
      <c r="Q380" s="17" t="s">
        <v>1536</v>
      </c>
      <c r="R380" s="78" t="s">
        <v>1701</v>
      </c>
      <c r="S380" s="77" t="n">
        <f aca="false">IFERROR(INDEX('Injectable Value'!$Z$28:$Z$178,MATCH($C380,'Injectable Value'!$A$28:$A$178,0)),"")</f>
        <v>1</v>
      </c>
      <c r="T380" s="19" t="n">
        <f aca="false">IFERROR(ROUND(INDEX('Injectable Value'!$AA$28:$AA$178,MATCH($C380,'Injectable Value'!$A$28:$A$178,0)),1),"")</f>
        <v>28093.4</v>
      </c>
      <c r="U380" s="17" t="s">
        <v>961</v>
      </c>
      <c r="V380" s="16" t="n">
        <v>34</v>
      </c>
      <c r="W380" s="16" t="s">
        <v>334</v>
      </c>
      <c r="X380" s="16" t="s">
        <v>281</v>
      </c>
      <c r="Y380" s="16" t="s">
        <v>283</v>
      </c>
      <c r="Z380" s="17" t="str">
        <f aca="false">IFERROR(INDEX(Scoring!$U:$U,MATCH($C380&amp;"|"&amp;$E380,Scoring!$AD:$AD,0)),"")</f>
        <v>Cancer drug (cytotoxic) – less relevant; Reconstitution</v>
      </c>
      <c r="AA380" s="16" t="str">
        <f aca="false">IFERROR(INDEX(Scoring!$E:$E,MATCH($C380&amp;"|"&amp;$E380,Scoring!$AD:$AD,0)),"")</f>
        <v>Priority 1</v>
      </c>
      <c r="AB380" s="19" t="n">
        <f aca="false">IFERROR(INDEX(Scoring!$M:$M,MATCH($C380&amp;"|"&amp;$E380,Scoring!$AD:$AD,0)),"")</f>
        <v>905</v>
      </c>
      <c r="AC380" s="16" t="str">
        <f aca="false">IFERROR(INDEX('Route of Administration'!$C$5:$C$155,MATCH($C380,'Route of Administration'!$A$5:$A$155,0)),"")</f>
        <v>IV, SC</v>
      </c>
      <c r="AD380" s="15" t="str">
        <f aca="false">IFERROR(INDEX('Route of Administration'!$D$5:$D$155,MATCH($C380,'Route of Administration'!$A$5:$A$155,0)),"")</f>
        <v>Yes</v>
      </c>
      <c r="AE380" s="15" t="str">
        <f aca="false">IF($AD380="No","Not checked – drug is IV only",IFERROR(INDEX('Route of Administration'!$O$5:$O$170,MATCH($E380&amp;"|"&amp;$C380,'Route of Administration'!$S$5:$S$170,0)),"Not checked – price ≤ USD 5"))</f>
        <v>Pass</v>
      </c>
    </row>
    <row r="381" customFormat="false" ht="82.05" hidden="false" customHeight="false" outlineLevel="0" collapsed="false">
      <c r="B381" s="16" t="n">
        <v>379</v>
      </c>
      <c r="C381" s="16" t="s">
        <v>1065</v>
      </c>
      <c r="D381" s="16" t="s">
        <v>1066</v>
      </c>
      <c r="E381" s="16" t="s">
        <v>927</v>
      </c>
      <c r="F381" s="16" t="s">
        <v>2279</v>
      </c>
      <c r="G381" s="17" t="s">
        <v>2280</v>
      </c>
      <c r="H381" s="16" t="s">
        <v>1540</v>
      </c>
      <c r="I381" s="18" t="n">
        <v>433.9426</v>
      </c>
      <c r="J381" s="16" t="n">
        <v>23</v>
      </c>
      <c r="K381" s="16" t="n">
        <v>121</v>
      </c>
      <c r="L381" s="19" t="n">
        <v>2714.83</v>
      </c>
      <c r="M381" s="17" t="s">
        <v>997</v>
      </c>
      <c r="N381" s="18" t="n">
        <v>433.9426</v>
      </c>
      <c r="O381" s="16" t="s">
        <v>1534</v>
      </c>
      <c r="P381" s="16" t="s">
        <v>1700</v>
      </c>
      <c r="Q381" s="17" t="s">
        <v>1536</v>
      </c>
      <c r="R381" s="78" t="s">
        <v>2281</v>
      </c>
      <c r="S381" s="77" t="n">
        <f aca="false">IFERROR(INDEX('Injectable Value'!$Z$28:$Z$178,MATCH($C381,'Injectable Value'!$A$28:$A$178,0)),"")</f>
        <v>0.916950682168073</v>
      </c>
      <c r="T381" s="19" t="n">
        <f aca="false">IFERROR(ROUND(INDEX('Injectable Value'!$AA$28:$AA$178,MATCH($C381,'Injectable Value'!$A$28:$A$178,0)),1),"")</f>
        <v>2489.4</v>
      </c>
      <c r="U381" s="17" t="s">
        <v>999</v>
      </c>
      <c r="V381" s="16" t="n">
        <v>31</v>
      </c>
      <c r="W381" s="16" t="s">
        <v>456</v>
      </c>
      <c r="X381" s="16" t="s">
        <v>291</v>
      </c>
      <c r="Y381" s="16" t="s">
        <v>283</v>
      </c>
      <c r="Z381" s="17" t="str">
        <f aca="false">IFERROR(INDEX(Scoring!$U:$U,MATCH($C381&amp;"|"&amp;$E381,Scoring!$AD:$AD,0)),"")</f>
        <v>Prefilled only</v>
      </c>
      <c r="AA381" s="16" t="str">
        <f aca="false">IFERROR(INDEX(Scoring!$E:$E,MATCH($C381&amp;"|"&amp;$E381,Scoring!$AD:$AD,0)),"")</f>
        <v>Priority 2</v>
      </c>
      <c r="AB381" s="19" t="n">
        <f aca="false">IFERROR(INDEX(Scoring!$M:$M,MATCH($C381&amp;"|"&amp;$E381,Scoring!$AD:$AD,0)),"")</f>
        <v>111</v>
      </c>
      <c r="AC381" s="16" t="str">
        <f aca="false">IFERROR(INDEX('Route of Administration'!$C$5:$C$155,MATCH($C381,'Route of Administration'!$A$5:$A$155,0)),"")</f>
        <v>SC (some depots IM)</v>
      </c>
      <c r="AD381" s="15" t="str">
        <f aca="false">IFERROR(INDEX('Route of Administration'!$D$5:$D$155,MATCH($C381,'Route of Administration'!$A$5:$A$155,0)),"")</f>
        <v>Yes</v>
      </c>
      <c r="AE381" s="15" t="str">
        <f aca="false">IF($AD381="No","Not checked – drug is IV only",IFERROR(INDEX('Route of Administration'!$O$5:$O$170,MATCH($E381&amp;"|"&amp;$C381,'Route of Administration'!$S$5:$S$170,0)),"Not checked – price ≤ USD 5"))</f>
        <v>Pass</v>
      </c>
    </row>
    <row r="382" customFormat="false" ht="28.35" hidden="false" customHeight="false" outlineLevel="0" collapsed="false">
      <c r="B382" s="16" t="n">
        <v>380</v>
      </c>
      <c r="C382" s="16" t="s">
        <v>355</v>
      </c>
      <c r="D382" s="16" t="s">
        <v>2282</v>
      </c>
      <c r="E382" s="16" t="s">
        <v>927</v>
      </c>
      <c r="F382" s="16" t="s">
        <v>1707</v>
      </c>
      <c r="G382" s="17" t="s">
        <v>2283</v>
      </c>
      <c r="H382" s="16" t="s">
        <v>1533</v>
      </c>
      <c r="I382" s="18" t="n">
        <v>9.6502</v>
      </c>
      <c r="J382" s="16" t="n">
        <v>20</v>
      </c>
      <c r="K382" s="16" t="n">
        <v>290</v>
      </c>
      <c r="L382" s="19" t="n">
        <v>6348.25</v>
      </c>
      <c r="M382" s="17" t="s">
        <v>357</v>
      </c>
      <c r="N382" s="18" t="n">
        <v>9.6502</v>
      </c>
      <c r="O382" s="16" t="s">
        <v>1534</v>
      </c>
      <c r="P382" s="16" t="s">
        <v>1561</v>
      </c>
      <c r="Q382" s="17" t="s">
        <v>1536</v>
      </c>
      <c r="R382" s="78" t="s">
        <v>1701</v>
      </c>
      <c r="S382" s="77" t="n">
        <f aca="false">IFERROR(INDEX('Injectable Value'!$Z$28:$Z$178,MATCH($C382,'Injectable Value'!$A$28:$A$178,0)),"")</f>
        <v>0.991596638655462</v>
      </c>
      <c r="T382" s="19" t="n">
        <f aca="false">IFERROR(ROUND(INDEX('Injectable Value'!$AA$28:$AA$178,MATCH($C382,'Injectable Value'!$A$28:$A$178,0)),1),"")</f>
        <v>6294.9</v>
      </c>
      <c r="U382" s="17" t="s">
        <v>964</v>
      </c>
      <c r="V382" s="16" t="n">
        <v>4</v>
      </c>
      <c r="W382" s="16" t="s">
        <v>372</v>
      </c>
      <c r="X382" s="16" t="s">
        <v>281</v>
      </c>
      <c r="Y382" s="16" t="s">
        <v>333</v>
      </c>
      <c r="Z382" s="17" t="str">
        <f aca="false">IFERROR(INDEX(Scoring!$U:$U,MATCH($C382&amp;"|"&amp;$E382,Scoring!$AD:$AD,0)),"")</f>
        <v>Reconstitution</v>
      </c>
      <c r="AA382" s="16" t="str">
        <f aca="false">IFERROR(INDEX(Scoring!$E:$E,MATCH($C382&amp;"|"&amp;$E382,Scoring!$AD:$AD,0)),"")</f>
        <v>Priority 2</v>
      </c>
      <c r="AB382" s="19" t="n">
        <f aca="false">IFERROR(INDEX(Scoring!$M:$M,MATCH($C382&amp;"|"&amp;$E382,Scoring!$AD:$AD,0)),"")</f>
        <v>288</v>
      </c>
      <c r="AC382" s="16" t="str">
        <f aca="false">IFERROR(INDEX('Route of Administration'!$C$5:$C$155,MATCH($C382,'Route of Administration'!$A$5:$A$155,0)),"")</f>
        <v>IV, IM</v>
      </c>
      <c r="AD382" s="15" t="str">
        <f aca="false">IFERROR(INDEX('Route of Administration'!$D$5:$D$155,MATCH($C382,'Route of Administration'!$A$5:$A$155,0)),"")</f>
        <v>Yes</v>
      </c>
      <c r="AE382" s="15" t="str">
        <f aca="false">IF($AD382="No","Not checked – drug is IV only",IFERROR(INDEX('Route of Administration'!$O$5:$O$170,MATCH($E382&amp;"|"&amp;$C382,'Route of Administration'!$S$5:$S$170,0)),"Not checked – price ≤ USD 5"))</f>
        <v>Pass</v>
      </c>
    </row>
    <row r="383" customFormat="false" ht="28.35" hidden="false" customHeight="false" outlineLevel="0" collapsed="false">
      <c r="B383" s="16" t="n">
        <v>381</v>
      </c>
      <c r="C383" s="16" t="s">
        <v>355</v>
      </c>
      <c r="D383" s="16" t="s">
        <v>2284</v>
      </c>
      <c r="E383" s="16" t="s">
        <v>927</v>
      </c>
      <c r="F383" s="16" t="s">
        <v>1707</v>
      </c>
      <c r="G383" s="17" t="s">
        <v>2283</v>
      </c>
      <c r="H383" s="16" t="s">
        <v>1533</v>
      </c>
      <c r="I383" s="18" t="n">
        <v>9.6502</v>
      </c>
      <c r="J383" s="16" t="n">
        <v>23</v>
      </c>
      <c r="K383" s="16" t="n">
        <v>290</v>
      </c>
      <c r="L383" s="19" t="n">
        <v>6348.25</v>
      </c>
      <c r="M383" s="17" t="s">
        <v>357</v>
      </c>
      <c r="N383" s="18" t="n">
        <v>9.6502</v>
      </c>
      <c r="O383" s="16" t="s">
        <v>1534</v>
      </c>
      <c r="P383" s="16" t="s">
        <v>1561</v>
      </c>
      <c r="Q383" s="17" t="s">
        <v>1536</v>
      </c>
      <c r="R383" s="78" t="s">
        <v>1701</v>
      </c>
      <c r="S383" s="77" t="n">
        <f aca="false">IFERROR(INDEX('Injectable Value'!$Z$28:$Z$178,MATCH($C383,'Injectable Value'!$A$28:$A$178,0)),"")</f>
        <v>0.991596638655462</v>
      </c>
      <c r="T383" s="19" t="n">
        <f aca="false">IFERROR(ROUND(INDEX('Injectable Value'!$AA$28:$AA$178,MATCH($C383,'Injectable Value'!$A$28:$A$178,0)),1),"")</f>
        <v>6294.9</v>
      </c>
      <c r="U383" s="17" t="s">
        <v>964</v>
      </c>
      <c r="V383" s="16" t="n">
        <v>4</v>
      </c>
      <c r="W383" s="16" t="s">
        <v>372</v>
      </c>
      <c r="X383" s="16" t="s">
        <v>281</v>
      </c>
      <c r="Y383" s="16" t="s">
        <v>333</v>
      </c>
      <c r="Z383" s="17" t="str">
        <f aca="false">IFERROR(INDEX(Scoring!$U:$U,MATCH($C383&amp;"|"&amp;$E383,Scoring!$AD:$AD,0)),"")</f>
        <v>Reconstitution</v>
      </c>
      <c r="AA383" s="16" t="str">
        <f aca="false">IFERROR(INDEX(Scoring!$E:$E,MATCH($C383&amp;"|"&amp;$E383,Scoring!$AD:$AD,0)),"")</f>
        <v>Priority 2</v>
      </c>
      <c r="AB383" s="19" t="n">
        <f aca="false">IFERROR(INDEX(Scoring!$M:$M,MATCH($C383&amp;"|"&amp;$E383,Scoring!$AD:$AD,0)),"")</f>
        <v>288</v>
      </c>
      <c r="AC383" s="16" t="str">
        <f aca="false">IFERROR(INDEX('Route of Administration'!$C$5:$C$155,MATCH($C383,'Route of Administration'!$A$5:$A$155,0)),"")</f>
        <v>IV, IM</v>
      </c>
      <c r="AD383" s="15" t="str">
        <f aca="false">IFERROR(INDEX('Route of Administration'!$D$5:$D$155,MATCH($C383,'Route of Administration'!$A$5:$A$155,0)),"")</f>
        <v>Yes</v>
      </c>
      <c r="AE383" s="15" t="str">
        <f aca="false">IF($AD383="No","Not checked – drug is IV only",IFERROR(INDEX('Route of Administration'!$O$5:$O$170,MATCH($E383&amp;"|"&amp;$C383,'Route of Administration'!$S$5:$S$170,0)),"Not checked – price ≤ USD 5"))</f>
        <v>Pass</v>
      </c>
    </row>
    <row r="384" customFormat="false" ht="28.35" hidden="false" customHeight="false" outlineLevel="0" collapsed="false">
      <c r="B384" s="16" t="n">
        <v>382</v>
      </c>
      <c r="C384" s="16" t="s">
        <v>76</v>
      </c>
      <c r="D384" s="16" t="s">
        <v>965</v>
      </c>
      <c r="E384" s="16" t="s">
        <v>927</v>
      </c>
      <c r="F384" s="16" t="s">
        <v>2285</v>
      </c>
      <c r="G384" s="17"/>
      <c r="H384" s="16"/>
      <c r="I384" s="18"/>
      <c r="J384" s="16" t="n">
        <v>28</v>
      </c>
      <c r="K384" s="16" t="n">
        <v>3110</v>
      </c>
      <c r="L384" s="19" t="n">
        <v>93119.22</v>
      </c>
      <c r="M384" s="17" t="s">
        <v>370</v>
      </c>
      <c r="N384" s="82" t="n">
        <v>5.6</v>
      </c>
      <c r="O384" s="64" t="s">
        <v>1541</v>
      </c>
      <c r="P384" s="16" t="s">
        <v>1535</v>
      </c>
      <c r="Q384" s="17" t="s">
        <v>2286</v>
      </c>
      <c r="R384" s="78" t="s">
        <v>2287</v>
      </c>
      <c r="S384" s="77" t="n">
        <f aca="false">IFERROR(INDEX('Injectable Value'!$Z$28:$Z$178,MATCH($C384,'Injectable Value'!$A$28:$A$178,0)),"")</f>
        <v>1</v>
      </c>
      <c r="T384" s="19" t="n">
        <f aca="false">IFERROR(ROUND(INDEX('Injectable Value'!$AA$28:$AA$178,MATCH($C384,'Injectable Value'!$A$28:$A$178,0)),1),"")</f>
        <v>93119.2</v>
      </c>
      <c r="U384" s="17" t="s">
        <v>783</v>
      </c>
      <c r="V384" s="16" t="n">
        <v>1</v>
      </c>
      <c r="W384" s="16" t="s">
        <v>112</v>
      </c>
      <c r="X384" s="16" t="s">
        <v>310</v>
      </c>
      <c r="Y384" s="16" t="s">
        <v>310</v>
      </c>
      <c r="Z384" s="17" t="str">
        <f aca="false">IFERROR(INDEX(Scoring!$U:$U,MATCH($C384&amp;"|"&amp;$E384,Scoring!$AD:$AD,0)),"")</f>
        <v/>
      </c>
      <c r="AA384" s="16" t="str">
        <f aca="false">IFERROR(INDEX(Scoring!$E:$E,MATCH($C384&amp;"|"&amp;$E384,Scoring!$AD:$AD,0)),"")</f>
        <v>Priority 2</v>
      </c>
      <c r="AB384" s="19" t="n">
        <f aca="false">IFERROR(INDEX(Scoring!$M:$M,MATCH($C384&amp;"|"&amp;$E384,Scoring!$AD:$AD,0)),"")</f>
        <v>3110</v>
      </c>
      <c r="AC384" s="16" t="str">
        <f aca="false">IFERROR(INDEX('Route of Administration'!$C$5:$C$155,MATCH($C384,'Route of Administration'!$A$5:$A$155,0)),"")</f>
        <v>IV, IM</v>
      </c>
      <c r="AD384" s="15" t="str">
        <f aca="false">IFERROR(INDEX('Route of Administration'!$D$5:$D$155,MATCH($C384,'Route of Administration'!$A$5:$A$155,0)),"")</f>
        <v>Yes</v>
      </c>
      <c r="AE384" s="15" t="str">
        <f aca="false">IF($AD384="No","Not checked – drug is IV only",IFERROR(INDEX('Route of Administration'!$O$5:$O$170,MATCH($E384&amp;"|"&amp;$C384,'Route of Administration'!$S$5:$S$170,0)),"Not checked – price ≤ USD 5"))</f>
        <v>Pass</v>
      </c>
    </row>
    <row r="385" customFormat="false" ht="55.2" hidden="false" customHeight="false" outlineLevel="0" collapsed="false">
      <c r="B385" s="16" t="n">
        <v>383</v>
      </c>
      <c r="C385" s="16" t="s">
        <v>790</v>
      </c>
      <c r="D385" s="16" t="s">
        <v>2288</v>
      </c>
      <c r="E385" s="16" t="s">
        <v>927</v>
      </c>
      <c r="F385" s="16" t="s">
        <v>2289</v>
      </c>
      <c r="G385" s="17" t="s">
        <v>2290</v>
      </c>
      <c r="H385" s="16" t="s">
        <v>1533</v>
      </c>
      <c r="I385" s="18" t="n">
        <v>12.2266</v>
      </c>
      <c r="J385" s="16" t="n">
        <v>30</v>
      </c>
      <c r="K385" s="16" t="n">
        <v>123</v>
      </c>
      <c r="L385" s="19" t="n">
        <v>3010.2</v>
      </c>
      <c r="M385" s="17" t="s">
        <v>792</v>
      </c>
      <c r="N385" s="18" t="n">
        <v>12.2266</v>
      </c>
      <c r="O385" s="16" t="s">
        <v>1534</v>
      </c>
      <c r="P385" s="16" t="s">
        <v>1700</v>
      </c>
      <c r="Q385" s="17" t="s">
        <v>1536</v>
      </c>
      <c r="R385" s="78" t="s">
        <v>2291</v>
      </c>
      <c r="S385" s="77" t="n">
        <f aca="false">IFERROR(INDEX('Injectable Value'!$Z$28:$Z$178,MATCH($C385,'Injectable Value'!$A$28:$A$178,0)),"")</f>
        <v>0.675601982054373</v>
      </c>
      <c r="T385" s="19" t="n">
        <f aca="false">IFERROR(ROUND(INDEX('Injectable Value'!$AA$28:$AA$178,MATCH($C385,'Injectable Value'!$A$28:$A$178,0)),1),"")</f>
        <v>2033.7</v>
      </c>
      <c r="U385" s="17" t="s">
        <v>978</v>
      </c>
      <c r="V385" s="16" t="n">
        <v>22</v>
      </c>
      <c r="W385" s="16" t="s">
        <v>977</v>
      </c>
      <c r="X385" s="16" t="s">
        <v>281</v>
      </c>
      <c r="Y385" s="16" t="s">
        <v>333</v>
      </c>
      <c r="Z385" s="17" t="str">
        <f aca="false">IFERROR(INDEX(Scoring!$U:$U,MATCH($C385&amp;"|"&amp;$E385,Scoring!$AD:$AD,0)),"")</f>
        <v>Reconstitution</v>
      </c>
      <c r="AA385" s="16" t="str">
        <f aca="false">IFERROR(INDEX(Scoring!$E:$E,MATCH($C385&amp;"|"&amp;$E385,Scoring!$AD:$AD,0)),"")</f>
        <v>Excluded – IV only</v>
      </c>
      <c r="AB385" s="19" t="n">
        <f aca="false">IFERROR(INDEX(Scoring!$M:$M,MATCH($C385&amp;"|"&amp;$E385,Scoring!$AD:$AD,0)),"")</f>
        <v>83</v>
      </c>
      <c r="AC385" s="16" t="str">
        <f aca="false">IFERROR(INDEX('Route of Administration'!$C$5:$C$155,MATCH($C385,'Route of Administration'!$A$5:$A$155,0)),"")</f>
        <v>IV, IM</v>
      </c>
      <c r="AD385" s="15" t="str">
        <f aca="false">IFERROR(INDEX('Route of Administration'!$D$5:$D$155,MATCH($C385,'Route of Administration'!$A$5:$A$155,0)),"")</f>
        <v>Yes</v>
      </c>
      <c r="AE385" s="15" t="str">
        <f aca="false">IF($AD385="No","Not checked – drug is IV only",IFERROR(INDEX('Route of Administration'!$O$5:$O$170,MATCH($E385&amp;"|"&amp;$C385,'Route of Administration'!$S$5:$S$170,0)),"Not checked – price ≤ USD 5"))</f>
        <v>Fail</v>
      </c>
    </row>
    <row r="386" customFormat="false" ht="55.2" hidden="false" customHeight="false" outlineLevel="0" collapsed="false">
      <c r="B386" s="16" t="n">
        <v>384</v>
      </c>
      <c r="C386" s="16" t="s">
        <v>388</v>
      </c>
      <c r="D386" s="16" t="s">
        <v>2292</v>
      </c>
      <c r="E386" s="16" t="s">
        <v>927</v>
      </c>
      <c r="F386" s="16" t="s">
        <v>1716</v>
      </c>
      <c r="G386" s="17" t="s">
        <v>1717</v>
      </c>
      <c r="H386" s="16" t="s">
        <v>1533</v>
      </c>
      <c r="I386" s="18" t="n">
        <v>93.7335</v>
      </c>
      <c r="J386" s="16" t="n">
        <v>28</v>
      </c>
      <c r="K386" s="16" t="n">
        <v>312</v>
      </c>
      <c r="L386" s="19" t="n">
        <v>59827.18</v>
      </c>
      <c r="M386" s="17" t="s">
        <v>390</v>
      </c>
      <c r="N386" s="18" t="n">
        <v>93.7335</v>
      </c>
      <c r="O386" s="16" t="s">
        <v>1534</v>
      </c>
      <c r="P386" s="16" t="s">
        <v>1700</v>
      </c>
      <c r="Q386" s="17" t="s">
        <v>1536</v>
      </c>
      <c r="R386" s="78" t="s">
        <v>1701</v>
      </c>
      <c r="S386" s="77" t="n">
        <f aca="false">IFERROR(INDEX('Injectable Value'!$Z$28:$Z$178,MATCH($C386,'Injectable Value'!$A$28:$A$178,0)),"")</f>
        <v>1</v>
      </c>
      <c r="T386" s="19" t="n">
        <f aca="false">IFERROR(ROUND(INDEX('Injectable Value'!$AA$28:$AA$178,MATCH($C386,'Injectable Value'!$A$28:$A$178,0)),1),"")</f>
        <v>59827.2</v>
      </c>
      <c r="U386" s="17" t="s">
        <v>993</v>
      </c>
      <c r="V386" s="16" t="n">
        <v>21</v>
      </c>
      <c r="W386" s="16" t="s">
        <v>785</v>
      </c>
      <c r="X386" s="16" t="s">
        <v>281</v>
      </c>
      <c r="Y386" s="16" t="s">
        <v>333</v>
      </c>
      <c r="Z386" s="17" t="str">
        <f aca="false">IFERROR(INDEX(Scoring!$U:$U,MATCH($C386&amp;"|"&amp;$E386,Scoring!$AD:$AD,0)),"")</f>
        <v>Reconstitution</v>
      </c>
      <c r="AA386" s="16" t="str">
        <f aca="false">IFERROR(INDEX(Scoring!$E:$E,MATCH($C386&amp;"|"&amp;$E386,Scoring!$AD:$AD,0)),"")</f>
        <v>Excluded – IV only</v>
      </c>
      <c r="AB386" s="19" t="n">
        <f aca="false">IFERROR(INDEX(Scoring!$M:$M,MATCH($C386&amp;"|"&amp;$E386,Scoring!$AD:$AD,0)),"")</f>
        <v>312</v>
      </c>
      <c r="AC386" s="16" t="str">
        <f aca="false">IFERROR(INDEX('Route of Administration'!$C$5:$C$155,MATCH($C386,'Route of Administration'!$A$5:$A$155,0)),"")</f>
        <v>IV</v>
      </c>
      <c r="AD386" s="15" t="str">
        <f aca="false">IFERROR(INDEX('Route of Administration'!$D$5:$D$155,MATCH($C386,'Route of Administration'!$A$5:$A$155,0)),"")</f>
        <v>No</v>
      </c>
      <c r="AE386" s="15" t="str">
        <f aca="false">IF($AD386="No","Not checked – drug is IV only",IFERROR(INDEX('Route of Administration'!$O$5:$O$170,MATCH($E386&amp;"|"&amp;$C386,'Route of Administration'!$S$5:$S$170,0)),"Not checked – price ≤ USD 5"))</f>
        <v>Not checked – drug is IV only</v>
      </c>
    </row>
    <row r="387" customFormat="false" ht="82.05" hidden="false" customHeight="false" outlineLevel="0" collapsed="false">
      <c r="B387" s="16" t="n">
        <v>385</v>
      </c>
      <c r="C387" s="16" t="s">
        <v>995</v>
      </c>
      <c r="D387" s="16" t="s">
        <v>2293</v>
      </c>
      <c r="E387" s="16" t="s">
        <v>927</v>
      </c>
      <c r="F387" s="16" t="s">
        <v>2294</v>
      </c>
      <c r="G387" s="17" t="s">
        <v>2295</v>
      </c>
      <c r="H387" s="16" t="s">
        <v>1533</v>
      </c>
      <c r="I387" s="18" t="n">
        <v>53.0422</v>
      </c>
      <c r="J387" s="16" t="n">
        <v>3</v>
      </c>
      <c r="K387" s="16" t="n">
        <v>26</v>
      </c>
      <c r="L387" s="19" t="n">
        <v>140.86</v>
      </c>
      <c r="M387" s="17" t="s">
        <v>997</v>
      </c>
      <c r="N387" s="18" t="n">
        <v>53.0422</v>
      </c>
      <c r="O387" s="16" t="s">
        <v>1534</v>
      </c>
      <c r="P387" s="16" t="s">
        <v>1700</v>
      </c>
      <c r="Q387" s="17" t="s">
        <v>1536</v>
      </c>
      <c r="R387" s="78" t="s">
        <v>2296</v>
      </c>
      <c r="S387" s="77" t="n">
        <f aca="false">IFERROR(INDEX('Injectable Value'!$Z$28:$Z$178,MATCH($C387,'Injectable Value'!$A$28:$A$178,0)),"")</f>
        <v>1</v>
      </c>
      <c r="T387" s="19" t="n">
        <f aca="false">IFERROR(ROUND(INDEX('Injectable Value'!$AA$28:$AA$178,MATCH($C387,'Injectable Value'!$A$28:$A$178,0)),1),"")</f>
        <v>140.9</v>
      </c>
      <c r="U387" s="17" t="s">
        <v>999</v>
      </c>
      <c r="V387" s="16" t="n">
        <v>31</v>
      </c>
      <c r="W387" s="16" t="s">
        <v>456</v>
      </c>
      <c r="X387" s="16" t="s">
        <v>281</v>
      </c>
      <c r="Y387" s="16" t="s">
        <v>283</v>
      </c>
      <c r="Z387" s="17" t="str">
        <f aca="false">IFERROR(INDEX(Scoring!$U:$U,MATCH($C387&amp;"|"&amp;$E387,Scoring!$AD:$AD,0)),"")</f>
        <v>Reconstitution</v>
      </c>
      <c r="AA387" s="16" t="str">
        <f aca="false">IFERROR(INDEX(Scoring!$E:$E,MATCH($C387&amp;"|"&amp;$E387,Scoring!$AD:$AD,0)),"")</f>
        <v>Priority 2</v>
      </c>
      <c r="AB387" s="19" t="n">
        <f aca="false">IFERROR(INDEX(Scoring!$M:$M,MATCH($C387&amp;"|"&amp;$E387,Scoring!$AD:$AD,0)),"")</f>
        <v>26</v>
      </c>
      <c r="AC387" s="16" t="str">
        <f aca="false">IFERROR(INDEX('Route of Administration'!$C$5:$C$155,MATCH($C387,'Route of Administration'!$A$5:$A$155,0)),"")</f>
        <v>SC</v>
      </c>
      <c r="AD387" s="15" t="str">
        <f aca="false">IFERROR(INDEX('Route of Administration'!$D$5:$D$155,MATCH($C387,'Route of Administration'!$A$5:$A$155,0)),"")</f>
        <v>Yes</v>
      </c>
      <c r="AE387" s="15" t="str">
        <f aca="false">IF($AD387="No","Not checked – drug is IV only",IFERROR(INDEX('Route of Administration'!$O$5:$O$170,MATCH($E387&amp;"|"&amp;$C387,'Route of Administration'!$S$5:$S$170,0)),"Not checked – price ≤ USD 5"))</f>
        <v>Pass</v>
      </c>
    </row>
    <row r="388" customFormat="false" ht="95.5" hidden="false" customHeight="false" outlineLevel="0" collapsed="false">
      <c r="B388" s="16" t="n">
        <v>386</v>
      </c>
      <c r="C388" s="16" t="s">
        <v>394</v>
      </c>
      <c r="D388" s="16" t="s">
        <v>2297</v>
      </c>
      <c r="E388" s="16" t="s">
        <v>927</v>
      </c>
      <c r="F388" s="16" t="s">
        <v>1718</v>
      </c>
      <c r="G388" s="17" t="s">
        <v>1719</v>
      </c>
      <c r="H388" s="16" t="s">
        <v>1533</v>
      </c>
      <c r="I388" s="18" t="n">
        <v>16.837</v>
      </c>
      <c r="J388" s="16" t="n">
        <v>31</v>
      </c>
      <c r="K388" s="16" t="n">
        <v>1644</v>
      </c>
      <c r="L388" s="19" t="n">
        <v>41889.23</v>
      </c>
      <c r="M388" s="17" t="s">
        <v>396</v>
      </c>
      <c r="N388" s="18" t="n">
        <v>16.837</v>
      </c>
      <c r="O388" s="16" t="s">
        <v>1534</v>
      </c>
      <c r="P388" s="16" t="s">
        <v>1700</v>
      </c>
      <c r="Q388" s="17" t="s">
        <v>1536</v>
      </c>
      <c r="R388" s="78" t="s">
        <v>1701</v>
      </c>
      <c r="S388" s="77" t="n">
        <f aca="false">IFERROR(INDEX('Injectable Value'!$Z$28:$Z$178,MATCH($C388,'Injectable Value'!$A$28:$A$178,0)),"")</f>
        <v>0.990783410138249</v>
      </c>
      <c r="T388" s="19" t="n">
        <f aca="false">IFERROR(ROUND(INDEX('Injectable Value'!$AA$28:$AA$178,MATCH($C388,'Injectable Value'!$A$28:$A$178,0)),1),"")</f>
        <v>41503.2</v>
      </c>
      <c r="U388" s="17" t="s">
        <v>1010</v>
      </c>
      <c r="V388" s="16" t="n">
        <v>34</v>
      </c>
      <c r="W388" s="16" t="s">
        <v>1009</v>
      </c>
      <c r="X388" s="16" t="s">
        <v>281</v>
      </c>
      <c r="Y388" s="16" t="s">
        <v>283</v>
      </c>
      <c r="Z388" s="17" t="str">
        <f aca="false">IFERROR(INDEX(Scoring!$U:$U,MATCH($C388&amp;"|"&amp;$E388,Scoring!$AD:$AD,0)),"")</f>
        <v>Cancer drug (cytotoxic) – less relevant</v>
      </c>
      <c r="AA388" s="16" t="str">
        <f aca="false">IFERROR(INDEX(Scoring!$E:$E,MATCH($C388&amp;"|"&amp;$E388,Scoring!$AD:$AD,0)),"")</f>
        <v>Excluded – IV only</v>
      </c>
      <c r="AB388" s="19" t="n">
        <f aca="false">IFERROR(INDEX(Scoring!$M:$M,MATCH($C388&amp;"|"&amp;$E388,Scoring!$AD:$AD,0)),"")</f>
        <v>1629</v>
      </c>
      <c r="AC388" s="16" t="str">
        <f aca="false">IFERROR(INDEX('Route of Administration'!$C$5:$C$155,MATCH($C388,'Route of Administration'!$A$5:$A$155,0)),"")</f>
        <v>IV</v>
      </c>
      <c r="AD388" s="15" t="str">
        <f aca="false">IFERROR(INDEX('Route of Administration'!$D$5:$D$155,MATCH($C388,'Route of Administration'!$A$5:$A$155,0)),"")</f>
        <v>No</v>
      </c>
      <c r="AE388" s="15" t="str">
        <f aca="false">IF($AD388="No","Not checked – drug is IV only",IFERROR(INDEX('Route of Administration'!$O$5:$O$170,MATCH($E388&amp;"|"&amp;$C388,'Route of Administration'!$S$5:$S$170,0)),"Not checked – price ≤ USD 5"))</f>
        <v>Not checked – drug is IV only</v>
      </c>
    </row>
    <row r="389" customFormat="false" ht="55.2" hidden="false" customHeight="false" outlineLevel="0" collapsed="false">
      <c r="B389" s="16" t="n">
        <v>387</v>
      </c>
      <c r="C389" s="16" t="s">
        <v>408</v>
      </c>
      <c r="D389" s="16" t="s">
        <v>2298</v>
      </c>
      <c r="E389" s="16" t="s">
        <v>927</v>
      </c>
      <c r="F389" s="16" t="s">
        <v>1718</v>
      </c>
      <c r="G389" s="17" t="s">
        <v>1719</v>
      </c>
      <c r="H389" s="16" t="s">
        <v>1533</v>
      </c>
      <c r="I389" s="18" t="n">
        <v>22.2158</v>
      </c>
      <c r="J389" s="16" t="n">
        <v>29</v>
      </c>
      <c r="K389" s="16" t="n">
        <v>345</v>
      </c>
      <c r="L389" s="19" t="n">
        <v>2783.28</v>
      </c>
      <c r="M389" s="17" t="s">
        <v>410</v>
      </c>
      <c r="N389" s="18" t="n">
        <v>22.2158</v>
      </c>
      <c r="O389" s="16" t="s">
        <v>1534</v>
      </c>
      <c r="P389" s="16" t="s">
        <v>1535</v>
      </c>
      <c r="Q389" s="17" t="s">
        <v>1536</v>
      </c>
      <c r="R389" s="78" t="s">
        <v>1701</v>
      </c>
      <c r="S389" s="77" t="n">
        <f aca="false">IFERROR(INDEX('Injectable Value'!$Z$28:$Z$178,MATCH($C389,'Injectable Value'!$A$28:$A$178,0)),"")</f>
        <v>0.995283018867925</v>
      </c>
      <c r="T389" s="19" t="n">
        <f aca="false">IFERROR(ROUND(INDEX('Injectable Value'!$AA$28:$AA$178,MATCH($C389,'Injectable Value'!$A$28:$A$178,0)),1),"")</f>
        <v>2770.2</v>
      </c>
      <c r="U389" s="17" t="s">
        <v>1020</v>
      </c>
      <c r="V389" s="16" t="n">
        <v>24</v>
      </c>
      <c r="W389" s="16" t="s">
        <v>977</v>
      </c>
      <c r="X389" s="16" t="s">
        <v>281</v>
      </c>
      <c r="Y389" s="16" t="s">
        <v>283</v>
      </c>
      <c r="Z389" s="17" t="str">
        <f aca="false">IFERROR(INDEX(Scoring!$U:$U,MATCH($C389&amp;"|"&amp;$E389,Scoring!$AD:$AD,0)),"")</f>
        <v>Cancer drug (cytotoxic) – less relevant</v>
      </c>
      <c r="AA389" s="16" t="str">
        <f aca="false">IFERROR(INDEX(Scoring!$E:$E,MATCH($C389&amp;"|"&amp;$E389,Scoring!$AD:$AD,0)),"")</f>
        <v>Excluded – IV only</v>
      </c>
      <c r="AB389" s="19" t="n">
        <f aca="false">IFERROR(INDEX(Scoring!$M:$M,MATCH($C389&amp;"|"&amp;$E389,Scoring!$AD:$AD,0)),"")</f>
        <v>343</v>
      </c>
      <c r="AC389" s="16" t="str">
        <f aca="false">IFERROR(INDEX('Route of Administration'!$C$5:$C$155,MATCH($C389,'Route of Administration'!$A$5:$A$155,0)),"")</f>
        <v>IV</v>
      </c>
      <c r="AD389" s="15" t="str">
        <f aca="false">IFERROR(INDEX('Route of Administration'!$D$5:$D$155,MATCH($C389,'Route of Administration'!$A$5:$A$155,0)),"")</f>
        <v>No</v>
      </c>
      <c r="AE389" s="15" t="str">
        <f aca="false">IF($AD389="No","Not checked – drug is IV only",IFERROR(INDEX('Route of Administration'!$O$5:$O$170,MATCH($E389&amp;"|"&amp;$C389,'Route of Administration'!$S$5:$S$170,0)),"Not checked – price ≤ USD 5"))</f>
        <v>Not checked – drug is IV only</v>
      </c>
    </row>
    <row r="390" customFormat="false" ht="82.05" hidden="false" customHeight="false" outlineLevel="0" collapsed="false">
      <c r="B390" s="16" t="n">
        <v>388</v>
      </c>
      <c r="C390" s="16" t="s">
        <v>415</v>
      </c>
      <c r="D390" s="16" t="s">
        <v>1022</v>
      </c>
      <c r="E390" s="16" t="s">
        <v>927</v>
      </c>
      <c r="F390" s="16" t="s">
        <v>2299</v>
      </c>
      <c r="G390" s="17" t="s">
        <v>2233</v>
      </c>
      <c r="H390" s="16" t="s">
        <v>1533</v>
      </c>
      <c r="I390" s="18" t="n">
        <v>62.0257</v>
      </c>
      <c r="J390" s="16" t="n">
        <v>14</v>
      </c>
      <c r="K390" s="16" t="n">
        <v>149</v>
      </c>
      <c r="L390" s="19" t="n">
        <v>5255.61</v>
      </c>
      <c r="M390" s="17" t="s">
        <v>416</v>
      </c>
      <c r="N390" s="18" t="n">
        <v>62.0257</v>
      </c>
      <c r="O390" s="16" t="s">
        <v>1534</v>
      </c>
      <c r="P390" s="16" t="s">
        <v>1700</v>
      </c>
      <c r="Q390" s="17" t="s">
        <v>1536</v>
      </c>
      <c r="R390" s="78" t="s">
        <v>2300</v>
      </c>
      <c r="S390" s="77" t="n">
        <f aca="false">IFERROR(INDEX('Injectable Value'!$Z$28:$Z$178,MATCH($C390,'Injectable Value'!$A$28:$A$178,0)),"")</f>
        <v>0.985294117647059</v>
      </c>
      <c r="T390" s="19" t="n">
        <f aca="false">IFERROR(ROUND(INDEX('Injectable Value'!$AA$28:$AA$178,MATCH($C390,'Injectable Value'!$A$28:$A$178,0)),1),"")</f>
        <v>5178.3</v>
      </c>
      <c r="U390" s="17" t="s">
        <v>1024</v>
      </c>
      <c r="V390" s="16" t="n">
        <v>30</v>
      </c>
      <c r="W390" s="16" t="s">
        <v>1023</v>
      </c>
      <c r="X390" s="16" t="s">
        <v>281</v>
      </c>
      <c r="Y390" s="16" t="s">
        <v>283</v>
      </c>
      <c r="Z390" s="17" t="str">
        <f aca="false">IFERROR(INDEX(Scoring!$U:$U,MATCH($C390&amp;"|"&amp;$E390,Scoring!$AD:$AD,0)),"")</f>
        <v/>
      </c>
      <c r="AA390" s="16" t="str">
        <f aca="false">IFERROR(INDEX(Scoring!$E:$E,MATCH($C390&amp;"|"&amp;$E390,Scoring!$AD:$AD,0)),"")</f>
        <v>Excluded – IV only</v>
      </c>
      <c r="AB390" s="19" t="n">
        <f aca="false">IFERROR(INDEX(Scoring!$M:$M,MATCH($C390&amp;"|"&amp;$E390,Scoring!$AD:$AD,0)),"")</f>
        <v>147</v>
      </c>
      <c r="AC390" s="16" t="str">
        <f aca="false">IFERROR(INDEX('Route of Administration'!$C$5:$C$155,MATCH($C390,'Route of Administration'!$A$5:$A$155,0)),"")</f>
        <v>IV</v>
      </c>
      <c r="AD390" s="15" t="str">
        <f aca="false">IFERROR(INDEX('Route of Administration'!$D$5:$D$155,MATCH($C390,'Route of Administration'!$A$5:$A$155,0)),"")</f>
        <v>No</v>
      </c>
      <c r="AE390" s="15" t="str">
        <f aca="false">IF($AD390="No","Not checked – drug is IV only",IFERROR(INDEX('Route of Administration'!$O$5:$O$170,MATCH($E390&amp;"|"&amp;$C390,'Route of Administration'!$S$5:$S$170,0)),"Not checked – price ≤ USD 5"))</f>
        <v>Not checked – drug is IV only</v>
      </c>
    </row>
    <row r="391" customFormat="false" ht="41.75" hidden="false" customHeight="false" outlineLevel="0" collapsed="false">
      <c r="B391" s="16" t="n">
        <v>389</v>
      </c>
      <c r="C391" s="16" t="s">
        <v>724</v>
      </c>
      <c r="D391" s="16" t="s">
        <v>1026</v>
      </c>
      <c r="E391" s="16" t="s">
        <v>927</v>
      </c>
      <c r="F391" s="16" t="s">
        <v>1964</v>
      </c>
      <c r="G391" s="17" t="s">
        <v>2301</v>
      </c>
      <c r="H391" s="16" t="s">
        <v>1533</v>
      </c>
      <c r="I391" s="18" t="n">
        <v>471.2665</v>
      </c>
      <c r="J391" s="16" t="n">
        <v>25</v>
      </c>
      <c r="K391" s="16" t="n">
        <v>42</v>
      </c>
      <c r="L391" s="19" t="n">
        <v>1874.63</v>
      </c>
      <c r="M391" s="17" t="s">
        <v>726</v>
      </c>
      <c r="N391" s="18" t="n">
        <v>471.2665</v>
      </c>
      <c r="O391" s="16" t="s">
        <v>1534</v>
      </c>
      <c r="P391" s="16" t="s">
        <v>1561</v>
      </c>
      <c r="Q391" s="17" t="s">
        <v>1536</v>
      </c>
      <c r="R391" s="78" t="s">
        <v>1701</v>
      </c>
      <c r="S391" s="77" t="n">
        <f aca="false">IFERROR(INDEX('Injectable Value'!$Z$28:$Z$178,MATCH($C391,'Injectable Value'!$A$28:$A$178,0)),"")</f>
        <v>1</v>
      </c>
      <c r="T391" s="19" t="n">
        <f aca="false">IFERROR(ROUND(INDEX('Injectable Value'!$AA$28:$AA$178,MATCH($C391,'Injectable Value'!$A$28:$A$178,0)),1),"")</f>
        <v>1874.6</v>
      </c>
      <c r="U391" s="17" t="s">
        <v>1028</v>
      </c>
      <c r="V391" s="16" t="n">
        <v>9</v>
      </c>
      <c r="W391" s="16" t="s">
        <v>366</v>
      </c>
      <c r="X391" s="16" t="s">
        <v>281</v>
      </c>
      <c r="Y391" s="16" t="s">
        <v>283</v>
      </c>
      <c r="Z391" s="17" t="str">
        <f aca="false">IFERROR(INDEX(Scoring!$U:$U,MATCH($C391&amp;"|"&amp;$E391,Scoring!$AD:$AD,0)),"")</f>
        <v>Cancer drug (cytotoxic) – less relevant</v>
      </c>
      <c r="AA391" s="16" t="str">
        <f aca="false">IFERROR(INDEX(Scoring!$E:$E,MATCH($C391&amp;"|"&amp;$E391,Scoring!$AD:$AD,0)),"")</f>
        <v>Excluded – IV only</v>
      </c>
      <c r="AB391" s="19" t="n">
        <f aca="false">IFERROR(INDEX(Scoring!$M:$M,MATCH($C391&amp;"|"&amp;$E391,Scoring!$AD:$AD,0)),"")</f>
        <v>42</v>
      </c>
      <c r="AC391" s="16" t="str">
        <f aca="false">IFERROR(INDEX('Route of Administration'!$C$5:$C$155,MATCH($C391,'Route of Administration'!$A$5:$A$155,0)),"")</f>
        <v>IV</v>
      </c>
      <c r="AD391" s="15" t="str">
        <f aca="false">IFERROR(INDEX('Route of Administration'!$D$5:$D$155,MATCH($C391,'Route of Administration'!$A$5:$A$155,0)),"")</f>
        <v>No</v>
      </c>
      <c r="AE391" s="15" t="str">
        <f aca="false">IF($AD391="No","Not checked – drug is IV only",IFERROR(INDEX('Route of Administration'!$O$5:$O$170,MATCH($E391&amp;"|"&amp;$C391,'Route of Administration'!$S$5:$S$170,0)),"Not checked – price ≤ USD 5"))</f>
        <v>Not checked – drug is IV only</v>
      </c>
    </row>
    <row r="392" customFormat="false" ht="28.35" hidden="false" customHeight="false" outlineLevel="0" collapsed="false">
      <c r="B392" s="16" t="n">
        <v>390</v>
      </c>
      <c r="C392" s="16" t="s">
        <v>804</v>
      </c>
      <c r="D392" s="16" t="s">
        <v>2302</v>
      </c>
      <c r="E392" s="16" t="s">
        <v>927</v>
      </c>
      <c r="F392" s="16" t="s">
        <v>2043</v>
      </c>
      <c r="G392" s="17" t="s">
        <v>2021</v>
      </c>
      <c r="H392" s="16" t="s">
        <v>1533</v>
      </c>
      <c r="I392" s="18" t="n">
        <v>7.2659</v>
      </c>
      <c r="J392" s="16" t="n">
        <v>31</v>
      </c>
      <c r="K392" s="16" t="n">
        <v>3168</v>
      </c>
      <c r="L392" s="19" t="n">
        <v>130453.11</v>
      </c>
      <c r="M392" s="17" t="s">
        <v>806</v>
      </c>
      <c r="N392" s="18" t="n">
        <v>7.2659</v>
      </c>
      <c r="O392" s="16" t="s">
        <v>1534</v>
      </c>
      <c r="P392" s="16" t="s">
        <v>1535</v>
      </c>
      <c r="Q392" s="17" t="s">
        <v>1536</v>
      </c>
      <c r="R392" s="78" t="s">
        <v>1701</v>
      </c>
      <c r="S392" s="77" t="n">
        <f aca="false">IFERROR(INDEX('Injectable Value'!$Z$28:$Z$178,MATCH($C392,'Injectable Value'!$A$28:$A$178,0)),"")</f>
        <v>0.103608949323645</v>
      </c>
      <c r="T392" s="19" t="n">
        <f aca="false">IFERROR(ROUND(INDEX('Injectable Value'!$AA$28:$AA$178,MATCH($C392,'Injectable Value'!$A$28:$A$178,0)),1),"")</f>
        <v>13516.1</v>
      </c>
      <c r="U392" s="17" t="s">
        <v>1032</v>
      </c>
      <c r="V392" s="16" t="n">
        <v>6</v>
      </c>
      <c r="W392" s="16" t="s">
        <v>1031</v>
      </c>
      <c r="X392" s="16" t="s">
        <v>281</v>
      </c>
      <c r="Y392" s="16" t="s">
        <v>333</v>
      </c>
      <c r="Z392" s="17" t="str">
        <f aca="false">IFERROR(INDEX(Scoring!$U:$U,MATCH($C392&amp;"|"&amp;$E392,Scoring!$AD:$AD,0)),"")</f>
        <v>Reconstitution</v>
      </c>
      <c r="AA392" s="16" t="str">
        <f aca="false">IFERROR(INDEX(Scoring!$E:$E,MATCH($C392&amp;"|"&amp;$E392,Scoring!$AD:$AD,0)),"")</f>
        <v>Excluded – IV only</v>
      </c>
      <c r="AB392" s="19" t="n">
        <f aca="false">IFERROR(INDEX(Scoring!$M:$M,MATCH($C392&amp;"|"&amp;$E392,Scoring!$AD:$AD,0)),"")</f>
        <v>328</v>
      </c>
      <c r="AC392" s="16" t="str">
        <f aca="false">IFERROR(INDEX('Route of Administration'!$C$5:$C$155,MATCH($C392,'Route of Administration'!$A$5:$A$155,0)),"")</f>
        <v>IV</v>
      </c>
      <c r="AD392" s="15" t="str">
        <f aca="false">IFERROR(INDEX('Route of Administration'!$D$5:$D$155,MATCH($C392,'Route of Administration'!$A$5:$A$155,0)),"")</f>
        <v>No</v>
      </c>
      <c r="AE392" s="15" t="str">
        <f aca="false">IF($AD392="No","Not checked – drug is IV only",IFERROR(INDEX('Route of Administration'!$O$5:$O$170,MATCH($E392&amp;"|"&amp;$C392,'Route of Administration'!$S$5:$S$170,0)),"Not checked – price ≤ USD 5"))</f>
        <v>Not checked – drug is IV only</v>
      </c>
    </row>
    <row r="393" customFormat="false" ht="28.35" hidden="false" customHeight="false" outlineLevel="0" collapsed="false">
      <c r="B393" s="16" t="n">
        <v>391</v>
      </c>
      <c r="C393" s="16" t="s">
        <v>433</v>
      </c>
      <c r="D393" s="16" t="s">
        <v>1033</v>
      </c>
      <c r="E393" s="16" t="s">
        <v>927</v>
      </c>
      <c r="F393" s="16" t="s">
        <v>1733</v>
      </c>
      <c r="G393" s="17" t="s">
        <v>2303</v>
      </c>
      <c r="H393" s="16" t="s">
        <v>1533</v>
      </c>
      <c r="I393" s="18" t="n">
        <v>6.0681</v>
      </c>
      <c r="J393" s="16" t="n">
        <v>20</v>
      </c>
      <c r="K393" s="16" t="n">
        <v>347</v>
      </c>
      <c r="L393" s="19" t="n">
        <v>18803.98</v>
      </c>
      <c r="M393" s="17" t="s">
        <v>435</v>
      </c>
      <c r="N393" s="18" t="n">
        <v>6.0681</v>
      </c>
      <c r="O393" s="16" t="s">
        <v>1534</v>
      </c>
      <c r="P393" s="16" t="s">
        <v>1561</v>
      </c>
      <c r="Q393" s="17" t="s">
        <v>1536</v>
      </c>
      <c r="R393" s="78" t="s">
        <v>2304</v>
      </c>
      <c r="S393" s="77" t="n">
        <f aca="false">IFERROR(INDEX('Injectable Value'!$Z$28:$Z$178,MATCH($C393,'Injectable Value'!$A$28:$A$178,0)),"")</f>
        <v>0.334376150165624</v>
      </c>
      <c r="T393" s="19" t="n">
        <f aca="false">IFERROR(ROUND(INDEX('Injectable Value'!$AA$28:$AA$178,MATCH($C393,'Injectable Value'!$A$28:$A$178,0)),1),"")</f>
        <v>6287.6</v>
      </c>
      <c r="U393" s="17" t="s">
        <v>912</v>
      </c>
      <c r="V393" s="16" t="n">
        <v>1</v>
      </c>
      <c r="W393" s="16" t="s">
        <v>912</v>
      </c>
      <c r="X393" s="16" t="s">
        <v>281</v>
      </c>
      <c r="Y393" s="16" t="s">
        <v>333</v>
      </c>
      <c r="Z393" s="17" t="str">
        <f aca="false">IFERROR(INDEX(Scoring!$U:$U,MATCH($C393&amp;"|"&amp;$E393,Scoring!$AD:$AD,0)),"")</f>
        <v>Reconstitution</v>
      </c>
      <c r="AA393" s="16" t="str">
        <f aca="false">IFERROR(INDEX(Scoring!$E:$E,MATCH($C393&amp;"|"&amp;$E393,Scoring!$AD:$AD,0)),"")</f>
        <v>Priority 3</v>
      </c>
      <c r="AB393" s="19" t="n">
        <f aca="false">IFERROR(INDEX(Scoring!$M:$M,MATCH($C393&amp;"|"&amp;$E393,Scoring!$AD:$AD,0)),"")</f>
        <v>116</v>
      </c>
      <c r="AC393" s="16" t="str">
        <f aca="false">IFERROR(INDEX('Route of Administration'!$C$5:$C$155,MATCH($C393,'Route of Administration'!$A$5:$A$155,0)),"")</f>
        <v>IV, IM (also intra-articular, intrapleural)</v>
      </c>
      <c r="AD393" s="15" t="str">
        <f aca="false">IFERROR(INDEX('Route of Administration'!$D$5:$D$155,MATCH($C393,'Route of Administration'!$A$5:$A$155,0)),"")</f>
        <v>Yes</v>
      </c>
      <c r="AE393" s="15" t="str">
        <f aca="false">IF($AD393="No","Not checked – drug is IV only",IFERROR(INDEX('Route of Administration'!$O$5:$O$170,MATCH($E393&amp;"|"&amp;$C393,'Route of Administration'!$S$5:$S$170,0)),"Not checked – price ≤ USD 5"))</f>
        <v>Pass</v>
      </c>
    </row>
    <row r="394" customFormat="false" ht="68.65" hidden="false" customHeight="false" outlineLevel="0" collapsed="false">
      <c r="B394" s="16" t="n">
        <v>392</v>
      </c>
      <c r="C394" s="16" t="s">
        <v>1034</v>
      </c>
      <c r="D394" s="16" t="s">
        <v>2305</v>
      </c>
      <c r="E394" s="16" t="s">
        <v>927</v>
      </c>
      <c r="F394" s="16" t="s">
        <v>2306</v>
      </c>
      <c r="G394" s="17" t="s">
        <v>1998</v>
      </c>
      <c r="H394" s="16" t="s">
        <v>1533</v>
      </c>
      <c r="I394" s="18" t="n">
        <v>129.159</v>
      </c>
      <c r="J394" s="16" t="n">
        <v>30</v>
      </c>
      <c r="K394" s="16" t="n">
        <v>120</v>
      </c>
      <c r="L394" s="19" t="n">
        <v>5234.47</v>
      </c>
      <c r="M394" s="17" t="s">
        <v>1036</v>
      </c>
      <c r="N394" s="18" t="n">
        <v>129.159</v>
      </c>
      <c r="O394" s="16" t="s">
        <v>1534</v>
      </c>
      <c r="P394" s="16" t="s">
        <v>1700</v>
      </c>
      <c r="Q394" s="17" t="s">
        <v>1536</v>
      </c>
      <c r="R394" s="78" t="s">
        <v>1701</v>
      </c>
      <c r="S394" s="77" t="n">
        <f aca="false">IFERROR(INDEX('Injectable Value'!$Z$28:$Z$178,MATCH($C394,'Injectable Value'!$A$28:$A$178,0)),"")</f>
        <v>0.833333333333333</v>
      </c>
      <c r="T394" s="19" t="n">
        <f aca="false">IFERROR(ROUND(INDEX('Injectable Value'!$AA$28:$AA$178,MATCH($C394,'Injectable Value'!$A$28:$A$178,0)),1),"")</f>
        <v>4362.1</v>
      </c>
      <c r="U394" s="17" t="s">
        <v>1038</v>
      </c>
      <c r="V394" s="16" t="n">
        <v>23</v>
      </c>
      <c r="W394" s="16" t="s">
        <v>334</v>
      </c>
      <c r="X394" s="16" t="s">
        <v>281</v>
      </c>
      <c r="Y394" s="16" t="s">
        <v>283</v>
      </c>
      <c r="Z394" s="17" t="str">
        <f aca="false">IFERROR(INDEX(Scoring!$U:$U,MATCH($C394&amp;"|"&amp;$E394,Scoring!$AD:$AD,0)),"")</f>
        <v>Cancer drug (cytotoxic) – less relevant</v>
      </c>
      <c r="AA394" s="16" t="str">
        <f aca="false">IFERROR(INDEX(Scoring!$E:$E,MATCH($C394&amp;"|"&amp;$E394,Scoring!$AD:$AD,0)),"")</f>
        <v>Excluded – IV only</v>
      </c>
      <c r="AB394" s="19" t="n">
        <f aca="false">IFERROR(INDEX(Scoring!$M:$M,MATCH($C394&amp;"|"&amp;$E394,Scoring!$AD:$AD,0)),"")</f>
        <v>100</v>
      </c>
      <c r="AC394" s="16" t="str">
        <f aca="false">IFERROR(INDEX('Route of Administration'!$C$5:$C$155,MATCH($C394,'Route of Administration'!$A$5:$A$155,0)),"")</f>
        <v>IV</v>
      </c>
      <c r="AD394" s="15" t="str">
        <f aca="false">IFERROR(INDEX('Route of Administration'!$D$5:$D$155,MATCH($C394,'Route of Administration'!$A$5:$A$155,0)),"")</f>
        <v>No</v>
      </c>
      <c r="AE394" s="15" t="str">
        <f aca="false">IF($AD394="No","Not checked – drug is IV only",IFERROR(INDEX('Route of Administration'!$O$5:$O$170,MATCH($E394&amp;"|"&amp;$C394,'Route of Administration'!$S$5:$S$170,0)),"Not checked – price ≤ USD 5"))</f>
        <v>Not checked – drug is IV only</v>
      </c>
    </row>
    <row r="395" customFormat="false" ht="82.05" hidden="false" customHeight="false" outlineLevel="0" collapsed="false">
      <c r="B395" s="16" t="n">
        <v>393</v>
      </c>
      <c r="C395" s="16" t="s">
        <v>295</v>
      </c>
      <c r="D395" s="16" t="s">
        <v>2307</v>
      </c>
      <c r="E395" s="16" t="s">
        <v>927</v>
      </c>
      <c r="F395" s="16" t="s">
        <v>1728</v>
      </c>
      <c r="G395" s="17" t="s">
        <v>1729</v>
      </c>
      <c r="H395" s="16" t="s">
        <v>1540</v>
      </c>
      <c r="I395" s="18" t="n">
        <v>531.8684</v>
      </c>
      <c r="J395" s="16" t="n">
        <v>31</v>
      </c>
      <c r="K395" s="16" t="n">
        <v>146</v>
      </c>
      <c r="L395" s="19" t="n">
        <v>11366.06</v>
      </c>
      <c r="M395" s="17" t="s">
        <v>296</v>
      </c>
      <c r="N395" s="18" t="n">
        <v>531.8684</v>
      </c>
      <c r="O395" s="16" t="s">
        <v>1534</v>
      </c>
      <c r="P395" s="16" t="s">
        <v>1700</v>
      </c>
      <c r="Q395" s="17" t="s">
        <v>1536</v>
      </c>
      <c r="R395" s="78" t="s">
        <v>1701</v>
      </c>
      <c r="S395" s="77" t="n">
        <f aca="false">IFERROR(INDEX('Injectable Value'!$Z$28:$Z$178,MATCH($C395,'Injectable Value'!$A$28:$A$178,0)),"")</f>
        <v>1</v>
      </c>
      <c r="T395" s="19" t="n">
        <f aca="false">IFERROR(ROUND(INDEX('Injectable Value'!$AA$28:$AA$178,MATCH($C395,'Injectable Value'!$A$28:$A$178,0)),1),"")</f>
        <v>11366.1</v>
      </c>
      <c r="U395" s="17" t="s">
        <v>1045</v>
      </c>
      <c r="V395" s="16" t="n">
        <v>30</v>
      </c>
      <c r="W395" s="16" t="s">
        <v>342</v>
      </c>
      <c r="X395" s="16" t="s">
        <v>291</v>
      </c>
      <c r="Y395" s="16" t="s">
        <v>283</v>
      </c>
      <c r="Z395" s="17" t="str">
        <f aca="false">IFERROR(INDEX(Scoring!$U:$U,MATCH($C395&amp;"|"&amp;$E395,Scoring!$AD:$AD,0)),"")</f>
        <v>Prefilled only</v>
      </c>
      <c r="AA395" s="16" t="str">
        <f aca="false">IFERROR(INDEX(Scoring!$E:$E,MATCH($C395&amp;"|"&amp;$E395,Scoring!$AD:$AD,0)),"")</f>
        <v>Priority 1</v>
      </c>
      <c r="AB395" s="19" t="n">
        <f aca="false">IFERROR(INDEX(Scoring!$M:$M,MATCH($C395&amp;"|"&amp;$E395,Scoring!$AD:$AD,0)),"")</f>
        <v>146</v>
      </c>
      <c r="AC395" s="16" t="str">
        <f aca="false">IFERROR(INDEX('Route of Administration'!$C$5:$C$155,MATCH($C395,'Route of Administration'!$A$5:$A$155,0)),"")</f>
        <v>IM</v>
      </c>
      <c r="AD395" s="15" t="str">
        <f aca="false">IFERROR(INDEX('Route of Administration'!$D$5:$D$155,MATCH($C395,'Route of Administration'!$A$5:$A$155,0)),"")</f>
        <v>Yes</v>
      </c>
      <c r="AE395" s="15" t="str">
        <f aca="false">IF($AD395="No","Not checked – drug is IV only",IFERROR(INDEX('Route of Administration'!$O$5:$O$170,MATCH($E395&amp;"|"&amp;$C395,'Route of Administration'!$S$5:$S$170,0)),"Not checked – price ≤ USD 5"))</f>
        <v>Pass</v>
      </c>
    </row>
    <row r="396" customFormat="false" ht="28.35" hidden="false" customHeight="false" outlineLevel="0" collapsed="false">
      <c r="B396" s="16" t="n">
        <v>394</v>
      </c>
      <c r="C396" s="16" t="s">
        <v>1051</v>
      </c>
      <c r="D396" s="16" t="s">
        <v>1052</v>
      </c>
      <c r="E396" s="16" t="s">
        <v>927</v>
      </c>
      <c r="F396" s="16" t="s">
        <v>2308</v>
      </c>
      <c r="G396" s="17" t="s">
        <v>2309</v>
      </c>
      <c r="H396" s="16" t="s">
        <v>1533</v>
      </c>
      <c r="I396" s="18" t="n">
        <v>9.831</v>
      </c>
      <c r="J396" s="16" t="n">
        <v>17</v>
      </c>
      <c r="K396" s="16" t="n">
        <v>32</v>
      </c>
      <c r="L396" s="19" t="n">
        <v>457.96</v>
      </c>
      <c r="M396" s="17" t="s">
        <v>1053</v>
      </c>
      <c r="N396" s="18" t="n">
        <v>9.831</v>
      </c>
      <c r="O396" s="16" t="s">
        <v>1534</v>
      </c>
      <c r="P396" s="16" t="s">
        <v>1561</v>
      </c>
      <c r="Q396" s="17" t="s">
        <v>1536</v>
      </c>
      <c r="R396" s="78" t="s">
        <v>2310</v>
      </c>
      <c r="S396" s="77" t="n">
        <f aca="false">IFERROR(INDEX('Injectable Value'!$Z$28:$Z$178,MATCH($C396,'Injectable Value'!$A$28:$A$178,0)),"")</f>
        <v>0.689259259259259</v>
      </c>
      <c r="T396" s="19" t="n">
        <f aca="false">IFERROR(ROUND(INDEX('Injectable Value'!$AA$28:$AA$178,MATCH($C396,'Injectable Value'!$A$28:$A$178,0)),1),"")</f>
        <v>315.7</v>
      </c>
      <c r="U396" s="17" t="s">
        <v>912</v>
      </c>
      <c r="V396" s="16" t="n">
        <v>1</v>
      </c>
      <c r="W396" s="16" t="s">
        <v>912</v>
      </c>
      <c r="X396" s="16" t="s">
        <v>310</v>
      </c>
      <c r="Y396" s="16" t="s">
        <v>283</v>
      </c>
      <c r="Z396" s="17" t="str">
        <f aca="false">IFERROR(INDEX(Scoring!$U:$U,MATCH($C396&amp;"|"&amp;$E396,Scoring!$AD:$AD,0)),"")</f>
        <v/>
      </c>
      <c r="AA396" s="16" t="str">
        <f aca="false">IFERROR(INDEX(Scoring!$E:$E,MATCH($C396&amp;"|"&amp;$E396,Scoring!$AD:$AD,0)),"")</f>
        <v>Priority 3</v>
      </c>
      <c r="AB396" s="19" t="n">
        <f aca="false">IFERROR(INDEX(Scoring!$M:$M,MATCH($C396&amp;"|"&amp;$E396,Scoring!$AD:$AD,0)),"")</f>
        <v>22</v>
      </c>
      <c r="AC396" s="16" t="str">
        <f aca="false">IFERROR(INDEX('Route of Administration'!$C$5:$C$155,MATCH($C396,'Route of Administration'!$A$5:$A$155,0)),"")</f>
        <v>IV, IM, SC</v>
      </c>
      <c r="AD396" s="15" t="str">
        <f aca="false">IFERROR(INDEX('Route of Administration'!$D$5:$D$155,MATCH($C396,'Route of Administration'!$A$5:$A$155,0)),"")</f>
        <v>Yes</v>
      </c>
      <c r="AE396" s="15" t="str">
        <f aca="false">IF($AD396="No","Not checked – drug is IV only",IFERROR(INDEX('Route of Administration'!$O$5:$O$170,MATCH($E396&amp;"|"&amp;$C396,'Route of Administration'!$S$5:$S$170,0)),"Not checked – price ≤ USD 5"))</f>
        <v>Pass</v>
      </c>
    </row>
    <row r="397" customFormat="false" ht="82.05" hidden="false" customHeight="false" outlineLevel="0" collapsed="false">
      <c r="B397" s="16" t="n">
        <v>395</v>
      </c>
      <c r="C397" s="16" t="s">
        <v>466</v>
      </c>
      <c r="D397" s="16" t="s">
        <v>2205</v>
      </c>
      <c r="E397" s="16" t="s">
        <v>927</v>
      </c>
      <c r="F397" s="16" t="s">
        <v>2311</v>
      </c>
      <c r="G397" s="17" t="s">
        <v>2312</v>
      </c>
      <c r="H397" s="16" t="s">
        <v>1540</v>
      </c>
      <c r="I397" s="18" t="n">
        <v>93.8126</v>
      </c>
      <c r="J397" s="16" t="n">
        <v>29</v>
      </c>
      <c r="K397" s="16" t="n">
        <v>116</v>
      </c>
      <c r="L397" s="19" t="n">
        <v>1162.12</v>
      </c>
      <c r="M397" s="17" t="s">
        <v>468</v>
      </c>
      <c r="N397" s="18" t="n">
        <v>93.8126</v>
      </c>
      <c r="O397" s="16" t="s">
        <v>1534</v>
      </c>
      <c r="P397" s="16" t="s">
        <v>1700</v>
      </c>
      <c r="Q397" s="17" t="s">
        <v>1536</v>
      </c>
      <c r="R397" s="78" t="s">
        <v>1701</v>
      </c>
      <c r="S397" s="77" t="n">
        <f aca="false">IFERROR(INDEX('Injectable Value'!$Z$28:$Z$178,MATCH($C397,'Injectable Value'!$A$28:$A$178,0)),"")</f>
        <v>0.444974105461394</v>
      </c>
      <c r="T397" s="19" t="n">
        <f aca="false">IFERROR(ROUND(INDEX('Injectable Value'!$AA$28:$AA$178,MATCH($C397,'Injectable Value'!$A$28:$A$178,0)),1),"")</f>
        <v>517.1</v>
      </c>
      <c r="U397" s="17" t="s">
        <v>1057</v>
      </c>
      <c r="V397" s="16" t="n">
        <v>32</v>
      </c>
      <c r="W397" s="16" t="s">
        <v>1056</v>
      </c>
      <c r="X397" s="16" t="s">
        <v>291</v>
      </c>
      <c r="Y397" s="16" t="s">
        <v>283</v>
      </c>
      <c r="Z397" s="17" t="str">
        <f aca="false">IFERROR(INDEX(Scoring!$U:$U,MATCH($C397&amp;"|"&amp;$E397,Scoring!$AD:$AD,0)),"")</f>
        <v>Prefilled only</v>
      </c>
      <c r="AA397" s="16" t="str">
        <f aca="false">IFERROR(INDEX(Scoring!$E:$E,MATCH($C397&amp;"|"&amp;$E397,Scoring!$AD:$AD,0)),"")</f>
        <v>Excluded – IV only</v>
      </c>
      <c r="AB397" s="19" t="n">
        <f aca="false">IFERROR(INDEX(Scoring!$M:$M,MATCH($C397&amp;"|"&amp;$E397,Scoring!$AD:$AD,0)),"")</f>
        <v>52</v>
      </c>
      <c r="AC397" s="16" t="str">
        <f aca="false">IFERROR(INDEX('Route of Administration'!$C$5:$C$155,MATCH($C397,'Route of Administration'!$A$5:$A$155,0)),"")</f>
        <v>IV</v>
      </c>
      <c r="AD397" s="15" t="str">
        <f aca="false">IFERROR(INDEX('Route of Administration'!$D$5:$D$155,MATCH($C397,'Route of Administration'!$A$5:$A$155,0)),"")</f>
        <v>No</v>
      </c>
      <c r="AE397" s="15" t="str">
        <f aca="false">IF($AD397="No","Not checked – drug is IV only",IFERROR(INDEX('Route of Administration'!$O$5:$O$170,MATCH($E397&amp;"|"&amp;$C397,'Route of Administration'!$S$5:$S$170,0)),"Not checked – price ≤ USD 5"))</f>
        <v>Not checked – drug is IV only</v>
      </c>
    </row>
    <row r="398" customFormat="false" ht="28.35" hidden="false" customHeight="false" outlineLevel="0" collapsed="false">
      <c r="B398" s="16" t="n">
        <v>396</v>
      </c>
      <c r="C398" s="16" t="s">
        <v>1059</v>
      </c>
      <c r="D398" s="16" t="s">
        <v>1060</v>
      </c>
      <c r="E398" s="16" t="s">
        <v>927</v>
      </c>
      <c r="F398" s="16" t="s">
        <v>2313</v>
      </c>
      <c r="G398" s="17" t="s">
        <v>1719</v>
      </c>
      <c r="H398" s="16" t="s">
        <v>1533</v>
      </c>
      <c r="I398" s="18" t="n">
        <v>149.0357</v>
      </c>
      <c r="J398" s="16" t="n">
        <v>27</v>
      </c>
      <c r="K398" s="16" t="n">
        <v>40</v>
      </c>
      <c r="L398" s="19" t="n">
        <v>2015.78</v>
      </c>
      <c r="M398" s="17" t="s">
        <v>1061</v>
      </c>
      <c r="N398" s="18" t="n">
        <v>149.0357</v>
      </c>
      <c r="O398" s="16" t="s">
        <v>1534</v>
      </c>
      <c r="P398" s="16" t="s">
        <v>1561</v>
      </c>
      <c r="Q398" s="17" t="s">
        <v>1536</v>
      </c>
      <c r="R398" s="78" t="s">
        <v>1701</v>
      </c>
      <c r="S398" s="77" t="n">
        <f aca="false">IFERROR(INDEX('Injectable Value'!$Z$28:$Z$178,MATCH($C398,'Injectable Value'!$A$28:$A$178,0)),"")</f>
        <v>0.922757475083057</v>
      </c>
      <c r="T398" s="19" t="n">
        <f aca="false">IFERROR(ROUND(INDEX('Injectable Value'!$AA$28:$AA$178,MATCH($C398,'Injectable Value'!$A$28:$A$178,0)),1),"")</f>
        <v>1860.1</v>
      </c>
      <c r="U398" s="17" t="s">
        <v>1063</v>
      </c>
      <c r="V398" s="16" t="n">
        <v>5</v>
      </c>
      <c r="W398" s="16" t="s">
        <v>1062</v>
      </c>
      <c r="X398" s="16" t="s">
        <v>281</v>
      </c>
      <c r="Y398" s="16" t="s">
        <v>283</v>
      </c>
      <c r="Z398" s="17" t="str">
        <f aca="false">IFERROR(INDEX(Scoring!$U:$U,MATCH($C398&amp;"|"&amp;$E398,Scoring!$AD:$AD,0)),"")</f>
        <v>Cancer drug (cytotoxic) – less relevant</v>
      </c>
      <c r="AA398" s="16" t="str">
        <f aca="false">IFERROR(INDEX(Scoring!$E:$E,MATCH($C398&amp;"|"&amp;$E398,Scoring!$AD:$AD,0)),"")</f>
        <v>Excluded – IV only</v>
      </c>
      <c r="AB398" s="19" t="n">
        <f aca="false">IFERROR(INDEX(Scoring!$M:$M,MATCH($C398&amp;"|"&amp;$E398,Scoring!$AD:$AD,0)),"")</f>
        <v>37</v>
      </c>
      <c r="AC398" s="16" t="str">
        <f aca="false">IFERROR(INDEX('Route of Administration'!$C$5:$C$155,MATCH($C398,'Route of Administration'!$A$5:$A$155,0)),"")</f>
        <v>IV</v>
      </c>
      <c r="AD398" s="15" t="str">
        <f aca="false">IFERROR(INDEX('Route of Administration'!$D$5:$D$155,MATCH($C398,'Route of Administration'!$A$5:$A$155,0)),"")</f>
        <v>No</v>
      </c>
      <c r="AE398" s="15" t="str">
        <f aca="false">IF($AD398="No","Not checked – drug is IV only",IFERROR(INDEX('Route of Administration'!$O$5:$O$170,MATCH($E398&amp;"|"&amp;$C398,'Route of Administration'!$S$5:$S$170,0)),"Not checked – price ≤ USD 5"))</f>
        <v>Not checked – drug is IV only</v>
      </c>
    </row>
    <row r="399" customFormat="false" ht="28.35" hidden="false" customHeight="false" outlineLevel="0" collapsed="false">
      <c r="B399" s="16" t="n">
        <v>397</v>
      </c>
      <c r="C399" s="16" t="s">
        <v>476</v>
      </c>
      <c r="D399" s="16" t="s">
        <v>2314</v>
      </c>
      <c r="E399" s="16" t="s">
        <v>927</v>
      </c>
      <c r="F399" s="16" t="s">
        <v>1730</v>
      </c>
      <c r="G399" s="17" t="s">
        <v>2026</v>
      </c>
      <c r="H399" s="16" t="s">
        <v>1533</v>
      </c>
      <c r="I399" s="18" t="n">
        <v>147.804</v>
      </c>
      <c r="J399" s="16" t="n">
        <v>28</v>
      </c>
      <c r="K399" s="16" t="n">
        <v>257</v>
      </c>
      <c r="L399" s="19" t="n">
        <v>4183.29</v>
      </c>
      <c r="M399" s="17" t="s">
        <v>478</v>
      </c>
      <c r="N399" s="18" t="n">
        <v>147.804</v>
      </c>
      <c r="O399" s="16" t="s">
        <v>1534</v>
      </c>
      <c r="P399" s="16" t="s">
        <v>1561</v>
      </c>
      <c r="Q399" s="17" t="s">
        <v>1536</v>
      </c>
      <c r="R399" s="78" t="s">
        <v>2140</v>
      </c>
      <c r="S399" s="77" t="n">
        <f aca="false">IFERROR(INDEX('Injectable Value'!$Z$28:$Z$178,MATCH($C399,'Injectable Value'!$A$28:$A$178,0)),"")</f>
        <v>0.689888576486515</v>
      </c>
      <c r="T399" s="19" t="n">
        <f aca="false">IFERROR(ROUND(INDEX('Injectable Value'!$AA$28:$AA$178,MATCH($C399,'Injectable Value'!$A$28:$A$178,0)),1),"")</f>
        <v>2886</v>
      </c>
      <c r="U399" s="17" t="s">
        <v>772</v>
      </c>
      <c r="V399" s="16" t="n">
        <v>2</v>
      </c>
      <c r="W399" s="16" t="s">
        <v>772</v>
      </c>
      <c r="X399" s="16" t="s">
        <v>281</v>
      </c>
      <c r="Y399" s="16" t="s">
        <v>283</v>
      </c>
      <c r="Z399" s="17" t="str">
        <f aca="false">IFERROR(INDEX(Scoring!$U:$U,MATCH($C399&amp;"|"&amp;$E399,Scoring!$AD:$AD,0)),"")</f>
        <v>Cancer drug (cytotoxic) – less relevant; Reconstitution</v>
      </c>
      <c r="AA399" s="16" t="str">
        <f aca="false">IFERROR(INDEX(Scoring!$E:$E,MATCH($C399&amp;"|"&amp;$E399,Scoring!$AD:$AD,0)),"")</f>
        <v>Excluded – IV only</v>
      </c>
      <c r="AB399" s="19" t="n">
        <f aca="false">IFERROR(INDEX(Scoring!$M:$M,MATCH($C399&amp;"|"&amp;$E399,Scoring!$AD:$AD,0)),"")</f>
        <v>177</v>
      </c>
      <c r="AC399" s="16" t="str">
        <f aca="false">IFERROR(INDEX('Route of Administration'!$C$5:$C$155,MATCH($C399,'Route of Administration'!$A$5:$A$155,0)),"")</f>
        <v>IV</v>
      </c>
      <c r="AD399" s="15" t="str">
        <f aca="false">IFERROR(INDEX('Route of Administration'!$D$5:$D$155,MATCH($C399,'Route of Administration'!$A$5:$A$155,0)),"")</f>
        <v>No</v>
      </c>
      <c r="AE399" s="15" t="str">
        <f aca="false">IF($AD399="No","Not checked – drug is IV only",IFERROR(INDEX('Route of Administration'!$O$5:$O$170,MATCH($E399&amp;"|"&amp;$C399,'Route of Administration'!$S$5:$S$170,0)),"Not checked – price ≤ USD 5"))</f>
        <v>Not checked – drug is IV only</v>
      </c>
    </row>
    <row r="400" customFormat="false" ht="55.2" hidden="false" customHeight="false" outlineLevel="0" collapsed="false">
      <c r="B400" s="16" t="n">
        <v>398</v>
      </c>
      <c r="C400" s="16" t="s">
        <v>501</v>
      </c>
      <c r="D400" s="16" t="s">
        <v>2315</v>
      </c>
      <c r="E400" s="16" t="s">
        <v>927</v>
      </c>
      <c r="F400" s="16" t="s">
        <v>2316</v>
      </c>
      <c r="G400" s="17" t="s">
        <v>2317</v>
      </c>
      <c r="H400" s="16" t="s">
        <v>1533</v>
      </c>
      <c r="I400" s="18" t="n">
        <v>27.9449</v>
      </c>
      <c r="J400" s="16" t="n">
        <v>26</v>
      </c>
      <c r="K400" s="16" t="n">
        <v>544</v>
      </c>
      <c r="L400" s="19" t="n">
        <v>7654.85</v>
      </c>
      <c r="M400" s="17" t="s">
        <v>503</v>
      </c>
      <c r="N400" s="18" t="n">
        <v>27.9449</v>
      </c>
      <c r="O400" s="16" t="s">
        <v>1534</v>
      </c>
      <c r="P400" s="16" t="s">
        <v>1535</v>
      </c>
      <c r="Q400" s="17" t="s">
        <v>1536</v>
      </c>
      <c r="R400" s="78" t="s">
        <v>1701</v>
      </c>
      <c r="S400" s="77" t="n">
        <f aca="false">IFERROR(INDEX('Injectable Value'!$Z$28:$Z$178,MATCH($C400,'Injectable Value'!$A$28:$A$178,0)),"")</f>
        <v>0.882348668280872</v>
      </c>
      <c r="T400" s="19" t="n">
        <f aca="false">IFERROR(ROUND(INDEX('Injectable Value'!$AA$28:$AA$178,MATCH($C400,'Injectable Value'!$A$28:$A$178,0)),1),"")</f>
        <v>6754.2</v>
      </c>
      <c r="U400" s="17" t="s">
        <v>1089</v>
      </c>
      <c r="V400" s="16" t="n">
        <v>19</v>
      </c>
      <c r="W400" s="16" t="s">
        <v>537</v>
      </c>
      <c r="X400" s="16" t="s">
        <v>281</v>
      </c>
      <c r="Y400" s="16" t="s">
        <v>333</v>
      </c>
      <c r="Z400" s="17" t="str">
        <f aca="false">IFERROR(INDEX(Scoring!$U:$U,MATCH($C400&amp;"|"&amp;$E400,Scoring!$AD:$AD,0)),"")</f>
        <v>Cancer drug (cytotoxic) – less relevant; Reconstitution</v>
      </c>
      <c r="AA400" s="16" t="str">
        <f aca="false">IFERROR(INDEX(Scoring!$E:$E,MATCH($C400&amp;"|"&amp;$E400,Scoring!$AD:$AD,0)),"")</f>
        <v>Excluded – IV only</v>
      </c>
      <c r="AB400" s="19" t="n">
        <f aca="false">IFERROR(INDEX(Scoring!$M:$M,MATCH($C400&amp;"|"&amp;$E400,Scoring!$AD:$AD,0)),"")</f>
        <v>480</v>
      </c>
      <c r="AC400" s="16" t="str">
        <f aca="false">IFERROR(INDEX('Route of Administration'!$C$5:$C$155,MATCH($C400,'Route of Administration'!$A$5:$A$155,0)),"")</f>
        <v>IV</v>
      </c>
      <c r="AD400" s="15" t="str">
        <f aca="false">IFERROR(INDEX('Route of Administration'!$D$5:$D$155,MATCH($C400,'Route of Administration'!$A$5:$A$155,0)),"")</f>
        <v>No</v>
      </c>
      <c r="AE400" s="15" t="str">
        <f aca="false">IF($AD400="No","Not checked – drug is IV only",IFERROR(INDEX('Route of Administration'!$O$5:$O$170,MATCH($E400&amp;"|"&amp;$C400,'Route of Administration'!$S$5:$S$170,0)),"Not checked – price ≤ USD 5"))</f>
        <v>Not checked – drug is IV only</v>
      </c>
    </row>
    <row r="401" customFormat="false" ht="28.35" hidden="false" customHeight="false" outlineLevel="0" collapsed="false">
      <c r="B401" s="16" t="n">
        <v>399</v>
      </c>
      <c r="C401" s="16" t="s">
        <v>1091</v>
      </c>
      <c r="D401" s="16" t="s">
        <v>1092</v>
      </c>
      <c r="E401" s="16" t="s">
        <v>927</v>
      </c>
      <c r="F401" s="16" t="s">
        <v>1718</v>
      </c>
      <c r="G401" s="17" t="s">
        <v>1719</v>
      </c>
      <c r="H401" s="16" t="s">
        <v>1533</v>
      </c>
      <c r="I401" s="18" t="n">
        <v>122.2095</v>
      </c>
      <c r="J401" s="16" t="n">
        <v>16</v>
      </c>
      <c r="K401" s="16" t="n">
        <v>43</v>
      </c>
      <c r="L401" s="19" t="n">
        <v>693.76</v>
      </c>
      <c r="M401" s="17" t="s">
        <v>1093</v>
      </c>
      <c r="N401" s="18" t="n">
        <v>122.2095</v>
      </c>
      <c r="O401" s="16" t="s">
        <v>1534</v>
      </c>
      <c r="P401" s="16" t="s">
        <v>1561</v>
      </c>
      <c r="Q401" s="17" t="s">
        <v>1536</v>
      </c>
      <c r="R401" s="78" t="s">
        <v>1701</v>
      </c>
      <c r="S401" s="77" t="n">
        <f aca="false">IFERROR(INDEX('Injectable Value'!$Z$28:$Z$178,MATCH($C401,'Injectable Value'!$A$28:$A$178,0)),"")</f>
        <v>0.833333333333333</v>
      </c>
      <c r="T401" s="19" t="n">
        <f aca="false">IFERROR(ROUND(INDEX('Injectable Value'!$AA$28:$AA$178,MATCH($C401,'Injectable Value'!$A$28:$A$178,0)),1),"")</f>
        <v>578.1</v>
      </c>
      <c r="U401" s="17" t="s">
        <v>1095</v>
      </c>
      <c r="V401" s="16" t="n">
        <v>4</v>
      </c>
      <c r="W401" s="16" t="s">
        <v>1094</v>
      </c>
      <c r="X401" s="16" t="s">
        <v>281</v>
      </c>
      <c r="Y401" s="16" t="s">
        <v>283</v>
      </c>
      <c r="Z401" s="17" t="str">
        <f aca="false">IFERROR(INDEX(Scoring!$U:$U,MATCH($C401&amp;"|"&amp;$E401,Scoring!$AD:$AD,0)),"")</f>
        <v>Cancer drug (cytotoxic) – less relevant</v>
      </c>
      <c r="AA401" s="16" t="str">
        <f aca="false">IFERROR(INDEX(Scoring!$E:$E,MATCH($C401&amp;"|"&amp;$E401,Scoring!$AD:$AD,0)),"")</f>
        <v>Excluded – IV only</v>
      </c>
      <c r="AB401" s="19" t="n">
        <f aca="false">IFERROR(INDEX(Scoring!$M:$M,MATCH($C401&amp;"|"&amp;$E401,Scoring!$AD:$AD,0)),"")</f>
        <v>36</v>
      </c>
      <c r="AC401" s="16" t="str">
        <f aca="false">IFERROR(INDEX('Route of Administration'!$C$5:$C$155,MATCH($C401,'Route of Administration'!$A$5:$A$155,0)),"")</f>
        <v>IV</v>
      </c>
      <c r="AD401" s="15" t="str">
        <f aca="false">IFERROR(INDEX('Route of Administration'!$D$5:$D$155,MATCH($C401,'Route of Administration'!$A$5:$A$155,0)),"")</f>
        <v>No</v>
      </c>
      <c r="AE401" s="15" t="str">
        <f aca="false">IF($AD401="No","Not checked – drug is IV only",IFERROR(INDEX('Route of Administration'!$O$5:$O$170,MATCH($E401&amp;"|"&amp;$C401,'Route of Administration'!$S$5:$S$170,0)),"Not checked – price ≤ USD 5"))</f>
        <v>Not checked – drug is IV only</v>
      </c>
    </row>
    <row r="402" customFormat="false" ht="68.65" hidden="false" customHeight="false" outlineLevel="0" collapsed="false">
      <c r="B402" s="16" t="n">
        <v>400</v>
      </c>
      <c r="C402" s="16" t="s">
        <v>518</v>
      </c>
      <c r="D402" s="16" t="s">
        <v>2318</v>
      </c>
      <c r="E402" s="16" t="s">
        <v>927</v>
      </c>
      <c r="F402" s="16" t="s">
        <v>1740</v>
      </c>
      <c r="G402" s="17" t="s">
        <v>1741</v>
      </c>
      <c r="H402" s="16" t="s">
        <v>1533</v>
      </c>
      <c r="I402" s="18" t="n">
        <v>5.3223</v>
      </c>
      <c r="J402" s="16" t="n">
        <v>30</v>
      </c>
      <c r="K402" s="16" t="n">
        <v>2546</v>
      </c>
      <c r="L402" s="19" t="n">
        <v>46507.62</v>
      </c>
      <c r="M402" s="17" t="s">
        <v>520</v>
      </c>
      <c r="N402" s="18" t="n">
        <v>5.3223</v>
      </c>
      <c r="O402" s="16" t="s">
        <v>1534</v>
      </c>
      <c r="P402" s="16" t="s">
        <v>1700</v>
      </c>
      <c r="Q402" s="17" t="s">
        <v>1536</v>
      </c>
      <c r="R402" s="78" t="s">
        <v>1701</v>
      </c>
      <c r="S402" s="77" t="n">
        <f aca="false">IFERROR(INDEX('Injectable Value'!$Z$28:$Z$178,MATCH($C402,'Injectable Value'!$A$28:$A$178,0)),"")</f>
        <v>0.378228374732698</v>
      </c>
      <c r="T402" s="19" t="n">
        <f aca="false">IFERROR(ROUND(INDEX('Injectable Value'!$AA$28:$AA$178,MATCH($C402,'Injectable Value'!$A$28:$A$178,0)),1),"")</f>
        <v>17590.5</v>
      </c>
      <c r="U402" s="17" t="s">
        <v>1104</v>
      </c>
      <c r="V402" s="16" t="n">
        <v>27</v>
      </c>
      <c r="W402" s="16" t="s">
        <v>342</v>
      </c>
      <c r="X402" s="16" t="s">
        <v>349</v>
      </c>
      <c r="Y402" s="16" t="s">
        <v>283</v>
      </c>
      <c r="Z402" s="17" t="str">
        <f aca="false">IFERROR(INDEX(Scoring!$U:$U,MATCH($C402&amp;"|"&amp;$E402,Scoring!$AD:$AD,0)),"")</f>
        <v/>
      </c>
      <c r="AA402" s="16" t="str">
        <f aca="false">IFERROR(INDEX(Scoring!$E:$E,MATCH($C402&amp;"|"&amp;$E402,Scoring!$AD:$AD,0)),"")</f>
        <v>Priority 2</v>
      </c>
      <c r="AB402" s="19" t="n">
        <f aca="false">IFERROR(INDEX(Scoring!$M:$M,MATCH($C402&amp;"|"&amp;$E402,Scoring!$AD:$AD,0)),"")</f>
        <v>963</v>
      </c>
      <c r="AC402" s="16" t="str">
        <f aca="false">IFERROR(INDEX('Route of Administration'!$C$5:$C$155,MATCH($C402,'Route of Administration'!$A$5:$A$155,0)),"")</f>
        <v>IV, IM</v>
      </c>
      <c r="AD402" s="15" t="str">
        <f aca="false">IFERROR(INDEX('Route of Administration'!$D$5:$D$155,MATCH($C402,'Route of Administration'!$A$5:$A$155,0)),"")</f>
        <v>Yes</v>
      </c>
      <c r="AE402" s="15" t="str">
        <f aca="false">IF($AD402="No","Not checked – drug is IV only",IFERROR(INDEX('Route of Administration'!$O$5:$O$170,MATCH($E402&amp;"|"&amp;$C402,'Route of Administration'!$S$5:$S$170,0)),"Not checked – price ≤ USD 5"))</f>
        <v>Pass</v>
      </c>
    </row>
    <row r="403" customFormat="false" ht="68.65" hidden="false" customHeight="false" outlineLevel="0" collapsed="false">
      <c r="B403" s="16" t="n">
        <v>401</v>
      </c>
      <c r="C403" s="16" t="s">
        <v>518</v>
      </c>
      <c r="D403" s="16" t="s">
        <v>2318</v>
      </c>
      <c r="E403" s="16" t="s">
        <v>927</v>
      </c>
      <c r="F403" s="16" t="s">
        <v>1740</v>
      </c>
      <c r="G403" s="17" t="s">
        <v>1741</v>
      </c>
      <c r="H403" s="16" t="s">
        <v>1533</v>
      </c>
      <c r="I403" s="18" t="n">
        <v>5.3223</v>
      </c>
      <c r="J403" s="16" t="n">
        <v>28</v>
      </c>
      <c r="K403" s="16" t="n">
        <v>2546</v>
      </c>
      <c r="L403" s="19" t="n">
        <v>46507.62</v>
      </c>
      <c r="M403" s="17" t="s">
        <v>520</v>
      </c>
      <c r="N403" s="18" t="n">
        <v>5.3223</v>
      </c>
      <c r="O403" s="16" t="s">
        <v>1534</v>
      </c>
      <c r="P403" s="16" t="s">
        <v>1700</v>
      </c>
      <c r="Q403" s="17" t="s">
        <v>1536</v>
      </c>
      <c r="R403" s="78" t="s">
        <v>1701</v>
      </c>
      <c r="S403" s="77" t="n">
        <f aca="false">IFERROR(INDEX('Injectable Value'!$Z$28:$Z$178,MATCH($C403,'Injectable Value'!$A$28:$A$178,0)),"")</f>
        <v>0.378228374732698</v>
      </c>
      <c r="T403" s="19" t="n">
        <f aca="false">IFERROR(ROUND(INDEX('Injectable Value'!$AA$28:$AA$178,MATCH($C403,'Injectable Value'!$A$28:$A$178,0)),1),"")</f>
        <v>17590.5</v>
      </c>
      <c r="U403" s="17" t="s">
        <v>1104</v>
      </c>
      <c r="V403" s="16" t="n">
        <v>27</v>
      </c>
      <c r="W403" s="16" t="s">
        <v>342</v>
      </c>
      <c r="X403" s="16" t="s">
        <v>349</v>
      </c>
      <c r="Y403" s="16" t="s">
        <v>283</v>
      </c>
      <c r="Z403" s="17" t="str">
        <f aca="false">IFERROR(INDEX(Scoring!$U:$U,MATCH($C403&amp;"|"&amp;$E403,Scoring!$AD:$AD,0)),"")</f>
        <v/>
      </c>
      <c r="AA403" s="16" t="str">
        <f aca="false">IFERROR(INDEX(Scoring!$E:$E,MATCH($C403&amp;"|"&amp;$E403,Scoring!$AD:$AD,0)),"")</f>
        <v>Priority 2</v>
      </c>
      <c r="AB403" s="19" t="n">
        <f aca="false">IFERROR(INDEX(Scoring!$M:$M,MATCH($C403&amp;"|"&amp;$E403,Scoring!$AD:$AD,0)),"")</f>
        <v>963</v>
      </c>
      <c r="AC403" s="16" t="str">
        <f aca="false">IFERROR(INDEX('Route of Administration'!$C$5:$C$155,MATCH($C403,'Route of Administration'!$A$5:$A$155,0)),"")</f>
        <v>IV, IM</v>
      </c>
      <c r="AD403" s="15" t="str">
        <f aca="false">IFERROR(INDEX('Route of Administration'!$D$5:$D$155,MATCH($C403,'Route of Administration'!$A$5:$A$155,0)),"")</f>
        <v>Yes</v>
      </c>
      <c r="AE403" s="15" t="str">
        <f aca="false">IF($AD403="No","Not checked – drug is IV only",IFERROR(INDEX('Route of Administration'!$O$5:$O$170,MATCH($E403&amp;"|"&amp;$C403,'Route of Administration'!$S$5:$S$170,0)),"Not checked – price ≤ USD 5"))</f>
        <v>Pass</v>
      </c>
    </row>
    <row r="404" customFormat="false" ht="82.05" hidden="false" customHeight="false" outlineLevel="0" collapsed="false">
      <c r="B404" s="16" t="n">
        <v>402</v>
      </c>
      <c r="C404" s="16" t="s">
        <v>529</v>
      </c>
      <c r="D404" s="16" t="s">
        <v>2209</v>
      </c>
      <c r="E404" s="16" t="s">
        <v>927</v>
      </c>
      <c r="F404" s="16" t="s">
        <v>1971</v>
      </c>
      <c r="G404" s="17" t="s">
        <v>1719</v>
      </c>
      <c r="H404" s="16" t="s">
        <v>1533</v>
      </c>
      <c r="I404" s="18" t="n">
        <v>96.9427</v>
      </c>
      <c r="J404" s="16" t="n">
        <v>27</v>
      </c>
      <c r="K404" s="16" t="n">
        <v>119</v>
      </c>
      <c r="L404" s="19" t="n">
        <v>3113.83</v>
      </c>
      <c r="M404" s="17" t="s">
        <v>531</v>
      </c>
      <c r="N404" s="18" t="n">
        <v>96.9427</v>
      </c>
      <c r="O404" s="16" t="s">
        <v>1534</v>
      </c>
      <c r="P404" s="16" t="s">
        <v>1700</v>
      </c>
      <c r="Q404" s="17" t="s">
        <v>1536</v>
      </c>
      <c r="R404" s="78" t="s">
        <v>1701</v>
      </c>
      <c r="S404" s="77" t="n">
        <f aca="false">IFERROR(INDEX('Injectable Value'!$Z$28:$Z$178,MATCH($C404,'Injectable Value'!$A$28:$A$178,0)),"")</f>
        <v>0.899884259259259</v>
      </c>
      <c r="T404" s="19" t="n">
        <f aca="false">IFERROR(ROUND(INDEX('Injectable Value'!$AA$28:$AA$178,MATCH($C404,'Injectable Value'!$A$28:$A$178,0)),1),"")</f>
        <v>2802.1</v>
      </c>
      <c r="U404" s="17" t="s">
        <v>1114</v>
      </c>
      <c r="V404" s="16" t="n">
        <v>32</v>
      </c>
      <c r="W404" s="16" t="s">
        <v>456</v>
      </c>
      <c r="X404" s="16" t="s">
        <v>281</v>
      </c>
      <c r="Y404" s="16" t="s">
        <v>283</v>
      </c>
      <c r="Z404" s="17" t="str">
        <f aca="false">IFERROR(INDEX(Scoring!$U:$U,MATCH($C404&amp;"|"&amp;$E404,Scoring!$AD:$AD,0)),"")</f>
        <v/>
      </c>
      <c r="AA404" s="16" t="str">
        <f aca="false">IFERROR(INDEX(Scoring!$E:$E,MATCH($C404&amp;"|"&amp;$E404,Scoring!$AD:$AD,0)),"")</f>
        <v>Excluded – IV only</v>
      </c>
      <c r="AB404" s="19" t="n">
        <f aca="false">IFERROR(INDEX(Scoring!$M:$M,MATCH($C404&amp;"|"&amp;$E404,Scoring!$AD:$AD,0)),"")</f>
        <v>107</v>
      </c>
      <c r="AC404" s="16" t="str">
        <f aca="false">IFERROR(INDEX('Route of Administration'!$C$5:$C$155,MATCH($C404,'Route of Administration'!$A$5:$A$155,0)),"")</f>
        <v>IV</v>
      </c>
      <c r="AD404" s="15" t="str">
        <f aca="false">IFERROR(INDEX('Route of Administration'!$D$5:$D$155,MATCH($C404,'Route of Administration'!$A$5:$A$155,0)),"")</f>
        <v>No</v>
      </c>
      <c r="AE404" s="15" t="str">
        <f aca="false">IF($AD404="No","Not checked – drug is IV only",IFERROR(INDEX('Route of Administration'!$O$5:$O$170,MATCH($E404&amp;"|"&amp;$C404,'Route of Administration'!$S$5:$S$170,0)),"Not checked – price ≤ USD 5"))</f>
        <v>Not checked – drug is IV only</v>
      </c>
    </row>
    <row r="405" customFormat="false" ht="41.75" hidden="false" customHeight="false" outlineLevel="0" collapsed="false">
      <c r="B405" s="16" t="n">
        <v>403</v>
      </c>
      <c r="C405" s="16" t="s">
        <v>534</v>
      </c>
      <c r="D405" s="16" t="s">
        <v>2319</v>
      </c>
      <c r="E405" s="16" t="s">
        <v>927</v>
      </c>
      <c r="F405" s="16" t="s">
        <v>2043</v>
      </c>
      <c r="G405" s="17" t="s">
        <v>2021</v>
      </c>
      <c r="H405" s="16" t="s">
        <v>1533</v>
      </c>
      <c r="I405" s="18" t="n">
        <v>5.5596</v>
      </c>
      <c r="J405" s="16" t="n">
        <v>31</v>
      </c>
      <c r="K405" s="16" t="n">
        <v>3515</v>
      </c>
      <c r="L405" s="19" t="n">
        <v>140084.73</v>
      </c>
      <c r="M405" s="17" t="s">
        <v>535</v>
      </c>
      <c r="N405" s="18" t="n">
        <v>5.5596</v>
      </c>
      <c r="O405" s="16" t="s">
        <v>1534</v>
      </c>
      <c r="P405" s="16" t="s">
        <v>1561</v>
      </c>
      <c r="Q405" s="17" t="s">
        <v>1536</v>
      </c>
      <c r="R405" s="78" t="s">
        <v>1701</v>
      </c>
      <c r="S405" s="77" t="n">
        <f aca="false">IFERROR(INDEX('Injectable Value'!$Z$28:$Z$178,MATCH($C405,'Injectable Value'!$A$28:$A$178,0)),"")</f>
        <v>0.251824206147514</v>
      </c>
      <c r="T405" s="19" t="n">
        <f aca="false">IFERROR(ROUND(INDEX('Injectable Value'!$AA$28:$AA$178,MATCH($C405,'Injectable Value'!$A$28:$A$178,0)),1),"")</f>
        <v>35276.7</v>
      </c>
      <c r="U405" s="17" t="s">
        <v>1118</v>
      </c>
      <c r="V405" s="16" t="n">
        <v>14</v>
      </c>
      <c r="W405" s="16" t="s">
        <v>1117</v>
      </c>
      <c r="X405" s="16" t="s">
        <v>281</v>
      </c>
      <c r="Y405" s="16" t="s">
        <v>333</v>
      </c>
      <c r="Z405" s="17" t="str">
        <f aca="false">IFERROR(INDEX(Scoring!$U:$U,MATCH($C405&amp;"|"&amp;$E405,Scoring!$AD:$AD,0)),"")</f>
        <v>Reconstitution</v>
      </c>
      <c r="AA405" s="16" t="str">
        <f aca="false">IFERROR(INDEX(Scoring!$E:$E,MATCH($C405&amp;"|"&amp;$E405,Scoring!$AD:$AD,0)),"")</f>
        <v>Excluded – IV only</v>
      </c>
      <c r="AB405" s="19" t="n">
        <f aca="false">IFERROR(INDEX(Scoring!$M:$M,MATCH($C405&amp;"|"&amp;$E405,Scoring!$AD:$AD,0)),"")</f>
        <v>885</v>
      </c>
      <c r="AC405" s="16" t="str">
        <f aca="false">IFERROR(INDEX('Route of Administration'!$C$5:$C$155,MATCH($C405,'Route of Administration'!$A$5:$A$155,0)),"")</f>
        <v>IV</v>
      </c>
      <c r="AD405" s="15" t="str">
        <f aca="false">IFERROR(INDEX('Route of Administration'!$D$5:$D$155,MATCH($C405,'Route of Administration'!$A$5:$A$155,0)),"")</f>
        <v>No</v>
      </c>
      <c r="AE405" s="15" t="str">
        <f aca="false">IF($AD405="No","Not checked – drug is IV only",IFERROR(INDEX('Route of Administration'!$O$5:$O$170,MATCH($E405&amp;"|"&amp;$C405,'Route of Administration'!$S$5:$S$170,0)),"Not checked – price ≤ USD 5"))</f>
        <v>Not checked – drug is IV only</v>
      </c>
    </row>
    <row r="406" customFormat="false" ht="28.35" hidden="false" customHeight="false" outlineLevel="0" collapsed="false">
      <c r="B406" s="16" t="n">
        <v>404</v>
      </c>
      <c r="C406" s="16" t="s">
        <v>1133</v>
      </c>
      <c r="D406" s="16" t="s">
        <v>1134</v>
      </c>
      <c r="E406" s="16" t="s">
        <v>927</v>
      </c>
      <c r="F406" s="16" t="s">
        <v>2320</v>
      </c>
      <c r="G406" s="17"/>
      <c r="H406" s="16"/>
      <c r="I406" s="18"/>
      <c r="J406" s="16" t="n">
        <v>20</v>
      </c>
      <c r="K406" s="16" t="n">
        <v>627</v>
      </c>
      <c r="L406" s="19" t="n">
        <v>6050.02</v>
      </c>
      <c r="M406" s="17" t="s">
        <v>1135</v>
      </c>
      <c r="N406" s="82" t="n">
        <v>4.49</v>
      </c>
      <c r="O406" s="64" t="s">
        <v>1541</v>
      </c>
      <c r="P406" s="16" t="s">
        <v>1535</v>
      </c>
      <c r="Q406" s="17" t="s">
        <v>2321</v>
      </c>
      <c r="R406" s="78" t="s">
        <v>2322</v>
      </c>
      <c r="S406" s="77" t="n">
        <f aca="false">IFERROR(INDEX('Injectable Value'!$Z$28:$Z$178,MATCH($C406,'Injectable Value'!$A$28:$A$178,0)),"")</f>
        <v>0.332148543177955</v>
      </c>
      <c r="T406" s="19" t="n">
        <f aca="false">IFERROR(ROUND(INDEX('Injectable Value'!$AA$28:$AA$178,MATCH($C406,'Injectable Value'!$A$28:$A$178,0)),1),"")</f>
        <v>2009.5</v>
      </c>
      <c r="U406" s="17" t="s">
        <v>933</v>
      </c>
      <c r="V406" s="16" t="n">
        <v>2</v>
      </c>
      <c r="W406" s="16" t="s">
        <v>912</v>
      </c>
      <c r="X406" s="16" t="s">
        <v>310</v>
      </c>
      <c r="Y406" s="16" t="s">
        <v>283</v>
      </c>
      <c r="Z406" s="17" t="str">
        <f aca="false">IFERROR(INDEX(Scoring!$U:$U,MATCH($C406&amp;"|"&amp;$E406,Scoring!$AD:$AD,0)),"")</f>
        <v/>
      </c>
      <c r="AA406" s="16" t="str">
        <f aca="false">IFERROR(INDEX(Scoring!$E:$E,MATCH($C406&amp;"|"&amp;$E406,Scoring!$AD:$AD,0)),"")</f>
        <v>Excluded – price ≤ USD 5</v>
      </c>
      <c r="AB406" s="19" t="n">
        <f aca="false">IFERROR(INDEX(Scoring!$M:$M,MATCH($C406&amp;"|"&amp;$E406,Scoring!$AD:$AD,0)),"")</f>
        <v>208</v>
      </c>
      <c r="AC406" s="16" t="str">
        <f aca="false">IFERROR(INDEX('Route of Administration'!$C$5:$C$155,MATCH($C406,'Route of Administration'!$A$5:$A$155,0)),"")</f>
        <v>IV, IM</v>
      </c>
      <c r="AD406" s="15" t="str">
        <f aca="false">IFERROR(INDEX('Route of Administration'!$D$5:$D$155,MATCH($C406,'Route of Administration'!$A$5:$A$155,0)),"")</f>
        <v>Yes</v>
      </c>
      <c r="AE406" s="15" t="str">
        <f aca="false">IF($AD406="No","Not checked – drug is IV only",IFERROR(INDEX('Route of Administration'!$O$5:$O$170,MATCH($E406&amp;"|"&amp;$C406,'Route of Administration'!$S$5:$S$170,0)),"Not checked – price ≤ USD 5"))</f>
        <v>Not checked – price ≤ USD 5</v>
      </c>
    </row>
    <row r="407" customFormat="false" ht="82.05" hidden="false" customHeight="false" outlineLevel="0" collapsed="false">
      <c r="B407" s="16" t="n">
        <v>405</v>
      </c>
      <c r="C407" s="16" t="s">
        <v>541</v>
      </c>
      <c r="D407" s="16" t="s">
        <v>2323</v>
      </c>
      <c r="E407" s="16" t="s">
        <v>927</v>
      </c>
      <c r="F407" s="16" t="s">
        <v>1743</v>
      </c>
      <c r="G407" s="17" t="s">
        <v>1687</v>
      </c>
      <c r="H407" s="16" t="s">
        <v>1533</v>
      </c>
      <c r="I407" s="18" t="n">
        <v>7322.4226</v>
      </c>
      <c r="J407" s="16" t="n">
        <v>25</v>
      </c>
      <c r="K407" s="16" t="n">
        <v>47</v>
      </c>
      <c r="L407" s="19" t="n">
        <v>7904.67</v>
      </c>
      <c r="M407" s="17" t="s">
        <v>543</v>
      </c>
      <c r="N407" s="18" t="n">
        <v>7322.4226</v>
      </c>
      <c r="O407" s="16" t="s">
        <v>1534</v>
      </c>
      <c r="P407" s="16" t="s">
        <v>1700</v>
      </c>
      <c r="Q407" s="17" t="s">
        <v>1536</v>
      </c>
      <c r="R407" s="78" t="s">
        <v>1701</v>
      </c>
      <c r="S407" s="77" t="n">
        <f aca="false">IFERROR(INDEX('Injectable Value'!$Z$28:$Z$178,MATCH($C407,'Injectable Value'!$A$28:$A$178,0)),"")</f>
        <v>1</v>
      </c>
      <c r="T407" s="19" t="n">
        <f aca="false">IFERROR(ROUND(INDEX('Injectable Value'!$AA$28:$AA$178,MATCH($C407,'Injectable Value'!$A$28:$A$178,0)),1),"")</f>
        <v>7904.7</v>
      </c>
      <c r="U407" s="17" t="s">
        <v>949</v>
      </c>
      <c r="V407" s="16" t="n">
        <v>32</v>
      </c>
      <c r="W407" s="16" t="s">
        <v>456</v>
      </c>
      <c r="X407" s="16" t="s">
        <v>281</v>
      </c>
      <c r="Y407" s="16" t="s">
        <v>283</v>
      </c>
      <c r="Z407" s="17" t="str">
        <f aca="false">IFERROR(INDEX(Scoring!$U:$U,MATCH($C407&amp;"|"&amp;$E407,Scoring!$AD:$AD,0)),"")</f>
        <v/>
      </c>
      <c r="AA407" s="16" t="str">
        <f aca="false">IFERROR(INDEX(Scoring!$E:$E,MATCH($C407&amp;"|"&amp;$E407,Scoring!$AD:$AD,0)),"")</f>
        <v>Priority 2</v>
      </c>
      <c r="AB407" s="19" t="n">
        <f aca="false">IFERROR(INDEX(Scoring!$M:$M,MATCH($C407&amp;"|"&amp;$E407,Scoring!$AD:$AD,0)),"")</f>
        <v>47</v>
      </c>
      <c r="AC407" s="16" t="str">
        <f aca="false">IFERROR(INDEX('Route of Administration'!$C$5:$C$155,MATCH($C407,'Route of Administration'!$A$5:$A$155,0)),"")</f>
        <v>SC</v>
      </c>
      <c r="AD407" s="15" t="str">
        <f aca="false">IFERROR(INDEX('Route of Administration'!$D$5:$D$155,MATCH($C407,'Route of Administration'!$A$5:$A$155,0)),"")</f>
        <v>Yes</v>
      </c>
      <c r="AE407" s="15" t="str">
        <f aca="false">IF($AD407="No","Not checked – drug is IV only",IFERROR(INDEX('Route of Administration'!$O$5:$O$170,MATCH($E407&amp;"|"&amp;$C407,'Route of Administration'!$S$5:$S$170,0)),"Not checked – price ≤ USD 5"))</f>
        <v>Pass</v>
      </c>
    </row>
    <row r="408" customFormat="false" ht="41.75" hidden="false" customHeight="false" outlineLevel="0" collapsed="false">
      <c r="B408" s="16" t="n">
        <v>406</v>
      </c>
      <c r="C408" s="16" t="s">
        <v>910</v>
      </c>
      <c r="D408" s="16" t="s">
        <v>1146</v>
      </c>
      <c r="E408" s="16" t="s">
        <v>927</v>
      </c>
      <c r="F408" s="16" t="s">
        <v>2144</v>
      </c>
      <c r="G408" s="17" t="s">
        <v>2324</v>
      </c>
      <c r="H408" s="16" t="s">
        <v>1533</v>
      </c>
      <c r="I408" s="18" t="n">
        <v>5.0963</v>
      </c>
      <c r="J408" s="16" t="n">
        <v>30</v>
      </c>
      <c r="K408" s="16" t="n">
        <v>264</v>
      </c>
      <c r="L408" s="19" t="n">
        <v>20408.58</v>
      </c>
      <c r="M408" s="17" t="s">
        <v>596</v>
      </c>
      <c r="N408" s="18" t="n">
        <v>5.0963</v>
      </c>
      <c r="O408" s="16" t="s">
        <v>1534</v>
      </c>
      <c r="P408" s="16" t="s">
        <v>1535</v>
      </c>
      <c r="Q408" s="17" t="s">
        <v>1536</v>
      </c>
      <c r="R408" s="78" t="s">
        <v>1701</v>
      </c>
      <c r="S408" s="77" t="n">
        <f aca="false">IFERROR(INDEX('Injectable Value'!$Z$28:$Z$178,MATCH($C408,'Injectable Value'!$A$28:$A$178,0)),"")</f>
        <v>0.989010989010989</v>
      </c>
      <c r="T408" s="19" t="n">
        <f aca="false">IFERROR(ROUND(INDEX('Injectable Value'!$AA$28:$AA$178,MATCH($C408,'Injectable Value'!$A$28:$A$178,0)),1),"")</f>
        <v>20184.3</v>
      </c>
      <c r="U408" s="17" t="s">
        <v>1148</v>
      </c>
      <c r="V408" s="16" t="n">
        <v>12</v>
      </c>
      <c r="W408" s="16" t="s">
        <v>351</v>
      </c>
      <c r="X408" s="16" t="s">
        <v>349</v>
      </c>
      <c r="Y408" s="16" t="s">
        <v>283</v>
      </c>
      <c r="Z408" s="17" t="str">
        <f aca="false">IFERROR(INDEX(Scoring!$U:$U,MATCH($C408&amp;"|"&amp;$E408,Scoring!$AD:$AD,0)),"")</f>
        <v/>
      </c>
      <c r="AA408" s="16" t="str">
        <f aca="false">IFERROR(INDEX(Scoring!$E:$E,MATCH($C408&amp;"|"&amp;$E408,Scoring!$AD:$AD,0)),"")</f>
        <v>Excluded – IV only</v>
      </c>
      <c r="AB408" s="19" t="n">
        <f aca="false">IFERROR(INDEX(Scoring!$M:$M,MATCH($C408&amp;"|"&amp;$E408,Scoring!$AD:$AD,0)),"")</f>
        <v>261</v>
      </c>
      <c r="AC408" s="16" t="str">
        <f aca="false">IFERROR(INDEX('Route of Administration'!$C$5:$C$155,MATCH($C408,'Route of Administration'!$A$5:$A$155,0)),"")</f>
        <v>IV</v>
      </c>
      <c r="AD408" s="15" t="str">
        <f aca="false">IFERROR(INDEX('Route of Administration'!$D$5:$D$155,MATCH($C408,'Route of Administration'!$A$5:$A$155,0)),"")</f>
        <v>No</v>
      </c>
      <c r="AE408" s="15" t="str">
        <f aca="false">IF($AD408="No","Not checked – drug is IV only",IFERROR(INDEX('Route of Administration'!$O$5:$O$170,MATCH($E408&amp;"|"&amp;$C408,'Route of Administration'!$S$5:$S$170,0)),"Not checked – price ≤ USD 5"))</f>
        <v>Not checked – drug is IV only</v>
      </c>
    </row>
    <row r="409" customFormat="false" ht="55.2" hidden="false" customHeight="false" outlineLevel="0" collapsed="false">
      <c r="B409" s="16" t="n">
        <v>407</v>
      </c>
      <c r="C409" s="16" t="s">
        <v>665</v>
      </c>
      <c r="D409" s="16" t="s">
        <v>2325</v>
      </c>
      <c r="E409" s="16" t="s">
        <v>927</v>
      </c>
      <c r="F409" s="16" t="s">
        <v>1972</v>
      </c>
      <c r="G409" s="17" t="s">
        <v>1887</v>
      </c>
      <c r="H409" s="16" t="s">
        <v>1533</v>
      </c>
      <c r="I409" s="18" t="n">
        <v>92.0498</v>
      </c>
      <c r="J409" s="16" t="n">
        <v>31</v>
      </c>
      <c r="K409" s="16" t="n">
        <v>346</v>
      </c>
      <c r="L409" s="19" t="n">
        <v>32830.17</v>
      </c>
      <c r="M409" s="17" t="s">
        <v>667</v>
      </c>
      <c r="N409" s="18" t="n">
        <v>92.0498</v>
      </c>
      <c r="O409" s="16" t="s">
        <v>1534</v>
      </c>
      <c r="P409" s="16" t="s">
        <v>1700</v>
      </c>
      <c r="Q409" s="17" t="s">
        <v>1536</v>
      </c>
      <c r="R409" s="78" t="s">
        <v>1701</v>
      </c>
      <c r="S409" s="77" t="n">
        <f aca="false">IFERROR(INDEX('Injectable Value'!$Z$28:$Z$178,MATCH($C409,'Injectable Value'!$A$28:$A$178,0)),"")</f>
        <v>1</v>
      </c>
      <c r="T409" s="19" t="n">
        <f aca="false">IFERROR(ROUND(INDEX('Injectable Value'!$AA$28:$AA$178,MATCH($C409,'Injectable Value'!$A$28:$A$178,0)),1),"")</f>
        <v>32830.2</v>
      </c>
      <c r="U409" s="17" t="s">
        <v>1154</v>
      </c>
      <c r="V409" s="16" t="n">
        <v>21</v>
      </c>
      <c r="W409" s="16" t="s">
        <v>971</v>
      </c>
      <c r="X409" s="16" t="s">
        <v>281</v>
      </c>
      <c r="Y409" s="16" t="s">
        <v>283</v>
      </c>
      <c r="Z409" s="17" t="str">
        <f aca="false">IFERROR(INDEX(Scoring!$U:$U,MATCH($C409&amp;"|"&amp;$E409,Scoring!$AD:$AD,0)),"")</f>
        <v/>
      </c>
      <c r="AA409" s="16" t="str">
        <f aca="false">IFERROR(INDEX(Scoring!$E:$E,MATCH($C409&amp;"|"&amp;$E409,Scoring!$AD:$AD,0)),"")</f>
        <v>Excluded – IV only</v>
      </c>
      <c r="AB409" s="19" t="n">
        <f aca="false">IFERROR(INDEX(Scoring!$M:$M,MATCH($C409&amp;"|"&amp;$E409,Scoring!$AD:$AD,0)),"")</f>
        <v>346</v>
      </c>
      <c r="AC409" s="16" t="str">
        <f aca="false">IFERROR(INDEX('Route of Administration'!$C$5:$C$155,MATCH($C409,'Route of Administration'!$A$5:$A$155,0)),"")</f>
        <v>IV</v>
      </c>
      <c r="AD409" s="15" t="str">
        <f aca="false">IFERROR(INDEX('Route of Administration'!$D$5:$D$155,MATCH($C409,'Route of Administration'!$A$5:$A$155,0)),"")</f>
        <v>No</v>
      </c>
      <c r="AE409" s="15" t="str">
        <f aca="false">IF($AD409="No","Not checked – drug is IV only",IFERROR(INDEX('Route of Administration'!$O$5:$O$170,MATCH($E409&amp;"|"&amp;$C409,'Route of Administration'!$S$5:$S$170,0)),"Not checked – price ≤ USD 5"))</f>
        <v>Not checked – drug is IV only</v>
      </c>
    </row>
    <row r="410" customFormat="false" ht="28.35" hidden="false" customHeight="false" outlineLevel="0" collapsed="false">
      <c r="B410" s="16" t="n">
        <v>408</v>
      </c>
      <c r="C410" s="16" t="s">
        <v>671</v>
      </c>
      <c r="D410" s="16" t="s">
        <v>1156</v>
      </c>
      <c r="E410" s="16" t="s">
        <v>927</v>
      </c>
      <c r="F410" s="16" t="s">
        <v>2326</v>
      </c>
      <c r="G410" s="17" t="s">
        <v>2327</v>
      </c>
      <c r="H410" s="16" t="s">
        <v>1533</v>
      </c>
      <c r="I410" s="18" t="n">
        <v>35.2673</v>
      </c>
      <c r="J410" s="16" t="n">
        <v>26</v>
      </c>
      <c r="K410" s="16" t="n">
        <v>106</v>
      </c>
      <c r="L410" s="19" t="n">
        <v>7074.72</v>
      </c>
      <c r="M410" s="17" t="s">
        <v>673</v>
      </c>
      <c r="N410" s="18" t="n">
        <v>35.2673</v>
      </c>
      <c r="O410" s="16" t="s">
        <v>1534</v>
      </c>
      <c r="P410" s="16" t="s">
        <v>1561</v>
      </c>
      <c r="Q410" s="17" t="s">
        <v>1536</v>
      </c>
      <c r="R410" s="78" t="s">
        <v>1715</v>
      </c>
      <c r="S410" s="77" t="n">
        <f aca="false">IFERROR(INDEX('Injectable Value'!$Z$28:$Z$178,MATCH($C410,'Injectable Value'!$A$28:$A$178,0)),"")</f>
        <v>0.9375</v>
      </c>
      <c r="T410" s="19" t="n">
        <f aca="false">IFERROR(ROUND(INDEX('Injectable Value'!$AA$28:$AA$178,MATCH($C410,'Injectable Value'!$A$28:$A$178,0)),1),"")</f>
        <v>6632.6</v>
      </c>
      <c r="U410" s="17" t="s">
        <v>1158</v>
      </c>
      <c r="V410" s="16" t="n">
        <v>3</v>
      </c>
      <c r="W410" s="16" t="s">
        <v>112</v>
      </c>
      <c r="X410" s="16" t="s">
        <v>281</v>
      </c>
      <c r="Y410" s="16" t="s">
        <v>333</v>
      </c>
      <c r="Z410" s="17" t="str">
        <f aca="false">IFERROR(INDEX(Scoring!$U:$U,MATCH($C410&amp;"|"&amp;$E410,Scoring!$AD:$AD,0)),"")</f>
        <v>Reconstitution</v>
      </c>
      <c r="AA410" s="16" t="str">
        <f aca="false">IFERROR(INDEX(Scoring!$E:$E,MATCH($C410&amp;"|"&amp;$E410,Scoring!$AD:$AD,0)),"")</f>
        <v>Priority 2</v>
      </c>
      <c r="AB410" s="19" t="n">
        <f aca="false">IFERROR(INDEX(Scoring!$M:$M,MATCH($C410&amp;"|"&amp;$E410,Scoring!$AD:$AD,0)),"")</f>
        <v>99</v>
      </c>
      <c r="AC410" s="16" t="str">
        <f aca="false">IFERROR(INDEX('Route of Administration'!$C$5:$C$155,MATCH($C410,'Route of Administration'!$A$5:$A$155,0)),"")</f>
        <v>IV, IM</v>
      </c>
      <c r="AD410" s="15" t="str">
        <f aca="false">IFERROR(INDEX('Route of Administration'!$D$5:$D$155,MATCH($C410,'Route of Administration'!$A$5:$A$155,0)),"")</f>
        <v>Yes</v>
      </c>
      <c r="AE410" s="15" t="str">
        <f aca="false">IF($AD410="No","Not checked – drug is IV only",IFERROR(INDEX('Route of Administration'!$O$5:$O$170,MATCH($E410&amp;"|"&amp;$C410,'Route of Administration'!$S$5:$S$170,0)),"Not checked – price ≤ USD 5"))</f>
        <v>Pass</v>
      </c>
    </row>
    <row r="411" customFormat="false" ht="55.2" hidden="false" customHeight="false" outlineLevel="0" collapsed="false">
      <c r="B411" s="16" t="n">
        <v>409</v>
      </c>
      <c r="C411" s="16" t="s">
        <v>604</v>
      </c>
      <c r="D411" s="16" t="s">
        <v>2328</v>
      </c>
      <c r="E411" s="16" t="s">
        <v>927</v>
      </c>
      <c r="F411" s="16" t="s">
        <v>2144</v>
      </c>
      <c r="G411" s="17" t="s">
        <v>1719</v>
      </c>
      <c r="H411" s="16" t="s">
        <v>1533</v>
      </c>
      <c r="I411" s="18" t="n">
        <v>113.7345</v>
      </c>
      <c r="J411" s="16" t="n">
        <v>29</v>
      </c>
      <c r="K411" s="16" t="n">
        <v>93</v>
      </c>
      <c r="L411" s="19" t="n">
        <v>528.18</v>
      </c>
      <c r="M411" s="17" t="s">
        <v>606</v>
      </c>
      <c r="N411" s="18" t="n">
        <v>113.7345</v>
      </c>
      <c r="O411" s="16" t="s">
        <v>1534</v>
      </c>
      <c r="P411" s="16" t="s">
        <v>1700</v>
      </c>
      <c r="Q411" s="17" t="s">
        <v>1536</v>
      </c>
      <c r="R411" s="78" t="s">
        <v>1701</v>
      </c>
      <c r="S411" s="77" t="n">
        <f aca="false">IFERROR(INDEX('Injectable Value'!$Z$28:$Z$178,MATCH($C411,'Injectable Value'!$A$28:$A$178,0)),"")</f>
        <v>0.571145833333333</v>
      </c>
      <c r="T411" s="19" t="n">
        <f aca="false">IFERROR(ROUND(INDEX('Injectable Value'!$AA$28:$AA$178,MATCH($C411,'Injectable Value'!$A$28:$A$178,0)),1),"")</f>
        <v>301.7</v>
      </c>
      <c r="U411" s="17" t="s">
        <v>1178</v>
      </c>
      <c r="V411" s="16" t="n">
        <v>22</v>
      </c>
      <c r="W411" s="16" t="s">
        <v>437</v>
      </c>
      <c r="X411" s="16" t="s">
        <v>281</v>
      </c>
      <c r="Y411" s="16" t="s">
        <v>283</v>
      </c>
      <c r="Z411" s="17" t="str">
        <f aca="false">IFERROR(INDEX(Scoring!$U:$U,MATCH($C411&amp;"|"&amp;$E411,Scoring!$AD:$AD,0)),"")</f>
        <v>Cancer drug (cytotoxic) – less relevant</v>
      </c>
      <c r="AA411" s="16" t="str">
        <f aca="false">IFERROR(INDEX(Scoring!$E:$E,MATCH($C411&amp;"|"&amp;$E411,Scoring!$AD:$AD,0)),"")</f>
        <v>Excluded – IV only</v>
      </c>
      <c r="AB411" s="19" t="n">
        <f aca="false">IFERROR(INDEX(Scoring!$M:$M,MATCH($C411&amp;"|"&amp;$E411,Scoring!$AD:$AD,0)),"")</f>
        <v>53</v>
      </c>
      <c r="AC411" s="16" t="str">
        <f aca="false">IFERROR(INDEX('Route of Administration'!$C$5:$C$155,MATCH($C411,'Route of Administration'!$A$5:$A$155,0)),"")</f>
        <v>IV</v>
      </c>
      <c r="AD411" s="15" t="str">
        <f aca="false">IFERROR(INDEX('Route of Administration'!$D$5:$D$155,MATCH($C411,'Route of Administration'!$A$5:$A$155,0)),"")</f>
        <v>No</v>
      </c>
      <c r="AE411" s="15" t="str">
        <f aca="false">IF($AD411="No","Not checked – drug is IV only",IFERROR(INDEX('Route of Administration'!$O$5:$O$170,MATCH($E411&amp;"|"&amp;$C411,'Route of Administration'!$S$5:$S$170,0)),"Not checked – price ≤ USD 5"))</f>
        <v>Not checked – drug is IV only</v>
      </c>
    </row>
    <row r="412" customFormat="false" ht="55.2" hidden="false" customHeight="false" outlineLevel="0" collapsed="false">
      <c r="B412" s="16" t="n">
        <v>410</v>
      </c>
      <c r="C412" s="16" t="s">
        <v>604</v>
      </c>
      <c r="D412" s="16" t="s">
        <v>2329</v>
      </c>
      <c r="E412" s="16" t="s">
        <v>927</v>
      </c>
      <c r="F412" s="16" t="s">
        <v>2144</v>
      </c>
      <c r="G412" s="17" t="s">
        <v>1719</v>
      </c>
      <c r="H412" s="16" t="s">
        <v>1533</v>
      </c>
      <c r="I412" s="18" t="n">
        <v>113.7345</v>
      </c>
      <c r="J412" s="16" t="n">
        <v>21</v>
      </c>
      <c r="K412" s="16" t="n">
        <v>93</v>
      </c>
      <c r="L412" s="19" t="n">
        <v>528.18</v>
      </c>
      <c r="M412" s="17" t="s">
        <v>606</v>
      </c>
      <c r="N412" s="18" t="n">
        <v>113.7345</v>
      </c>
      <c r="O412" s="16" t="s">
        <v>1534</v>
      </c>
      <c r="P412" s="16" t="s">
        <v>1700</v>
      </c>
      <c r="Q412" s="17" t="s">
        <v>1536</v>
      </c>
      <c r="R412" s="78" t="s">
        <v>1701</v>
      </c>
      <c r="S412" s="77" t="n">
        <f aca="false">IFERROR(INDEX('Injectable Value'!$Z$28:$Z$178,MATCH($C412,'Injectable Value'!$A$28:$A$178,0)),"")</f>
        <v>0.571145833333333</v>
      </c>
      <c r="T412" s="19" t="n">
        <f aca="false">IFERROR(ROUND(INDEX('Injectable Value'!$AA$28:$AA$178,MATCH($C412,'Injectable Value'!$A$28:$A$178,0)),1),"")</f>
        <v>301.7</v>
      </c>
      <c r="U412" s="17" t="s">
        <v>1178</v>
      </c>
      <c r="V412" s="16" t="n">
        <v>22</v>
      </c>
      <c r="W412" s="16" t="s">
        <v>437</v>
      </c>
      <c r="X412" s="16" t="s">
        <v>281</v>
      </c>
      <c r="Y412" s="16" t="s">
        <v>283</v>
      </c>
      <c r="Z412" s="17" t="str">
        <f aca="false">IFERROR(INDEX(Scoring!$U:$U,MATCH($C412&amp;"|"&amp;$E412,Scoring!$AD:$AD,0)),"")</f>
        <v>Cancer drug (cytotoxic) – less relevant</v>
      </c>
      <c r="AA412" s="16" t="str">
        <f aca="false">IFERROR(INDEX(Scoring!$E:$E,MATCH($C412&amp;"|"&amp;$E412,Scoring!$AD:$AD,0)),"")</f>
        <v>Excluded – IV only</v>
      </c>
      <c r="AB412" s="19" t="n">
        <f aca="false">IFERROR(INDEX(Scoring!$M:$M,MATCH($C412&amp;"|"&amp;$E412,Scoring!$AD:$AD,0)),"")</f>
        <v>53</v>
      </c>
      <c r="AC412" s="16" t="str">
        <f aca="false">IFERROR(INDEX('Route of Administration'!$C$5:$C$155,MATCH($C412,'Route of Administration'!$A$5:$A$155,0)),"")</f>
        <v>IV</v>
      </c>
      <c r="AD412" s="15" t="str">
        <f aca="false">IFERROR(INDEX('Route of Administration'!$D$5:$D$155,MATCH($C412,'Route of Administration'!$A$5:$A$155,0)),"")</f>
        <v>No</v>
      </c>
      <c r="AE412" s="15" t="str">
        <f aca="false">IF($AD412="No","Not checked – drug is IV only",IFERROR(INDEX('Route of Administration'!$O$5:$O$170,MATCH($E412&amp;"|"&amp;$C412,'Route of Administration'!$S$5:$S$170,0)),"Not checked – price ≤ USD 5"))</f>
        <v>Not checked – drug is IV only</v>
      </c>
    </row>
    <row r="413" customFormat="false" ht="68.65" hidden="false" customHeight="false" outlineLevel="0" collapsed="false">
      <c r="B413" s="16" t="n">
        <v>411</v>
      </c>
      <c r="C413" s="16" t="s">
        <v>299</v>
      </c>
      <c r="D413" s="16" t="s">
        <v>299</v>
      </c>
      <c r="E413" s="16" t="s">
        <v>927</v>
      </c>
      <c r="F413" s="16" t="s">
        <v>1689</v>
      </c>
      <c r="G413" s="17" t="s">
        <v>2330</v>
      </c>
      <c r="H413" s="16" t="s">
        <v>1533</v>
      </c>
      <c r="I413" s="18" t="n">
        <v>11.2</v>
      </c>
      <c r="J413" s="16" t="n">
        <v>1</v>
      </c>
      <c r="K413" s="16" t="n">
        <v>1282</v>
      </c>
      <c r="L413" s="19" t="n">
        <v>16792.84</v>
      </c>
      <c r="M413" s="17" t="s">
        <v>301</v>
      </c>
      <c r="N413" s="18" t="n">
        <v>11.2</v>
      </c>
      <c r="O413" s="16" t="s">
        <v>1534</v>
      </c>
      <c r="P413" s="16" t="s">
        <v>1700</v>
      </c>
      <c r="Q413" s="17" t="s">
        <v>1536</v>
      </c>
      <c r="R413" s="78" t="s">
        <v>1756</v>
      </c>
      <c r="S413" s="77" t="n">
        <f aca="false">IFERROR(INDEX('Injectable Value'!$Z$28:$Z$178,MATCH($C413,'Injectable Value'!$A$28:$A$178,0)),"")</f>
        <v>0.776857437207773</v>
      </c>
      <c r="T413" s="19" t="n">
        <f aca="false">IFERROR(ROUND(INDEX('Injectable Value'!$AA$28:$AA$178,MATCH($C413,'Injectable Value'!$A$28:$A$178,0)),1),"")</f>
        <v>13045.6</v>
      </c>
      <c r="U413" s="17" t="s">
        <v>1077</v>
      </c>
      <c r="V413" s="16" t="n">
        <v>29</v>
      </c>
      <c r="W413" s="16" t="s">
        <v>537</v>
      </c>
      <c r="X413" s="16" t="s">
        <v>281</v>
      </c>
      <c r="Y413" s="16" t="s">
        <v>283</v>
      </c>
      <c r="Z413" s="17" t="str">
        <f aca="false">IFERROR(INDEX(Scoring!$U:$U,MATCH($C413&amp;"|"&amp;$E413,Scoring!$AD:$AD,0)),"")</f>
        <v>Cancer drug (cytotoxic) – less relevant</v>
      </c>
      <c r="AA413" s="16" t="str">
        <f aca="false">IFERROR(INDEX(Scoring!$E:$E,MATCH($C413&amp;"|"&amp;$E413,Scoring!$AD:$AD,0)),"")</f>
        <v>Priority 1</v>
      </c>
      <c r="AB413" s="19" t="n">
        <f aca="false">IFERROR(INDEX(Scoring!$M:$M,MATCH($C413&amp;"|"&amp;$E413,Scoring!$AD:$AD,0)),"")</f>
        <v>996</v>
      </c>
      <c r="AC413" s="16" t="str">
        <f aca="false">IFERROR(INDEX('Route of Administration'!$C$5:$C$155,MATCH($C413,'Route of Administration'!$A$5:$A$155,0)),"")</f>
        <v>IV, IM, SC</v>
      </c>
      <c r="AD413" s="15" t="str">
        <f aca="false">IFERROR(INDEX('Route of Administration'!$D$5:$D$155,MATCH($C413,'Route of Administration'!$A$5:$A$155,0)),"")</f>
        <v>Yes</v>
      </c>
      <c r="AE413" s="15" t="str">
        <f aca="false">IF($AD413="No","Not checked – drug is IV only",IFERROR(INDEX('Route of Administration'!$O$5:$O$170,MATCH($E413&amp;"|"&amp;$C413,'Route of Administration'!$S$5:$S$170,0)),"Not checked – price ≤ USD 5"))</f>
        <v>Pass</v>
      </c>
    </row>
    <row r="414" customFormat="false" ht="95.5" hidden="false" customHeight="false" outlineLevel="0" collapsed="false">
      <c r="B414" s="16" t="n">
        <v>412</v>
      </c>
      <c r="C414" s="16" t="s">
        <v>394</v>
      </c>
      <c r="D414" s="16" t="s">
        <v>394</v>
      </c>
      <c r="E414" s="16" t="s">
        <v>927</v>
      </c>
      <c r="F414" s="16" t="s">
        <v>1695</v>
      </c>
      <c r="G414" s="17" t="s">
        <v>2331</v>
      </c>
      <c r="H414" s="16" t="s">
        <v>1533</v>
      </c>
      <c r="I414" s="18" t="n">
        <v>35</v>
      </c>
      <c r="J414" s="16" t="n">
        <v>1</v>
      </c>
      <c r="K414" s="16" t="n">
        <v>1644</v>
      </c>
      <c r="L414" s="19" t="n">
        <v>41889.23</v>
      </c>
      <c r="M414" s="17" t="s">
        <v>396</v>
      </c>
      <c r="N414" s="18" t="n">
        <v>35</v>
      </c>
      <c r="O414" s="16" t="s">
        <v>1534</v>
      </c>
      <c r="P414" s="16" t="s">
        <v>1535</v>
      </c>
      <c r="Q414" s="17" t="s">
        <v>1536</v>
      </c>
      <c r="R414" s="78" t="s">
        <v>2332</v>
      </c>
      <c r="S414" s="77" t="n">
        <f aca="false">IFERROR(INDEX('Injectable Value'!$Z$28:$Z$178,MATCH($C414,'Injectable Value'!$A$28:$A$178,0)),"")</f>
        <v>0.990783410138249</v>
      </c>
      <c r="T414" s="19" t="n">
        <f aca="false">IFERROR(ROUND(INDEX('Injectable Value'!$AA$28:$AA$178,MATCH($C414,'Injectable Value'!$A$28:$A$178,0)),1),"")</f>
        <v>41503.2</v>
      </c>
      <c r="U414" s="17" t="s">
        <v>1010</v>
      </c>
      <c r="V414" s="16" t="n">
        <v>34</v>
      </c>
      <c r="W414" s="16" t="s">
        <v>1009</v>
      </c>
      <c r="X414" s="16" t="s">
        <v>281</v>
      </c>
      <c r="Y414" s="16" t="s">
        <v>283</v>
      </c>
      <c r="Z414" s="17" t="str">
        <f aca="false">IFERROR(INDEX(Scoring!$U:$U,MATCH($C414&amp;"|"&amp;$E414,Scoring!$AD:$AD,0)),"")</f>
        <v>Cancer drug (cytotoxic) – less relevant</v>
      </c>
      <c r="AA414" s="16" t="str">
        <f aca="false">IFERROR(INDEX(Scoring!$E:$E,MATCH($C414&amp;"|"&amp;$E414,Scoring!$AD:$AD,0)),"")</f>
        <v>Excluded – IV only</v>
      </c>
      <c r="AB414" s="19" t="n">
        <f aca="false">IFERROR(INDEX(Scoring!$M:$M,MATCH($C414&amp;"|"&amp;$E414,Scoring!$AD:$AD,0)),"")</f>
        <v>1629</v>
      </c>
      <c r="AC414" s="16" t="str">
        <f aca="false">IFERROR(INDEX('Route of Administration'!$C$5:$C$155,MATCH($C414,'Route of Administration'!$A$5:$A$155,0)),"")</f>
        <v>IV</v>
      </c>
      <c r="AD414" s="15" t="str">
        <f aca="false">IFERROR(INDEX('Route of Administration'!$D$5:$D$155,MATCH($C414,'Route of Administration'!$A$5:$A$155,0)),"")</f>
        <v>No</v>
      </c>
      <c r="AE414" s="15" t="str">
        <f aca="false">IF($AD414="No","Not checked – drug is IV only",IFERROR(INDEX('Route of Administration'!$O$5:$O$170,MATCH($E414&amp;"|"&amp;$C414,'Route of Administration'!$S$5:$S$170,0)),"Not checked – price ≤ USD 5"))</f>
        <v>Not checked – drug is IV only</v>
      </c>
    </row>
    <row r="415" customFormat="false" ht="82.05" hidden="false" customHeight="false" outlineLevel="0" collapsed="false">
      <c r="B415" s="16" t="n">
        <v>413</v>
      </c>
      <c r="C415" s="16" t="s">
        <v>1106</v>
      </c>
      <c r="D415" s="16" t="s">
        <v>1106</v>
      </c>
      <c r="E415" s="16" t="s">
        <v>927</v>
      </c>
      <c r="F415" s="16" t="s">
        <v>2333</v>
      </c>
      <c r="G415" s="17" t="s">
        <v>2334</v>
      </c>
      <c r="H415" s="16" t="s">
        <v>1533</v>
      </c>
      <c r="I415" s="18" t="n">
        <v>261.8</v>
      </c>
      <c r="J415" s="16" t="n">
        <v>1</v>
      </c>
      <c r="K415" s="16" t="n">
        <v>1289</v>
      </c>
      <c r="L415" s="19" t="n">
        <v>29883.81</v>
      </c>
      <c r="M415" s="17" t="s">
        <v>1107</v>
      </c>
      <c r="N415" s="18" t="n">
        <v>261.8</v>
      </c>
      <c r="O415" s="16" t="s">
        <v>1534</v>
      </c>
      <c r="P415" s="16" t="s">
        <v>1535</v>
      </c>
      <c r="Q415" s="17" t="s">
        <v>1536</v>
      </c>
      <c r="R415" s="78" t="s">
        <v>1764</v>
      </c>
      <c r="S415" s="77" t="n">
        <f aca="false">IFERROR(INDEX('Injectable Value'!$Z$28:$Z$178,MATCH($C415,'Injectable Value'!$A$28:$A$178,0)),"")</f>
        <v>0.901785714285714</v>
      </c>
      <c r="T415" s="19" t="n">
        <f aca="false">IFERROR(ROUND(INDEX('Injectable Value'!$AA$28:$AA$178,MATCH($C415,'Injectable Value'!$A$28:$A$178,0)),1),"")</f>
        <v>26948.8</v>
      </c>
      <c r="U415" s="17" t="s">
        <v>1109</v>
      </c>
      <c r="V415" s="16" t="n">
        <v>32</v>
      </c>
      <c r="W415" s="16" t="s">
        <v>1009</v>
      </c>
      <c r="X415" s="16" t="s">
        <v>281</v>
      </c>
      <c r="Y415" s="16" t="s">
        <v>283</v>
      </c>
      <c r="Z415" s="17" t="str">
        <f aca="false">IFERROR(INDEX(Scoring!$U:$U,MATCH($C415&amp;"|"&amp;$E415,Scoring!$AD:$AD,0)),"")</f>
        <v>Cancer drug (cytotoxic) – less relevant</v>
      </c>
      <c r="AA415" s="16" t="str">
        <f aca="false">IFERROR(INDEX(Scoring!$E:$E,MATCH($C415&amp;"|"&amp;$E415,Scoring!$AD:$AD,0)),"")</f>
        <v>Excluded – IV only</v>
      </c>
      <c r="AB415" s="19" t="n">
        <f aca="false">IFERROR(INDEX(Scoring!$M:$M,MATCH($C415&amp;"|"&amp;$E415,Scoring!$AD:$AD,0)),"")</f>
        <v>1162</v>
      </c>
      <c r="AC415" s="16" t="str">
        <f aca="false">IFERROR(INDEX('Route of Administration'!$C$5:$C$155,MATCH($C415,'Route of Administration'!$A$5:$A$155,0)),"")</f>
        <v>IV</v>
      </c>
      <c r="AD415" s="15" t="str">
        <f aca="false">IFERROR(INDEX('Route of Administration'!$D$5:$D$155,MATCH($C415,'Route of Administration'!$A$5:$A$155,0)),"")</f>
        <v>No</v>
      </c>
      <c r="AE415" s="15" t="str">
        <f aca="false">IF($AD415="No","Not checked – drug is IV only",IFERROR(INDEX('Route of Administration'!$O$5:$O$170,MATCH($E415&amp;"|"&amp;$C415,'Route of Administration'!$S$5:$S$170,0)),"Not checked – price ≤ USD 5"))</f>
        <v>Not checked – drug is IV only</v>
      </c>
    </row>
    <row r="416" customFormat="false" ht="82.05" hidden="false" customHeight="false" outlineLevel="0" collapsed="false">
      <c r="B416" s="16" t="n">
        <v>414</v>
      </c>
      <c r="C416" s="16" t="s">
        <v>440</v>
      </c>
      <c r="D416" s="16" t="s">
        <v>440</v>
      </c>
      <c r="E416" s="16" t="s">
        <v>927</v>
      </c>
      <c r="F416" s="16" t="s">
        <v>2232</v>
      </c>
      <c r="G416" s="17" t="s">
        <v>2335</v>
      </c>
      <c r="H416" s="16" t="s">
        <v>1533</v>
      </c>
      <c r="I416" s="18" t="n">
        <v>112.63</v>
      </c>
      <c r="J416" s="16" t="n">
        <v>1</v>
      </c>
      <c r="K416" s="16" t="n">
        <v>727</v>
      </c>
      <c r="L416" s="19" t="n">
        <v>7496</v>
      </c>
      <c r="M416" s="17" t="s">
        <v>441</v>
      </c>
      <c r="N416" s="18" t="n">
        <v>112.63</v>
      </c>
      <c r="O416" s="16" t="s">
        <v>1534</v>
      </c>
      <c r="P416" s="16" t="s">
        <v>1535</v>
      </c>
      <c r="Q416" s="17" t="s">
        <v>1536</v>
      </c>
      <c r="R416" s="78" t="s">
        <v>2336</v>
      </c>
      <c r="S416" s="77" t="n">
        <f aca="false">IFERROR(INDEX('Injectable Value'!$Z$28:$Z$178,MATCH($C416,'Injectable Value'!$A$28:$A$178,0)),"")</f>
        <v>0.650751867180439</v>
      </c>
      <c r="T416" s="19" t="n">
        <f aca="false">IFERROR(ROUND(INDEX('Injectable Value'!$AA$28:$AA$178,MATCH($C416,'Injectable Value'!$A$28:$A$178,0)),1),"")</f>
        <v>4878</v>
      </c>
      <c r="U416" s="17" t="s">
        <v>1042</v>
      </c>
      <c r="V416" s="16" t="n">
        <v>30</v>
      </c>
      <c r="W416" s="16" t="s">
        <v>537</v>
      </c>
      <c r="X416" s="16" t="s">
        <v>281</v>
      </c>
      <c r="Y416" s="16" t="s">
        <v>1547</v>
      </c>
      <c r="Z416" s="17" t="str">
        <f aca="false">IFERROR(INDEX(Scoring!$U:$U,MATCH($C416&amp;"|"&amp;$E416,Scoring!$AD:$AD,0)),"")</f>
        <v>Cancer drug (cytotoxic) – less relevant</v>
      </c>
      <c r="AA416" s="16" t="str">
        <f aca="false">IFERROR(INDEX(Scoring!$E:$E,MATCH($C416&amp;"|"&amp;$E416,Scoring!$AD:$AD,0)),"")</f>
        <v>Excluded – IV only</v>
      </c>
      <c r="AB416" s="19" t="n">
        <f aca="false">IFERROR(INDEX(Scoring!$M:$M,MATCH($C416&amp;"|"&amp;$E416,Scoring!$AD:$AD,0)),"")</f>
        <v>473</v>
      </c>
      <c r="AC416" s="16" t="str">
        <f aca="false">IFERROR(INDEX('Route of Administration'!$C$5:$C$155,MATCH($C416,'Route of Administration'!$A$5:$A$155,0)),"")</f>
        <v>IV</v>
      </c>
      <c r="AD416" s="15" t="str">
        <f aca="false">IFERROR(INDEX('Route of Administration'!$D$5:$D$155,MATCH($C416,'Route of Administration'!$A$5:$A$155,0)),"")</f>
        <v>No</v>
      </c>
      <c r="AE416" s="15" t="str">
        <f aca="false">IF($AD416="No","Not checked – drug is IV only",IFERROR(INDEX('Route of Administration'!$O$5:$O$170,MATCH($E416&amp;"|"&amp;$C416,'Route of Administration'!$S$5:$S$170,0)),"Not checked – price ≤ USD 5"))</f>
        <v>Not checked – drug is IV only</v>
      </c>
    </row>
    <row r="417" customFormat="false" ht="68.65" hidden="false" customHeight="false" outlineLevel="0" collapsed="false">
      <c r="B417" s="16" t="n">
        <v>415</v>
      </c>
      <c r="C417" s="16" t="s">
        <v>299</v>
      </c>
      <c r="D417" s="16" t="s">
        <v>299</v>
      </c>
      <c r="E417" s="16" t="s">
        <v>927</v>
      </c>
      <c r="F417" s="16" t="s">
        <v>1689</v>
      </c>
      <c r="G417" s="17" t="s">
        <v>2337</v>
      </c>
      <c r="H417" s="16" t="s">
        <v>1533</v>
      </c>
      <c r="I417" s="18" t="n">
        <v>6.244</v>
      </c>
      <c r="J417" s="16" t="n">
        <v>1</v>
      </c>
      <c r="K417" s="16" t="n">
        <v>1282</v>
      </c>
      <c r="L417" s="19" t="n">
        <v>16792.84</v>
      </c>
      <c r="M417" s="17" t="s">
        <v>301</v>
      </c>
      <c r="N417" s="18" t="n">
        <v>6.244</v>
      </c>
      <c r="O417" s="16" t="s">
        <v>1534</v>
      </c>
      <c r="P417" s="16" t="s">
        <v>1700</v>
      </c>
      <c r="Q417" s="17" t="s">
        <v>1536</v>
      </c>
      <c r="R417" s="78" t="s">
        <v>2338</v>
      </c>
      <c r="S417" s="77" t="n">
        <f aca="false">IFERROR(INDEX('Injectable Value'!$Z$28:$Z$178,MATCH($C417,'Injectable Value'!$A$28:$A$178,0)),"")</f>
        <v>0.776857437207773</v>
      </c>
      <c r="T417" s="19" t="n">
        <f aca="false">IFERROR(ROUND(INDEX('Injectable Value'!$AA$28:$AA$178,MATCH($C417,'Injectable Value'!$A$28:$A$178,0)),1),"")</f>
        <v>13045.6</v>
      </c>
      <c r="U417" s="17" t="s">
        <v>1077</v>
      </c>
      <c r="V417" s="16" t="n">
        <v>29</v>
      </c>
      <c r="W417" s="16" t="s">
        <v>537</v>
      </c>
      <c r="X417" s="16" t="s">
        <v>281</v>
      </c>
      <c r="Y417" s="16" t="s">
        <v>283</v>
      </c>
      <c r="Z417" s="17" t="str">
        <f aca="false">IFERROR(INDEX(Scoring!$U:$U,MATCH($C417&amp;"|"&amp;$E417,Scoring!$AD:$AD,0)),"")</f>
        <v>Cancer drug (cytotoxic) – less relevant</v>
      </c>
      <c r="AA417" s="16" t="str">
        <f aca="false">IFERROR(INDEX(Scoring!$E:$E,MATCH($C417&amp;"|"&amp;$E417,Scoring!$AD:$AD,0)),"")</f>
        <v>Priority 1</v>
      </c>
      <c r="AB417" s="19" t="n">
        <f aca="false">IFERROR(INDEX(Scoring!$M:$M,MATCH($C417&amp;"|"&amp;$E417,Scoring!$AD:$AD,0)),"")</f>
        <v>996</v>
      </c>
      <c r="AC417" s="16" t="str">
        <f aca="false">IFERROR(INDEX('Route of Administration'!$C$5:$C$155,MATCH($C417,'Route of Administration'!$A$5:$A$155,0)),"")</f>
        <v>IV, IM, SC</v>
      </c>
      <c r="AD417" s="15" t="str">
        <f aca="false">IFERROR(INDEX('Route of Administration'!$D$5:$D$155,MATCH($C417,'Route of Administration'!$A$5:$A$155,0)),"")</f>
        <v>Yes</v>
      </c>
      <c r="AE417" s="15" t="str">
        <f aca="false">IF($AD417="No","Not checked – drug is IV only",IFERROR(INDEX('Route of Administration'!$O$5:$O$170,MATCH($E417&amp;"|"&amp;$C417,'Route of Administration'!$S$5:$S$170,0)),"Not checked – price ≤ USD 5"))</f>
        <v>Pass</v>
      </c>
    </row>
    <row r="418" customFormat="false" ht="55.2" hidden="false" customHeight="false" outlineLevel="0" collapsed="false">
      <c r="B418" s="16" t="n">
        <v>416</v>
      </c>
      <c r="C418" s="16" t="s">
        <v>501</v>
      </c>
      <c r="D418" s="16" t="s">
        <v>501</v>
      </c>
      <c r="E418" s="16" t="s">
        <v>927</v>
      </c>
      <c r="F418" s="16" t="s">
        <v>2339</v>
      </c>
      <c r="G418" s="17" t="s">
        <v>2340</v>
      </c>
      <c r="H418" s="16" t="s">
        <v>1533</v>
      </c>
      <c r="I418" s="18" t="n">
        <v>264.04</v>
      </c>
      <c r="J418" s="16" t="n">
        <v>1</v>
      </c>
      <c r="K418" s="16" t="n">
        <v>544</v>
      </c>
      <c r="L418" s="19" t="n">
        <v>7654.85</v>
      </c>
      <c r="M418" s="17" t="s">
        <v>503</v>
      </c>
      <c r="N418" s="18" t="n">
        <v>264.04</v>
      </c>
      <c r="O418" s="16" t="s">
        <v>1534</v>
      </c>
      <c r="P418" s="16" t="s">
        <v>1535</v>
      </c>
      <c r="Q418" s="17" t="s">
        <v>1536</v>
      </c>
      <c r="R418" s="78" t="s">
        <v>1764</v>
      </c>
      <c r="S418" s="77" t="n">
        <f aca="false">IFERROR(INDEX('Injectable Value'!$Z$28:$Z$178,MATCH($C418,'Injectable Value'!$A$28:$A$178,0)),"")</f>
        <v>0.882348668280872</v>
      </c>
      <c r="T418" s="19" t="n">
        <f aca="false">IFERROR(ROUND(INDEX('Injectable Value'!$AA$28:$AA$178,MATCH($C418,'Injectable Value'!$A$28:$A$178,0)),1),"")</f>
        <v>6754.2</v>
      </c>
      <c r="U418" s="17" t="s">
        <v>1089</v>
      </c>
      <c r="V418" s="16" t="n">
        <v>19</v>
      </c>
      <c r="W418" s="16" t="s">
        <v>537</v>
      </c>
      <c r="X418" s="16" t="s">
        <v>281</v>
      </c>
      <c r="Y418" s="16" t="s">
        <v>310</v>
      </c>
      <c r="Z418" s="17" t="str">
        <f aca="false">IFERROR(INDEX(Scoring!$U:$U,MATCH($C418&amp;"|"&amp;$E418,Scoring!$AD:$AD,0)),"")</f>
        <v>Cancer drug (cytotoxic) – less relevant; Reconstitution</v>
      </c>
      <c r="AA418" s="16" t="str">
        <f aca="false">IFERROR(INDEX(Scoring!$E:$E,MATCH($C418&amp;"|"&amp;$E418,Scoring!$AD:$AD,0)),"")</f>
        <v>Excluded – IV only</v>
      </c>
      <c r="AB418" s="19" t="n">
        <f aca="false">IFERROR(INDEX(Scoring!$M:$M,MATCH($C418&amp;"|"&amp;$E418,Scoring!$AD:$AD,0)),"")</f>
        <v>480</v>
      </c>
      <c r="AC418" s="16" t="str">
        <f aca="false">IFERROR(INDEX('Route of Administration'!$C$5:$C$155,MATCH($C418,'Route of Administration'!$A$5:$A$155,0)),"")</f>
        <v>IV</v>
      </c>
      <c r="AD418" s="15" t="str">
        <f aca="false">IFERROR(INDEX('Route of Administration'!$D$5:$D$155,MATCH($C418,'Route of Administration'!$A$5:$A$155,0)),"")</f>
        <v>No</v>
      </c>
      <c r="AE418" s="15" t="str">
        <f aca="false">IF($AD418="No","Not checked – drug is IV only",IFERROR(INDEX('Route of Administration'!$O$5:$O$170,MATCH($E418&amp;"|"&amp;$C418,'Route of Administration'!$S$5:$S$170,0)),"Not checked – price ≤ USD 5"))</f>
        <v>Not checked – drug is IV only</v>
      </c>
    </row>
    <row r="419" customFormat="false" ht="68.65" hidden="false" customHeight="false" outlineLevel="0" collapsed="false">
      <c r="B419" s="16" t="n">
        <v>417</v>
      </c>
      <c r="C419" s="16" t="s">
        <v>299</v>
      </c>
      <c r="D419" s="16" t="s">
        <v>299</v>
      </c>
      <c r="E419" s="16" t="s">
        <v>927</v>
      </c>
      <c r="F419" s="16" t="s">
        <v>1689</v>
      </c>
      <c r="G419" s="17" t="s">
        <v>2341</v>
      </c>
      <c r="H419" s="16" t="s">
        <v>1533</v>
      </c>
      <c r="I419" s="18" t="n">
        <v>87.5</v>
      </c>
      <c r="J419" s="16" t="n">
        <v>1</v>
      </c>
      <c r="K419" s="16" t="n">
        <v>1282</v>
      </c>
      <c r="L419" s="19" t="n">
        <v>16792.84</v>
      </c>
      <c r="M419" s="17" t="s">
        <v>301</v>
      </c>
      <c r="N419" s="18" t="n">
        <v>87.5</v>
      </c>
      <c r="O419" s="16" t="s">
        <v>1534</v>
      </c>
      <c r="P419" s="16" t="s">
        <v>1700</v>
      </c>
      <c r="Q419" s="17" t="s">
        <v>1536</v>
      </c>
      <c r="R419" s="78" t="s">
        <v>1771</v>
      </c>
      <c r="S419" s="77" t="n">
        <f aca="false">IFERROR(INDEX('Injectable Value'!$Z$28:$Z$178,MATCH($C419,'Injectable Value'!$A$28:$A$178,0)),"")</f>
        <v>0.776857437207773</v>
      </c>
      <c r="T419" s="19" t="n">
        <f aca="false">IFERROR(ROUND(INDEX('Injectable Value'!$AA$28:$AA$178,MATCH($C419,'Injectable Value'!$A$28:$A$178,0)),1),"")</f>
        <v>13045.6</v>
      </c>
      <c r="U419" s="17" t="s">
        <v>1077</v>
      </c>
      <c r="V419" s="16" t="n">
        <v>29</v>
      </c>
      <c r="W419" s="16" t="s">
        <v>537</v>
      </c>
      <c r="X419" s="16" t="s">
        <v>281</v>
      </c>
      <c r="Y419" s="16" t="s">
        <v>1547</v>
      </c>
      <c r="Z419" s="17" t="str">
        <f aca="false">IFERROR(INDEX(Scoring!$U:$U,MATCH($C419&amp;"|"&amp;$E419,Scoring!$AD:$AD,0)),"")</f>
        <v>Cancer drug (cytotoxic) – less relevant</v>
      </c>
      <c r="AA419" s="16" t="str">
        <f aca="false">IFERROR(INDEX(Scoring!$E:$E,MATCH($C419&amp;"|"&amp;$E419,Scoring!$AD:$AD,0)),"")</f>
        <v>Priority 1</v>
      </c>
      <c r="AB419" s="19" t="n">
        <f aca="false">IFERROR(INDEX(Scoring!$M:$M,MATCH($C419&amp;"|"&amp;$E419,Scoring!$AD:$AD,0)),"")</f>
        <v>996</v>
      </c>
      <c r="AC419" s="16" t="str">
        <f aca="false">IFERROR(INDEX('Route of Administration'!$C$5:$C$155,MATCH($C419,'Route of Administration'!$A$5:$A$155,0)),"")</f>
        <v>IV, IM, SC</v>
      </c>
      <c r="AD419" s="15" t="str">
        <f aca="false">IFERROR(INDEX('Route of Administration'!$D$5:$D$155,MATCH($C419,'Route of Administration'!$A$5:$A$155,0)),"")</f>
        <v>Yes</v>
      </c>
      <c r="AE419" s="15" t="str">
        <f aca="false">IF($AD419="No","Not checked – drug is IV only",IFERROR(INDEX('Route of Administration'!$O$5:$O$170,MATCH($E419&amp;"|"&amp;$C419,'Route of Administration'!$S$5:$S$170,0)),"Not checked – price ≤ USD 5"))</f>
        <v>Pass</v>
      </c>
    </row>
    <row r="420" customFormat="false" ht="68.65" hidden="false" customHeight="false" outlineLevel="0" collapsed="false">
      <c r="B420" s="16" t="n">
        <v>418</v>
      </c>
      <c r="C420" s="16" t="s">
        <v>299</v>
      </c>
      <c r="D420" s="16" t="s">
        <v>299</v>
      </c>
      <c r="E420" s="16" t="s">
        <v>927</v>
      </c>
      <c r="F420" s="16" t="s">
        <v>1689</v>
      </c>
      <c r="G420" s="17" t="s">
        <v>2342</v>
      </c>
      <c r="H420" s="16" t="s">
        <v>1533</v>
      </c>
      <c r="I420" s="18" t="n">
        <v>157.5</v>
      </c>
      <c r="J420" s="16" t="n">
        <v>1</v>
      </c>
      <c r="K420" s="16" t="n">
        <v>1282</v>
      </c>
      <c r="L420" s="19" t="n">
        <v>16792.84</v>
      </c>
      <c r="M420" s="17" t="s">
        <v>301</v>
      </c>
      <c r="N420" s="18" t="n">
        <v>157.5</v>
      </c>
      <c r="O420" s="16" t="s">
        <v>1534</v>
      </c>
      <c r="P420" s="16" t="s">
        <v>1700</v>
      </c>
      <c r="Q420" s="17" t="s">
        <v>1536</v>
      </c>
      <c r="R420" s="78" t="s">
        <v>1771</v>
      </c>
      <c r="S420" s="77" t="n">
        <f aca="false">IFERROR(INDEX('Injectable Value'!$Z$28:$Z$178,MATCH($C420,'Injectable Value'!$A$28:$A$178,0)),"")</f>
        <v>0.776857437207773</v>
      </c>
      <c r="T420" s="19" t="n">
        <f aca="false">IFERROR(ROUND(INDEX('Injectable Value'!$AA$28:$AA$178,MATCH($C420,'Injectable Value'!$A$28:$A$178,0)),1),"")</f>
        <v>13045.6</v>
      </c>
      <c r="U420" s="17" t="s">
        <v>1077</v>
      </c>
      <c r="V420" s="16" t="n">
        <v>29</v>
      </c>
      <c r="W420" s="16" t="s">
        <v>537</v>
      </c>
      <c r="X420" s="16" t="s">
        <v>281</v>
      </c>
      <c r="Y420" s="16" t="s">
        <v>1547</v>
      </c>
      <c r="Z420" s="17" t="str">
        <f aca="false">IFERROR(INDEX(Scoring!$U:$U,MATCH($C420&amp;"|"&amp;$E420,Scoring!$AD:$AD,0)),"")</f>
        <v>Cancer drug (cytotoxic) – less relevant</v>
      </c>
      <c r="AA420" s="16" t="str">
        <f aca="false">IFERROR(INDEX(Scoring!$E:$E,MATCH($C420&amp;"|"&amp;$E420,Scoring!$AD:$AD,0)),"")</f>
        <v>Priority 1</v>
      </c>
      <c r="AB420" s="19" t="n">
        <f aca="false">IFERROR(INDEX(Scoring!$M:$M,MATCH($C420&amp;"|"&amp;$E420,Scoring!$AD:$AD,0)),"")</f>
        <v>996</v>
      </c>
      <c r="AC420" s="16" t="str">
        <f aca="false">IFERROR(INDEX('Route of Administration'!$C$5:$C$155,MATCH($C420,'Route of Administration'!$A$5:$A$155,0)),"")</f>
        <v>IV, IM, SC</v>
      </c>
      <c r="AD420" s="15" t="str">
        <f aca="false">IFERROR(INDEX('Route of Administration'!$D$5:$D$155,MATCH($C420,'Route of Administration'!$A$5:$A$155,0)),"")</f>
        <v>Yes</v>
      </c>
      <c r="AE420" s="15" t="str">
        <f aca="false">IF($AD420="No","Not checked – drug is IV only",IFERROR(INDEX('Route of Administration'!$O$5:$O$170,MATCH($E420&amp;"|"&amp;$C420,'Route of Administration'!$S$5:$S$170,0)),"Not checked – price ≤ USD 5"))</f>
        <v>Pass</v>
      </c>
    </row>
    <row r="421" customFormat="false" ht="68.65" hidden="false" customHeight="false" outlineLevel="0" collapsed="false">
      <c r="B421" s="16" t="n">
        <v>419</v>
      </c>
      <c r="C421" s="16" t="s">
        <v>299</v>
      </c>
      <c r="D421" s="16" t="s">
        <v>2343</v>
      </c>
      <c r="E421" s="16" t="s">
        <v>927</v>
      </c>
      <c r="F421" s="16" t="s">
        <v>2344</v>
      </c>
      <c r="G421" s="17" t="s">
        <v>2345</v>
      </c>
      <c r="H421" s="16" t="s">
        <v>283</v>
      </c>
      <c r="I421" s="18" t="n">
        <v>10.374</v>
      </c>
      <c r="J421" s="16" t="n">
        <v>1</v>
      </c>
      <c r="K421" s="16" t="n">
        <v>1282</v>
      </c>
      <c r="L421" s="19" t="n">
        <v>16792.84</v>
      </c>
      <c r="M421" s="17" t="s">
        <v>301</v>
      </c>
      <c r="N421" s="18" t="n">
        <v>10.374</v>
      </c>
      <c r="O421" s="16" t="s">
        <v>1534</v>
      </c>
      <c r="P421" s="16" t="s">
        <v>1700</v>
      </c>
      <c r="Q421" s="17" t="s">
        <v>1536</v>
      </c>
      <c r="R421" s="78" t="s">
        <v>2346</v>
      </c>
      <c r="S421" s="77" t="n">
        <f aca="false">IFERROR(INDEX('Injectable Value'!$Z$28:$Z$178,MATCH($C421,'Injectable Value'!$A$28:$A$178,0)),"")</f>
        <v>0.776857437207773</v>
      </c>
      <c r="T421" s="19" t="n">
        <f aca="false">IFERROR(ROUND(INDEX('Injectable Value'!$AA$28:$AA$178,MATCH($C421,'Injectable Value'!$A$28:$A$178,0)),1),"")</f>
        <v>13045.6</v>
      </c>
      <c r="U421" s="17" t="s">
        <v>1077</v>
      </c>
      <c r="V421" s="16" t="n">
        <v>29</v>
      </c>
      <c r="W421" s="16" t="s">
        <v>537</v>
      </c>
      <c r="X421" s="16" t="s">
        <v>291</v>
      </c>
      <c r="Y421" s="16" t="s">
        <v>283</v>
      </c>
      <c r="Z421" s="17" t="str">
        <f aca="false">IFERROR(INDEX(Scoring!$U:$U,MATCH($C421&amp;"|"&amp;$E421,Scoring!$AD:$AD,0)),"")</f>
        <v>Cancer drug (cytotoxic) – less relevant</v>
      </c>
      <c r="AA421" s="16" t="str">
        <f aca="false">IFERROR(INDEX(Scoring!$E:$E,MATCH($C421&amp;"|"&amp;$E421,Scoring!$AD:$AD,0)),"")</f>
        <v>Priority 1</v>
      </c>
      <c r="AB421" s="19" t="n">
        <f aca="false">IFERROR(INDEX(Scoring!$M:$M,MATCH($C421&amp;"|"&amp;$E421,Scoring!$AD:$AD,0)),"")</f>
        <v>996</v>
      </c>
      <c r="AC421" s="16" t="str">
        <f aca="false">IFERROR(INDEX('Route of Administration'!$C$5:$C$155,MATCH($C421,'Route of Administration'!$A$5:$A$155,0)),"")</f>
        <v>IV, IM, SC</v>
      </c>
      <c r="AD421" s="15" t="str">
        <f aca="false">IFERROR(INDEX('Route of Administration'!$D$5:$D$155,MATCH($C421,'Route of Administration'!$A$5:$A$155,0)),"")</f>
        <v>Yes</v>
      </c>
      <c r="AE421" s="15" t="str">
        <f aca="false">IF($AD421="No","Not checked – drug is IV only",IFERROR(INDEX('Route of Administration'!$O$5:$O$170,MATCH($E421&amp;"|"&amp;$C421,'Route of Administration'!$S$5:$S$170,0)),"Not checked – price ≤ USD 5"))</f>
        <v>Pass</v>
      </c>
    </row>
    <row r="422" customFormat="false" ht="68.65" hidden="false" customHeight="false" outlineLevel="0" collapsed="false">
      <c r="B422" s="16" t="n">
        <v>420</v>
      </c>
      <c r="C422" s="16" t="s">
        <v>299</v>
      </c>
      <c r="D422" s="16" t="s">
        <v>2343</v>
      </c>
      <c r="E422" s="16" t="s">
        <v>927</v>
      </c>
      <c r="F422" s="16" t="s">
        <v>2347</v>
      </c>
      <c r="G422" s="17" t="s">
        <v>2348</v>
      </c>
      <c r="H422" s="16" t="s">
        <v>283</v>
      </c>
      <c r="I422" s="18" t="n">
        <v>10.92</v>
      </c>
      <c r="J422" s="16" t="n">
        <v>1</v>
      </c>
      <c r="K422" s="16" t="n">
        <v>1282</v>
      </c>
      <c r="L422" s="19" t="n">
        <v>16792.84</v>
      </c>
      <c r="M422" s="17" t="s">
        <v>301</v>
      </c>
      <c r="N422" s="18" t="n">
        <v>10.92</v>
      </c>
      <c r="O422" s="16" t="s">
        <v>1534</v>
      </c>
      <c r="P422" s="16" t="s">
        <v>1700</v>
      </c>
      <c r="Q422" s="17" t="s">
        <v>1536</v>
      </c>
      <c r="R422" s="78" t="s">
        <v>2349</v>
      </c>
      <c r="S422" s="77" t="n">
        <f aca="false">IFERROR(INDEX('Injectable Value'!$Z$28:$Z$178,MATCH($C422,'Injectable Value'!$A$28:$A$178,0)),"")</f>
        <v>0.776857437207773</v>
      </c>
      <c r="T422" s="19" t="n">
        <f aca="false">IFERROR(ROUND(INDEX('Injectable Value'!$AA$28:$AA$178,MATCH($C422,'Injectable Value'!$A$28:$A$178,0)),1),"")</f>
        <v>13045.6</v>
      </c>
      <c r="U422" s="17" t="s">
        <v>1077</v>
      </c>
      <c r="V422" s="16" t="n">
        <v>29</v>
      </c>
      <c r="W422" s="16" t="s">
        <v>537</v>
      </c>
      <c r="X422" s="16" t="s">
        <v>291</v>
      </c>
      <c r="Y422" s="16" t="s">
        <v>283</v>
      </c>
      <c r="Z422" s="17" t="str">
        <f aca="false">IFERROR(INDEX(Scoring!$U:$U,MATCH($C422&amp;"|"&amp;$E422,Scoring!$AD:$AD,0)),"")</f>
        <v>Cancer drug (cytotoxic) – less relevant</v>
      </c>
      <c r="AA422" s="16" t="str">
        <f aca="false">IFERROR(INDEX(Scoring!$E:$E,MATCH($C422&amp;"|"&amp;$E422,Scoring!$AD:$AD,0)),"")</f>
        <v>Priority 1</v>
      </c>
      <c r="AB422" s="19" t="n">
        <f aca="false">IFERROR(INDEX(Scoring!$M:$M,MATCH($C422&amp;"|"&amp;$E422,Scoring!$AD:$AD,0)),"")</f>
        <v>996</v>
      </c>
      <c r="AC422" s="16" t="str">
        <f aca="false">IFERROR(INDEX('Route of Administration'!$C$5:$C$155,MATCH($C422,'Route of Administration'!$A$5:$A$155,0)),"")</f>
        <v>IV, IM, SC</v>
      </c>
      <c r="AD422" s="15" t="str">
        <f aca="false">IFERROR(INDEX('Route of Administration'!$D$5:$D$155,MATCH($C422,'Route of Administration'!$A$5:$A$155,0)),"")</f>
        <v>Yes</v>
      </c>
      <c r="AE422" s="15" t="str">
        <f aca="false">IF($AD422="No","Not checked – drug is IV only",IFERROR(INDEX('Route of Administration'!$O$5:$O$170,MATCH($E422&amp;"|"&amp;$C422,'Route of Administration'!$S$5:$S$170,0)),"Not checked – price ≤ USD 5"))</f>
        <v>Pass</v>
      </c>
    </row>
    <row r="423" customFormat="false" ht="82.05" hidden="false" customHeight="false" outlineLevel="0" collapsed="false">
      <c r="B423" s="16" t="n">
        <v>421</v>
      </c>
      <c r="C423" s="16" t="s">
        <v>541</v>
      </c>
      <c r="D423" s="16" t="s">
        <v>2323</v>
      </c>
      <c r="E423" s="16" t="s">
        <v>927</v>
      </c>
      <c r="F423" s="16" t="s">
        <v>1808</v>
      </c>
      <c r="G423" s="17" t="s">
        <v>1809</v>
      </c>
      <c r="H423" s="16" t="s">
        <v>1533</v>
      </c>
      <c r="I423" s="18" t="n">
        <v>559.566</v>
      </c>
      <c r="J423" s="16" t="n">
        <v>1</v>
      </c>
      <c r="K423" s="16" t="n">
        <v>47</v>
      </c>
      <c r="L423" s="19" t="n">
        <v>7904.67</v>
      </c>
      <c r="M423" s="17" t="s">
        <v>543</v>
      </c>
      <c r="N423" s="18" t="n">
        <v>559.566</v>
      </c>
      <c r="O423" s="16" t="s">
        <v>1534</v>
      </c>
      <c r="P423" s="16" t="s">
        <v>1535</v>
      </c>
      <c r="Q423" s="17" t="s">
        <v>1536</v>
      </c>
      <c r="R423" s="78" t="s">
        <v>1810</v>
      </c>
      <c r="S423" s="77" t="n">
        <f aca="false">IFERROR(INDEX('Injectable Value'!$Z$28:$Z$178,MATCH($C423,'Injectable Value'!$A$28:$A$178,0)),"")</f>
        <v>1</v>
      </c>
      <c r="T423" s="19" t="n">
        <f aca="false">IFERROR(ROUND(INDEX('Injectable Value'!$AA$28:$AA$178,MATCH($C423,'Injectable Value'!$A$28:$A$178,0)),1),"")</f>
        <v>7904.7</v>
      </c>
      <c r="U423" s="17" t="s">
        <v>949</v>
      </c>
      <c r="V423" s="16" t="n">
        <v>32</v>
      </c>
      <c r="W423" s="16" t="s">
        <v>456</v>
      </c>
      <c r="X423" s="16" t="s">
        <v>281</v>
      </c>
      <c r="Y423" s="16" t="s">
        <v>283</v>
      </c>
      <c r="Z423" s="17" t="str">
        <f aca="false">IFERROR(INDEX(Scoring!$U:$U,MATCH($C423&amp;"|"&amp;$E423,Scoring!$AD:$AD,0)),"")</f>
        <v/>
      </c>
      <c r="AA423" s="16" t="str">
        <f aca="false">IFERROR(INDEX(Scoring!$E:$E,MATCH($C423&amp;"|"&amp;$E423,Scoring!$AD:$AD,0)),"")</f>
        <v>Priority 2</v>
      </c>
      <c r="AB423" s="19" t="n">
        <f aca="false">IFERROR(INDEX(Scoring!$M:$M,MATCH($C423&amp;"|"&amp;$E423,Scoring!$AD:$AD,0)),"")</f>
        <v>47</v>
      </c>
      <c r="AC423" s="16" t="str">
        <f aca="false">IFERROR(INDEX('Route of Administration'!$C$5:$C$155,MATCH($C423,'Route of Administration'!$A$5:$A$155,0)),"")</f>
        <v>SC</v>
      </c>
      <c r="AD423" s="15" t="str">
        <f aca="false">IFERROR(INDEX('Route of Administration'!$D$5:$D$155,MATCH($C423,'Route of Administration'!$A$5:$A$155,0)),"")</f>
        <v>Yes</v>
      </c>
      <c r="AE423" s="15" t="str">
        <f aca="false">IF($AD423="No","Not checked – drug is IV only",IFERROR(INDEX('Route of Administration'!$O$5:$O$170,MATCH($E423&amp;"|"&amp;$C423,'Route of Administration'!$S$5:$S$170,0)),"Not checked – price ≤ USD 5"))</f>
        <v>Pass</v>
      </c>
    </row>
    <row r="424" customFormat="false" ht="82.05" hidden="false" customHeight="false" outlineLevel="0" collapsed="false">
      <c r="B424" s="16" t="n">
        <v>422</v>
      </c>
      <c r="C424" s="16" t="s">
        <v>1002</v>
      </c>
      <c r="D424" s="16" t="s">
        <v>2350</v>
      </c>
      <c r="E424" s="16" t="s">
        <v>927</v>
      </c>
      <c r="F424" s="16" t="s">
        <v>2351</v>
      </c>
      <c r="G424" s="17" t="s">
        <v>2352</v>
      </c>
      <c r="H424" s="16" t="s">
        <v>1533</v>
      </c>
      <c r="I424" s="18" t="n">
        <v>179.823</v>
      </c>
      <c r="J424" s="16" t="n">
        <v>1</v>
      </c>
      <c r="K424" s="16" t="n">
        <v>314</v>
      </c>
      <c r="L424" s="19" t="n">
        <v>3429.51</v>
      </c>
      <c r="M424" s="17" t="s">
        <v>1004</v>
      </c>
      <c r="N424" s="18" t="n">
        <v>179.823</v>
      </c>
      <c r="O424" s="16" t="s">
        <v>1534</v>
      </c>
      <c r="P424" s="16" t="s">
        <v>1535</v>
      </c>
      <c r="Q424" s="17" t="s">
        <v>1536</v>
      </c>
      <c r="R424" s="78" t="s">
        <v>1810</v>
      </c>
      <c r="S424" s="77" t="n">
        <f aca="false">IFERROR(INDEX('Injectable Value'!$Z$28:$Z$178,MATCH($C424,'Injectable Value'!$A$28:$A$178,0)),"")</f>
        <v>1</v>
      </c>
      <c r="T424" s="19" t="n">
        <f aca="false">IFERROR(ROUND(INDEX('Injectable Value'!$AA$28:$AA$178,MATCH($C424,'Injectable Value'!$A$28:$A$178,0)),1),"")</f>
        <v>3429.5</v>
      </c>
      <c r="U424" s="17" t="s">
        <v>949</v>
      </c>
      <c r="V424" s="16" t="n">
        <v>32</v>
      </c>
      <c r="W424" s="16" t="s">
        <v>456</v>
      </c>
      <c r="X424" s="16" t="s">
        <v>281</v>
      </c>
      <c r="Y424" s="16" t="s">
        <v>283</v>
      </c>
      <c r="Z424" s="17" t="str">
        <f aca="false">IFERROR(INDEX(Scoring!$U:$U,MATCH($C424&amp;"|"&amp;$E424,Scoring!$AD:$AD,0)),"")</f>
        <v/>
      </c>
      <c r="AA424" s="16" t="str">
        <f aca="false">IFERROR(INDEX(Scoring!$E:$E,MATCH($C424&amp;"|"&amp;$E424,Scoring!$AD:$AD,0)),"")</f>
        <v>Priority 1</v>
      </c>
      <c r="AB424" s="19" t="n">
        <f aca="false">IFERROR(INDEX(Scoring!$M:$M,MATCH($C424&amp;"|"&amp;$E424,Scoring!$AD:$AD,0)),"")</f>
        <v>314</v>
      </c>
      <c r="AC424" s="16" t="str">
        <f aca="false">IFERROR(INDEX('Route of Administration'!$C$5:$C$155,MATCH($C424,'Route of Administration'!$A$5:$A$155,0)),"")</f>
        <v>SC</v>
      </c>
      <c r="AD424" s="15" t="str">
        <f aca="false">IFERROR(INDEX('Route of Administration'!$D$5:$D$155,MATCH($C424,'Route of Administration'!$A$5:$A$155,0)),"")</f>
        <v>Yes</v>
      </c>
      <c r="AE424" s="15" t="str">
        <f aca="false">IF($AD424="No","Not checked – drug is IV only",IFERROR(INDEX('Route of Administration'!$O$5:$O$170,MATCH($E424&amp;"|"&amp;$C424,'Route of Administration'!$S$5:$S$170,0)),"Not checked – price ≤ USD 5"))</f>
        <v>Pass</v>
      </c>
    </row>
    <row r="425" customFormat="false" ht="55.2" hidden="false" customHeight="false" outlineLevel="0" collapsed="false">
      <c r="B425" s="16" t="n">
        <v>423</v>
      </c>
      <c r="C425" s="16" t="s">
        <v>615</v>
      </c>
      <c r="D425" s="16" t="s">
        <v>2353</v>
      </c>
      <c r="E425" s="16" t="s">
        <v>927</v>
      </c>
      <c r="F425" s="16" t="s">
        <v>2354</v>
      </c>
      <c r="G425" s="17" t="s">
        <v>2355</v>
      </c>
      <c r="H425" s="16" t="s">
        <v>1533</v>
      </c>
      <c r="I425" s="18" t="n">
        <v>30.583</v>
      </c>
      <c r="J425" s="16" t="n">
        <v>1</v>
      </c>
      <c r="K425" s="16" t="n">
        <v>441</v>
      </c>
      <c r="L425" s="19" t="n">
        <v>3973.65</v>
      </c>
      <c r="M425" s="17" t="s">
        <v>617</v>
      </c>
      <c r="N425" s="18" t="n">
        <v>30.583</v>
      </c>
      <c r="O425" s="16" t="s">
        <v>1534</v>
      </c>
      <c r="P425" s="16" t="s">
        <v>1535</v>
      </c>
      <c r="Q425" s="17" t="s">
        <v>1536</v>
      </c>
      <c r="R425" s="78" t="s">
        <v>1806</v>
      </c>
      <c r="S425" s="77" t="n">
        <f aca="false">IFERROR(INDEX('Injectable Value'!$Z$28:$Z$178,MATCH($C425,'Injectable Value'!$A$28:$A$178,0)),"")</f>
        <v>1</v>
      </c>
      <c r="T425" s="19" t="n">
        <f aca="false">IFERROR(ROUND(INDEX('Injectable Value'!$AA$28:$AA$178,MATCH($C425,'Injectable Value'!$A$28:$A$178,0)),1),"")</f>
        <v>3973.7</v>
      </c>
      <c r="U425" s="17" t="s">
        <v>957</v>
      </c>
      <c r="V425" s="16" t="n">
        <v>17</v>
      </c>
      <c r="W425" s="16" t="s">
        <v>334</v>
      </c>
      <c r="X425" s="16" t="s">
        <v>281</v>
      </c>
      <c r="Y425" s="16" t="s">
        <v>333</v>
      </c>
      <c r="Z425" s="17" t="str">
        <f aca="false">IFERROR(INDEX(Scoring!$U:$U,MATCH($C425&amp;"|"&amp;$E425,Scoring!$AD:$AD,0)),"")</f>
        <v>Cancer drug (cytotoxic) – less relevant; Reconstitution</v>
      </c>
      <c r="AA425" s="16" t="str">
        <f aca="false">IFERROR(INDEX(Scoring!$E:$E,MATCH($C425&amp;"|"&amp;$E425,Scoring!$AD:$AD,0)),"")</f>
        <v>Priority 1</v>
      </c>
      <c r="AB425" s="19" t="n">
        <f aca="false">IFERROR(INDEX(Scoring!$M:$M,MATCH($C425&amp;"|"&amp;$E425,Scoring!$AD:$AD,0)),"")</f>
        <v>441</v>
      </c>
      <c r="AC425" s="16" t="str">
        <f aca="false">IFERROR(INDEX('Route of Administration'!$C$5:$C$155,MATCH($C425,'Route of Administration'!$A$5:$A$155,0)),"")</f>
        <v>IV, IM, SC</v>
      </c>
      <c r="AD425" s="15" t="str">
        <f aca="false">IFERROR(INDEX('Route of Administration'!$D$5:$D$155,MATCH($C425,'Route of Administration'!$A$5:$A$155,0)),"")</f>
        <v>Yes</v>
      </c>
      <c r="AE425" s="15" t="str">
        <f aca="false">IF($AD425="No","Not checked – drug is IV only",IFERROR(INDEX('Route of Administration'!$O$5:$O$170,MATCH($E425&amp;"|"&amp;$C425,'Route of Administration'!$S$5:$S$170,0)),"Not checked – price ≤ USD 5"))</f>
        <v>Pass</v>
      </c>
    </row>
    <row r="426" customFormat="false" ht="55.2" hidden="false" customHeight="false" outlineLevel="0" collapsed="false">
      <c r="B426" s="16" t="n">
        <v>424</v>
      </c>
      <c r="C426" s="16" t="s">
        <v>665</v>
      </c>
      <c r="D426" s="16" t="s">
        <v>2325</v>
      </c>
      <c r="E426" s="16" t="s">
        <v>927</v>
      </c>
      <c r="F426" s="16" t="s">
        <v>1849</v>
      </c>
      <c r="G426" s="17" t="s">
        <v>1850</v>
      </c>
      <c r="H426" s="16" t="s">
        <v>1533</v>
      </c>
      <c r="I426" s="18"/>
      <c r="J426" s="16" t="n">
        <v>1</v>
      </c>
      <c r="K426" s="16" t="n">
        <v>346</v>
      </c>
      <c r="L426" s="19" t="n">
        <v>32830.17</v>
      </c>
      <c r="M426" s="17" t="s">
        <v>667</v>
      </c>
      <c r="N426" s="18"/>
      <c r="O426" s="16" t="s">
        <v>1573</v>
      </c>
      <c r="P426" s="16" t="s">
        <v>112</v>
      </c>
      <c r="Q426" s="17" t="s">
        <v>112</v>
      </c>
      <c r="R426" s="16"/>
      <c r="S426" s="77" t="n">
        <f aca="false">IFERROR(INDEX('Injectable Value'!$Z$28:$Z$178,MATCH($C426,'Injectable Value'!$A$28:$A$178,0)),"")</f>
        <v>1</v>
      </c>
      <c r="T426" s="19" t="n">
        <f aca="false">IFERROR(ROUND(INDEX('Injectable Value'!$AA$28:$AA$178,MATCH($C426,'Injectable Value'!$A$28:$A$178,0)),1),"")</f>
        <v>32830.2</v>
      </c>
      <c r="U426" s="17" t="s">
        <v>1154</v>
      </c>
      <c r="V426" s="16" t="n">
        <v>21</v>
      </c>
      <c r="W426" s="16" t="s">
        <v>971</v>
      </c>
      <c r="X426" s="16" t="s">
        <v>281</v>
      </c>
      <c r="Y426" s="16" t="s">
        <v>283</v>
      </c>
      <c r="Z426" s="17" t="str">
        <f aca="false">IFERROR(INDEX(Scoring!$U:$U,MATCH($C426&amp;"|"&amp;$E426,Scoring!$AD:$AD,0)),"")</f>
        <v/>
      </c>
      <c r="AA426" s="16" t="str">
        <f aca="false">IFERROR(INDEX(Scoring!$E:$E,MATCH($C426&amp;"|"&amp;$E426,Scoring!$AD:$AD,0)),"")</f>
        <v>Excluded – IV only</v>
      </c>
      <c r="AB426" s="19" t="n">
        <f aca="false">IFERROR(INDEX(Scoring!$M:$M,MATCH($C426&amp;"|"&amp;$E426,Scoring!$AD:$AD,0)),"")</f>
        <v>346</v>
      </c>
      <c r="AC426" s="16" t="str">
        <f aca="false">IFERROR(INDEX('Route of Administration'!$C$5:$C$155,MATCH($C426,'Route of Administration'!$A$5:$A$155,0)),"")</f>
        <v>IV</v>
      </c>
      <c r="AD426" s="15" t="str">
        <f aca="false">IFERROR(INDEX('Route of Administration'!$D$5:$D$155,MATCH($C426,'Route of Administration'!$A$5:$A$155,0)),"")</f>
        <v>No</v>
      </c>
      <c r="AE426" s="15" t="str">
        <f aca="false">IF($AD426="No","Not checked – drug is IV only",IFERROR(INDEX('Route of Administration'!$O$5:$O$170,MATCH($E426&amp;"|"&amp;$C426,'Route of Administration'!$S$5:$S$170,0)),"Not checked – price ≤ USD 5"))</f>
        <v>Not checked – drug is IV only</v>
      </c>
    </row>
    <row r="427" customFormat="false" ht="55.2" hidden="false" customHeight="false" outlineLevel="0" collapsed="false">
      <c r="B427" s="16" t="n">
        <v>425</v>
      </c>
      <c r="C427" s="16" t="s">
        <v>665</v>
      </c>
      <c r="D427" s="16" t="s">
        <v>2325</v>
      </c>
      <c r="E427" s="16" t="s">
        <v>927</v>
      </c>
      <c r="F427" s="16" t="s">
        <v>1851</v>
      </c>
      <c r="G427" s="17" t="s">
        <v>1852</v>
      </c>
      <c r="H427" s="16" t="s">
        <v>1533</v>
      </c>
      <c r="I427" s="18"/>
      <c r="J427" s="16" t="n">
        <v>1</v>
      </c>
      <c r="K427" s="16" t="n">
        <v>346</v>
      </c>
      <c r="L427" s="19" t="n">
        <v>32830.17</v>
      </c>
      <c r="M427" s="17" t="s">
        <v>667</v>
      </c>
      <c r="N427" s="18"/>
      <c r="O427" s="16" t="s">
        <v>1573</v>
      </c>
      <c r="P427" s="16" t="s">
        <v>112</v>
      </c>
      <c r="Q427" s="17" t="s">
        <v>112</v>
      </c>
      <c r="R427" s="16"/>
      <c r="S427" s="77" t="n">
        <f aca="false">IFERROR(INDEX('Injectable Value'!$Z$28:$Z$178,MATCH($C427,'Injectable Value'!$A$28:$A$178,0)),"")</f>
        <v>1</v>
      </c>
      <c r="T427" s="19" t="n">
        <f aca="false">IFERROR(ROUND(INDEX('Injectable Value'!$AA$28:$AA$178,MATCH($C427,'Injectable Value'!$A$28:$A$178,0)),1),"")</f>
        <v>32830.2</v>
      </c>
      <c r="U427" s="17" t="s">
        <v>1154</v>
      </c>
      <c r="V427" s="16" t="n">
        <v>21</v>
      </c>
      <c r="W427" s="16" t="s">
        <v>971</v>
      </c>
      <c r="X427" s="16" t="s">
        <v>281</v>
      </c>
      <c r="Y427" s="16" t="s">
        <v>283</v>
      </c>
      <c r="Z427" s="17" t="str">
        <f aca="false">IFERROR(INDEX(Scoring!$U:$U,MATCH($C427&amp;"|"&amp;$E427,Scoring!$AD:$AD,0)),"")</f>
        <v/>
      </c>
      <c r="AA427" s="16" t="str">
        <f aca="false">IFERROR(INDEX(Scoring!$E:$E,MATCH($C427&amp;"|"&amp;$E427,Scoring!$AD:$AD,0)),"")</f>
        <v>Excluded – IV only</v>
      </c>
      <c r="AB427" s="19" t="n">
        <f aca="false">IFERROR(INDEX(Scoring!$M:$M,MATCH($C427&amp;"|"&amp;$E427,Scoring!$AD:$AD,0)),"")</f>
        <v>346</v>
      </c>
      <c r="AC427" s="16" t="str">
        <f aca="false">IFERROR(INDEX('Route of Administration'!$C$5:$C$155,MATCH($C427,'Route of Administration'!$A$5:$A$155,0)),"")</f>
        <v>IV</v>
      </c>
      <c r="AD427" s="15" t="str">
        <f aca="false">IFERROR(INDEX('Route of Administration'!$D$5:$D$155,MATCH($C427,'Route of Administration'!$A$5:$A$155,0)),"")</f>
        <v>No</v>
      </c>
      <c r="AE427" s="15" t="str">
        <f aca="false">IF($AD427="No","Not checked – drug is IV only",IFERROR(INDEX('Route of Administration'!$O$5:$O$170,MATCH($E427&amp;"|"&amp;$C427,'Route of Administration'!$S$5:$S$170,0)),"Not checked – price ≤ USD 5"))</f>
        <v>Not checked – drug is IV only</v>
      </c>
    </row>
    <row r="428" customFormat="false" ht="95.5" hidden="false" customHeight="false" outlineLevel="0" collapsed="false">
      <c r="B428" s="16" t="n">
        <v>426</v>
      </c>
      <c r="C428" s="16" t="s">
        <v>338</v>
      </c>
      <c r="D428" s="16" t="s">
        <v>2278</v>
      </c>
      <c r="E428" s="16" t="s">
        <v>927</v>
      </c>
      <c r="F428" s="16" t="s">
        <v>2105</v>
      </c>
      <c r="G428" s="17" t="s">
        <v>1870</v>
      </c>
      <c r="H428" s="16" t="s">
        <v>1533</v>
      </c>
      <c r="I428" s="18"/>
      <c r="J428" s="16" t="n">
        <v>1</v>
      </c>
      <c r="K428" s="16" t="n">
        <v>905</v>
      </c>
      <c r="L428" s="19" t="n">
        <v>28093.38</v>
      </c>
      <c r="M428" s="17" t="s">
        <v>340</v>
      </c>
      <c r="N428" s="18"/>
      <c r="O428" s="16" t="s">
        <v>1573</v>
      </c>
      <c r="P428" s="16" t="s">
        <v>112</v>
      </c>
      <c r="Q428" s="17" t="s">
        <v>112</v>
      </c>
      <c r="R428" s="16"/>
      <c r="S428" s="77" t="n">
        <f aca="false">IFERROR(INDEX('Injectable Value'!$Z$28:$Z$178,MATCH($C428,'Injectable Value'!$A$28:$A$178,0)),"")</f>
        <v>1</v>
      </c>
      <c r="T428" s="19" t="n">
        <f aca="false">IFERROR(ROUND(INDEX('Injectable Value'!$AA$28:$AA$178,MATCH($C428,'Injectable Value'!$A$28:$A$178,0)),1),"")</f>
        <v>28093.4</v>
      </c>
      <c r="U428" s="17" t="s">
        <v>961</v>
      </c>
      <c r="V428" s="16" t="n">
        <v>34</v>
      </c>
      <c r="W428" s="16" t="s">
        <v>334</v>
      </c>
      <c r="X428" s="16" t="s">
        <v>281</v>
      </c>
      <c r="Y428" s="16" t="s">
        <v>283</v>
      </c>
      <c r="Z428" s="17" t="str">
        <f aca="false">IFERROR(INDEX(Scoring!$U:$U,MATCH($C428&amp;"|"&amp;$E428,Scoring!$AD:$AD,0)),"")</f>
        <v>Cancer drug (cytotoxic) – less relevant; Reconstitution</v>
      </c>
      <c r="AA428" s="16" t="str">
        <f aca="false">IFERROR(INDEX(Scoring!$E:$E,MATCH($C428&amp;"|"&amp;$E428,Scoring!$AD:$AD,0)),"")</f>
        <v>Priority 1</v>
      </c>
      <c r="AB428" s="19" t="n">
        <f aca="false">IFERROR(INDEX(Scoring!$M:$M,MATCH($C428&amp;"|"&amp;$E428,Scoring!$AD:$AD,0)),"")</f>
        <v>905</v>
      </c>
      <c r="AC428" s="16" t="str">
        <f aca="false">IFERROR(INDEX('Route of Administration'!$C$5:$C$155,MATCH($C428,'Route of Administration'!$A$5:$A$155,0)),"")</f>
        <v>IV, SC</v>
      </c>
      <c r="AD428" s="15" t="str">
        <f aca="false">IFERROR(INDEX('Route of Administration'!$D$5:$D$155,MATCH($C428,'Route of Administration'!$A$5:$A$155,0)),"")</f>
        <v>Yes</v>
      </c>
      <c r="AE428" s="15" t="str">
        <f aca="false">IF($AD428="No","Not checked – drug is IV only",IFERROR(INDEX('Route of Administration'!$O$5:$O$170,MATCH($E428&amp;"|"&amp;$C428,'Route of Administration'!$S$5:$S$170,0)),"Not checked – price ≤ USD 5"))</f>
        <v>Pass</v>
      </c>
    </row>
    <row r="429" customFormat="false" ht="95.5" hidden="false" customHeight="false" outlineLevel="0" collapsed="false">
      <c r="B429" s="16" t="n">
        <v>427</v>
      </c>
      <c r="C429" s="16" t="s">
        <v>338</v>
      </c>
      <c r="D429" s="16" t="s">
        <v>2356</v>
      </c>
      <c r="E429" s="16" t="s">
        <v>927</v>
      </c>
      <c r="F429" s="16" t="s">
        <v>2106</v>
      </c>
      <c r="G429" s="17" t="s">
        <v>2107</v>
      </c>
      <c r="H429" s="16" t="s">
        <v>1533</v>
      </c>
      <c r="I429" s="18"/>
      <c r="J429" s="16" t="n">
        <v>1</v>
      </c>
      <c r="K429" s="16" t="n">
        <v>905</v>
      </c>
      <c r="L429" s="19" t="n">
        <v>28093.38</v>
      </c>
      <c r="M429" s="17" t="s">
        <v>340</v>
      </c>
      <c r="N429" s="18"/>
      <c r="O429" s="16" t="s">
        <v>1573</v>
      </c>
      <c r="P429" s="16" t="s">
        <v>112</v>
      </c>
      <c r="Q429" s="17" t="s">
        <v>112</v>
      </c>
      <c r="R429" s="16"/>
      <c r="S429" s="77" t="n">
        <f aca="false">IFERROR(INDEX('Injectable Value'!$Z$28:$Z$178,MATCH($C429,'Injectable Value'!$A$28:$A$178,0)),"")</f>
        <v>1</v>
      </c>
      <c r="T429" s="19" t="n">
        <f aca="false">IFERROR(ROUND(INDEX('Injectable Value'!$AA$28:$AA$178,MATCH($C429,'Injectable Value'!$A$28:$A$178,0)),1),"")</f>
        <v>28093.4</v>
      </c>
      <c r="U429" s="17" t="s">
        <v>961</v>
      </c>
      <c r="V429" s="16" t="n">
        <v>34</v>
      </c>
      <c r="W429" s="16" t="s">
        <v>334</v>
      </c>
      <c r="X429" s="16" t="s">
        <v>281</v>
      </c>
      <c r="Y429" s="16" t="s">
        <v>283</v>
      </c>
      <c r="Z429" s="17" t="str">
        <f aca="false">IFERROR(INDEX(Scoring!$U:$U,MATCH($C429&amp;"|"&amp;$E429,Scoring!$AD:$AD,0)),"")</f>
        <v>Cancer drug (cytotoxic) – less relevant; Reconstitution</v>
      </c>
      <c r="AA429" s="16" t="str">
        <f aca="false">IFERROR(INDEX(Scoring!$E:$E,MATCH($C429&amp;"|"&amp;$E429,Scoring!$AD:$AD,0)),"")</f>
        <v>Priority 1</v>
      </c>
      <c r="AB429" s="19" t="n">
        <f aca="false">IFERROR(INDEX(Scoring!$M:$M,MATCH($C429&amp;"|"&amp;$E429,Scoring!$AD:$AD,0)),"")</f>
        <v>905</v>
      </c>
      <c r="AC429" s="16" t="str">
        <f aca="false">IFERROR(INDEX('Route of Administration'!$C$5:$C$155,MATCH($C429,'Route of Administration'!$A$5:$A$155,0)),"")</f>
        <v>IV, SC</v>
      </c>
      <c r="AD429" s="15" t="str">
        <f aca="false">IFERROR(INDEX('Route of Administration'!$D$5:$D$155,MATCH($C429,'Route of Administration'!$A$5:$A$155,0)),"")</f>
        <v>Yes</v>
      </c>
      <c r="AE429" s="15" t="str">
        <f aca="false">IF($AD429="No","Not checked – drug is IV only",IFERROR(INDEX('Route of Administration'!$O$5:$O$170,MATCH($E429&amp;"|"&amp;$C429,'Route of Administration'!$S$5:$S$170,0)),"Not checked – price ≤ USD 5"))</f>
        <v>Pass</v>
      </c>
    </row>
    <row r="430" customFormat="false" ht="68.65" hidden="false" customHeight="false" outlineLevel="0" collapsed="false">
      <c r="B430" s="16" t="n">
        <v>428</v>
      </c>
      <c r="C430" s="16" t="s">
        <v>380</v>
      </c>
      <c r="D430" s="16" t="s">
        <v>2357</v>
      </c>
      <c r="E430" s="16" t="s">
        <v>927</v>
      </c>
      <c r="F430" s="16" t="s">
        <v>1787</v>
      </c>
      <c r="G430" s="17" t="s">
        <v>1788</v>
      </c>
      <c r="H430" s="16" t="s">
        <v>1533</v>
      </c>
      <c r="I430" s="18"/>
      <c r="J430" s="16" t="n">
        <v>1</v>
      </c>
      <c r="K430" s="16" t="n">
        <v>843</v>
      </c>
      <c r="L430" s="19" t="n">
        <v>4508</v>
      </c>
      <c r="M430" s="17" t="s">
        <v>381</v>
      </c>
      <c r="N430" s="18"/>
      <c r="O430" s="16" t="s">
        <v>1573</v>
      </c>
      <c r="P430" s="16" t="s">
        <v>112</v>
      </c>
      <c r="Q430" s="17" t="s">
        <v>112</v>
      </c>
      <c r="R430" s="16"/>
      <c r="S430" s="77" t="n">
        <f aca="false">IFERROR(INDEX('Injectable Value'!$Z$28:$Z$178,MATCH($C430,'Injectable Value'!$A$28:$A$178,0)),"")</f>
        <v>0.858739397335643</v>
      </c>
      <c r="T430" s="19" t="n">
        <f aca="false">IFERROR(ROUND(INDEX('Injectable Value'!$AA$28:$AA$178,MATCH($C430,'Injectable Value'!$A$28:$A$178,0)),1),"")</f>
        <v>3871.2</v>
      </c>
      <c r="U430" s="17" t="s">
        <v>982</v>
      </c>
      <c r="V430" s="16" t="n">
        <v>23</v>
      </c>
      <c r="W430" s="16" t="s">
        <v>334</v>
      </c>
      <c r="X430" s="16" t="s">
        <v>281</v>
      </c>
      <c r="Y430" s="16" t="s">
        <v>333</v>
      </c>
      <c r="Z430" s="17" t="str">
        <f aca="false">IFERROR(INDEX(Scoring!$U:$U,MATCH($C430&amp;"|"&amp;$E430,Scoring!$AD:$AD,0)),"")</f>
        <v>Cancer drug (cytotoxic) – less relevant; Reconstitution</v>
      </c>
      <c r="AA430" s="16" t="str">
        <f aca="false">IFERROR(INDEX(Scoring!$E:$E,MATCH($C430&amp;"|"&amp;$E430,Scoring!$AD:$AD,0)),"")</f>
        <v>Excluded – IV only</v>
      </c>
      <c r="AB430" s="19" t="n">
        <f aca="false">IFERROR(INDEX(Scoring!$M:$M,MATCH($C430&amp;"|"&amp;$E430,Scoring!$AD:$AD,0)),"")</f>
        <v>724</v>
      </c>
      <c r="AC430" s="16" t="str">
        <f aca="false">IFERROR(INDEX('Route of Administration'!$C$5:$C$155,MATCH($C430,'Route of Administration'!$A$5:$A$155,0)),"")</f>
        <v>IV</v>
      </c>
      <c r="AD430" s="15" t="str">
        <f aca="false">IFERROR(INDEX('Route of Administration'!$D$5:$D$155,MATCH($C430,'Route of Administration'!$A$5:$A$155,0)),"")</f>
        <v>No</v>
      </c>
      <c r="AE430" s="15" t="str">
        <f aca="false">IF($AD430="No","Not checked – drug is IV only",IFERROR(INDEX('Route of Administration'!$O$5:$O$170,MATCH($E430&amp;"|"&amp;$C430,'Route of Administration'!$S$5:$S$170,0)),"Not checked – price ≤ USD 5"))</f>
        <v>Not checked – drug is IV only</v>
      </c>
    </row>
    <row r="431" customFormat="false" ht="68.65" hidden="false" customHeight="false" outlineLevel="0" collapsed="false">
      <c r="B431" s="16" t="n">
        <v>429</v>
      </c>
      <c r="C431" s="16" t="s">
        <v>380</v>
      </c>
      <c r="D431" s="16" t="s">
        <v>2357</v>
      </c>
      <c r="E431" s="16" t="s">
        <v>927</v>
      </c>
      <c r="F431" s="16" t="s">
        <v>1791</v>
      </c>
      <c r="G431" s="17" t="s">
        <v>1792</v>
      </c>
      <c r="H431" s="16" t="s">
        <v>1533</v>
      </c>
      <c r="I431" s="18"/>
      <c r="J431" s="16" t="n">
        <v>1</v>
      </c>
      <c r="K431" s="16" t="n">
        <v>843</v>
      </c>
      <c r="L431" s="19" t="n">
        <v>4508</v>
      </c>
      <c r="M431" s="17" t="s">
        <v>381</v>
      </c>
      <c r="N431" s="18"/>
      <c r="O431" s="16" t="s">
        <v>1573</v>
      </c>
      <c r="P431" s="16" t="s">
        <v>112</v>
      </c>
      <c r="Q431" s="17" t="s">
        <v>112</v>
      </c>
      <c r="R431" s="16"/>
      <c r="S431" s="77" t="n">
        <f aca="false">IFERROR(INDEX('Injectable Value'!$Z$28:$Z$178,MATCH($C431,'Injectable Value'!$A$28:$A$178,0)),"")</f>
        <v>0.858739397335643</v>
      </c>
      <c r="T431" s="19" t="n">
        <f aca="false">IFERROR(ROUND(INDEX('Injectable Value'!$AA$28:$AA$178,MATCH($C431,'Injectable Value'!$A$28:$A$178,0)),1),"")</f>
        <v>3871.2</v>
      </c>
      <c r="U431" s="17" t="s">
        <v>982</v>
      </c>
      <c r="V431" s="16" t="n">
        <v>23</v>
      </c>
      <c r="W431" s="16" t="s">
        <v>334</v>
      </c>
      <c r="X431" s="16" t="s">
        <v>281</v>
      </c>
      <c r="Y431" s="16" t="s">
        <v>333</v>
      </c>
      <c r="Z431" s="17" t="str">
        <f aca="false">IFERROR(INDEX(Scoring!$U:$U,MATCH($C431&amp;"|"&amp;$E431,Scoring!$AD:$AD,0)),"")</f>
        <v>Cancer drug (cytotoxic) – less relevant; Reconstitution</v>
      </c>
      <c r="AA431" s="16" t="str">
        <f aca="false">IFERROR(INDEX(Scoring!$E:$E,MATCH($C431&amp;"|"&amp;$E431,Scoring!$AD:$AD,0)),"")</f>
        <v>Excluded – IV only</v>
      </c>
      <c r="AB431" s="19" t="n">
        <f aca="false">IFERROR(INDEX(Scoring!$M:$M,MATCH($C431&amp;"|"&amp;$E431,Scoring!$AD:$AD,0)),"")</f>
        <v>724</v>
      </c>
      <c r="AC431" s="16" t="str">
        <f aca="false">IFERROR(INDEX('Route of Administration'!$C$5:$C$155,MATCH($C431,'Route of Administration'!$A$5:$A$155,0)),"")</f>
        <v>IV</v>
      </c>
      <c r="AD431" s="15" t="str">
        <f aca="false">IFERROR(INDEX('Route of Administration'!$D$5:$D$155,MATCH($C431,'Route of Administration'!$A$5:$A$155,0)),"")</f>
        <v>No</v>
      </c>
      <c r="AE431" s="15" t="str">
        <f aca="false">IF($AD431="No","Not checked – drug is IV only",IFERROR(INDEX('Route of Administration'!$O$5:$O$170,MATCH($E431&amp;"|"&amp;$C431,'Route of Administration'!$S$5:$S$170,0)),"Not checked – price ≤ USD 5"))</f>
        <v>Not checked – drug is IV only</v>
      </c>
    </row>
    <row r="432" customFormat="false" ht="68.65" hidden="false" customHeight="false" outlineLevel="0" collapsed="false">
      <c r="B432" s="16" t="n">
        <v>430</v>
      </c>
      <c r="C432" s="16" t="s">
        <v>380</v>
      </c>
      <c r="D432" s="16" t="s">
        <v>2241</v>
      </c>
      <c r="E432" s="16" t="s">
        <v>927</v>
      </c>
      <c r="F432" s="16" t="s">
        <v>1794</v>
      </c>
      <c r="G432" s="17" t="s">
        <v>1795</v>
      </c>
      <c r="H432" s="16" t="s">
        <v>1533</v>
      </c>
      <c r="I432" s="18"/>
      <c r="J432" s="16" t="n">
        <v>1</v>
      </c>
      <c r="K432" s="16" t="n">
        <v>843</v>
      </c>
      <c r="L432" s="19" t="n">
        <v>4508</v>
      </c>
      <c r="M432" s="17" t="s">
        <v>381</v>
      </c>
      <c r="N432" s="18"/>
      <c r="O432" s="16" t="s">
        <v>1573</v>
      </c>
      <c r="P432" s="16" t="s">
        <v>112</v>
      </c>
      <c r="Q432" s="17" t="s">
        <v>112</v>
      </c>
      <c r="R432" s="16"/>
      <c r="S432" s="77" t="n">
        <f aca="false">IFERROR(INDEX('Injectable Value'!$Z$28:$Z$178,MATCH($C432,'Injectable Value'!$A$28:$A$178,0)),"")</f>
        <v>0.858739397335643</v>
      </c>
      <c r="T432" s="19" t="n">
        <f aca="false">IFERROR(ROUND(INDEX('Injectable Value'!$AA$28:$AA$178,MATCH($C432,'Injectable Value'!$A$28:$A$178,0)),1),"")</f>
        <v>3871.2</v>
      </c>
      <c r="U432" s="17" t="s">
        <v>982</v>
      </c>
      <c r="V432" s="16" t="n">
        <v>23</v>
      </c>
      <c r="W432" s="16" t="s">
        <v>334</v>
      </c>
      <c r="X432" s="16" t="s">
        <v>281</v>
      </c>
      <c r="Y432" s="16" t="s">
        <v>333</v>
      </c>
      <c r="Z432" s="17" t="str">
        <f aca="false">IFERROR(INDEX(Scoring!$U:$U,MATCH($C432&amp;"|"&amp;$E432,Scoring!$AD:$AD,0)),"")</f>
        <v>Cancer drug (cytotoxic) – less relevant; Reconstitution</v>
      </c>
      <c r="AA432" s="16" t="str">
        <f aca="false">IFERROR(INDEX(Scoring!$E:$E,MATCH($C432&amp;"|"&amp;$E432,Scoring!$AD:$AD,0)),"")</f>
        <v>Excluded – IV only</v>
      </c>
      <c r="AB432" s="19" t="n">
        <f aca="false">IFERROR(INDEX(Scoring!$M:$M,MATCH($C432&amp;"|"&amp;$E432,Scoring!$AD:$AD,0)),"")</f>
        <v>724</v>
      </c>
      <c r="AC432" s="16" t="str">
        <f aca="false">IFERROR(INDEX('Route of Administration'!$C$5:$C$155,MATCH($C432,'Route of Administration'!$A$5:$A$155,0)),"")</f>
        <v>IV</v>
      </c>
      <c r="AD432" s="15" t="str">
        <f aca="false">IFERROR(INDEX('Route of Administration'!$D$5:$D$155,MATCH($C432,'Route of Administration'!$A$5:$A$155,0)),"")</f>
        <v>No</v>
      </c>
      <c r="AE432" s="15" t="str">
        <f aca="false">IF($AD432="No","Not checked – drug is IV only",IFERROR(INDEX('Route of Administration'!$O$5:$O$170,MATCH($E432&amp;"|"&amp;$C432,'Route of Administration'!$S$5:$S$170,0)),"Not checked – price ≤ USD 5"))</f>
        <v>Not checked – drug is IV only</v>
      </c>
    </row>
    <row r="433" customFormat="false" ht="28.35" hidden="false" customHeight="false" outlineLevel="0" collapsed="false">
      <c r="B433" s="16" t="n">
        <v>431</v>
      </c>
      <c r="C433" s="16" t="s">
        <v>754</v>
      </c>
      <c r="D433" s="16" t="s">
        <v>1150</v>
      </c>
      <c r="E433" s="16" t="s">
        <v>927</v>
      </c>
      <c r="F433" s="16" t="s">
        <v>1985</v>
      </c>
      <c r="G433" s="17" t="s">
        <v>2358</v>
      </c>
      <c r="H433" s="16" t="s">
        <v>1540</v>
      </c>
      <c r="I433" s="18"/>
      <c r="J433" s="16" t="n">
        <v>1</v>
      </c>
      <c r="K433" s="16" t="n">
        <v>286</v>
      </c>
      <c r="L433" s="19" t="n">
        <v>3067.39</v>
      </c>
      <c r="M433" s="17" t="s">
        <v>756</v>
      </c>
      <c r="N433" s="82" t="n">
        <v>5.12</v>
      </c>
      <c r="O433" s="64" t="s">
        <v>1541</v>
      </c>
      <c r="P433" s="16" t="s">
        <v>1561</v>
      </c>
      <c r="Q433" s="17" t="s">
        <v>1864</v>
      </c>
      <c r="R433" s="78" t="s">
        <v>1865</v>
      </c>
      <c r="S433" s="77" t="n">
        <f aca="false">IFERROR(INDEX('Injectable Value'!$Z$28:$Z$178,MATCH($C433,'Injectable Value'!$A$28:$A$178,0)),"")</f>
        <v>1</v>
      </c>
      <c r="T433" s="19" t="n">
        <f aca="false">IFERROR(ROUND(INDEX('Injectable Value'!$AA$28:$AA$178,MATCH($C433,'Injectable Value'!$A$28:$A$178,0)),1),"")</f>
        <v>3067.4</v>
      </c>
      <c r="U433" s="17" t="s">
        <v>614</v>
      </c>
      <c r="V433" s="16" t="n">
        <v>1</v>
      </c>
      <c r="W433" s="16" t="s">
        <v>112</v>
      </c>
      <c r="X433" s="16" t="s">
        <v>291</v>
      </c>
      <c r="Y433" s="16" t="s">
        <v>283</v>
      </c>
      <c r="Z433" s="17" t="str">
        <f aca="false">IFERROR(INDEX(Scoring!$U:$U,MATCH($C433&amp;"|"&amp;$E433,Scoring!$AD:$AD,0)),"")</f>
        <v>Prefilled only</v>
      </c>
      <c r="AA433" s="16" t="str">
        <f aca="false">IFERROR(INDEX(Scoring!$E:$E,MATCH($C433&amp;"|"&amp;$E433,Scoring!$AD:$AD,0)),"")</f>
        <v>Priority 2</v>
      </c>
      <c r="AB433" s="19" t="n">
        <f aca="false">IFERROR(INDEX(Scoring!$M:$M,MATCH($C433&amp;"|"&amp;$E433,Scoring!$AD:$AD,0)),"")</f>
        <v>286</v>
      </c>
      <c r="AC433" s="16" t="str">
        <f aca="false">IFERROR(INDEX('Route of Administration'!$C$5:$C$155,MATCH($C433,'Route of Administration'!$A$5:$A$155,0)),"")</f>
        <v>IV, IM</v>
      </c>
      <c r="AD433" s="15" t="str">
        <f aca="false">IFERROR(INDEX('Route of Administration'!$D$5:$D$155,MATCH($C433,'Route of Administration'!$A$5:$A$155,0)),"")</f>
        <v>Yes</v>
      </c>
      <c r="AE433" s="15" t="str">
        <f aca="false">IF($AD433="No","Not checked – drug is IV only",IFERROR(INDEX('Route of Administration'!$O$5:$O$170,MATCH($E433&amp;"|"&amp;$C433,'Route of Administration'!$S$5:$S$170,0)),"Not checked – price ≤ USD 5"))</f>
        <v>Pass</v>
      </c>
    </row>
    <row r="434" customFormat="false" ht="82.05" hidden="false" customHeight="false" outlineLevel="0" collapsed="false">
      <c r="B434" s="16" t="n">
        <v>432</v>
      </c>
      <c r="C434" s="16" t="s">
        <v>1159</v>
      </c>
      <c r="D434" s="16" t="s">
        <v>1160</v>
      </c>
      <c r="E434" s="16" t="s">
        <v>927</v>
      </c>
      <c r="F434" s="16" t="s">
        <v>2085</v>
      </c>
      <c r="G434" s="17" t="s">
        <v>2359</v>
      </c>
      <c r="H434" s="16" t="s">
        <v>1533</v>
      </c>
      <c r="I434" s="18"/>
      <c r="J434" s="16" t="n">
        <v>1</v>
      </c>
      <c r="K434" s="16" t="n">
        <v>136</v>
      </c>
      <c r="L434" s="19" t="n">
        <v>6629.25</v>
      </c>
      <c r="M434" s="17" t="s">
        <v>1161</v>
      </c>
      <c r="N434" s="82" t="n">
        <v>23.95</v>
      </c>
      <c r="O434" s="64" t="s">
        <v>1541</v>
      </c>
      <c r="P434" s="16" t="s">
        <v>1561</v>
      </c>
      <c r="Q434" s="17" t="s">
        <v>1542</v>
      </c>
      <c r="R434" s="78" t="s">
        <v>1543</v>
      </c>
      <c r="S434" s="77" t="n">
        <f aca="false">IFERROR(INDEX('Injectable Value'!$Z$28:$Z$178,MATCH($C434,'Injectable Value'!$A$28:$A$178,0)),"")</f>
        <v>0.998427672955975</v>
      </c>
      <c r="T434" s="19" t="n">
        <f aca="false">IFERROR(ROUND(INDEX('Injectable Value'!$AA$28:$AA$178,MATCH($C434,'Injectable Value'!$A$28:$A$178,0)),1),"")</f>
        <v>6618.8</v>
      </c>
      <c r="U434" s="17" t="s">
        <v>1162</v>
      </c>
      <c r="V434" s="16" t="n">
        <v>31</v>
      </c>
      <c r="W434" s="16" t="s">
        <v>1023</v>
      </c>
      <c r="X434" s="16" t="s">
        <v>281</v>
      </c>
      <c r="Y434" s="16" t="s">
        <v>333</v>
      </c>
      <c r="Z434" s="17" t="str">
        <f aca="false">IFERROR(INDEX(Scoring!$U:$U,MATCH($C434&amp;"|"&amp;$E434,Scoring!$AD:$AD,0)),"")</f>
        <v>Reconstitution</v>
      </c>
      <c r="AA434" s="16" t="str">
        <f aca="false">IFERROR(INDEX(Scoring!$E:$E,MATCH($C434&amp;"|"&amp;$E434,Scoring!$AD:$AD,0)),"")</f>
        <v>Excluded – IV only</v>
      </c>
      <c r="AB434" s="19" t="n">
        <f aca="false">IFERROR(INDEX(Scoring!$M:$M,MATCH($C434&amp;"|"&amp;$E434,Scoring!$AD:$AD,0)),"")</f>
        <v>136</v>
      </c>
      <c r="AC434" s="16" t="str">
        <f aca="false">IFERROR(INDEX('Route of Administration'!$C$5:$C$155,MATCH($C434,'Route of Administration'!$A$5:$A$155,0)),"")</f>
        <v>IV</v>
      </c>
      <c r="AD434" s="15" t="str">
        <f aca="false">IFERROR(INDEX('Route of Administration'!$D$5:$D$155,MATCH($C434,'Route of Administration'!$A$5:$A$155,0)),"")</f>
        <v>No</v>
      </c>
      <c r="AE434" s="15" t="str">
        <f aca="false">IF($AD434="No","Not checked – drug is IV only",IFERROR(INDEX('Route of Administration'!$O$5:$O$170,MATCH($E434&amp;"|"&amp;$C434,'Route of Administration'!$S$5:$S$170,0)),"Not checked – price ≤ USD 5"))</f>
        <v>Not checked – drug is IV only</v>
      </c>
    </row>
    <row r="435" customFormat="false" ht="95.5" hidden="false" customHeight="false" outlineLevel="0" collapsed="false">
      <c r="B435" s="16" t="n">
        <v>433</v>
      </c>
      <c r="C435" s="16" t="s">
        <v>338</v>
      </c>
      <c r="D435" s="16" t="s">
        <v>2356</v>
      </c>
      <c r="E435" s="16" t="s">
        <v>927</v>
      </c>
      <c r="F435" s="16" t="s">
        <v>2360</v>
      </c>
      <c r="G435" s="17" t="s">
        <v>2361</v>
      </c>
      <c r="H435" s="16" t="s">
        <v>1533</v>
      </c>
      <c r="I435" s="18"/>
      <c r="J435" s="16" t="n">
        <v>1</v>
      </c>
      <c r="K435" s="16" t="n">
        <v>905</v>
      </c>
      <c r="L435" s="19" t="n">
        <v>28093.38</v>
      </c>
      <c r="M435" s="17" t="s">
        <v>340</v>
      </c>
      <c r="N435" s="18"/>
      <c r="O435" s="16" t="s">
        <v>1573</v>
      </c>
      <c r="P435" s="16" t="s">
        <v>112</v>
      </c>
      <c r="Q435" s="17" t="s">
        <v>112</v>
      </c>
      <c r="R435" s="16"/>
      <c r="S435" s="77" t="n">
        <f aca="false">IFERROR(INDEX('Injectable Value'!$Z$28:$Z$178,MATCH($C435,'Injectable Value'!$A$28:$A$178,0)),"")</f>
        <v>1</v>
      </c>
      <c r="T435" s="19" t="n">
        <f aca="false">IFERROR(ROUND(INDEX('Injectable Value'!$AA$28:$AA$178,MATCH($C435,'Injectable Value'!$A$28:$A$178,0)),1),"")</f>
        <v>28093.4</v>
      </c>
      <c r="U435" s="17" t="s">
        <v>961</v>
      </c>
      <c r="V435" s="16" t="n">
        <v>34</v>
      </c>
      <c r="W435" s="16" t="s">
        <v>334</v>
      </c>
      <c r="X435" s="16" t="s">
        <v>281</v>
      </c>
      <c r="Y435" s="16" t="s">
        <v>333</v>
      </c>
      <c r="Z435" s="17" t="str">
        <f aca="false">IFERROR(INDEX(Scoring!$U:$U,MATCH($C435&amp;"|"&amp;$E435,Scoring!$AD:$AD,0)),"")</f>
        <v>Cancer drug (cytotoxic) – less relevant; Reconstitution</v>
      </c>
      <c r="AA435" s="16" t="str">
        <f aca="false">IFERROR(INDEX(Scoring!$E:$E,MATCH($C435&amp;"|"&amp;$E435,Scoring!$AD:$AD,0)),"")</f>
        <v>Priority 1</v>
      </c>
      <c r="AB435" s="19" t="n">
        <f aca="false">IFERROR(INDEX(Scoring!$M:$M,MATCH($C435&amp;"|"&amp;$E435,Scoring!$AD:$AD,0)),"")</f>
        <v>905</v>
      </c>
      <c r="AC435" s="16" t="str">
        <f aca="false">IFERROR(INDEX('Route of Administration'!$C$5:$C$155,MATCH($C435,'Route of Administration'!$A$5:$A$155,0)),"")</f>
        <v>IV, SC</v>
      </c>
      <c r="AD435" s="15" t="str">
        <f aca="false">IFERROR(INDEX('Route of Administration'!$D$5:$D$155,MATCH($C435,'Route of Administration'!$A$5:$A$155,0)),"")</f>
        <v>Yes</v>
      </c>
      <c r="AE435" s="15" t="str">
        <f aca="false">IF($AD435="No","Not checked – drug is IV only",IFERROR(INDEX('Route of Administration'!$O$5:$O$170,MATCH($E435&amp;"|"&amp;$C435,'Route of Administration'!$S$5:$S$170,0)),"Not checked – price ≤ USD 5"))</f>
        <v>Pass</v>
      </c>
    </row>
    <row r="436" customFormat="false" ht="82.05" hidden="false" customHeight="false" outlineLevel="0" collapsed="false">
      <c r="B436" s="16" t="n">
        <v>434</v>
      </c>
      <c r="C436" s="16" t="s">
        <v>295</v>
      </c>
      <c r="D436" s="16" t="s">
        <v>2362</v>
      </c>
      <c r="E436" s="16" t="s">
        <v>927</v>
      </c>
      <c r="F436" s="16" t="s">
        <v>1797</v>
      </c>
      <c r="G436" s="17" t="s">
        <v>1798</v>
      </c>
      <c r="H436" s="16" t="s">
        <v>1540</v>
      </c>
      <c r="I436" s="18"/>
      <c r="J436" s="16" t="n">
        <v>1</v>
      </c>
      <c r="K436" s="16" t="n">
        <v>146</v>
      </c>
      <c r="L436" s="19" t="n">
        <v>11366.06</v>
      </c>
      <c r="M436" s="17" t="s">
        <v>296</v>
      </c>
      <c r="N436" s="18"/>
      <c r="O436" s="16" t="s">
        <v>1573</v>
      </c>
      <c r="P436" s="16" t="s">
        <v>112</v>
      </c>
      <c r="Q436" s="17" t="s">
        <v>112</v>
      </c>
      <c r="R436" s="16"/>
      <c r="S436" s="77" t="n">
        <f aca="false">IFERROR(INDEX('Injectable Value'!$Z$28:$Z$178,MATCH($C436,'Injectable Value'!$A$28:$A$178,0)),"")</f>
        <v>1</v>
      </c>
      <c r="T436" s="19" t="n">
        <f aca="false">IFERROR(ROUND(INDEX('Injectable Value'!$AA$28:$AA$178,MATCH($C436,'Injectable Value'!$A$28:$A$178,0)),1),"")</f>
        <v>11366.1</v>
      </c>
      <c r="U436" s="17" t="s">
        <v>1045</v>
      </c>
      <c r="V436" s="16" t="n">
        <v>30</v>
      </c>
      <c r="W436" s="16" t="s">
        <v>342</v>
      </c>
      <c r="X436" s="16" t="s">
        <v>291</v>
      </c>
      <c r="Y436" s="16" t="s">
        <v>283</v>
      </c>
      <c r="Z436" s="17" t="str">
        <f aca="false">IFERROR(INDEX(Scoring!$U:$U,MATCH($C436&amp;"|"&amp;$E436,Scoring!$AD:$AD,0)),"")</f>
        <v>Prefilled only</v>
      </c>
      <c r="AA436" s="16" t="str">
        <f aca="false">IFERROR(INDEX(Scoring!$E:$E,MATCH($C436&amp;"|"&amp;$E436,Scoring!$AD:$AD,0)),"")</f>
        <v>Priority 1</v>
      </c>
      <c r="AB436" s="19" t="n">
        <f aca="false">IFERROR(INDEX(Scoring!$M:$M,MATCH($C436&amp;"|"&amp;$E436,Scoring!$AD:$AD,0)),"")</f>
        <v>146</v>
      </c>
      <c r="AC436" s="16" t="str">
        <f aca="false">IFERROR(INDEX('Route of Administration'!$C$5:$C$155,MATCH($C436,'Route of Administration'!$A$5:$A$155,0)),"")</f>
        <v>IM</v>
      </c>
      <c r="AD436" s="15" t="str">
        <f aca="false">IFERROR(INDEX('Route of Administration'!$D$5:$D$155,MATCH($C436,'Route of Administration'!$A$5:$A$155,0)),"")</f>
        <v>Yes</v>
      </c>
      <c r="AE436" s="15" t="str">
        <f aca="false">IF($AD436="No","Not checked – drug is IV only",IFERROR(INDEX('Route of Administration'!$O$5:$O$170,MATCH($E436&amp;"|"&amp;$C436,'Route of Administration'!$S$5:$S$170,0)),"Not checked – price ≤ USD 5"))</f>
        <v>Pass</v>
      </c>
    </row>
    <row r="437" customFormat="false" ht="28.35" hidden="false" customHeight="false" outlineLevel="0" collapsed="false">
      <c r="B437" s="16" t="n">
        <v>435</v>
      </c>
      <c r="C437" s="16" t="s">
        <v>74</v>
      </c>
      <c r="D437" s="16" t="s">
        <v>2363</v>
      </c>
      <c r="E437" s="16" t="s">
        <v>927</v>
      </c>
      <c r="F437" s="16" t="s">
        <v>1748</v>
      </c>
      <c r="G437" s="17" t="s">
        <v>1870</v>
      </c>
      <c r="H437" s="16" t="s">
        <v>1533</v>
      </c>
      <c r="I437" s="18"/>
      <c r="J437" s="16" t="n">
        <v>1</v>
      </c>
      <c r="K437" s="16" t="n">
        <v>1963</v>
      </c>
      <c r="L437" s="19" t="n">
        <v>49365.77</v>
      </c>
      <c r="M437" s="17" t="s">
        <v>657</v>
      </c>
      <c r="N437" s="18"/>
      <c r="O437" s="16" t="s">
        <v>1573</v>
      </c>
      <c r="P437" s="16" t="s">
        <v>112</v>
      </c>
      <c r="Q437" s="17" t="s">
        <v>112</v>
      </c>
      <c r="R437" s="16"/>
      <c r="S437" s="77" t="n">
        <f aca="false">IFERROR(INDEX('Injectable Value'!$Z$28:$Z$178,MATCH($C437,'Injectable Value'!$A$28:$A$178,0)),"")</f>
        <v>0.115367076010264</v>
      </c>
      <c r="T437" s="19" t="n">
        <f aca="false">IFERROR(ROUND(INDEX('Injectable Value'!$AA$28:$AA$178,MATCH($C437,'Injectable Value'!$A$28:$A$178,0)),1),"")</f>
        <v>5695.2</v>
      </c>
      <c r="U437" s="17" t="s">
        <v>619</v>
      </c>
      <c r="V437" s="16" t="n">
        <v>2</v>
      </c>
      <c r="W437" s="16" t="s">
        <v>112</v>
      </c>
      <c r="X437" s="16" t="s">
        <v>281</v>
      </c>
      <c r="Y437" s="16" t="s">
        <v>283</v>
      </c>
      <c r="Z437" s="17" t="str">
        <f aca="false">IFERROR(INDEX(Scoring!$U:$U,MATCH($C437&amp;"|"&amp;$E437,Scoring!$AD:$AD,0)),"")</f>
        <v/>
      </c>
      <c r="AA437" s="16" t="str">
        <f aca="false">IFERROR(INDEX(Scoring!$E:$E,MATCH($C437&amp;"|"&amp;$E437,Scoring!$AD:$AD,0)),"")</f>
        <v>Priority 1</v>
      </c>
      <c r="AB437" s="19" t="n">
        <f aca="false">IFERROR(INDEX(Scoring!$M:$M,MATCH($C437&amp;"|"&amp;$E437,Scoring!$AD:$AD,0)),"")</f>
        <v>226</v>
      </c>
      <c r="AC437" s="16" t="str">
        <f aca="false">IFERROR(INDEX('Route of Administration'!$C$5:$C$155,MATCH($C437,'Route of Administration'!$A$5:$A$155,0)),"")</f>
        <v>IV, IM, SC</v>
      </c>
      <c r="AD437" s="15" t="str">
        <f aca="false">IFERROR(INDEX('Route of Administration'!$D$5:$D$155,MATCH($C437,'Route of Administration'!$A$5:$A$155,0)),"")</f>
        <v>Yes</v>
      </c>
      <c r="AE437" s="15" t="str">
        <f aca="false">IF($AD437="No","Not checked – drug is IV only",IFERROR(INDEX('Route of Administration'!$O$5:$O$170,MATCH($E437&amp;"|"&amp;$C437,'Route of Administration'!$S$5:$S$170,0)),"Not checked – price ≤ USD 5"))</f>
        <v>Pass</v>
      </c>
    </row>
    <row r="438" customFormat="false" ht="68.65" hidden="false" customHeight="false" outlineLevel="0" collapsed="false">
      <c r="B438" s="16" t="n">
        <v>436</v>
      </c>
      <c r="C438" s="16" t="s">
        <v>518</v>
      </c>
      <c r="D438" s="16" t="s">
        <v>2318</v>
      </c>
      <c r="E438" s="16" t="s">
        <v>927</v>
      </c>
      <c r="F438" s="16" t="s">
        <v>2364</v>
      </c>
      <c r="G438" s="17" t="s">
        <v>2358</v>
      </c>
      <c r="H438" s="16" t="s">
        <v>1540</v>
      </c>
      <c r="I438" s="18"/>
      <c r="J438" s="16" t="n">
        <v>1</v>
      </c>
      <c r="K438" s="16" t="n">
        <v>2546</v>
      </c>
      <c r="L438" s="19" t="n">
        <v>46507.62</v>
      </c>
      <c r="M438" s="17" t="s">
        <v>520</v>
      </c>
      <c r="N438" s="18"/>
      <c r="O438" s="16" t="s">
        <v>1573</v>
      </c>
      <c r="P438" s="16" t="s">
        <v>112</v>
      </c>
      <c r="Q438" s="17" t="s">
        <v>112</v>
      </c>
      <c r="R438" s="16"/>
      <c r="S438" s="77" t="n">
        <f aca="false">IFERROR(INDEX('Injectable Value'!$Z$28:$Z$178,MATCH($C438,'Injectable Value'!$A$28:$A$178,0)),"")</f>
        <v>0.378228374732698</v>
      </c>
      <c r="T438" s="19" t="n">
        <f aca="false">IFERROR(ROUND(INDEX('Injectable Value'!$AA$28:$AA$178,MATCH($C438,'Injectable Value'!$A$28:$A$178,0)),1),"")</f>
        <v>17590.5</v>
      </c>
      <c r="U438" s="17" t="s">
        <v>1104</v>
      </c>
      <c r="V438" s="16" t="n">
        <v>27</v>
      </c>
      <c r="W438" s="16" t="s">
        <v>342</v>
      </c>
      <c r="X438" s="16" t="s">
        <v>291</v>
      </c>
      <c r="Y438" s="16" t="s">
        <v>283</v>
      </c>
      <c r="Z438" s="17" t="str">
        <f aca="false">IFERROR(INDEX(Scoring!$U:$U,MATCH($C438&amp;"|"&amp;$E438,Scoring!$AD:$AD,0)),"")</f>
        <v/>
      </c>
      <c r="AA438" s="16" t="str">
        <f aca="false">IFERROR(INDEX(Scoring!$E:$E,MATCH($C438&amp;"|"&amp;$E438,Scoring!$AD:$AD,0)),"")</f>
        <v>Priority 2</v>
      </c>
      <c r="AB438" s="19" t="n">
        <f aca="false">IFERROR(INDEX(Scoring!$M:$M,MATCH($C438&amp;"|"&amp;$E438,Scoring!$AD:$AD,0)),"")</f>
        <v>963</v>
      </c>
      <c r="AC438" s="16" t="str">
        <f aca="false">IFERROR(INDEX('Route of Administration'!$C$5:$C$155,MATCH($C438,'Route of Administration'!$A$5:$A$155,0)),"")</f>
        <v>IV, IM</v>
      </c>
      <c r="AD438" s="15" t="str">
        <f aca="false">IFERROR(INDEX('Route of Administration'!$D$5:$D$155,MATCH($C438,'Route of Administration'!$A$5:$A$155,0)),"")</f>
        <v>Yes</v>
      </c>
      <c r="AE438" s="15" t="str">
        <f aca="false">IF($AD438="No","Not checked – drug is IV only",IFERROR(INDEX('Route of Administration'!$O$5:$O$170,MATCH($E438&amp;"|"&amp;$C438,'Route of Administration'!$S$5:$S$170,0)),"Not checked – price ≤ USD 5"))</f>
        <v>Pass</v>
      </c>
    </row>
    <row r="439" customFormat="false" ht="68.65" hidden="false" customHeight="false" outlineLevel="0" collapsed="false">
      <c r="B439" s="16" t="n">
        <v>437</v>
      </c>
      <c r="C439" s="16" t="s">
        <v>518</v>
      </c>
      <c r="D439" s="16" t="s">
        <v>2318</v>
      </c>
      <c r="E439" s="16" t="s">
        <v>927</v>
      </c>
      <c r="F439" s="16" t="s">
        <v>2365</v>
      </c>
      <c r="G439" s="17" t="s">
        <v>2366</v>
      </c>
      <c r="H439" s="16" t="s">
        <v>1540</v>
      </c>
      <c r="I439" s="18"/>
      <c r="J439" s="16" t="n">
        <v>1</v>
      </c>
      <c r="K439" s="16" t="n">
        <v>2546</v>
      </c>
      <c r="L439" s="19" t="n">
        <v>46507.62</v>
      </c>
      <c r="M439" s="17" t="s">
        <v>520</v>
      </c>
      <c r="N439" s="18"/>
      <c r="O439" s="16" t="s">
        <v>1573</v>
      </c>
      <c r="P439" s="16" t="s">
        <v>112</v>
      </c>
      <c r="Q439" s="17" t="s">
        <v>112</v>
      </c>
      <c r="R439" s="16"/>
      <c r="S439" s="77" t="n">
        <f aca="false">IFERROR(INDEX('Injectable Value'!$Z$28:$Z$178,MATCH($C439,'Injectable Value'!$A$28:$A$178,0)),"")</f>
        <v>0.378228374732698</v>
      </c>
      <c r="T439" s="19" t="n">
        <f aca="false">IFERROR(ROUND(INDEX('Injectable Value'!$AA$28:$AA$178,MATCH($C439,'Injectable Value'!$A$28:$A$178,0)),1),"")</f>
        <v>17590.5</v>
      </c>
      <c r="U439" s="17" t="s">
        <v>1104</v>
      </c>
      <c r="V439" s="16" t="n">
        <v>27</v>
      </c>
      <c r="W439" s="16" t="s">
        <v>342</v>
      </c>
      <c r="X439" s="16" t="s">
        <v>291</v>
      </c>
      <c r="Y439" s="16" t="s">
        <v>283</v>
      </c>
      <c r="Z439" s="17" t="str">
        <f aca="false">IFERROR(INDEX(Scoring!$U:$U,MATCH($C439&amp;"|"&amp;$E439,Scoring!$AD:$AD,0)),"")</f>
        <v/>
      </c>
      <c r="AA439" s="16" t="str">
        <f aca="false">IFERROR(INDEX(Scoring!$E:$E,MATCH($C439&amp;"|"&amp;$E439,Scoring!$AD:$AD,0)),"")</f>
        <v>Priority 2</v>
      </c>
      <c r="AB439" s="19" t="n">
        <f aca="false">IFERROR(INDEX(Scoring!$M:$M,MATCH($C439&amp;"|"&amp;$E439,Scoring!$AD:$AD,0)),"")</f>
        <v>963</v>
      </c>
      <c r="AC439" s="16" t="str">
        <f aca="false">IFERROR(INDEX('Route of Administration'!$C$5:$C$155,MATCH($C439,'Route of Administration'!$A$5:$A$155,0)),"")</f>
        <v>IV, IM</v>
      </c>
      <c r="AD439" s="15" t="str">
        <f aca="false">IFERROR(INDEX('Route of Administration'!$D$5:$D$155,MATCH($C439,'Route of Administration'!$A$5:$A$155,0)),"")</f>
        <v>Yes</v>
      </c>
      <c r="AE439" s="15" t="str">
        <f aca="false">IF($AD439="No","Not checked – drug is IV only",IFERROR(INDEX('Route of Administration'!$O$5:$O$170,MATCH($E439&amp;"|"&amp;$C439,'Route of Administration'!$S$5:$S$170,0)),"Not checked – price ≤ USD 5"))</f>
        <v>Pass</v>
      </c>
    </row>
    <row r="440" customFormat="false" ht="68.65" hidden="false" customHeight="false" outlineLevel="0" collapsed="false">
      <c r="B440" s="16" t="n">
        <v>438</v>
      </c>
      <c r="C440" s="16" t="s">
        <v>1079</v>
      </c>
      <c r="D440" s="16" t="s">
        <v>2367</v>
      </c>
      <c r="E440" s="16" t="s">
        <v>927</v>
      </c>
      <c r="F440" s="16" t="s">
        <v>2368</v>
      </c>
      <c r="G440" s="17" t="s">
        <v>2369</v>
      </c>
      <c r="H440" s="16" t="s">
        <v>1540</v>
      </c>
      <c r="I440" s="18" t="n">
        <v>17.5</v>
      </c>
      <c r="J440" s="16" t="n">
        <v>1</v>
      </c>
      <c r="K440" s="16" t="n">
        <v>221</v>
      </c>
      <c r="L440" s="19" t="n">
        <v>5838.25</v>
      </c>
      <c r="M440" s="17" t="s">
        <v>1081</v>
      </c>
      <c r="N440" s="18" t="n">
        <v>17.5</v>
      </c>
      <c r="O440" s="16" t="s">
        <v>1534</v>
      </c>
      <c r="P440" s="16" t="s">
        <v>1535</v>
      </c>
      <c r="Q440" s="17" t="s">
        <v>1536</v>
      </c>
      <c r="R440" s="78" t="s">
        <v>2370</v>
      </c>
      <c r="S440" s="77" t="n">
        <f aca="false">IFERROR(INDEX('Injectable Value'!$Z$28:$Z$178,MATCH($C440,'Injectable Value'!$A$28:$A$178,0)),"")</f>
        <v>0.800763686706633</v>
      </c>
      <c r="T440" s="19" t="n">
        <f aca="false">IFERROR(ROUND(INDEX('Injectable Value'!$AA$28:$AA$178,MATCH($C440,'Injectable Value'!$A$28:$A$178,0)),1),"")</f>
        <v>4675.1</v>
      </c>
      <c r="U440" s="17" t="s">
        <v>1084</v>
      </c>
      <c r="V440" s="16" t="n">
        <v>24</v>
      </c>
      <c r="W440" s="16" t="s">
        <v>437</v>
      </c>
      <c r="X440" s="16" t="s">
        <v>291</v>
      </c>
      <c r="Y440" s="16" t="s">
        <v>283</v>
      </c>
      <c r="Z440" s="17" t="str">
        <f aca="false">IFERROR(INDEX(Scoring!$U:$U,MATCH($C440&amp;"|"&amp;$E440,Scoring!$AD:$AD,0)),"")</f>
        <v/>
      </c>
      <c r="AA440" s="16" t="str">
        <f aca="false">IFERROR(INDEX(Scoring!$E:$E,MATCH($C440&amp;"|"&amp;$E440,Scoring!$AD:$AD,0)),"")</f>
        <v>Priority 2</v>
      </c>
      <c r="AB440" s="19" t="n">
        <f aca="false">IFERROR(INDEX(Scoring!$M:$M,MATCH($C440&amp;"|"&amp;$E440,Scoring!$AD:$AD,0)),"")</f>
        <v>177</v>
      </c>
      <c r="AC440" s="16" t="str">
        <f aca="false">IFERROR(INDEX('Route of Administration'!$C$5:$C$155,MATCH($C440,'Route of Administration'!$A$5:$A$155,0)),"")</f>
        <v>IV, IM</v>
      </c>
      <c r="AD440" s="15" t="str">
        <f aca="false">IFERROR(INDEX('Route of Administration'!$D$5:$D$155,MATCH($C440,'Route of Administration'!$A$5:$A$155,0)),"")</f>
        <v>Yes</v>
      </c>
      <c r="AE440" s="15" t="str">
        <f aca="false">IF($AD440="No","Not checked – drug is IV only",IFERROR(INDEX('Route of Administration'!$O$5:$O$170,MATCH($E440&amp;"|"&amp;$C440,'Route of Administration'!$S$5:$S$170,0)),"Not checked – price ≤ USD 5"))</f>
        <v>Pass</v>
      </c>
    </row>
    <row r="441" customFormat="false" ht="68.65" hidden="false" customHeight="false" outlineLevel="0" collapsed="false">
      <c r="B441" s="16" t="n">
        <v>439</v>
      </c>
      <c r="C441" s="16" t="s">
        <v>1079</v>
      </c>
      <c r="D441" s="16" t="s">
        <v>2367</v>
      </c>
      <c r="E441" s="16" t="s">
        <v>927</v>
      </c>
      <c r="F441" s="16" t="s">
        <v>2371</v>
      </c>
      <c r="G441" s="17" t="s">
        <v>2372</v>
      </c>
      <c r="H441" s="16" t="s">
        <v>1540</v>
      </c>
      <c r="I441" s="18"/>
      <c r="J441" s="16" t="n">
        <v>1</v>
      </c>
      <c r="K441" s="16" t="n">
        <v>221</v>
      </c>
      <c r="L441" s="19" t="n">
        <v>5838.25</v>
      </c>
      <c r="M441" s="17" t="s">
        <v>1081</v>
      </c>
      <c r="N441" s="18"/>
      <c r="O441" s="16" t="s">
        <v>1573</v>
      </c>
      <c r="P441" s="16" t="s">
        <v>112</v>
      </c>
      <c r="Q441" s="17" t="s">
        <v>112</v>
      </c>
      <c r="R441" s="16"/>
      <c r="S441" s="77" t="n">
        <f aca="false">IFERROR(INDEX('Injectable Value'!$Z$28:$Z$178,MATCH($C441,'Injectable Value'!$A$28:$A$178,0)),"")</f>
        <v>0.800763686706633</v>
      </c>
      <c r="T441" s="19" t="n">
        <f aca="false">IFERROR(ROUND(INDEX('Injectable Value'!$AA$28:$AA$178,MATCH($C441,'Injectable Value'!$A$28:$A$178,0)),1),"")</f>
        <v>4675.1</v>
      </c>
      <c r="U441" s="17" t="s">
        <v>1084</v>
      </c>
      <c r="V441" s="16" t="n">
        <v>24</v>
      </c>
      <c r="W441" s="16" t="s">
        <v>437</v>
      </c>
      <c r="X441" s="16" t="s">
        <v>291</v>
      </c>
      <c r="Y441" s="16" t="s">
        <v>283</v>
      </c>
      <c r="Z441" s="17" t="str">
        <f aca="false">IFERROR(INDEX(Scoring!$U:$U,MATCH($C441&amp;"|"&amp;$E441,Scoring!$AD:$AD,0)),"")</f>
        <v/>
      </c>
      <c r="AA441" s="16" t="str">
        <f aca="false">IFERROR(INDEX(Scoring!$E:$E,MATCH($C441&amp;"|"&amp;$E441,Scoring!$AD:$AD,0)),"")</f>
        <v>Priority 2</v>
      </c>
      <c r="AB441" s="19" t="n">
        <f aca="false">IFERROR(INDEX(Scoring!$M:$M,MATCH($C441&amp;"|"&amp;$E441,Scoring!$AD:$AD,0)),"")</f>
        <v>177</v>
      </c>
      <c r="AC441" s="16" t="str">
        <f aca="false">IFERROR(INDEX('Route of Administration'!$C$5:$C$155,MATCH($C441,'Route of Administration'!$A$5:$A$155,0)),"")</f>
        <v>IV, IM</v>
      </c>
      <c r="AD441" s="15" t="str">
        <f aca="false">IFERROR(INDEX('Route of Administration'!$D$5:$D$155,MATCH($C441,'Route of Administration'!$A$5:$A$155,0)),"")</f>
        <v>Yes</v>
      </c>
      <c r="AE441" s="15" t="str">
        <f aca="false">IF($AD441="No","Not checked – drug is IV only",IFERROR(INDEX('Route of Administration'!$O$5:$O$170,MATCH($E441&amp;"|"&amp;$C441,'Route of Administration'!$S$5:$S$170,0)),"Not checked – price ≤ USD 5"))</f>
        <v>Pass</v>
      </c>
    </row>
    <row r="442" customFormat="false" ht="55.2" hidden="false" customHeight="false" outlineLevel="0" collapsed="false">
      <c r="B442" s="16" t="n">
        <v>440</v>
      </c>
      <c r="C442" s="16" t="s">
        <v>388</v>
      </c>
      <c r="D442" s="16" t="s">
        <v>2373</v>
      </c>
      <c r="E442" s="16" t="s">
        <v>927</v>
      </c>
      <c r="F442" s="16" t="s">
        <v>1854</v>
      </c>
      <c r="G442" s="17" t="s">
        <v>1855</v>
      </c>
      <c r="H442" s="16" t="s">
        <v>1533</v>
      </c>
      <c r="I442" s="18"/>
      <c r="J442" s="16" t="n">
        <v>1</v>
      </c>
      <c r="K442" s="16" t="n">
        <v>312</v>
      </c>
      <c r="L442" s="19" t="n">
        <v>59827.18</v>
      </c>
      <c r="M442" s="17" t="s">
        <v>390</v>
      </c>
      <c r="N442" s="18"/>
      <c r="O442" s="16" t="s">
        <v>1573</v>
      </c>
      <c r="P442" s="16" t="s">
        <v>112</v>
      </c>
      <c r="Q442" s="17" t="s">
        <v>112</v>
      </c>
      <c r="R442" s="16"/>
      <c r="S442" s="77" t="n">
        <f aca="false">IFERROR(INDEX('Injectable Value'!$Z$28:$Z$178,MATCH($C442,'Injectable Value'!$A$28:$A$178,0)),"")</f>
        <v>1</v>
      </c>
      <c r="T442" s="19" t="n">
        <f aca="false">IFERROR(ROUND(INDEX('Injectable Value'!$AA$28:$AA$178,MATCH($C442,'Injectable Value'!$A$28:$A$178,0)),1),"")</f>
        <v>59827.2</v>
      </c>
      <c r="U442" s="17" t="s">
        <v>993</v>
      </c>
      <c r="V442" s="16" t="n">
        <v>21</v>
      </c>
      <c r="W442" s="16" t="s">
        <v>785</v>
      </c>
      <c r="X442" s="16" t="s">
        <v>281</v>
      </c>
      <c r="Y442" s="16" t="s">
        <v>333</v>
      </c>
      <c r="Z442" s="17" t="str">
        <f aca="false">IFERROR(INDEX(Scoring!$U:$U,MATCH($C442&amp;"|"&amp;$E442,Scoring!$AD:$AD,0)),"")</f>
        <v>Reconstitution</v>
      </c>
      <c r="AA442" s="16" t="str">
        <f aca="false">IFERROR(INDEX(Scoring!$E:$E,MATCH($C442&amp;"|"&amp;$E442,Scoring!$AD:$AD,0)),"")</f>
        <v>Excluded – IV only</v>
      </c>
      <c r="AB442" s="19" t="n">
        <f aca="false">IFERROR(INDEX(Scoring!$M:$M,MATCH($C442&amp;"|"&amp;$E442,Scoring!$AD:$AD,0)),"")</f>
        <v>312</v>
      </c>
      <c r="AC442" s="16" t="str">
        <f aca="false">IFERROR(INDEX('Route of Administration'!$C$5:$C$155,MATCH($C442,'Route of Administration'!$A$5:$A$155,0)),"")</f>
        <v>IV</v>
      </c>
      <c r="AD442" s="15" t="str">
        <f aca="false">IFERROR(INDEX('Route of Administration'!$D$5:$D$155,MATCH($C442,'Route of Administration'!$A$5:$A$155,0)),"")</f>
        <v>No</v>
      </c>
      <c r="AE442" s="15" t="str">
        <f aca="false">IF($AD442="No","Not checked – drug is IV only",IFERROR(INDEX('Route of Administration'!$O$5:$O$170,MATCH($E442&amp;"|"&amp;$C442,'Route of Administration'!$S$5:$S$170,0)),"Not checked – price ≤ USD 5"))</f>
        <v>Not checked – drug is IV only</v>
      </c>
    </row>
    <row r="443" customFormat="false" ht="55.2" hidden="false" customHeight="false" outlineLevel="0" collapsed="false">
      <c r="B443" s="16" t="n">
        <v>441</v>
      </c>
      <c r="C443" s="16" t="s">
        <v>388</v>
      </c>
      <c r="D443" s="16" t="s">
        <v>2373</v>
      </c>
      <c r="E443" s="16" t="s">
        <v>927</v>
      </c>
      <c r="F443" s="16" t="s">
        <v>1787</v>
      </c>
      <c r="G443" s="17" t="s">
        <v>1788</v>
      </c>
      <c r="H443" s="16" t="s">
        <v>1533</v>
      </c>
      <c r="I443" s="18"/>
      <c r="J443" s="16" t="n">
        <v>1</v>
      </c>
      <c r="K443" s="16" t="n">
        <v>312</v>
      </c>
      <c r="L443" s="19" t="n">
        <v>59827.18</v>
      </c>
      <c r="M443" s="17" t="s">
        <v>390</v>
      </c>
      <c r="N443" s="18"/>
      <c r="O443" s="16" t="s">
        <v>1573</v>
      </c>
      <c r="P443" s="16" t="s">
        <v>112</v>
      </c>
      <c r="Q443" s="17" t="s">
        <v>112</v>
      </c>
      <c r="R443" s="16"/>
      <c r="S443" s="77" t="n">
        <f aca="false">IFERROR(INDEX('Injectable Value'!$Z$28:$Z$178,MATCH($C443,'Injectable Value'!$A$28:$A$178,0)),"")</f>
        <v>1</v>
      </c>
      <c r="T443" s="19" t="n">
        <f aca="false">IFERROR(ROUND(INDEX('Injectable Value'!$AA$28:$AA$178,MATCH($C443,'Injectable Value'!$A$28:$A$178,0)),1),"")</f>
        <v>59827.2</v>
      </c>
      <c r="U443" s="17" t="s">
        <v>993</v>
      </c>
      <c r="V443" s="16" t="n">
        <v>21</v>
      </c>
      <c r="W443" s="16" t="s">
        <v>785</v>
      </c>
      <c r="X443" s="16" t="s">
        <v>281</v>
      </c>
      <c r="Y443" s="16" t="s">
        <v>333</v>
      </c>
      <c r="Z443" s="17" t="str">
        <f aca="false">IFERROR(INDEX(Scoring!$U:$U,MATCH($C443&amp;"|"&amp;$E443,Scoring!$AD:$AD,0)),"")</f>
        <v>Reconstitution</v>
      </c>
      <c r="AA443" s="16" t="str">
        <f aca="false">IFERROR(INDEX(Scoring!$E:$E,MATCH($C443&amp;"|"&amp;$E443,Scoring!$AD:$AD,0)),"")</f>
        <v>Excluded – IV only</v>
      </c>
      <c r="AB443" s="19" t="n">
        <f aca="false">IFERROR(INDEX(Scoring!$M:$M,MATCH($C443&amp;"|"&amp;$E443,Scoring!$AD:$AD,0)),"")</f>
        <v>312</v>
      </c>
      <c r="AC443" s="16" t="str">
        <f aca="false">IFERROR(INDEX('Route of Administration'!$C$5:$C$155,MATCH($C443,'Route of Administration'!$A$5:$A$155,0)),"")</f>
        <v>IV</v>
      </c>
      <c r="AD443" s="15" t="str">
        <f aca="false">IFERROR(INDEX('Route of Administration'!$D$5:$D$155,MATCH($C443,'Route of Administration'!$A$5:$A$155,0)),"")</f>
        <v>No</v>
      </c>
      <c r="AE443" s="15" t="str">
        <f aca="false">IF($AD443="No","Not checked – drug is IV only",IFERROR(INDEX('Route of Administration'!$O$5:$O$170,MATCH($E443&amp;"|"&amp;$C443,'Route of Administration'!$S$5:$S$170,0)),"Not checked – price ≤ USD 5"))</f>
        <v>Not checked – drug is IV only</v>
      </c>
    </row>
    <row r="444" customFormat="false" ht="41.75" hidden="false" customHeight="false" outlineLevel="0" collapsed="false">
      <c r="B444" s="16" t="n">
        <v>442</v>
      </c>
      <c r="C444" s="16" t="s">
        <v>894</v>
      </c>
      <c r="D444" s="16" t="s">
        <v>2374</v>
      </c>
      <c r="E444" s="16" t="s">
        <v>927</v>
      </c>
      <c r="F444" s="16" t="s">
        <v>2375</v>
      </c>
      <c r="G444" s="17" t="s">
        <v>1868</v>
      </c>
      <c r="H444" s="16" t="s">
        <v>1533</v>
      </c>
      <c r="I444" s="18"/>
      <c r="J444" s="16" t="n">
        <v>1</v>
      </c>
      <c r="K444" s="16" t="n">
        <v>1683</v>
      </c>
      <c r="L444" s="19" t="n">
        <v>46739.27</v>
      </c>
      <c r="M444" s="17" t="s">
        <v>896</v>
      </c>
      <c r="N444" s="82" t="n">
        <v>1.08</v>
      </c>
      <c r="O444" s="64" t="s">
        <v>1541</v>
      </c>
      <c r="P444" s="16" t="s">
        <v>1535</v>
      </c>
      <c r="Q444" s="17" t="s">
        <v>2264</v>
      </c>
      <c r="R444" s="78" t="s">
        <v>2265</v>
      </c>
      <c r="S444" s="77" t="n">
        <f aca="false">IFERROR(INDEX('Injectable Value'!$Z$28:$Z$178,MATCH($C444,'Injectable Value'!$A$28:$A$178,0)),"")</f>
        <v>0.398200810013986</v>
      </c>
      <c r="T444" s="19" t="n">
        <f aca="false">IFERROR(ROUND(INDEX('Injectable Value'!$AA$28:$AA$178,MATCH($C444,'Injectable Value'!$A$28:$A$178,0)),1),"")</f>
        <v>18611.6</v>
      </c>
      <c r="U444" s="17" t="s">
        <v>1071</v>
      </c>
      <c r="V444" s="16" t="n">
        <v>9</v>
      </c>
      <c r="W444" s="16" t="s">
        <v>912</v>
      </c>
      <c r="X444" s="16" t="s">
        <v>349</v>
      </c>
      <c r="Y444" s="16" t="s">
        <v>283</v>
      </c>
      <c r="Z444" s="17" t="str">
        <f aca="false">IFERROR(INDEX(Scoring!$U:$U,MATCH($C444&amp;"|"&amp;$E444,Scoring!$AD:$AD,0)),"")</f>
        <v/>
      </c>
      <c r="AA444" s="16" t="str">
        <f aca="false">IFERROR(INDEX(Scoring!$E:$E,MATCH($C444&amp;"|"&amp;$E444,Scoring!$AD:$AD,0)),"")</f>
        <v>Excluded – price ≤ USD 5</v>
      </c>
      <c r="AB444" s="19" t="n">
        <f aca="false">IFERROR(INDEX(Scoring!$M:$M,MATCH($C444&amp;"|"&amp;$E444,Scoring!$AD:$AD,0)),"")</f>
        <v>670</v>
      </c>
      <c r="AC444" s="16" t="str">
        <f aca="false">IFERROR(INDEX('Route of Administration'!$C$5:$C$155,MATCH($C444,'Route of Administration'!$A$5:$A$155,0)),"")</f>
        <v>IV, infiltration (ID, SC), perineural</v>
      </c>
      <c r="AD444" s="15" t="str">
        <f aca="false">IFERROR(INDEX('Route of Administration'!$D$5:$D$155,MATCH($C444,'Route of Administration'!$A$5:$A$155,0)),"")</f>
        <v>Yes</v>
      </c>
      <c r="AE444" s="15" t="str">
        <f aca="false">IF($AD444="No","Not checked – drug is IV only",IFERROR(INDEX('Route of Administration'!$O$5:$O$170,MATCH($E444&amp;"|"&amp;$C444,'Route of Administration'!$S$5:$S$170,0)),"Not checked – price ≤ USD 5"))</f>
        <v>Not checked – price ≤ USD 5</v>
      </c>
    </row>
    <row r="445" customFormat="false" ht="41.75" hidden="false" customHeight="false" outlineLevel="0" collapsed="false">
      <c r="B445" s="16" t="n">
        <v>443</v>
      </c>
      <c r="C445" s="16" t="s">
        <v>894</v>
      </c>
      <c r="D445" s="16" t="s">
        <v>2374</v>
      </c>
      <c r="E445" s="16" t="s">
        <v>927</v>
      </c>
      <c r="F445" s="16" t="s">
        <v>2376</v>
      </c>
      <c r="G445" s="17" t="s">
        <v>1984</v>
      </c>
      <c r="H445" s="16" t="s">
        <v>1533</v>
      </c>
      <c r="I445" s="18"/>
      <c r="J445" s="16" t="n">
        <v>1</v>
      </c>
      <c r="K445" s="16" t="n">
        <v>1683</v>
      </c>
      <c r="L445" s="19" t="n">
        <v>46739.27</v>
      </c>
      <c r="M445" s="17" t="s">
        <v>896</v>
      </c>
      <c r="N445" s="82" t="n">
        <v>1.98</v>
      </c>
      <c r="O445" s="64" t="s">
        <v>1541</v>
      </c>
      <c r="P445" s="16" t="s">
        <v>1535</v>
      </c>
      <c r="Q445" s="17" t="s">
        <v>2264</v>
      </c>
      <c r="R445" s="78" t="s">
        <v>2265</v>
      </c>
      <c r="S445" s="77" t="n">
        <f aca="false">IFERROR(INDEX('Injectable Value'!$Z$28:$Z$178,MATCH($C445,'Injectable Value'!$A$28:$A$178,0)),"")</f>
        <v>0.398200810013986</v>
      </c>
      <c r="T445" s="19" t="n">
        <f aca="false">IFERROR(ROUND(INDEX('Injectable Value'!$AA$28:$AA$178,MATCH($C445,'Injectable Value'!$A$28:$A$178,0)),1),"")</f>
        <v>18611.6</v>
      </c>
      <c r="U445" s="17" t="s">
        <v>1071</v>
      </c>
      <c r="V445" s="16" t="n">
        <v>9</v>
      </c>
      <c r="W445" s="16" t="s">
        <v>912</v>
      </c>
      <c r="X445" s="16" t="s">
        <v>281</v>
      </c>
      <c r="Y445" s="16" t="s">
        <v>1547</v>
      </c>
      <c r="Z445" s="17" t="str">
        <f aca="false">IFERROR(INDEX(Scoring!$U:$U,MATCH($C445&amp;"|"&amp;$E445,Scoring!$AD:$AD,0)),"")</f>
        <v/>
      </c>
      <c r="AA445" s="16" t="str">
        <f aca="false">IFERROR(INDEX(Scoring!$E:$E,MATCH($C445&amp;"|"&amp;$E445,Scoring!$AD:$AD,0)),"")</f>
        <v>Excluded – price ≤ USD 5</v>
      </c>
      <c r="AB445" s="19" t="n">
        <f aca="false">IFERROR(INDEX(Scoring!$M:$M,MATCH($C445&amp;"|"&amp;$E445,Scoring!$AD:$AD,0)),"")</f>
        <v>670</v>
      </c>
      <c r="AC445" s="16" t="str">
        <f aca="false">IFERROR(INDEX('Route of Administration'!$C$5:$C$155,MATCH($C445,'Route of Administration'!$A$5:$A$155,0)),"")</f>
        <v>IV, infiltration (ID, SC), perineural</v>
      </c>
      <c r="AD445" s="15" t="str">
        <f aca="false">IFERROR(INDEX('Route of Administration'!$D$5:$D$155,MATCH($C445,'Route of Administration'!$A$5:$A$155,0)),"")</f>
        <v>Yes</v>
      </c>
      <c r="AE445" s="15" t="str">
        <f aca="false">IF($AD445="No","Not checked – drug is IV only",IFERROR(INDEX('Route of Administration'!$O$5:$O$170,MATCH($E445&amp;"|"&amp;$C445,'Route of Administration'!$S$5:$S$170,0)),"Not checked – price ≤ USD 5"))</f>
        <v>Not checked – price ≤ USD 5</v>
      </c>
    </row>
    <row r="446" customFormat="false" ht="41.75" hidden="false" customHeight="false" outlineLevel="0" collapsed="false">
      <c r="B446" s="16" t="n">
        <v>444</v>
      </c>
      <c r="C446" s="16" t="s">
        <v>894</v>
      </c>
      <c r="D446" s="16" t="s">
        <v>2377</v>
      </c>
      <c r="E446" s="16" t="s">
        <v>927</v>
      </c>
      <c r="F446" s="16" t="s">
        <v>2378</v>
      </c>
      <c r="G446" s="17" t="s">
        <v>2379</v>
      </c>
      <c r="H446" s="16" t="s">
        <v>1533</v>
      </c>
      <c r="I446" s="18"/>
      <c r="J446" s="16" t="n">
        <v>1</v>
      </c>
      <c r="K446" s="16" t="n">
        <v>1683</v>
      </c>
      <c r="L446" s="19" t="n">
        <v>46739.27</v>
      </c>
      <c r="M446" s="17" t="s">
        <v>896</v>
      </c>
      <c r="N446" s="82" t="n">
        <v>0.75</v>
      </c>
      <c r="O446" s="64" t="s">
        <v>1541</v>
      </c>
      <c r="P446" s="16" t="s">
        <v>1535</v>
      </c>
      <c r="Q446" s="17" t="s">
        <v>2264</v>
      </c>
      <c r="R446" s="78" t="s">
        <v>2265</v>
      </c>
      <c r="S446" s="77" t="n">
        <f aca="false">IFERROR(INDEX('Injectable Value'!$Z$28:$Z$178,MATCH($C446,'Injectable Value'!$A$28:$A$178,0)),"")</f>
        <v>0.398200810013986</v>
      </c>
      <c r="T446" s="19" t="n">
        <f aca="false">IFERROR(ROUND(INDEX('Injectable Value'!$AA$28:$AA$178,MATCH($C446,'Injectable Value'!$A$28:$A$178,0)),1),"")</f>
        <v>18611.6</v>
      </c>
      <c r="U446" s="17" t="s">
        <v>1071</v>
      </c>
      <c r="V446" s="16" t="n">
        <v>9</v>
      </c>
      <c r="W446" s="16" t="s">
        <v>912</v>
      </c>
      <c r="X446" s="16" t="s">
        <v>349</v>
      </c>
      <c r="Y446" s="16" t="s">
        <v>283</v>
      </c>
      <c r="Z446" s="17" t="str">
        <f aca="false">IFERROR(INDEX(Scoring!$U:$U,MATCH($C446&amp;"|"&amp;$E446,Scoring!$AD:$AD,0)),"")</f>
        <v/>
      </c>
      <c r="AA446" s="16" t="str">
        <f aca="false">IFERROR(INDEX(Scoring!$E:$E,MATCH($C446&amp;"|"&amp;$E446,Scoring!$AD:$AD,0)),"")</f>
        <v>Excluded – price ≤ USD 5</v>
      </c>
      <c r="AB446" s="19" t="n">
        <f aca="false">IFERROR(INDEX(Scoring!$M:$M,MATCH($C446&amp;"|"&amp;$E446,Scoring!$AD:$AD,0)),"")</f>
        <v>670</v>
      </c>
      <c r="AC446" s="16" t="str">
        <f aca="false">IFERROR(INDEX('Route of Administration'!$C$5:$C$155,MATCH($C446,'Route of Administration'!$A$5:$A$155,0)),"")</f>
        <v>IV, infiltration (ID, SC), perineural</v>
      </c>
      <c r="AD446" s="15" t="str">
        <f aca="false">IFERROR(INDEX('Route of Administration'!$D$5:$D$155,MATCH($C446,'Route of Administration'!$A$5:$A$155,0)),"")</f>
        <v>Yes</v>
      </c>
      <c r="AE446" s="15" t="str">
        <f aca="false">IF($AD446="No","Not checked – drug is IV only",IFERROR(INDEX('Route of Administration'!$O$5:$O$170,MATCH($E446&amp;"|"&amp;$C446,'Route of Administration'!$S$5:$S$170,0)),"Not checked – price ≤ USD 5"))</f>
        <v>Not checked – price ≤ USD 5</v>
      </c>
    </row>
    <row r="447" customFormat="false" ht="41.75" hidden="false" customHeight="false" outlineLevel="0" collapsed="false">
      <c r="B447" s="16" t="n">
        <v>445</v>
      </c>
      <c r="C447" s="16" t="s">
        <v>894</v>
      </c>
      <c r="D447" s="16" t="s">
        <v>2377</v>
      </c>
      <c r="E447" s="16" t="s">
        <v>927</v>
      </c>
      <c r="F447" s="16" t="s">
        <v>2380</v>
      </c>
      <c r="G447" s="17" t="s">
        <v>1984</v>
      </c>
      <c r="H447" s="16" t="s">
        <v>1533</v>
      </c>
      <c r="I447" s="18"/>
      <c r="J447" s="16" t="n">
        <v>1</v>
      </c>
      <c r="K447" s="16" t="n">
        <v>1683</v>
      </c>
      <c r="L447" s="19" t="n">
        <v>46739.27</v>
      </c>
      <c r="M447" s="17" t="s">
        <v>896</v>
      </c>
      <c r="N447" s="82" t="n">
        <v>1.85</v>
      </c>
      <c r="O447" s="64" t="s">
        <v>1541</v>
      </c>
      <c r="P447" s="16" t="s">
        <v>1535</v>
      </c>
      <c r="Q447" s="17" t="s">
        <v>2264</v>
      </c>
      <c r="R447" s="78" t="s">
        <v>2265</v>
      </c>
      <c r="S447" s="77" t="n">
        <f aca="false">IFERROR(INDEX('Injectable Value'!$Z$28:$Z$178,MATCH($C447,'Injectable Value'!$A$28:$A$178,0)),"")</f>
        <v>0.398200810013986</v>
      </c>
      <c r="T447" s="19" t="n">
        <f aca="false">IFERROR(ROUND(INDEX('Injectable Value'!$AA$28:$AA$178,MATCH($C447,'Injectable Value'!$A$28:$A$178,0)),1),"")</f>
        <v>18611.6</v>
      </c>
      <c r="U447" s="17" t="s">
        <v>1071</v>
      </c>
      <c r="V447" s="16" t="n">
        <v>9</v>
      </c>
      <c r="W447" s="16" t="s">
        <v>912</v>
      </c>
      <c r="X447" s="16" t="s">
        <v>281</v>
      </c>
      <c r="Y447" s="16" t="s">
        <v>1547</v>
      </c>
      <c r="Z447" s="17" t="str">
        <f aca="false">IFERROR(INDEX(Scoring!$U:$U,MATCH($C447&amp;"|"&amp;$E447,Scoring!$AD:$AD,0)),"")</f>
        <v/>
      </c>
      <c r="AA447" s="16" t="str">
        <f aca="false">IFERROR(INDEX(Scoring!$E:$E,MATCH($C447&amp;"|"&amp;$E447,Scoring!$AD:$AD,0)),"")</f>
        <v>Excluded – price ≤ USD 5</v>
      </c>
      <c r="AB447" s="19" t="n">
        <f aca="false">IFERROR(INDEX(Scoring!$M:$M,MATCH($C447&amp;"|"&amp;$E447,Scoring!$AD:$AD,0)),"")</f>
        <v>670</v>
      </c>
      <c r="AC447" s="16" t="str">
        <f aca="false">IFERROR(INDEX('Route of Administration'!$C$5:$C$155,MATCH($C447,'Route of Administration'!$A$5:$A$155,0)),"")</f>
        <v>IV, infiltration (ID, SC), perineural</v>
      </c>
      <c r="AD447" s="15" t="str">
        <f aca="false">IFERROR(INDEX('Route of Administration'!$D$5:$D$155,MATCH($C447,'Route of Administration'!$A$5:$A$155,0)),"")</f>
        <v>Yes</v>
      </c>
      <c r="AE447" s="15" t="str">
        <f aca="false">IF($AD447="No","Not checked – drug is IV only",IFERROR(INDEX('Route of Administration'!$O$5:$O$170,MATCH($E447&amp;"|"&amp;$C447,'Route of Administration'!$S$5:$S$170,0)),"Not checked – price ≤ USD 5"))</f>
        <v>Not checked – price ≤ USD 5</v>
      </c>
    </row>
    <row r="448" customFormat="false" ht="68.65" hidden="false" customHeight="false" outlineLevel="0" collapsed="false">
      <c r="B448" s="16" t="n">
        <v>446</v>
      </c>
      <c r="C448" s="16" t="s">
        <v>984</v>
      </c>
      <c r="D448" s="16" t="s">
        <v>2381</v>
      </c>
      <c r="E448" s="16" t="s">
        <v>927</v>
      </c>
      <c r="F448" s="16" t="s">
        <v>2382</v>
      </c>
      <c r="G448" s="17" t="s">
        <v>2383</v>
      </c>
      <c r="H448" s="16" t="s">
        <v>1533</v>
      </c>
      <c r="I448" s="18"/>
      <c r="J448" s="16" t="n">
        <v>1</v>
      </c>
      <c r="K448" s="16" t="n">
        <v>799</v>
      </c>
      <c r="L448" s="19" t="n">
        <v>7738.99</v>
      </c>
      <c r="M448" s="17" t="s">
        <v>986</v>
      </c>
      <c r="N448" s="18"/>
      <c r="O448" s="16" t="s">
        <v>1573</v>
      </c>
      <c r="P448" s="16" t="s">
        <v>112</v>
      </c>
      <c r="Q448" s="17" t="s">
        <v>112</v>
      </c>
      <c r="R448" s="16"/>
      <c r="S448" s="77" t="n">
        <f aca="false">IFERROR(INDEX('Injectable Value'!$Z$28:$Z$178,MATCH($C448,'Injectable Value'!$A$28:$A$178,0)),"")</f>
        <v>1</v>
      </c>
      <c r="T448" s="19" t="n">
        <f aca="false">IFERROR(ROUND(INDEX('Injectable Value'!$AA$28:$AA$178,MATCH($C448,'Injectable Value'!$A$28:$A$178,0)),1),"")</f>
        <v>7739</v>
      </c>
      <c r="U448" s="17" t="s">
        <v>988</v>
      </c>
      <c r="V448" s="16" t="n">
        <v>28</v>
      </c>
      <c r="W448" s="16" t="s">
        <v>334</v>
      </c>
      <c r="X448" s="16" t="s">
        <v>281</v>
      </c>
      <c r="Y448" s="16" t="s">
        <v>1547</v>
      </c>
      <c r="Z448" s="17" t="str">
        <f aca="false">IFERROR(INDEX(Scoring!$U:$U,MATCH($C448&amp;"|"&amp;$E448,Scoring!$AD:$AD,0)),"")</f>
        <v>Cancer drug (cytotoxic) – less relevant</v>
      </c>
      <c r="AA448" s="16" t="str">
        <f aca="false">IFERROR(INDEX(Scoring!$E:$E,MATCH($C448&amp;"|"&amp;$E448,Scoring!$AD:$AD,0)),"")</f>
        <v>Priority 2</v>
      </c>
      <c r="AB448" s="19" t="n">
        <f aca="false">IFERROR(INDEX(Scoring!$M:$M,MATCH($C448&amp;"|"&amp;$E448,Scoring!$AD:$AD,0)),"")</f>
        <v>799</v>
      </c>
      <c r="AC448" s="16" t="str">
        <f aca="false">IFERROR(INDEX('Route of Administration'!$C$5:$C$155,MATCH($C448,'Route of Administration'!$A$5:$A$155,0)),"")</f>
        <v>IV, SC</v>
      </c>
      <c r="AD448" s="15" t="str">
        <f aca="false">IFERROR(INDEX('Route of Administration'!$D$5:$D$155,MATCH($C448,'Route of Administration'!$A$5:$A$155,0)),"")</f>
        <v>Yes</v>
      </c>
      <c r="AE448" s="15" t="str">
        <f aca="false">IF($AD448="No","Not checked – drug is IV only",IFERROR(INDEX('Route of Administration'!$O$5:$O$170,MATCH($E448&amp;"|"&amp;$C448,'Route of Administration'!$S$5:$S$170,0)),"Not checked – price ≤ USD 5"))</f>
        <v>Pass</v>
      </c>
    </row>
    <row r="449" customFormat="false" ht="68.65" hidden="false" customHeight="false" outlineLevel="0" collapsed="false">
      <c r="B449" s="16" t="n">
        <v>447</v>
      </c>
      <c r="C449" s="16" t="s">
        <v>984</v>
      </c>
      <c r="D449" s="16" t="s">
        <v>2384</v>
      </c>
      <c r="E449" s="16" t="s">
        <v>927</v>
      </c>
      <c r="F449" s="16" t="s">
        <v>2375</v>
      </c>
      <c r="G449" s="17" t="s">
        <v>1852</v>
      </c>
      <c r="H449" s="16" t="s">
        <v>1533</v>
      </c>
      <c r="I449" s="18" t="n">
        <v>7.98</v>
      </c>
      <c r="J449" s="16" t="n">
        <v>1</v>
      </c>
      <c r="K449" s="16" t="n">
        <v>799</v>
      </c>
      <c r="L449" s="19" t="n">
        <v>7738.99</v>
      </c>
      <c r="M449" s="17" t="s">
        <v>986</v>
      </c>
      <c r="N449" s="18" t="n">
        <v>7.98</v>
      </c>
      <c r="O449" s="16" t="s">
        <v>1534</v>
      </c>
      <c r="P449" s="16" t="s">
        <v>1535</v>
      </c>
      <c r="Q449" s="17" t="s">
        <v>1536</v>
      </c>
      <c r="R449" s="78" t="s">
        <v>1806</v>
      </c>
      <c r="S449" s="77" t="n">
        <f aca="false">IFERROR(INDEX('Injectable Value'!$Z$28:$Z$178,MATCH($C449,'Injectable Value'!$A$28:$A$178,0)),"")</f>
        <v>1</v>
      </c>
      <c r="T449" s="19" t="n">
        <f aca="false">IFERROR(ROUND(INDEX('Injectable Value'!$AA$28:$AA$178,MATCH($C449,'Injectable Value'!$A$28:$A$178,0)),1),"")</f>
        <v>7739</v>
      </c>
      <c r="U449" s="17" t="s">
        <v>988</v>
      </c>
      <c r="V449" s="16" t="n">
        <v>28</v>
      </c>
      <c r="W449" s="16" t="s">
        <v>334</v>
      </c>
      <c r="X449" s="16" t="s">
        <v>281</v>
      </c>
      <c r="Y449" s="16" t="s">
        <v>283</v>
      </c>
      <c r="Z449" s="17" t="str">
        <f aca="false">IFERROR(INDEX(Scoring!$U:$U,MATCH($C449&amp;"|"&amp;$E449,Scoring!$AD:$AD,0)),"")</f>
        <v>Cancer drug (cytotoxic) – less relevant</v>
      </c>
      <c r="AA449" s="16" t="str">
        <f aca="false">IFERROR(INDEX(Scoring!$E:$E,MATCH($C449&amp;"|"&amp;$E449,Scoring!$AD:$AD,0)),"")</f>
        <v>Priority 2</v>
      </c>
      <c r="AB449" s="19" t="n">
        <f aca="false">IFERROR(INDEX(Scoring!$M:$M,MATCH($C449&amp;"|"&amp;$E449,Scoring!$AD:$AD,0)),"")</f>
        <v>799</v>
      </c>
      <c r="AC449" s="16" t="str">
        <f aca="false">IFERROR(INDEX('Route of Administration'!$C$5:$C$155,MATCH($C449,'Route of Administration'!$A$5:$A$155,0)),"")</f>
        <v>IV, SC</v>
      </c>
      <c r="AD449" s="15" t="str">
        <f aca="false">IFERROR(INDEX('Route of Administration'!$D$5:$D$155,MATCH($C449,'Route of Administration'!$A$5:$A$155,0)),"")</f>
        <v>Yes</v>
      </c>
      <c r="AE449" s="15" t="str">
        <f aca="false">IF($AD449="No","Not checked – drug is IV only",IFERROR(INDEX('Route of Administration'!$O$5:$O$170,MATCH($E449&amp;"|"&amp;$C449,'Route of Administration'!$S$5:$S$170,0)),"Not checked – price ≤ USD 5"))</f>
        <v>Pass</v>
      </c>
    </row>
    <row r="450" customFormat="false" ht="68.65" hidden="false" customHeight="false" outlineLevel="0" collapsed="false">
      <c r="B450" s="16" t="n">
        <v>448</v>
      </c>
      <c r="C450" s="16" t="s">
        <v>984</v>
      </c>
      <c r="D450" s="16" t="s">
        <v>2381</v>
      </c>
      <c r="E450" s="16" t="s">
        <v>927</v>
      </c>
      <c r="F450" s="16" t="s">
        <v>2385</v>
      </c>
      <c r="G450" s="17" t="s">
        <v>1984</v>
      </c>
      <c r="H450" s="16" t="s">
        <v>1533</v>
      </c>
      <c r="I450" s="18"/>
      <c r="J450" s="16" t="n">
        <v>1</v>
      </c>
      <c r="K450" s="16" t="n">
        <v>799</v>
      </c>
      <c r="L450" s="19" t="n">
        <v>7738.99</v>
      </c>
      <c r="M450" s="17" t="s">
        <v>986</v>
      </c>
      <c r="N450" s="18"/>
      <c r="O450" s="16" t="s">
        <v>1573</v>
      </c>
      <c r="P450" s="16" t="s">
        <v>112</v>
      </c>
      <c r="Q450" s="17" t="s">
        <v>112</v>
      </c>
      <c r="R450" s="16"/>
      <c r="S450" s="77" t="n">
        <f aca="false">IFERROR(INDEX('Injectable Value'!$Z$28:$Z$178,MATCH($C450,'Injectable Value'!$A$28:$A$178,0)),"")</f>
        <v>1</v>
      </c>
      <c r="T450" s="19" t="n">
        <f aca="false">IFERROR(ROUND(INDEX('Injectable Value'!$AA$28:$AA$178,MATCH($C450,'Injectable Value'!$A$28:$A$178,0)),1),"")</f>
        <v>7739</v>
      </c>
      <c r="U450" s="17" t="s">
        <v>988</v>
      </c>
      <c r="V450" s="16" t="n">
        <v>28</v>
      </c>
      <c r="W450" s="16" t="s">
        <v>334</v>
      </c>
      <c r="X450" s="16" t="s">
        <v>281</v>
      </c>
      <c r="Y450" s="16" t="s">
        <v>1547</v>
      </c>
      <c r="Z450" s="17" t="str">
        <f aca="false">IFERROR(INDEX(Scoring!$U:$U,MATCH($C450&amp;"|"&amp;$E450,Scoring!$AD:$AD,0)),"")</f>
        <v>Cancer drug (cytotoxic) – less relevant</v>
      </c>
      <c r="AA450" s="16" t="str">
        <f aca="false">IFERROR(INDEX(Scoring!$E:$E,MATCH($C450&amp;"|"&amp;$E450,Scoring!$AD:$AD,0)),"")</f>
        <v>Priority 2</v>
      </c>
      <c r="AB450" s="19" t="n">
        <f aca="false">IFERROR(INDEX(Scoring!$M:$M,MATCH($C450&amp;"|"&amp;$E450,Scoring!$AD:$AD,0)),"")</f>
        <v>799</v>
      </c>
      <c r="AC450" s="16" t="str">
        <f aca="false">IFERROR(INDEX('Route of Administration'!$C$5:$C$155,MATCH($C450,'Route of Administration'!$A$5:$A$155,0)),"")</f>
        <v>IV, SC</v>
      </c>
      <c r="AD450" s="15" t="str">
        <f aca="false">IFERROR(INDEX('Route of Administration'!$D$5:$D$155,MATCH($C450,'Route of Administration'!$A$5:$A$155,0)),"")</f>
        <v>Yes</v>
      </c>
      <c r="AE450" s="15" t="str">
        <f aca="false">IF($AD450="No","Not checked – drug is IV only",IFERROR(INDEX('Route of Administration'!$O$5:$O$170,MATCH($E450&amp;"|"&amp;$C450,'Route of Administration'!$S$5:$S$170,0)),"Not checked – price ≤ USD 5"))</f>
        <v>Pass</v>
      </c>
    </row>
    <row r="451" customFormat="false" ht="68.65" hidden="false" customHeight="false" outlineLevel="0" collapsed="false">
      <c r="B451" s="16" t="n">
        <v>449</v>
      </c>
      <c r="C451" s="16" t="s">
        <v>984</v>
      </c>
      <c r="D451" s="16" t="s">
        <v>2381</v>
      </c>
      <c r="E451" s="16" t="s">
        <v>927</v>
      </c>
      <c r="F451" s="16" t="s">
        <v>1851</v>
      </c>
      <c r="G451" s="17" t="s">
        <v>1852</v>
      </c>
      <c r="H451" s="16" t="s">
        <v>1533</v>
      </c>
      <c r="I451" s="18"/>
      <c r="J451" s="16" t="n">
        <v>1</v>
      </c>
      <c r="K451" s="16" t="n">
        <v>799</v>
      </c>
      <c r="L451" s="19" t="n">
        <v>7738.99</v>
      </c>
      <c r="M451" s="17" t="s">
        <v>986</v>
      </c>
      <c r="N451" s="18"/>
      <c r="O451" s="16" t="s">
        <v>1573</v>
      </c>
      <c r="P451" s="16" t="s">
        <v>112</v>
      </c>
      <c r="Q451" s="17" t="s">
        <v>112</v>
      </c>
      <c r="R451" s="16"/>
      <c r="S451" s="77" t="n">
        <f aca="false">IFERROR(INDEX('Injectable Value'!$Z$28:$Z$178,MATCH($C451,'Injectable Value'!$A$28:$A$178,0)),"")</f>
        <v>1</v>
      </c>
      <c r="T451" s="19" t="n">
        <f aca="false">IFERROR(ROUND(INDEX('Injectable Value'!$AA$28:$AA$178,MATCH($C451,'Injectable Value'!$A$28:$A$178,0)),1),"")</f>
        <v>7739</v>
      </c>
      <c r="U451" s="17" t="s">
        <v>988</v>
      </c>
      <c r="V451" s="16" t="n">
        <v>28</v>
      </c>
      <c r="W451" s="16" t="s">
        <v>334</v>
      </c>
      <c r="X451" s="16" t="s">
        <v>281</v>
      </c>
      <c r="Y451" s="16" t="s">
        <v>283</v>
      </c>
      <c r="Z451" s="17" t="str">
        <f aca="false">IFERROR(INDEX(Scoring!$U:$U,MATCH($C451&amp;"|"&amp;$E451,Scoring!$AD:$AD,0)),"")</f>
        <v>Cancer drug (cytotoxic) – less relevant</v>
      </c>
      <c r="AA451" s="16" t="str">
        <f aca="false">IFERROR(INDEX(Scoring!$E:$E,MATCH($C451&amp;"|"&amp;$E451,Scoring!$AD:$AD,0)),"")</f>
        <v>Priority 2</v>
      </c>
      <c r="AB451" s="19" t="n">
        <f aca="false">IFERROR(INDEX(Scoring!$M:$M,MATCH($C451&amp;"|"&amp;$E451,Scoring!$AD:$AD,0)),"")</f>
        <v>799</v>
      </c>
      <c r="AC451" s="16" t="str">
        <f aca="false">IFERROR(INDEX('Route of Administration'!$C$5:$C$155,MATCH($C451,'Route of Administration'!$A$5:$A$155,0)),"")</f>
        <v>IV, SC</v>
      </c>
      <c r="AD451" s="15" t="str">
        <f aca="false">IFERROR(INDEX('Route of Administration'!$D$5:$D$155,MATCH($C451,'Route of Administration'!$A$5:$A$155,0)),"")</f>
        <v>Yes</v>
      </c>
      <c r="AE451" s="15" t="str">
        <f aca="false">IF($AD451="No","Not checked – drug is IV only",IFERROR(INDEX('Route of Administration'!$O$5:$O$170,MATCH($E451&amp;"|"&amp;$C451,'Route of Administration'!$S$5:$S$170,0)),"Not checked – price ≤ USD 5"))</f>
        <v>Pass</v>
      </c>
    </row>
    <row r="452" customFormat="false" ht="68.65" hidden="false" customHeight="false" outlineLevel="0" collapsed="false">
      <c r="B452" s="16" t="n">
        <v>450</v>
      </c>
      <c r="C452" s="16" t="s">
        <v>984</v>
      </c>
      <c r="D452" s="16" t="s">
        <v>2384</v>
      </c>
      <c r="E452" s="16" t="s">
        <v>927</v>
      </c>
      <c r="F452" s="16" t="s">
        <v>2378</v>
      </c>
      <c r="G452" s="17" t="s">
        <v>1850</v>
      </c>
      <c r="H452" s="16" t="s">
        <v>1533</v>
      </c>
      <c r="I452" s="18"/>
      <c r="J452" s="16" t="n">
        <v>1</v>
      </c>
      <c r="K452" s="16" t="n">
        <v>799</v>
      </c>
      <c r="L452" s="19" t="n">
        <v>7738.99</v>
      </c>
      <c r="M452" s="17" t="s">
        <v>986</v>
      </c>
      <c r="N452" s="18"/>
      <c r="O452" s="16" t="s">
        <v>1573</v>
      </c>
      <c r="P452" s="16" t="s">
        <v>112</v>
      </c>
      <c r="Q452" s="17" t="s">
        <v>112</v>
      </c>
      <c r="R452" s="16"/>
      <c r="S452" s="77" t="n">
        <f aca="false">IFERROR(INDEX('Injectable Value'!$Z$28:$Z$178,MATCH($C452,'Injectable Value'!$A$28:$A$178,0)),"")</f>
        <v>1</v>
      </c>
      <c r="T452" s="19" t="n">
        <f aca="false">IFERROR(ROUND(INDEX('Injectable Value'!$AA$28:$AA$178,MATCH($C452,'Injectable Value'!$A$28:$A$178,0)),1),"")</f>
        <v>7739</v>
      </c>
      <c r="U452" s="17" t="s">
        <v>988</v>
      </c>
      <c r="V452" s="16" t="n">
        <v>28</v>
      </c>
      <c r="W452" s="16" t="s">
        <v>334</v>
      </c>
      <c r="X452" s="16" t="s">
        <v>281</v>
      </c>
      <c r="Y452" s="16" t="s">
        <v>283</v>
      </c>
      <c r="Z452" s="17" t="str">
        <f aca="false">IFERROR(INDEX(Scoring!$U:$U,MATCH($C452&amp;"|"&amp;$E452,Scoring!$AD:$AD,0)),"")</f>
        <v>Cancer drug (cytotoxic) – less relevant</v>
      </c>
      <c r="AA452" s="16" t="str">
        <f aca="false">IFERROR(INDEX(Scoring!$E:$E,MATCH($C452&amp;"|"&amp;$E452,Scoring!$AD:$AD,0)),"")</f>
        <v>Priority 2</v>
      </c>
      <c r="AB452" s="19" t="n">
        <f aca="false">IFERROR(INDEX(Scoring!$M:$M,MATCH($C452&amp;"|"&amp;$E452,Scoring!$AD:$AD,0)),"")</f>
        <v>799</v>
      </c>
      <c r="AC452" s="16" t="str">
        <f aca="false">IFERROR(INDEX('Route of Administration'!$C$5:$C$155,MATCH($C452,'Route of Administration'!$A$5:$A$155,0)),"")</f>
        <v>IV, SC</v>
      </c>
      <c r="AD452" s="15" t="str">
        <f aca="false">IFERROR(INDEX('Route of Administration'!$D$5:$D$155,MATCH($C452,'Route of Administration'!$A$5:$A$155,0)),"")</f>
        <v>Yes</v>
      </c>
      <c r="AE452" s="15" t="str">
        <f aca="false">IF($AD452="No","Not checked – drug is IV only",IFERROR(INDEX('Route of Administration'!$O$5:$O$170,MATCH($E452&amp;"|"&amp;$C452,'Route of Administration'!$S$5:$S$170,0)),"Not checked – price ≤ USD 5"))</f>
        <v>Pass</v>
      </c>
    </row>
    <row r="453" customFormat="false" ht="68.65" hidden="false" customHeight="false" outlineLevel="0" collapsed="false">
      <c r="B453" s="16" t="n">
        <v>451</v>
      </c>
      <c r="C453" s="16" t="s">
        <v>984</v>
      </c>
      <c r="D453" s="16" t="s">
        <v>2381</v>
      </c>
      <c r="E453" s="16" t="s">
        <v>927</v>
      </c>
      <c r="F453" s="16" t="s">
        <v>2386</v>
      </c>
      <c r="G453" s="17" t="s">
        <v>1909</v>
      </c>
      <c r="H453" s="16" t="s">
        <v>1533</v>
      </c>
      <c r="I453" s="18"/>
      <c r="J453" s="16" t="n">
        <v>1</v>
      </c>
      <c r="K453" s="16" t="n">
        <v>799</v>
      </c>
      <c r="L453" s="19" t="n">
        <v>7738.99</v>
      </c>
      <c r="M453" s="17" t="s">
        <v>986</v>
      </c>
      <c r="N453" s="18"/>
      <c r="O453" s="16" t="s">
        <v>1573</v>
      </c>
      <c r="P453" s="16" t="s">
        <v>112</v>
      </c>
      <c r="Q453" s="17" t="s">
        <v>112</v>
      </c>
      <c r="R453" s="16"/>
      <c r="S453" s="77" t="n">
        <f aca="false">IFERROR(INDEX('Injectable Value'!$Z$28:$Z$178,MATCH($C453,'Injectable Value'!$A$28:$A$178,0)),"")</f>
        <v>1</v>
      </c>
      <c r="T453" s="19" t="n">
        <f aca="false">IFERROR(ROUND(INDEX('Injectable Value'!$AA$28:$AA$178,MATCH($C453,'Injectable Value'!$A$28:$A$178,0)),1),"")</f>
        <v>7739</v>
      </c>
      <c r="U453" s="17" t="s">
        <v>988</v>
      </c>
      <c r="V453" s="16" t="n">
        <v>28</v>
      </c>
      <c r="W453" s="16" t="s">
        <v>334</v>
      </c>
      <c r="X453" s="16" t="s">
        <v>281</v>
      </c>
      <c r="Y453" s="16" t="s">
        <v>283</v>
      </c>
      <c r="Z453" s="17" t="str">
        <f aca="false">IFERROR(INDEX(Scoring!$U:$U,MATCH($C453&amp;"|"&amp;$E453,Scoring!$AD:$AD,0)),"")</f>
        <v>Cancer drug (cytotoxic) – less relevant</v>
      </c>
      <c r="AA453" s="16" t="str">
        <f aca="false">IFERROR(INDEX(Scoring!$E:$E,MATCH($C453&amp;"|"&amp;$E453,Scoring!$AD:$AD,0)),"")</f>
        <v>Priority 2</v>
      </c>
      <c r="AB453" s="19" t="n">
        <f aca="false">IFERROR(INDEX(Scoring!$M:$M,MATCH($C453&amp;"|"&amp;$E453,Scoring!$AD:$AD,0)),"")</f>
        <v>799</v>
      </c>
      <c r="AC453" s="16" t="str">
        <f aca="false">IFERROR(INDEX('Route of Administration'!$C$5:$C$155,MATCH($C453,'Route of Administration'!$A$5:$A$155,0)),"")</f>
        <v>IV, SC</v>
      </c>
      <c r="AD453" s="15" t="str">
        <f aca="false">IFERROR(INDEX('Route of Administration'!$D$5:$D$155,MATCH($C453,'Route of Administration'!$A$5:$A$155,0)),"")</f>
        <v>Yes</v>
      </c>
      <c r="AE453" s="15" t="str">
        <f aca="false">IF($AD453="No","Not checked – drug is IV only",IFERROR(INDEX('Route of Administration'!$O$5:$O$170,MATCH($E453&amp;"|"&amp;$C453,'Route of Administration'!$S$5:$S$170,0)),"Not checked – price ≤ USD 5"))</f>
        <v>Pass</v>
      </c>
    </row>
    <row r="454" customFormat="false" ht="68.65" hidden="false" customHeight="false" outlineLevel="0" collapsed="false">
      <c r="B454" s="16" t="n">
        <v>452</v>
      </c>
      <c r="C454" s="16" t="s">
        <v>984</v>
      </c>
      <c r="D454" s="16" t="s">
        <v>2381</v>
      </c>
      <c r="E454" s="16" t="s">
        <v>927</v>
      </c>
      <c r="F454" s="16" t="s">
        <v>2387</v>
      </c>
      <c r="G454" s="17" t="s">
        <v>2388</v>
      </c>
      <c r="H454" s="16" t="s">
        <v>1533</v>
      </c>
      <c r="I454" s="18"/>
      <c r="J454" s="16" t="n">
        <v>1</v>
      </c>
      <c r="K454" s="16" t="n">
        <v>799</v>
      </c>
      <c r="L454" s="19" t="n">
        <v>7738.99</v>
      </c>
      <c r="M454" s="17" t="s">
        <v>986</v>
      </c>
      <c r="N454" s="18"/>
      <c r="O454" s="16" t="s">
        <v>1573</v>
      </c>
      <c r="P454" s="16" t="s">
        <v>112</v>
      </c>
      <c r="Q454" s="17" t="s">
        <v>112</v>
      </c>
      <c r="R454" s="16"/>
      <c r="S454" s="77" t="n">
        <f aca="false">IFERROR(INDEX('Injectable Value'!$Z$28:$Z$178,MATCH($C454,'Injectable Value'!$A$28:$A$178,0)),"")</f>
        <v>1</v>
      </c>
      <c r="T454" s="19" t="n">
        <f aca="false">IFERROR(ROUND(INDEX('Injectable Value'!$AA$28:$AA$178,MATCH($C454,'Injectable Value'!$A$28:$A$178,0)),1),"")</f>
        <v>7739</v>
      </c>
      <c r="U454" s="17" t="s">
        <v>988</v>
      </c>
      <c r="V454" s="16" t="n">
        <v>28</v>
      </c>
      <c r="W454" s="16" t="s">
        <v>334</v>
      </c>
      <c r="X454" s="16" t="s">
        <v>281</v>
      </c>
      <c r="Y454" s="16" t="s">
        <v>1547</v>
      </c>
      <c r="Z454" s="17" t="str">
        <f aca="false">IFERROR(INDEX(Scoring!$U:$U,MATCH($C454&amp;"|"&amp;$E454,Scoring!$AD:$AD,0)),"")</f>
        <v>Cancer drug (cytotoxic) – less relevant</v>
      </c>
      <c r="AA454" s="16" t="str">
        <f aca="false">IFERROR(INDEX(Scoring!$E:$E,MATCH($C454&amp;"|"&amp;$E454,Scoring!$AD:$AD,0)),"")</f>
        <v>Priority 2</v>
      </c>
      <c r="AB454" s="19" t="n">
        <f aca="false">IFERROR(INDEX(Scoring!$M:$M,MATCH($C454&amp;"|"&amp;$E454,Scoring!$AD:$AD,0)),"")</f>
        <v>799</v>
      </c>
      <c r="AC454" s="16" t="str">
        <f aca="false">IFERROR(INDEX('Route of Administration'!$C$5:$C$155,MATCH($C454,'Route of Administration'!$A$5:$A$155,0)),"")</f>
        <v>IV, SC</v>
      </c>
      <c r="AD454" s="15" t="str">
        <f aca="false">IFERROR(INDEX('Route of Administration'!$D$5:$D$155,MATCH($C454,'Route of Administration'!$A$5:$A$155,0)),"")</f>
        <v>Yes</v>
      </c>
      <c r="AE454" s="15" t="str">
        <f aca="false">IF($AD454="No","Not checked – drug is IV only",IFERROR(INDEX('Route of Administration'!$O$5:$O$170,MATCH($E454&amp;"|"&amp;$C454,'Route of Administration'!$S$5:$S$170,0)),"Not checked – price ≤ USD 5"))</f>
        <v>Pass</v>
      </c>
    </row>
    <row r="455" customFormat="false" ht="82.05" hidden="false" customHeight="false" outlineLevel="0" collapsed="false">
      <c r="B455" s="16" t="n">
        <v>453</v>
      </c>
      <c r="C455" s="16" t="s">
        <v>329</v>
      </c>
      <c r="D455" s="16" t="s">
        <v>2389</v>
      </c>
      <c r="E455" s="16" t="s">
        <v>927</v>
      </c>
      <c r="F455" s="16" t="s">
        <v>1801</v>
      </c>
      <c r="G455" s="17" t="s">
        <v>1802</v>
      </c>
      <c r="H455" s="16" t="s">
        <v>1533</v>
      </c>
      <c r="I455" s="18" t="n">
        <v>10.241</v>
      </c>
      <c r="J455" s="16" t="n">
        <v>1</v>
      </c>
      <c r="K455" s="16" t="n">
        <v>762</v>
      </c>
      <c r="L455" s="19" t="n">
        <v>50865.56</v>
      </c>
      <c r="M455" s="17" t="s">
        <v>331</v>
      </c>
      <c r="N455" s="18" t="n">
        <v>10.241</v>
      </c>
      <c r="O455" s="16" t="s">
        <v>1534</v>
      </c>
      <c r="P455" s="16" t="s">
        <v>1700</v>
      </c>
      <c r="Q455" s="17" t="s">
        <v>1536</v>
      </c>
      <c r="R455" s="78" t="s">
        <v>1799</v>
      </c>
      <c r="S455" s="77" t="n">
        <f aca="false">IFERROR(INDEX('Injectable Value'!$Z$28:$Z$178,MATCH($C455,'Injectable Value'!$A$28:$A$178,0)),"")</f>
        <v>0.829278792417718</v>
      </c>
      <c r="T455" s="19" t="n">
        <f aca="false">IFERROR(ROUND(INDEX('Injectable Value'!$AA$28:$AA$178,MATCH($C455,'Injectable Value'!$A$28:$A$178,0)),1),"")</f>
        <v>42181.7</v>
      </c>
      <c r="U455" s="17" t="s">
        <v>949</v>
      </c>
      <c r="V455" s="16" t="n">
        <v>32</v>
      </c>
      <c r="W455" s="16" t="s">
        <v>456</v>
      </c>
      <c r="X455" s="16" t="s">
        <v>281</v>
      </c>
      <c r="Y455" s="16" t="s">
        <v>333</v>
      </c>
      <c r="Z455" s="17" t="str">
        <f aca="false">IFERROR(INDEX(Scoring!$U:$U,MATCH($C455&amp;"|"&amp;$E455,Scoring!$AD:$AD,0)),"")</f>
        <v>Cancer drug (cytotoxic) – less relevant; Reconstitution</v>
      </c>
      <c r="AA455" s="16" t="str">
        <f aca="false">IFERROR(INDEX(Scoring!$E:$E,MATCH($C455&amp;"|"&amp;$E455,Scoring!$AD:$AD,0)),"")</f>
        <v>Priority 1</v>
      </c>
      <c r="AB455" s="19" t="n">
        <f aca="false">IFERROR(INDEX(Scoring!$M:$M,MATCH($C455&amp;"|"&amp;$E455,Scoring!$AD:$AD,0)),"")</f>
        <v>632</v>
      </c>
      <c r="AC455" s="16" t="str">
        <f aca="false">IFERROR(INDEX('Route of Administration'!$C$5:$C$155,MATCH($C455,'Route of Administration'!$A$5:$A$155,0)),"")</f>
        <v>IV, SC</v>
      </c>
      <c r="AD455" s="15" t="str">
        <f aca="false">IFERROR(INDEX('Route of Administration'!$D$5:$D$155,MATCH($C455,'Route of Administration'!$A$5:$A$155,0)),"")</f>
        <v>Yes</v>
      </c>
      <c r="AE455" s="15" t="str">
        <f aca="false">IF($AD455="No","Not checked – drug is IV only",IFERROR(INDEX('Route of Administration'!$O$5:$O$170,MATCH($E455&amp;"|"&amp;$C455,'Route of Administration'!$S$5:$S$170,0)),"Not checked – price ≤ USD 5"))</f>
        <v>Pass</v>
      </c>
    </row>
    <row r="456" customFormat="false" ht="41.75" hidden="false" customHeight="false" outlineLevel="0" collapsed="false">
      <c r="B456" s="16" t="n">
        <v>454</v>
      </c>
      <c r="C456" s="16" t="s">
        <v>888</v>
      </c>
      <c r="D456" s="16" t="s">
        <v>1047</v>
      </c>
      <c r="E456" s="16" t="s">
        <v>927</v>
      </c>
      <c r="F456" s="16" t="s">
        <v>2390</v>
      </c>
      <c r="G456" s="17" t="s">
        <v>2391</v>
      </c>
      <c r="H456" s="16" t="s">
        <v>1533</v>
      </c>
      <c r="I456" s="18"/>
      <c r="J456" s="16" t="n">
        <v>1</v>
      </c>
      <c r="K456" s="16" t="n">
        <v>286</v>
      </c>
      <c r="L456" s="19" t="n">
        <v>3193.58</v>
      </c>
      <c r="M456" s="17" t="s">
        <v>890</v>
      </c>
      <c r="N456" s="82" t="n">
        <v>3</v>
      </c>
      <c r="O456" s="64" t="s">
        <v>1541</v>
      </c>
      <c r="P456" s="16" t="s">
        <v>1535</v>
      </c>
      <c r="Q456" s="17" t="s">
        <v>2264</v>
      </c>
      <c r="R456" s="78" t="s">
        <v>2265</v>
      </c>
      <c r="S456" s="77" t="n">
        <f aca="false">IFERROR(INDEX('Injectable Value'!$Z$28:$Z$178,MATCH($C456,'Injectable Value'!$A$28:$A$178,0)),"")</f>
        <v>0.4171983066393</v>
      </c>
      <c r="T456" s="19" t="n">
        <f aca="false">IFERROR(ROUND(INDEX('Injectable Value'!$AA$28:$AA$178,MATCH($C456,'Injectable Value'!$A$28:$A$178,0)),1),"")</f>
        <v>1332.4</v>
      </c>
      <c r="U456" s="17" t="s">
        <v>1050</v>
      </c>
      <c r="V456" s="16" t="n">
        <v>8</v>
      </c>
      <c r="W456" s="16" t="s">
        <v>1049</v>
      </c>
      <c r="X456" s="16" t="s">
        <v>349</v>
      </c>
      <c r="Y456" s="16" t="s">
        <v>283</v>
      </c>
      <c r="Z456" s="17" t="str">
        <f aca="false">IFERROR(INDEX(Scoring!$U:$U,MATCH($C456&amp;"|"&amp;$E456,Scoring!$AD:$AD,0)),"")</f>
        <v/>
      </c>
      <c r="AA456" s="16" t="str">
        <f aca="false">IFERROR(INDEX(Scoring!$E:$E,MATCH($C456&amp;"|"&amp;$E456,Scoring!$AD:$AD,0)),"")</f>
        <v>Excluded – price ≤ USD 5</v>
      </c>
      <c r="AB456" s="19" t="n">
        <f aca="false">IFERROR(INDEX(Scoring!$M:$M,MATCH($C456&amp;"|"&amp;$E456,Scoring!$AD:$AD,0)),"")</f>
        <v>119</v>
      </c>
      <c r="AC456" s="16" t="str">
        <f aca="false">IFERROR(INDEX('Route of Administration'!$C$5:$C$155,MATCH($C456,'Route of Administration'!$A$5:$A$155,0)),"")</f>
        <v>IV, IM</v>
      </c>
      <c r="AD456" s="15" t="str">
        <f aca="false">IFERROR(INDEX('Route of Administration'!$D$5:$D$155,MATCH($C456,'Route of Administration'!$A$5:$A$155,0)),"")</f>
        <v>Yes</v>
      </c>
      <c r="AE456" s="15" t="str">
        <f aca="false">IF($AD456="No","Not checked – drug is IV only",IFERROR(INDEX('Route of Administration'!$O$5:$O$170,MATCH($E456&amp;"|"&amp;$C456,'Route of Administration'!$S$5:$S$170,0)),"Not checked – price ≤ USD 5"))</f>
        <v>Not checked – price ≤ USD 5</v>
      </c>
    </row>
    <row r="457" customFormat="false" ht="41.75" hidden="false" customHeight="false" outlineLevel="0" collapsed="false">
      <c r="B457" s="16" t="n">
        <v>455</v>
      </c>
      <c r="C457" s="16" t="s">
        <v>967</v>
      </c>
      <c r="D457" s="16" t="s">
        <v>2392</v>
      </c>
      <c r="E457" s="16" t="s">
        <v>927</v>
      </c>
      <c r="F457" s="16" t="s">
        <v>2393</v>
      </c>
      <c r="G457" s="17" t="s">
        <v>1852</v>
      </c>
      <c r="H457" s="16" t="s">
        <v>1533</v>
      </c>
      <c r="I457" s="18"/>
      <c r="J457" s="16" t="n">
        <v>1</v>
      </c>
      <c r="K457" s="16" t="n">
        <v>117</v>
      </c>
      <c r="L457" s="19" t="n">
        <v>2508.09</v>
      </c>
      <c r="M457" s="17" t="s">
        <v>969</v>
      </c>
      <c r="N457" s="18"/>
      <c r="O457" s="16" t="s">
        <v>1573</v>
      </c>
      <c r="P457" s="16" t="s">
        <v>112</v>
      </c>
      <c r="Q457" s="17" t="s">
        <v>112</v>
      </c>
      <c r="R457" s="16"/>
      <c r="S457" s="77" t="n">
        <f aca="false">IFERROR(INDEX('Injectable Value'!$Z$28:$Z$178,MATCH($C457,'Injectable Value'!$A$28:$A$178,0)),"")</f>
        <v>1</v>
      </c>
      <c r="T457" s="19" t="n">
        <f aca="false">IFERROR(ROUND(INDEX('Injectable Value'!$AA$28:$AA$178,MATCH($C457,'Injectable Value'!$A$28:$A$178,0)),1),"")</f>
        <v>2508.1</v>
      </c>
      <c r="U457" s="17" t="s">
        <v>972</v>
      </c>
      <c r="V457" s="16" t="n">
        <v>15</v>
      </c>
      <c r="W457" s="16" t="s">
        <v>971</v>
      </c>
      <c r="X457" s="16" t="s">
        <v>281</v>
      </c>
      <c r="Y457" s="16" t="s">
        <v>283</v>
      </c>
      <c r="Z457" s="17" t="str">
        <f aca="false">IFERROR(INDEX(Scoring!$U:$U,MATCH($C457&amp;"|"&amp;$E457,Scoring!$AD:$AD,0)),"")</f>
        <v/>
      </c>
      <c r="AA457" s="16" t="str">
        <f aca="false">IFERROR(INDEX(Scoring!$E:$E,MATCH($C457&amp;"|"&amp;$E457,Scoring!$AD:$AD,0)),"")</f>
        <v>Excluded – IV only</v>
      </c>
      <c r="AB457" s="19" t="n">
        <f aca="false">IFERROR(INDEX(Scoring!$M:$M,MATCH($C457&amp;"|"&amp;$E457,Scoring!$AD:$AD,0)),"")</f>
        <v>117</v>
      </c>
      <c r="AC457" s="16" t="str">
        <f aca="false">IFERROR(INDEX('Route of Administration'!$C$5:$C$155,MATCH($C457,'Route of Administration'!$A$5:$A$155,0)),"")</f>
        <v>IV</v>
      </c>
      <c r="AD457" s="15" t="str">
        <f aca="false">IFERROR(INDEX('Route of Administration'!$D$5:$D$155,MATCH($C457,'Route of Administration'!$A$5:$A$155,0)),"")</f>
        <v>No</v>
      </c>
      <c r="AE457" s="15" t="str">
        <f aca="false">IF($AD457="No","Not checked – drug is IV only",IFERROR(INDEX('Route of Administration'!$O$5:$O$170,MATCH($E457&amp;"|"&amp;$C457,'Route of Administration'!$S$5:$S$170,0)),"Not checked – price ≤ USD 5"))</f>
        <v>Not checked – drug is IV only</v>
      </c>
    </row>
    <row r="458" customFormat="false" ht="41.75" hidden="false" customHeight="false" outlineLevel="0" collapsed="false">
      <c r="B458" s="16" t="n">
        <v>456</v>
      </c>
      <c r="C458" s="16" t="s">
        <v>967</v>
      </c>
      <c r="D458" s="16" t="s">
        <v>2392</v>
      </c>
      <c r="E458" s="16" t="s">
        <v>927</v>
      </c>
      <c r="F458" s="16" t="s">
        <v>2394</v>
      </c>
      <c r="G458" s="17" t="s">
        <v>2395</v>
      </c>
      <c r="H458" s="16" t="s">
        <v>1533</v>
      </c>
      <c r="I458" s="18"/>
      <c r="J458" s="16" t="n">
        <v>1</v>
      </c>
      <c r="K458" s="16" t="n">
        <v>117</v>
      </c>
      <c r="L458" s="19" t="n">
        <v>2508.09</v>
      </c>
      <c r="M458" s="17" t="s">
        <v>969</v>
      </c>
      <c r="N458" s="18"/>
      <c r="O458" s="16" t="s">
        <v>1573</v>
      </c>
      <c r="P458" s="16" t="s">
        <v>112</v>
      </c>
      <c r="Q458" s="17" t="s">
        <v>112</v>
      </c>
      <c r="R458" s="16"/>
      <c r="S458" s="77" t="n">
        <f aca="false">IFERROR(INDEX('Injectable Value'!$Z$28:$Z$178,MATCH($C458,'Injectable Value'!$A$28:$A$178,0)),"")</f>
        <v>1</v>
      </c>
      <c r="T458" s="19" t="n">
        <f aca="false">IFERROR(ROUND(INDEX('Injectable Value'!$AA$28:$AA$178,MATCH($C458,'Injectable Value'!$A$28:$A$178,0)),1),"")</f>
        <v>2508.1</v>
      </c>
      <c r="U458" s="17" t="s">
        <v>972</v>
      </c>
      <c r="V458" s="16" t="n">
        <v>15</v>
      </c>
      <c r="W458" s="16" t="s">
        <v>971</v>
      </c>
      <c r="X458" s="16" t="s">
        <v>281</v>
      </c>
      <c r="Y458" s="16" t="s">
        <v>1547</v>
      </c>
      <c r="Z458" s="17" t="str">
        <f aca="false">IFERROR(INDEX(Scoring!$U:$U,MATCH($C458&amp;"|"&amp;$E458,Scoring!$AD:$AD,0)),"")</f>
        <v/>
      </c>
      <c r="AA458" s="16" t="str">
        <f aca="false">IFERROR(INDEX(Scoring!$E:$E,MATCH($C458&amp;"|"&amp;$E458,Scoring!$AD:$AD,0)),"")</f>
        <v>Excluded – IV only</v>
      </c>
      <c r="AB458" s="19" t="n">
        <f aca="false">IFERROR(INDEX(Scoring!$M:$M,MATCH($C458&amp;"|"&amp;$E458,Scoring!$AD:$AD,0)),"")</f>
        <v>117</v>
      </c>
      <c r="AC458" s="16" t="str">
        <f aca="false">IFERROR(INDEX('Route of Administration'!$C$5:$C$155,MATCH($C458,'Route of Administration'!$A$5:$A$155,0)),"")</f>
        <v>IV</v>
      </c>
      <c r="AD458" s="15" t="str">
        <f aca="false">IFERROR(INDEX('Route of Administration'!$D$5:$D$155,MATCH($C458,'Route of Administration'!$A$5:$A$155,0)),"")</f>
        <v>No</v>
      </c>
      <c r="AE458" s="15" t="str">
        <f aca="false">IF($AD458="No","Not checked – drug is IV only",IFERROR(INDEX('Route of Administration'!$O$5:$O$170,MATCH($E458&amp;"|"&amp;$C458,'Route of Administration'!$S$5:$S$170,0)),"Not checked – price ≤ USD 5"))</f>
        <v>Not checked – drug is IV only</v>
      </c>
    </row>
    <row r="459" customFormat="false" ht="41.75" hidden="false" customHeight="false" outlineLevel="0" collapsed="false">
      <c r="B459" s="16" t="n">
        <v>457</v>
      </c>
      <c r="C459" s="16" t="s">
        <v>967</v>
      </c>
      <c r="D459" s="16" t="s">
        <v>2392</v>
      </c>
      <c r="E459" s="16" t="s">
        <v>927</v>
      </c>
      <c r="F459" s="16" t="s">
        <v>2396</v>
      </c>
      <c r="G459" s="17" t="s">
        <v>1909</v>
      </c>
      <c r="H459" s="16" t="s">
        <v>1533</v>
      </c>
      <c r="I459" s="18"/>
      <c r="J459" s="16" t="n">
        <v>1</v>
      </c>
      <c r="K459" s="16" t="n">
        <v>117</v>
      </c>
      <c r="L459" s="19" t="n">
        <v>2508.09</v>
      </c>
      <c r="M459" s="17" t="s">
        <v>969</v>
      </c>
      <c r="N459" s="18"/>
      <c r="O459" s="16" t="s">
        <v>1573</v>
      </c>
      <c r="P459" s="16" t="s">
        <v>112</v>
      </c>
      <c r="Q459" s="17" t="s">
        <v>112</v>
      </c>
      <c r="R459" s="16"/>
      <c r="S459" s="77" t="n">
        <f aca="false">IFERROR(INDEX('Injectable Value'!$Z$28:$Z$178,MATCH($C459,'Injectable Value'!$A$28:$A$178,0)),"")</f>
        <v>1</v>
      </c>
      <c r="T459" s="19" t="n">
        <f aca="false">IFERROR(ROUND(INDEX('Injectable Value'!$AA$28:$AA$178,MATCH($C459,'Injectable Value'!$A$28:$A$178,0)),1),"")</f>
        <v>2508.1</v>
      </c>
      <c r="U459" s="17" t="s">
        <v>972</v>
      </c>
      <c r="V459" s="16" t="n">
        <v>15</v>
      </c>
      <c r="W459" s="16" t="s">
        <v>971</v>
      </c>
      <c r="X459" s="16" t="s">
        <v>281</v>
      </c>
      <c r="Y459" s="16" t="s">
        <v>283</v>
      </c>
      <c r="Z459" s="17" t="str">
        <f aca="false">IFERROR(INDEX(Scoring!$U:$U,MATCH($C459&amp;"|"&amp;$E459,Scoring!$AD:$AD,0)),"")</f>
        <v/>
      </c>
      <c r="AA459" s="16" t="str">
        <f aca="false">IFERROR(INDEX(Scoring!$E:$E,MATCH($C459&amp;"|"&amp;$E459,Scoring!$AD:$AD,0)),"")</f>
        <v>Excluded – IV only</v>
      </c>
      <c r="AB459" s="19" t="n">
        <f aca="false">IFERROR(INDEX(Scoring!$M:$M,MATCH($C459&amp;"|"&amp;$E459,Scoring!$AD:$AD,0)),"")</f>
        <v>117</v>
      </c>
      <c r="AC459" s="16" t="str">
        <f aca="false">IFERROR(INDEX('Route of Administration'!$C$5:$C$155,MATCH($C459,'Route of Administration'!$A$5:$A$155,0)),"")</f>
        <v>IV</v>
      </c>
      <c r="AD459" s="15" t="str">
        <f aca="false">IFERROR(INDEX('Route of Administration'!$D$5:$D$155,MATCH($C459,'Route of Administration'!$A$5:$A$155,0)),"")</f>
        <v>No</v>
      </c>
      <c r="AE459" s="15" t="str">
        <f aca="false">IF($AD459="No","Not checked – drug is IV only",IFERROR(INDEX('Route of Administration'!$O$5:$O$170,MATCH($E459&amp;"|"&amp;$C459,'Route of Administration'!$S$5:$S$170,0)),"Not checked – price ≤ USD 5"))</f>
        <v>Not checked – drug is IV only</v>
      </c>
    </row>
    <row r="460" customFormat="false" ht="41.75" hidden="false" customHeight="false" outlineLevel="0" collapsed="false">
      <c r="B460" s="16" t="n">
        <v>458</v>
      </c>
      <c r="C460" s="16" t="s">
        <v>967</v>
      </c>
      <c r="D460" s="16" t="s">
        <v>2392</v>
      </c>
      <c r="E460" s="16" t="s">
        <v>927</v>
      </c>
      <c r="F460" s="16" t="s">
        <v>2397</v>
      </c>
      <c r="G460" s="17" t="s">
        <v>2398</v>
      </c>
      <c r="H460" s="16" t="s">
        <v>1533</v>
      </c>
      <c r="I460" s="18"/>
      <c r="J460" s="16" t="n">
        <v>1</v>
      </c>
      <c r="K460" s="16" t="n">
        <v>117</v>
      </c>
      <c r="L460" s="19" t="n">
        <v>2508.09</v>
      </c>
      <c r="M460" s="17" t="s">
        <v>969</v>
      </c>
      <c r="N460" s="18"/>
      <c r="O460" s="16" t="s">
        <v>1573</v>
      </c>
      <c r="P460" s="16" t="s">
        <v>112</v>
      </c>
      <c r="Q460" s="17" t="s">
        <v>112</v>
      </c>
      <c r="R460" s="16"/>
      <c r="S460" s="77" t="n">
        <f aca="false">IFERROR(INDEX('Injectable Value'!$Z$28:$Z$178,MATCH($C460,'Injectable Value'!$A$28:$A$178,0)),"")</f>
        <v>1</v>
      </c>
      <c r="T460" s="19" t="n">
        <f aca="false">IFERROR(ROUND(INDEX('Injectable Value'!$AA$28:$AA$178,MATCH($C460,'Injectable Value'!$A$28:$A$178,0)),1),"")</f>
        <v>2508.1</v>
      </c>
      <c r="U460" s="17" t="s">
        <v>972</v>
      </c>
      <c r="V460" s="16" t="n">
        <v>15</v>
      </c>
      <c r="W460" s="16" t="s">
        <v>971</v>
      </c>
      <c r="X460" s="16" t="s">
        <v>281</v>
      </c>
      <c r="Y460" s="16" t="s">
        <v>283</v>
      </c>
      <c r="Z460" s="17" t="str">
        <f aca="false">IFERROR(INDEX(Scoring!$U:$U,MATCH($C460&amp;"|"&amp;$E460,Scoring!$AD:$AD,0)),"")</f>
        <v/>
      </c>
      <c r="AA460" s="16" t="str">
        <f aca="false">IFERROR(INDEX(Scoring!$E:$E,MATCH($C460&amp;"|"&amp;$E460,Scoring!$AD:$AD,0)),"")</f>
        <v>Excluded – IV only</v>
      </c>
      <c r="AB460" s="19" t="n">
        <f aca="false">IFERROR(INDEX(Scoring!$M:$M,MATCH($C460&amp;"|"&amp;$E460,Scoring!$AD:$AD,0)),"")</f>
        <v>117</v>
      </c>
      <c r="AC460" s="16" t="str">
        <f aca="false">IFERROR(INDEX('Route of Administration'!$C$5:$C$155,MATCH($C460,'Route of Administration'!$A$5:$A$155,0)),"")</f>
        <v>IV</v>
      </c>
      <c r="AD460" s="15" t="str">
        <f aca="false">IFERROR(INDEX('Route of Administration'!$D$5:$D$155,MATCH($C460,'Route of Administration'!$A$5:$A$155,0)),"")</f>
        <v>No</v>
      </c>
      <c r="AE460" s="15" t="str">
        <f aca="false">IF($AD460="No","Not checked – drug is IV only",IFERROR(INDEX('Route of Administration'!$O$5:$O$170,MATCH($E460&amp;"|"&amp;$C460,'Route of Administration'!$S$5:$S$170,0)),"Not checked – price ≤ USD 5"))</f>
        <v>Not checked – drug is IV only</v>
      </c>
    </row>
    <row r="461" customFormat="false" ht="41.75" hidden="false" customHeight="false" outlineLevel="0" collapsed="false">
      <c r="B461" s="16" t="n">
        <v>459</v>
      </c>
      <c r="C461" s="16" t="s">
        <v>967</v>
      </c>
      <c r="D461" s="16" t="s">
        <v>2392</v>
      </c>
      <c r="E461" s="16" t="s">
        <v>927</v>
      </c>
      <c r="F461" s="16" t="s">
        <v>2399</v>
      </c>
      <c r="G461" s="17" t="s">
        <v>2400</v>
      </c>
      <c r="H461" s="16" t="s">
        <v>1533</v>
      </c>
      <c r="I461" s="18"/>
      <c r="J461" s="16" t="n">
        <v>1</v>
      </c>
      <c r="K461" s="16" t="n">
        <v>117</v>
      </c>
      <c r="L461" s="19" t="n">
        <v>2508.09</v>
      </c>
      <c r="M461" s="17" t="s">
        <v>969</v>
      </c>
      <c r="N461" s="18"/>
      <c r="O461" s="16" t="s">
        <v>1573</v>
      </c>
      <c r="P461" s="16" t="s">
        <v>112</v>
      </c>
      <c r="Q461" s="17" t="s">
        <v>112</v>
      </c>
      <c r="R461" s="16"/>
      <c r="S461" s="77" t="n">
        <f aca="false">IFERROR(INDEX('Injectable Value'!$Z$28:$Z$178,MATCH($C461,'Injectable Value'!$A$28:$A$178,0)),"")</f>
        <v>1</v>
      </c>
      <c r="T461" s="19" t="n">
        <f aca="false">IFERROR(ROUND(INDEX('Injectable Value'!$AA$28:$AA$178,MATCH($C461,'Injectable Value'!$A$28:$A$178,0)),1),"")</f>
        <v>2508.1</v>
      </c>
      <c r="U461" s="17" t="s">
        <v>972</v>
      </c>
      <c r="V461" s="16" t="n">
        <v>15</v>
      </c>
      <c r="W461" s="16" t="s">
        <v>971</v>
      </c>
      <c r="X461" s="16" t="s">
        <v>281</v>
      </c>
      <c r="Y461" s="16" t="s">
        <v>1547</v>
      </c>
      <c r="Z461" s="17" t="str">
        <f aca="false">IFERROR(INDEX(Scoring!$U:$U,MATCH($C461&amp;"|"&amp;$E461,Scoring!$AD:$AD,0)),"")</f>
        <v/>
      </c>
      <c r="AA461" s="16" t="str">
        <f aca="false">IFERROR(INDEX(Scoring!$E:$E,MATCH($C461&amp;"|"&amp;$E461,Scoring!$AD:$AD,0)),"")</f>
        <v>Excluded – IV only</v>
      </c>
      <c r="AB461" s="19" t="n">
        <f aca="false">IFERROR(INDEX(Scoring!$M:$M,MATCH($C461&amp;"|"&amp;$E461,Scoring!$AD:$AD,0)),"")</f>
        <v>117</v>
      </c>
      <c r="AC461" s="16" t="str">
        <f aca="false">IFERROR(INDEX('Route of Administration'!$C$5:$C$155,MATCH($C461,'Route of Administration'!$A$5:$A$155,0)),"")</f>
        <v>IV</v>
      </c>
      <c r="AD461" s="15" t="str">
        <f aca="false">IFERROR(INDEX('Route of Administration'!$D$5:$D$155,MATCH($C461,'Route of Administration'!$A$5:$A$155,0)),"")</f>
        <v>No</v>
      </c>
      <c r="AE461" s="15" t="str">
        <f aca="false">IF($AD461="No","Not checked – drug is IV only",IFERROR(INDEX('Route of Administration'!$O$5:$O$170,MATCH($E461&amp;"|"&amp;$C461,'Route of Administration'!$S$5:$S$170,0)),"Not checked – price ≤ USD 5"))</f>
        <v>Not checked – drug is IV only</v>
      </c>
    </row>
    <row r="462" customFormat="false" ht="68.65" hidden="false" customHeight="false" outlineLevel="0" collapsed="false">
      <c r="B462" s="16" t="n">
        <v>460</v>
      </c>
      <c r="C462" s="16" t="s">
        <v>299</v>
      </c>
      <c r="D462" s="16" t="s">
        <v>2401</v>
      </c>
      <c r="E462" s="16" t="s">
        <v>927</v>
      </c>
      <c r="F462" s="16" t="s">
        <v>2386</v>
      </c>
      <c r="G462" s="17" t="s">
        <v>2402</v>
      </c>
      <c r="H462" s="16" t="s">
        <v>1533</v>
      </c>
      <c r="I462" s="18" t="n">
        <v>26.369</v>
      </c>
      <c r="J462" s="16" t="n">
        <v>1</v>
      </c>
      <c r="K462" s="16" t="n">
        <v>1282</v>
      </c>
      <c r="L462" s="19" t="n">
        <v>16792.84</v>
      </c>
      <c r="M462" s="17" t="s">
        <v>301</v>
      </c>
      <c r="N462" s="18" t="n">
        <v>26.369</v>
      </c>
      <c r="O462" s="16" t="s">
        <v>1534</v>
      </c>
      <c r="P462" s="16" t="s">
        <v>1535</v>
      </c>
      <c r="Q462" s="17" t="s">
        <v>1536</v>
      </c>
      <c r="R462" s="78" t="s">
        <v>1806</v>
      </c>
      <c r="S462" s="77" t="n">
        <f aca="false">IFERROR(INDEX('Injectable Value'!$Z$28:$Z$178,MATCH($C462,'Injectable Value'!$A$28:$A$178,0)),"")</f>
        <v>0.776857437207773</v>
      </c>
      <c r="T462" s="19" t="n">
        <f aca="false">IFERROR(ROUND(INDEX('Injectable Value'!$AA$28:$AA$178,MATCH($C462,'Injectable Value'!$A$28:$A$178,0)),1),"")</f>
        <v>13045.6</v>
      </c>
      <c r="U462" s="17" t="s">
        <v>1077</v>
      </c>
      <c r="V462" s="16" t="n">
        <v>29</v>
      </c>
      <c r="W462" s="16" t="s">
        <v>537</v>
      </c>
      <c r="X462" s="16" t="s">
        <v>281</v>
      </c>
      <c r="Y462" s="16" t="s">
        <v>283</v>
      </c>
      <c r="Z462" s="17" t="str">
        <f aca="false">IFERROR(INDEX(Scoring!$U:$U,MATCH($C462&amp;"|"&amp;$E462,Scoring!$AD:$AD,0)),"")</f>
        <v>Cancer drug (cytotoxic) – less relevant</v>
      </c>
      <c r="AA462" s="16" t="str">
        <f aca="false">IFERROR(INDEX(Scoring!$E:$E,MATCH($C462&amp;"|"&amp;$E462,Scoring!$AD:$AD,0)),"")</f>
        <v>Priority 1</v>
      </c>
      <c r="AB462" s="19" t="n">
        <f aca="false">IFERROR(INDEX(Scoring!$M:$M,MATCH($C462&amp;"|"&amp;$E462,Scoring!$AD:$AD,0)),"")</f>
        <v>996</v>
      </c>
      <c r="AC462" s="16" t="str">
        <f aca="false">IFERROR(INDEX('Route of Administration'!$C$5:$C$155,MATCH($C462,'Route of Administration'!$A$5:$A$155,0)),"")</f>
        <v>IV, IM, SC</v>
      </c>
      <c r="AD462" s="15" t="str">
        <f aca="false">IFERROR(INDEX('Route of Administration'!$D$5:$D$155,MATCH($C462,'Route of Administration'!$A$5:$A$155,0)),"")</f>
        <v>Yes</v>
      </c>
      <c r="AE462" s="15" t="str">
        <f aca="false">IF($AD462="No","Not checked – drug is IV only",IFERROR(INDEX('Route of Administration'!$O$5:$O$170,MATCH($E462&amp;"|"&amp;$C462,'Route of Administration'!$S$5:$S$170,0)),"Not checked – price ≤ USD 5"))</f>
        <v>Pass</v>
      </c>
    </row>
    <row r="463" customFormat="false" ht="55.2" hidden="false" customHeight="false" outlineLevel="0" collapsed="false">
      <c r="B463" s="16" t="n">
        <v>461</v>
      </c>
      <c r="C463" s="16" t="s">
        <v>408</v>
      </c>
      <c r="D463" s="16" t="s">
        <v>2403</v>
      </c>
      <c r="E463" s="16" t="s">
        <v>927</v>
      </c>
      <c r="F463" s="16" t="s">
        <v>2396</v>
      </c>
      <c r="G463" s="17" t="s">
        <v>2402</v>
      </c>
      <c r="H463" s="16" t="s">
        <v>1533</v>
      </c>
      <c r="I463" s="18" t="n">
        <v>6.23</v>
      </c>
      <c r="J463" s="16" t="n">
        <v>1</v>
      </c>
      <c r="K463" s="16" t="n">
        <v>345</v>
      </c>
      <c r="L463" s="19" t="n">
        <v>2783.28</v>
      </c>
      <c r="M463" s="17" t="s">
        <v>410</v>
      </c>
      <c r="N463" s="18" t="n">
        <v>6.23</v>
      </c>
      <c r="O463" s="16" t="s">
        <v>1534</v>
      </c>
      <c r="P463" s="16" t="s">
        <v>1535</v>
      </c>
      <c r="Q463" s="17" t="s">
        <v>1536</v>
      </c>
      <c r="R463" s="78" t="s">
        <v>1806</v>
      </c>
      <c r="S463" s="77" t="n">
        <f aca="false">IFERROR(INDEX('Injectable Value'!$Z$28:$Z$178,MATCH($C463,'Injectable Value'!$A$28:$A$178,0)),"")</f>
        <v>0.995283018867925</v>
      </c>
      <c r="T463" s="19" t="n">
        <f aca="false">IFERROR(ROUND(INDEX('Injectable Value'!$AA$28:$AA$178,MATCH($C463,'Injectable Value'!$A$28:$A$178,0)),1),"")</f>
        <v>2770.2</v>
      </c>
      <c r="U463" s="17" t="s">
        <v>1020</v>
      </c>
      <c r="V463" s="16" t="n">
        <v>24</v>
      </c>
      <c r="W463" s="16" t="s">
        <v>977</v>
      </c>
      <c r="X463" s="16" t="s">
        <v>281</v>
      </c>
      <c r="Y463" s="16" t="s">
        <v>283</v>
      </c>
      <c r="Z463" s="17" t="str">
        <f aca="false">IFERROR(INDEX(Scoring!$U:$U,MATCH($C463&amp;"|"&amp;$E463,Scoring!$AD:$AD,0)),"")</f>
        <v>Cancer drug (cytotoxic) – less relevant</v>
      </c>
      <c r="AA463" s="16" t="str">
        <f aca="false">IFERROR(INDEX(Scoring!$E:$E,MATCH($C463&amp;"|"&amp;$E463,Scoring!$AD:$AD,0)),"")</f>
        <v>Excluded – IV only</v>
      </c>
      <c r="AB463" s="19" t="n">
        <f aca="false">IFERROR(INDEX(Scoring!$M:$M,MATCH($C463&amp;"|"&amp;$E463,Scoring!$AD:$AD,0)),"")</f>
        <v>343</v>
      </c>
      <c r="AC463" s="16" t="str">
        <f aca="false">IFERROR(INDEX('Route of Administration'!$C$5:$C$155,MATCH($C463,'Route of Administration'!$A$5:$A$155,0)),"")</f>
        <v>IV</v>
      </c>
      <c r="AD463" s="15" t="str">
        <f aca="false">IFERROR(INDEX('Route of Administration'!$D$5:$D$155,MATCH($C463,'Route of Administration'!$A$5:$A$155,0)),"")</f>
        <v>No</v>
      </c>
      <c r="AE463" s="15" t="str">
        <f aca="false">IF($AD463="No","Not checked – drug is IV only",IFERROR(INDEX('Route of Administration'!$O$5:$O$170,MATCH($E463&amp;"|"&amp;$C463,'Route of Administration'!$S$5:$S$170,0)),"Not checked – price ≤ USD 5"))</f>
        <v>Not checked – drug is IV only</v>
      </c>
    </row>
    <row r="464" customFormat="false" ht="55.2" hidden="false" customHeight="false" outlineLevel="0" collapsed="false">
      <c r="B464" s="16" t="n">
        <v>462</v>
      </c>
      <c r="C464" s="16" t="s">
        <v>408</v>
      </c>
      <c r="D464" s="16" t="s">
        <v>2403</v>
      </c>
      <c r="E464" s="16" t="s">
        <v>927</v>
      </c>
      <c r="F464" s="16" t="s">
        <v>2394</v>
      </c>
      <c r="G464" s="17" t="s">
        <v>2404</v>
      </c>
      <c r="H464" s="16" t="s">
        <v>1533</v>
      </c>
      <c r="I464" s="18" t="n">
        <v>15.568</v>
      </c>
      <c r="J464" s="16" t="n">
        <v>1</v>
      </c>
      <c r="K464" s="16" t="n">
        <v>345</v>
      </c>
      <c r="L464" s="19" t="n">
        <v>2783.28</v>
      </c>
      <c r="M464" s="17" t="s">
        <v>410</v>
      </c>
      <c r="N464" s="18" t="n">
        <v>15.568</v>
      </c>
      <c r="O464" s="16" t="s">
        <v>1534</v>
      </c>
      <c r="P464" s="16" t="s">
        <v>1535</v>
      </c>
      <c r="Q464" s="17" t="s">
        <v>1536</v>
      </c>
      <c r="R464" s="78" t="s">
        <v>1806</v>
      </c>
      <c r="S464" s="77" t="n">
        <f aca="false">IFERROR(INDEX('Injectable Value'!$Z$28:$Z$178,MATCH($C464,'Injectable Value'!$A$28:$A$178,0)),"")</f>
        <v>0.995283018867925</v>
      </c>
      <c r="T464" s="19" t="n">
        <f aca="false">IFERROR(ROUND(INDEX('Injectable Value'!$AA$28:$AA$178,MATCH($C464,'Injectable Value'!$A$28:$A$178,0)),1),"")</f>
        <v>2770.2</v>
      </c>
      <c r="U464" s="17" t="s">
        <v>1020</v>
      </c>
      <c r="V464" s="16" t="n">
        <v>24</v>
      </c>
      <c r="W464" s="16" t="s">
        <v>977</v>
      </c>
      <c r="X464" s="16" t="s">
        <v>281</v>
      </c>
      <c r="Y464" s="16" t="s">
        <v>1547</v>
      </c>
      <c r="Z464" s="17" t="str">
        <f aca="false">IFERROR(INDEX(Scoring!$U:$U,MATCH($C464&amp;"|"&amp;$E464,Scoring!$AD:$AD,0)),"")</f>
        <v>Cancer drug (cytotoxic) – less relevant</v>
      </c>
      <c r="AA464" s="16" t="str">
        <f aca="false">IFERROR(INDEX(Scoring!$E:$E,MATCH($C464&amp;"|"&amp;$E464,Scoring!$AD:$AD,0)),"")</f>
        <v>Excluded – IV only</v>
      </c>
      <c r="AB464" s="19" t="n">
        <f aca="false">IFERROR(INDEX(Scoring!$M:$M,MATCH($C464&amp;"|"&amp;$E464,Scoring!$AD:$AD,0)),"")</f>
        <v>343</v>
      </c>
      <c r="AC464" s="16" t="str">
        <f aca="false">IFERROR(INDEX('Route of Administration'!$C$5:$C$155,MATCH($C464,'Route of Administration'!$A$5:$A$155,0)),"")</f>
        <v>IV</v>
      </c>
      <c r="AD464" s="15" t="str">
        <f aca="false">IFERROR(INDEX('Route of Administration'!$D$5:$D$155,MATCH($C464,'Route of Administration'!$A$5:$A$155,0)),"")</f>
        <v>No</v>
      </c>
      <c r="AE464" s="15" t="str">
        <f aca="false">IF($AD464="No","Not checked – drug is IV only",IFERROR(INDEX('Route of Administration'!$O$5:$O$170,MATCH($E464&amp;"|"&amp;$C464,'Route of Administration'!$S$5:$S$170,0)),"Not checked – price ≤ USD 5"))</f>
        <v>Not checked – drug is IV only</v>
      </c>
    </row>
    <row r="465" customFormat="false" ht="55.2" hidden="false" customHeight="false" outlineLevel="0" collapsed="false">
      <c r="B465" s="16" t="n">
        <v>463</v>
      </c>
      <c r="C465" s="16" t="s">
        <v>408</v>
      </c>
      <c r="D465" s="16" t="s">
        <v>2403</v>
      </c>
      <c r="E465" s="16" t="s">
        <v>927</v>
      </c>
      <c r="F465" s="16" t="s">
        <v>2405</v>
      </c>
      <c r="G465" s="17" t="s">
        <v>2406</v>
      </c>
      <c r="H465" s="16" t="s">
        <v>1533</v>
      </c>
      <c r="I465" s="18" t="n">
        <v>62.265</v>
      </c>
      <c r="J465" s="16" t="n">
        <v>1</v>
      </c>
      <c r="K465" s="16" t="n">
        <v>345</v>
      </c>
      <c r="L465" s="19" t="n">
        <v>2783.28</v>
      </c>
      <c r="M465" s="17" t="s">
        <v>410</v>
      </c>
      <c r="N465" s="18" t="n">
        <v>62.265</v>
      </c>
      <c r="O465" s="16" t="s">
        <v>1534</v>
      </c>
      <c r="P465" s="16" t="s">
        <v>1700</v>
      </c>
      <c r="Q465" s="17" t="s">
        <v>1536</v>
      </c>
      <c r="R465" s="78" t="s">
        <v>1806</v>
      </c>
      <c r="S465" s="77" t="n">
        <f aca="false">IFERROR(INDEX('Injectable Value'!$Z$28:$Z$178,MATCH($C465,'Injectable Value'!$A$28:$A$178,0)),"")</f>
        <v>0.995283018867925</v>
      </c>
      <c r="T465" s="19" t="n">
        <f aca="false">IFERROR(ROUND(INDEX('Injectable Value'!$AA$28:$AA$178,MATCH($C465,'Injectable Value'!$A$28:$A$178,0)),1),"")</f>
        <v>2770.2</v>
      </c>
      <c r="U465" s="17" t="s">
        <v>1020</v>
      </c>
      <c r="V465" s="16" t="n">
        <v>24</v>
      </c>
      <c r="W465" s="16" t="s">
        <v>977</v>
      </c>
      <c r="X465" s="16" t="s">
        <v>281</v>
      </c>
      <c r="Y465" s="16" t="s">
        <v>1547</v>
      </c>
      <c r="Z465" s="17" t="str">
        <f aca="false">IFERROR(INDEX(Scoring!$U:$U,MATCH($C465&amp;"|"&amp;$E465,Scoring!$AD:$AD,0)),"")</f>
        <v>Cancer drug (cytotoxic) – less relevant</v>
      </c>
      <c r="AA465" s="16" t="str">
        <f aca="false">IFERROR(INDEX(Scoring!$E:$E,MATCH($C465&amp;"|"&amp;$E465,Scoring!$AD:$AD,0)),"")</f>
        <v>Excluded – IV only</v>
      </c>
      <c r="AB465" s="19" t="n">
        <f aca="false">IFERROR(INDEX(Scoring!$M:$M,MATCH($C465&amp;"|"&amp;$E465,Scoring!$AD:$AD,0)),"")</f>
        <v>343</v>
      </c>
      <c r="AC465" s="16" t="str">
        <f aca="false">IFERROR(INDEX('Route of Administration'!$C$5:$C$155,MATCH($C465,'Route of Administration'!$A$5:$A$155,0)),"")</f>
        <v>IV</v>
      </c>
      <c r="AD465" s="15" t="str">
        <f aca="false">IFERROR(INDEX('Route of Administration'!$D$5:$D$155,MATCH($C465,'Route of Administration'!$A$5:$A$155,0)),"")</f>
        <v>No</v>
      </c>
      <c r="AE465" s="15" t="str">
        <f aca="false">IF($AD465="No","Not checked – drug is IV only",IFERROR(INDEX('Route of Administration'!$O$5:$O$170,MATCH($E465&amp;"|"&amp;$C465,'Route of Administration'!$S$5:$S$170,0)),"Not checked – price ≤ USD 5"))</f>
        <v>Not checked – drug is IV only</v>
      </c>
    </row>
    <row r="466" customFormat="false" ht="68.65" hidden="false" customHeight="false" outlineLevel="0" collapsed="false">
      <c r="B466" s="16" t="n">
        <v>464</v>
      </c>
      <c r="C466" s="16" t="s">
        <v>1079</v>
      </c>
      <c r="D466" s="16" t="s">
        <v>2407</v>
      </c>
      <c r="E466" s="16" t="s">
        <v>927</v>
      </c>
      <c r="F466" s="16" t="s">
        <v>2408</v>
      </c>
      <c r="G466" s="17" t="s">
        <v>2391</v>
      </c>
      <c r="H466" s="16" t="s">
        <v>1533</v>
      </c>
      <c r="I466" s="18" t="n">
        <v>5.152</v>
      </c>
      <c r="J466" s="16" t="n">
        <v>1</v>
      </c>
      <c r="K466" s="16" t="n">
        <v>221</v>
      </c>
      <c r="L466" s="19" t="n">
        <v>5838.25</v>
      </c>
      <c r="M466" s="17" t="s">
        <v>1081</v>
      </c>
      <c r="N466" s="18" t="n">
        <v>5.152</v>
      </c>
      <c r="O466" s="16" t="s">
        <v>1534</v>
      </c>
      <c r="P466" s="16" t="s">
        <v>1535</v>
      </c>
      <c r="Q466" s="17" t="s">
        <v>1536</v>
      </c>
      <c r="R466" s="78" t="s">
        <v>1799</v>
      </c>
      <c r="S466" s="77" t="n">
        <f aca="false">IFERROR(INDEX('Injectable Value'!$Z$28:$Z$178,MATCH($C466,'Injectable Value'!$A$28:$A$178,0)),"")</f>
        <v>0.800763686706633</v>
      </c>
      <c r="T466" s="19" t="n">
        <f aca="false">IFERROR(ROUND(INDEX('Injectable Value'!$AA$28:$AA$178,MATCH($C466,'Injectable Value'!$A$28:$A$178,0)),1),"")</f>
        <v>4675.1</v>
      </c>
      <c r="U466" s="17" t="s">
        <v>1084</v>
      </c>
      <c r="V466" s="16" t="n">
        <v>24</v>
      </c>
      <c r="W466" s="16" t="s">
        <v>437</v>
      </c>
      <c r="X466" s="16" t="s">
        <v>349</v>
      </c>
      <c r="Y466" s="16" t="s">
        <v>283</v>
      </c>
      <c r="Z466" s="17" t="str">
        <f aca="false">IFERROR(INDEX(Scoring!$U:$U,MATCH($C466&amp;"|"&amp;$E466,Scoring!$AD:$AD,0)),"")</f>
        <v/>
      </c>
      <c r="AA466" s="16" t="str">
        <f aca="false">IFERROR(INDEX(Scoring!$E:$E,MATCH($C466&amp;"|"&amp;$E466,Scoring!$AD:$AD,0)),"")</f>
        <v>Priority 2</v>
      </c>
      <c r="AB466" s="19" t="n">
        <f aca="false">IFERROR(INDEX(Scoring!$M:$M,MATCH($C466&amp;"|"&amp;$E466,Scoring!$AD:$AD,0)),"")</f>
        <v>177</v>
      </c>
      <c r="AC466" s="16" t="str">
        <f aca="false">IFERROR(INDEX('Route of Administration'!$C$5:$C$155,MATCH($C466,'Route of Administration'!$A$5:$A$155,0)),"")</f>
        <v>IV, IM</v>
      </c>
      <c r="AD466" s="15" t="str">
        <f aca="false">IFERROR(INDEX('Route of Administration'!$D$5:$D$155,MATCH($C466,'Route of Administration'!$A$5:$A$155,0)),"")</f>
        <v>Yes</v>
      </c>
      <c r="AE466" s="15" t="str">
        <f aca="false">IF($AD466="No","Not checked – drug is IV only",IFERROR(INDEX('Route of Administration'!$O$5:$O$170,MATCH($E466&amp;"|"&amp;$C466,'Route of Administration'!$S$5:$S$170,0)),"Not checked – price ≤ USD 5"))</f>
        <v>Pass</v>
      </c>
    </row>
    <row r="467" customFormat="false" ht="95.5" hidden="false" customHeight="false" outlineLevel="0" collapsed="false">
      <c r="B467" s="16" t="n">
        <v>465</v>
      </c>
      <c r="C467" s="16" t="s">
        <v>394</v>
      </c>
      <c r="D467" s="16" t="s">
        <v>2297</v>
      </c>
      <c r="E467" s="16" t="s">
        <v>927</v>
      </c>
      <c r="F467" s="16" t="s">
        <v>2405</v>
      </c>
      <c r="G467" s="17" t="s">
        <v>2409</v>
      </c>
      <c r="H467" s="16" t="s">
        <v>1533</v>
      </c>
      <c r="I467" s="18" t="n">
        <v>54.572</v>
      </c>
      <c r="J467" s="16" t="n">
        <v>1</v>
      </c>
      <c r="K467" s="16" t="n">
        <v>1644</v>
      </c>
      <c r="L467" s="19" t="n">
        <v>41889.23</v>
      </c>
      <c r="M467" s="17" t="s">
        <v>396</v>
      </c>
      <c r="N467" s="18" t="n">
        <v>54.572</v>
      </c>
      <c r="O467" s="16" t="s">
        <v>1534</v>
      </c>
      <c r="P467" s="16" t="s">
        <v>1700</v>
      </c>
      <c r="Q467" s="17" t="s">
        <v>1536</v>
      </c>
      <c r="R467" s="78" t="s">
        <v>1806</v>
      </c>
      <c r="S467" s="77" t="n">
        <f aca="false">IFERROR(INDEX('Injectable Value'!$Z$28:$Z$178,MATCH($C467,'Injectable Value'!$A$28:$A$178,0)),"")</f>
        <v>0.990783410138249</v>
      </c>
      <c r="T467" s="19" t="n">
        <f aca="false">IFERROR(ROUND(INDEX('Injectable Value'!$AA$28:$AA$178,MATCH($C467,'Injectable Value'!$A$28:$A$178,0)),1),"")</f>
        <v>41503.2</v>
      </c>
      <c r="U467" s="17" t="s">
        <v>1010</v>
      </c>
      <c r="V467" s="16" t="n">
        <v>34</v>
      </c>
      <c r="W467" s="16" t="s">
        <v>1009</v>
      </c>
      <c r="X467" s="16" t="s">
        <v>281</v>
      </c>
      <c r="Y467" s="16" t="s">
        <v>1547</v>
      </c>
      <c r="Z467" s="17" t="str">
        <f aca="false">IFERROR(INDEX(Scoring!$U:$U,MATCH($C467&amp;"|"&amp;$E467,Scoring!$AD:$AD,0)),"")</f>
        <v>Cancer drug (cytotoxic) – less relevant</v>
      </c>
      <c r="AA467" s="16" t="str">
        <f aca="false">IFERROR(INDEX(Scoring!$E:$E,MATCH($C467&amp;"|"&amp;$E467,Scoring!$AD:$AD,0)),"")</f>
        <v>Excluded – IV only</v>
      </c>
      <c r="AB467" s="19" t="n">
        <f aca="false">IFERROR(INDEX(Scoring!$M:$M,MATCH($C467&amp;"|"&amp;$E467,Scoring!$AD:$AD,0)),"")</f>
        <v>1629</v>
      </c>
      <c r="AC467" s="16" t="str">
        <f aca="false">IFERROR(INDEX('Route of Administration'!$C$5:$C$155,MATCH($C467,'Route of Administration'!$A$5:$A$155,0)),"")</f>
        <v>IV</v>
      </c>
      <c r="AD467" s="15" t="str">
        <f aca="false">IFERROR(INDEX('Route of Administration'!$D$5:$D$155,MATCH($C467,'Route of Administration'!$A$5:$A$155,0)),"")</f>
        <v>No</v>
      </c>
      <c r="AE467" s="15" t="str">
        <f aca="false">IF($AD467="No","Not checked – drug is IV only",IFERROR(INDEX('Route of Administration'!$O$5:$O$170,MATCH($E467&amp;"|"&amp;$C467,'Route of Administration'!$S$5:$S$170,0)),"Not checked – price ≤ USD 5"))</f>
        <v>Not checked – drug is IV only</v>
      </c>
    </row>
    <row r="468" customFormat="false" ht="28.35" hidden="false" customHeight="false" outlineLevel="0" collapsed="false">
      <c r="B468" s="16" t="n">
        <v>466</v>
      </c>
      <c r="C468" s="16" t="s">
        <v>922</v>
      </c>
      <c r="D468" s="16" t="s">
        <v>2410</v>
      </c>
      <c r="E468" s="16" t="s">
        <v>927</v>
      </c>
      <c r="F468" s="16" t="s">
        <v>2411</v>
      </c>
      <c r="G468" s="17" t="s">
        <v>2260</v>
      </c>
      <c r="H468" s="16" t="s">
        <v>1540</v>
      </c>
      <c r="I468" s="18" t="n">
        <v>14.69</v>
      </c>
      <c r="J468" s="16" t="n">
        <v>1</v>
      </c>
      <c r="K468" s="16" t="n">
        <v>646</v>
      </c>
      <c r="L468" s="19" t="n">
        <v>19089.13</v>
      </c>
      <c r="M468" s="17" t="s">
        <v>924</v>
      </c>
      <c r="N468" s="18" t="n">
        <v>14.69</v>
      </c>
      <c r="O468" s="16" t="s">
        <v>1534</v>
      </c>
      <c r="P468" s="16" t="s">
        <v>1700</v>
      </c>
      <c r="Q468" s="17" t="s">
        <v>1536</v>
      </c>
      <c r="R468" s="78" t="s">
        <v>1814</v>
      </c>
      <c r="S468" s="77" t="n">
        <f aca="false">IFERROR(INDEX('Injectable Value'!$Z$28:$Z$178,MATCH($C468,'Injectable Value'!$A$28:$A$178,0)),"")</f>
        <v>0.295137394358018</v>
      </c>
      <c r="T468" s="19" t="n">
        <f aca="false">IFERROR(ROUND(INDEX('Injectable Value'!$AA$28:$AA$178,MATCH($C468,'Injectable Value'!$A$28:$A$178,0)),1),"")</f>
        <v>5633.9</v>
      </c>
      <c r="U468" s="17" t="s">
        <v>926</v>
      </c>
      <c r="V468" s="16" t="n">
        <v>2</v>
      </c>
      <c r="W468" s="16" t="s">
        <v>912</v>
      </c>
      <c r="X468" s="16" t="s">
        <v>291</v>
      </c>
      <c r="Y468" s="16" t="s">
        <v>283</v>
      </c>
      <c r="Z468" s="17" t="str">
        <f aca="false">IFERROR(INDEX(Scoring!$U:$U,MATCH($C468&amp;"|"&amp;$E468,Scoring!$AD:$AD,0)),"")</f>
        <v>Prefilled only</v>
      </c>
      <c r="AA468" s="16" t="str">
        <f aca="false">IFERROR(INDEX(Scoring!$E:$E,MATCH($C468&amp;"|"&amp;$E468,Scoring!$AD:$AD,0)),"")</f>
        <v>Excluded – IV only</v>
      </c>
      <c r="AB468" s="19" t="n">
        <f aca="false">IFERROR(INDEX(Scoring!$M:$M,MATCH($C468&amp;"|"&amp;$E468,Scoring!$AD:$AD,0)),"")</f>
        <v>191</v>
      </c>
      <c r="AC468" s="16" t="str">
        <f aca="false">IFERROR(INDEX('Route of Administration'!$C$5:$C$155,MATCH($C468,'Route of Administration'!$A$5:$A$155,0)),"")</f>
        <v>IV</v>
      </c>
      <c r="AD468" s="15" t="str">
        <f aca="false">IFERROR(INDEX('Route of Administration'!$D$5:$D$155,MATCH($C468,'Route of Administration'!$A$5:$A$155,0)),"")</f>
        <v>No</v>
      </c>
      <c r="AE468" s="15" t="str">
        <f aca="false">IF($AD468="No","Not checked – drug is IV only",IFERROR(INDEX('Route of Administration'!$O$5:$O$170,MATCH($E468&amp;"|"&amp;$C468,'Route of Administration'!$S$5:$S$170,0)),"Not checked – price ≤ USD 5"))</f>
        <v>Not checked – drug is IV only</v>
      </c>
    </row>
    <row r="469" customFormat="false" ht="28.35" hidden="false" customHeight="false" outlineLevel="0" collapsed="false">
      <c r="B469" s="16" t="n">
        <v>467</v>
      </c>
      <c r="C469" s="16" t="s">
        <v>74</v>
      </c>
      <c r="D469" s="16" t="s">
        <v>2412</v>
      </c>
      <c r="E469" s="16" t="s">
        <v>927</v>
      </c>
      <c r="F469" s="16" t="s">
        <v>1891</v>
      </c>
      <c r="G469" s="17" t="s">
        <v>2233</v>
      </c>
      <c r="H469" s="16" t="s">
        <v>1533</v>
      </c>
      <c r="I469" s="18" t="n">
        <v>32.6</v>
      </c>
      <c r="J469" s="16" t="n">
        <v>1</v>
      </c>
      <c r="K469" s="16" t="n">
        <v>1963</v>
      </c>
      <c r="L469" s="19" t="n">
        <v>49365.77</v>
      </c>
      <c r="M469" s="17" t="s">
        <v>657</v>
      </c>
      <c r="N469" s="18" t="n">
        <v>32.6</v>
      </c>
      <c r="O469" s="16" t="s">
        <v>1534</v>
      </c>
      <c r="P469" s="16" t="s">
        <v>1700</v>
      </c>
      <c r="Q469" s="17" t="s">
        <v>1878</v>
      </c>
      <c r="R469" s="78" t="s">
        <v>2413</v>
      </c>
      <c r="S469" s="77" t="n">
        <f aca="false">IFERROR(INDEX('Injectable Value'!$Z$28:$Z$178,MATCH($C469,'Injectable Value'!$A$28:$A$178,0)),"")</f>
        <v>0.115367076010264</v>
      </c>
      <c r="T469" s="19" t="n">
        <f aca="false">IFERROR(ROUND(INDEX('Injectable Value'!$AA$28:$AA$178,MATCH($C469,'Injectable Value'!$A$28:$A$178,0)),1),"")</f>
        <v>5695.2</v>
      </c>
      <c r="U469" s="17" t="s">
        <v>619</v>
      </c>
      <c r="V469" s="16" t="n">
        <v>2</v>
      </c>
      <c r="W469" s="16" t="s">
        <v>112</v>
      </c>
      <c r="X469" s="16" t="s">
        <v>281</v>
      </c>
      <c r="Y469" s="16" t="s">
        <v>283</v>
      </c>
      <c r="Z469" s="17" t="str">
        <f aca="false">IFERROR(INDEX(Scoring!$U:$U,MATCH($C469&amp;"|"&amp;$E469,Scoring!$AD:$AD,0)),"")</f>
        <v/>
      </c>
      <c r="AA469" s="16" t="str">
        <f aca="false">IFERROR(INDEX(Scoring!$E:$E,MATCH($C469&amp;"|"&amp;$E469,Scoring!$AD:$AD,0)),"")</f>
        <v>Priority 1</v>
      </c>
      <c r="AB469" s="19" t="n">
        <f aca="false">IFERROR(INDEX(Scoring!$M:$M,MATCH($C469&amp;"|"&amp;$E469,Scoring!$AD:$AD,0)),"")</f>
        <v>226</v>
      </c>
      <c r="AC469" s="16" t="str">
        <f aca="false">IFERROR(INDEX('Route of Administration'!$C$5:$C$155,MATCH($C469,'Route of Administration'!$A$5:$A$155,0)),"")</f>
        <v>IV, IM, SC</v>
      </c>
      <c r="AD469" s="15" t="str">
        <f aca="false">IFERROR(INDEX('Route of Administration'!$D$5:$D$155,MATCH($C469,'Route of Administration'!$A$5:$A$155,0)),"")</f>
        <v>Yes</v>
      </c>
      <c r="AE469" s="15" t="str">
        <f aca="false">IF($AD469="No","Not checked – drug is IV only",IFERROR(INDEX('Route of Administration'!$O$5:$O$170,MATCH($E469&amp;"|"&amp;$C469,'Route of Administration'!$S$5:$S$170,0)),"Not checked – price ≤ USD 5"))</f>
        <v>Pass</v>
      </c>
    </row>
    <row r="470" customFormat="false" ht="55.2" hidden="false" customHeight="false" outlineLevel="0" collapsed="false">
      <c r="B470" s="16" t="n">
        <v>468</v>
      </c>
      <c r="C470" s="16" t="s">
        <v>388</v>
      </c>
      <c r="D470" s="16" t="s">
        <v>2414</v>
      </c>
      <c r="E470" s="16" t="s">
        <v>927</v>
      </c>
      <c r="F470" s="16" t="s">
        <v>2415</v>
      </c>
      <c r="G470" s="17" t="s">
        <v>2416</v>
      </c>
      <c r="H470" s="16" t="s">
        <v>1533</v>
      </c>
      <c r="I470" s="18" t="n">
        <v>27.22</v>
      </c>
      <c r="J470" s="16" t="n">
        <v>1</v>
      </c>
      <c r="K470" s="16" t="n">
        <v>312</v>
      </c>
      <c r="L470" s="19" t="n">
        <v>59827.18</v>
      </c>
      <c r="M470" s="17" t="s">
        <v>390</v>
      </c>
      <c r="N470" s="18" t="n">
        <v>27.22</v>
      </c>
      <c r="O470" s="16" t="s">
        <v>1534</v>
      </c>
      <c r="P470" s="16" t="s">
        <v>1700</v>
      </c>
      <c r="Q470" s="17" t="s">
        <v>1878</v>
      </c>
      <c r="R470" s="78" t="s">
        <v>2417</v>
      </c>
      <c r="S470" s="77" t="n">
        <f aca="false">IFERROR(INDEX('Injectable Value'!$Z$28:$Z$178,MATCH($C470,'Injectable Value'!$A$28:$A$178,0)),"")</f>
        <v>1</v>
      </c>
      <c r="T470" s="19" t="n">
        <f aca="false">IFERROR(ROUND(INDEX('Injectable Value'!$AA$28:$AA$178,MATCH($C470,'Injectable Value'!$A$28:$A$178,0)),1),"")</f>
        <v>59827.2</v>
      </c>
      <c r="U470" s="17" t="s">
        <v>993</v>
      </c>
      <c r="V470" s="16" t="n">
        <v>21</v>
      </c>
      <c r="W470" s="16" t="s">
        <v>785</v>
      </c>
      <c r="X470" s="16" t="s">
        <v>281</v>
      </c>
      <c r="Y470" s="16" t="s">
        <v>1547</v>
      </c>
      <c r="Z470" s="17" t="str">
        <f aca="false">IFERROR(INDEX(Scoring!$U:$U,MATCH($C470&amp;"|"&amp;$E470,Scoring!$AD:$AD,0)),"")</f>
        <v>Reconstitution</v>
      </c>
      <c r="AA470" s="16" t="str">
        <f aca="false">IFERROR(INDEX(Scoring!$E:$E,MATCH($C470&amp;"|"&amp;$E470,Scoring!$AD:$AD,0)),"")</f>
        <v>Excluded – IV only</v>
      </c>
      <c r="AB470" s="19" t="n">
        <f aca="false">IFERROR(INDEX(Scoring!$M:$M,MATCH($C470&amp;"|"&amp;$E470,Scoring!$AD:$AD,0)),"")</f>
        <v>312</v>
      </c>
      <c r="AC470" s="16" t="str">
        <f aca="false">IFERROR(INDEX('Route of Administration'!$C$5:$C$155,MATCH($C470,'Route of Administration'!$A$5:$A$155,0)),"")</f>
        <v>IV</v>
      </c>
      <c r="AD470" s="15" t="str">
        <f aca="false">IFERROR(INDEX('Route of Administration'!$D$5:$D$155,MATCH($C470,'Route of Administration'!$A$5:$A$155,0)),"")</f>
        <v>No</v>
      </c>
      <c r="AE470" s="15" t="str">
        <f aca="false">IF($AD470="No","Not checked – drug is IV only",IFERROR(INDEX('Route of Administration'!$O$5:$O$170,MATCH($E470&amp;"|"&amp;$C470,'Route of Administration'!$S$5:$S$170,0)),"Not checked – price ≤ USD 5"))</f>
        <v>Not checked – drug is IV only</v>
      </c>
    </row>
    <row r="471" customFormat="false" ht="82.05" hidden="false" customHeight="false" outlineLevel="0" collapsed="false">
      <c r="B471" s="16" t="n">
        <v>469</v>
      </c>
      <c r="C471" s="16" t="s">
        <v>295</v>
      </c>
      <c r="D471" s="16" t="s">
        <v>2418</v>
      </c>
      <c r="E471" s="16" t="s">
        <v>927</v>
      </c>
      <c r="F471" s="16" t="s">
        <v>2002</v>
      </c>
      <c r="G471" s="17" t="s">
        <v>1729</v>
      </c>
      <c r="H471" s="16" t="s">
        <v>1540</v>
      </c>
      <c r="I471" s="18" t="n">
        <v>78.71</v>
      </c>
      <c r="J471" s="16" t="n">
        <v>1</v>
      </c>
      <c r="K471" s="16" t="n">
        <v>146</v>
      </c>
      <c r="L471" s="19" t="n">
        <v>11366.06</v>
      </c>
      <c r="M471" s="17" t="s">
        <v>296</v>
      </c>
      <c r="N471" s="18" t="n">
        <v>78.71</v>
      </c>
      <c r="O471" s="16" t="s">
        <v>1534</v>
      </c>
      <c r="P471" s="16" t="s">
        <v>1700</v>
      </c>
      <c r="Q471" s="17" t="s">
        <v>1536</v>
      </c>
      <c r="R471" s="78" t="s">
        <v>1814</v>
      </c>
      <c r="S471" s="77" t="n">
        <f aca="false">IFERROR(INDEX('Injectable Value'!$Z$28:$Z$178,MATCH($C471,'Injectable Value'!$A$28:$A$178,0)),"")</f>
        <v>1</v>
      </c>
      <c r="T471" s="19" t="n">
        <f aca="false">IFERROR(ROUND(INDEX('Injectable Value'!$AA$28:$AA$178,MATCH($C471,'Injectable Value'!$A$28:$A$178,0)),1),"")</f>
        <v>11366.1</v>
      </c>
      <c r="U471" s="17" t="s">
        <v>1045</v>
      </c>
      <c r="V471" s="16" t="n">
        <v>30</v>
      </c>
      <c r="W471" s="16" t="s">
        <v>342</v>
      </c>
      <c r="X471" s="16" t="s">
        <v>291</v>
      </c>
      <c r="Y471" s="16" t="s">
        <v>283</v>
      </c>
      <c r="Z471" s="17" t="str">
        <f aca="false">IFERROR(INDEX(Scoring!$U:$U,MATCH($C471&amp;"|"&amp;$E471,Scoring!$AD:$AD,0)),"")</f>
        <v>Prefilled only</v>
      </c>
      <c r="AA471" s="16" t="str">
        <f aca="false">IFERROR(INDEX(Scoring!$E:$E,MATCH($C471&amp;"|"&amp;$E471,Scoring!$AD:$AD,0)),"")</f>
        <v>Priority 1</v>
      </c>
      <c r="AB471" s="19" t="n">
        <f aca="false">IFERROR(INDEX(Scoring!$M:$M,MATCH($C471&amp;"|"&amp;$E471,Scoring!$AD:$AD,0)),"")</f>
        <v>146</v>
      </c>
      <c r="AC471" s="16" t="str">
        <f aca="false">IFERROR(INDEX('Route of Administration'!$C$5:$C$155,MATCH($C471,'Route of Administration'!$A$5:$A$155,0)),"")</f>
        <v>IM</v>
      </c>
      <c r="AD471" s="15" t="str">
        <f aca="false">IFERROR(INDEX('Route of Administration'!$D$5:$D$155,MATCH($C471,'Route of Administration'!$A$5:$A$155,0)),"")</f>
        <v>Yes</v>
      </c>
      <c r="AE471" s="15" t="str">
        <f aca="false">IF($AD471="No","Not checked – drug is IV only",IFERROR(INDEX('Route of Administration'!$O$5:$O$170,MATCH($E471&amp;"|"&amp;$C471,'Route of Administration'!$S$5:$S$170,0)),"Not checked – price ≤ USD 5"))</f>
        <v>Pass</v>
      </c>
    </row>
    <row r="472" customFormat="false" ht="82.05" hidden="false" customHeight="false" outlineLevel="0" collapsed="false">
      <c r="B472" s="16" t="n">
        <v>470</v>
      </c>
      <c r="C472" s="16" t="s">
        <v>529</v>
      </c>
      <c r="D472" s="16" t="s">
        <v>2419</v>
      </c>
      <c r="E472" s="16" t="s">
        <v>927</v>
      </c>
      <c r="F472" s="16" t="s">
        <v>2159</v>
      </c>
      <c r="G472" s="17" t="s">
        <v>1719</v>
      </c>
      <c r="H472" s="16" t="s">
        <v>1533</v>
      </c>
      <c r="I472" s="18" t="n">
        <v>15.39</v>
      </c>
      <c r="J472" s="16" t="n">
        <v>1</v>
      </c>
      <c r="K472" s="16" t="n">
        <v>119</v>
      </c>
      <c r="L472" s="19" t="n">
        <v>3113.83</v>
      </c>
      <c r="M472" s="17" t="s">
        <v>531</v>
      </c>
      <c r="N472" s="18" t="n">
        <v>15.39</v>
      </c>
      <c r="O472" s="16" t="s">
        <v>1534</v>
      </c>
      <c r="P472" s="16" t="s">
        <v>1700</v>
      </c>
      <c r="Q472" s="17" t="s">
        <v>1536</v>
      </c>
      <c r="R472" s="78" t="s">
        <v>1814</v>
      </c>
      <c r="S472" s="77" t="n">
        <f aca="false">IFERROR(INDEX('Injectable Value'!$Z$28:$Z$178,MATCH($C472,'Injectable Value'!$A$28:$A$178,0)),"")</f>
        <v>0.899884259259259</v>
      </c>
      <c r="T472" s="19" t="n">
        <f aca="false">IFERROR(ROUND(INDEX('Injectable Value'!$AA$28:$AA$178,MATCH($C472,'Injectable Value'!$A$28:$A$178,0)),1),"")</f>
        <v>2802.1</v>
      </c>
      <c r="U472" s="17" t="s">
        <v>1114</v>
      </c>
      <c r="V472" s="16" t="n">
        <v>32</v>
      </c>
      <c r="W472" s="16" t="s">
        <v>456</v>
      </c>
      <c r="X472" s="16" t="s">
        <v>281</v>
      </c>
      <c r="Y472" s="16" t="s">
        <v>283</v>
      </c>
      <c r="Z472" s="17" t="str">
        <f aca="false">IFERROR(INDEX(Scoring!$U:$U,MATCH($C472&amp;"|"&amp;$E472,Scoring!$AD:$AD,0)),"")</f>
        <v/>
      </c>
      <c r="AA472" s="16" t="str">
        <f aca="false">IFERROR(INDEX(Scoring!$E:$E,MATCH($C472&amp;"|"&amp;$E472,Scoring!$AD:$AD,0)),"")</f>
        <v>Excluded – IV only</v>
      </c>
      <c r="AB472" s="19" t="n">
        <f aca="false">IFERROR(INDEX(Scoring!$M:$M,MATCH($C472&amp;"|"&amp;$E472,Scoring!$AD:$AD,0)),"")</f>
        <v>107</v>
      </c>
      <c r="AC472" s="16" t="str">
        <f aca="false">IFERROR(INDEX('Route of Administration'!$C$5:$C$155,MATCH($C472,'Route of Administration'!$A$5:$A$155,0)),"")</f>
        <v>IV</v>
      </c>
      <c r="AD472" s="15" t="str">
        <f aca="false">IFERROR(INDEX('Route of Administration'!$D$5:$D$155,MATCH($C472,'Route of Administration'!$A$5:$A$155,0)),"")</f>
        <v>No</v>
      </c>
      <c r="AE472" s="15" t="str">
        <f aca="false">IF($AD472="No","Not checked – drug is IV only",IFERROR(INDEX('Route of Administration'!$O$5:$O$170,MATCH($E472&amp;"|"&amp;$C472,'Route of Administration'!$S$5:$S$170,0)),"Not checked – price ≤ USD 5"))</f>
        <v>Not checked – drug is IV only</v>
      </c>
    </row>
    <row r="473" customFormat="false" ht="95.5" hidden="false" customHeight="false" outlineLevel="0" collapsed="false">
      <c r="B473" s="16" t="n">
        <v>471</v>
      </c>
      <c r="C473" s="16" t="s">
        <v>338</v>
      </c>
      <c r="D473" s="16" t="s">
        <v>2420</v>
      </c>
      <c r="E473" s="16" t="s">
        <v>927</v>
      </c>
      <c r="F473" s="16" t="s">
        <v>2421</v>
      </c>
      <c r="G473" s="17" t="s">
        <v>2422</v>
      </c>
      <c r="H473" s="16" t="s">
        <v>1533</v>
      </c>
      <c r="I473" s="18" t="n">
        <v>97.6</v>
      </c>
      <c r="J473" s="16" t="n">
        <v>1</v>
      </c>
      <c r="K473" s="16" t="n">
        <v>905</v>
      </c>
      <c r="L473" s="19" t="n">
        <v>28093.38</v>
      </c>
      <c r="M473" s="17" t="s">
        <v>340</v>
      </c>
      <c r="N473" s="18" t="n">
        <v>97.6</v>
      </c>
      <c r="O473" s="16" t="s">
        <v>1534</v>
      </c>
      <c r="P473" s="16" t="s">
        <v>1700</v>
      </c>
      <c r="Q473" s="17" t="s">
        <v>1878</v>
      </c>
      <c r="R473" s="78" t="s">
        <v>2423</v>
      </c>
      <c r="S473" s="77" t="n">
        <f aca="false">IFERROR(INDEX('Injectable Value'!$Z$28:$Z$178,MATCH($C473,'Injectable Value'!$A$28:$A$178,0)),"")</f>
        <v>1</v>
      </c>
      <c r="T473" s="19" t="n">
        <f aca="false">IFERROR(ROUND(INDEX('Injectable Value'!$AA$28:$AA$178,MATCH($C473,'Injectable Value'!$A$28:$A$178,0)),1),"")</f>
        <v>28093.4</v>
      </c>
      <c r="U473" s="17" t="s">
        <v>961</v>
      </c>
      <c r="V473" s="16" t="n">
        <v>34</v>
      </c>
      <c r="W473" s="16" t="s">
        <v>334</v>
      </c>
      <c r="X473" s="16" t="s">
        <v>281</v>
      </c>
      <c r="Y473" s="16" t="s">
        <v>333</v>
      </c>
      <c r="Z473" s="17" t="str">
        <f aca="false">IFERROR(INDEX(Scoring!$U:$U,MATCH($C473&amp;"|"&amp;$E473,Scoring!$AD:$AD,0)),"")</f>
        <v>Cancer drug (cytotoxic) – less relevant; Reconstitution</v>
      </c>
      <c r="AA473" s="16" t="str">
        <f aca="false">IFERROR(INDEX(Scoring!$E:$E,MATCH($C473&amp;"|"&amp;$E473,Scoring!$AD:$AD,0)),"")</f>
        <v>Priority 1</v>
      </c>
      <c r="AB473" s="19" t="n">
        <f aca="false">IFERROR(INDEX(Scoring!$M:$M,MATCH($C473&amp;"|"&amp;$E473,Scoring!$AD:$AD,0)),"")</f>
        <v>905</v>
      </c>
      <c r="AC473" s="16" t="str">
        <f aca="false">IFERROR(INDEX('Route of Administration'!$C$5:$C$155,MATCH($C473,'Route of Administration'!$A$5:$A$155,0)),"")</f>
        <v>IV, SC</v>
      </c>
      <c r="AD473" s="15" t="str">
        <f aca="false">IFERROR(INDEX('Route of Administration'!$D$5:$D$155,MATCH($C473,'Route of Administration'!$A$5:$A$155,0)),"")</f>
        <v>Yes</v>
      </c>
      <c r="AE473" s="15" t="str">
        <f aca="false">IF($AD473="No","Not checked – drug is IV only",IFERROR(INDEX('Route of Administration'!$O$5:$O$170,MATCH($E473&amp;"|"&amp;$C473,'Route of Administration'!$S$5:$S$170,0)),"Not checked – price ≤ USD 5"))</f>
        <v>Pass</v>
      </c>
    </row>
    <row r="474" customFormat="false" ht="28.35" hidden="false" customHeight="false" outlineLevel="0" collapsed="false">
      <c r="B474" s="16" t="n">
        <v>472</v>
      </c>
      <c r="C474" s="16" t="s">
        <v>1172</v>
      </c>
      <c r="D474" s="16" t="s">
        <v>1173</v>
      </c>
      <c r="E474" s="16" t="s">
        <v>927</v>
      </c>
      <c r="F474" s="16" t="s">
        <v>2424</v>
      </c>
      <c r="G474" s="17" t="s">
        <v>1998</v>
      </c>
      <c r="H474" s="16" t="s">
        <v>1533</v>
      </c>
      <c r="I474" s="18" t="n">
        <v>9.93</v>
      </c>
      <c r="J474" s="16" t="n">
        <v>1</v>
      </c>
      <c r="K474" s="16" t="n">
        <v>484</v>
      </c>
      <c r="L474" s="19" t="n">
        <v>1326.8</v>
      </c>
      <c r="M474" s="17" t="s">
        <v>1174</v>
      </c>
      <c r="N474" s="18" t="n">
        <v>9.93</v>
      </c>
      <c r="O474" s="16" t="s">
        <v>1534</v>
      </c>
      <c r="P474" s="16" t="s">
        <v>1700</v>
      </c>
      <c r="Q474" s="17" t="s">
        <v>1536</v>
      </c>
      <c r="R474" s="78" t="s">
        <v>1814</v>
      </c>
      <c r="S474" s="77" t="n">
        <f aca="false">IFERROR(INDEX('Injectable Value'!$Z$28:$Z$178,MATCH($C474,'Injectable Value'!$A$28:$A$178,0)),"")</f>
        <v>0.925925925925926</v>
      </c>
      <c r="T474" s="19" t="n">
        <f aca="false">IFERROR(ROUND(INDEX('Injectable Value'!$AA$28:$AA$178,MATCH($C474,'Injectable Value'!$A$28:$A$178,0)),1),"")</f>
        <v>1228.5</v>
      </c>
      <c r="U474" s="17" t="s">
        <v>360</v>
      </c>
      <c r="V474" s="16" t="n">
        <v>1</v>
      </c>
      <c r="W474" s="16" t="s">
        <v>112</v>
      </c>
      <c r="X474" s="16" t="s">
        <v>281</v>
      </c>
      <c r="Y474" s="16" t="s">
        <v>283</v>
      </c>
      <c r="Z474" s="17" t="str">
        <f aca="false">IFERROR(INDEX(Scoring!$U:$U,MATCH($C474&amp;"|"&amp;$E474,Scoring!$AD:$AD,0)),"")</f>
        <v>Cancer drug (cytotoxic) – less relevant</v>
      </c>
      <c r="AA474" s="16" t="str">
        <f aca="false">IFERROR(INDEX(Scoring!$E:$E,MATCH($C474&amp;"|"&amp;$E474,Scoring!$AD:$AD,0)),"")</f>
        <v>Excluded – IV only</v>
      </c>
      <c r="AB474" s="19" t="n">
        <f aca="false">IFERROR(INDEX(Scoring!$M:$M,MATCH($C474&amp;"|"&amp;$E474,Scoring!$AD:$AD,0)),"")</f>
        <v>448</v>
      </c>
      <c r="AC474" s="16" t="str">
        <f aca="false">IFERROR(INDEX('Route of Administration'!$C$5:$C$155,MATCH($C474,'Route of Administration'!$A$5:$A$155,0)),"")</f>
        <v>IV</v>
      </c>
      <c r="AD474" s="15" t="str">
        <f aca="false">IFERROR(INDEX('Route of Administration'!$D$5:$D$155,MATCH($C474,'Route of Administration'!$A$5:$A$155,0)),"")</f>
        <v>No</v>
      </c>
      <c r="AE474" s="15" t="str">
        <f aca="false">IF($AD474="No","Not checked – drug is IV only",IFERROR(INDEX('Route of Administration'!$O$5:$O$170,MATCH($E474&amp;"|"&amp;$C474,'Route of Administration'!$S$5:$S$170,0)),"Not checked – price ≤ USD 5"))</f>
        <v>Not checked – drug is IV only</v>
      </c>
    </row>
    <row r="475" customFormat="false" ht="55.2" hidden="false" customHeight="false" outlineLevel="0" collapsed="false">
      <c r="B475" s="16" t="n">
        <v>473</v>
      </c>
      <c r="C475" s="16" t="s">
        <v>408</v>
      </c>
      <c r="D475" s="16" t="s">
        <v>2425</v>
      </c>
      <c r="E475" s="16" t="s">
        <v>927</v>
      </c>
      <c r="F475" s="16" t="s">
        <v>2426</v>
      </c>
      <c r="G475" s="17" t="s">
        <v>1719</v>
      </c>
      <c r="H475" s="16" t="s">
        <v>1533</v>
      </c>
      <c r="I475" s="18" t="n">
        <v>7.79</v>
      </c>
      <c r="J475" s="16" t="n">
        <v>1</v>
      </c>
      <c r="K475" s="16" t="n">
        <v>345</v>
      </c>
      <c r="L475" s="19" t="n">
        <v>2783.28</v>
      </c>
      <c r="M475" s="17" t="s">
        <v>410</v>
      </c>
      <c r="N475" s="18" t="n">
        <v>7.79</v>
      </c>
      <c r="O475" s="16" t="s">
        <v>1534</v>
      </c>
      <c r="P475" s="16" t="s">
        <v>1700</v>
      </c>
      <c r="Q475" s="17" t="s">
        <v>1536</v>
      </c>
      <c r="R475" s="78" t="s">
        <v>1814</v>
      </c>
      <c r="S475" s="77" t="n">
        <f aca="false">IFERROR(INDEX('Injectable Value'!$Z$28:$Z$178,MATCH($C475,'Injectable Value'!$A$28:$A$178,0)),"")</f>
        <v>0.995283018867925</v>
      </c>
      <c r="T475" s="19" t="n">
        <f aca="false">IFERROR(ROUND(INDEX('Injectable Value'!$AA$28:$AA$178,MATCH($C475,'Injectable Value'!$A$28:$A$178,0)),1),"")</f>
        <v>2770.2</v>
      </c>
      <c r="U475" s="17" t="s">
        <v>1020</v>
      </c>
      <c r="V475" s="16" t="n">
        <v>24</v>
      </c>
      <c r="W475" s="16" t="s">
        <v>977</v>
      </c>
      <c r="X475" s="16" t="s">
        <v>281</v>
      </c>
      <c r="Y475" s="16" t="s">
        <v>283</v>
      </c>
      <c r="Z475" s="17" t="str">
        <f aca="false">IFERROR(INDEX(Scoring!$U:$U,MATCH($C475&amp;"|"&amp;$E475,Scoring!$AD:$AD,0)),"")</f>
        <v>Cancer drug (cytotoxic) – less relevant</v>
      </c>
      <c r="AA475" s="16" t="str">
        <f aca="false">IFERROR(INDEX(Scoring!$E:$E,MATCH($C475&amp;"|"&amp;$E475,Scoring!$AD:$AD,0)),"")</f>
        <v>Excluded – IV only</v>
      </c>
      <c r="AB475" s="19" t="n">
        <f aca="false">IFERROR(INDEX(Scoring!$M:$M,MATCH($C475&amp;"|"&amp;$E475,Scoring!$AD:$AD,0)),"")</f>
        <v>343</v>
      </c>
      <c r="AC475" s="16" t="str">
        <f aca="false">IFERROR(INDEX('Route of Administration'!$C$5:$C$155,MATCH($C475,'Route of Administration'!$A$5:$A$155,0)),"")</f>
        <v>IV</v>
      </c>
      <c r="AD475" s="15" t="str">
        <f aca="false">IFERROR(INDEX('Route of Administration'!$D$5:$D$155,MATCH($C475,'Route of Administration'!$A$5:$A$155,0)),"")</f>
        <v>No</v>
      </c>
      <c r="AE475" s="15" t="str">
        <f aca="false">IF($AD475="No","Not checked – drug is IV only",IFERROR(INDEX('Route of Administration'!$O$5:$O$170,MATCH($E475&amp;"|"&amp;$C475,'Route of Administration'!$S$5:$S$170,0)),"Not checked – price ≤ USD 5"))</f>
        <v>Not checked – drug is IV only</v>
      </c>
    </row>
    <row r="476" customFormat="false" ht="55.2" hidden="false" customHeight="false" outlineLevel="0" collapsed="false">
      <c r="B476" s="16" t="n">
        <v>474</v>
      </c>
      <c r="C476" s="16" t="s">
        <v>408</v>
      </c>
      <c r="D476" s="16" t="s">
        <v>2425</v>
      </c>
      <c r="E476" s="16" t="s">
        <v>927</v>
      </c>
      <c r="F476" s="16" t="s">
        <v>2426</v>
      </c>
      <c r="G476" s="17" t="s">
        <v>2427</v>
      </c>
      <c r="H476" s="16" t="s">
        <v>1533</v>
      </c>
      <c r="I476" s="18" t="n">
        <v>38.94</v>
      </c>
      <c r="J476" s="16" t="n">
        <v>1</v>
      </c>
      <c r="K476" s="16" t="n">
        <v>345</v>
      </c>
      <c r="L476" s="19" t="n">
        <v>2783.28</v>
      </c>
      <c r="M476" s="17" t="s">
        <v>410</v>
      </c>
      <c r="N476" s="18" t="n">
        <v>38.94</v>
      </c>
      <c r="O476" s="16" t="s">
        <v>1534</v>
      </c>
      <c r="P476" s="16" t="s">
        <v>1700</v>
      </c>
      <c r="Q476" s="17" t="s">
        <v>1536</v>
      </c>
      <c r="R476" s="78" t="s">
        <v>1814</v>
      </c>
      <c r="S476" s="77" t="n">
        <f aca="false">IFERROR(INDEX('Injectable Value'!$Z$28:$Z$178,MATCH($C476,'Injectable Value'!$A$28:$A$178,0)),"")</f>
        <v>0.995283018867925</v>
      </c>
      <c r="T476" s="19" t="n">
        <f aca="false">IFERROR(ROUND(INDEX('Injectable Value'!$AA$28:$AA$178,MATCH($C476,'Injectable Value'!$A$28:$A$178,0)),1),"")</f>
        <v>2770.2</v>
      </c>
      <c r="U476" s="17" t="s">
        <v>1020</v>
      </c>
      <c r="V476" s="16" t="n">
        <v>24</v>
      </c>
      <c r="W476" s="16" t="s">
        <v>977</v>
      </c>
      <c r="X476" s="16" t="s">
        <v>281</v>
      </c>
      <c r="Y476" s="16" t="s">
        <v>1547</v>
      </c>
      <c r="Z476" s="17" t="str">
        <f aca="false">IFERROR(INDEX(Scoring!$U:$U,MATCH($C476&amp;"|"&amp;$E476,Scoring!$AD:$AD,0)),"")</f>
        <v>Cancer drug (cytotoxic) – less relevant</v>
      </c>
      <c r="AA476" s="16" t="str">
        <f aca="false">IFERROR(INDEX(Scoring!$E:$E,MATCH($C476&amp;"|"&amp;$E476,Scoring!$AD:$AD,0)),"")</f>
        <v>Excluded – IV only</v>
      </c>
      <c r="AB476" s="19" t="n">
        <f aca="false">IFERROR(INDEX(Scoring!$M:$M,MATCH($C476&amp;"|"&amp;$E476,Scoring!$AD:$AD,0)),"")</f>
        <v>343</v>
      </c>
      <c r="AC476" s="16" t="str">
        <f aca="false">IFERROR(INDEX('Route of Administration'!$C$5:$C$155,MATCH($C476,'Route of Administration'!$A$5:$A$155,0)),"")</f>
        <v>IV</v>
      </c>
      <c r="AD476" s="15" t="str">
        <f aca="false">IFERROR(INDEX('Route of Administration'!$D$5:$D$155,MATCH($C476,'Route of Administration'!$A$5:$A$155,0)),"")</f>
        <v>No</v>
      </c>
      <c r="AE476" s="15" t="str">
        <f aca="false">IF($AD476="No","Not checked – drug is IV only",IFERROR(INDEX('Route of Administration'!$O$5:$O$170,MATCH($E476&amp;"|"&amp;$C476,'Route of Administration'!$S$5:$S$170,0)),"Not checked – price ≤ USD 5"))</f>
        <v>Not checked – drug is IV only</v>
      </c>
    </row>
    <row r="477" customFormat="false" ht="55.2" hidden="false" customHeight="false" outlineLevel="0" collapsed="false">
      <c r="B477" s="16" t="n">
        <v>475</v>
      </c>
      <c r="C477" s="16" t="s">
        <v>408</v>
      </c>
      <c r="D477" s="16" t="s">
        <v>2428</v>
      </c>
      <c r="E477" s="16" t="s">
        <v>927</v>
      </c>
      <c r="F477" s="16" t="s">
        <v>2426</v>
      </c>
      <c r="G477" s="17" t="s">
        <v>1719</v>
      </c>
      <c r="H477" s="16" t="s">
        <v>1533</v>
      </c>
      <c r="I477" s="18" t="n">
        <v>7.79</v>
      </c>
      <c r="J477" s="16" t="n">
        <v>1</v>
      </c>
      <c r="K477" s="16" t="n">
        <v>345</v>
      </c>
      <c r="L477" s="19" t="n">
        <v>2783.28</v>
      </c>
      <c r="M477" s="17" t="s">
        <v>410</v>
      </c>
      <c r="N477" s="18" t="n">
        <v>7.79</v>
      </c>
      <c r="O477" s="16" t="s">
        <v>1534</v>
      </c>
      <c r="P477" s="16" t="s">
        <v>1700</v>
      </c>
      <c r="Q477" s="17" t="s">
        <v>1536</v>
      </c>
      <c r="R477" s="78" t="s">
        <v>1814</v>
      </c>
      <c r="S477" s="77" t="n">
        <f aca="false">IFERROR(INDEX('Injectable Value'!$Z$28:$Z$178,MATCH($C477,'Injectable Value'!$A$28:$A$178,0)),"")</f>
        <v>0.995283018867925</v>
      </c>
      <c r="T477" s="19" t="n">
        <f aca="false">IFERROR(ROUND(INDEX('Injectable Value'!$AA$28:$AA$178,MATCH($C477,'Injectable Value'!$A$28:$A$178,0)),1),"")</f>
        <v>2770.2</v>
      </c>
      <c r="U477" s="17" t="s">
        <v>1020</v>
      </c>
      <c r="V477" s="16" t="n">
        <v>24</v>
      </c>
      <c r="W477" s="16" t="s">
        <v>977</v>
      </c>
      <c r="X477" s="16" t="s">
        <v>281</v>
      </c>
      <c r="Y477" s="16" t="s">
        <v>283</v>
      </c>
      <c r="Z477" s="17" t="str">
        <f aca="false">IFERROR(INDEX(Scoring!$U:$U,MATCH($C477&amp;"|"&amp;$E477,Scoring!$AD:$AD,0)),"")</f>
        <v>Cancer drug (cytotoxic) – less relevant</v>
      </c>
      <c r="AA477" s="16" t="str">
        <f aca="false">IFERROR(INDEX(Scoring!$E:$E,MATCH($C477&amp;"|"&amp;$E477,Scoring!$AD:$AD,0)),"")</f>
        <v>Excluded – IV only</v>
      </c>
      <c r="AB477" s="19" t="n">
        <f aca="false">IFERROR(INDEX(Scoring!$M:$M,MATCH($C477&amp;"|"&amp;$E477,Scoring!$AD:$AD,0)),"")</f>
        <v>343</v>
      </c>
      <c r="AC477" s="16" t="str">
        <f aca="false">IFERROR(INDEX('Route of Administration'!$C$5:$C$155,MATCH($C477,'Route of Administration'!$A$5:$A$155,0)),"")</f>
        <v>IV</v>
      </c>
      <c r="AD477" s="15" t="str">
        <f aca="false">IFERROR(INDEX('Route of Administration'!$D$5:$D$155,MATCH($C477,'Route of Administration'!$A$5:$A$155,0)),"")</f>
        <v>No</v>
      </c>
      <c r="AE477" s="15" t="str">
        <f aca="false">IF($AD477="No","Not checked – drug is IV only",IFERROR(INDEX('Route of Administration'!$O$5:$O$170,MATCH($E477&amp;"|"&amp;$C477,'Route of Administration'!$S$5:$S$170,0)),"Not checked – price ≤ USD 5"))</f>
        <v>Not checked – drug is IV only</v>
      </c>
    </row>
    <row r="478" customFormat="false" ht="55.2" hidden="false" customHeight="false" outlineLevel="0" collapsed="false">
      <c r="B478" s="16" t="n">
        <v>476</v>
      </c>
      <c r="C478" s="16" t="s">
        <v>408</v>
      </c>
      <c r="D478" s="16" t="s">
        <v>2428</v>
      </c>
      <c r="E478" s="16" t="s">
        <v>927</v>
      </c>
      <c r="F478" s="16" t="s">
        <v>2426</v>
      </c>
      <c r="G478" s="17" t="s">
        <v>2427</v>
      </c>
      <c r="H478" s="16" t="s">
        <v>1533</v>
      </c>
      <c r="I478" s="18" t="n">
        <v>38.94</v>
      </c>
      <c r="J478" s="16" t="n">
        <v>1</v>
      </c>
      <c r="K478" s="16" t="n">
        <v>345</v>
      </c>
      <c r="L478" s="19" t="n">
        <v>2783.28</v>
      </c>
      <c r="M478" s="17" t="s">
        <v>410</v>
      </c>
      <c r="N478" s="18" t="n">
        <v>38.94</v>
      </c>
      <c r="O478" s="16" t="s">
        <v>1534</v>
      </c>
      <c r="P478" s="16" t="s">
        <v>1700</v>
      </c>
      <c r="Q478" s="17" t="s">
        <v>1536</v>
      </c>
      <c r="R478" s="78" t="s">
        <v>1814</v>
      </c>
      <c r="S478" s="77" t="n">
        <f aca="false">IFERROR(INDEX('Injectable Value'!$Z$28:$Z$178,MATCH($C478,'Injectable Value'!$A$28:$A$178,0)),"")</f>
        <v>0.995283018867925</v>
      </c>
      <c r="T478" s="19" t="n">
        <f aca="false">IFERROR(ROUND(INDEX('Injectable Value'!$AA$28:$AA$178,MATCH($C478,'Injectable Value'!$A$28:$A$178,0)),1),"")</f>
        <v>2770.2</v>
      </c>
      <c r="U478" s="17" t="s">
        <v>1020</v>
      </c>
      <c r="V478" s="16" t="n">
        <v>24</v>
      </c>
      <c r="W478" s="16" t="s">
        <v>977</v>
      </c>
      <c r="X478" s="16" t="s">
        <v>281</v>
      </c>
      <c r="Y478" s="16" t="s">
        <v>1547</v>
      </c>
      <c r="Z478" s="17" t="str">
        <f aca="false">IFERROR(INDEX(Scoring!$U:$U,MATCH($C478&amp;"|"&amp;$E478,Scoring!$AD:$AD,0)),"")</f>
        <v>Cancer drug (cytotoxic) – less relevant</v>
      </c>
      <c r="AA478" s="16" t="str">
        <f aca="false">IFERROR(INDEX(Scoring!$E:$E,MATCH($C478&amp;"|"&amp;$E478,Scoring!$AD:$AD,0)),"")</f>
        <v>Excluded – IV only</v>
      </c>
      <c r="AB478" s="19" t="n">
        <f aca="false">IFERROR(INDEX(Scoring!$M:$M,MATCH($C478&amp;"|"&amp;$E478,Scoring!$AD:$AD,0)),"")</f>
        <v>343</v>
      </c>
      <c r="AC478" s="16" t="str">
        <f aca="false">IFERROR(INDEX('Route of Administration'!$C$5:$C$155,MATCH($C478,'Route of Administration'!$A$5:$A$155,0)),"")</f>
        <v>IV</v>
      </c>
      <c r="AD478" s="15" t="str">
        <f aca="false">IFERROR(INDEX('Route of Administration'!$D$5:$D$155,MATCH($C478,'Route of Administration'!$A$5:$A$155,0)),"")</f>
        <v>No</v>
      </c>
      <c r="AE478" s="15" t="str">
        <f aca="false">IF($AD478="No","Not checked – drug is IV only",IFERROR(INDEX('Route of Administration'!$O$5:$O$170,MATCH($E478&amp;"|"&amp;$C478,'Route of Administration'!$S$5:$S$170,0)),"Not checked – price ≤ USD 5"))</f>
        <v>Not checked – drug is IV only</v>
      </c>
    </row>
    <row r="479" customFormat="false" ht="95.5" hidden="false" customHeight="false" outlineLevel="0" collapsed="false">
      <c r="B479" s="16" t="n">
        <v>477</v>
      </c>
      <c r="C479" s="16" t="s">
        <v>394</v>
      </c>
      <c r="D479" s="16" t="s">
        <v>2429</v>
      </c>
      <c r="E479" s="16" t="s">
        <v>927</v>
      </c>
      <c r="F479" s="16" t="s">
        <v>2430</v>
      </c>
      <c r="G479" s="17" t="s">
        <v>2427</v>
      </c>
      <c r="H479" s="16" t="s">
        <v>1533</v>
      </c>
      <c r="I479" s="18" t="n">
        <v>17.14</v>
      </c>
      <c r="J479" s="16" t="n">
        <v>1</v>
      </c>
      <c r="K479" s="16" t="n">
        <v>1644</v>
      </c>
      <c r="L479" s="19" t="n">
        <v>41889.23</v>
      </c>
      <c r="M479" s="17" t="s">
        <v>396</v>
      </c>
      <c r="N479" s="18" t="n">
        <v>17.14</v>
      </c>
      <c r="O479" s="16" t="s">
        <v>1534</v>
      </c>
      <c r="P479" s="16" t="s">
        <v>1700</v>
      </c>
      <c r="Q479" s="17" t="s">
        <v>1878</v>
      </c>
      <c r="R479" s="78" t="s">
        <v>2431</v>
      </c>
      <c r="S479" s="77" t="n">
        <f aca="false">IFERROR(INDEX('Injectable Value'!$Z$28:$Z$178,MATCH($C479,'Injectable Value'!$A$28:$A$178,0)),"")</f>
        <v>0.990783410138249</v>
      </c>
      <c r="T479" s="19" t="n">
        <f aca="false">IFERROR(ROUND(INDEX('Injectable Value'!$AA$28:$AA$178,MATCH($C479,'Injectable Value'!$A$28:$A$178,0)),1),"")</f>
        <v>41503.2</v>
      </c>
      <c r="U479" s="17" t="s">
        <v>1010</v>
      </c>
      <c r="V479" s="16" t="n">
        <v>34</v>
      </c>
      <c r="W479" s="16" t="s">
        <v>1009</v>
      </c>
      <c r="X479" s="16" t="s">
        <v>281</v>
      </c>
      <c r="Y479" s="16" t="s">
        <v>1547</v>
      </c>
      <c r="Z479" s="17" t="str">
        <f aca="false">IFERROR(INDEX(Scoring!$U:$U,MATCH($C479&amp;"|"&amp;$E479,Scoring!$AD:$AD,0)),"")</f>
        <v>Cancer drug (cytotoxic) – less relevant</v>
      </c>
      <c r="AA479" s="16" t="str">
        <f aca="false">IFERROR(INDEX(Scoring!$E:$E,MATCH($C479&amp;"|"&amp;$E479,Scoring!$AD:$AD,0)),"")</f>
        <v>Excluded – IV only</v>
      </c>
      <c r="AB479" s="19" t="n">
        <f aca="false">IFERROR(INDEX(Scoring!$M:$M,MATCH($C479&amp;"|"&amp;$E479,Scoring!$AD:$AD,0)),"")</f>
        <v>1629</v>
      </c>
      <c r="AC479" s="16" t="str">
        <f aca="false">IFERROR(INDEX('Route of Administration'!$C$5:$C$155,MATCH($C479,'Route of Administration'!$A$5:$A$155,0)),"")</f>
        <v>IV</v>
      </c>
      <c r="AD479" s="15" t="str">
        <f aca="false">IFERROR(INDEX('Route of Administration'!$D$5:$D$155,MATCH($C479,'Route of Administration'!$A$5:$A$155,0)),"")</f>
        <v>No</v>
      </c>
      <c r="AE479" s="15" t="str">
        <f aca="false">IF($AD479="No","Not checked – drug is IV only",IFERROR(INDEX('Route of Administration'!$O$5:$O$170,MATCH($E479&amp;"|"&amp;$C479,'Route of Administration'!$S$5:$S$170,0)),"Not checked – price ≤ USD 5"))</f>
        <v>Not checked – drug is IV only</v>
      </c>
    </row>
    <row r="480" customFormat="false" ht="95.5" hidden="false" customHeight="false" outlineLevel="0" collapsed="false">
      <c r="B480" s="16" t="n">
        <v>478</v>
      </c>
      <c r="C480" s="16" t="s">
        <v>394</v>
      </c>
      <c r="D480" s="16" t="s">
        <v>2429</v>
      </c>
      <c r="E480" s="16" t="s">
        <v>927</v>
      </c>
      <c r="F480" s="16" t="s">
        <v>2432</v>
      </c>
      <c r="G480" s="17" t="s">
        <v>1723</v>
      </c>
      <c r="H480" s="16" t="s">
        <v>1533</v>
      </c>
      <c r="I480" s="18" t="n">
        <v>105.46</v>
      </c>
      <c r="J480" s="16" t="n">
        <v>1</v>
      </c>
      <c r="K480" s="16" t="n">
        <v>1644</v>
      </c>
      <c r="L480" s="19" t="n">
        <v>41889.23</v>
      </c>
      <c r="M480" s="17" t="s">
        <v>396</v>
      </c>
      <c r="N480" s="18" t="n">
        <v>105.46</v>
      </c>
      <c r="O480" s="16" t="s">
        <v>1534</v>
      </c>
      <c r="P480" s="16" t="s">
        <v>1700</v>
      </c>
      <c r="Q480" s="17" t="s">
        <v>1878</v>
      </c>
      <c r="R480" s="78" t="s">
        <v>2431</v>
      </c>
      <c r="S480" s="77" t="n">
        <f aca="false">IFERROR(INDEX('Injectable Value'!$Z$28:$Z$178,MATCH($C480,'Injectable Value'!$A$28:$A$178,0)),"")</f>
        <v>0.990783410138249</v>
      </c>
      <c r="T480" s="19" t="n">
        <f aca="false">IFERROR(ROUND(INDEX('Injectable Value'!$AA$28:$AA$178,MATCH($C480,'Injectable Value'!$A$28:$A$178,0)),1),"")</f>
        <v>41503.2</v>
      </c>
      <c r="U480" s="17" t="s">
        <v>1010</v>
      </c>
      <c r="V480" s="16" t="n">
        <v>34</v>
      </c>
      <c r="W480" s="16" t="s">
        <v>1009</v>
      </c>
      <c r="X480" s="16" t="s">
        <v>281</v>
      </c>
      <c r="Y480" s="16" t="s">
        <v>1547</v>
      </c>
      <c r="Z480" s="17" t="str">
        <f aca="false">IFERROR(INDEX(Scoring!$U:$U,MATCH($C480&amp;"|"&amp;$E480,Scoring!$AD:$AD,0)),"")</f>
        <v>Cancer drug (cytotoxic) – less relevant</v>
      </c>
      <c r="AA480" s="16" t="str">
        <f aca="false">IFERROR(INDEX(Scoring!$E:$E,MATCH($C480&amp;"|"&amp;$E480,Scoring!$AD:$AD,0)),"")</f>
        <v>Excluded – IV only</v>
      </c>
      <c r="AB480" s="19" t="n">
        <f aca="false">IFERROR(INDEX(Scoring!$M:$M,MATCH($C480&amp;"|"&amp;$E480,Scoring!$AD:$AD,0)),"")</f>
        <v>1629</v>
      </c>
      <c r="AC480" s="16" t="str">
        <f aca="false">IFERROR(INDEX('Route of Administration'!$C$5:$C$155,MATCH($C480,'Route of Administration'!$A$5:$A$155,0)),"")</f>
        <v>IV</v>
      </c>
      <c r="AD480" s="15" t="str">
        <f aca="false">IFERROR(INDEX('Route of Administration'!$D$5:$D$155,MATCH($C480,'Route of Administration'!$A$5:$A$155,0)),"")</f>
        <v>No</v>
      </c>
      <c r="AE480" s="15" t="str">
        <f aca="false">IF($AD480="No","Not checked – drug is IV only",IFERROR(INDEX('Route of Administration'!$O$5:$O$170,MATCH($E480&amp;"|"&amp;$C480,'Route of Administration'!$S$5:$S$170,0)),"Not checked – price ≤ USD 5"))</f>
        <v>Not checked – drug is IV only</v>
      </c>
    </row>
    <row r="481" customFormat="false" ht="95.5" hidden="false" customHeight="false" outlineLevel="0" collapsed="false">
      <c r="B481" s="16" t="n">
        <v>479</v>
      </c>
      <c r="C481" s="16" t="s">
        <v>394</v>
      </c>
      <c r="D481" s="16" t="s">
        <v>2297</v>
      </c>
      <c r="E481" s="16" t="s">
        <v>927</v>
      </c>
      <c r="F481" s="16" t="s">
        <v>2430</v>
      </c>
      <c r="G481" s="17" t="s">
        <v>2427</v>
      </c>
      <c r="H481" s="16" t="s">
        <v>1533</v>
      </c>
      <c r="I481" s="18" t="n">
        <v>18.89</v>
      </c>
      <c r="J481" s="16" t="n">
        <v>1</v>
      </c>
      <c r="K481" s="16" t="n">
        <v>1644</v>
      </c>
      <c r="L481" s="19" t="n">
        <v>41889.23</v>
      </c>
      <c r="M481" s="17" t="s">
        <v>396</v>
      </c>
      <c r="N481" s="18" t="n">
        <v>18.89</v>
      </c>
      <c r="O481" s="16" t="s">
        <v>1534</v>
      </c>
      <c r="P481" s="16" t="s">
        <v>1700</v>
      </c>
      <c r="Q481" s="17" t="s">
        <v>1536</v>
      </c>
      <c r="R481" s="78" t="s">
        <v>1814</v>
      </c>
      <c r="S481" s="77" t="n">
        <f aca="false">IFERROR(INDEX('Injectable Value'!$Z$28:$Z$178,MATCH($C481,'Injectable Value'!$A$28:$A$178,0)),"")</f>
        <v>0.990783410138249</v>
      </c>
      <c r="T481" s="19" t="n">
        <f aca="false">IFERROR(ROUND(INDEX('Injectable Value'!$AA$28:$AA$178,MATCH($C481,'Injectable Value'!$A$28:$A$178,0)),1),"")</f>
        <v>41503.2</v>
      </c>
      <c r="U481" s="17" t="s">
        <v>1010</v>
      </c>
      <c r="V481" s="16" t="n">
        <v>34</v>
      </c>
      <c r="W481" s="16" t="s">
        <v>1009</v>
      </c>
      <c r="X481" s="16" t="s">
        <v>281</v>
      </c>
      <c r="Y481" s="16" t="s">
        <v>1547</v>
      </c>
      <c r="Z481" s="17" t="str">
        <f aca="false">IFERROR(INDEX(Scoring!$U:$U,MATCH($C481&amp;"|"&amp;$E481,Scoring!$AD:$AD,0)),"")</f>
        <v>Cancer drug (cytotoxic) – less relevant</v>
      </c>
      <c r="AA481" s="16" t="str">
        <f aca="false">IFERROR(INDEX(Scoring!$E:$E,MATCH($C481&amp;"|"&amp;$E481,Scoring!$AD:$AD,0)),"")</f>
        <v>Excluded – IV only</v>
      </c>
      <c r="AB481" s="19" t="n">
        <f aca="false">IFERROR(INDEX(Scoring!$M:$M,MATCH($C481&amp;"|"&amp;$E481,Scoring!$AD:$AD,0)),"")</f>
        <v>1629</v>
      </c>
      <c r="AC481" s="16" t="str">
        <f aca="false">IFERROR(INDEX('Route of Administration'!$C$5:$C$155,MATCH($C481,'Route of Administration'!$A$5:$A$155,0)),"")</f>
        <v>IV</v>
      </c>
      <c r="AD481" s="15" t="str">
        <f aca="false">IFERROR(INDEX('Route of Administration'!$D$5:$D$155,MATCH($C481,'Route of Administration'!$A$5:$A$155,0)),"")</f>
        <v>No</v>
      </c>
      <c r="AE481" s="15" t="str">
        <f aca="false">IF($AD481="No","Not checked – drug is IV only",IFERROR(INDEX('Route of Administration'!$O$5:$O$170,MATCH($E481&amp;"|"&amp;$C481,'Route of Administration'!$S$5:$S$170,0)),"Not checked – price ≤ USD 5"))</f>
        <v>Not checked – drug is IV only</v>
      </c>
    </row>
    <row r="482" customFormat="false" ht="95.5" hidden="false" customHeight="false" outlineLevel="0" collapsed="false">
      <c r="B482" s="16" t="n">
        <v>480</v>
      </c>
      <c r="C482" s="16" t="s">
        <v>338</v>
      </c>
      <c r="D482" s="16" t="s">
        <v>2420</v>
      </c>
      <c r="E482" s="16" t="s">
        <v>927</v>
      </c>
      <c r="F482" s="16" t="s">
        <v>2167</v>
      </c>
      <c r="G482" s="17" t="s">
        <v>1902</v>
      </c>
      <c r="H482" s="16" t="s">
        <v>1533</v>
      </c>
      <c r="I482" s="18" t="n">
        <v>166.1</v>
      </c>
      <c r="J482" s="16" t="n">
        <v>1</v>
      </c>
      <c r="K482" s="16" t="n">
        <v>905</v>
      </c>
      <c r="L482" s="19" t="n">
        <v>28093.38</v>
      </c>
      <c r="M482" s="17" t="s">
        <v>340</v>
      </c>
      <c r="N482" s="18" t="n">
        <v>166.1</v>
      </c>
      <c r="O482" s="16" t="s">
        <v>1534</v>
      </c>
      <c r="P482" s="16" t="s">
        <v>1700</v>
      </c>
      <c r="Q482" s="17" t="s">
        <v>1536</v>
      </c>
      <c r="R482" s="78" t="s">
        <v>1814</v>
      </c>
      <c r="S482" s="77" t="n">
        <f aca="false">IFERROR(INDEX('Injectable Value'!$Z$28:$Z$178,MATCH($C482,'Injectable Value'!$A$28:$A$178,0)),"")</f>
        <v>1</v>
      </c>
      <c r="T482" s="19" t="n">
        <f aca="false">IFERROR(ROUND(INDEX('Injectable Value'!$AA$28:$AA$178,MATCH($C482,'Injectable Value'!$A$28:$A$178,0)),1),"")</f>
        <v>28093.4</v>
      </c>
      <c r="U482" s="17" t="s">
        <v>961</v>
      </c>
      <c r="V482" s="16" t="n">
        <v>34</v>
      </c>
      <c r="W482" s="16" t="s">
        <v>334</v>
      </c>
      <c r="X482" s="16" t="s">
        <v>281</v>
      </c>
      <c r="Y482" s="16" t="s">
        <v>283</v>
      </c>
      <c r="Z482" s="17" t="str">
        <f aca="false">IFERROR(INDEX(Scoring!$U:$U,MATCH($C482&amp;"|"&amp;$E482,Scoring!$AD:$AD,0)),"")</f>
        <v>Cancer drug (cytotoxic) – less relevant; Reconstitution</v>
      </c>
      <c r="AA482" s="16" t="str">
        <f aca="false">IFERROR(INDEX(Scoring!$E:$E,MATCH($C482&amp;"|"&amp;$E482,Scoring!$AD:$AD,0)),"")</f>
        <v>Priority 1</v>
      </c>
      <c r="AB482" s="19" t="n">
        <f aca="false">IFERROR(INDEX(Scoring!$M:$M,MATCH($C482&amp;"|"&amp;$E482,Scoring!$AD:$AD,0)),"")</f>
        <v>905</v>
      </c>
      <c r="AC482" s="16" t="str">
        <f aca="false">IFERROR(INDEX('Route of Administration'!$C$5:$C$155,MATCH($C482,'Route of Administration'!$A$5:$A$155,0)),"")</f>
        <v>IV, SC</v>
      </c>
      <c r="AD482" s="15" t="str">
        <f aca="false">IFERROR(INDEX('Route of Administration'!$D$5:$D$155,MATCH($C482,'Route of Administration'!$A$5:$A$155,0)),"")</f>
        <v>Yes</v>
      </c>
      <c r="AE482" s="15" t="str">
        <f aca="false">IF($AD482="No","Not checked – drug is IV only",IFERROR(INDEX('Route of Administration'!$O$5:$O$170,MATCH($E482&amp;"|"&amp;$C482,'Route of Administration'!$S$5:$S$170,0)),"Not checked – price ≤ USD 5"))</f>
        <v>Pass</v>
      </c>
    </row>
    <row r="483" customFormat="false" ht="28.35" hidden="false" customHeight="false" outlineLevel="0" collapsed="false">
      <c r="B483" s="16" t="n">
        <v>481</v>
      </c>
      <c r="C483" s="16" t="s">
        <v>289</v>
      </c>
      <c r="D483" s="16" t="s">
        <v>289</v>
      </c>
      <c r="E483" s="16" t="s">
        <v>235</v>
      </c>
      <c r="F483" s="16" t="s">
        <v>1538</v>
      </c>
      <c r="G483" s="17"/>
      <c r="H483" s="16"/>
      <c r="I483" s="18"/>
      <c r="J483" s="16" t="n">
        <v>1</v>
      </c>
      <c r="K483" s="16" t="n">
        <v>180</v>
      </c>
      <c r="L483" s="19" t="n">
        <v>5403.25</v>
      </c>
      <c r="M483" s="17" t="s">
        <v>290</v>
      </c>
      <c r="N483" s="82" t="n">
        <v>10.14</v>
      </c>
      <c r="O483" s="64" t="s">
        <v>1541</v>
      </c>
      <c r="P483" s="16" t="s">
        <v>1535</v>
      </c>
      <c r="Q483" s="17" t="s">
        <v>1542</v>
      </c>
      <c r="R483" s="78" t="s">
        <v>1543</v>
      </c>
      <c r="S483" s="77" t="n">
        <f aca="false">IFERROR(INDEX('Injectable Value'!$Z$28:$Z$178,MATCH($C483,'Injectable Value'!$A$28:$A$178,0)),"")</f>
        <v>0.194998811159637</v>
      </c>
      <c r="T483" s="19" t="n">
        <f aca="false">IFERROR(ROUND(INDEX('Injectable Value'!$AA$28:$AA$178,MATCH($C483,'Injectable Value'!$A$28:$A$178,0)),1),"")</f>
        <v>1053.6</v>
      </c>
      <c r="U483" s="17" t="s">
        <v>284</v>
      </c>
      <c r="V483" s="16" t="n">
        <v>1</v>
      </c>
      <c r="W483" s="16" t="s">
        <v>284</v>
      </c>
      <c r="X483" s="16" t="s">
        <v>310</v>
      </c>
      <c r="Y483" s="16" t="s">
        <v>283</v>
      </c>
      <c r="Z483" s="17" t="str">
        <f aca="false">IFERROR(INDEX(Scoring!$U:$U,MATCH($C483&amp;"|"&amp;$E483,Scoring!$AD:$AD,0)),"")</f>
        <v/>
      </c>
      <c r="AA483" s="16" t="str">
        <f aca="false">IFERROR(INDEX(Scoring!$E:$E,MATCH($C483&amp;"|"&amp;$E483,Scoring!$AD:$AD,0)),"")</f>
        <v>Priority 3</v>
      </c>
      <c r="AB483" s="19" t="n">
        <f aca="false">IFERROR(INDEX(Scoring!$M:$M,MATCH($C483&amp;"|"&amp;$E483,Scoring!$AD:$AD,0)),"")</f>
        <v>35</v>
      </c>
      <c r="AC483" s="16" t="str">
        <f aca="false">IFERROR(INDEX('Route of Administration'!$C$5:$C$155,MATCH($C483,'Route of Administration'!$A$5:$A$155,0)),"")</f>
        <v>IV, IM</v>
      </c>
      <c r="AD483" s="15" t="str">
        <f aca="false">IFERROR(INDEX('Route of Administration'!$D$5:$D$155,MATCH($C483,'Route of Administration'!$A$5:$A$155,0)),"")</f>
        <v>Yes</v>
      </c>
      <c r="AE483" s="15" t="str">
        <f aca="false">IF($AD483="No","Not checked – drug is IV only",IFERROR(INDEX('Route of Administration'!$O$5:$O$170,MATCH($E483&amp;"|"&amp;$C483,'Route of Administration'!$S$5:$S$170,0)),"Not checked – price ≤ USD 5"))</f>
        <v>Pass</v>
      </c>
    </row>
    <row r="484" customFormat="false" ht="28.35" hidden="false" customHeight="false" outlineLevel="0" collapsed="false">
      <c r="B484" s="16" t="n">
        <v>482</v>
      </c>
      <c r="C484" s="16" t="s">
        <v>1208</v>
      </c>
      <c r="D484" s="16" t="s">
        <v>1208</v>
      </c>
      <c r="E484" s="16" t="s">
        <v>235</v>
      </c>
      <c r="F484" s="16" t="s">
        <v>1824</v>
      </c>
      <c r="G484" s="17"/>
      <c r="H484" s="16"/>
      <c r="I484" s="18"/>
      <c r="J484" s="16" t="n">
        <v>1</v>
      </c>
      <c r="K484" s="16" t="n">
        <v>706</v>
      </c>
      <c r="L484" s="19" t="n">
        <v>34008.96</v>
      </c>
      <c r="M484" s="17" t="s">
        <v>1209</v>
      </c>
      <c r="N484" s="82" t="n">
        <v>0.72</v>
      </c>
      <c r="O484" s="64" t="s">
        <v>1541</v>
      </c>
      <c r="P484" s="16" t="s">
        <v>1535</v>
      </c>
      <c r="Q484" s="17" t="s">
        <v>1542</v>
      </c>
      <c r="R484" s="78" t="s">
        <v>1543</v>
      </c>
      <c r="S484" s="77" t="n">
        <f aca="false">IFERROR(INDEX('Injectable Value'!$Z$28:$Z$178,MATCH($C484,'Injectable Value'!$A$28:$A$178,0)),"")</f>
        <v>0.0464246545295021</v>
      </c>
      <c r="T484" s="19" t="n">
        <f aca="false">IFERROR(ROUND(INDEX('Injectable Value'!$AA$28:$AA$178,MATCH($C484,'Injectable Value'!$A$28:$A$178,0)),1),"")</f>
        <v>1578.9</v>
      </c>
      <c r="U484" s="17" t="s">
        <v>284</v>
      </c>
      <c r="V484" s="16" t="n">
        <v>1</v>
      </c>
      <c r="W484" s="16" t="s">
        <v>284</v>
      </c>
      <c r="X484" s="16" t="s">
        <v>310</v>
      </c>
      <c r="Y484" s="16" t="s">
        <v>310</v>
      </c>
      <c r="Z484" s="17" t="str">
        <f aca="false">IFERROR(INDEX(Scoring!$U:$U,MATCH($C484&amp;"|"&amp;$E484,Scoring!$AD:$AD,0)),"")</f>
        <v/>
      </c>
      <c r="AA484" s="16" t="str">
        <f aca="false">IFERROR(INDEX(Scoring!$E:$E,MATCH($C484&amp;"|"&amp;$E484,Scoring!$AD:$AD,0)),"")</f>
        <v>Excluded – IV only</v>
      </c>
      <c r="AB484" s="19" t="n">
        <f aca="false">IFERROR(INDEX(Scoring!$M:$M,MATCH($C484&amp;"|"&amp;$E484,Scoring!$AD:$AD,0)),"")</f>
        <v>33</v>
      </c>
      <c r="AC484" s="16" t="str">
        <f aca="false">IFERROR(INDEX('Route of Administration'!$C$5:$C$155,MATCH($C484,'Route of Administration'!$A$5:$A$155,0)),"")</f>
        <v>IV</v>
      </c>
      <c r="AD484" s="15" t="str">
        <f aca="false">IFERROR(INDEX('Route of Administration'!$D$5:$D$155,MATCH($C484,'Route of Administration'!$A$5:$A$155,0)),"")</f>
        <v>No</v>
      </c>
      <c r="AE484" s="15" t="str">
        <f aca="false">IF($AD484="No","Not checked – drug is IV only",IFERROR(INDEX('Route of Administration'!$O$5:$O$170,MATCH($E484&amp;"|"&amp;$C484,'Route of Administration'!$S$5:$S$170,0)),"Not checked – price ≤ USD 5"))</f>
        <v>Not checked – drug is IV only</v>
      </c>
    </row>
    <row r="485" customFormat="false" ht="28.35" hidden="false" customHeight="false" outlineLevel="0" collapsed="false">
      <c r="B485" s="16" t="n">
        <v>483</v>
      </c>
      <c r="C485" s="16" t="s">
        <v>665</v>
      </c>
      <c r="D485" s="16" t="s">
        <v>1504</v>
      </c>
      <c r="E485" s="16" t="s">
        <v>235</v>
      </c>
      <c r="F485" s="16" t="s">
        <v>1942</v>
      </c>
      <c r="G485" s="17" t="s">
        <v>2433</v>
      </c>
      <c r="H485" s="16" t="s">
        <v>281</v>
      </c>
      <c r="I485" s="18" t="n">
        <v>21.78</v>
      </c>
      <c r="J485" s="16" t="n">
        <v>1</v>
      </c>
      <c r="K485" s="16" t="n">
        <v>346</v>
      </c>
      <c r="L485" s="19" t="n">
        <v>32830.17</v>
      </c>
      <c r="M485" s="17" t="s">
        <v>667</v>
      </c>
      <c r="N485" s="18" t="n">
        <v>21.78</v>
      </c>
      <c r="O485" s="16" t="s">
        <v>1534</v>
      </c>
      <c r="P485" s="16" t="s">
        <v>1535</v>
      </c>
      <c r="Q485" s="17" t="s">
        <v>1536</v>
      </c>
      <c r="R485" s="78" t="s">
        <v>1944</v>
      </c>
      <c r="S485" s="77" t="n">
        <f aca="false">IFERROR(INDEX('Injectable Value'!$Z$28:$Z$178,MATCH($C485,'Injectable Value'!$A$28:$A$178,0)),"")</f>
        <v>1</v>
      </c>
      <c r="T485" s="19" t="n">
        <f aca="false">IFERROR(ROUND(INDEX('Injectable Value'!$AA$28:$AA$178,MATCH($C485,'Injectable Value'!$A$28:$A$178,0)),1),"")</f>
        <v>32830.2</v>
      </c>
      <c r="U485" s="17" t="s">
        <v>635</v>
      </c>
      <c r="V485" s="16" t="n">
        <v>2</v>
      </c>
      <c r="W485" s="16" t="s">
        <v>284</v>
      </c>
      <c r="X485" s="16" t="s">
        <v>281</v>
      </c>
      <c r="Y485" s="16" t="s">
        <v>283</v>
      </c>
      <c r="Z485" s="17" t="str">
        <f aca="false">IFERROR(INDEX(Scoring!$U:$U,MATCH($C485&amp;"|"&amp;$E485,Scoring!$AD:$AD,0)),"")</f>
        <v/>
      </c>
      <c r="AA485" s="16" t="str">
        <f aca="false">IFERROR(INDEX(Scoring!$E:$E,MATCH($C485&amp;"|"&amp;$E485,Scoring!$AD:$AD,0)),"")</f>
        <v>Excluded – IV only</v>
      </c>
      <c r="AB485" s="19" t="n">
        <f aca="false">IFERROR(INDEX(Scoring!$M:$M,MATCH($C485&amp;"|"&amp;$E485,Scoring!$AD:$AD,0)),"")</f>
        <v>346</v>
      </c>
      <c r="AC485" s="16" t="str">
        <f aca="false">IFERROR(INDEX('Route of Administration'!$C$5:$C$155,MATCH($C485,'Route of Administration'!$A$5:$A$155,0)),"")</f>
        <v>IV</v>
      </c>
      <c r="AD485" s="15" t="str">
        <f aca="false">IFERROR(INDEX('Route of Administration'!$D$5:$D$155,MATCH($C485,'Route of Administration'!$A$5:$A$155,0)),"")</f>
        <v>No</v>
      </c>
      <c r="AE485" s="15" t="str">
        <f aca="false">IF($AD485="No","Not checked – drug is IV only",IFERROR(INDEX('Route of Administration'!$O$5:$O$170,MATCH($E485&amp;"|"&amp;$C485,'Route of Administration'!$S$5:$S$170,0)),"Not checked – price ≤ USD 5"))</f>
        <v>Not checked – drug is IV only</v>
      </c>
    </row>
    <row r="486" customFormat="false" ht="28.35" hidden="false" customHeight="false" outlineLevel="0" collapsed="false">
      <c r="B486" s="16" t="n">
        <v>484</v>
      </c>
      <c r="C486" s="16" t="s">
        <v>665</v>
      </c>
      <c r="D486" s="16" t="s">
        <v>1504</v>
      </c>
      <c r="E486" s="16" t="s">
        <v>235</v>
      </c>
      <c r="F486" s="16" t="s">
        <v>1945</v>
      </c>
      <c r="G486" s="17" t="s">
        <v>2434</v>
      </c>
      <c r="H486" s="16" t="s">
        <v>1533</v>
      </c>
      <c r="I486" s="18" t="n">
        <v>48.28</v>
      </c>
      <c r="J486" s="16" t="n">
        <v>1</v>
      </c>
      <c r="K486" s="16" t="n">
        <v>346</v>
      </c>
      <c r="L486" s="19" t="n">
        <v>32830.17</v>
      </c>
      <c r="M486" s="17" t="s">
        <v>667</v>
      </c>
      <c r="N486" s="18" t="n">
        <v>48.28</v>
      </c>
      <c r="O486" s="16" t="s">
        <v>1534</v>
      </c>
      <c r="P486" s="16" t="s">
        <v>1535</v>
      </c>
      <c r="Q486" s="17" t="s">
        <v>1536</v>
      </c>
      <c r="R486" s="78" t="s">
        <v>1944</v>
      </c>
      <c r="S486" s="77" t="n">
        <f aca="false">IFERROR(INDEX('Injectable Value'!$Z$28:$Z$178,MATCH($C486,'Injectable Value'!$A$28:$A$178,0)),"")</f>
        <v>1</v>
      </c>
      <c r="T486" s="19" t="n">
        <f aca="false">IFERROR(ROUND(INDEX('Injectable Value'!$AA$28:$AA$178,MATCH($C486,'Injectable Value'!$A$28:$A$178,0)),1),"")</f>
        <v>32830.2</v>
      </c>
      <c r="U486" s="17" t="s">
        <v>635</v>
      </c>
      <c r="V486" s="16" t="n">
        <v>2</v>
      </c>
      <c r="W486" s="16" t="s">
        <v>284</v>
      </c>
      <c r="X486" s="16" t="s">
        <v>281</v>
      </c>
      <c r="Y486" s="16" t="s">
        <v>283</v>
      </c>
      <c r="Z486" s="17" t="str">
        <f aca="false">IFERROR(INDEX(Scoring!$U:$U,MATCH($C486&amp;"|"&amp;$E486,Scoring!$AD:$AD,0)),"")</f>
        <v/>
      </c>
      <c r="AA486" s="16" t="str">
        <f aca="false">IFERROR(INDEX(Scoring!$E:$E,MATCH($C486&amp;"|"&amp;$E486,Scoring!$AD:$AD,0)),"")</f>
        <v>Excluded – IV only</v>
      </c>
      <c r="AB486" s="19" t="n">
        <f aca="false">IFERROR(INDEX(Scoring!$M:$M,MATCH($C486&amp;"|"&amp;$E486,Scoring!$AD:$AD,0)),"")</f>
        <v>346</v>
      </c>
      <c r="AC486" s="16" t="str">
        <f aca="false">IFERROR(INDEX('Route of Administration'!$C$5:$C$155,MATCH($C486,'Route of Administration'!$A$5:$A$155,0)),"")</f>
        <v>IV</v>
      </c>
      <c r="AD486" s="15" t="str">
        <f aca="false">IFERROR(INDEX('Route of Administration'!$D$5:$D$155,MATCH($C486,'Route of Administration'!$A$5:$A$155,0)),"")</f>
        <v>No</v>
      </c>
      <c r="AE486" s="15" t="str">
        <f aca="false">IF($AD486="No","Not checked – drug is IV only",IFERROR(INDEX('Route of Administration'!$O$5:$O$170,MATCH($E486&amp;"|"&amp;$C486,'Route of Administration'!$S$5:$S$170,0)),"Not checked – price ≤ USD 5"))</f>
        <v>Not checked – drug is IV only</v>
      </c>
    </row>
    <row r="487" customFormat="false" ht="28.35" hidden="false" customHeight="false" outlineLevel="0" collapsed="false">
      <c r="B487" s="16" t="n">
        <v>485</v>
      </c>
      <c r="C487" s="16" t="s">
        <v>1220</v>
      </c>
      <c r="D487" s="16" t="s">
        <v>1221</v>
      </c>
      <c r="E487" s="16" t="s">
        <v>235</v>
      </c>
      <c r="F487" s="16" t="s">
        <v>2435</v>
      </c>
      <c r="G487" s="17" t="s">
        <v>2436</v>
      </c>
      <c r="H487" s="16" t="s">
        <v>1533</v>
      </c>
      <c r="I487" s="18" t="n">
        <v>18.277</v>
      </c>
      <c r="J487" s="16" t="n">
        <v>1</v>
      </c>
      <c r="K487" s="16" t="n">
        <v>2061</v>
      </c>
      <c r="L487" s="19" t="n">
        <v>38680.23</v>
      </c>
      <c r="M487" s="17" t="s">
        <v>1222</v>
      </c>
      <c r="N487" s="18" t="n">
        <v>18.277</v>
      </c>
      <c r="O487" s="16" t="s">
        <v>1534</v>
      </c>
      <c r="P487" s="16" t="s">
        <v>1535</v>
      </c>
      <c r="Q487" s="17" t="s">
        <v>1536</v>
      </c>
      <c r="R487" s="78" t="s">
        <v>2437</v>
      </c>
      <c r="S487" s="77" t="n">
        <f aca="false">IFERROR(INDEX('Injectable Value'!$Z$28:$Z$178,MATCH($C487,'Injectable Value'!$A$28:$A$178,0)),"")</f>
        <v>0.0316233131485411</v>
      </c>
      <c r="T487" s="19" t="n">
        <f aca="false">IFERROR(ROUND(INDEX('Injectable Value'!$AA$28:$AA$178,MATCH($C487,'Injectable Value'!$A$28:$A$178,0)),1),"")</f>
        <v>1223.2</v>
      </c>
      <c r="U487" s="17" t="s">
        <v>614</v>
      </c>
      <c r="V487" s="16" t="n">
        <v>1</v>
      </c>
      <c r="W487" s="16" t="s">
        <v>112</v>
      </c>
      <c r="X487" s="16" t="s">
        <v>281</v>
      </c>
      <c r="Y487" s="16" t="s">
        <v>333</v>
      </c>
      <c r="Z487" s="17" t="str">
        <f aca="false">IFERROR(INDEX(Scoring!$U:$U,MATCH($C487&amp;"|"&amp;$E487,Scoring!$AD:$AD,0)),"")</f>
        <v>Reconstitution</v>
      </c>
      <c r="AA487" s="16" t="str">
        <f aca="false">IFERROR(INDEX(Scoring!$E:$E,MATCH($C487&amp;"|"&amp;$E487,Scoring!$AD:$AD,0)),"")</f>
        <v>Priority 3</v>
      </c>
      <c r="AB487" s="19" t="n">
        <f aca="false">IFERROR(INDEX(Scoring!$M:$M,MATCH($C487&amp;"|"&amp;$E487,Scoring!$AD:$AD,0)),"")</f>
        <v>65</v>
      </c>
      <c r="AC487" s="16" t="str">
        <f aca="false">IFERROR(INDEX('Route of Administration'!$C$5:$C$155,MATCH($C487,'Route of Administration'!$A$5:$A$155,0)),"")</f>
        <v>IM</v>
      </c>
      <c r="AD487" s="15" t="str">
        <f aca="false">IFERROR(INDEX('Route of Administration'!$D$5:$D$155,MATCH($C487,'Route of Administration'!$A$5:$A$155,0)),"")</f>
        <v>Yes</v>
      </c>
      <c r="AE487" s="15" t="str">
        <f aca="false">IF($AD487="No","Not checked – drug is IV only",IFERROR(INDEX('Route of Administration'!$O$5:$O$170,MATCH($E487&amp;"|"&amp;$C487,'Route of Administration'!$S$5:$S$170,0)),"Not checked – price ≤ USD 5"))</f>
        <v>Pass</v>
      </c>
    </row>
    <row r="488" customFormat="false" ht="28.35" hidden="false" customHeight="false" outlineLevel="0" collapsed="false">
      <c r="B488" s="16" t="n">
        <v>486</v>
      </c>
      <c r="C488" s="16" t="s">
        <v>665</v>
      </c>
      <c r="D488" s="16" t="s">
        <v>2438</v>
      </c>
      <c r="E488" s="16" t="s">
        <v>235</v>
      </c>
      <c r="F488" s="16" t="s">
        <v>1849</v>
      </c>
      <c r="G488" s="17" t="s">
        <v>1850</v>
      </c>
      <c r="H488" s="16" t="s">
        <v>1533</v>
      </c>
      <c r="I488" s="18"/>
      <c r="J488" s="16" t="n">
        <v>1</v>
      </c>
      <c r="K488" s="16" t="n">
        <v>346</v>
      </c>
      <c r="L488" s="19" t="n">
        <v>32830.17</v>
      </c>
      <c r="M488" s="17" t="s">
        <v>667</v>
      </c>
      <c r="N488" s="18"/>
      <c r="O488" s="16" t="s">
        <v>1573</v>
      </c>
      <c r="P488" s="16" t="s">
        <v>112</v>
      </c>
      <c r="Q488" s="17" t="s">
        <v>112</v>
      </c>
      <c r="R488" s="16"/>
      <c r="S488" s="77" t="n">
        <f aca="false">IFERROR(INDEX('Injectable Value'!$Z$28:$Z$178,MATCH($C488,'Injectable Value'!$A$28:$A$178,0)),"")</f>
        <v>1</v>
      </c>
      <c r="T488" s="19" t="n">
        <f aca="false">IFERROR(ROUND(INDEX('Injectable Value'!$AA$28:$AA$178,MATCH($C488,'Injectable Value'!$A$28:$A$178,0)),1),"")</f>
        <v>32830.2</v>
      </c>
      <c r="U488" s="17" t="s">
        <v>635</v>
      </c>
      <c r="V488" s="16" t="n">
        <v>2</v>
      </c>
      <c r="W488" s="16" t="s">
        <v>284</v>
      </c>
      <c r="X488" s="16" t="s">
        <v>281</v>
      </c>
      <c r="Y488" s="16" t="s">
        <v>283</v>
      </c>
      <c r="Z488" s="17" t="str">
        <f aca="false">IFERROR(INDEX(Scoring!$U:$U,MATCH($C488&amp;"|"&amp;$E488,Scoring!$AD:$AD,0)),"")</f>
        <v/>
      </c>
      <c r="AA488" s="16" t="str">
        <f aca="false">IFERROR(INDEX(Scoring!$E:$E,MATCH($C488&amp;"|"&amp;$E488,Scoring!$AD:$AD,0)),"")</f>
        <v>Excluded – IV only</v>
      </c>
      <c r="AB488" s="19" t="n">
        <f aca="false">IFERROR(INDEX(Scoring!$M:$M,MATCH($C488&amp;"|"&amp;$E488,Scoring!$AD:$AD,0)),"")</f>
        <v>346</v>
      </c>
      <c r="AC488" s="16" t="str">
        <f aca="false">IFERROR(INDEX('Route of Administration'!$C$5:$C$155,MATCH($C488,'Route of Administration'!$A$5:$A$155,0)),"")</f>
        <v>IV</v>
      </c>
      <c r="AD488" s="15" t="str">
        <f aca="false">IFERROR(INDEX('Route of Administration'!$D$5:$D$155,MATCH($C488,'Route of Administration'!$A$5:$A$155,0)),"")</f>
        <v>No</v>
      </c>
      <c r="AE488" s="15" t="str">
        <f aca="false">IF($AD488="No","Not checked – drug is IV only",IFERROR(INDEX('Route of Administration'!$O$5:$O$170,MATCH($E488&amp;"|"&amp;$C488,'Route of Administration'!$S$5:$S$170,0)),"Not checked – price ≤ USD 5"))</f>
        <v>Not checked – drug is IV only</v>
      </c>
    </row>
    <row r="489" customFormat="false" ht="28.35" hidden="false" customHeight="false" outlineLevel="0" collapsed="false">
      <c r="B489" s="16" t="n">
        <v>487</v>
      </c>
      <c r="C489" s="16" t="s">
        <v>665</v>
      </c>
      <c r="D489" s="16" t="s">
        <v>2439</v>
      </c>
      <c r="E489" s="16" t="s">
        <v>235</v>
      </c>
      <c r="F489" s="16" t="s">
        <v>1851</v>
      </c>
      <c r="G489" s="17" t="s">
        <v>1852</v>
      </c>
      <c r="H489" s="16" t="s">
        <v>1533</v>
      </c>
      <c r="I489" s="18"/>
      <c r="J489" s="16" t="n">
        <v>1</v>
      </c>
      <c r="K489" s="16" t="n">
        <v>346</v>
      </c>
      <c r="L489" s="19" t="n">
        <v>32830.17</v>
      </c>
      <c r="M489" s="17" t="s">
        <v>667</v>
      </c>
      <c r="N489" s="18"/>
      <c r="O489" s="16" t="s">
        <v>1573</v>
      </c>
      <c r="P489" s="16" t="s">
        <v>112</v>
      </c>
      <c r="Q489" s="17" t="s">
        <v>112</v>
      </c>
      <c r="R489" s="16"/>
      <c r="S489" s="77" t="n">
        <f aca="false">IFERROR(INDEX('Injectable Value'!$Z$28:$Z$178,MATCH($C489,'Injectable Value'!$A$28:$A$178,0)),"")</f>
        <v>1</v>
      </c>
      <c r="T489" s="19" t="n">
        <f aca="false">IFERROR(ROUND(INDEX('Injectable Value'!$AA$28:$AA$178,MATCH($C489,'Injectable Value'!$A$28:$A$178,0)),1),"")</f>
        <v>32830.2</v>
      </c>
      <c r="U489" s="17" t="s">
        <v>635</v>
      </c>
      <c r="V489" s="16" t="n">
        <v>2</v>
      </c>
      <c r="W489" s="16" t="s">
        <v>284</v>
      </c>
      <c r="X489" s="16" t="s">
        <v>281</v>
      </c>
      <c r="Y489" s="16" t="s">
        <v>283</v>
      </c>
      <c r="Z489" s="17" t="str">
        <f aca="false">IFERROR(INDEX(Scoring!$U:$U,MATCH($C489&amp;"|"&amp;$E489,Scoring!$AD:$AD,0)),"")</f>
        <v/>
      </c>
      <c r="AA489" s="16" t="str">
        <f aca="false">IFERROR(INDEX(Scoring!$E:$E,MATCH($C489&amp;"|"&amp;$E489,Scoring!$AD:$AD,0)),"")</f>
        <v>Excluded – IV only</v>
      </c>
      <c r="AB489" s="19" t="n">
        <f aca="false">IFERROR(INDEX(Scoring!$M:$M,MATCH($C489&amp;"|"&amp;$E489,Scoring!$AD:$AD,0)),"")</f>
        <v>346</v>
      </c>
      <c r="AC489" s="16" t="str">
        <f aca="false">IFERROR(INDEX('Route of Administration'!$C$5:$C$155,MATCH($C489,'Route of Administration'!$A$5:$A$155,0)),"")</f>
        <v>IV</v>
      </c>
      <c r="AD489" s="15" t="str">
        <f aca="false">IFERROR(INDEX('Route of Administration'!$D$5:$D$155,MATCH($C489,'Route of Administration'!$A$5:$A$155,0)),"")</f>
        <v>No</v>
      </c>
      <c r="AE489" s="15" t="str">
        <f aca="false">IF($AD489="No","Not checked – drug is IV only",IFERROR(INDEX('Route of Administration'!$O$5:$O$170,MATCH($E489&amp;"|"&amp;$C489,'Route of Administration'!$S$5:$S$170,0)),"Not checked – price ≤ USD 5"))</f>
        <v>Not checked – drug is IV only</v>
      </c>
    </row>
    <row r="490" customFormat="false" ht="28.35" hidden="false" customHeight="false" outlineLevel="0" collapsed="false">
      <c r="B490" s="16" t="n">
        <v>488</v>
      </c>
      <c r="C490" s="16" t="s">
        <v>388</v>
      </c>
      <c r="D490" s="16" t="s">
        <v>1192</v>
      </c>
      <c r="E490" s="16" t="s">
        <v>235</v>
      </c>
      <c r="F490" s="16" t="s">
        <v>1854</v>
      </c>
      <c r="G490" s="17" t="s">
        <v>1855</v>
      </c>
      <c r="H490" s="16" t="s">
        <v>1533</v>
      </c>
      <c r="I490" s="18"/>
      <c r="J490" s="16" t="n">
        <v>1</v>
      </c>
      <c r="K490" s="16" t="n">
        <v>312</v>
      </c>
      <c r="L490" s="19" t="n">
        <v>59827.18</v>
      </c>
      <c r="M490" s="17" t="s">
        <v>390</v>
      </c>
      <c r="N490" s="82" t="n">
        <v>9.45</v>
      </c>
      <c r="O490" s="64" t="s">
        <v>1541</v>
      </c>
      <c r="P490" s="16" t="s">
        <v>1561</v>
      </c>
      <c r="Q490" s="17" t="s">
        <v>1542</v>
      </c>
      <c r="R490" s="78" t="s">
        <v>1543</v>
      </c>
      <c r="S490" s="77" t="n">
        <f aca="false">IFERROR(INDEX('Injectable Value'!$Z$28:$Z$178,MATCH($C490,'Injectable Value'!$A$28:$A$178,0)),"")</f>
        <v>1</v>
      </c>
      <c r="T490" s="19" t="n">
        <f aca="false">IFERROR(ROUND(INDEX('Injectable Value'!$AA$28:$AA$178,MATCH($C490,'Injectable Value'!$A$28:$A$178,0)),1),"")</f>
        <v>59827.2</v>
      </c>
      <c r="U490" s="17" t="s">
        <v>614</v>
      </c>
      <c r="V490" s="16" t="n">
        <v>1</v>
      </c>
      <c r="W490" s="16" t="s">
        <v>112</v>
      </c>
      <c r="X490" s="16" t="s">
        <v>281</v>
      </c>
      <c r="Y490" s="16" t="s">
        <v>333</v>
      </c>
      <c r="Z490" s="17" t="str">
        <f aca="false">IFERROR(INDEX(Scoring!$U:$U,MATCH($C490&amp;"|"&amp;$E490,Scoring!$AD:$AD,0)),"")</f>
        <v>Reconstitution</v>
      </c>
      <c r="AA490" s="16" t="str">
        <f aca="false">IFERROR(INDEX(Scoring!$E:$E,MATCH($C490&amp;"|"&amp;$E490,Scoring!$AD:$AD,0)),"")</f>
        <v>Excluded – IV only</v>
      </c>
      <c r="AB490" s="19" t="n">
        <f aca="false">IFERROR(INDEX(Scoring!$M:$M,MATCH($C490&amp;"|"&amp;$E490,Scoring!$AD:$AD,0)),"")</f>
        <v>312</v>
      </c>
      <c r="AC490" s="16" t="str">
        <f aca="false">IFERROR(INDEX('Route of Administration'!$C$5:$C$155,MATCH($C490,'Route of Administration'!$A$5:$A$155,0)),"")</f>
        <v>IV</v>
      </c>
      <c r="AD490" s="15" t="str">
        <f aca="false">IFERROR(INDEX('Route of Administration'!$D$5:$D$155,MATCH($C490,'Route of Administration'!$A$5:$A$155,0)),"")</f>
        <v>No</v>
      </c>
      <c r="AE490" s="15" t="str">
        <f aca="false">IF($AD490="No","Not checked – drug is IV only",IFERROR(INDEX('Route of Administration'!$O$5:$O$170,MATCH($E490&amp;"|"&amp;$C490,'Route of Administration'!$S$5:$S$170,0)),"Not checked – price ≤ USD 5"))</f>
        <v>Not checked – drug is IV only</v>
      </c>
    </row>
    <row r="491" customFormat="false" ht="28.35" hidden="false" customHeight="false" outlineLevel="0" collapsed="false">
      <c r="B491" s="16" t="n">
        <v>489</v>
      </c>
      <c r="C491" s="16" t="s">
        <v>388</v>
      </c>
      <c r="D491" s="16" t="s">
        <v>1192</v>
      </c>
      <c r="E491" s="16" t="s">
        <v>235</v>
      </c>
      <c r="F491" s="16" t="s">
        <v>1787</v>
      </c>
      <c r="G491" s="17" t="s">
        <v>1788</v>
      </c>
      <c r="H491" s="16" t="s">
        <v>1533</v>
      </c>
      <c r="I491" s="18"/>
      <c r="J491" s="16" t="n">
        <v>1</v>
      </c>
      <c r="K491" s="16" t="n">
        <v>312</v>
      </c>
      <c r="L491" s="19" t="n">
        <v>59827.18</v>
      </c>
      <c r="M491" s="17" t="s">
        <v>390</v>
      </c>
      <c r="N491" s="82" t="n">
        <v>13.5</v>
      </c>
      <c r="O491" s="64" t="s">
        <v>1541</v>
      </c>
      <c r="P491" s="16" t="s">
        <v>1561</v>
      </c>
      <c r="Q491" s="17" t="s">
        <v>1542</v>
      </c>
      <c r="R491" s="78" t="s">
        <v>1543</v>
      </c>
      <c r="S491" s="77" t="n">
        <f aca="false">IFERROR(INDEX('Injectable Value'!$Z$28:$Z$178,MATCH($C491,'Injectable Value'!$A$28:$A$178,0)),"")</f>
        <v>1</v>
      </c>
      <c r="T491" s="19" t="n">
        <f aca="false">IFERROR(ROUND(INDEX('Injectable Value'!$AA$28:$AA$178,MATCH($C491,'Injectable Value'!$A$28:$A$178,0)),1),"")</f>
        <v>59827.2</v>
      </c>
      <c r="U491" s="17" t="s">
        <v>614</v>
      </c>
      <c r="V491" s="16" t="n">
        <v>1</v>
      </c>
      <c r="W491" s="16" t="s">
        <v>112</v>
      </c>
      <c r="X491" s="16" t="s">
        <v>281</v>
      </c>
      <c r="Y491" s="16" t="s">
        <v>333</v>
      </c>
      <c r="Z491" s="17" t="str">
        <f aca="false">IFERROR(INDEX(Scoring!$U:$U,MATCH($C491&amp;"|"&amp;$E491,Scoring!$AD:$AD,0)),"")</f>
        <v>Reconstitution</v>
      </c>
      <c r="AA491" s="16" t="str">
        <f aca="false">IFERROR(INDEX(Scoring!$E:$E,MATCH($C491&amp;"|"&amp;$E491,Scoring!$AD:$AD,0)),"")</f>
        <v>Excluded – IV only</v>
      </c>
      <c r="AB491" s="19" t="n">
        <f aca="false">IFERROR(INDEX(Scoring!$M:$M,MATCH($C491&amp;"|"&amp;$E491,Scoring!$AD:$AD,0)),"")</f>
        <v>312</v>
      </c>
      <c r="AC491" s="16" t="str">
        <f aca="false">IFERROR(INDEX('Route of Administration'!$C$5:$C$155,MATCH($C491,'Route of Administration'!$A$5:$A$155,0)),"")</f>
        <v>IV</v>
      </c>
      <c r="AD491" s="15" t="str">
        <f aca="false">IFERROR(INDEX('Route of Administration'!$D$5:$D$155,MATCH($C491,'Route of Administration'!$A$5:$A$155,0)),"")</f>
        <v>No</v>
      </c>
      <c r="AE491" s="15" t="str">
        <f aca="false">IF($AD491="No","Not checked – drug is IV only",IFERROR(INDEX('Route of Administration'!$O$5:$O$170,MATCH($E491&amp;"|"&amp;$C491,'Route of Administration'!$S$5:$S$170,0)),"Not checked – price ≤ USD 5"))</f>
        <v>Not checked – drug is IV only</v>
      </c>
    </row>
    <row r="492" customFormat="false" ht="28.35" hidden="false" customHeight="false" outlineLevel="0" collapsed="false">
      <c r="B492" s="16" t="n">
        <v>490</v>
      </c>
      <c r="C492" s="16" t="s">
        <v>1185</v>
      </c>
      <c r="D492" s="16" t="s">
        <v>1186</v>
      </c>
      <c r="E492" s="16" t="s">
        <v>235</v>
      </c>
      <c r="F492" s="16" t="s">
        <v>1791</v>
      </c>
      <c r="G492" s="17" t="s">
        <v>1792</v>
      </c>
      <c r="H492" s="16" t="s">
        <v>1533</v>
      </c>
      <c r="I492" s="18"/>
      <c r="J492" s="16" t="n">
        <v>1</v>
      </c>
      <c r="K492" s="16" t="n">
        <v>93</v>
      </c>
      <c r="L492" s="19" t="n">
        <v>1929.98</v>
      </c>
      <c r="M492" s="17" t="s">
        <v>1187</v>
      </c>
      <c r="N492" s="82" t="n">
        <v>0.57</v>
      </c>
      <c r="O492" s="64" t="s">
        <v>1541</v>
      </c>
      <c r="P492" s="16" t="s">
        <v>1535</v>
      </c>
      <c r="Q492" s="17" t="s">
        <v>1858</v>
      </c>
      <c r="R492" s="78" t="s">
        <v>2440</v>
      </c>
      <c r="S492" s="77" t="n">
        <f aca="false">IFERROR(INDEX('Injectable Value'!$Z$28:$Z$178,MATCH($C492,'Injectable Value'!$A$28:$A$178,0)),"")</f>
        <v>1</v>
      </c>
      <c r="T492" s="19" t="n">
        <f aca="false">IFERROR(ROUND(INDEX('Injectable Value'!$AA$28:$AA$178,MATCH($C492,'Injectable Value'!$A$28:$A$178,0)),1),"")</f>
        <v>1930</v>
      </c>
      <c r="U492" s="17" t="s">
        <v>614</v>
      </c>
      <c r="V492" s="16" t="n">
        <v>1</v>
      </c>
      <c r="W492" s="16" t="s">
        <v>112</v>
      </c>
      <c r="X492" s="16" t="s">
        <v>281</v>
      </c>
      <c r="Y492" s="16" t="s">
        <v>333</v>
      </c>
      <c r="Z492" s="17" t="str">
        <f aca="false">IFERROR(INDEX(Scoring!$U:$U,MATCH($C492&amp;"|"&amp;$E492,Scoring!$AD:$AD,0)),"")</f>
        <v>Reconstitution</v>
      </c>
      <c r="AA492" s="16" t="str">
        <f aca="false">IFERROR(INDEX(Scoring!$E:$E,MATCH($C492&amp;"|"&amp;$E492,Scoring!$AD:$AD,0)),"")</f>
        <v>Excluded – price ≤ USD 5</v>
      </c>
      <c r="AB492" s="19" t="n">
        <f aca="false">IFERROR(INDEX(Scoring!$M:$M,MATCH($C492&amp;"|"&amp;$E492,Scoring!$AD:$AD,0)),"")</f>
        <v>93</v>
      </c>
      <c r="AC492" s="16" t="str">
        <f aca="false">IFERROR(INDEX('Route of Administration'!$C$5:$C$155,MATCH($C492,'Route of Administration'!$A$5:$A$155,0)),"")</f>
        <v>IV, IM</v>
      </c>
      <c r="AD492" s="15" t="str">
        <f aca="false">IFERROR(INDEX('Route of Administration'!$D$5:$D$155,MATCH($C492,'Route of Administration'!$A$5:$A$155,0)),"")</f>
        <v>Yes</v>
      </c>
      <c r="AE492" s="15" t="str">
        <f aca="false">IF($AD492="No","Not checked – drug is IV only",IFERROR(INDEX('Route of Administration'!$O$5:$O$170,MATCH($E492&amp;"|"&amp;$C492,'Route of Administration'!$S$5:$S$170,0)),"Not checked – price ≤ USD 5"))</f>
        <v>Not checked – price ≤ USD 5</v>
      </c>
    </row>
    <row r="493" customFormat="false" ht="28.35" hidden="false" customHeight="false" outlineLevel="0" collapsed="false">
      <c r="B493" s="16" t="n">
        <v>491</v>
      </c>
      <c r="C493" s="16" t="s">
        <v>671</v>
      </c>
      <c r="D493" s="16" t="s">
        <v>2441</v>
      </c>
      <c r="E493" s="16" t="s">
        <v>235</v>
      </c>
      <c r="F493" s="16" t="s">
        <v>2442</v>
      </c>
      <c r="G493" s="17" t="s">
        <v>2443</v>
      </c>
      <c r="H493" s="16" t="s">
        <v>1533</v>
      </c>
      <c r="I493" s="18" t="n">
        <v>75.992</v>
      </c>
      <c r="J493" s="16" t="n">
        <v>1</v>
      </c>
      <c r="K493" s="16" t="n">
        <v>106</v>
      </c>
      <c r="L493" s="19" t="n">
        <v>7074.72</v>
      </c>
      <c r="M493" s="17" t="s">
        <v>673</v>
      </c>
      <c r="N493" s="18" t="n">
        <v>75.992</v>
      </c>
      <c r="O493" s="16" t="s">
        <v>1534</v>
      </c>
      <c r="P493" s="16" t="s">
        <v>1535</v>
      </c>
      <c r="Q493" s="17" t="s">
        <v>1536</v>
      </c>
      <c r="R493" s="78" t="s">
        <v>2444</v>
      </c>
      <c r="S493" s="77" t="n">
        <f aca="false">IFERROR(INDEX('Injectable Value'!$Z$28:$Z$178,MATCH($C493,'Injectable Value'!$A$28:$A$178,0)),"")</f>
        <v>0.9375</v>
      </c>
      <c r="T493" s="19" t="n">
        <f aca="false">IFERROR(ROUND(INDEX('Injectable Value'!$AA$28:$AA$178,MATCH($C493,'Injectable Value'!$A$28:$A$178,0)),1),"")</f>
        <v>6632.6</v>
      </c>
      <c r="U493" s="17" t="s">
        <v>619</v>
      </c>
      <c r="V493" s="16" t="n">
        <v>2</v>
      </c>
      <c r="W493" s="16" t="s">
        <v>112</v>
      </c>
      <c r="X493" s="16" t="s">
        <v>281</v>
      </c>
      <c r="Y493" s="16" t="s">
        <v>333</v>
      </c>
      <c r="Z493" s="17" t="str">
        <f aca="false">IFERROR(INDEX(Scoring!$U:$U,MATCH($C493&amp;"|"&amp;$E493,Scoring!$AD:$AD,0)),"")</f>
        <v>Reconstitution</v>
      </c>
      <c r="AA493" s="16" t="str">
        <f aca="false">IFERROR(INDEX(Scoring!$E:$E,MATCH($C493&amp;"|"&amp;$E493,Scoring!$AD:$AD,0)),"")</f>
        <v>Priority 2</v>
      </c>
      <c r="AB493" s="19" t="n">
        <f aca="false">IFERROR(INDEX(Scoring!$M:$M,MATCH($C493&amp;"|"&amp;$E493,Scoring!$AD:$AD,0)),"")</f>
        <v>99</v>
      </c>
      <c r="AC493" s="16" t="str">
        <f aca="false">IFERROR(INDEX('Route of Administration'!$C$5:$C$155,MATCH($C493,'Route of Administration'!$A$5:$A$155,0)),"")</f>
        <v>IV, IM</v>
      </c>
      <c r="AD493" s="15" t="str">
        <f aca="false">IFERROR(INDEX('Route of Administration'!$D$5:$D$155,MATCH($C493,'Route of Administration'!$A$5:$A$155,0)),"")</f>
        <v>Yes</v>
      </c>
      <c r="AE493" s="15" t="str">
        <f aca="false">IF($AD493="No","Not checked – drug is IV only",IFERROR(INDEX('Route of Administration'!$O$5:$O$170,MATCH($E493&amp;"|"&amp;$C493,'Route of Administration'!$S$5:$S$170,0)),"Not checked – price ≤ USD 5"))</f>
        <v>Pass</v>
      </c>
    </row>
    <row r="494" customFormat="false" ht="28.35" hidden="false" customHeight="false" outlineLevel="0" collapsed="false">
      <c r="B494" s="16" t="n">
        <v>492</v>
      </c>
      <c r="C494" s="16" t="s">
        <v>1194</v>
      </c>
      <c r="D494" s="16" t="s">
        <v>2445</v>
      </c>
      <c r="E494" s="16" t="s">
        <v>235</v>
      </c>
      <c r="F494" s="16" t="s">
        <v>2105</v>
      </c>
      <c r="G494" s="17" t="s">
        <v>2446</v>
      </c>
      <c r="H494" s="16" t="s">
        <v>1533</v>
      </c>
      <c r="I494" s="18"/>
      <c r="J494" s="16" t="n">
        <v>1</v>
      </c>
      <c r="K494" s="16" t="n">
        <v>17</v>
      </c>
      <c r="L494" s="19" t="n">
        <v>170.54</v>
      </c>
      <c r="M494" s="17" t="s">
        <v>1196</v>
      </c>
      <c r="N494" s="82" t="n">
        <v>5.35</v>
      </c>
      <c r="O494" s="64" t="s">
        <v>1541</v>
      </c>
      <c r="P494" s="16" t="s">
        <v>1561</v>
      </c>
      <c r="Q494" s="17" t="s">
        <v>1542</v>
      </c>
      <c r="R494" s="78" t="s">
        <v>1543</v>
      </c>
      <c r="S494" s="77" t="n">
        <f aca="false">IFERROR(INDEX('Injectable Value'!$Z$28:$Z$178,MATCH($C494,'Injectable Value'!$A$28:$A$178,0)),"")</f>
        <v>1</v>
      </c>
      <c r="T494" s="19" t="n">
        <f aca="false">IFERROR(ROUND(INDEX('Injectable Value'!$AA$28:$AA$178,MATCH($C494,'Injectable Value'!$A$28:$A$178,0)),1),"")</f>
        <v>170.5</v>
      </c>
      <c r="U494" s="17" t="s">
        <v>614</v>
      </c>
      <c r="V494" s="16" t="n">
        <v>1</v>
      </c>
      <c r="W494" s="16" t="s">
        <v>112</v>
      </c>
      <c r="X494" s="16" t="s">
        <v>349</v>
      </c>
      <c r="Y494" s="16" t="s">
        <v>283</v>
      </c>
      <c r="Z494" s="17" t="str">
        <f aca="false">IFERROR(INDEX(Scoring!$U:$U,MATCH($C494&amp;"|"&amp;$E494,Scoring!$AD:$AD,0)),"")</f>
        <v/>
      </c>
      <c r="AA494" s="16" t="str">
        <f aca="false">IFERROR(INDEX(Scoring!$E:$E,MATCH($C494&amp;"|"&amp;$E494,Scoring!$AD:$AD,0)),"")</f>
        <v>Priority 3</v>
      </c>
      <c r="AB494" s="19" t="n">
        <f aca="false">IFERROR(INDEX(Scoring!$M:$M,MATCH($C494&amp;"|"&amp;$E494,Scoring!$AD:$AD,0)),"")</f>
        <v>17</v>
      </c>
      <c r="AC494" s="16" t="str">
        <f aca="false">IFERROR(INDEX('Route of Administration'!$C$5:$C$155,MATCH($C494,'Route of Administration'!$A$5:$A$155,0)),"")</f>
        <v>IV, IM</v>
      </c>
      <c r="AD494" s="15" t="str">
        <f aca="false">IFERROR(INDEX('Route of Administration'!$D$5:$D$155,MATCH($C494,'Route of Administration'!$A$5:$A$155,0)),"")</f>
        <v>Yes</v>
      </c>
      <c r="AE494" s="15" t="str">
        <f aca="false">IF($AD494="No","Not checked – drug is IV only",IFERROR(INDEX('Route of Administration'!$O$5:$O$170,MATCH($E494&amp;"|"&amp;$C494,'Route of Administration'!$S$5:$S$170,0)),"Not checked – price ≤ USD 5"))</f>
        <v>Pass</v>
      </c>
    </row>
    <row r="495" customFormat="false" ht="28.35" hidden="false" customHeight="false" outlineLevel="0" collapsed="false">
      <c r="B495" s="16" t="n">
        <v>493</v>
      </c>
      <c r="C495" s="16" t="s">
        <v>1194</v>
      </c>
      <c r="D495" s="16" t="s">
        <v>2447</v>
      </c>
      <c r="E495" s="16" t="s">
        <v>235</v>
      </c>
      <c r="F495" s="16" t="s">
        <v>2448</v>
      </c>
      <c r="G495" s="17" t="s">
        <v>2449</v>
      </c>
      <c r="H495" s="16" t="s">
        <v>1533</v>
      </c>
      <c r="I495" s="18"/>
      <c r="J495" s="16" t="n">
        <v>1</v>
      </c>
      <c r="K495" s="16" t="n">
        <v>17</v>
      </c>
      <c r="L495" s="19" t="n">
        <v>170.54</v>
      </c>
      <c r="M495" s="17" t="s">
        <v>1196</v>
      </c>
      <c r="N495" s="82" t="n">
        <v>5.35</v>
      </c>
      <c r="O495" s="64" t="s">
        <v>1541</v>
      </c>
      <c r="P495" s="16" t="s">
        <v>1561</v>
      </c>
      <c r="Q495" s="17" t="s">
        <v>1542</v>
      </c>
      <c r="R495" s="78" t="s">
        <v>1543</v>
      </c>
      <c r="S495" s="77" t="n">
        <f aca="false">IFERROR(INDEX('Injectable Value'!$Z$28:$Z$178,MATCH($C495,'Injectable Value'!$A$28:$A$178,0)),"")</f>
        <v>1</v>
      </c>
      <c r="T495" s="19" t="n">
        <f aca="false">IFERROR(ROUND(INDEX('Injectable Value'!$AA$28:$AA$178,MATCH($C495,'Injectable Value'!$A$28:$A$178,0)),1),"")</f>
        <v>170.5</v>
      </c>
      <c r="U495" s="17" t="s">
        <v>614</v>
      </c>
      <c r="V495" s="16" t="n">
        <v>1</v>
      </c>
      <c r="W495" s="16" t="s">
        <v>112</v>
      </c>
      <c r="X495" s="16" t="s">
        <v>349</v>
      </c>
      <c r="Y495" s="16" t="s">
        <v>283</v>
      </c>
      <c r="Z495" s="17" t="str">
        <f aca="false">IFERROR(INDEX(Scoring!$U:$U,MATCH($C495&amp;"|"&amp;$E495,Scoring!$AD:$AD,0)),"")</f>
        <v/>
      </c>
      <c r="AA495" s="16" t="str">
        <f aca="false">IFERROR(INDEX(Scoring!$E:$E,MATCH($C495&amp;"|"&amp;$E495,Scoring!$AD:$AD,0)),"")</f>
        <v>Priority 3</v>
      </c>
      <c r="AB495" s="19" t="n">
        <f aca="false">IFERROR(INDEX(Scoring!$M:$M,MATCH($C495&amp;"|"&amp;$E495,Scoring!$AD:$AD,0)),"")</f>
        <v>17</v>
      </c>
      <c r="AC495" s="16" t="str">
        <f aca="false">IFERROR(INDEX('Route of Administration'!$C$5:$C$155,MATCH($C495,'Route of Administration'!$A$5:$A$155,0)),"")</f>
        <v>IV, IM</v>
      </c>
      <c r="AD495" s="15" t="str">
        <f aca="false">IFERROR(INDEX('Route of Administration'!$D$5:$D$155,MATCH($C495,'Route of Administration'!$A$5:$A$155,0)),"")</f>
        <v>Yes</v>
      </c>
      <c r="AE495" s="15" t="str">
        <f aca="false">IF($AD495="No","Not checked – drug is IV only",IFERROR(INDEX('Route of Administration'!$O$5:$O$170,MATCH($E495&amp;"|"&amp;$C495,'Route of Administration'!$S$5:$S$170,0)),"Not checked – price ≤ USD 5"))</f>
        <v>Pass</v>
      </c>
    </row>
    <row r="496" customFormat="false" ht="41.75" hidden="false" customHeight="false" outlineLevel="0" collapsed="false">
      <c r="B496" s="16" t="n">
        <v>494</v>
      </c>
      <c r="C496" s="16" t="s">
        <v>401</v>
      </c>
      <c r="D496" s="16" t="s">
        <v>1204</v>
      </c>
      <c r="E496" s="16" t="s">
        <v>235</v>
      </c>
      <c r="F496" s="16" t="s">
        <v>2450</v>
      </c>
      <c r="G496" s="17" t="s">
        <v>2451</v>
      </c>
      <c r="H496" s="16" t="s">
        <v>1533</v>
      </c>
      <c r="I496" s="18"/>
      <c r="J496" s="16" t="n">
        <v>1</v>
      </c>
      <c r="K496" s="16" t="n">
        <v>78</v>
      </c>
      <c r="L496" s="19" t="n">
        <v>4714.67</v>
      </c>
      <c r="M496" s="17" t="s">
        <v>403</v>
      </c>
      <c r="N496" s="82" t="n">
        <v>3.53</v>
      </c>
      <c r="O496" s="64" t="s">
        <v>1541</v>
      </c>
      <c r="P496" s="16" t="s">
        <v>1561</v>
      </c>
      <c r="Q496" s="17" t="s">
        <v>1864</v>
      </c>
      <c r="R496" s="78" t="s">
        <v>1865</v>
      </c>
      <c r="S496" s="77" t="n">
        <f aca="false">IFERROR(INDEX('Injectable Value'!$Z$28:$Z$178,MATCH($C496,'Injectable Value'!$A$28:$A$178,0)),"")</f>
        <v>0.623015352554995</v>
      </c>
      <c r="T496" s="19" t="n">
        <f aca="false">IFERROR(ROUND(INDEX('Injectable Value'!$AA$28:$AA$178,MATCH($C496,'Injectable Value'!$A$28:$A$178,0)),1),"")</f>
        <v>2937.3</v>
      </c>
      <c r="U496" s="17" t="s">
        <v>614</v>
      </c>
      <c r="V496" s="16" t="n">
        <v>1</v>
      </c>
      <c r="W496" s="16" t="s">
        <v>112</v>
      </c>
      <c r="X496" s="16" t="s">
        <v>349</v>
      </c>
      <c r="Y496" s="16" t="s">
        <v>310</v>
      </c>
      <c r="Z496" s="17" t="str">
        <f aca="false">IFERROR(INDEX(Scoring!$U:$U,MATCH($C496&amp;"|"&amp;$E496,Scoring!$AD:$AD,0)),"")</f>
        <v>Low price comes from another market – confirm with the company</v>
      </c>
      <c r="AA496" s="16" t="str">
        <f aca="false">IFERROR(INDEX(Scoring!$E:$E,MATCH($C496&amp;"|"&amp;$E496,Scoring!$AD:$AD,0)),"")</f>
        <v>Excluded – price ≤ USD 5</v>
      </c>
      <c r="AB496" s="19" t="n">
        <f aca="false">IFERROR(INDEX(Scoring!$M:$M,MATCH($C496&amp;"|"&amp;$E496,Scoring!$AD:$AD,0)),"")</f>
        <v>49</v>
      </c>
      <c r="AC496" s="16" t="str">
        <f aca="false">IFERROR(INDEX('Route of Administration'!$C$5:$C$155,MATCH($C496,'Route of Administration'!$A$5:$A$155,0)),"")</f>
        <v>IV, IM, SC</v>
      </c>
      <c r="AD496" s="15" t="str">
        <f aca="false">IFERROR(INDEX('Route of Administration'!$D$5:$D$155,MATCH($C496,'Route of Administration'!$A$5:$A$155,0)),"")</f>
        <v>Yes</v>
      </c>
      <c r="AE496" s="15" t="str">
        <f aca="false">IF($AD496="No","Not checked – drug is IV only",IFERROR(INDEX('Route of Administration'!$O$5:$O$170,MATCH($E496&amp;"|"&amp;$C496,'Route of Administration'!$S$5:$S$170,0)),"Not checked – price ≤ USD 5"))</f>
        <v>Not checked – price ≤ USD 5</v>
      </c>
    </row>
    <row r="497" customFormat="false" ht="28.35" hidden="false" customHeight="false" outlineLevel="0" collapsed="false">
      <c r="B497" s="16" t="n">
        <v>495</v>
      </c>
      <c r="C497" s="16" t="s">
        <v>483</v>
      </c>
      <c r="D497" s="16" t="s">
        <v>2452</v>
      </c>
      <c r="E497" s="16" t="s">
        <v>235</v>
      </c>
      <c r="F497" s="16" t="s">
        <v>1787</v>
      </c>
      <c r="G497" s="17" t="s">
        <v>1788</v>
      </c>
      <c r="H497" s="16" t="s">
        <v>1533</v>
      </c>
      <c r="I497" s="18" t="n">
        <v>9.107</v>
      </c>
      <c r="J497" s="16" t="n">
        <v>1</v>
      </c>
      <c r="K497" s="16" t="n">
        <v>1185</v>
      </c>
      <c r="L497" s="19" t="n">
        <v>59407.06</v>
      </c>
      <c r="M497" s="17" t="s">
        <v>485</v>
      </c>
      <c r="N497" s="18" t="n">
        <v>9.107</v>
      </c>
      <c r="O497" s="16" t="s">
        <v>1534</v>
      </c>
      <c r="P497" s="16" t="s">
        <v>1535</v>
      </c>
      <c r="Q497" s="17" t="s">
        <v>1536</v>
      </c>
      <c r="R497" s="78" t="s">
        <v>2453</v>
      </c>
      <c r="S497" s="77" t="n">
        <f aca="false">IFERROR(INDEX('Injectable Value'!$Z$28:$Z$178,MATCH($C497,'Injectable Value'!$A$28:$A$178,0)),"")</f>
        <v>0.991808067465962</v>
      </c>
      <c r="T497" s="19" t="n">
        <f aca="false">IFERROR(ROUND(INDEX('Injectable Value'!$AA$28:$AA$178,MATCH($C497,'Injectable Value'!$A$28:$A$178,0)),1),"")</f>
        <v>58920.4</v>
      </c>
      <c r="U497" s="17" t="s">
        <v>619</v>
      </c>
      <c r="V497" s="16" t="n">
        <v>2</v>
      </c>
      <c r="W497" s="16" t="s">
        <v>112</v>
      </c>
      <c r="X497" s="16" t="s">
        <v>281</v>
      </c>
      <c r="Y497" s="16" t="s">
        <v>333</v>
      </c>
      <c r="Z497" s="17" t="str">
        <f aca="false">IFERROR(INDEX(Scoring!$U:$U,MATCH($C497&amp;"|"&amp;$E497,Scoring!$AD:$AD,0)),"")</f>
        <v>Reconstitution</v>
      </c>
      <c r="AA497" s="16" t="str">
        <f aca="false">IFERROR(INDEX(Scoring!$E:$E,MATCH($C497&amp;"|"&amp;$E497,Scoring!$AD:$AD,0)),"")</f>
        <v>Excluded – IV only</v>
      </c>
      <c r="AB497" s="19" t="n">
        <f aca="false">IFERROR(INDEX(Scoring!$M:$M,MATCH($C497&amp;"|"&amp;$E497,Scoring!$AD:$AD,0)),"")</f>
        <v>1175</v>
      </c>
      <c r="AC497" s="16" t="str">
        <f aca="false">IFERROR(INDEX('Route of Administration'!$C$5:$C$155,MATCH($C497,'Route of Administration'!$A$5:$A$155,0)),"")</f>
        <v>IV</v>
      </c>
      <c r="AD497" s="15" t="str">
        <f aca="false">IFERROR(INDEX('Route of Administration'!$D$5:$D$155,MATCH($C497,'Route of Administration'!$A$5:$A$155,0)),"")</f>
        <v>No</v>
      </c>
      <c r="AE497" s="15" t="str">
        <f aca="false">IF($AD497="No","Not checked – drug is IV only",IFERROR(INDEX('Route of Administration'!$O$5:$O$170,MATCH($E497&amp;"|"&amp;$C497,'Route of Administration'!$S$5:$S$170,0)),"Not checked – price ≤ USD 5"))</f>
        <v>Not checked – drug is IV only</v>
      </c>
    </row>
    <row r="498" customFormat="false" ht="28.35" hidden="false" customHeight="false" outlineLevel="0" collapsed="false">
      <c r="B498" s="16" t="n">
        <v>496</v>
      </c>
      <c r="C498" s="16" t="s">
        <v>483</v>
      </c>
      <c r="D498" s="16" t="s">
        <v>2452</v>
      </c>
      <c r="E498" s="16" t="s">
        <v>235</v>
      </c>
      <c r="F498" s="16" t="s">
        <v>2454</v>
      </c>
      <c r="G498" s="17" t="s">
        <v>2455</v>
      </c>
      <c r="H498" s="16" t="s">
        <v>1533</v>
      </c>
      <c r="I498" s="18" t="n">
        <v>23.422</v>
      </c>
      <c r="J498" s="16" t="n">
        <v>1</v>
      </c>
      <c r="K498" s="16" t="n">
        <v>1185</v>
      </c>
      <c r="L498" s="19" t="n">
        <v>59407.06</v>
      </c>
      <c r="M498" s="17" t="s">
        <v>485</v>
      </c>
      <c r="N498" s="18" t="n">
        <v>23.422</v>
      </c>
      <c r="O498" s="16" t="s">
        <v>1534</v>
      </c>
      <c r="P498" s="16" t="s">
        <v>1535</v>
      </c>
      <c r="Q498" s="17" t="s">
        <v>1536</v>
      </c>
      <c r="R498" s="78" t="s">
        <v>2456</v>
      </c>
      <c r="S498" s="77" t="n">
        <f aca="false">IFERROR(INDEX('Injectable Value'!$Z$28:$Z$178,MATCH($C498,'Injectable Value'!$A$28:$A$178,0)),"")</f>
        <v>0.991808067465962</v>
      </c>
      <c r="T498" s="19" t="n">
        <f aca="false">IFERROR(ROUND(INDEX('Injectable Value'!$AA$28:$AA$178,MATCH($C498,'Injectable Value'!$A$28:$A$178,0)),1),"")</f>
        <v>58920.4</v>
      </c>
      <c r="U498" s="17" t="s">
        <v>619</v>
      </c>
      <c r="V498" s="16" t="n">
        <v>2</v>
      </c>
      <c r="W498" s="16" t="s">
        <v>112</v>
      </c>
      <c r="X498" s="16" t="s">
        <v>281</v>
      </c>
      <c r="Y498" s="16" t="s">
        <v>333</v>
      </c>
      <c r="Z498" s="17" t="str">
        <f aca="false">IFERROR(INDEX(Scoring!$U:$U,MATCH($C498&amp;"|"&amp;$E498,Scoring!$AD:$AD,0)),"")</f>
        <v>Reconstitution</v>
      </c>
      <c r="AA498" s="16" t="str">
        <f aca="false">IFERROR(INDEX(Scoring!$E:$E,MATCH($C498&amp;"|"&amp;$E498,Scoring!$AD:$AD,0)),"")</f>
        <v>Excluded – IV only</v>
      </c>
      <c r="AB498" s="19" t="n">
        <f aca="false">IFERROR(INDEX(Scoring!$M:$M,MATCH($C498&amp;"|"&amp;$E498,Scoring!$AD:$AD,0)),"")</f>
        <v>1175</v>
      </c>
      <c r="AC498" s="16" t="str">
        <f aca="false">IFERROR(INDEX('Route of Administration'!$C$5:$C$155,MATCH($C498,'Route of Administration'!$A$5:$A$155,0)),"")</f>
        <v>IV</v>
      </c>
      <c r="AD498" s="15" t="str">
        <f aca="false">IFERROR(INDEX('Route of Administration'!$D$5:$D$155,MATCH($C498,'Route of Administration'!$A$5:$A$155,0)),"")</f>
        <v>No</v>
      </c>
      <c r="AE498" s="15" t="str">
        <f aca="false">IF($AD498="No","Not checked – drug is IV only",IFERROR(INDEX('Route of Administration'!$O$5:$O$170,MATCH($E498&amp;"|"&amp;$C498,'Route of Administration'!$S$5:$S$170,0)),"Not checked – price ≤ USD 5"))</f>
        <v>Not checked – drug is IV only</v>
      </c>
    </row>
    <row r="499" customFormat="false" ht="28.35" hidden="false" customHeight="false" outlineLevel="0" collapsed="false">
      <c r="B499" s="16" t="n">
        <v>497</v>
      </c>
      <c r="C499" s="16" t="s">
        <v>1211</v>
      </c>
      <c r="D499" s="16" t="s">
        <v>1212</v>
      </c>
      <c r="E499" s="16" t="s">
        <v>235</v>
      </c>
      <c r="F499" s="16" t="s">
        <v>2457</v>
      </c>
      <c r="G499" s="17" t="s">
        <v>2458</v>
      </c>
      <c r="H499" s="16" t="s">
        <v>1533</v>
      </c>
      <c r="I499" s="18"/>
      <c r="J499" s="16" t="n">
        <v>1</v>
      </c>
      <c r="K499" s="16" t="n">
        <v>58</v>
      </c>
      <c r="L499" s="19" t="n">
        <v>1115.28</v>
      </c>
      <c r="M499" s="17" t="s">
        <v>1213</v>
      </c>
      <c r="N499" s="82" t="n">
        <v>6.81</v>
      </c>
      <c r="O499" s="64" t="s">
        <v>1541</v>
      </c>
      <c r="P499" s="16" t="s">
        <v>1561</v>
      </c>
      <c r="Q499" s="17" t="s">
        <v>1542</v>
      </c>
      <c r="R499" s="78" t="s">
        <v>1543</v>
      </c>
      <c r="S499" s="77" t="n">
        <f aca="false">IFERROR(INDEX('Injectable Value'!$Z$28:$Z$178,MATCH($C499,'Injectable Value'!$A$28:$A$178,0)),"")</f>
        <v>0.257790111422073</v>
      </c>
      <c r="T499" s="19" t="n">
        <f aca="false">IFERROR(ROUND(INDEX('Injectable Value'!$AA$28:$AA$178,MATCH($C499,'Injectable Value'!$A$28:$A$178,0)),1),"")</f>
        <v>287.5</v>
      </c>
      <c r="U499" s="17" t="s">
        <v>614</v>
      </c>
      <c r="V499" s="16" t="n">
        <v>1</v>
      </c>
      <c r="W499" s="16" t="s">
        <v>112</v>
      </c>
      <c r="X499" s="16" t="s">
        <v>349</v>
      </c>
      <c r="Y499" s="16" t="s">
        <v>283</v>
      </c>
      <c r="Z499" s="17" t="str">
        <f aca="false">IFERROR(INDEX(Scoring!$U:$U,MATCH($C499&amp;"|"&amp;$E499,Scoring!$AD:$AD,0)),"")</f>
        <v/>
      </c>
      <c r="AA499" s="16" t="str">
        <f aca="false">IFERROR(INDEX(Scoring!$E:$E,MATCH($C499&amp;"|"&amp;$E499,Scoring!$AD:$AD,0)),"")</f>
        <v>Priority 3</v>
      </c>
      <c r="AB499" s="19" t="n">
        <f aca="false">IFERROR(INDEX(Scoring!$M:$M,MATCH($C499&amp;"|"&amp;$E499,Scoring!$AD:$AD,0)),"")</f>
        <v>15</v>
      </c>
      <c r="AC499" s="16" t="str">
        <f aca="false">IFERROR(INDEX('Route of Administration'!$C$5:$C$155,MATCH($C499,'Route of Administration'!$A$5:$A$155,0)),"")</f>
        <v>IV, IM</v>
      </c>
      <c r="AD499" s="15" t="str">
        <f aca="false">IFERROR(INDEX('Route of Administration'!$D$5:$D$155,MATCH($C499,'Route of Administration'!$A$5:$A$155,0)),"")</f>
        <v>Yes</v>
      </c>
      <c r="AE499" s="15" t="str">
        <f aca="false">IF($AD499="No","Not checked – drug is IV only",IFERROR(INDEX('Route of Administration'!$O$5:$O$170,MATCH($E499&amp;"|"&amp;$C499,'Route of Administration'!$S$5:$S$170,0)),"Not checked – price ≤ USD 5"))</f>
        <v>Pass</v>
      </c>
    </row>
    <row r="500" customFormat="false" ht="28.35" hidden="false" customHeight="false" outlineLevel="0" collapsed="false">
      <c r="B500" s="16" t="n">
        <v>498</v>
      </c>
      <c r="C500" s="16" t="s">
        <v>1211</v>
      </c>
      <c r="D500" s="16" t="s">
        <v>1212</v>
      </c>
      <c r="E500" s="16" t="s">
        <v>235</v>
      </c>
      <c r="F500" s="16" t="s">
        <v>2459</v>
      </c>
      <c r="G500" s="17" t="s">
        <v>2449</v>
      </c>
      <c r="H500" s="16" t="s">
        <v>1533</v>
      </c>
      <c r="I500" s="18"/>
      <c r="J500" s="16" t="n">
        <v>1</v>
      </c>
      <c r="K500" s="16" t="n">
        <v>58</v>
      </c>
      <c r="L500" s="19" t="n">
        <v>1115.28</v>
      </c>
      <c r="M500" s="17" t="s">
        <v>1213</v>
      </c>
      <c r="N500" s="82" t="n">
        <v>1.36</v>
      </c>
      <c r="O500" s="64" t="s">
        <v>1541</v>
      </c>
      <c r="P500" s="16" t="s">
        <v>1561</v>
      </c>
      <c r="Q500" s="17" t="s">
        <v>1542</v>
      </c>
      <c r="R500" s="78" t="s">
        <v>1543</v>
      </c>
      <c r="S500" s="77" t="n">
        <f aca="false">IFERROR(INDEX('Injectable Value'!$Z$28:$Z$178,MATCH($C500,'Injectable Value'!$A$28:$A$178,0)),"")</f>
        <v>0.257790111422073</v>
      </c>
      <c r="T500" s="19" t="n">
        <f aca="false">IFERROR(ROUND(INDEX('Injectable Value'!$AA$28:$AA$178,MATCH($C500,'Injectable Value'!$A$28:$A$178,0)),1),"")</f>
        <v>287.5</v>
      </c>
      <c r="U500" s="17" t="s">
        <v>614</v>
      </c>
      <c r="V500" s="16" t="n">
        <v>1</v>
      </c>
      <c r="W500" s="16" t="s">
        <v>112</v>
      </c>
      <c r="X500" s="16" t="s">
        <v>349</v>
      </c>
      <c r="Y500" s="16" t="s">
        <v>283</v>
      </c>
      <c r="Z500" s="17" t="str">
        <f aca="false">IFERROR(INDEX(Scoring!$U:$U,MATCH($C500&amp;"|"&amp;$E500,Scoring!$AD:$AD,0)),"")</f>
        <v/>
      </c>
      <c r="AA500" s="16" t="str">
        <f aca="false">IFERROR(INDEX(Scoring!$E:$E,MATCH($C500&amp;"|"&amp;$E500,Scoring!$AD:$AD,0)),"")</f>
        <v>Priority 3</v>
      </c>
      <c r="AB500" s="19" t="n">
        <f aca="false">IFERROR(INDEX(Scoring!$M:$M,MATCH($C500&amp;"|"&amp;$E500,Scoring!$AD:$AD,0)),"")</f>
        <v>15</v>
      </c>
      <c r="AC500" s="16" t="str">
        <f aca="false">IFERROR(INDEX('Route of Administration'!$C$5:$C$155,MATCH($C500,'Route of Administration'!$A$5:$A$155,0)),"")</f>
        <v>IV, IM</v>
      </c>
      <c r="AD500" s="15" t="str">
        <f aca="false">IFERROR(INDEX('Route of Administration'!$D$5:$D$155,MATCH($C500,'Route of Administration'!$A$5:$A$155,0)),"")</f>
        <v>Yes</v>
      </c>
      <c r="AE500" s="15" t="str">
        <f aca="false">IF($AD500="No","Not checked – drug is IV only",IFERROR(INDEX('Route of Administration'!$O$5:$O$170,MATCH($E500&amp;"|"&amp;$C500,'Route of Administration'!$S$5:$S$170,0)),"Not checked – price ≤ USD 5"))</f>
        <v>Pass</v>
      </c>
    </row>
    <row r="501" customFormat="false" ht="28.35" hidden="false" customHeight="false" outlineLevel="0" collapsed="false">
      <c r="B501" s="16" t="n">
        <v>499</v>
      </c>
      <c r="C501" s="16" t="s">
        <v>1225</v>
      </c>
      <c r="D501" s="16" t="s">
        <v>1226</v>
      </c>
      <c r="E501" s="16" t="s">
        <v>235</v>
      </c>
      <c r="F501" s="16" t="s">
        <v>2460</v>
      </c>
      <c r="G501" s="17" t="s">
        <v>2446</v>
      </c>
      <c r="H501" s="16" t="s">
        <v>1533</v>
      </c>
      <c r="I501" s="18" t="n">
        <v>8.113</v>
      </c>
      <c r="J501" s="16" t="n">
        <v>1</v>
      </c>
      <c r="K501" s="16" t="n">
        <v>309</v>
      </c>
      <c r="L501" s="19" t="n">
        <v>8362.23</v>
      </c>
      <c r="M501" s="17" t="s">
        <v>1227</v>
      </c>
      <c r="N501" s="18" t="n">
        <v>8.113</v>
      </c>
      <c r="O501" s="16" t="s">
        <v>1534</v>
      </c>
      <c r="P501" s="16" t="s">
        <v>1535</v>
      </c>
      <c r="Q501" s="17" t="s">
        <v>1536</v>
      </c>
      <c r="R501" s="78" t="s">
        <v>2461</v>
      </c>
      <c r="S501" s="77" t="n">
        <f aca="false">IFERROR(INDEX('Injectable Value'!$Z$28:$Z$178,MATCH($C501,'Injectable Value'!$A$28:$A$178,0)),"")</f>
        <v>0.983493397358944</v>
      </c>
      <c r="T501" s="19" t="n">
        <f aca="false">IFERROR(ROUND(INDEX('Injectable Value'!$AA$28:$AA$178,MATCH($C501,'Injectable Value'!$A$28:$A$178,0)),1),"")</f>
        <v>8224.2</v>
      </c>
      <c r="U501" s="17" t="s">
        <v>614</v>
      </c>
      <c r="V501" s="16" t="n">
        <v>1</v>
      </c>
      <c r="W501" s="16" t="s">
        <v>112</v>
      </c>
      <c r="X501" s="16" t="s">
        <v>349</v>
      </c>
      <c r="Y501" s="16" t="s">
        <v>283</v>
      </c>
      <c r="Z501" s="17" t="str">
        <f aca="false">IFERROR(INDEX(Scoring!$U:$U,MATCH($C501&amp;"|"&amp;$E501,Scoring!$AD:$AD,0)),"")</f>
        <v/>
      </c>
      <c r="AA501" s="16" t="str">
        <f aca="false">IFERROR(INDEX(Scoring!$E:$E,MATCH($C501&amp;"|"&amp;$E501,Scoring!$AD:$AD,0)),"")</f>
        <v>Priority 2</v>
      </c>
      <c r="AB501" s="19" t="n">
        <f aca="false">IFERROR(INDEX(Scoring!$M:$M,MATCH($C501&amp;"|"&amp;$E501,Scoring!$AD:$AD,0)),"")</f>
        <v>304</v>
      </c>
      <c r="AC501" s="16" t="str">
        <f aca="false">IFERROR(INDEX('Route of Administration'!$C$5:$C$155,MATCH($C501,'Route of Administration'!$A$5:$A$155,0)),"")</f>
        <v>IV, IM</v>
      </c>
      <c r="AD501" s="15" t="str">
        <f aca="false">IFERROR(INDEX('Route of Administration'!$D$5:$D$155,MATCH($C501,'Route of Administration'!$A$5:$A$155,0)),"")</f>
        <v>Yes</v>
      </c>
      <c r="AE501" s="15" t="str">
        <f aca="false">IF($AD501="No","Not checked – drug is IV only",IFERROR(INDEX('Route of Administration'!$O$5:$O$170,MATCH($E501&amp;"|"&amp;$C501,'Route of Administration'!$S$5:$S$170,0)),"Not checked – price ≤ USD 5"))</f>
        <v>Pass</v>
      </c>
    </row>
    <row r="502" customFormat="false" ht="41.75" hidden="false" customHeight="false" outlineLevel="0" collapsed="false">
      <c r="B502" s="16" t="n">
        <v>500</v>
      </c>
      <c r="C502" s="16" t="s">
        <v>819</v>
      </c>
      <c r="D502" s="16" t="s">
        <v>1218</v>
      </c>
      <c r="E502" s="16" t="s">
        <v>235</v>
      </c>
      <c r="F502" s="16" t="s">
        <v>2462</v>
      </c>
      <c r="G502" s="17" t="s">
        <v>2463</v>
      </c>
      <c r="H502" s="16" t="s">
        <v>1533</v>
      </c>
      <c r="I502" s="18"/>
      <c r="J502" s="16" t="n">
        <v>1</v>
      </c>
      <c r="K502" s="16" t="n">
        <v>133</v>
      </c>
      <c r="L502" s="19" t="n">
        <v>4036.55</v>
      </c>
      <c r="M502" s="17" t="s">
        <v>821</v>
      </c>
      <c r="N502" s="82" t="n">
        <v>2.29</v>
      </c>
      <c r="O502" s="64" t="s">
        <v>1541</v>
      </c>
      <c r="P502" s="16" t="s">
        <v>1561</v>
      </c>
      <c r="Q502" s="17" t="s">
        <v>1542</v>
      </c>
      <c r="R502" s="78" t="s">
        <v>1543</v>
      </c>
      <c r="S502" s="77" t="n">
        <f aca="false">IFERROR(INDEX('Injectable Value'!$Z$28:$Z$178,MATCH($C502,'Injectable Value'!$A$28:$A$178,0)),"")</f>
        <v>1</v>
      </c>
      <c r="T502" s="19" t="n">
        <f aca="false">IFERROR(ROUND(INDEX('Injectable Value'!$AA$28:$AA$178,MATCH($C502,'Injectable Value'!$A$28:$A$178,0)),1),"")</f>
        <v>4036.6</v>
      </c>
      <c r="U502" s="17" t="s">
        <v>614</v>
      </c>
      <c r="V502" s="16" t="n">
        <v>1</v>
      </c>
      <c r="W502" s="16" t="s">
        <v>112</v>
      </c>
      <c r="X502" s="16" t="s">
        <v>349</v>
      </c>
      <c r="Y502" s="16" t="s">
        <v>283</v>
      </c>
      <c r="Z502" s="17" t="str">
        <f aca="false">IFERROR(INDEX(Scoring!$U:$U,MATCH($C502&amp;"|"&amp;$E502,Scoring!$AD:$AD,0)),"")</f>
        <v>Low price comes from another market – confirm with the company</v>
      </c>
      <c r="AA502" s="16" t="str">
        <f aca="false">IFERROR(INDEX(Scoring!$E:$E,MATCH($C502&amp;"|"&amp;$E502,Scoring!$AD:$AD,0)),"")</f>
        <v>Excluded – IV only</v>
      </c>
      <c r="AB502" s="19" t="n">
        <f aca="false">IFERROR(INDEX(Scoring!$M:$M,MATCH($C502&amp;"|"&amp;$E502,Scoring!$AD:$AD,0)),"")</f>
        <v>133</v>
      </c>
      <c r="AC502" s="16" t="str">
        <f aca="false">IFERROR(INDEX('Route of Administration'!$C$5:$C$155,MATCH($C502,'Route of Administration'!$A$5:$A$155,0)),"")</f>
        <v>IV</v>
      </c>
      <c r="AD502" s="15" t="str">
        <f aca="false">IFERROR(INDEX('Route of Administration'!$D$5:$D$155,MATCH($C502,'Route of Administration'!$A$5:$A$155,0)),"")</f>
        <v>No</v>
      </c>
      <c r="AE502" s="15" t="str">
        <f aca="false">IF($AD502="No","Not checked – drug is IV only",IFERROR(INDEX('Route of Administration'!$O$5:$O$170,MATCH($E502&amp;"|"&amp;$C502,'Route of Administration'!$S$5:$S$170,0)),"Not checked – price ≤ USD 5"))</f>
        <v>Not checked – drug is IV only</v>
      </c>
    </row>
    <row r="503" customFormat="false" ht="28.35" hidden="false" customHeight="false" outlineLevel="0" collapsed="false">
      <c r="B503" s="16" t="n">
        <v>501</v>
      </c>
      <c r="C503" s="16" t="s">
        <v>1180</v>
      </c>
      <c r="D503" s="16" t="s">
        <v>1181</v>
      </c>
      <c r="E503" s="16" t="s">
        <v>235</v>
      </c>
      <c r="F503" s="16" t="s">
        <v>2464</v>
      </c>
      <c r="G503" s="17" t="s">
        <v>2458</v>
      </c>
      <c r="H503" s="16" t="s">
        <v>1533</v>
      </c>
      <c r="I503" s="18" t="n">
        <v>24.71</v>
      </c>
      <c r="J503" s="16" t="n">
        <v>1</v>
      </c>
      <c r="K503" s="16" t="n">
        <v>1</v>
      </c>
      <c r="L503" s="19" t="n">
        <v>15.02</v>
      </c>
      <c r="M503" s="17" t="s">
        <v>1182</v>
      </c>
      <c r="N503" s="18" t="n">
        <v>24.71</v>
      </c>
      <c r="O503" s="16" t="s">
        <v>1534</v>
      </c>
      <c r="P503" s="16" t="s">
        <v>1535</v>
      </c>
      <c r="Q503" s="17" t="s">
        <v>1536</v>
      </c>
      <c r="R503" s="78" t="s">
        <v>2465</v>
      </c>
      <c r="S503" s="77" t="n">
        <f aca="false">IFERROR(INDEX('Injectable Value'!$Z$28:$Z$178,MATCH($C503,'Injectable Value'!$A$28:$A$178,0)),"")</f>
        <v>0.952380952380952</v>
      </c>
      <c r="T503" s="19" t="n">
        <f aca="false">IFERROR(ROUND(INDEX('Injectable Value'!$AA$28:$AA$178,MATCH($C503,'Injectable Value'!$A$28:$A$178,0)),1),"")</f>
        <v>14.3</v>
      </c>
      <c r="U503" s="17" t="s">
        <v>614</v>
      </c>
      <c r="V503" s="16" t="n">
        <v>1</v>
      </c>
      <c r="W503" s="16" t="s">
        <v>112</v>
      </c>
      <c r="X503" s="16" t="s">
        <v>349</v>
      </c>
      <c r="Y503" s="16" t="s">
        <v>283</v>
      </c>
      <c r="Z503" s="17" t="str">
        <f aca="false">IFERROR(INDEX(Scoring!$U:$U,MATCH($C503&amp;"|"&amp;$E503,Scoring!$AD:$AD,0)),"")</f>
        <v/>
      </c>
      <c r="AA503" s="16" t="str">
        <f aca="false">IFERROR(INDEX(Scoring!$E:$E,MATCH($C503&amp;"|"&amp;$E503,Scoring!$AD:$AD,0)),"")</f>
        <v>Excluded – IV only</v>
      </c>
      <c r="AB503" s="19" t="n">
        <f aca="false">IFERROR(INDEX(Scoring!$M:$M,MATCH($C503&amp;"|"&amp;$E503,Scoring!$AD:$AD,0)),"")</f>
        <v>1</v>
      </c>
      <c r="AC503" s="16" t="str">
        <f aca="false">IFERROR(INDEX('Route of Administration'!$C$5:$C$155,MATCH($C503,'Route of Administration'!$A$5:$A$155,0)),"")</f>
        <v>IV</v>
      </c>
      <c r="AD503" s="15" t="str">
        <f aca="false">IFERROR(INDEX('Route of Administration'!$D$5:$D$155,MATCH($C503,'Route of Administration'!$A$5:$A$155,0)),"")</f>
        <v>No</v>
      </c>
      <c r="AE503" s="15" t="str">
        <f aca="false">IF($AD503="No","Not checked – drug is IV only",IFERROR(INDEX('Route of Administration'!$O$5:$O$170,MATCH($E503&amp;"|"&amp;$C503,'Route of Administration'!$S$5:$S$170,0)),"Not checked – price ≤ USD 5"))</f>
        <v>Not checked – drug is IV only</v>
      </c>
    </row>
    <row r="504" customFormat="false" ht="28.35" hidden="false" customHeight="false" outlineLevel="0" collapsed="false">
      <c r="B504" s="16" t="n">
        <v>502</v>
      </c>
      <c r="C504" s="16" t="s">
        <v>967</v>
      </c>
      <c r="D504" s="16" t="s">
        <v>1190</v>
      </c>
      <c r="E504" s="16" t="s">
        <v>235</v>
      </c>
      <c r="F504" s="16" t="s">
        <v>2393</v>
      </c>
      <c r="G504" s="17" t="s">
        <v>1852</v>
      </c>
      <c r="H504" s="16" t="s">
        <v>1533</v>
      </c>
      <c r="I504" s="18"/>
      <c r="J504" s="16" t="n">
        <v>1</v>
      </c>
      <c r="K504" s="16" t="n">
        <v>117</v>
      </c>
      <c r="L504" s="19" t="n">
        <v>2508.09</v>
      </c>
      <c r="M504" s="17" t="s">
        <v>969</v>
      </c>
      <c r="N504" s="82" t="n">
        <v>7.47</v>
      </c>
      <c r="O504" s="64" t="s">
        <v>1541</v>
      </c>
      <c r="P504" s="16" t="s">
        <v>1561</v>
      </c>
      <c r="Q504" s="17" t="s">
        <v>1864</v>
      </c>
      <c r="R504" s="78" t="s">
        <v>1865</v>
      </c>
      <c r="S504" s="77" t="n">
        <f aca="false">IFERROR(INDEX('Injectable Value'!$Z$28:$Z$178,MATCH($C504,'Injectable Value'!$A$28:$A$178,0)),"")</f>
        <v>1</v>
      </c>
      <c r="T504" s="19" t="n">
        <f aca="false">IFERROR(ROUND(INDEX('Injectable Value'!$AA$28:$AA$178,MATCH($C504,'Injectable Value'!$A$28:$A$178,0)),1),"")</f>
        <v>2508.1</v>
      </c>
      <c r="U504" s="17" t="s">
        <v>614</v>
      </c>
      <c r="V504" s="16" t="n">
        <v>1</v>
      </c>
      <c r="W504" s="16" t="s">
        <v>112</v>
      </c>
      <c r="X504" s="16" t="s">
        <v>281</v>
      </c>
      <c r="Y504" s="16" t="s">
        <v>283</v>
      </c>
      <c r="Z504" s="17" t="str">
        <f aca="false">IFERROR(INDEX(Scoring!$U:$U,MATCH($C504&amp;"|"&amp;$E504,Scoring!$AD:$AD,0)),"")</f>
        <v/>
      </c>
      <c r="AA504" s="16" t="str">
        <f aca="false">IFERROR(INDEX(Scoring!$E:$E,MATCH($C504&amp;"|"&amp;$E504,Scoring!$AD:$AD,0)),"")</f>
        <v>Excluded – IV only</v>
      </c>
      <c r="AB504" s="19" t="n">
        <f aca="false">IFERROR(INDEX(Scoring!$M:$M,MATCH($C504&amp;"|"&amp;$E504,Scoring!$AD:$AD,0)),"")</f>
        <v>117</v>
      </c>
      <c r="AC504" s="16" t="str">
        <f aca="false">IFERROR(INDEX('Route of Administration'!$C$5:$C$155,MATCH($C504,'Route of Administration'!$A$5:$A$155,0)),"")</f>
        <v>IV</v>
      </c>
      <c r="AD504" s="15" t="str">
        <f aca="false">IFERROR(INDEX('Route of Administration'!$D$5:$D$155,MATCH($C504,'Route of Administration'!$A$5:$A$155,0)),"")</f>
        <v>No</v>
      </c>
      <c r="AE504" s="15" t="str">
        <f aca="false">IF($AD504="No","Not checked – drug is IV only",IFERROR(INDEX('Route of Administration'!$O$5:$O$170,MATCH($E504&amp;"|"&amp;$C504,'Route of Administration'!$S$5:$S$170,0)),"Not checked – price ≤ USD 5"))</f>
        <v>Not checked – drug is IV only</v>
      </c>
    </row>
    <row r="505" customFormat="false" ht="28.35" hidden="false" customHeight="false" outlineLevel="0" collapsed="false">
      <c r="B505" s="16" t="n">
        <v>503</v>
      </c>
      <c r="C505" s="16" t="s">
        <v>967</v>
      </c>
      <c r="D505" s="16" t="s">
        <v>1190</v>
      </c>
      <c r="E505" s="16" t="s">
        <v>235</v>
      </c>
      <c r="F505" s="16" t="s">
        <v>2399</v>
      </c>
      <c r="G505" s="17" t="s">
        <v>2400</v>
      </c>
      <c r="H505" s="16" t="s">
        <v>1533</v>
      </c>
      <c r="I505" s="18"/>
      <c r="J505" s="16" t="n">
        <v>1</v>
      </c>
      <c r="K505" s="16" t="n">
        <v>117</v>
      </c>
      <c r="L505" s="19" t="n">
        <v>2508.09</v>
      </c>
      <c r="M505" s="17" t="s">
        <v>969</v>
      </c>
      <c r="N505" s="82" t="n">
        <v>58.29</v>
      </c>
      <c r="O505" s="64" t="s">
        <v>1541</v>
      </c>
      <c r="P505" s="16" t="s">
        <v>1561</v>
      </c>
      <c r="Q505" s="17" t="s">
        <v>1618</v>
      </c>
      <c r="R505" s="78" t="s">
        <v>2466</v>
      </c>
      <c r="S505" s="77" t="n">
        <f aca="false">IFERROR(INDEX('Injectable Value'!$Z$28:$Z$178,MATCH($C505,'Injectable Value'!$A$28:$A$178,0)),"")</f>
        <v>1</v>
      </c>
      <c r="T505" s="19" t="n">
        <f aca="false">IFERROR(ROUND(INDEX('Injectable Value'!$AA$28:$AA$178,MATCH($C505,'Injectable Value'!$A$28:$A$178,0)),1),"")</f>
        <v>2508.1</v>
      </c>
      <c r="U505" s="17" t="s">
        <v>614</v>
      </c>
      <c r="V505" s="16" t="n">
        <v>1</v>
      </c>
      <c r="W505" s="16" t="s">
        <v>112</v>
      </c>
      <c r="X505" s="16" t="s">
        <v>281</v>
      </c>
      <c r="Y505" s="16" t="s">
        <v>1547</v>
      </c>
      <c r="Z505" s="17" t="str">
        <f aca="false">IFERROR(INDEX(Scoring!$U:$U,MATCH($C505&amp;"|"&amp;$E505,Scoring!$AD:$AD,0)),"")</f>
        <v/>
      </c>
      <c r="AA505" s="16" t="str">
        <f aca="false">IFERROR(INDEX(Scoring!$E:$E,MATCH($C505&amp;"|"&amp;$E505,Scoring!$AD:$AD,0)),"")</f>
        <v>Excluded – IV only</v>
      </c>
      <c r="AB505" s="19" t="n">
        <f aca="false">IFERROR(INDEX(Scoring!$M:$M,MATCH($C505&amp;"|"&amp;$E505,Scoring!$AD:$AD,0)),"")</f>
        <v>117</v>
      </c>
      <c r="AC505" s="16" t="str">
        <f aca="false">IFERROR(INDEX('Route of Administration'!$C$5:$C$155,MATCH($C505,'Route of Administration'!$A$5:$A$155,0)),"")</f>
        <v>IV</v>
      </c>
      <c r="AD505" s="15" t="str">
        <f aca="false">IFERROR(INDEX('Route of Administration'!$D$5:$D$155,MATCH($C505,'Route of Administration'!$A$5:$A$155,0)),"")</f>
        <v>No</v>
      </c>
      <c r="AE505" s="15" t="str">
        <f aca="false">IF($AD505="No","Not checked – drug is IV only",IFERROR(INDEX('Route of Administration'!$O$5:$O$170,MATCH($E505&amp;"|"&amp;$C505,'Route of Administration'!$S$5:$S$170,0)),"Not checked – price ≤ USD 5"))</f>
        <v>Not checked – drug is IV only</v>
      </c>
    </row>
    <row r="506" customFormat="false" ht="28.35" hidden="false" customHeight="false" outlineLevel="0" collapsed="false">
      <c r="B506" s="16" t="n">
        <v>504</v>
      </c>
      <c r="C506" s="16" t="s">
        <v>676</v>
      </c>
      <c r="D506" s="16" t="s">
        <v>1235</v>
      </c>
      <c r="E506" s="16" t="s">
        <v>235</v>
      </c>
      <c r="F506" s="16" t="s">
        <v>1883</v>
      </c>
      <c r="G506" s="17" t="s">
        <v>1884</v>
      </c>
      <c r="H506" s="16" t="s">
        <v>1533</v>
      </c>
      <c r="I506" s="18" t="n">
        <v>125.38</v>
      </c>
      <c r="J506" s="16" t="n">
        <v>1</v>
      </c>
      <c r="K506" s="16" t="n">
        <v>188</v>
      </c>
      <c r="L506" s="19" t="n">
        <v>262.84</v>
      </c>
      <c r="M506" s="17" t="s">
        <v>678</v>
      </c>
      <c r="N506" s="18" t="n">
        <v>125.38</v>
      </c>
      <c r="O506" s="16" t="s">
        <v>1534</v>
      </c>
      <c r="P506" s="16" t="s">
        <v>1700</v>
      </c>
      <c r="Q506" s="17" t="s">
        <v>1536</v>
      </c>
      <c r="R506" s="78" t="s">
        <v>1814</v>
      </c>
      <c r="S506" s="77" t="n">
        <f aca="false">IFERROR(INDEX('Injectable Value'!$Z$28:$Z$178,MATCH($C506,'Injectable Value'!$A$28:$A$178,0)),"")</f>
        <v>0.703571428571429</v>
      </c>
      <c r="T506" s="19" t="n">
        <f aca="false">IFERROR(ROUND(INDEX('Injectable Value'!$AA$28:$AA$178,MATCH($C506,'Injectable Value'!$A$28:$A$178,0)),1),"")</f>
        <v>184.9</v>
      </c>
      <c r="U506" s="17" t="s">
        <v>360</v>
      </c>
      <c r="V506" s="16" t="n">
        <v>1</v>
      </c>
      <c r="W506" s="16" t="s">
        <v>112</v>
      </c>
      <c r="X506" s="16" t="s">
        <v>281</v>
      </c>
      <c r="Y506" s="16" t="s">
        <v>283</v>
      </c>
      <c r="Z506" s="17" t="str">
        <f aca="false">IFERROR(INDEX(Scoring!$U:$U,MATCH($C506&amp;"|"&amp;$E506,Scoring!$AD:$AD,0)),"")</f>
        <v/>
      </c>
      <c r="AA506" s="16" t="str">
        <f aca="false">IFERROR(INDEX(Scoring!$E:$E,MATCH($C506&amp;"|"&amp;$E506,Scoring!$AD:$AD,0)),"")</f>
        <v>Priority 2</v>
      </c>
      <c r="AB506" s="19" t="n">
        <f aca="false">IFERROR(INDEX(Scoring!$M:$M,MATCH($C506&amp;"|"&amp;$E506,Scoring!$AD:$AD,0)),"")</f>
        <v>132</v>
      </c>
      <c r="AC506" s="16" t="str">
        <f aca="false">IFERROR(INDEX('Route of Administration'!$C$5:$C$155,MATCH($C506,'Route of Administration'!$A$5:$A$155,0)),"")</f>
        <v>IM</v>
      </c>
      <c r="AD506" s="15" t="str">
        <f aca="false">IFERROR(INDEX('Route of Administration'!$D$5:$D$155,MATCH($C506,'Route of Administration'!$A$5:$A$155,0)),"")</f>
        <v>Yes</v>
      </c>
      <c r="AE506" s="15" t="str">
        <f aca="false">IF($AD506="No","Not checked – drug is IV only",IFERROR(INDEX('Route of Administration'!$O$5:$O$170,MATCH($E506&amp;"|"&amp;$C506,'Route of Administration'!$S$5:$S$170,0)),"Not checked – price ≤ USD 5"))</f>
        <v>Pass</v>
      </c>
    </row>
    <row r="507" customFormat="false" ht="28.35" hidden="false" customHeight="false" outlineLevel="0" collapsed="false">
      <c r="B507" s="16" t="n">
        <v>505</v>
      </c>
      <c r="C507" s="16" t="s">
        <v>419</v>
      </c>
      <c r="D507" s="16" t="s">
        <v>1206</v>
      </c>
      <c r="E507" s="16" t="s">
        <v>235</v>
      </c>
      <c r="F507" s="16" t="s">
        <v>1812</v>
      </c>
      <c r="G507" s="17" t="s">
        <v>1815</v>
      </c>
      <c r="H507" s="16" t="s">
        <v>1533</v>
      </c>
      <c r="I507" s="18" t="n">
        <v>21.3</v>
      </c>
      <c r="J507" s="16" t="n">
        <v>1</v>
      </c>
      <c r="K507" s="16" t="n">
        <v>223</v>
      </c>
      <c r="L507" s="19" t="n">
        <v>53539.87</v>
      </c>
      <c r="M507" s="17" t="s">
        <v>421</v>
      </c>
      <c r="N507" s="18" t="n">
        <v>21.3</v>
      </c>
      <c r="O507" s="16" t="s">
        <v>1534</v>
      </c>
      <c r="P507" s="16" t="s">
        <v>1700</v>
      </c>
      <c r="Q507" s="17" t="s">
        <v>1536</v>
      </c>
      <c r="R507" s="78" t="s">
        <v>1814</v>
      </c>
      <c r="S507" s="77" t="n">
        <f aca="false">IFERROR(INDEX('Injectable Value'!$Z$28:$Z$178,MATCH($C507,'Injectable Value'!$A$28:$A$178,0)),"")</f>
        <v>1</v>
      </c>
      <c r="T507" s="19" t="n">
        <f aca="false">IFERROR(ROUND(INDEX('Injectable Value'!$AA$28:$AA$178,MATCH($C507,'Injectable Value'!$A$28:$A$178,0)),1),"")</f>
        <v>53539.9</v>
      </c>
      <c r="U507" s="17" t="s">
        <v>360</v>
      </c>
      <c r="V507" s="16" t="n">
        <v>1</v>
      </c>
      <c r="W507" s="16" t="s">
        <v>112</v>
      </c>
      <c r="X507" s="16" t="s">
        <v>281</v>
      </c>
      <c r="Y507" s="16" t="s">
        <v>359</v>
      </c>
      <c r="Z507" s="17" t="str">
        <f aca="false">IFERROR(INDEX(Scoring!$U:$U,MATCH($C507&amp;"|"&amp;$E507,Scoring!$AD:$AD,0)),"")</f>
        <v>Reconstitution</v>
      </c>
      <c r="AA507" s="16" t="str">
        <f aca="false">IFERROR(INDEX(Scoring!$E:$E,MATCH($C507&amp;"|"&amp;$E507,Scoring!$AD:$AD,0)),"")</f>
        <v>Priority 2</v>
      </c>
      <c r="AB507" s="19" t="n">
        <f aca="false">IFERROR(INDEX(Scoring!$M:$M,MATCH($C507&amp;"|"&amp;$E507,Scoring!$AD:$AD,0)),"")</f>
        <v>223</v>
      </c>
      <c r="AC507" s="16" t="str">
        <f aca="false">IFERROR(INDEX('Route of Administration'!$C$5:$C$155,MATCH($C507,'Route of Administration'!$A$5:$A$155,0)),"")</f>
        <v>IV, IM</v>
      </c>
      <c r="AD507" s="15" t="str">
        <f aca="false">IFERROR(INDEX('Route of Administration'!$D$5:$D$155,MATCH($C507,'Route of Administration'!$A$5:$A$155,0)),"")</f>
        <v>Yes</v>
      </c>
      <c r="AE507" s="15" t="str">
        <f aca="false">IF($AD507="No","Not checked – drug is IV only",IFERROR(INDEX('Route of Administration'!$O$5:$O$170,MATCH($E507&amp;"|"&amp;$C507,'Route of Administration'!$S$5:$S$170,0)),"Not checked – price ≤ USD 5"))</f>
        <v>Pass</v>
      </c>
    </row>
    <row r="508" customFormat="false" ht="28.35" hidden="false" customHeight="false" outlineLevel="0" collapsed="false">
      <c r="B508" s="16" t="n">
        <v>506</v>
      </c>
      <c r="C508" s="16" t="s">
        <v>556</v>
      </c>
      <c r="D508" s="16" t="s">
        <v>1230</v>
      </c>
      <c r="E508" s="16" t="s">
        <v>235</v>
      </c>
      <c r="F508" s="16" t="s">
        <v>2426</v>
      </c>
      <c r="G508" s="17" t="s">
        <v>2467</v>
      </c>
      <c r="H508" s="16" t="s">
        <v>1533</v>
      </c>
      <c r="I508" s="18" t="n">
        <v>7.18</v>
      </c>
      <c r="J508" s="16" t="n">
        <v>1</v>
      </c>
      <c r="K508" s="16" t="n">
        <v>2</v>
      </c>
      <c r="L508" s="19" t="n">
        <v>71.73</v>
      </c>
      <c r="M508" s="17" t="s">
        <v>558</v>
      </c>
      <c r="N508" s="18" t="n">
        <v>7.18</v>
      </c>
      <c r="O508" s="16" t="s">
        <v>1534</v>
      </c>
      <c r="P508" s="16" t="s">
        <v>1700</v>
      </c>
      <c r="Q508" s="17" t="s">
        <v>1878</v>
      </c>
      <c r="R508" s="78" t="s">
        <v>2468</v>
      </c>
      <c r="S508" s="77" t="n">
        <f aca="false">IFERROR(INDEX('Injectable Value'!$Z$28:$Z$178,MATCH($C508,'Injectable Value'!$A$28:$A$178,0)),"")</f>
        <v>0.996078431372549</v>
      </c>
      <c r="T508" s="19" t="n">
        <f aca="false">IFERROR(ROUND(INDEX('Injectable Value'!$AA$28:$AA$178,MATCH($C508,'Injectable Value'!$A$28:$A$178,0)),1),"")</f>
        <v>71.4</v>
      </c>
      <c r="U508" s="17" t="s">
        <v>360</v>
      </c>
      <c r="V508" s="16" t="n">
        <v>1</v>
      </c>
      <c r="W508" s="16" t="s">
        <v>112</v>
      </c>
      <c r="X508" s="16" t="s">
        <v>281</v>
      </c>
      <c r="Y508" s="16" t="s">
        <v>283</v>
      </c>
      <c r="Z508" s="17" t="str">
        <f aca="false">IFERROR(INDEX(Scoring!$U:$U,MATCH($C508&amp;"|"&amp;$E508,Scoring!$AD:$AD,0)),"")</f>
        <v>Reconstitution</v>
      </c>
      <c r="AA508" s="16" t="str">
        <f aca="false">IFERROR(INDEX(Scoring!$E:$E,MATCH($C508&amp;"|"&amp;$E508,Scoring!$AD:$AD,0)),"")</f>
        <v>Excluded – IV only</v>
      </c>
      <c r="AB508" s="19" t="n">
        <f aca="false">IFERROR(INDEX(Scoring!$M:$M,MATCH($C508&amp;"|"&amp;$E508,Scoring!$AD:$AD,0)),"")</f>
        <v>2</v>
      </c>
      <c r="AC508" s="16" t="str">
        <f aca="false">IFERROR(INDEX('Route of Administration'!$C$5:$C$155,MATCH($C508,'Route of Administration'!$A$5:$A$155,0)),"")</f>
        <v>IV</v>
      </c>
      <c r="AD508" s="15" t="str">
        <f aca="false">IFERROR(INDEX('Route of Administration'!$D$5:$D$155,MATCH($C508,'Route of Administration'!$A$5:$A$155,0)),"")</f>
        <v>No</v>
      </c>
      <c r="AE508" s="15" t="str">
        <f aca="false">IF($AD508="No","Not checked – drug is IV only",IFERROR(INDEX('Route of Administration'!$O$5:$O$170,MATCH($E508&amp;"|"&amp;$C508,'Route of Administration'!$S$5:$S$170,0)),"Not checked – price ≤ USD 5"))</f>
        <v>Not checked – drug is IV only</v>
      </c>
    </row>
    <row r="509" customFormat="false" ht="28.35" hidden="false" customHeight="false" outlineLevel="0" collapsed="false">
      <c r="B509" s="16" t="n">
        <v>507</v>
      </c>
      <c r="C509" s="16" t="s">
        <v>556</v>
      </c>
      <c r="D509" s="16" t="s">
        <v>1230</v>
      </c>
      <c r="E509" s="16" t="s">
        <v>235</v>
      </c>
      <c r="F509" s="16" t="s">
        <v>2469</v>
      </c>
      <c r="G509" s="17" t="s">
        <v>2470</v>
      </c>
      <c r="H509" s="16" t="s">
        <v>1533</v>
      </c>
      <c r="I509" s="18" t="n">
        <v>20.69</v>
      </c>
      <c r="J509" s="16" t="n">
        <v>1</v>
      </c>
      <c r="K509" s="16" t="n">
        <v>2</v>
      </c>
      <c r="L509" s="19" t="n">
        <v>71.73</v>
      </c>
      <c r="M509" s="17" t="s">
        <v>558</v>
      </c>
      <c r="N509" s="18" t="n">
        <v>20.69</v>
      </c>
      <c r="O509" s="16" t="s">
        <v>1534</v>
      </c>
      <c r="P509" s="16" t="s">
        <v>1700</v>
      </c>
      <c r="Q509" s="17" t="s">
        <v>1878</v>
      </c>
      <c r="R509" s="78" t="s">
        <v>2468</v>
      </c>
      <c r="S509" s="77" t="n">
        <f aca="false">IFERROR(INDEX('Injectable Value'!$Z$28:$Z$178,MATCH($C509,'Injectable Value'!$A$28:$A$178,0)),"")</f>
        <v>0.996078431372549</v>
      </c>
      <c r="T509" s="19" t="n">
        <f aca="false">IFERROR(ROUND(INDEX('Injectable Value'!$AA$28:$AA$178,MATCH($C509,'Injectable Value'!$A$28:$A$178,0)),1),"")</f>
        <v>71.4</v>
      </c>
      <c r="U509" s="17" t="s">
        <v>360</v>
      </c>
      <c r="V509" s="16" t="n">
        <v>1</v>
      </c>
      <c r="W509" s="16" t="s">
        <v>112</v>
      </c>
      <c r="X509" s="16" t="s">
        <v>281</v>
      </c>
      <c r="Y509" s="16" t="s">
        <v>283</v>
      </c>
      <c r="Z509" s="17" t="str">
        <f aca="false">IFERROR(INDEX(Scoring!$U:$U,MATCH($C509&amp;"|"&amp;$E509,Scoring!$AD:$AD,0)),"")</f>
        <v>Reconstitution</v>
      </c>
      <c r="AA509" s="16" t="str">
        <f aca="false">IFERROR(INDEX(Scoring!$E:$E,MATCH($C509&amp;"|"&amp;$E509,Scoring!$AD:$AD,0)),"")</f>
        <v>Excluded – IV only</v>
      </c>
      <c r="AB509" s="19" t="n">
        <f aca="false">IFERROR(INDEX(Scoring!$M:$M,MATCH($C509&amp;"|"&amp;$E509,Scoring!$AD:$AD,0)),"")</f>
        <v>2</v>
      </c>
      <c r="AC509" s="16" t="str">
        <f aca="false">IFERROR(INDEX('Route of Administration'!$C$5:$C$155,MATCH($C509,'Route of Administration'!$A$5:$A$155,0)),"")</f>
        <v>IV</v>
      </c>
      <c r="AD509" s="15" t="str">
        <f aca="false">IFERROR(INDEX('Route of Administration'!$D$5:$D$155,MATCH($C509,'Route of Administration'!$A$5:$A$155,0)),"")</f>
        <v>No</v>
      </c>
      <c r="AE509" s="15" t="str">
        <f aca="false">IF($AD509="No","Not checked – drug is IV only",IFERROR(INDEX('Route of Administration'!$O$5:$O$170,MATCH($E509&amp;"|"&amp;$C509,'Route of Administration'!$S$5:$S$170,0)),"Not checked – price ≤ USD 5"))</f>
        <v>Not checked – drug is IV only</v>
      </c>
    </row>
    <row r="510" customFormat="false" ht="28.35" hidden="false" customHeight="false" outlineLevel="0" collapsed="false">
      <c r="B510" s="16" t="n">
        <v>508</v>
      </c>
      <c r="C510" s="16" t="s">
        <v>483</v>
      </c>
      <c r="D510" s="16" t="s">
        <v>2471</v>
      </c>
      <c r="E510" s="16" t="s">
        <v>235</v>
      </c>
      <c r="F510" s="16" t="s">
        <v>2472</v>
      </c>
      <c r="G510" s="17" t="s">
        <v>2473</v>
      </c>
      <c r="H510" s="16" t="s">
        <v>1533</v>
      </c>
      <c r="I510" s="18" t="n">
        <v>5.94</v>
      </c>
      <c r="J510" s="16" t="n">
        <v>1</v>
      </c>
      <c r="K510" s="16" t="n">
        <v>1185</v>
      </c>
      <c r="L510" s="19" t="n">
        <v>59407.06</v>
      </c>
      <c r="M510" s="17" t="s">
        <v>485</v>
      </c>
      <c r="N510" s="18" t="n">
        <v>5.94</v>
      </c>
      <c r="O510" s="16" t="s">
        <v>1534</v>
      </c>
      <c r="P510" s="16" t="s">
        <v>1700</v>
      </c>
      <c r="Q510" s="17" t="s">
        <v>1878</v>
      </c>
      <c r="R510" s="78" t="s">
        <v>2474</v>
      </c>
      <c r="S510" s="77" t="n">
        <f aca="false">IFERROR(INDEX('Injectable Value'!$Z$28:$Z$178,MATCH($C510,'Injectable Value'!$A$28:$A$178,0)),"")</f>
        <v>0.991808067465962</v>
      </c>
      <c r="T510" s="19" t="n">
        <f aca="false">IFERROR(ROUND(INDEX('Injectable Value'!$AA$28:$AA$178,MATCH($C510,'Injectable Value'!$A$28:$A$178,0)),1),"")</f>
        <v>58920.4</v>
      </c>
      <c r="U510" s="17" t="s">
        <v>619</v>
      </c>
      <c r="V510" s="16" t="n">
        <v>2</v>
      </c>
      <c r="W510" s="16" t="s">
        <v>112</v>
      </c>
      <c r="X510" s="16" t="s">
        <v>281</v>
      </c>
      <c r="Y510" s="16" t="s">
        <v>359</v>
      </c>
      <c r="Z510" s="17" t="str">
        <f aca="false">IFERROR(INDEX(Scoring!$U:$U,MATCH($C510&amp;"|"&amp;$E510,Scoring!$AD:$AD,0)),"")</f>
        <v>Reconstitution</v>
      </c>
      <c r="AA510" s="16" t="str">
        <f aca="false">IFERROR(INDEX(Scoring!$E:$E,MATCH($C510&amp;"|"&amp;$E510,Scoring!$AD:$AD,0)),"")</f>
        <v>Excluded – IV only</v>
      </c>
      <c r="AB510" s="19" t="n">
        <f aca="false">IFERROR(INDEX(Scoring!$M:$M,MATCH($C510&amp;"|"&amp;$E510,Scoring!$AD:$AD,0)),"")</f>
        <v>1175</v>
      </c>
      <c r="AC510" s="16" t="str">
        <f aca="false">IFERROR(INDEX('Route of Administration'!$C$5:$C$155,MATCH($C510,'Route of Administration'!$A$5:$A$155,0)),"")</f>
        <v>IV</v>
      </c>
      <c r="AD510" s="15" t="str">
        <f aca="false">IFERROR(INDEX('Route of Administration'!$D$5:$D$155,MATCH($C510,'Route of Administration'!$A$5:$A$155,0)),"")</f>
        <v>No</v>
      </c>
      <c r="AE510" s="15" t="str">
        <f aca="false">IF($AD510="No","Not checked – drug is IV only",IFERROR(INDEX('Route of Administration'!$O$5:$O$170,MATCH($E510&amp;"|"&amp;$C510,'Route of Administration'!$S$5:$S$170,0)),"Not checked – price ≤ USD 5"))</f>
        <v>Not checked – drug is IV only</v>
      </c>
    </row>
    <row r="511" customFormat="false" ht="28.35" hidden="false" customHeight="false" outlineLevel="0" collapsed="false">
      <c r="B511" s="16" t="n">
        <v>509</v>
      </c>
      <c r="C511" s="16" t="s">
        <v>483</v>
      </c>
      <c r="D511" s="16" t="s">
        <v>2471</v>
      </c>
      <c r="E511" s="16" t="s">
        <v>235</v>
      </c>
      <c r="F511" s="16" t="s">
        <v>2472</v>
      </c>
      <c r="G511" s="17" t="s">
        <v>2009</v>
      </c>
      <c r="H511" s="16" t="s">
        <v>1533</v>
      </c>
      <c r="I511" s="18" t="n">
        <v>5.94</v>
      </c>
      <c r="J511" s="16" t="n">
        <v>1</v>
      </c>
      <c r="K511" s="16" t="n">
        <v>1185</v>
      </c>
      <c r="L511" s="19" t="n">
        <v>59407.06</v>
      </c>
      <c r="M511" s="17" t="s">
        <v>485</v>
      </c>
      <c r="N511" s="18" t="n">
        <v>5.94</v>
      </c>
      <c r="O511" s="16" t="s">
        <v>1534</v>
      </c>
      <c r="P511" s="16" t="s">
        <v>1700</v>
      </c>
      <c r="Q511" s="17" t="s">
        <v>1878</v>
      </c>
      <c r="R511" s="78" t="s">
        <v>2474</v>
      </c>
      <c r="S511" s="77" t="n">
        <f aca="false">IFERROR(INDEX('Injectable Value'!$Z$28:$Z$178,MATCH($C511,'Injectable Value'!$A$28:$A$178,0)),"")</f>
        <v>0.991808067465962</v>
      </c>
      <c r="T511" s="19" t="n">
        <f aca="false">IFERROR(ROUND(INDEX('Injectable Value'!$AA$28:$AA$178,MATCH($C511,'Injectable Value'!$A$28:$A$178,0)),1),"")</f>
        <v>58920.4</v>
      </c>
      <c r="U511" s="17" t="s">
        <v>619</v>
      </c>
      <c r="V511" s="16" t="n">
        <v>2</v>
      </c>
      <c r="W511" s="16" t="s">
        <v>112</v>
      </c>
      <c r="X511" s="16" t="s">
        <v>281</v>
      </c>
      <c r="Y511" s="16" t="s">
        <v>359</v>
      </c>
      <c r="Z511" s="17" t="str">
        <f aca="false">IFERROR(INDEX(Scoring!$U:$U,MATCH($C511&amp;"|"&amp;$E511,Scoring!$AD:$AD,0)),"")</f>
        <v>Reconstitution</v>
      </c>
      <c r="AA511" s="16" t="str">
        <f aca="false">IFERROR(INDEX(Scoring!$E:$E,MATCH($C511&amp;"|"&amp;$E511,Scoring!$AD:$AD,0)),"")</f>
        <v>Excluded – IV only</v>
      </c>
      <c r="AB511" s="19" t="n">
        <f aca="false">IFERROR(INDEX(Scoring!$M:$M,MATCH($C511&amp;"|"&amp;$E511,Scoring!$AD:$AD,0)),"")</f>
        <v>1175</v>
      </c>
      <c r="AC511" s="16" t="str">
        <f aca="false">IFERROR(INDEX('Route of Administration'!$C$5:$C$155,MATCH($C511,'Route of Administration'!$A$5:$A$155,0)),"")</f>
        <v>IV</v>
      </c>
      <c r="AD511" s="15" t="str">
        <f aca="false">IFERROR(INDEX('Route of Administration'!$D$5:$D$155,MATCH($C511,'Route of Administration'!$A$5:$A$155,0)),"")</f>
        <v>No</v>
      </c>
      <c r="AE511" s="15" t="str">
        <f aca="false">IF($AD511="No","Not checked – drug is IV only",IFERROR(INDEX('Route of Administration'!$O$5:$O$170,MATCH($E511&amp;"|"&amp;$C511,'Route of Administration'!$S$5:$S$170,0)),"Not checked – price ≤ USD 5"))</f>
        <v>Not checked – drug is IV only</v>
      </c>
    </row>
    <row r="512" customFormat="false" ht="28.35" hidden="false" customHeight="false" outlineLevel="0" collapsed="false">
      <c r="B512" s="16" t="n">
        <v>510</v>
      </c>
      <c r="C512" s="16" t="s">
        <v>671</v>
      </c>
      <c r="D512" s="16" t="s">
        <v>2475</v>
      </c>
      <c r="E512" s="16" t="s">
        <v>235</v>
      </c>
      <c r="F512" s="16" t="s">
        <v>2476</v>
      </c>
      <c r="G512" s="17" t="s">
        <v>2477</v>
      </c>
      <c r="H512" s="16" t="s">
        <v>1533</v>
      </c>
      <c r="I512" s="18" t="n">
        <v>8.52</v>
      </c>
      <c r="J512" s="16" t="n">
        <v>1</v>
      </c>
      <c r="K512" s="16" t="n">
        <v>106</v>
      </c>
      <c r="L512" s="19" t="n">
        <v>7074.72</v>
      </c>
      <c r="M512" s="17" t="s">
        <v>673</v>
      </c>
      <c r="N512" s="18" t="n">
        <v>8.52</v>
      </c>
      <c r="O512" s="16" t="s">
        <v>1534</v>
      </c>
      <c r="P512" s="16" t="s">
        <v>1700</v>
      </c>
      <c r="Q512" s="17" t="s">
        <v>1536</v>
      </c>
      <c r="R512" s="78" t="s">
        <v>1814</v>
      </c>
      <c r="S512" s="77" t="n">
        <f aca="false">IFERROR(INDEX('Injectable Value'!$Z$28:$Z$178,MATCH($C512,'Injectable Value'!$A$28:$A$178,0)),"")</f>
        <v>0.9375</v>
      </c>
      <c r="T512" s="19" t="n">
        <f aca="false">IFERROR(ROUND(INDEX('Injectable Value'!$AA$28:$AA$178,MATCH($C512,'Injectable Value'!$A$28:$A$178,0)),1),"")</f>
        <v>6632.6</v>
      </c>
      <c r="U512" s="17" t="s">
        <v>619</v>
      </c>
      <c r="V512" s="16" t="n">
        <v>2</v>
      </c>
      <c r="W512" s="16" t="s">
        <v>112</v>
      </c>
      <c r="X512" s="16" t="s">
        <v>281</v>
      </c>
      <c r="Y512" s="16" t="s">
        <v>283</v>
      </c>
      <c r="Z512" s="17" t="str">
        <f aca="false">IFERROR(INDEX(Scoring!$U:$U,MATCH($C512&amp;"|"&amp;$E512,Scoring!$AD:$AD,0)),"")</f>
        <v>Reconstitution</v>
      </c>
      <c r="AA512" s="16" t="str">
        <f aca="false">IFERROR(INDEX(Scoring!$E:$E,MATCH($C512&amp;"|"&amp;$E512,Scoring!$AD:$AD,0)),"")</f>
        <v>Priority 2</v>
      </c>
      <c r="AB512" s="19" t="n">
        <f aca="false">IFERROR(INDEX(Scoring!$M:$M,MATCH($C512&amp;"|"&amp;$E512,Scoring!$AD:$AD,0)),"")</f>
        <v>99</v>
      </c>
      <c r="AC512" s="16" t="str">
        <f aca="false">IFERROR(INDEX('Route of Administration'!$C$5:$C$155,MATCH($C512,'Route of Administration'!$A$5:$A$155,0)),"")</f>
        <v>IV, IM</v>
      </c>
      <c r="AD512" s="15" t="str">
        <f aca="false">IFERROR(INDEX('Route of Administration'!$D$5:$D$155,MATCH($C512,'Route of Administration'!$A$5:$A$155,0)),"")</f>
        <v>Yes</v>
      </c>
      <c r="AE512" s="15" t="str">
        <f aca="false">IF($AD512="No","Not checked – drug is IV only",IFERROR(INDEX('Route of Administration'!$O$5:$O$170,MATCH($E512&amp;"|"&amp;$C512,'Route of Administration'!$S$5:$S$170,0)),"Not checked – price ≤ USD 5"))</f>
        <v>Pass</v>
      </c>
    </row>
    <row r="513" customFormat="false" ht="28.35" hidden="false" customHeight="false" outlineLevel="0" collapsed="false">
      <c r="B513" s="16" t="n">
        <v>511</v>
      </c>
      <c r="C513" s="16" t="s">
        <v>671</v>
      </c>
      <c r="D513" s="16" t="s">
        <v>2478</v>
      </c>
      <c r="E513" s="16" t="s">
        <v>235</v>
      </c>
      <c r="F513" s="16" t="s">
        <v>1899</v>
      </c>
      <c r="G513" s="17" t="s">
        <v>2477</v>
      </c>
      <c r="H513" s="16" t="s">
        <v>1533</v>
      </c>
      <c r="I513" s="18" t="n">
        <v>12.78</v>
      </c>
      <c r="J513" s="16" t="n">
        <v>1</v>
      </c>
      <c r="K513" s="16" t="n">
        <v>106</v>
      </c>
      <c r="L513" s="19" t="n">
        <v>7074.72</v>
      </c>
      <c r="M513" s="17" t="s">
        <v>673</v>
      </c>
      <c r="N513" s="18" t="n">
        <v>12.78</v>
      </c>
      <c r="O513" s="16" t="s">
        <v>1534</v>
      </c>
      <c r="P513" s="16" t="s">
        <v>1700</v>
      </c>
      <c r="Q513" s="17" t="s">
        <v>1536</v>
      </c>
      <c r="R513" s="78" t="s">
        <v>1814</v>
      </c>
      <c r="S513" s="77" t="n">
        <f aca="false">IFERROR(INDEX('Injectable Value'!$Z$28:$Z$178,MATCH($C513,'Injectable Value'!$A$28:$A$178,0)),"")</f>
        <v>0.9375</v>
      </c>
      <c r="T513" s="19" t="n">
        <f aca="false">IFERROR(ROUND(INDEX('Injectable Value'!$AA$28:$AA$178,MATCH($C513,'Injectable Value'!$A$28:$A$178,0)),1),"")</f>
        <v>6632.6</v>
      </c>
      <c r="U513" s="17" t="s">
        <v>619</v>
      </c>
      <c r="V513" s="16" t="n">
        <v>2</v>
      </c>
      <c r="W513" s="16" t="s">
        <v>112</v>
      </c>
      <c r="X513" s="16" t="s">
        <v>281</v>
      </c>
      <c r="Y513" s="16" t="s">
        <v>283</v>
      </c>
      <c r="Z513" s="17" t="str">
        <f aca="false">IFERROR(INDEX(Scoring!$U:$U,MATCH($C513&amp;"|"&amp;$E513,Scoring!$AD:$AD,0)),"")</f>
        <v>Reconstitution</v>
      </c>
      <c r="AA513" s="16" t="str">
        <f aca="false">IFERROR(INDEX(Scoring!$E:$E,MATCH($C513&amp;"|"&amp;$E513,Scoring!$AD:$AD,0)),"")</f>
        <v>Priority 2</v>
      </c>
      <c r="AB513" s="19" t="n">
        <f aca="false">IFERROR(INDEX(Scoring!$M:$M,MATCH($C513&amp;"|"&amp;$E513,Scoring!$AD:$AD,0)),"")</f>
        <v>99</v>
      </c>
      <c r="AC513" s="16" t="str">
        <f aca="false">IFERROR(INDEX('Route of Administration'!$C$5:$C$155,MATCH($C513,'Route of Administration'!$A$5:$A$155,0)),"")</f>
        <v>IV, IM</v>
      </c>
      <c r="AD513" s="15" t="str">
        <f aca="false">IFERROR(INDEX('Route of Administration'!$D$5:$D$155,MATCH($C513,'Route of Administration'!$A$5:$A$155,0)),"")</f>
        <v>Yes</v>
      </c>
      <c r="AE513" s="15" t="str">
        <f aca="false">IF($AD513="No","Not checked – drug is IV only",IFERROR(INDEX('Route of Administration'!$O$5:$O$170,MATCH($E513&amp;"|"&amp;$C513,'Route of Administration'!$S$5:$S$170,0)),"Not checked – price ≤ USD 5"))</f>
        <v>Pass</v>
      </c>
    </row>
    <row r="514" customFormat="false" ht="28.35" hidden="false" customHeight="false" outlineLevel="0" collapsed="false">
      <c r="B514" s="16" t="n">
        <v>512</v>
      </c>
      <c r="C514" s="16" t="s">
        <v>1199</v>
      </c>
      <c r="D514" s="16" t="s">
        <v>1200</v>
      </c>
      <c r="E514" s="16" t="s">
        <v>235</v>
      </c>
      <c r="F514" s="16" t="s">
        <v>2165</v>
      </c>
      <c r="G514" s="17" t="s">
        <v>2479</v>
      </c>
      <c r="H514" s="16" t="s">
        <v>1533</v>
      </c>
      <c r="I514" s="18" t="n">
        <v>7.55</v>
      </c>
      <c r="J514" s="16" t="n">
        <v>1</v>
      </c>
      <c r="K514" s="16" t="n">
        <v>176</v>
      </c>
      <c r="L514" s="19" t="n">
        <v>5190.07</v>
      </c>
      <c r="M514" s="17" t="s">
        <v>1201</v>
      </c>
      <c r="N514" s="18" t="n">
        <v>7.55</v>
      </c>
      <c r="O514" s="16" t="s">
        <v>1534</v>
      </c>
      <c r="P514" s="16" t="s">
        <v>1700</v>
      </c>
      <c r="Q514" s="17" t="s">
        <v>1536</v>
      </c>
      <c r="R514" s="78" t="s">
        <v>1814</v>
      </c>
      <c r="S514" s="77" t="n">
        <f aca="false">IFERROR(INDEX('Injectable Value'!$Z$28:$Z$178,MATCH($C514,'Injectable Value'!$A$28:$A$178,0)),"")</f>
        <v>0.95</v>
      </c>
      <c r="T514" s="19" t="n">
        <f aca="false">IFERROR(ROUND(INDEX('Injectable Value'!$AA$28:$AA$178,MATCH($C514,'Injectable Value'!$A$28:$A$178,0)),1),"")</f>
        <v>4930.6</v>
      </c>
      <c r="U514" s="17" t="s">
        <v>360</v>
      </c>
      <c r="V514" s="16" t="n">
        <v>1</v>
      </c>
      <c r="W514" s="16" t="s">
        <v>112</v>
      </c>
      <c r="X514" s="16" t="s">
        <v>281</v>
      </c>
      <c r="Y514" s="16" t="s">
        <v>283</v>
      </c>
      <c r="Z514" s="17" t="str">
        <f aca="false">IFERROR(INDEX(Scoring!$U:$U,MATCH($C514&amp;"|"&amp;$E514,Scoring!$AD:$AD,0)),"")</f>
        <v/>
      </c>
      <c r="AA514" s="16" t="str">
        <f aca="false">IFERROR(INDEX(Scoring!$E:$E,MATCH($C514&amp;"|"&amp;$E514,Scoring!$AD:$AD,0)),"")</f>
        <v>Excluded – IV only</v>
      </c>
      <c r="AB514" s="19" t="n">
        <f aca="false">IFERROR(INDEX(Scoring!$M:$M,MATCH($C514&amp;"|"&amp;$E514,Scoring!$AD:$AD,0)),"")</f>
        <v>167</v>
      </c>
      <c r="AC514" s="16" t="str">
        <f aca="false">IFERROR(INDEX('Route of Administration'!$C$5:$C$155,MATCH($C514,'Route of Administration'!$A$5:$A$155,0)),"")</f>
        <v>IV</v>
      </c>
      <c r="AD514" s="15" t="str">
        <f aca="false">IFERROR(INDEX('Route of Administration'!$D$5:$D$155,MATCH($C514,'Route of Administration'!$A$5:$A$155,0)),"")</f>
        <v>No</v>
      </c>
      <c r="AE514" s="15" t="str">
        <f aca="false">IF($AD514="No","Not checked – drug is IV only",IFERROR(INDEX('Route of Administration'!$O$5:$O$170,MATCH($E514&amp;"|"&amp;$C514,'Route of Administration'!$S$5:$S$170,0)),"Not checked – price ≤ USD 5"))</f>
        <v>Not checked – drug is IV only</v>
      </c>
    </row>
    <row r="515" customFormat="false" ht="28.35" hidden="false" customHeight="false" outlineLevel="0" collapsed="false">
      <c r="B515" s="16" t="n">
        <v>513</v>
      </c>
      <c r="C515" s="16" t="s">
        <v>278</v>
      </c>
      <c r="D515" s="16" t="s">
        <v>354</v>
      </c>
      <c r="E515" s="16" t="s">
        <v>237</v>
      </c>
      <c r="F515" s="16" t="s">
        <v>1531</v>
      </c>
      <c r="G515" s="17" t="s">
        <v>1532</v>
      </c>
      <c r="H515" s="16" t="s">
        <v>1533</v>
      </c>
      <c r="I515" s="18" t="n">
        <v>30.01</v>
      </c>
      <c r="J515" s="16" t="n">
        <v>1</v>
      </c>
      <c r="K515" s="16" t="n">
        <v>156</v>
      </c>
      <c r="L515" s="19" t="n">
        <v>3954.83</v>
      </c>
      <c r="M515" s="17" t="s">
        <v>280</v>
      </c>
      <c r="N515" s="18" t="n">
        <v>30.01</v>
      </c>
      <c r="O515" s="16" t="s">
        <v>1534</v>
      </c>
      <c r="P515" s="16" t="s">
        <v>1535</v>
      </c>
      <c r="Q515" s="17" t="s">
        <v>1536</v>
      </c>
      <c r="R515" s="78" t="s">
        <v>1537</v>
      </c>
      <c r="S515" s="77" t="n">
        <f aca="false">IFERROR(INDEX('Injectable Value'!$Z$28:$Z$178,MATCH($C515,'Injectable Value'!$A$28:$A$178,0)),"")</f>
        <v>0.916666666666667</v>
      </c>
      <c r="T515" s="19" t="n">
        <f aca="false">IFERROR(ROUND(INDEX('Injectable Value'!$AA$28:$AA$178,MATCH($C515,'Injectable Value'!$A$28:$A$178,0)),1),"")</f>
        <v>3625.3</v>
      </c>
      <c r="U515" s="17" t="s">
        <v>284</v>
      </c>
      <c r="V515" s="16" t="n">
        <v>1</v>
      </c>
      <c r="W515" s="16" t="s">
        <v>284</v>
      </c>
      <c r="X515" s="16" t="s">
        <v>281</v>
      </c>
      <c r="Y515" s="16" t="s">
        <v>283</v>
      </c>
      <c r="Z515" s="17" t="str">
        <f aca="false">IFERROR(INDEX(Scoring!$U:$U,MATCH($C515&amp;"|"&amp;$E515,Scoring!$AD:$AD,0)),"")</f>
        <v/>
      </c>
      <c r="AA515" s="16" t="str">
        <f aca="false">IFERROR(INDEX(Scoring!$E:$E,MATCH($C515&amp;"|"&amp;$E515,Scoring!$AD:$AD,0)),"")</f>
        <v>Priority 2</v>
      </c>
      <c r="AB515" s="19" t="n">
        <f aca="false">IFERROR(INDEX(Scoring!$M:$M,MATCH($C515&amp;"|"&amp;$E515,Scoring!$AD:$AD,0)),"")</f>
        <v>143</v>
      </c>
      <c r="AC515" s="16" t="str">
        <f aca="false">IFERROR(INDEX('Route of Administration'!$C$5:$C$155,MATCH($C515,'Route of Administration'!$A$5:$A$155,0)),"")</f>
        <v>IM</v>
      </c>
      <c r="AD515" s="15" t="str">
        <f aca="false">IFERROR(INDEX('Route of Administration'!$D$5:$D$155,MATCH($C515,'Route of Administration'!$A$5:$A$155,0)),"")</f>
        <v>Yes</v>
      </c>
      <c r="AE515" s="15" t="str">
        <f aca="false">IF($AD515="No","Not checked – drug is IV only",IFERROR(INDEX('Route of Administration'!$O$5:$O$170,MATCH($E515&amp;"|"&amp;$C515,'Route of Administration'!$S$5:$S$170,0)),"Not checked – price ≤ USD 5"))</f>
        <v>Pass</v>
      </c>
    </row>
    <row r="516" customFormat="false" ht="28.35" hidden="false" customHeight="false" outlineLevel="0" collapsed="false">
      <c r="B516" s="16" t="n">
        <v>514</v>
      </c>
      <c r="C516" s="16" t="s">
        <v>1261</v>
      </c>
      <c r="D516" s="16" t="s">
        <v>1262</v>
      </c>
      <c r="E516" s="16" t="s">
        <v>237</v>
      </c>
      <c r="F516" s="16" t="s">
        <v>1607</v>
      </c>
      <c r="G516" s="17" t="s">
        <v>1909</v>
      </c>
      <c r="H516" s="16" t="s">
        <v>1533</v>
      </c>
      <c r="I516" s="18" t="n">
        <v>18</v>
      </c>
      <c r="J516" s="16" t="n">
        <v>1</v>
      </c>
      <c r="K516" s="16" t="n">
        <v>582</v>
      </c>
      <c r="L516" s="19" t="n">
        <v>21989.37</v>
      </c>
      <c r="M516" s="17" t="s">
        <v>1263</v>
      </c>
      <c r="N516" s="18" t="n">
        <v>18</v>
      </c>
      <c r="O516" s="16" t="s">
        <v>1534</v>
      </c>
      <c r="P516" s="16" t="s">
        <v>1535</v>
      </c>
      <c r="Q516" s="17" t="s">
        <v>1536</v>
      </c>
      <c r="R516" s="78" t="s">
        <v>2480</v>
      </c>
      <c r="S516" s="77" t="n">
        <f aca="false">IFERROR(INDEX('Injectable Value'!$Z$28:$Z$178,MATCH($C516,'Injectable Value'!$A$28:$A$178,0)),"")</f>
        <v>0.0233396995161701</v>
      </c>
      <c r="T516" s="19" t="n">
        <f aca="false">IFERROR(ROUND(INDEX('Injectable Value'!$AA$28:$AA$178,MATCH($C516,'Injectable Value'!$A$28:$A$178,0)),1),"")</f>
        <v>513.2</v>
      </c>
      <c r="U516" s="17" t="s">
        <v>284</v>
      </c>
      <c r="V516" s="16" t="n">
        <v>1</v>
      </c>
      <c r="W516" s="16" t="s">
        <v>284</v>
      </c>
      <c r="X516" s="16" t="s">
        <v>281</v>
      </c>
      <c r="Y516" s="16" t="s">
        <v>283</v>
      </c>
      <c r="Z516" s="17" t="str">
        <f aca="false">IFERROR(INDEX(Scoring!$U:$U,MATCH($C516&amp;"|"&amp;$E516,Scoring!$AD:$AD,0)),"")</f>
        <v/>
      </c>
      <c r="AA516" s="16" t="str">
        <f aca="false">IFERROR(INDEX(Scoring!$E:$E,MATCH($C516&amp;"|"&amp;$E516,Scoring!$AD:$AD,0)),"")</f>
        <v>Priority 3</v>
      </c>
      <c r="AB516" s="19" t="n">
        <f aca="false">IFERROR(INDEX(Scoring!$M:$M,MATCH($C516&amp;"|"&amp;$E516,Scoring!$AD:$AD,0)),"")</f>
        <v>14</v>
      </c>
      <c r="AC516" s="16" t="str">
        <f aca="false">IFERROR(INDEX('Route of Administration'!$C$5:$C$155,MATCH($C516,'Route of Administration'!$A$5:$A$155,0)),"")</f>
        <v>IV, IM</v>
      </c>
      <c r="AD516" s="15" t="str">
        <f aca="false">IFERROR(INDEX('Route of Administration'!$D$5:$D$155,MATCH($C516,'Route of Administration'!$A$5:$A$155,0)),"")</f>
        <v>Yes</v>
      </c>
      <c r="AE516" s="15" t="str">
        <f aca="false">IF($AD516="No","Not checked – drug is IV only",IFERROR(INDEX('Route of Administration'!$O$5:$O$170,MATCH($E516&amp;"|"&amp;$C516,'Route of Administration'!$S$5:$S$170,0)),"Not checked – price ≤ USD 5"))</f>
        <v>Pass</v>
      </c>
    </row>
    <row r="517" customFormat="false" ht="28.35" hidden="false" customHeight="false" outlineLevel="0" collapsed="false">
      <c r="B517" s="16" t="n">
        <v>515</v>
      </c>
      <c r="C517" s="16" t="s">
        <v>637</v>
      </c>
      <c r="D517" s="16" t="s">
        <v>812</v>
      </c>
      <c r="E517" s="16" t="s">
        <v>237</v>
      </c>
      <c r="F517" s="16" t="s">
        <v>2109</v>
      </c>
      <c r="G517" s="17" t="s">
        <v>2481</v>
      </c>
      <c r="H517" s="16" t="s">
        <v>1533</v>
      </c>
      <c r="I517" s="18" t="n">
        <v>51.18</v>
      </c>
      <c r="J517" s="16" t="n">
        <v>1</v>
      </c>
      <c r="K517" s="16" t="n">
        <v>87</v>
      </c>
      <c r="L517" s="19" t="n">
        <v>2931.42</v>
      </c>
      <c r="M517" s="17" t="s">
        <v>639</v>
      </c>
      <c r="N517" s="18" t="n">
        <v>51.18</v>
      </c>
      <c r="O517" s="16" t="s">
        <v>1534</v>
      </c>
      <c r="P517" s="16" t="s">
        <v>1535</v>
      </c>
      <c r="Q517" s="17" t="s">
        <v>1536</v>
      </c>
      <c r="R517" s="78" t="s">
        <v>2482</v>
      </c>
      <c r="S517" s="77" t="n">
        <f aca="false">IFERROR(INDEX('Injectable Value'!$Z$28:$Z$178,MATCH($C517,'Injectable Value'!$A$28:$A$178,0)),"")</f>
        <v>1</v>
      </c>
      <c r="T517" s="19" t="n">
        <f aca="false">IFERROR(ROUND(INDEX('Injectable Value'!$AA$28:$AA$178,MATCH($C517,'Injectable Value'!$A$28:$A$178,0)),1),"")</f>
        <v>2931.4</v>
      </c>
      <c r="U517" s="17" t="s">
        <v>635</v>
      </c>
      <c r="V517" s="16" t="n">
        <v>2</v>
      </c>
      <c r="W517" s="16" t="s">
        <v>284</v>
      </c>
      <c r="X517" s="16" t="s">
        <v>349</v>
      </c>
      <c r="Y517" s="16" t="s">
        <v>283</v>
      </c>
      <c r="Z517" s="17" t="str">
        <f aca="false">IFERROR(INDEX(Scoring!$U:$U,MATCH($C517&amp;"|"&amp;$E517,Scoring!$AD:$AD,0)),"")</f>
        <v/>
      </c>
      <c r="AA517" s="16" t="str">
        <f aca="false">IFERROR(INDEX(Scoring!$E:$E,MATCH($C517&amp;"|"&amp;$E517,Scoring!$AD:$AD,0)),"")</f>
        <v>Priority 2</v>
      </c>
      <c r="AB517" s="19" t="n">
        <f aca="false">IFERROR(INDEX(Scoring!$M:$M,MATCH($C517&amp;"|"&amp;$E517,Scoring!$AD:$AD,0)),"")</f>
        <v>87</v>
      </c>
      <c r="AC517" s="16" t="str">
        <f aca="false">IFERROR(INDEX('Route of Administration'!$C$5:$C$155,MATCH($C517,'Route of Administration'!$A$5:$A$155,0)),"")</f>
        <v>IV, IM, SC</v>
      </c>
      <c r="AD517" s="15" t="str">
        <f aca="false">IFERROR(INDEX('Route of Administration'!$D$5:$D$155,MATCH($C517,'Route of Administration'!$A$5:$A$155,0)),"")</f>
        <v>Yes</v>
      </c>
      <c r="AE517" s="15" t="str">
        <f aca="false">IF($AD517="No","Not checked – drug is IV only",IFERROR(INDEX('Route of Administration'!$O$5:$O$170,MATCH($E517&amp;"|"&amp;$C517,'Route of Administration'!$S$5:$S$170,0)),"Not checked – price ≤ USD 5"))</f>
        <v>Pass</v>
      </c>
    </row>
    <row r="518" customFormat="false" ht="28.35" hidden="false" customHeight="false" outlineLevel="0" collapsed="false">
      <c r="B518" s="16" t="n">
        <v>516</v>
      </c>
      <c r="C518" s="16" t="s">
        <v>1272</v>
      </c>
      <c r="D518" s="16" t="s">
        <v>1273</v>
      </c>
      <c r="E518" s="16" t="s">
        <v>237</v>
      </c>
      <c r="F518" s="16" t="s">
        <v>2483</v>
      </c>
      <c r="G518" s="17" t="s">
        <v>2484</v>
      </c>
      <c r="H518" s="16" t="s">
        <v>1533</v>
      </c>
      <c r="I518" s="18" t="n">
        <v>22.55</v>
      </c>
      <c r="J518" s="16" t="n">
        <v>1</v>
      </c>
      <c r="K518" s="16" t="n">
        <v>61</v>
      </c>
      <c r="L518" s="19" t="n">
        <v>1210.6</v>
      </c>
      <c r="M518" s="17" t="s">
        <v>1274</v>
      </c>
      <c r="N518" s="18" t="n">
        <v>22.55</v>
      </c>
      <c r="O518" s="16" t="s">
        <v>1534</v>
      </c>
      <c r="P518" s="16" t="s">
        <v>1535</v>
      </c>
      <c r="Q518" s="17" t="s">
        <v>1536</v>
      </c>
      <c r="R518" s="78" t="s">
        <v>2485</v>
      </c>
      <c r="S518" s="77" t="n">
        <f aca="false">IFERROR(INDEX('Injectable Value'!$Z$28:$Z$178,MATCH($C518,'Injectable Value'!$A$28:$A$178,0)),"")</f>
        <v>0.888888888888889</v>
      </c>
      <c r="T518" s="19" t="n">
        <f aca="false">IFERROR(ROUND(INDEX('Injectable Value'!$AA$28:$AA$178,MATCH($C518,'Injectable Value'!$A$28:$A$178,0)),1),"")</f>
        <v>1076.1</v>
      </c>
      <c r="U518" s="17" t="s">
        <v>284</v>
      </c>
      <c r="V518" s="16" t="n">
        <v>1</v>
      </c>
      <c r="W518" s="16" t="s">
        <v>284</v>
      </c>
      <c r="X518" s="16" t="s">
        <v>281</v>
      </c>
      <c r="Y518" s="16" t="s">
        <v>283</v>
      </c>
      <c r="Z518" s="17" t="str">
        <f aca="false">IFERROR(INDEX(Scoring!$U:$U,MATCH($C518&amp;"|"&amp;$E518,Scoring!$AD:$AD,0)),"")</f>
        <v/>
      </c>
      <c r="AA518" s="16" t="str">
        <f aca="false">IFERROR(INDEX(Scoring!$E:$E,MATCH($C518&amp;"|"&amp;$E518,Scoring!$AD:$AD,0)),"")</f>
        <v>Priority 3</v>
      </c>
      <c r="AB518" s="19" t="n">
        <f aca="false">IFERROR(INDEX(Scoring!$M:$M,MATCH($C518&amp;"|"&amp;$E518,Scoring!$AD:$AD,0)),"")</f>
        <v>54</v>
      </c>
      <c r="AC518" s="16" t="str">
        <f aca="false">IFERROR(INDEX('Route of Administration'!$C$5:$C$155,MATCH($C518,'Route of Administration'!$A$5:$A$155,0)),"")</f>
        <v>IV, IM</v>
      </c>
      <c r="AD518" s="15" t="str">
        <f aca="false">IFERROR(INDEX('Route of Administration'!$D$5:$D$155,MATCH($C518,'Route of Administration'!$A$5:$A$155,0)),"")</f>
        <v>Yes</v>
      </c>
      <c r="AE518" s="15" t="str">
        <f aca="false">IF($AD518="No","Not checked – drug is IV only",IFERROR(INDEX('Route of Administration'!$O$5:$O$170,MATCH($E518&amp;"|"&amp;$C518,'Route of Administration'!$S$5:$S$170,0)),"Not checked – price ≤ USD 5"))</f>
        <v>Pass</v>
      </c>
    </row>
    <row r="519" customFormat="false" ht="28.35" hidden="false" customHeight="false" outlineLevel="0" collapsed="false">
      <c r="B519" s="16" t="n">
        <v>517</v>
      </c>
      <c r="C519" s="16" t="s">
        <v>754</v>
      </c>
      <c r="D519" s="16" t="s">
        <v>755</v>
      </c>
      <c r="E519" s="16" t="s">
        <v>237</v>
      </c>
      <c r="F519" s="16" t="s">
        <v>1914</v>
      </c>
      <c r="G519" s="17" t="s">
        <v>2486</v>
      </c>
      <c r="H519" s="16" t="s">
        <v>1533</v>
      </c>
      <c r="I519" s="18"/>
      <c r="J519" s="16" t="n">
        <v>1</v>
      </c>
      <c r="K519" s="16" t="n">
        <v>286</v>
      </c>
      <c r="L519" s="19" t="n">
        <v>3067.39</v>
      </c>
      <c r="M519" s="17" t="s">
        <v>756</v>
      </c>
      <c r="N519" s="82" t="n">
        <v>5.03</v>
      </c>
      <c r="O519" s="64" t="s">
        <v>1541</v>
      </c>
      <c r="P519" s="16" t="s">
        <v>1535</v>
      </c>
      <c r="Q519" s="17" t="s">
        <v>1864</v>
      </c>
      <c r="R519" s="78" t="s">
        <v>1865</v>
      </c>
      <c r="S519" s="77" t="n">
        <f aca="false">IFERROR(INDEX('Injectable Value'!$Z$28:$Z$178,MATCH($C519,'Injectable Value'!$A$28:$A$178,0)),"")</f>
        <v>1</v>
      </c>
      <c r="T519" s="19" t="n">
        <f aca="false">IFERROR(ROUND(INDEX('Injectable Value'!$AA$28:$AA$178,MATCH($C519,'Injectable Value'!$A$28:$A$178,0)),1),"")</f>
        <v>3067.4</v>
      </c>
      <c r="U519" s="17" t="s">
        <v>284</v>
      </c>
      <c r="V519" s="16" t="n">
        <v>1</v>
      </c>
      <c r="W519" s="16" t="s">
        <v>284</v>
      </c>
      <c r="X519" s="16" t="s">
        <v>281</v>
      </c>
      <c r="Y519" s="16" t="s">
        <v>283</v>
      </c>
      <c r="Z519" s="17" t="str">
        <f aca="false">IFERROR(INDEX(Scoring!$U:$U,MATCH($C519&amp;"|"&amp;$E519,Scoring!$AD:$AD,0)),"")</f>
        <v/>
      </c>
      <c r="AA519" s="16" t="str">
        <f aca="false">IFERROR(INDEX(Scoring!$E:$E,MATCH($C519&amp;"|"&amp;$E519,Scoring!$AD:$AD,0)),"")</f>
        <v>Priority 2</v>
      </c>
      <c r="AB519" s="19" t="n">
        <f aca="false">IFERROR(INDEX(Scoring!$M:$M,MATCH($C519&amp;"|"&amp;$E519,Scoring!$AD:$AD,0)),"")</f>
        <v>286</v>
      </c>
      <c r="AC519" s="16" t="str">
        <f aca="false">IFERROR(INDEX('Route of Administration'!$C$5:$C$155,MATCH($C519,'Route of Administration'!$A$5:$A$155,0)),"")</f>
        <v>IV, IM</v>
      </c>
      <c r="AD519" s="15" t="str">
        <f aca="false">IFERROR(INDEX('Route of Administration'!$D$5:$D$155,MATCH($C519,'Route of Administration'!$A$5:$A$155,0)),"")</f>
        <v>Yes</v>
      </c>
      <c r="AE519" s="15" t="str">
        <f aca="false">IF($AD519="No","Not checked – drug is IV only",IFERROR(INDEX('Route of Administration'!$O$5:$O$170,MATCH($E519&amp;"|"&amp;$C519,'Route of Administration'!$S$5:$S$170,0)),"Not checked – price ≤ USD 5"))</f>
        <v>Pass</v>
      </c>
    </row>
    <row r="520" customFormat="false" ht="28.35" hidden="false" customHeight="false" outlineLevel="0" collapsed="false">
      <c r="B520" s="16" t="n">
        <v>518</v>
      </c>
      <c r="C520" s="16" t="s">
        <v>874</v>
      </c>
      <c r="D520" s="16" t="s">
        <v>874</v>
      </c>
      <c r="E520" s="16" t="s">
        <v>237</v>
      </c>
      <c r="F520" s="16" t="s">
        <v>2487</v>
      </c>
      <c r="G520" s="17" t="s">
        <v>2488</v>
      </c>
      <c r="H520" s="16" t="s">
        <v>2489</v>
      </c>
      <c r="I520" s="18" t="n">
        <v>51.79</v>
      </c>
      <c r="J520" s="16" t="n">
        <v>1</v>
      </c>
      <c r="K520" s="16" t="n">
        <v>45</v>
      </c>
      <c r="L520" s="19" t="n">
        <v>263.65</v>
      </c>
      <c r="M520" s="17" t="s">
        <v>876</v>
      </c>
      <c r="N520" s="18" t="n">
        <v>51.79</v>
      </c>
      <c r="O520" s="16" t="s">
        <v>1534</v>
      </c>
      <c r="P520" s="16" t="s">
        <v>1535</v>
      </c>
      <c r="Q520" s="17" t="s">
        <v>1536</v>
      </c>
      <c r="R520" s="78" t="s">
        <v>2490</v>
      </c>
      <c r="S520" s="77" t="n">
        <f aca="false">IFERROR(INDEX('Injectable Value'!$Z$28:$Z$178,MATCH($C520,'Injectable Value'!$A$28:$A$178,0)),"")</f>
        <v>0.0828659263441872</v>
      </c>
      <c r="T520" s="19" t="n">
        <f aca="false">IFERROR(ROUND(INDEX('Injectable Value'!$AA$28:$AA$178,MATCH($C520,'Injectable Value'!$A$28:$A$178,0)),1),"")</f>
        <v>21.8</v>
      </c>
      <c r="U520" s="17" t="s">
        <v>284</v>
      </c>
      <c r="V520" s="16" t="n">
        <v>1</v>
      </c>
      <c r="W520" s="16" t="s">
        <v>284</v>
      </c>
      <c r="X520" s="16" t="s">
        <v>281</v>
      </c>
      <c r="Y520" s="16" t="s">
        <v>283</v>
      </c>
      <c r="Z520" s="17" t="str">
        <f aca="false">IFERROR(INDEX(Scoring!$U:$U,MATCH($C520&amp;"|"&amp;$E520,Scoring!$AD:$AD,0)),"")</f>
        <v/>
      </c>
      <c r="AA520" s="16" t="str">
        <f aca="false">IFERROR(INDEX(Scoring!$E:$E,MATCH($C520&amp;"|"&amp;$E520,Scoring!$AD:$AD,0)),"")</f>
        <v>Excluded – IV only</v>
      </c>
      <c r="AB520" s="19" t="n">
        <f aca="false">IFERROR(INDEX(Scoring!$M:$M,MATCH($C520&amp;"|"&amp;$E520,Scoring!$AD:$AD,0)),"")</f>
        <v>4</v>
      </c>
      <c r="AC520" s="16" t="str">
        <f aca="false">IFERROR(INDEX('Route of Administration'!$C$5:$C$155,MATCH($C520,'Route of Administration'!$A$5:$A$155,0)),"")</f>
        <v>IV</v>
      </c>
      <c r="AD520" s="15" t="str">
        <f aca="false">IFERROR(INDEX('Route of Administration'!$D$5:$D$155,MATCH($C520,'Route of Administration'!$A$5:$A$155,0)),"")</f>
        <v>No</v>
      </c>
      <c r="AE520" s="15" t="str">
        <f aca="false">IF($AD520="No","Not checked – drug is IV only",IFERROR(INDEX('Route of Administration'!$O$5:$O$170,MATCH($E520&amp;"|"&amp;$C520,'Route of Administration'!$S$5:$S$170,0)),"Not checked – price ≤ USD 5"))</f>
        <v>Not checked – drug is IV only</v>
      </c>
    </row>
    <row r="521" customFormat="false" ht="28.35" hidden="false" customHeight="false" outlineLevel="0" collapsed="false">
      <c r="B521" s="16" t="n">
        <v>519</v>
      </c>
      <c r="C521" s="16" t="s">
        <v>599</v>
      </c>
      <c r="D521" s="16" t="s">
        <v>600</v>
      </c>
      <c r="E521" s="16" t="s">
        <v>237</v>
      </c>
      <c r="F521" s="16" t="s">
        <v>2491</v>
      </c>
      <c r="G521" s="17" t="s">
        <v>1850</v>
      </c>
      <c r="H521" s="16" t="s">
        <v>1533</v>
      </c>
      <c r="I521" s="18" t="n">
        <v>13.63</v>
      </c>
      <c r="J521" s="16" t="n">
        <v>1</v>
      </c>
      <c r="K521" s="16" t="n">
        <v>374</v>
      </c>
      <c r="L521" s="19" t="n">
        <v>13615.47</v>
      </c>
      <c r="M521" s="17" t="s">
        <v>601</v>
      </c>
      <c r="N521" s="18" t="n">
        <v>13.63</v>
      </c>
      <c r="O521" s="16" t="s">
        <v>1534</v>
      </c>
      <c r="P521" s="16" t="s">
        <v>1535</v>
      </c>
      <c r="Q521" s="17" t="s">
        <v>1536</v>
      </c>
      <c r="R521" s="78" t="s">
        <v>1624</v>
      </c>
      <c r="S521" s="77" t="n">
        <f aca="false">IFERROR(INDEX('Injectable Value'!$Z$28:$Z$178,MATCH($C521,'Injectable Value'!$A$28:$A$178,0)),"")</f>
        <v>0.18191811645244</v>
      </c>
      <c r="T521" s="19" t="n">
        <f aca="false">IFERROR(ROUND(INDEX('Injectable Value'!$AA$28:$AA$178,MATCH($C521,'Injectable Value'!$A$28:$A$178,0)),1),"")</f>
        <v>2476.9</v>
      </c>
      <c r="U521" s="17" t="s">
        <v>284</v>
      </c>
      <c r="V521" s="16" t="n">
        <v>1</v>
      </c>
      <c r="W521" s="16" t="s">
        <v>284</v>
      </c>
      <c r="X521" s="16" t="s">
        <v>281</v>
      </c>
      <c r="Y521" s="16" t="s">
        <v>283</v>
      </c>
      <c r="Z521" s="17" t="str">
        <f aca="false">IFERROR(INDEX(Scoring!$U:$U,MATCH($C521&amp;"|"&amp;$E521,Scoring!$AD:$AD,0)),"")</f>
        <v/>
      </c>
      <c r="AA521" s="16" t="str">
        <f aca="false">IFERROR(INDEX(Scoring!$E:$E,MATCH($C521&amp;"|"&amp;$E521,Scoring!$AD:$AD,0)),"")</f>
        <v>Excluded – IV only</v>
      </c>
      <c r="AB521" s="19" t="n">
        <f aca="false">IFERROR(INDEX(Scoring!$M:$M,MATCH($C521&amp;"|"&amp;$E521,Scoring!$AD:$AD,0)),"")</f>
        <v>68</v>
      </c>
      <c r="AC521" s="16" t="str">
        <f aca="false">IFERROR(INDEX('Route of Administration'!$C$5:$C$155,MATCH($C521,'Route of Administration'!$A$5:$A$155,0)),"")</f>
        <v>IV</v>
      </c>
      <c r="AD521" s="15" t="str">
        <f aca="false">IFERROR(INDEX('Route of Administration'!$D$5:$D$155,MATCH($C521,'Route of Administration'!$A$5:$A$155,0)),"")</f>
        <v>No</v>
      </c>
      <c r="AE521" s="15" t="str">
        <f aca="false">IF($AD521="No","Not checked – drug is IV only",IFERROR(INDEX('Route of Administration'!$O$5:$O$170,MATCH($E521&amp;"|"&amp;$C521,'Route of Administration'!$S$5:$S$170,0)),"Not checked – price ≤ USD 5"))</f>
        <v>Not checked – drug is IV only</v>
      </c>
    </row>
    <row r="522" customFormat="false" ht="28.35" hidden="false" customHeight="false" outlineLevel="0" collapsed="false">
      <c r="B522" s="16" t="n">
        <v>520</v>
      </c>
      <c r="C522" s="16" t="s">
        <v>599</v>
      </c>
      <c r="D522" s="16" t="s">
        <v>600</v>
      </c>
      <c r="E522" s="16" t="s">
        <v>237</v>
      </c>
      <c r="F522" s="16" t="s">
        <v>2492</v>
      </c>
      <c r="G522" s="17" t="s">
        <v>2493</v>
      </c>
      <c r="H522" s="16" t="s">
        <v>1533</v>
      </c>
      <c r="I522" s="18" t="n">
        <v>6.62</v>
      </c>
      <c r="J522" s="16" t="n">
        <v>1</v>
      </c>
      <c r="K522" s="16" t="n">
        <v>374</v>
      </c>
      <c r="L522" s="19" t="n">
        <v>13615.47</v>
      </c>
      <c r="M522" s="17" t="s">
        <v>601</v>
      </c>
      <c r="N522" s="18" t="n">
        <v>6.62</v>
      </c>
      <c r="O522" s="16" t="s">
        <v>1534</v>
      </c>
      <c r="P522" s="16" t="s">
        <v>1535</v>
      </c>
      <c r="Q522" s="17" t="s">
        <v>1536</v>
      </c>
      <c r="R522" s="78" t="s">
        <v>1624</v>
      </c>
      <c r="S522" s="77" t="n">
        <f aca="false">IFERROR(INDEX('Injectable Value'!$Z$28:$Z$178,MATCH($C522,'Injectable Value'!$A$28:$A$178,0)),"")</f>
        <v>0.18191811645244</v>
      </c>
      <c r="T522" s="19" t="n">
        <f aca="false">IFERROR(ROUND(INDEX('Injectable Value'!$AA$28:$AA$178,MATCH($C522,'Injectable Value'!$A$28:$A$178,0)),1),"")</f>
        <v>2476.9</v>
      </c>
      <c r="U522" s="17" t="s">
        <v>284</v>
      </c>
      <c r="V522" s="16" t="n">
        <v>1</v>
      </c>
      <c r="W522" s="16" t="s">
        <v>284</v>
      </c>
      <c r="X522" s="16" t="s">
        <v>281</v>
      </c>
      <c r="Y522" s="16" t="s">
        <v>283</v>
      </c>
      <c r="Z522" s="17" t="str">
        <f aca="false">IFERROR(INDEX(Scoring!$U:$U,MATCH($C522&amp;"|"&amp;$E522,Scoring!$AD:$AD,0)),"")</f>
        <v/>
      </c>
      <c r="AA522" s="16" t="str">
        <f aca="false">IFERROR(INDEX(Scoring!$E:$E,MATCH($C522&amp;"|"&amp;$E522,Scoring!$AD:$AD,0)),"")</f>
        <v>Excluded – IV only</v>
      </c>
      <c r="AB522" s="19" t="n">
        <f aca="false">IFERROR(INDEX(Scoring!$M:$M,MATCH($C522&amp;"|"&amp;$E522,Scoring!$AD:$AD,0)),"")</f>
        <v>68</v>
      </c>
      <c r="AC522" s="16" t="str">
        <f aca="false">IFERROR(INDEX('Route of Administration'!$C$5:$C$155,MATCH($C522,'Route of Administration'!$A$5:$A$155,0)),"")</f>
        <v>IV</v>
      </c>
      <c r="AD522" s="15" t="str">
        <f aca="false">IFERROR(INDEX('Route of Administration'!$D$5:$D$155,MATCH($C522,'Route of Administration'!$A$5:$A$155,0)),"")</f>
        <v>No</v>
      </c>
      <c r="AE522" s="15" t="str">
        <f aca="false">IF($AD522="No","Not checked – drug is IV only",IFERROR(INDEX('Route of Administration'!$O$5:$O$170,MATCH($E522&amp;"|"&amp;$C522,'Route of Administration'!$S$5:$S$170,0)),"Not checked – price ≤ USD 5"))</f>
        <v>Not checked – drug is IV only</v>
      </c>
    </row>
    <row r="523" customFormat="false" ht="28.35" hidden="false" customHeight="false" outlineLevel="0" collapsed="false">
      <c r="B523" s="16" t="n">
        <v>521</v>
      </c>
      <c r="C523" s="16" t="s">
        <v>1250</v>
      </c>
      <c r="D523" s="16" t="s">
        <v>1251</v>
      </c>
      <c r="E523" s="16" t="s">
        <v>237</v>
      </c>
      <c r="F523" s="16" t="s">
        <v>2494</v>
      </c>
      <c r="G523" s="17" t="s">
        <v>2495</v>
      </c>
      <c r="H523" s="16" t="s">
        <v>1533</v>
      </c>
      <c r="I523" s="18" t="n">
        <v>69.3707</v>
      </c>
      <c r="J523" s="16" t="n">
        <v>8</v>
      </c>
      <c r="K523" s="16" t="n">
        <v>2221</v>
      </c>
      <c r="L523" s="19" t="n">
        <v>49989.33</v>
      </c>
      <c r="M523" s="17" t="s">
        <v>1252</v>
      </c>
      <c r="N523" s="18" t="n">
        <v>69.3707</v>
      </c>
      <c r="O523" s="16" t="s">
        <v>1534</v>
      </c>
      <c r="P523" s="16" t="s">
        <v>1561</v>
      </c>
      <c r="Q523" s="17" t="s">
        <v>1536</v>
      </c>
      <c r="R523" s="78" t="s">
        <v>2496</v>
      </c>
      <c r="S523" s="77" t="n">
        <f aca="false">IFERROR(INDEX('Injectable Value'!$Z$28:$Z$178,MATCH($C523,'Injectable Value'!$A$28:$A$178,0)),"")</f>
        <v>0.0524659711687654</v>
      </c>
      <c r="T523" s="19" t="n">
        <f aca="false">IFERROR(ROUND(INDEX('Injectable Value'!$AA$28:$AA$178,MATCH($C523,'Injectable Value'!$A$28:$A$178,0)),1),"")</f>
        <v>2622.7</v>
      </c>
      <c r="U523" s="17" t="s">
        <v>912</v>
      </c>
      <c r="V523" s="16" t="n">
        <v>1</v>
      </c>
      <c r="W523" s="16" t="s">
        <v>912</v>
      </c>
      <c r="X523" s="16" t="s">
        <v>281</v>
      </c>
      <c r="Y523" s="16" t="s">
        <v>283</v>
      </c>
      <c r="Z523" s="17" t="str">
        <f aca="false">IFERROR(INDEX(Scoring!$U:$U,MATCH($C523&amp;"|"&amp;$E523,Scoring!$AD:$AD,0)),"")</f>
        <v/>
      </c>
      <c r="AA523" s="16" t="str">
        <f aca="false">IFERROR(INDEX(Scoring!$E:$E,MATCH($C523&amp;"|"&amp;$E523,Scoring!$AD:$AD,0)),"")</f>
        <v>Excluded – IV only</v>
      </c>
      <c r="AB523" s="19" t="n">
        <f aca="false">IFERROR(INDEX(Scoring!$M:$M,MATCH($C523&amp;"|"&amp;$E523,Scoring!$AD:$AD,0)),"")</f>
        <v>117</v>
      </c>
      <c r="AC523" s="16" t="str">
        <f aca="false">IFERROR(INDEX('Route of Administration'!$C$5:$C$155,MATCH($C523,'Route of Administration'!$A$5:$A$155,0)),"")</f>
        <v>IV</v>
      </c>
      <c r="AD523" s="15" t="str">
        <f aca="false">IFERROR(INDEX('Route of Administration'!$D$5:$D$155,MATCH($C523,'Route of Administration'!$A$5:$A$155,0)),"")</f>
        <v>No</v>
      </c>
      <c r="AE523" s="15" t="str">
        <f aca="false">IF($AD523="No","Not checked – drug is IV only",IFERROR(INDEX('Route of Administration'!$O$5:$O$170,MATCH($E523&amp;"|"&amp;$C523,'Route of Administration'!$S$5:$S$170,0)),"Not checked – price ≤ USD 5"))</f>
        <v>Not checked – drug is IV only</v>
      </c>
    </row>
    <row r="524" customFormat="false" ht="28.35" hidden="false" customHeight="false" outlineLevel="0" collapsed="false">
      <c r="B524" s="16" t="n">
        <v>522</v>
      </c>
      <c r="C524" s="16" t="s">
        <v>1250</v>
      </c>
      <c r="D524" s="16" t="s">
        <v>1251</v>
      </c>
      <c r="E524" s="16" t="s">
        <v>237</v>
      </c>
      <c r="F524" s="16" t="s">
        <v>2494</v>
      </c>
      <c r="G524" s="17" t="s">
        <v>2497</v>
      </c>
      <c r="H524" s="16" t="s">
        <v>1533</v>
      </c>
      <c r="I524" s="18" t="n">
        <v>69.3707</v>
      </c>
      <c r="J524" s="16" t="n">
        <v>7</v>
      </c>
      <c r="K524" s="16" t="n">
        <v>2221</v>
      </c>
      <c r="L524" s="19" t="n">
        <v>49989.33</v>
      </c>
      <c r="M524" s="17" t="s">
        <v>1252</v>
      </c>
      <c r="N524" s="18" t="n">
        <v>69.3707</v>
      </c>
      <c r="O524" s="16" t="s">
        <v>1534</v>
      </c>
      <c r="P524" s="16" t="s">
        <v>1561</v>
      </c>
      <c r="Q524" s="17" t="s">
        <v>1536</v>
      </c>
      <c r="R524" s="78" t="s">
        <v>2496</v>
      </c>
      <c r="S524" s="77" t="n">
        <f aca="false">IFERROR(INDEX('Injectable Value'!$Z$28:$Z$178,MATCH($C524,'Injectable Value'!$A$28:$A$178,0)),"")</f>
        <v>0.0524659711687654</v>
      </c>
      <c r="T524" s="19" t="n">
        <f aca="false">IFERROR(ROUND(INDEX('Injectable Value'!$AA$28:$AA$178,MATCH($C524,'Injectable Value'!$A$28:$A$178,0)),1),"")</f>
        <v>2622.7</v>
      </c>
      <c r="U524" s="17" t="s">
        <v>912</v>
      </c>
      <c r="V524" s="16" t="n">
        <v>1</v>
      </c>
      <c r="W524" s="16" t="s">
        <v>912</v>
      </c>
      <c r="X524" s="16" t="s">
        <v>281</v>
      </c>
      <c r="Y524" s="16" t="s">
        <v>283</v>
      </c>
      <c r="Z524" s="17" t="str">
        <f aca="false">IFERROR(INDEX(Scoring!$U:$U,MATCH($C524&amp;"|"&amp;$E524,Scoring!$AD:$AD,0)),"")</f>
        <v/>
      </c>
      <c r="AA524" s="16" t="str">
        <f aca="false">IFERROR(INDEX(Scoring!$E:$E,MATCH($C524&amp;"|"&amp;$E524,Scoring!$AD:$AD,0)),"")</f>
        <v>Excluded – IV only</v>
      </c>
      <c r="AB524" s="19" t="n">
        <f aca="false">IFERROR(INDEX(Scoring!$M:$M,MATCH($C524&amp;"|"&amp;$E524,Scoring!$AD:$AD,0)),"")</f>
        <v>117</v>
      </c>
      <c r="AC524" s="16" t="str">
        <f aca="false">IFERROR(INDEX('Route of Administration'!$C$5:$C$155,MATCH($C524,'Route of Administration'!$A$5:$A$155,0)),"")</f>
        <v>IV</v>
      </c>
      <c r="AD524" s="15" t="str">
        <f aca="false">IFERROR(INDEX('Route of Administration'!$D$5:$D$155,MATCH($C524,'Route of Administration'!$A$5:$A$155,0)),"")</f>
        <v>No</v>
      </c>
      <c r="AE524" s="15" t="str">
        <f aca="false">IF($AD524="No","Not checked – drug is IV only",IFERROR(INDEX('Route of Administration'!$O$5:$O$170,MATCH($E524&amp;"|"&amp;$C524,'Route of Administration'!$S$5:$S$170,0)),"Not checked – price ≤ USD 5"))</f>
        <v>Not checked – drug is IV only</v>
      </c>
    </row>
    <row r="525" customFormat="false" ht="28.35" hidden="false" customHeight="false" outlineLevel="0" collapsed="false">
      <c r="B525" s="16" t="n">
        <v>523</v>
      </c>
      <c r="C525" s="16" t="s">
        <v>1255</v>
      </c>
      <c r="D525" s="16" t="s">
        <v>1256</v>
      </c>
      <c r="E525" s="16" t="s">
        <v>237</v>
      </c>
      <c r="F525" s="16" t="s">
        <v>2498</v>
      </c>
      <c r="G525" s="17" t="s">
        <v>1863</v>
      </c>
      <c r="H525" s="16" t="s">
        <v>1533</v>
      </c>
      <c r="I525" s="18" t="n">
        <v>30.352</v>
      </c>
      <c r="J525" s="16" t="n">
        <v>1</v>
      </c>
      <c r="K525" s="16" t="n">
        <v>44</v>
      </c>
      <c r="L525" s="19" t="n">
        <v>2375.17</v>
      </c>
      <c r="M525" s="17" t="s">
        <v>1257</v>
      </c>
      <c r="N525" s="18" t="n">
        <v>30.352</v>
      </c>
      <c r="O525" s="16" t="s">
        <v>1534</v>
      </c>
      <c r="P525" s="16" t="s">
        <v>1535</v>
      </c>
      <c r="Q525" s="17" t="s">
        <v>1536</v>
      </c>
      <c r="R525" s="78" t="s">
        <v>2499</v>
      </c>
      <c r="S525" s="77" t="n">
        <f aca="false">IFERROR(INDEX('Injectable Value'!$Z$28:$Z$178,MATCH($C525,'Injectable Value'!$A$28:$A$178,0)),"")</f>
        <v>0.545991045991046</v>
      </c>
      <c r="T525" s="19" t="n">
        <f aca="false">IFERROR(ROUND(INDEX('Injectable Value'!$AA$28:$AA$178,MATCH($C525,'Injectable Value'!$A$28:$A$178,0)),1),"")</f>
        <v>1296.8</v>
      </c>
      <c r="U525" s="17" t="s">
        <v>1259</v>
      </c>
      <c r="V525" s="16" t="n">
        <v>2</v>
      </c>
      <c r="W525" s="16" t="s">
        <v>912</v>
      </c>
      <c r="X525" s="16" t="s">
        <v>349</v>
      </c>
      <c r="Y525" s="16" t="s">
        <v>283</v>
      </c>
      <c r="Z525" s="17" t="str">
        <f aca="false">IFERROR(INDEX(Scoring!$U:$U,MATCH($C525&amp;"|"&amp;$E525,Scoring!$AD:$AD,0)),"")</f>
        <v/>
      </c>
      <c r="AA525" s="16" t="str">
        <f aca="false">IFERROR(INDEX(Scoring!$E:$E,MATCH($C525&amp;"|"&amp;$E525,Scoring!$AD:$AD,0)),"")</f>
        <v>Priority 2</v>
      </c>
      <c r="AB525" s="19" t="n">
        <f aca="false">IFERROR(INDEX(Scoring!$M:$M,MATCH($C525&amp;"|"&amp;$E525,Scoring!$AD:$AD,0)),"")</f>
        <v>24</v>
      </c>
      <c r="AC525" s="16" t="str">
        <f aca="false">IFERROR(INDEX('Route of Administration'!$C$5:$C$155,MATCH($C525,'Route of Administration'!$A$5:$A$155,0)),"")</f>
        <v>IV, IM</v>
      </c>
      <c r="AD525" s="15" t="str">
        <f aca="false">IFERROR(INDEX('Route of Administration'!$D$5:$D$155,MATCH($C525,'Route of Administration'!$A$5:$A$155,0)),"")</f>
        <v>Yes</v>
      </c>
      <c r="AE525" s="15" t="str">
        <f aca="false">IF($AD525="No","Not checked – drug is IV only",IFERROR(INDEX('Route of Administration'!$O$5:$O$170,MATCH($E525&amp;"|"&amp;$C525,'Route of Administration'!$S$5:$S$170,0)),"Not checked – price ≤ USD 5"))</f>
        <v>Pass</v>
      </c>
    </row>
    <row r="526" customFormat="false" ht="28.35" hidden="false" customHeight="false" outlineLevel="0" collapsed="false">
      <c r="B526" s="16" t="n">
        <v>524</v>
      </c>
      <c r="C526" s="16" t="s">
        <v>1266</v>
      </c>
      <c r="D526" s="16" t="s">
        <v>1267</v>
      </c>
      <c r="E526" s="16" t="s">
        <v>237</v>
      </c>
      <c r="F526" s="16" t="s">
        <v>1851</v>
      </c>
      <c r="G526" s="17" t="s">
        <v>1852</v>
      </c>
      <c r="H526" s="16" t="s">
        <v>1533</v>
      </c>
      <c r="I526" s="18" t="n">
        <v>90.209</v>
      </c>
      <c r="J526" s="16" t="n">
        <v>1</v>
      </c>
      <c r="K526" s="16" t="n">
        <v>2286</v>
      </c>
      <c r="L526" s="19" t="n">
        <v>106496.78</v>
      </c>
      <c r="M526" s="17" t="s">
        <v>1268</v>
      </c>
      <c r="N526" s="18" t="n">
        <v>90.209</v>
      </c>
      <c r="O526" s="16" t="s">
        <v>1534</v>
      </c>
      <c r="P526" s="16" t="s">
        <v>1535</v>
      </c>
      <c r="Q526" s="17" t="s">
        <v>1536</v>
      </c>
      <c r="R526" s="78" t="s">
        <v>2500</v>
      </c>
      <c r="S526" s="77" t="n">
        <f aca="false">IFERROR(INDEX('Injectable Value'!$Z$28:$Z$178,MATCH($C526,'Injectable Value'!$A$28:$A$178,0)),"")</f>
        <v>0.174359744408496</v>
      </c>
      <c r="T526" s="19" t="n">
        <f aca="false">IFERROR(ROUND(INDEX('Injectable Value'!$AA$28:$AA$178,MATCH($C526,'Injectable Value'!$A$28:$A$178,0)),1),"")</f>
        <v>18568.8</v>
      </c>
      <c r="U526" s="17" t="s">
        <v>1270</v>
      </c>
      <c r="V526" s="16" t="n">
        <v>3</v>
      </c>
      <c r="W526" s="16" t="s">
        <v>452</v>
      </c>
      <c r="X526" s="16" t="s">
        <v>281</v>
      </c>
      <c r="Y526" s="16" t="s">
        <v>283</v>
      </c>
      <c r="Z526" s="17" t="str">
        <f aca="false">IFERROR(INDEX(Scoring!$U:$U,MATCH($C526&amp;"|"&amp;$E526,Scoring!$AD:$AD,0)),"")</f>
        <v/>
      </c>
      <c r="AA526" s="16" t="str">
        <f aca="false">IFERROR(INDEX(Scoring!$E:$E,MATCH($C526&amp;"|"&amp;$E526,Scoring!$AD:$AD,0)),"")</f>
        <v>Excluded – IV only</v>
      </c>
      <c r="AB526" s="19" t="n">
        <f aca="false">IFERROR(INDEX(Scoring!$M:$M,MATCH($C526&amp;"|"&amp;$E526,Scoring!$AD:$AD,0)),"")</f>
        <v>399</v>
      </c>
      <c r="AC526" s="16" t="str">
        <f aca="false">IFERROR(INDEX('Route of Administration'!$C$5:$C$155,MATCH($C526,'Route of Administration'!$A$5:$A$155,0)),"")</f>
        <v>IV</v>
      </c>
      <c r="AD526" s="15" t="str">
        <f aca="false">IFERROR(INDEX('Route of Administration'!$D$5:$D$155,MATCH($C526,'Route of Administration'!$A$5:$A$155,0)),"")</f>
        <v>No</v>
      </c>
      <c r="AE526" s="15" t="str">
        <f aca="false">IF($AD526="No","Not checked – drug is IV only",IFERROR(INDEX('Route of Administration'!$O$5:$O$170,MATCH($E526&amp;"|"&amp;$C526,'Route of Administration'!$S$5:$S$170,0)),"Not checked – price ≤ USD 5"))</f>
        <v>Not checked – drug is IV only</v>
      </c>
    </row>
    <row r="527" customFormat="false" ht="28.35" hidden="false" customHeight="false" outlineLevel="0" collapsed="false">
      <c r="B527" s="16" t="n">
        <v>525</v>
      </c>
      <c r="C527" s="16" t="s">
        <v>637</v>
      </c>
      <c r="D527" s="16" t="s">
        <v>2501</v>
      </c>
      <c r="E527" s="16" t="s">
        <v>237</v>
      </c>
      <c r="F527" s="16" t="s">
        <v>1867</v>
      </c>
      <c r="G527" s="17" t="s">
        <v>1868</v>
      </c>
      <c r="H527" s="16" t="s">
        <v>1533</v>
      </c>
      <c r="I527" s="18"/>
      <c r="J527" s="16" t="n">
        <v>1</v>
      </c>
      <c r="K527" s="16" t="n">
        <v>87</v>
      </c>
      <c r="L527" s="19" t="n">
        <v>2931.42</v>
      </c>
      <c r="M527" s="17" t="s">
        <v>639</v>
      </c>
      <c r="N527" s="18"/>
      <c r="O527" s="16" t="s">
        <v>1573</v>
      </c>
      <c r="P527" s="16" t="s">
        <v>112</v>
      </c>
      <c r="Q527" s="17" t="s">
        <v>112</v>
      </c>
      <c r="R527" s="16"/>
      <c r="S527" s="77" t="n">
        <f aca="false">IFERROR(INDEX('Injectable Value'!$Z$28:$Z$178,MATCH($C527,'Injectable Value'!$A$28:$A$178,0)),"")</f>
        <v>1</v>
      </c>
      <c r="T527" s="19" t="n">
        <f aca="false">IFERROR(ROUND(INDEX('Injectable Value'!$AA$28:$AA$178,MATCH($C527,'Injectable Value'!$A$28:$A$178,0)),1),"")</f>
        <v>2931.4</v>
      </c>
      <c r="U527" s="17" t="s">
        <v>635</v>
      </c>
      <c r="V527" s="16" t="n">
        <v>2</v>
      </c>
      <c r="W527" s="16" t="s">
        <v>284</v>
      </c>
      <c r="X527" s="16" t="s">
        <v>349</v>
      </c>
      <c r="Y527" s="16" t="s">
        <v>283</v>
      </c>
      <c r="Z527" s="17" t="str">
        <f aca="false">IFERROR(INDEX(Scoring!$U:$U,MATCH($C527&amp;"|"&amp;$E527,Scoring!$AD:$AD,0)),"")</f>
        <v/>
      </c>
      <c r="AA527" s="16" t="str">
        <f aca="false">IFERROR(INDEX(Scoring!$E:$E,MATCH($C527&amp;"|"&amp;$E527,Scoring!$AD:$AD,0)),"")</f>
        <v>Priority 2</v>
      </c>
      <c r="AB527" s="19" t="n">
        <f aca="false">IFERROR(INDEX(Scoring!$M:$M,MATCH($C527&amp;"|"&amp;$E527,Scoring!$AD:$AD,0)),"")</f>
        <v>87</v>
      </c>
      <c r="AC527" s="16" t="str">
        <f aca="false">IFERROR(INDEX('Route of Administration'!$C$5:$C$155,MATCH($C527,'Route of Administration'!$A$5:$A$155,0)),"")</f>
        <v>IV, IM, SC</v>
      </c>
      <c r="AD527" s="15" t="str">
        <f aca="false">IFERROR(INDEX('Route of Administration'!$D$5:$D$155,MATCH($C527,'Route of Administration'!$A$5:$A$155,0)),"")</f>
        <v>Yes</v>
      </c>
      <c r="AE527" s="15" t="str">
        <f aca="false">IF($AD527="No","Not checked – drug is IV only",IFERROR(INDEX('Route of Administration'!$O$5:$O$170,MATCH($E527&amp;"|"&amp;$C527,'Route of Administration'!$S$5:$S$170,0)),"Not checked – price ≤ USD 5"))</f>
        <v>Pass</v>
      </c>
    </row>
    <row r="528" customFormat="false" ht="28.35" hidden="false" customHeight="false" outlineLevel="0" collapsed="false">
      <c r="B528" s="16" t="n">
        <v>526</v>
      </c>
      <c r="C528" s="16" t="s">
        <v>637</v>
      </c>
      <c r="D528" s="16" t="s">
        <v>2501</v>
      </c>
      <c r="E528" s="16" t="s">
        <v>237</v>
      </c>
      <c r="F528" s="16" t="s">
        <v>1862</v>
      </c>
      <c r="G528" s="17" t="s">
        <v>1863</v>
      </c>
      <c r="H528" s="16" t="s">
        <v>1533</v>
      </c>
      <c r="I528" s="18"/>
      <c r="J528" s="16" t="n">
        <v>1</v>
      </c>
      <c r="K528" s="16" t="n">
        <v>87</v>
      </c>
      <c r="L528" s="19" t="n">
        <v>2931.42</v>
      </c>
      <c r="M528" s="17" t="s">
        <v>639</v>
      </c>
      <c r="N528" s="18"/>
      <c r="O528" s="16" t="s">
        <v>1573</v>
      </c>
      <c r="P528" s="16" t="s">
        <v>112</v>
      </c>
      <c r="Q528" s="17" t="s">
        <v>112</v>
      </c>
      <c r="R528" s="16"/>
      <c r="S528" s="77" t="n">
        <f aca="false">IFERROR(INDEX('Injectable Value'!$Z$28:$Z$178,MATCH($C528,'Injectable Value'!$A$28:$A$178,0)),"")</f>
        <v>1</v>
      </c>
      <c r="T528" s="19" t="n">
        <f aca="false">IFERROR(ROUND(INDEX('Injectable Value'!$AA$28:$AA$178,MATCH($C528,'Injectable Value'!$A$28:$A$178,0)),1),"")</f>
        <v>2931.4</v>
      </c>
      <c r="U528" s="17" t="s">
        <v>635</v>
      </c>
      <c r="V528" s="16" t="n">
        <v>2</v>
      </c>
      <c r="W528" s="16" t="s">
        <v>284</v>
      </c>
      <c r="X528" s="16" t="s">
        <v>349</v>
      </c>
      <c r="Y528" s="16" t="s">
        <v>283</v>
      </c>
      <c r="Z528" s="17" t="str">
        <f aca="false">IFERROR(INDEX(Scoring!$U:$U,MATCH($C528&amp;"|"&amp;$E528,Scoring!$AD:$AD,0)),"")</f>
        <v/>
      </c>
      <c r="AA528" s="16" t="str">
        <f aca="false">IFERROR(INDEX(Scoring!$E:$E,MATCH($C528&amp;"|"&amp;$E528,Scoring!$AD:$AD,0)),"")</f>
        <v>Priority 2</v>
      </c>
      <c r="AB528" s="19" t="n">
        <f aca="false">IFERROR(INDEX(Scoring!$M:$M,MATCH($C528&amp;"|"&amp;$E528,Scoring!$AD:$AD,0)),"")</f>
        <v>87</v>
      </c>
      <c r="AC528" s="16" t="str">
        <f aca="false">IFERROR(INDEX('Route of Administration'!$C$5:$C$155,MATCH($C528,'Route of Administration'!$A$5:$A$155,0)),"")</f>
        <v>IV, IM, SC</v>
      </c>
      <c r="AD528" s="15" t="str">
        <f aca="false">IFERROR(INDEX('Route of Administration'!$D$5:$D$155,MATCH($C528,'Route of Administration'!$A$5:$A$155,0)),"")</f>
        <v>Yes</v>
      </c>
      <c r="AE528" s="15" t="str">
        <f aca="false">IF($AD528="No","Not checked – drug is IV only",IFERROR(INDEX('Route of Administration'!$O$5:$O$170,MATCH($E528&amp;"|"&amp;$C528,'Route of Administration'!$S$5:$S$170,0)),"Not checked – price ≤ USD 5"))</f>
        <v>Pass</v>
      </c>
    </row>
    <row r="529" customFormat="false" ht="28.35" hidden="false" customHeight="false" outlineLevel="0" collapsed="false">
      <c r="B529" s="16" t="n">
        <v>527</v>
      </c>
      <c r="C529" s="16" t="s">
        <v>375</v>
      </c>
      <c r="D529" s="16" t="s">
        <v>376</v>
      </c>
      <c r="E529" s="16" t="s">
        <v>1238</v>
      </c>
      <c r="F529" s="16" t="s">
        <v>1563</v>
      </c>
      <c r="G529" s="17" t="s">
        <v>2502</v>
      </c>
      <c r="H529" s="16" t="s">
        <v>1533</v>
      </c>
      <c r="I529" s="18" t="n">
        <v>14.96</v>
      </c>
      <c r="J529" s="16" t="n">
        <v>1</v>
      </c>
      <c r="K529" s="16" t="n">
        <v>472</v>
      </c>
      <c r="L529" s="19" t="n">
        <v>7831.08</v>
      </c>
      <c r="M529" s="17" t="s">
        <v>377</v>
      </c>
      <c r="N529" s="18" t="n">
        <v>14.96</v>
      </c>
      <c r="O529" s="16" t="s">
        <v>1534</v>
      </c>
      <c r="P529" s="16" t="s">
        <v>1535</v>
      </c>
      <c r="Q529" s="17" t="s">
        <v>1536</v>
      </c>
      <c r="R529" s="78" t="s">
        <v>1565</v>
      </c>
      <c r="S529" s="77" t="n">
        <f aca="false">IFERROR(INDEX('Injectable Value'!$Z$28:$Z$178,MATCH($C529,'Injectable Value'!$A$28:$A$178,0)),"")</f>
        <v>0.1734375</v>
      </c>
      <c r="T529" s="19" t="n">
        <f aca="false">IFERROR(ROUND(INDEX('Injectable Value'!$AA$28:$AA$178,MATCH($C529,'Injectable Value'!$A$28:$A$178,0)),1),"")</f>
        <v>1358.2</v>
      </c>
      <c r="U529" s="17" t="s">
        <v>284</v>
      </c>
      <c r="V529" s="16" t="n">
        <v>1</v>
      </c>
      <c r="W529" s="16" t="s">
        <v>284</v>
      </c>
      <c r="X529" s="16" t="s">
        <v>281</v>
      </c>
      <c r="Y529" s="16" t="s">
        <v>283</v>
      </c>
      <c r="Z529" s="17" t="str">
        <f aca="false">IFERROR(INDEX(Scoring!$U:$U,MATCH($C529&amp;"|"&amp;$E529,Scoring!$AD:$AD,0)),"")</f>
        <v/>
      </c>
      <c r="AA529" s="16" t="str">
        <f aca="false">IFERROR(INDEX(Scoring!$E:$E,MATCH($C529&amp;"|"&amp;$E529,Scoring!$AD:$AD,0)),"")</f>
        <v>Priority 3</v>
      </c>
      <c r="AB529" s="19" t="n">
        <f aca="false">IFERROR(INDEX(Scoring!$M:$M,MATCH($C529&amp;"|"&amp;$E529,Scoring!$AD:$AD,0)),"")</f>
        <v>82</v>
      </c>
      <c r="AC529" s="16" t="str">
        <f aca="false">IFERROR(INDEX('Route of Administration'!$C$5:$C$155,MATCH($C529,'Route of Administration'!$A$5:$A$155,0)),"")</f>
        <v>IM</v>
      </c>
      <c r="AD529" s="15" t="str">
        <f aca="false">IFERROR(INDEX('Route of Administration'!$D$5:$D$155,MATCH($C529,'Route of Administration'!$A$5:$A$155,0)),"")</f>
        <v>Yes</v>
      </c>
      <c r="AE529" s="15" t="str">
        <f aca="false">IF($AD529="No","Not checked – drug is IV only",IFERROR(INDEX('Route of Administration'!$O$5:$O$170,MATCH($E529&amp;"|"&amp;$C529,'Route of Administration'!$S$5:$S$170,0)),"Not checked – price ≤ USD 5"))</f>
        <v>Pass</v>
      </c>
    </row>
    <row r="530" customFormat="false" ht="28.35" hidden="false" customHeight="false" outlineLevel="0" collapsed="false">
      <c r="B530" s="16" t="n">
        <v>528</v>
      </c>
      <c r="C530" s="16" t="s">
        <v>444</v>
      </c>
      <c r="D530" s="16" t="s">
        <v>444</v>
      </c>
      <c r="E530" s="16" t="s">
        <v>1238</v>
      </c>
      <c r="F530" s="16" t="s">
        <v>1563</v>
      </c>
      <c r="G530" s="17" t="s">
        <v>2503</v>
      </c>
      <c r="H530" s="16" t="s">
        <v>1533</v>
      </c>
      <c r="I530" s="18" t="n">
        <v>54.55</v>
      </c>
      <c r="J530" s="16" t="n">
        <v>1</v>
      </c>
      <c r="K530" s="16" t="n">
        <v>126</v>
      </c>
      <c r="L530" s="19" t="n">
        <v>3407.51</v>
      </c>
      <c r="M530" s="17" t="s">
        <v>445</v>
      </c>
      <c r="N530" s="18" t="n">
        <v>54.55</v>
      </c>
      <c r="O530" s="16" t="s">
        <v>1534</v>
      </c>
      <c r="P530" s="16" t="s">
        <v>1535</v>
      </c>
      <c r="Q530" s="17" t="s">
        <v>1536</v>
      </c>
      <c r="R530" s="78" t="s">
        <v>1581</v>
      </c>
      <c r="S530" s="77" t="n">
        <f aca="false">IFERROR(INDEX('Injectable Value'!$Z$28:$Z$178,MATCH($C530,'Injectable Value'!$A$28:$A$178,0)),"")</f>
        <v>1</v>
      </c>
      <c r="T530" s="19" t="n">
        <f aca="false">IFERROR(ROUND(INDEX('Injectable Value'!$AA$28:$AA$178,MATCH($C530,'Injectable Value'!$A$28:$A$178,0)),1),"")</f>
        <v>3407.5</v>
      </c>
      <c r="U530" s="17" t="s">
        <v>284</v>
      </c>
      <c r="V530" s="16" t="n">
        <v>1</v>
      </c>
      <c r="W530" s="16" t="s">
        <v>284</v>
      </c>
      <c r="X530" s="16" t="s">
        <v>281</v>
      </c>
      <c r="Y530" s="16" t="s">
        <v>283</v>
      </c>
      <c r="Z530" s="17" t="str">
        <f aca="false">IFERROR(INDEX(Scoring!$U:$U,MATCH($C530&amp;"|"&amp;$E530,Scoring!$AD:$AD,0)),"")</f>
        <v/>
      </c>
      <c r="AA530" s="16" t="str">
        <f aca="false">IFERROR(INDEX(Scoring!$E:$E,MATCH($C530&amp;"|"&amp;$E530,Scoring!$AD:$AD,0)),"")</f>
        <v>Priority 2</v>
      </c>
      <c r="AB530" s="19" t="n">
        <f aca="false">IFERROR(INDEX(Scoring!$M:$M,MATCH($C530&amp;"|"&amp;$E530,Scoring!$AD:$AD,0)),"")</f>
        <v>126</v>
      </c>
      <c r="AC530" s="16" t="str">
        <f aca="false">IFERROR(INDEX('Route of Administration'!$C$5:$C$155,MATCH($C530,'Route of Administration'!$A$5:$A$155,0)),"")</f>
        <v>IM, SC</v>
      </c>
      <c r="AD530" s="15" t="str">
        <f aca="false">IFERROR(INDEX('Route of Administration'!$D$5:$D$155,MATCH($C530,'Route of Administration'!$A$5:$A$155,0)),"")</f>
        <v>Yes</v>
      </c>
      <c r="AE530" s="15" t="str">
        <f aca="false">IF($AD530="No","Not checked – drug is IV only",IFERROR(INDEX('Route of Administration'!$O$5:$O$170,MATCH($E530&amp;"|"&amp;$C530,'Route of Administration'!$S$5:$S$170,0)),"Not checked – price ≤ USD 5"))</f>
        <v>Pass</v>
      </c>
    </row>
    <row r="531" customFormat="false" ht="28.35" hidden="false" customHeight="false" outlineLevel="0" collapsed="false">
      <c r="B531" s="16" t="n">
        <v>529</v>
      </c>
      <c r="C531" s="16" t="s">
        <v>338</v>
      </c>
      <c r="D531" s="16" t="s">
        <v>338</v>
      </c>
      <c r="E531" s="16" t="s">
        <v>1238</v>
      </c>
      <c r="F531" s="16" t="s">
        <v>1636</v>
      </c>
      <c r="G531" s="17" t="s">
        <v>2504</v>
      </c>
      <c r="H531" s="16" t="s">
        <v>281</v>
      </c>
      <c r="I531" s="18" t="n">
        <v>22.25</v>
      </c>
      <c r="J531" s="16" t="n">
        <v>1</v>
      </c>
      <c r="K531" s="16" t="n">
        <v>905</v>
      </c>
      <c r="L531" s="19" t="n">
        <v>28093.38</v>
      </c>
      <c r="M531" s="17" t="s">
        <v>340</v>
      </c>
      <c r="N531" s="18" t="n">
        <v>22.25</v>
      </c>
      <c r="O531" s="16" t="s">
        <v>1534</v>
      </c>
      <c r="P531" s="16" t="s">
        <v>1535</v>
      </c>
      <c r="Q531" s="17" t="s">
        <v>1536</v>
      </c>
      <c r="R531" s="78" t="s">
        <v>1638</v>
      </c>
      <c r="S531" s="77" t="n">
        <f aca="false">IFERROR(INDEX('Injectable Value'!$Z$28:$Z$178,MATCH($C531,'Injectable Value'!$A$28:$A$178,0)),"")</f>
        <v>1</v>
      </c>
      <c r="T531" s="19" t="n">
        <f aca="false">IFERROR(ROUND(INDEX('Injectable Value'!$AA$28:$AA$178,MATCH($C531,'Injectable Value'!$A$28:$A$178,0)),1),"")</f>
        <v>28093.4</v>
      </c>
      <c r="U531" s="17" t="s">
        <v>1237</v>
      </c>
      <c r="V531" s="16" t="n">
        <v>5</v>
      </c>
      <c r="W531" s="16" t="s">
        <v>855</v>
      </c>
      <c r="X531" s="16" t="s">
        <v>281</v>
      </c>
      <c r="Y531" s="16" t="s">
        <v>333</v>
      </c>
      <c r="Z531" s="17" t="str">
        <f aca="false">IFERROR(INDEX(Scoring!$U:$U,MATCH($C531&amp;"|"&amp;$E531,Scoring!$AD:$AD,0)),"")</f>
        <v>Cancer drug (cytotoxic) – less relevant; Reconstitution</v>
      </c>
      <c r="AA531" s="16" t="str">
        <f aca="false">IFERROR(INDEX(Scoring!$E:$E,MATCH($C531&amp;"|"&amp;$E531,Scoring!$AD:$AD,0)),"")</f>
        <v>Priority 1</v>
      </c>
      <c r="AB531" s="19" t="n">
        <f aca="false">IFERROR(INDEX(Scoring!$M:$M,MATCH($C531&amp;"|"&amp;$E531,Scoring!$AD:$AD,0)),"")</f>
        <v>905</v>
      </c>
      <c r="AC531" s="16" t="str">
        <f aca="false">IFERROR(INDEX('Route of Administration'!$C$5:$C$155,MATCH($C531,'Route of Administration'!$A$5:$A$155,0)),"")</f>
        <v>IV, SC</v>
      </c>
      <c r="AD531" s="15" t="str">
        <f aca="false">IFERROR(INDEX('Route of Administration'!$D$5:$D$155,MATCH($C531,'Route of Administration'!$A$5:$A$155,0)),"")</f>
        <v>Yes</v>
      </c>
      <c r="AE531" s="15" t="str">
        <f aca="false">IF($AD531="No","Not checked – drug is IV only",IFERROR(INDEX('Route of Administration'!$O$5:$O$170,MATCH($E531&amp;"|"&amp;$C531,'Route of Administration'!$S$5:$S$170,0)),"Not checked – price ≤ USD 5"))</f>
        <v>Pass</v>
      </c>
    </row>
    <row r="532" customFormat="false" ht="28.35" hidden="false" customHeight="false" outlineLevel="0" collapsed="false">
      <c r="B532" s="16" t="n">
        <v>530</v>
      </c>
      <c r="C532" s="16" t="s">
        <v>874</v>
      </c>
      <c r="D532" s="16" t="s">
        <v>874</v>
      </c>
      <c r="E532" s="16" t="s">
        <v>1238</v>
      </c>
      <c r="F532" s="16" t="s">
        <v>2487</v>
      </c>
      <c r="G532" s="17" t="s">
        <v>2505</v>
      </c>
      <c r="H532" s="16" t="s">
        <v>2489</v>
      </c>
      <c r="I532" s="18" t="n">
        <v>51.79</v>
      </c>
      <c r="J532" s="16" t="n">
        <v>1</v>
      </c>
      <c r="K532" s="16" t="n">
        <v>45</v>
      </c>
      <c r="L532" s="19" t="n">
        <v>263.65</v>
      </c>
      <c r="M532" s="17" t="s">
        <v>876</v>
      </c>
      <c r="N532" s="18" t="n">
        <v>51.79</v>
      </c>
      <c r="O532" s="16" t="s">
        <v>1534</v>
      </c>
      <c r="P532" s="16" t="s">
        <v>1535</v>
      </c>
      <c r="Q532" s="17" t="s">
        <v>1536</v>
      </c>
      <c r="R532" s="78" t="s">
        <v>2490</v>
      </c>
      <c r="S532" s="77" t="n">
        <f aca="false">IFERROR(INDEX('Injectable Value'!$Z$28:$Z$178,MATCH($C532,'Injectable Value'!$A$28:$A$178,0)),"")</f>
        <v>0.0828659263441872</v>
      </c>
      <c r="T532" s="19" t="n">
        <f aca="false">IFERROR(ROUND(INDEX('Injectable Value'!$AA$28:$AA$178,MATCH($C532,'Injectable Value'!$A$28:$A$178,0)),1),"")</f>
        <v>21.8</v>
      </c>
      <c r="U532" s="17" t="s">
        <v>284</v>
      </c>
      <c r="V532" s="16" t="n">
        <v>1</v>
      </c>
      <c r="W532" s="16" t="s">
        <v>284</v>
      </c>
      <c r="X532" s="16" t="s">
        <v>281</v>
      </c>
      <c r="Y532" s="16" t="s">
        <v>283</v>
      </c>
      <c r="Z532" s="17" t="str">
        <f aca="false">IFERROR(INDEX(Scoring!$U:$U,MATCH($C532&amp;"|"&amp;$E532,Scoring!$AD:$AD,0)),"")</f>
        <v/>
      </c>
      <c r="AA532" s="16" t="str">
        <f aca="false">IFERROR(INDEX(Scoring!$E:$E,MATCH($C532&amp;"|"&amp;$E532,Scoring!$AD:$AD,0)),"")</f>
        <v>Excluded – IV only</v>
      </c>
      <c r="AB532" s="19" t="n">
        <f aca="false">IFERROR(INDEX(Scoring!$M:$M,MATCH($C532&amp;"|"&amp;$E532,Scoring!$AD:$AD,0)),"")</f>
        <v>4</v>
      </c>
      <c r="AC532" s="16" t="str">
        <f aca="false">IFERROR(INDEX('Route of Administration'!$C$5:$C$155,MATCH($C532,'Route of Administration'!$A$5:$A$155,0)),"")</f>
        <v>IV</v>
      </c>
      <c r="AD532" s="15" t="str">
        <f aca="false">IFERROR(INDEX('Route of Administration'!$D$5:$D$155,MATCH($C532,'Route of Administration'!$A$5:$A$155,0)),"")</f>
        <v>No</v>
      </c>
      <c r="AE532" s="15" t="str">
        <f aca="false">IF($AD532="No","Not checked – drug is IV only",IFERROR(INDEX('Route of Administration'!$O$5:$O$170,MATCH($E532&amp;"|"&amp;$C532,'Route of Administration'!$S$5:$S$170,0)),"Not checked – price ≤ USD 5"))</f>
        <v>Not checked – drug is IV only</v>
      </c>
    </row>
    <row r="533" customFormat="false" ht="28.35" hidden="false" customHeight="false" outlineLevel="0" collapsed="false">
      <c r="B533" s="16" t="n">
        <v>531</v>
      </c>
      <c r="C533" s="16" t="s">
        <v>665</v>
      </c>
      <c r="D533" s="16" t="s">
        <v>1504</v>
      </c>
      <c r="E533" s="16" t="s">
        <v>1238</v>
      </c>
      <c r="F533" s="16" t="s">
        <v>1942</v>
      </c>
      <c r="G533" s="17" t="s">
        <v>2506</v>
      </c>
      <c r="H533" s="16" t="s">
        <v>1533</v>
      </c>
      <c r="I533" s="18" t="n">
        <v>21.78</v>
      </c>
      <c r="J533" s="16" t="n">
        <v>1</v>
      </c>
      <c r="K533" s="16" t="n">
        <v>346</v>
      </c>
      <c r="L533" s="19" t="n">
        <v>32830.17</v>
      </c>
      <c r="M533" s="17" t="s">
        <v>667</v>
      </c>
      <c r="N533" s="18" t="n">
        <v>21.78</v>
      </c>
      <c r="O533" s="16" t="s">
        <v>1534</v>
      </c>
      <c r="P533" s="16" t="s">
        <v>1535</v>
      </c>
      <c r="Q533" s="17" t="s">
        <v>1536</v>
      </c>
      <c r="R533" s="78" t="s">
        <v>1944</v>
      </c>
      <c r="S533" s="77" t="n">
        <f aca="false">IFERROR(INDEX('Injectable Value'!$Z$28:$Z$178,MATCH($C533,'Injectable Value'!$A$28:$A$178,0)),"")</f>
        <v>1</v>
      </c>
      <c r="T533" s="19" t="n">
        <f aca="false">IFERROR(ROUND(INDEX('Injectable Value'!$AA$28:$AA$178,MATCH($C533,'Injectable Value'!$A$28:$A$178,0)),1),"")</f>
        <v>32830.2</v>
      </c>
      <c r="U533" s="17" t="s">
        <v>1248</v>
      </c>
      <c r="V533" s="16" t="n">
        <v>11</v>
      </c>
      <c r="W533" s="16" t="s">
        <v>1247</v>
      </c>
      <c r="X533" s="16" t="s">
        <v>281</v>
      </c>
      <c r="Y533" s="16" t="s">
        <v>283</v>
      </c>
      <c r="Z533" s="17" t="str">
        <f aca="false">IFERROR(INDEX(Scoring!$U:$U,MATCH($C533&amp;"|"&amp;$E533,Scoring!$AD:$AD,0)),"")</f>
        <v/>
      </c>
      <c r="AA533" s="16" t="str">
        <f aca="false">IFERROR(INDEX(Scoring!$E:$E,MATCH($C533&amp;"|"&amp;$E533,Scoring!$AD:$AD,0)),"")</f>
        <v>Excluded – IV only</v>
      </c>
      <c r="AB533" s="19" t="n">
        <f aca="false">IFERROR(INDEX(Scoring!$M:$M,MATCH($C533&amp;"|"&amp;$E533,Scoring!$AD:$AD,0)),"")</f>
        <v>346</v>
      </c>
      <c r="AC533" s="16" t="str">
        <f aca="false">IFERROR(INDEX('Route of Administration'!$C$5:$C$155,MATCH($C533,'Route of Administration'!$A$5:$A$155,0)),"")</f>
        <v>IV</v>
      </c>
      <c r="AD533" s="15" t="str">
        <f aca="false">IFERROR(INDEX('Route of Administration'!$D$5:$D$155,MATCH($C533,'Route of Administration'!$A$5:$A$155,0)),"")</f>
        <v>No</v>
      </c>
      <c r="AE533" s="15" t="str">
        <f aca="false">IF($AD533="No","Not checked – drug is IV only",IFERROR(INDEX('Route of Administration'!$O$5:$O$170,MATCH($E533&amp;"|"&amp;$C533,'Route of Administration'!$S$5:$S$170,0)),"Not checked – price ≤ USD 5"))</f>
        <v>Not checked – drug is IV only</v>
      </c>
    </row>
    <row r="534" customFormat="false" ht="28.35" hidden="false" customHeight="false" outlineLevel="0" collapsed="false">
      <c r="B534" s="16" t="n">
        <v>532</v>
      </c>
      <c r="C534" s="16" t="s">
        <v>665</v>
      </c>
      <c r="D534" s="16" t="s">
        <v>1504</v>
      </c>
      <c r="E534" s="16" t="s">
        <v>1238</v>
      </c>
      <c r="F534" s="16" t="s">
        <v>1945</v>
      </c>
      <c r="G534" s="17" t="s">
        <v>2434</v>
      </c>
      <c r="H534" s="16" t="s">
        <v>1533</v>
      </c>
      <c r="I534" s="18" t="n">
        <v>48.28</v>
      </c>
      <c r="J534" s="16" t="n">
        <v>1</v>
      </c>
      <c r="K534" s="16" t="n">
        <v>346</v>
      </c>
      <c r="L534" s="19" t="n">
        <v>32830.17</v>
      </c>
      <c r="M534" s="17" t="s">
        <v>667</v>
      </c>
      <c r="N534" s="18" t="n">
        <v>48.28</v>
      </c>
      <c r="O534" s="16" t="s">
        <v>1534</v>
      </c>
      <c r="P534" s="16" t="s">
        <v>1535</v>
      </c>
      <c r="Q534" s="17" t="s">
        <v>1536</v>
      </c>
      <c r="R534" s="78" t="s">
        <v>1944</v>
      </c>
      <c r="S534" s="77" t="n">
        <f aca="false">IFERROR(INDEX('Injectable Value'!$Z$28:$Z$178,MATCH($C534,'Injectable Value'!$A$28:$A$178,0)),"")</f>
        <v>1</v>
      </c>
      <c r="T534" s="19" t="n">
        <f aca="false">IFERROR(ROUND(INDEX('Injectable Value'!$AA$28:$AA$178,MATCH($C534,'Injectable Value'!$A$28:$A$178,0)),1),"")</f>
        <v>32830.2</v>
      </c>
      <c r="U534" s="17" t="s">
        <v>1248</v>
      </c>
      <c r="V534" s="16" t="n">
        <v>11</v>
      </c>
      <c r="W534" s="16" t="s">
        <v>1247</v>
      </c>
      <c r="X534" s="16" t="s">
        <v>281</v>
      </c>
      <c r="Y534" s="16" t="s">
        <v>283</v>
      </c>
      <c r="Z534" s="17" t="str">
        <f aca="false">IFERROR(INDEX(Scoring!$U:$U,MATCH($C534&amp;"|"&amp;$E534,Scoring!$AD:$AD,0)),"")</f>
        <v/>
      </c>
      <c r="AA534" s="16" t="str">
        <f aca="false">IFERROR(INDEX(Scoring!$E:$E,MATCH($C534&amp;"|"&amp;$E534,Scoring!$AD:$AD,0)),"")</f>
        <v>Excluded – IV only</v>
      </c>
      <c r="AB534" s="19" t="n">
        <f aca="false">IFERROR(INDEX(Scoring!$M:$M,MATCH($C534&amp;"|"&amp;$E534,Scoring!$AD:$AD,0)),"")</f>
        <v>346</v>
      </c>
      <c r="AC534" s="16" t="str">
        <f aca="false">IFERROR(INDEX('Route of Administration'!$C$5:$C$155,MATCH($C534,'Route of Administration'!$A$5:$A$155,0)),"")</f>
        <v>IV</v>
      </c>
      <c r="AD534" s="15" t="str">
        <f aca="false">IFERROR(INDEX('Route of Administration'!$D$5:$D$155,MATCH($C534,'Route of Administration'!$A$5:$A$155,0)),"")</f>
        <v>No</v>
      </c>
      <c r="AE534" s="15" t="str">
        <f aca="false">IF($AD534="No","Not checked – drug is IV only",IFERROR(INDEX('Route of Administration'!$O$5:$O$170,MATCH($E534&amp;"|"&amp;$C534,'Route of Administration'!$S$5:$S$170,0)),"Not checked – price ≤ USD 5"))</f>
        <v>Not checked – drug is IV only</v>
      </c>
    </row>
    <row r="535" customFormat="false" ht="28.35" hidden="false" customHeight="false" outlineLevel="0" collapsed="false">
      <c r="B535" s="16" t="n">
        <v>533</v>
      </c>
      <c r="C535" s="16" t="s">
        <v>541</v>
      </c>
      <c r="D535" s="16" t="s">
        <v>541</v>
      </c>
      <c r="E535" s="16" t="s">
        <v>1238</v>
      </c>
      <c r="F535" s="16" t="s">
        <v>1676</v>
      </c>
      <c r="G535" s="17" t="s">
        <v>1677</v>
      </c>
      <c r="H535" s="16" t="s">
        <v>1533</v>
      </c>
      <c r="I535" s="18" t="n">
        <v>343.8</v>
      </c>
      <c r="J535" s="16" t="n">
        <v>1</v>
      </c>
      <c r="K535" s="16" t="n">
        <v>47</v>
      </c>
      <c r="L535" s="19" t="n">
        <v>7904.67</v>
      </c>
      <c r="M535" s="17" t="s">
        <v>543</v>
      </c>
      <c r="N535" s="18" t="n">
        <v>343.8</v>
      </c>
      <c r="O535" s="16" t="s">
        <v>1534</v>
      </c>
      <c r="P535" s="16" t="s">
        <v>1535</v>
      </c>
      <c r="Q535" s="17" t="s">
        <v>1536</v>
      </c>
      <c r="R535" s="78" t="s">
        <v>1678</v>
      </c>
      <c r="S535" s="77" t="n">
        <f aca="false">IFERROR(INDEX('Injectable Value'!$Z$28:$Z$178,MATCH($C535,'Injectable Value'!$A$28:$A$178,0)),"")</f>
        <v>1</v>
      </c>
      <c r="T535" s="19" t="n">
        <f aca="false">IFERROR(ROUND(INDEX('Injectable Value'!$AA$28:$AA$178,MATCH($C535,'Injectable Value'!$A$28:$A$178,0)),1),"")</f>
        <v>7904.7</v>
      </c>
      <c r="U535" s="17" t="s">
        <v>1244</v>
      </c>
      <c r="V535" s="16" t="n">
        <v>9</v>
      </c>
      <c r="W535" s="16" t="s">
        <v>284</v>
      </c>
      <c r="X535" s="16" t="s">
        <v>281</v>
      </c>
      <c r="Y535" s="16" t="s">
        <v>283</v>
      </c>
      <c r="Z535" s="17" t="str">
        <f aca="false">IFERROR(INDEX(Scoring!$U:$U,MATCH($C535&amp;"|"&amp;$E535,Scoring!$AD:$AD,0)),"")</f>
        <v/>
      </c>
      <c r="AA535" s="16" t="str">
        <f aca="false">IFERROR(INDEX(Scoring!$E:$E,MATCH($C535&amp;"|"&amp;$E535,Scoring!$AD:$AD,0)),"")</f>
        <v>Priority 2</v>
      </c>
      <c r="AB535" s="19" t="n">
        <f aca="false">IFERROR(INDEX(Scoring!$M:$M,MATCH($C535&amp;"|"&amp;$E535,Scoring!$AD:$AD,0)),"")</f>
        <v>47</v>
      </c>
      <c r="AC535" s="16" t="str">
        <f aca="false">IFERROR(INDEX('Route of Administration'!$C$5:$C$155,MATCH($C535,'Route of Administration'!$A$5:$A$155,0)),"")</f>
        <v>SC</v>
      </c>
      <c r="AD535" s="15" t="str">
        <f aca="false">IFERROR(INDEX('Route of Administration'!$D$5:$D$155,MATCH($C535,'Route of Administration'!$A$5:$A$155,0)),"")</f>
        <v>Yes</v>
      </c>
      <c r="AE535" s="15" t="str">
        <f aca="false">IF($AD535="No","Not checked – drug is IV only",IFERROR(INDEX('Route of Administration'!$O$5:$O$170,MATCH($E535&amp;"|"&amp;$C535,'Route of Administration'!$S$5:$S$170,0)),"Not checked – price ≤ USD 5"))</f>
        <v>Pass</v>
      </c>
    </row>
    <row r="536" customFormat="false" ht="28.35" hidden="false" customHeight="false" outlineLevel="0" collapsed="false">
      <c r="B536" s="16" t="n">
        <v>534</v>
      </c>
      <c r="C536" s="16" t="s">
        <v>665</v>
      </c>
      <c r="D536" s="16" t="s">
        <v>665</v>
      </c>
      <c r="E536" s="16" t="s">
        <v>1238</v>
      </c>
      <c r="F536" s="16" t="s">
        <v>1762</v>
      </c>
      <c r="G536" s="17" t="s">
        <v>1887</v>
      </c>
      <c r="H536" s="16" t="s">
        <v>1533</v>
      </c>
      <c r="I536" s="18" t="n">
        <v>55.26</v>
      </c>
      <c r="J536" s="16" t="n">
        <v>1</v>
      </c>
      <c r="K536" s="16" t="n">
        <v>346</v>
      </c>
      <c r="L536" s="19" t="n">
        <v>32830.17</v>
      </c>
      <c r="M536" s="17" t="s">
        <v>667</v>
      </c>
      <c r="N536" s="18" t="n">
        <v>55.26</v>
      </c>
      <c r="O536" s="16" t="s">
        <v>1534</v>
      </c>
      <c r="P536" s="16" t="s">
        <v>1700</v>
      </c>
      <c r="Q536" s="17" t="s">
        <v>1536</v>
      </c>
      <c r="R536" s="78" t="s">
        <v>2507</v>
      </c>
      <c r="S536" s="77" t="n">
        <f aca="false">IFERROR(INDEX('Injectable Value'!$Z$28:$Z$178,MATCH($C536,'Injectable Value'!$A$28:$A$178,0)),"")</f>
        <v>1</v>
      </c>
      <c r="T536" s="19" t="n">
        <f aca="false">IFERROR(ROUND(INDEX('Injectable Value'!$AA$28:$AA$178,MATCH($C536,'Injectable Value'!$A$28:$A$178,0)),1),"")</f>
        <v>32830.2</v>
      </c>
      <c r="U536" s="17" t="s">
        <v>1248</v>
      </c>
      <c r="V536" s="16" t="n">
        <v>11</v>
      </c>
      <c r="W536" s="16" t="s">
        <v>1247</v>
      </c>
      <c r="X536" s="16" t="s">
        <v>281</v>
      </c>
      <c r="Y536" s="16" t="s">
        <v>283</v>
      </c>
      <c r="Z536" s="17" t="str">
        <f aca="false">IFERROR(INDEX(Scoring!$U:$U,MATCH($C536&amp;"|"&amp;$E536,Scoring!$AD:$AD,0)),"")</f>
        <v/>
      </c>
      <c r="AA536" s="16" t="str">
        <f aca="false">IFERROR(INDEX(Scoring!$E:$E,MATCH($C536&amp;"|"&amp;$E536,Scoring!$AD:$AD,0)),"")</f>
        <v>Excluded – IV only</v>
      </c>
      <c r="AB536" s="19" t="n">
        <f aca="false">IFERROR(INDEX(Scoring!$M:$M,MATCH($C536&amp;"|"&amp;$E536,Scoring!$AD:$AD,0)),"")</f>
        <v>346</v>
      </c>
      <c r="AC536" s="16" t="str">
        <f aca="false">IFERROR(INDEX('Route of Administration'!$C$5:$C$155,MATCH($C536,'Route of Administration'!$A$5:$A$155,0)),"")</f>
        <v>IV</v>
      </c>
      <c r="AD536" s="15" t="str">
        <f aca="false">IFERROR(INDEX('Route of Administration'!$D$5:$D$155,MATCH($C536,'Route of Administration'!$A$5:$A$155,0)),"")</f>
        <v>No</v>
      </c>
      <c r="AE536" s="15" t="str">
        <f aca="false">IF($AD536="No","Not checked – drug is IV only",IFERROR(INDEX('Route of Administration'!$O$5:$O$170,MATCH($E536&amp;"|"&amp;$C536,'Route of Administration'!$S$5:$S$170,0)),"Not checked – price ≤ USD 5"))</f>
        <v>Not checked – drug is IV only</v>
      </c>
    </row>
    <row r="537" customFormat="false" ht="28.35" hidden="false" customHeight="false" outlineLevel="0" collapsed="false">
      <c r="B537" s="16" t="n">
        <v>535</v>
      </c>
      <c r="C537" s="16" t="s">
        <v>338</v>
      </c>
      <c r="D537" s="16" t="s">
        <v>338</v>
      </c>
      <c r="E537" s="16" t="s">
        <v>1238</v>
      </c>
      <c r="F537" s="16" t="s">
        <v>1680</v>
      </c>
      <c r="G537" s="17" t="s">
        <v>1681</v>
      </c>
      <c r="H537" s="16" t="s">
        <v>1533</v>
      </c>
      <c r="I537" s="18" t="n">
        <v>698.02</v>
      </c>
      <c r="J537" s="16" t="n">
        <v>1</v>
      </c>
      <c r="K537" s="16" t="n">
        <v>905</v>
      </c>
      <c r="L537" s="19" t="n">
        <v>28093.38</v>
      </c>
      <c r="M537" s="17" t="s">
        <v>340</v>
      </c>
      <c r="N537" s="18" t="n">
        <v>698.02</v>
      </c>
      <c r="O537" s="16" t="s">
        <v>1534</v>
      </c>
      <c r="P537" s="16" t="s">
        <v>1700</v>
      </c>
      <c r="Q537" s="17" t="s">
        <v>1536</v>
      </c>
      <c r="R537" s="78" t="s">
        <v>2508</v>
      </c>
      <c r="S537" s="77" t="n">
        <f aca="false">IFERROR(INDEX('Injectable Value'!$Z$28:$Z$178,MATCH($C537,'Injectable Value'!$A$28:$A$178,0)),"")</f>
        <v>1</v>
      </c>
      <c r="T537" s="19" t="n">
        <f aca="false">IFERROR(ROUND(INDEX('Injectable Value'!$AA$28:$AA$178,MATCH($C537,'Injectable Value'!$A$28:$A$178,0)),1),"")</f>
        <v>28093.4</v>
      </c>
      <c r="U537" s="17" t="s">
        <v>1237</v>
      </c>
      <c r="V537" s="16" t="n">
        <v>5</v>
      </c>
      <c r="W537" s="16" t="s">
        <v>855</v>
      </c>
      <c r="X537" s="16" t="s">
        <v>281</v>
      </c>
      <c r="Y537" s="16" t="s">
        <v>333</v>
      </c>
      <c r="Z537" s="17" t="str">
        <f aca="false">IFERROR(INDEX(Scoring!$U:$U,MATCH($C537&amp;"|"&amp;$E537,Scoring!$AD:$AD,0)),"")</f>
        <v>Cancer drug (cytotoxic) – less relevant; Reconstitution</v>
      </c>
      <c r="AA537" s="16" t="str">
        <f aca="false">IFERROR(INDEX(Scoring!$E:$E,MATCH($C537&amp;"|"&amp;$E537,Scoring!$AD:$AD,0)),"")</f>
        <v>Priority 1</v>
      </c>
      <c r="AB537" s="19" t="n">
        <f aca="false">IFERROR(INDEX(Scoring!$M:$M,MATCH($C537&amp;"|"&amp;$E537,Scoring!$AD:$AD,0)),"")</f>
        <v>905</v>
      </c>
      <c r="AC537" s="16" t="str">
        <f aca="false">IFERROR(INDEX('Route of Administration'!$C$5:$C$155,MATCH($C537,'Route of Administration'!$A$5:$A$155,0)),"")</f>
        <v>IV, SC</v>
      </c>
      <c r="AD537" s="15" t="str">
        <f aca="false">IFERROR(INDEX('Route of Administration'!$D$5:$D$155,MATCH($C537,'Route of Administration'!$A$5:$A$155,0)),"")</f>
        <v>Yes</v>
      </c>
      <c r="AE537" s="15" t="str">
        <f aca="false">IF($AD537="No","Not checked – drug is IV only",IFERROR(INDEX('Route of Administration'!$O$5:$O$170,MATCH($E537&amp;"|"&amp;$C537,'Route of Administration'!$S$5:$S$170,0)),"Not checked – price ≤ USD 5"))</f>
        <v>Pass</v>
      </c>
    </row>
    <row r="538" customFormat="false" ht="28.35" hidden="false" customHeight="false" outlineLevel="0" collapsed="false">
      <c r="B538" s="16" t="n">
        <v>536</v>
      </c>
      <c r="C538" s="16" t="s">
        <v>1239</v>
      </c>
      <c r="D538" s="16" t="s">
        <v>1239</v>
      </c>
      <c r="E538" s="16" t="s">
        <v>1238</v>
      </c>
      <c r="F538" s="16" t="s">
        <v>2509</v>
      </c>
      <c r="G538" s="17" t="s">
        <v>2510</v>
      </c>
      <c r="H538" s="16" t="s">
        <v>1533</v>
      </c>
      <c r="I538" s="18" t="n">
        <v>66.93</v>
      </c>
      <c r="J538" s="16" t="n">
        <v>1</v>
      </c>
      <c r="K538" s="16" t="n">
        <v>5</v>
      </c>
      <c r="L538" s="19" t="n">
        <v>135.07</v>
      </c>
      <c r="M538" s="17" t="s">
        <v>1241</v>
      </c>
      <c r="N538" s="18" t="n">
        <v>66.93</v>
      </c>
      <c r="O538" s="16" t="s">
        <v>1534</v>
      </c>
      <c r="P538" s="16" t="s">
        <v>1535</v>
      </c>
      <c r="Q538" s="17" t="s">
        <v>1536</v>
      </c>
      <c r="R538" s="78" t="s">
        <v>2511</v>
      </c>
      <c r="S538" s="77" t="n">
        <f aca="false">IFERROR(INDEX('Injectable Value'!$Z$28:$Z$178,MATCH($C538,'Injectable Value'!$A$28:$A$178,0)),"")</f>
        <v>1</v>
      </c>
      <c r="T538" s="19" t="n">
        <f aca="false">IFERROR(ROUND(INDEX('Injectable Value'!$AA$28:$AA$178,MATCH($C538,'Injectable Value'!$A$28:$A$178,0)),1),"")</f>
        <v>135.1</v>
      </c>
      <c r="U538" s="17" t="s">
        <v>772</v>
      </c>
      <c r="V538" s="16" t="n">
        <v>2</v>
      </c>
      <c r="W538" s="16" t="s">
        <v>772</v>
      </c>
      <c r="X538" s="16" t="s">
        <v>281</v>
      </c>
      <c r="Y538" s="16" t="s">
        <v>283</v>
      </c>
      <c r="Z538" s="17" t="str">
        <f aca="false">IFERROR(INDEX(Scoring!$U:$U,MATCH($C538&amp;"|"&amp;$E538,Scoring!$AD:$AD,0)),"")</f>
        <v/>
      </c>
      <c r="AA538" s="16" t="str">
        <f aca="false">IFERROR(INDEX(Scoring!$E:$E,MATCH($C538&amp;"|"&amp;$E538,Scoring!$AD:$AD,0)),"")</f>
        <v>Excluded – IV only</v>
      </c>
      <c r="AB538" s="19" t="n">
        <f aca="false">IFERROR(INDEX(Scoring!$M:$M,MATCH($C538&amp;"|"&amp;$E538,Scoring!$AD:$AD,0)),"")</f>
        <v>5</v>
      </c>
      <c r="AC538" s="16" t="str">
        <f aca="false">IFERROR(INDEX('Route of Administration'!$C$5:$C$155,MATCH($C538,'Route of Administration'!$A$5:$A$155,0)),"")</f>
        <v>IV</v>
      </c>
      <c r="AD538" s="15" t="str">
        <f aca="false">IFERROR(INDEX('Route of Administration'!$D$5:$D$155,MATCH($C538,'Route of Administration'!$A$5:$A$155,0)),"")</f>
        <v>No</v>
      </c>
      <c r="AE538" s="15" t="str">
        <f aca="false">IF($AD538="No","Not checked – drug is IV only",IFERROR(INDEX('Route of Administration'!$O$5:$O$170,MATCH($E538&amp;"|"&amp;$C538,'Route of Administration'!$S$5:$S$170,0)),"Not checked – price ≤ USD 5"))</f>
        <v>Not checked – drug is IV only</v>
      </c>
    </row>
    <row r="539" customFormat="false" ht="28.35" hidden="false" customHeight="false" outlineLevel="0" collapsed="false">
      <c r="B539" s="16" t="n">
        <v>537</v>
      </c>
      <c r="C539" s="16" t="s">
        <v>338</v>
      </c>
      <c r="D539" s="16" t="s">
        <v>2512</v>
      </c>
      <c r="E539" s="16" t="s">
        <v>1238</v>
      </c>
      <c r="F539" s="16" t="s">
        <v>1703</v>
      </c>
      <c r="G539" s="17" t="s">
        <v>1681</v>
      </c>
      <c r="H539" s="16" t="s">
        <v>1533</v>
      </c>
      <c r="I539" s="18" t="n">
        <v>705.4703</v>
      </c>
      <c r="J539" s="16" t="n">
        <v>29</v>
      </c>
      <c r="K539" s="16" t="n">
        <v>905</v>
      </c>
      <c r="L539" s="19" t="n">
        <v>28093.38</v>
      </c>
      <c r="M539" s="17" t="s">
        <v>340</v>
      </c>
      <c r="N539" s="18" t="n">
        <v>705.4703</v>
      </c>
      <c r="O539" s="16" t="s">
        <v>1534</v>
      </c>
      <c r="P539" s="16" t="s">
        <v>1700</v>
      </c>
      <c r="Q539" s="17" t="s">
        <v>1536</v>
      </c>
      <c r="R539" s="78" t="s">
        <v>2513</v>
      </c>
      <c r="S539" s="77" t="n">
        <f aca="false">IFERROR(INDEX('Injectable Value'!$Z$28:$Z$178,MATCH($C539,'Injectable Value'!$A$28:$A$178,0)),"")</f>
        <v>1</v>
      </c>
      <c r="T539" s="19" t="n">
        <f aca="false">IFERROR(ROUND(INDEX('Injectable Value'!$AA$28:$AA$178,MATCH($C539,'Injectable Value'!$A$28:$A$178,0)),1),"")</f>
        <v>28093.4</v>
      </c>
      <c r="U539" s="17" t="s">
        <v>1237</v>
      </c>
      <c r="V539" s="16" t="n">
        <v>5</v>
      </c>
      <c r="W539" s="16" t="s">
        <v>855</v>
      </c>
      <c r="X539" s="16" t="s">
        <v>281</v>
      </c>
      <c r="Y539" s="16" t="s">
        <v>333</v>
      </c>
      <c r="Z539" s="17" t="str">
        <f aca="false">IFERROR(INDEX(Scoring!$U:$U,MATCH($C539&amp;"|"&amp;$E539,Scoring!$AD:$AD,0)),"")</f>
        <v>Cancer drug (cytotoxic) – less relevant; Reconstitution</v>
      </c>
      <c r="AA539" s="16" t="str">
        <f aca="false">IFERROR(INDEX(Scoring!$E:$E,MATCH($C539&amp;"|"&amp;$E539,Scoring!$AD:$AD,0)),"")</f>
        <v>Priority 1</v>
      </c>
      <c r="AB539" s="19" t="n">
        <f aca="false">IFERROR(INDEX(Scoring!$M:$M,MATCH($C539&amp;"|"&amp;$E539,Scoring!$AD:$AD,0)),"")</f>
        <v>905</v>
      </c>
      <c r="AC539" s="16" t="str">
        <f aca="false">IFERROR(INDEX('Route of Administration'!$C$5:$C$155,MATCH($C539,'Route of Administration'!$A$5:$A$155,0)),"")</f>
        <v>IV, SC</v>
      </c>
      <c r="AD539" s="15" t="str">
        <f aca="false">IFERROR(INDEX('Route of Administration'!$D$5:$D$155,MATCH($C539,'Route of Administration'!$A$5:$A$155,0)),"")</f>
        <v>Yes</v>
      </c>
      <c r="AE539" s="15" t="str">
        <f aca="false">IF($AD539="No","Not checked – drug is IV only",IFERROR(INDEX('Route of Administration'!$O$5:$O$170,MATCH($E539&amp;"|"&amp;$C539,'Route of Administration'!$S$5:$S$170,0)),"Not checked – price ≤ USD 5"))</f>
        <v>Pass</v>
      </c>
    </row>
    <row r="540" customFormat="false" ht="15" hidden="false" customHeight="false" outlineLevel="0" collapsed="false">
      <c r="B540" s="16" t="n">
        <v>538</v>
      </c>
      <c r="C540" s="16" t="s">
        <v>1239</v>
      </c>
      <c r="D540" s="16" t="s">
        <v>2514</v>
      </c>
      <c r="E540" s="16" t="s">
        <v>1238</v>
      </c>
      <c r="F540" s="16" t="s">
        <v>2515</v>
      </c>
      <c r="G540" s="17"/>
      <c r="H540" s="16"/>
      <c r="I540" s="18"/>
      <c r="J540" s="16" t="n">
        <v>30</v>
      </c>
      <c r="K540" s="16" t="n">
        <v>5</v>
      </c>
      <c r="L540" s="19" t="n">
        <v>135.07</v>
      </c>
      <c r="M540" s="17" t="s">
        <v>1241</v>
      </c>
      <c r="N540" s="18"/>
      <c r="O540" s="16" t="s">
        <v>1573</v>
      </c>
      <c r="P540" s="16" t="s">
        <v>112</v>
      </c>
      <c r="Q540" s="17" t="s">
        <v>112</v>
      </c>
      <c r="R540" s="16"/>
      <c r="S540" s="77" t="n">
        <f aca="false">IFERROR(INDEX('Injectable Value'!$Z$28:$Z$178,MATCH($C540,'Injectable Value'!$A$28:$A$178,0)),"")</f>
        <v>1</v>
      </c>
      <c r="T540" s="19" t="n">
        <f aca="false">IFERROR(ROUND(INDEX('Injectable Value'!$AA$28:$AA$178,MATCH($C540,'Injectable Value'!$A$28:$A$178,0)),1),"")</f>
        <v>135.1</v>
      </c>
      <c r="U540" s="17" t="s">
        <v>772</v>
      </c>
      <c r="V540" s="16" t="n">
        <v>2</v>
      </c>
      <c r="W540" s="16" t="s">
        <v>772</v>
      </c>
      <c r="X540" s="16" t="s">
        <v>310</v>
      </c>
      <c r="Y540" s="16" t="s">
        <v>310</v>
      </c>
      <c r="Z540" s="17" t="str">
        <f aca="false">IFERROR(INDEX(Scoring!$U:$U,MATCH($C540&amp;"|"&amp;$E540,Scoring!$AD:$AD,0)),"")</f>
        <v/>
      </c>
      <c r="AA540" s="16" t="str">
        <f aca="false">IFERROR(INDEX(Scoring!$E:$E,MATCH($C540&amp;"|"&amp;$E540,Scoring!$AD:$AD,0)),"")</f>
        <v>Excluded – IV only</v>
      </c>
      <c r="AB540" s="19" t="n">
        <f aca="false">IFERROR(INDEX(Scoring!$M:$M,MATCH($C540&amp;"|"&amp;$E540,Scoring!$AD:$AD,0)),"")</f>
        <v>5</v>
      </c>
      <c r="AC540" s="16" t="str">
        <f aca="false">IFERROR(INDEX('Route of Administration'!$C$5:$C$155,MATCH($C540,'Route of Administration'!$A$5:$A$155,0)),"")</f>
        <v>IV</v>
      </c>
      <c r="AD540" s="15" t="str">
        <f aca="false">IFERROR(INDEX('Route of Administration'!$D$5:$D$155,MATCH($C540,'Route of Administration'!$A$5:$A$155,0)),"")</f>
        <v>No</v>
      </c>
      <c r="AE540" s="15" t="str">
        <f aca="false">IF($AD540="No","Not checked – drug is IV only",IFERROR(INDEX('Route of Administration'!$O$5:$O$170,MATCH($E540&amp;"|"&amp;$C540,'Route of Administration'!$S$5:$S$170,0)),"Not checked – price ≤ USD 5"))</f>
        <v>Not checked – drug is IV only</v>
      </c>
    </row>
    <row r="541" customFormat="false" ht="28.35" hidden="false" customHeight="false" outlineLevel="0" collapsed="false">
      <c r="B541" s="16" t="n">
        <v>539</v>
      </c>
      <c r="C541" s="16" t="s">
        <v>665</v>
      </c>
      <c r="D541" s="16" t="s">
        <v>2516</v>
      </c>
      <c r="E541" s="16" t="s">
        <v>1238</v>
      </c>
      <c r="F541" s="16" t="s">
        <v>1849</v>
      </c>
      <c r="G541" s="17" t="s">
        <v>1850</v>
      </c>
      <c r="H541" s="16" t="s">
        <v>1533</v>
      </c>
      <c r="I541" s="18"/>
      <c r="J541" s="16" t="n">
        <v>1</v>
      </c>
      <c r="K541" s="16" t="n">
        <v>346</v>
      </c>
      <c r="L541" s="19" t="n">
        <v>32830.17</v>
      </c>
      <c r="M541" s="17" t="s">
        <v>667</v>
      </c>
      <c r="N541" s="18"/>
      <c r="O541" s="16" t="s">
        <v>1573</v>
      </c>
      <c r="P541" s="16" t="s">
        <v>112</v>
      </c>
      <c r="Q541" s="17" t="s">
        <v>112</v>
      </c>
      <c r="R541" s="16"/>
      <c r="S541" s="77" t="n">
        <f aca="false">IFERROR(INDEX('Injectable Value'!$Z$28:$Z$178,MATCH($C541,'Injectable Value'!$A$28:$A$178,0)),"")</f>
        <v>1</v>
      </c>
      <c r="T541" s="19" t="n">
        <f aca="false">IFERROR(ROUND(INDEX('Injectable Value'!$AA$28:$AA$178,MATCH($C541,'Injectable Value'!$A$28:$A$178,0)),1),"")</f>
        <v>32830.2</v>
      </c>
      <c r="U541" s="17" t="s">
        <v>1248</v>
      </c>
      <c r="V541" s="16" t="n">
        <v>11</v>
      </c>
      <c r="W541" s="16" t="s">
        <v>1247</v>
      </c>
      <c r="X541" s="16" t="s">
        <v>281</v>
      </c>
      <c r="Y541" s="16" t="s">
        <v>283</v>
      </c>
      <c r="Z541" s="17" t="str">
        <f aca="false">IFERROR(INDEX(Scoring!$U:$U,MATCH($C541&amp;"|"&amp;$E541,Scoring!$AD:$AD,0)),"")</f>
        <v/>
      </c>
      <c r="AA541" s="16" t="str">
        <f aca="false">IFERROR(INDEX(Scoring!$E:$E,MATCH($C541&amp;"|"&amp;$E541,Scoring!$AD:$AD,0)),"")</f>
        <v>Excluded – IV only</v>
      </c>
      <c r="AB541" s="19" t="n">
        <f aca="false">IFERROR(INDEX(Scoring!$M:$M,MATCH($C541&amp;"|"&amp;$E541,Scoring!$AD:$AD,0)),"")</f>
        <v>346</v>
      </c>
      <c r="AC541" s="16" t="str">
        <f aca="false">IFERROR(INDEX('Route of Administration'!$C$5:$C$155,MATCH($C541,'Route of Administration'!$A$5:$A$155,0)),"")</f>
        <v>IV</v>
      </c>
      <c r="AD541" s="15" t="str">
        <f aca="false">IFERROR(INDEX('Route of Administration'!$D$5:$D$155,MATCH($C541,'Route of Administration'!$A$5:$A$155,0)),"")</f>
        <v>No</v>
      </c>
      <c r="AE541" s="15" t="str">
        <f aca="false">IF($AD541="No","Not checked – drug is IV only",IFERROR(INDEX('Route of Administration'!$O$5:$O$170,MATCH($E541&amp;"|"&amp;$C541,'Route of Administration'!$S$5:$S$170,0)),"Not checked – price ≤ USD 5"))</f>
        <v>Not checked – drug is IV only</v>
      </c>
    </row>
    <row r="542" customFormat="false" ht="28.35" hidden="false" customHeight="false" outlineLevel="0" collapsed="false">
      <c r="B542" s="16" t="n">
        <v>540</v>
      </c>
      <c r="C542" s="16" t="s">
        <v>665</v>
      </c>
      <c r="D542" s="16" t="s">
        <v>2516</v>
      </c>
      <c r="E542" s="16" t="s">
        <v>1238</v>
      </c>
      <c r="F542" s="16" t="s">
        <v>1851</v>
      </c>
      <c r="G542" s="17" t="s">
        <v>1852</v>
      </c>
      <c r="H542" s="16" t="s">
        <v>1533</v>
      </c>
      <c r="I542" s="18"/>
      <c r="J542" s="16" t="n">
        <v>1</v>
      </c>
      <c r="K542" s="16" t="n">
        <v>346</v>
      </c>
      <c r="L542" s="19" t="n">
        <v>32830.17</v>
      </c>
      <c r="M542" s="17" t="s">
        <v>667</v>
      </c>
      <c r="N542" s="18"/>
      <c r="O542" s="16" t="s">
        <v>1573</v>
      </c>
      <c r="P542" s="16" t="s">
        <v>112</v>
      </c>
      <c r="Q542" s="17" t="s">
        <v>112</v>
      </c>
      <c r="R542" s="16"/>
      <c r="S542" s="77" t="n">
        <f aca="false">IFERROR(INDEX('Injectable Value'!$Z$28:$Z$178,MATCH($C542,'Injectable Value'!$A$28:$A$178,0)),"")</f>
        <v>1</v>
      </c>
      <c r="T542" s="19" t="n">
        <f aca="false">IFERROR(ROUND(INDEX('Injectable Value'!$AA$28:$AA$178,MATCH($C542,'Injectable Value'!$A$28:$A$178,0)),1),"")</f>
        <v>32830.2</v>
      </c>
      <c r="U542" s="17" t="s">
        <v>1248</v>
      </c>
      <c r="V542" s="16" t="n">
        <v>11</v>
      </c>
      <c r="W542" s="16" t="s">
        <v>1247</v>
      </c>
      <c r="X542" s="16" t="s">
        <v>281</v>
      </c>
      <c r="Y542" s="16" t="s">
        <v>283</v>
      </c>
      <c r="Z542" s="17" t="str">
        <f aca="false">IFERROR(INDEX(Scoring!$U:$U,MATCH($C542&amp;"|"&amp;$E542,Scoring!$AD:$AD,0)),"")</f>
        <v/>
      </c>
      <c r="AA542" s="16" t="str">
        <f aca="false">IFERROR(INDEX(Scoring!$E:$E,MATCH($C542&amp;"|"&amp;$E542,Scoring!$AD:$AD,0)),"")</f>
        <v>Excluded – IV only</v>
      </c>
      <c r="AB542" s="19" t="n">
        <f aca="false">IFERROR(INDEX(Scoring!$M:$M,MATCH($C542&amp;"|"&amp;$E542,Scoring!$AD:$AD,0)),"")</f>
        <v>346</v>
      </c>
      <c r="AC542" s="16" t="str">
        <f aca="false">IFERROR(INDEX('Route of Administration'!$C$5:$C$155,MATCH($C542,'Route of Administration'!$A$5:$A$155,0)),"")</f>
        <v>IV</v>
      </c>
      <c r="AD542" s="15" t="str">
        <f aca="false">IFERROR(INDEX('Route of Administration'!$D$5:$D$155,MATCH($C542,'Route of Administration'!$A$5:$A$155,0)),"")</f>
        <v>No</v>
      </c>
      <c r="AE542" s="15" t="str">
        <f aca="false">IF($AD542="No","Not checked – drug is IV only",IFERROR(INDEX('Route of Administration'!$O$5:$O$170,MATCH($E542&amp;"|"&amp;$C542,'Route of Administration'!$S$5:$S$170,0)),"Not checked – price ≤ USD 5"))</f>
        <v>Not checked – drug is IV only</v>
      </c>
    </row>
    <row r="543" customFormat="false" ht="28.35" hidden="false" customHeight="false" outlineLevel="0" collapsed="false">
      <c r="B543" s="16" t="n">
        <v>541</v>
      </c>
      <c r="C543" s="16" t="s">
        <v>338</v>
      </c>
      <c r="D543" s="16" t="s">
        <v>2517</v>
      </c>
      <c r="E543" s="16" t="s">
        <v>1238</v>
      </c>
      <c r="F543" s="16" t="s">
        <v>1804</v>
      </c>
      <c r="G543" s="17" t="s">
        <v>1805</v>
      </c>
      <c r="H543" s="16" t="s">
        <v>1533</v>
      </c>
      <c r="I543" s="18" t="n">
        <v>14.329</v>
      </c>
      <c r="J543" s="16" t="n">
        <v>1</v>
      </c>
      <c r="K543" s="16" t="n">
        <v>905</v>
      </c>
      <c r="L543" s="19" t="n">
        <v>28093.38</v>
      </c>
      <c r="M543" s="17" t="s">
        <v>340</v>
      </c>
      <c r="N543" s="18" t="n">
        <v>14.329</v>
      </c>
      <c r="O543" s="16" t="s">
        <v>1534</v>
      </c>
      <c r="P543" s="16" t="s">
        <v>1535</v>
      </c>
      <c r="Q543" s="17" t="s">
        <v>1536</v>
      </c>
      <c r="R543" s="78" t="s">
        <v>1806</v>
      </c>
      <c r="S543" s="77" t="n">
        <f aca="false">IFERROR(INDEX('Injectable Value'!$Z$28:$Z$178,MATCH($C543,'Injectable Value'!$A$28:$A$178,0)),"")</f>
        <v>1</v>
      </c>
      <c r="T543" s="19" t="n">
        <f aca="false">IFERROR(ROUND(INDEX('Injectable Value'!$AA$28:$AA$178,MATCH($C543,'Injectable Value'!$A$28:$A$178,0)),1),"")</f>
        <v>28093.4</v>
      </c>
      <c r="U543" s="17" t="s">
        <v>1237</v>
      </c>
      <c r="V543" s="16" t="n">
        <v>5</v>
      </c>
      <c r="W543" s="16" t="s">
        <v>855</v>
      </c>
      <c r="X543" s="16" t="s">
        <v>281</v>
      </c>
      <c r="Y543" s="16" t="s">
        <v>333</v>
      </c>
      <c r="Z543" s="17" t="str">
        <f aca="false">IFERROR(INDEX(Scoring!$U:$U,MATCH($C543&amp;"|"&amp;$E543,Scoring!$AD:$AD,0)),"")</f>
        <v>Cancer drug (cytotoxic) – less relevant; Reconstitution</v>
      </c>
      <c r="AA543" s="16" t="str">
        <f aca="false">IFERROR(INDEX(Scoring!$E:$E,MATCH($C543&amp;"|"&amp;$E543,Scoring!$AD:$AD,0)),"")</f>
        <v>Priority 1</v>
      </c>
      <c r="AB543" s="19" t="n">
        <f aca="false">IFERROR(INDEX(Scoring!$M:$M,MATCH($C543&amp;"|"&amp;$E543,Scoring!$AD:$AD,0)),"")</f>
        <v>905</v>
      </c>
      <c r="AC543" s="16" t="str">
        <f aca="false">IFERROR(INDEX('Route of Administration'!$C$5:$C$155,MATCH($C543,'Route of Administration'!$A$5:$A$155,0)),"")</f>
        <v>IV, SC</v>
      </c>
      <c r="AD543" s="15" t="str">
        <f aca="false">IFERROR(INDEX('Route of Administration'!$D$5:$D$155,MATCH($C543,'Route of Administration'!$A$5:$A$155,0)),"")</f>
        <v>Yes</v>
      </c>
      <c r="AE543" s="15" t="str">
        <f aca="false">IF($AD543="No","Not checked – drug is IV only",IFERROR(INDEX('Route of Administration'!$O$5:$O$170,MATCH($E543&amp;"|"&amp;$C543,'Route of Administration'!$S$5:$S$170,0)),"Not checked – price ≤ USD 5"))</f>
        <v>Pass</v>
      </c>
    </row>
    <row r="544" customFormat="false" ht="28.35" hidden="false" customHeight="false" outlineLevel="0" collapsed="false">
      <c r="B544" s="16" t="n">
        <v>542</v>
      </c>
      <c r="C544" s="16" t="s">
        <v>346</v>
      </c>
      <c r="D544" s="16" t="s">
        <v>1278</v>
      </c>
      <c r="E544" s="16" t="s">
        <v>1280</v>
      </c>
      <c r="F544" s="16" t="s">
        <v>2518</v>
      </c>
      <c r="G544" s="17" t="s">
        <v>2519</v>
      </c>
      <c r="H544" s="16" t="s">
        <v>1533</v>
      </c>
      <c r="I544" s="18" t="n">
        <v>6.47</v>
      </c>
      <c r="J544" s="16" t="n">
        <v>1</v>
      </c>
      <c r="K544" s="16" t="n">
        <v>598</v>
      </c>
      <c r="L544" s="19" t="n">
        <v>16840.43</v>
      </c>
      <c r="M544" s="17" t="s">
        <v>348</v>
      </c>
      <c r="N544" s="18" t="n">
        <v>6.47</v>
      </c>
      <c r="O544" s="16" t="s">
        <v>1534</v>
      </c>
      <c r="P544" s="16" t="s">
        <v>1535</v>
      </c>
      <c r="Q544" s="17" t="s">
        <v>1536</v>
      </c>
      <c r="R544" s="78" t="s">
        <v>2520</v>
      </c>
      <c r="S544" s="77" t="n">
        <f aca="false">IFERROR(INDEX('Injectable Value'!$Z$28:$Z$178,MATCH($C544,'Injectable Value'!$A$28:$A$178,0)),"")</f>
        <v>0.971428571428571</v>
      </c>
      <c r="T544" s="19" t="n">
        <f aca="false">IFERROR(ROUND(INDEX('Injectable Value'!$AA$28:$AA$178,MATCH($C544,'Injectable Value'!$A$28:$A$178,0)),1),"")</f>
        <v>16359.3</v>
      </c>
      <c r="U544" s="17" t="s">
        <v>284</v>
      </c>
      <c r="V544" s="16" t="n">
        <v>1</v>
      </c>
      <c r="W544" s="16" t="s">
        <v>284</v>
      </c>
      <c r="X544" s="16" t="s">
        <v>281</v>
      </c>
      <c r="Y544" s="16" t="s">
        <v>283</v>
      </c>
      <c r="Z544" s="17" t="str">
        <f aca="false">IFERROR(INDEX(Scoring!$U:$U,MATCH($C544&amp;"|"&amp;$E544,Scoring!$AD:$AD,0)),"")</f>
        <v/>
      </c>
      <c r="AA544" s="16" t="str">
        <f aca="false">IFERROR(INDEX(Scoring!$E:$E,MATCH($C544&amp;"|"&amp;$E544,Scoring!$AD:$AD,0)),"")</f>
        <v>Priority 2</v>
      </c>
      <c r="AB544" s="19" t="n">
        <f aca="false">IFERROR(INDEX(Scoring!$M:$M,MATCH($C544&amp;"|"&amp;$E544,Scoring!$AD:$AD,0)),"")</f>
        <v>581</v>
      </c>
      <c r="AC544" s="16" t="str">
        <f aca="false">IFERROR(INDEX('Route of Administration'!$C$5:$C$155,MATCH($C544,'Route of Administration'!$A$5:$A$155,0)),"")</f>
        <v>Epidural, intra-articular, SC, perineural</v>
      </c>
      <c r="AD544" s="15" t="str">
        <f aca="false">IFERROR(INDEX('Route of Administration'!$D$5:$D$155,MATCH($C544,'Route of Administration'!$A$5:$A$155,0)),"")</f>
        <v>Yes</v>
      </c>
      <c r="AE544" s="15" t="str">
        <f aca="false">IF($AD544="No","Not checked – drug is IV only",IFERROR(INDEX('Route of Administration'!$O$5:$O$170,MATCH($E544&amp;"|"&amp;$C544,'Route of Administration'!$S$5:$S$170,0)),"Not checked – price ≤ USD 5"))</f>
        <v>To confirm</v>
      </c>
    </row>
    <row r="545" customFormat="false" ht="28.35" hidden="false" customHeight="false" outlineLevel="0" collapsed="false">
      <c r="B545" s="16" t="n">
        <v>543</v>
      </c>
      <c r="C545" s="16" t="s">
        <v>346</v>
      </c>
      <c r="D545" s="16" t="s">
        <v>1278</v>
      </c>
      <c r="E545" s="16" t="s">
        <v>1280</v>
      </c>
      <c r="F545" s="16" t="s">
        <v>2521</v>
      </c>
      <c r="G545" s="17" t="s">
        <v>2522</v>
      </c>
      <c r="H545" s="16" t="s">
        <v>1533</v>
      </c>
      <c r="I545" s="18" t="n">
        <v>6.28</v>
      </c>
      <c r="J545" s="16" t="n">
        <v>1</v>
      </c>
      <c r="K545" s="16" t="n">
        <v>598</v>
      </c>
      <c r="L545" s="19" t="n">
        <v>16840.43</v>
      </c>
      <c r="M545" s="17" t="s">
        <v>348</v>
      </c>
      <c r="N545" s="18" t="n">
        <v>6.28</v>
      </c>
      <c r="O545" s="16" t="s">
        <v>1534</v>
      </c>
      <c r="P545" s="16" t="s">
        <v>1535</v>
      </c>
      <c r="Q545" s="17" t="s">
        <v>1536</v>
      </c>
      <c r="R545" s="78" t="s">
        <v>2520</v>
      </c>
      <c r="S545" s="77" t="n">
        <f aca="false">IFERROR(INDEX('Injectable Value'!$Z$28:$Z$178,MATCH($C545,'Injectable Value'!$A$28:$A$178,0)),"")</f>
        <v>0.971428571428571</v>
      </c>
      <c r="T545" s="19" t="n">
        <f aca="false">IFERROR(ROUND(INDEX('Injectable Value'!$AA$28:$AA$178,MATCH($C545,'Injectable Value'!$A$28:$A$178,0)),1),"")</f>
        <v>16359.3</v>
      </c>
      <c r="U545" s="17" t="s">
        <v>284</v>
      </c>
      <c r="V545" s="16" t="n">
        <v>1</v>
      </c>
      <c r="W545" s="16" t="s">
        <v>284</v>
      </c>
      <c r="X545" s="16" t="s">
        <v>281</v>
      </c>
      <c r="Y545" s="16" t="s">
        <v>283</v>
      </c>
      <c r="Z545" s="17" t="str">
        <f aca="false">IFERROR(INDEX(Scoring!$U:$U,MATCH($C545&amp;"|"&amp;$E545,Scoring!$AD:$AD,0)),"")</f>
        <v/>
      </c>
      <c r="AA545" s="16" t="str">
        <f aca="false">IFERROR(INDEX(Scoring!$E:$E,MATCH($C545&amp;"|"&amp;$E545,Scoring!$AD:$AD,0)),"")</f>
        <v>Priority 2</v>
      </c>
      <c r="AB545" s="19" t="n">
        <f aca="false">IFERROR(INDEX(Scoring!$M:$M,MATCH($C545&amp;"|"&amp;$E545,Scoring!$AD:$AD,0)),"")</f>
        <v>581</v>
      </c>
      <c r="AC545" s="16" t="str">
        <f aca="false">IFERROR(INDEX('Route of Administration'!$C$5:$C$155,MATCH($C545,'Route of Administration'!$A$5:$A$155,0)),"")</f>
        <v>Epidural, intra-articular, SC, perineural</v>
      </c>
      <c r="AD545" s="15" t="str">
        <f aca="false">IFERROR(INDEX('Route of Administration'!$D$5:$D$155,MATCH($C545,'Route of Administration'!$A$5:$A$155,0)),"")</f>
        <v>Yes</v>
      </c>
      <c r="AE545" s="15" t="str">
        <f aca="false">IF($AD545="No","Not checked – drug is IV only",IFERROR(INDEX('Route of Administration'!$O$5:$O$170,MATCH($E545&amp;"|"&amp;$C545,'Route of Administration'!$S$5:$S$170,0)),"Not checked – price ≤ USD 5"))</f>
        <v>To confirm</v>
      </c>
    </row>
    <row r="546" customFormat="false" ht="28.35" hidden="false" customHeight="false" outlineLevel="0" collapsed="false">
      <c r="B546" s="16" t="n">
        <v>544</v>
      </c>
      <c r="C546" s="16" t="s">
        <v>278</v>
      </c>
      <c r="D546" s="16" t="s">
        <v>354</v>
      </c>
      <c r="E546" s="16" t="s">
        <v>1280</v>
      </c>
      <c r="F546" s="16" t="s">
        <v>1531</v>
      </c>
      <c r="G546" s="17" t="s">
        <v>1532</v>
      </c>
      <c r="H546" s="16" t="s">
        <v>1533</v>
      </c>
      <c r="I546" s="18" t="n">
        <v>30.01</v>
      </c>
      <c r="J546" s="16" t="n">
        <v>1</v>
      </c>
      <c r="K546" s="16" t="n">
        <v>156</v>
      </c>
      <c r="L546" s="19" t="n">
        <v>3954.83</v>
      </c>
      <c r="M546" s="17" t="s">
        <v>280</v>
      </c>
      <c r="N546" s="18" t="n">
        <v>30.01</v>
      </c>
      <c r="O546" s="16" t="s">
        <v>1534</v>
      </c>
      <c r="P546" s="16" t="s">
        <v>1535</v>
      </c>
      <c r="Q546" s="17" t="s">
        <v>1536</v>
      </c>
      <c r="R546" s="78" t="s">
        <v>1537</v>
      </c>
      <c r="S546" s="77" t="n">
        <f aca="false">IFERROR(INDEX('Injectable Value'!$Z$28:$Z$178,MATCH($C546,'Injectable Value'!$A$28:$A$178,0)),"")</f>
        <v>0.916666666666667</v>
      </c>
      <c r="T546" s="19" t="n">
        <f aca="false">IFERROR(ROUND(INDEX('Injectable Value'!$AA$28:$AA$178,MATCH($C546,'Injectable Value'!$A$28:$A$178,0)),1),"")</f>
        <v>3625.3</v>
      </c>
      <c r="U546" s="17" t="s">
        <v>284</v>
      </c>
      <c r="V546" s="16" t="n">
        <v>1</v>
      </c>
      <c r="W546" s="16" t="s">
        <v>284</v>
      </c>
      <c r="X546" s="16" t="s">
        <v>281</v>
      </c>
      <c r="Y546" s="16" t="s">
        <v>283</v>
      </c>
      <c r="Z546" s="17" t="str">
        <f aca="false">IFERROR(INDEX(Scoring!$U:$U,MATCH($C546&amp;"|"&amp;$E546,Scoring!$AD:$AD,0)),"")</f>
        <v/>
      </c>
      <c r="AA546" s="16" t="str">
        <f aca="false">IFERROR(INDEX(Scoring!$E:$E,MATCH($C546&amp;"|"&amp;$E546,Scoring!$AD:$AD,0)),"")</f>
        <v>Priority 2</v>
      </c>
      <c r="AB546" s="19" t="n">
        <f aca="false">IFERROR(INDEX(Scoring!$M:$M,MATCH($C546&amp;"|"&amp;$E546,Scoring!$AD:$AD,0)),"")</f>
        <v>143</v>
      </c>
      <c r="AC546" s="16" t="str">
        <f aca="false">IFERROR(INDEX('Route of Administration'!$C$5:$C$155,MATCH($C546,'Route of Administration'!$A$5:$A$155,0)),"")</f>
        <v>IM</v>
      </c>
      <c r="AD546" s="15" t="str">
        <f aca="false">IFERROR(INDEX('Route of Administration'!$D$5:$D$155,MATCH($C546,'Route of Administration'!$A$5:$A$155,0)),"")</f>
        <v>Yes</v>
      </c>
      <c r="AE546" s="15" t="str">
        <f aca="false">IF($AD546="No","Not checked – drug is IV only",IFERROR(INDEX('Route of Administration'!$O$5:$O$170,MATCH($E546&amp;"|"&amp;$C546,'Route of Administration'!$S$5:$S$170,0)),"Not checked – price ≤ USD 5"))</f>
        <v>Pass</v>
      </c>
    </row>
    <row r="547" customFormat="false" ht="28.35" hidden="false" customHeight="false" outlineLevel="0" collapsed="false">
      <c r="B547" s="16" t="n">
        <v>545</v>
      </c>
      <c r="C547" s="16" t="s">
        <v>1285</v>
      </c>
      <c r="D547" s="16" t="s">
        <v>1286</v>
      </c>
      <c r="E547" s="16" t="s">
        <v>1280</v>
      </c>
      <c r="F547" s="16" t="s">
        <v>2523</v>
      </c>
      <c r="G547" s="17" t="s">
        <v>2524</v>
      </c>
      <c r="H547" s="16" t="s">
        <v>1533</v>
      </c>
      <c r="I547" s="18"/>
      <c r="J547" s="16" t="n">
        <v>1</v>
      </c>
      <c r="K547" s="16" t="n">
        <v>2</v>
      </c>
      <c r="L547" s="19" t="n">
        <v>117.07</v>
      </c>
      <c r="M547" s="17" t="s">
        <v>1287</v>
      </c>
      <c r="N547" s="82" t="n">
        <v>54.62</v>
      </c>
      <c r="O547" s="64" t="s">
        <v>1541</v>
      </c>
      <c r="P547" s="16" t="s">
        <v>1535</v>
      </c>
      <c r="Q547" s="17" t="s">
        <v>1864</v>
      </c>
      <c r="R547" s="78" t="s">
        <v>1865</v>
      </c>
      <c r="S547" s="77" t="n">
        <f aca="false">IFERROR(INDEX('Injectable Value'!$Z$28:$Z$178,MATCH($C547,'Injectable Value'!$A$28:$A$178,0)),"")</f>
        <v>1</v>
      </c>
      <c r="T547" s="19" t="n">
        <f aca="false">IFERROR(ROUND(INDEX('Injectable Value'!$AA$28:$AA$178,MATCH($C547,'Injectable Value'!$A$28:$A$178,0)),1),"")</f>
        <v>117.1</v>
      </c>
      <c r="U547" s="17" t="s">
        <v>284</v>
      </c>
      <c r="V547" s="16" t="n">
        <v>1</v>
      </c>
      <c r="W547" s="16" t="s">
        <v>284</v>
      </c>
      <c r="X547" s="16" t="s">
        <v>281</v>
      </c>
      <c r="Y547" s="16" t="s">
        <v>310</v>
      </c>
      <c r="Z547" s="17" t="str">
        <f aca="false">IFERROR(INDEX(Scoring!$U:$U,MATCH($C547&amp;"|"&amp;$E547,Scoring!$AD:$AD,0)),"")</f>
        <v/>
      </c>
      <c r="AA547" s="16" t="str">
        <f aca="false">IFERROR(INDEX(Scoring!$E:$E,MATCH($C547&amp;"|"&amp;$E547,Scoring!$AD:$AD,0)),"")</f>
        <v>Priority 2</v>
      </c>
      <c r="AB547" s="19" t="n">
        <f aca="false">IFERROR(INDEX(Scoring!$M:$M,MATCH($C547&amp;"|"&amp;$E547,Scoring!$AD:$AD,0)),"")</f>
        <v>2</v>
      </c>
      <c r="AC547" s="16" t="str">
        <f aca="false">IFERROR(INDEX('Route of Administration'!$C$5:$C$155,MATCH($C547,'Route of Administration'!$A$5:$A$155,0)),"")</f>
        <v>IV, IM</v>
      </c>
      <c r="AD547" s="15" t="str">
        <f aca="false">IFERROR(INDEX('Route of Administration'!$D$5:$D$155,MATCH($C547,'Route of Administration'!$A$5:$A$155,0)),"")</f>
        <v>Yes</v>
      </c>
      <c r="AE547" s="15" t="str">
        <f aca="false">IF($AD547="No","Not checked – drug is IV only",IFERROR(INDEX('Route of Administration'!$O$5:$O$170,MATCH($E547&amp;"|"&amp;$C547,'Route of Administration'!$S$5:$S$170,0)),"Not checked – price ≤ USD 5"))</f>
        <v>Pass</v>
      </c>
    </row>
    <row r="548" customFormat="false" ht="15" hidden="false" customHeight="false" outlineLevel="0" collapsed="false">
      <c r="B548" s="16" t="n">
        <v>546</v>
      </c>
      <c r="C548" s="16" t="s">
        <v>507</v>
      </c>
      <c r="D548" s="16" t="s">
        <v>508</v>
      </c>
      <c r="E548" s="16" t="s">
        <v>1280</v>
      </c>
      <c r="F548" s="16" t="s">
        <v>1595</v>
      </c>
      <c r="G548" s="17" t="s">
        <v>2525</v>
      </c>
      <c r="H548" s="16" t="s">
        <v>1533</v>
      </c>
      <c r="I548" s="18" t="n">
        <v>8.76</v>
      </c>
      <c r="J548" s="16" t="n">
        <v>1</v>
      </c>
      <c r="K548" s="16" t="n">
        <v>4</v>
      </c>
      <c r="L548" s="19" t="n">
        <v>570.1</v>
      </c>
      <c r="M548" s="17" t="s">
        <v>509</v>
      </c>
      <c r="N548" s="18" t="n">
        <v>8.76</v>
      </c>
      <c r="O548" s="16" t="s">
        <v>1534</v>
      </c>
      <c r="P548" s="16" t="s">
        <v>1535</v>
      </c>
      <c r="Q548" s="17" t="s">
        <v>1536</v>
      </c>
      <c r="R548" s="78" t="s">
        <v>1597</v>
      </c>
      <c r="S548" s="77" t="n">
        <f aca="false">IFERROR(INDEX('Injectable Value'!$Z$28:$Z$178,MATCH($C548,'Injectable Value'!$A$28:$A$178,0)),"")</f>
        <v>1</v>
      </c>
      <c r="T548" s="19" t="n">
        <f aca="false">IFERROR(ROUND(INDEX('Injectable Value'!$AA$28:$AA$178,MATCH($C548,'Injectable Value'!$A$28:$A$178,0)),1),"")</f>
        <v>570.1</v>
      </c>
      <c r="U548" s="17" t="s">
        <v>284</v>
      </c>
      <c r="V548" s="16" t="n">
        <v>1</v>
      </c>
      <c r="W548" s="16" t="s">
        <v>284</v>
      </c>
      <c r="X548" s="16" t="s">
        <v>281</v>
      </c>
      <c r="Y548" s="16" t="s">
        <v>333</v>
      </c>
      <c r="Z548" s="17" t="str">
        <f aca="false">IFERROR(INDEX(Scoring!$U:$U,MATCH($C548&amp;"|"&amp;$E548,Scoring!$AD:$AD,0)),"")</f>
        <v>Reconstitution</v>
      </c>
      <c r="AA548" s="16" t="str">
        <f aca="false">IFERROR(INDEX(Scoring!$E:$E,MATCH($C548&amp;"|"&amp;$E548,Scoring!$AD:$AD,0)),"")</f>
        <v>Priority 3</v>
      </c>
      <c r="AB548" s="19" t="n">
        <f aca="false">IFERROR(INDEX(Scoring!$M:$M,MATCH($C548&amp;"|"&amp;$E548,Scoring!$AD:$AD,0)),"")</f>
        <v>4</v>
      </c>
      <c r="AC548" s="16" t="str">
        <f aca="false">IFERROR(INDEX('Route of Administration'!$C$5:$C$155,MATCH($C548,'Route of Administration'!$A$5:$A$155,0)),"")</f>
        <v>IV, IM</v>
      </c>
      <c r="AD548" s="15" t="str">
        <f aca="false">IFERROR(INDEX('Route of Administration'!$D$5:$D$155,MATCH($C548,'Route of Administration'!$A$5:$A$155,0)),"")</f>
        <v>Yes</v>
      </c>
      <c r="AE548" s="15" t="str">
        <f aca="false">IF($AD548="No","Not checked – drug is IV only",IFERROR(INDEX('Route of Administration'!$O$5:$O$170,MATCH($E548&amp;"|"&amp;$C548,'Route of Administration'!$S$5:$S$170,0)),"Not checked – price ≤ USD 5"))</f>
        <v>Pass</v>
      </c>
    </row>
    <row r="549" customFormat="false" ht="15" hidden="false" customHeight="false" outlineLevel="0" collapsed="false">
      <c r="B549" s="16" t="n">
        <v>547</v>
      </c>
      <c r="C549" s="16" t="s">
        <v>507</v>
      </c>
      <c r="D549" s="16" t="s">
        <v>508</v>
      </c>
      <c r="E549" s="16" t="s">
        <v>1280</v>
      </c>
      <c r="F549" s="16" t="s">
        <v>1598</v>
      </c>
      <c r="G549" s="17" t="s">
        <v>2526</v>
      </c>
      <c r="H549" s="16" t="s">
        <v>1533</v>
      </c>
      <c r="I549" s="18" t="n">
        <v>6.06</v>
      </c>
      <c r="J549" s="16" t="n">
        <v>1</v>
      </c>
      <c r="K549" s="16" t="n">
        <v>4</v>
      </c>
      <c r="L549" s="19" t="n">
        <v>570.1</v>
      </c>
      <c r="M549" s="17" t="s">
        <v>509</v>
      </c>
      <c r="N549" s="18" t="n">
        <v>6.06</v>
      </c>
      <c r="O549" s="16" t="s">
        <v>1534</v>
      </c>
      <c r="P549" s="16" t="s">
        <v>1535</v>
      </c>
      <c r="Q549" s="17" t="s">
        <v>1536</v>
      </c>
      <c r="R549" s="78" t="s">
        <v>1597</v>
      </c>
      <c r="S549" s="77" t="n">
        <f aca="false">IFERROR(INDEX('Injectable Value'!$Z$28:$Z$178,MATCH($C549,'Injectable Value'!$A$28:$A$178,0)),"")</f>
        <v>1</v>
      </c>
      <c r="T549" s="19" t="n">
        <f aca="false">IFERROR(ROUND(INDEX('Injectable Value'!$AA$28:$AA$178,MATCH($C549,'Injectable Value'!$A$28:$A$178,0)),1),"")</f>
        <v>570.1</v>
      </c>
      <c r="U549" s="17" t="s">
        <v>284</v>
      </c>
      <c r="V549" s="16" t="n">
        <v>1</v>
      </c>
      <c r="W549" s="16" t="s">
        <v>284</v>
      </c>
      <c r="X549" s="16" t="s">
        <v>281</v>
      </c>
      <c r="Y549" s="16" t="s">
        <v>333</v>
      </c>
      <c r="Z549" s="17" t="str">
        <f aca="false">IFERROR(INDEX(Scoring!$U:$U,MATCH($C549&amp;"|"&amp;$E549,Scoring!$AD:$AD,0)),"")</f>
        <v>Reconstitution</v>
      </c>
      <c r="AA549" s="16" t="str">
        <f aca="false">IFERROR(INDEX(Scoring!$E:$E,MATCH($C549&amp;"|"&amp;$E549,Scoring!$AD:$AD,0)),"")</f>
        <v>Priority 3</v>
      </c>
      <c r="AB549" s="19" t="n">
        <f aca="false">IFERROR(INDEX(Scoring!$M:$M,MATCH($C549&amp;"|"&amp;$E549,Scoring!$AD:$AD,0)),"")</f>
        <v>4</v>
      </c>
      <c r="AC549" s="16" t="str">
        <f aca="false">IFERROR(INDEX('Route of Administration'!$C$5:$C$155,MATCH($C549,'Route of Administration'!$A$5:$A$155,0)),"")</f>
        <v>IV, IM</v>
      </c>
      <c r="AD549" s="15" t="str">
        <f aca="false">IFERROR(INDEX('Route of Administration'!$D$5:$D$155,MATCH($C549,'Route of Administration'!$A$5:$A$155,0)),"")</f>
        <v>Yes</v>
      </c>
      <c r="AE549" s="15" t="str">
        <f aca="false">IF($AD549="No","Not checked – drug is IV only",IFERROR(INDEX('Route of Administration'!$O$5:$O$170,MATCH($E549&amp;"|"&amp;$C549,'Route of Administration'!$S$5:$S$170,0)),"Not checked – price ≤ USD 5"))</f>
        <v>Pass</v>
      </c>
    </row>
    <row r="550" customFormat="false" ht="68.65" hidden="false" customHeight="false" outlineLevel="0" collapsed="false">
      <c r="B550" s="16" t="n">
        <v>548</v>
      </c>
      <c r="C550" s="16" t="s">
        <v>483</v>
      </c>
      <c r="D550" s="16" t="s">
        <v>1281</v>
      </c>
      <c r="E550" s="16" t="s">
        <v>1280</v>
      </c>
      <c r="F550" s="16" t="s">
        <v>1733</v>
      </c>
      <c r="G550" s="17" t="s">
        <v>1734</v>
      </c>
      <c r="H550" s="16" t="s">
        <v>1533</v>
      </c>
      <c r="I550" s="18" t="n">
        <v>12.0797</v>
      </c>
      <c r="J550" s="16" t="n">
        <v>29</v>
      </c>
      <c r="K550" s="16" t="n">
        <v>1185</v>
      </c>
      <c r="L550" s="19" t="n">
        <v>59407.06</v>
      </c>
      <c r="M550" s="17" t="s">
        <v>485</v>
      </c>
      <c r="N550" s="18" t="n">
        <v>12.0797</v>
      </c>
      <c r="O550" s="16" t="s">
        <v>1534</v>
      </c>
      <c r="P550" s="16" t="s">
        <v>1535</v>
      </c>
      <c r="Q550" s="17" t="s">
        <v>1536</v>
      </c>
      <c r="R550" s="78" t="s">
        <v>2527</v>
      </c>
      <c r="S550" s="77" t="n">
        <f aca="false">IFERROR(INDEX('Injectable Value'!$Z$28:$Z$178,MATCH($C550,'Injectable Value'!$A$28:$A$178,0)),"")</f>
        <v>0.991808067465962</v>
      </c>
      <c r="T550" s="19" t="n">
        <f aca="false">IFERROR(ROUND(INDEX('Injectable Value'!$AA$28:$AA$178,MATCH($C550,'Injectable Value'!$A$28:$A$178,0)),1),"")</f>
        <v>58920.4</v>
      </c>
      <c r="U550" s="17" t="s">
        <v>1283</v>
      </c>
      <c r="V550" s="16" t="n">
        <v>23</v>
      </c>
      <c r="W550" s="16" t="s">
        <v>1023</v>
      </c>
      <c r="X550" s="16" t="s">
        <v>281</v>
      </c>
      <c r="Y550" s="16" t="s">
        <v>333</v>
      </c>
      <c r="Z550" s="17" t="str">
        <f aca="false">IFERROR(INDEX(Scoring!$U:$U,MATCH($C550&amp;"|"&amp;$E550,Scoring!$AD:$AD,0)),"")</f>
        <v>Reconstitution</v>
      </c>
      <c r="AA550" s="16" t="str">
        <f aca="false">IFERROR(INDEX(Scoring!$E:$E,MATCH($C550&amp;"|"&amp;$E550,Scoring!$AD:$AD,0)),"")</f>
        <v>Excluded – IV only</v>
      </c>
      <c r="AB550" s="19" t="n">
        <f aca="false">IFERROR(INDEX(Scoring!$M:$M,MATCH($C550&amp;"|"&amp;$E550,Scoring!$AD:$AD,0)),"")</f>
        <v>1175</v>
      </c>
      <c r="AC550" s="16" t="str">
        <f aca="false">IFERROR(INDEX('Route of Administration'!$C$5:$C$155,MATCH($C550,'Route of Administration'!$A$5:$A$155,0)),"")</f>
        <v>IV</v>
      </c>
      <c r="AD550" s="15" t="str">
        <f aca="false">IFERROR(INDEX('Route of Administration'!$D$5:$D$155,MATCH($C550,'Route of Administration'!$A$5:$A$155,0)),"")</f>
        <v>No</v>
      </c>
      <c r="AE550" s="15" t="str">
        <f aca="false">IF($AD550="No","Not checked – drug is IV only",IFERROR(INDEX('Route of Administration'!$O$5:$O$170,MATCH($E550&amp;"|"&amp;$C550,'Route of Administration'!$S$5:$S$170,0)),"Not checked – price ≤ USD 5"))</f>
        <v>Not checked – drug is IV only</v>
      </c>
    </row>
    <row r="551" customFormat="false" ht="68.65" hidden="false" customHeight="false" outlineLevel="0" collapsed="false">
      <c r="B551" s="16" t="n">
        <v>549</v>
      </c>
      <c r="C551" s="16" t="s">
        <v>483</v>
      </c>
      <c r="D551" s="16" t="s">
        <v>1281</v>
      </c>
      <c r="E551" s="16" t="s">
        <v>1280</v>
      </c>
      <c r="F551" s="16" t="s">
        <v>2528</v>
      </c>
      <c r="G551" s="17" t="s">
        <v>2529</v>
      </c>
      <c r="H551" s="16" t="s">
        <v>1533</v>
      </c>
      <c r="I551" s="18" t="n">
        <v>44.7141</v>
      </c>
      <c r="J551" s="16" t="n">
        <v>30</v>
      </c>
      <c r="K551" s="16" t="n">
        <v>1185</v>
      </c>
      <c r="L551" s="19" t="n">
        <v>59407.06</v>
      </c>
      <c r="M551" s="17" t="s">
        <v>485</v>
      </c>
      <c r="N551" s="18" t="n">
        <v>44.7141</v>
      </c>
      <c r="O551" s="16" t="s">
        <v>1534</v>
      </c>
      <c r="P551" s="16" t="s">
        <v>1535</v>
      </c>
      <c r="Q551" s="17" t="s">
        <v>1536</v>
      </c>
      <c r="R551" s="78" t="s">
        <v>1701</v>
      </c>
      <c r="S551" s="77" t="n">
        <f aca="false">IFERROR(INDEX('Injectable Value'!$Z$28:$Z$178,MATCH($C551,'Injectable Value'!$A$28:$A$178,0)),"")</f>
        <v>0.991808067465962</v>
      </c>
      <c r="T551" s="19" t="n">
        <f aca="false">IFERROR(ROUND(INDEX('Injectable Value'!$AA$28:$AA$178,MATCH($C551,'Injectable Value'!$A$28:$A$178,0)),1),"")</f>
        <v>58920.4</v>
      </c>
      <c r="U551" s="17" t="s">
        <v>1283</v>
      </c>
      <c r="V551" s="16" t="n">
        <v>23</v>
      </c>
      <c r="W551" s="16" t="s">
        <v>1023</v>
      </c>
      <c r="X551" s="16" t="s">
        <v>281</v>
      </c>
      <c r="Y551" s="16" t="s">
        <v>333</v>
      </c>
      <c r="Z551" s="17" t="str">
        <f aca="false">IFERROR(INDEX(Scoring!$U:$U,MATCH($C551&amp;"|"&amp;$E551,Scoring!$AD:$AD,0)),"")</f>
        <v>Reconstitution</v>
      </c>
      <c r="AA551" s="16" t="str">
        <f aca="false">IFERROR(INDEX(Scoring!$E:$E,MATCH($C551&amp;"|"&amp;$E551,Scoring!$AD:$AD,0)),"")</f>
        <v>Excluded – IV only</v>
      </c>
      <c r="AB551" s="19" t="n">
        <f aca="false">IFERROR(INDEX(Scoring!$M:$M,MATCH($C551&amp;"|"&amp;$E551,Scoring!$AD:$AD,0)),"")</f>
        <v>1175</v>
      </c>
      <c r="AC551" s="16" t="str">
        <f aca="false">IFERROR(INDEX('Route of Administration'!$C$5:$C$155,MATCH($C551,'Route of Administration'!$A$5:$A$155,0)),"")</f>
        <v>IV</v>
      </c>
      <c r="AD551" s="15" t="str">
        <f aca="false">IFERROR(INDEX('Route of Administration'!$D$5:$D$155,MATCH($C551,'Route of Administration'!$A$5:$A$155,0)),"")</f>
        <v>No</v>
      </c>
      <c r="AE551" s="15" t="str">
        <f aca="false">IF($AD551="No","Not checked – drug is IV only",IFERROR(INDEX('Route of Administration'!$O$5:$O$170,MATCH($E551&amp;"|"&amp;$C551,'Route of Administration'!$S$5:$S$170,0)),"Not checked – price ≤ USD 5"))</f>
        <v>Not checked – drug is IV only</v>
      </c>
    </row>
    <row r="552" customFormat="false" ht="68.65" hidden="false" customHeight="false" outlineLevel="0" collapsed="false">
      <c r="B552" s="16" t="n">
        <v>550</v>
      </c>
      <c r="C552" s="16" t="s">
        <v>483</v>
      </c>
      <c r="D552" s="16" t="s">
        <v>1281</v>
      </c>
      <c r="E552" s="16" t="s">
        <v>1280</v>
      </c>
      <c r="F552" s="16" t="s">
        <v>1733</v>
      </c>
      <c r="G552" s="17" t="s">
        <v>1734</v>
      </c>
      <c r="H552" s="16" t="s">
        <v>1533</v>
      </c>
      <c r="I552" s="18" t="n">
        <v>15.5149</v>
      </c>
      <c r="J552" s="16" t="n">
        <v>30</v>
      </c>
      <c r="K552" s="16" t="n">
        <v>1185</v>
      </c>
      <c r="L552" s="19" t="n">
        <v>59407.06</v>
      </c>
      <c r="M552" s="17" t="s">
        <v>485</v>
      </c>
      <c r="N552" s="18" t="n">
        <v>15.5149</v>
      </c>
      <c r="O552" s="16" t="s">
        <v>1534</v>
      </c>
      <c r="P552" s="16" t="s">
        <v>1535</v>
      </c>
      <c r="Q552" s="17" t="s">
        <v>1536</v>
      </c>
      <c r="R552" s="78" t="s">
        <v>2527</v>
      </c>
      <c r="S552" s="77" t="n">
        <f aca="false">IFERROR(INDEX('Injectable Value'!$Z$28:$Z$178,MATCH($C552,'Injectable Value'!$A$28:$A$178,0)),"")</f>
        <v>0.991808067465962</v>
      </c>
      <c r="T552" s="19" t="n">
        <f aca="false">IFERROR(ROUND(INDEX('Injectable Value'!$AA$28:$AA$178,MATCH($C552,'Injectable Value'!$A$28:$A$178,0)),1),"")</f>
        <v>58920.4</v>
      </c>
      <c r="U552" s="17" t="s">
        <v>1283</v>
      </c>
      <c r="V552" s="16" t="n">
        <v>23</v>
      </c>
      <c r="W552" s="16" t="s">
        <v>1023</v>
      </c>
      <c r="X552" s="16" t="s">
        <v>281</v>
      </c>
      <c r="Y552" s="16" t="s">
        <v>333</v>
      </c>
      <c r="Z552" s="17" t="str">
        <f aca="false">IFERROR(INDEX(Scoring!$U:$U,MATCH($C552&amp;"|"&amp;$E552,Scoring!$AD:$AD,0)),"")</f>
        <v>Reconstitution</v>
      </c>
      <c r="AA552" s="16" t="str">
        <f aca="false">IFERROR(INDEX(Scoring!$E:$E,MATCH($C552&amp;"|"&amp;$E552,Scoring!$AD:$AD,0)),"")</f>
        <v>Excluded – IV only</v>
      </c>
      <c r="AB552" s="19" t="n">
        <f aca="false">IFERROR(INDEX(Scoring!$M:$M,MATCH($C552&amp;"|"&amp;$E552,Scoring!$AD:$AD,0)),"")</f>
        <v>1175</v>
      </c>
      <c r="AC552" s="16" t="str">
        <f aca="false">IFERROR(INDEX('Route of Administration'!$C$5:$C$155,MATCH($C552,'Route of Administration'!$A$5:$A$155,0)),"")</f>
        <v>IV</v>
      </c>
      <c r="AD552" s="15" t="str">
        <f aca="false">IFERROR(INDEX('Route of Administration'!$D$5:$D$155,MATCH($C552,'Route of Administration'!$A$5:$A$155,0)),"")</f>
        <v>No</v>
      </c>
      <c r="AE552" s="15" t="str">
        <f aca="false">IF($AD552="No","Not checked – drug is IV only",IFERROR(INDEX('Route of Administration'!$O$5:$O$170,MATCH($E552&amp;"|"&amp;$C552,'Route of Administration'!$S$5:$S$170,0)),"Not checked – price ≤ USD 5"))</f>
        <v>Not checked – drug is IV only</v>
      </c>
    </row>
    <row r="553" customFormat="false" ht="28.35" hidden="false" customHeight="false" outlineLevel="0" collapsed="false">
      <c r="B553" s="16" t="n">
        <v>551</v>
      </c>
      <c r="C553" s="16" t="s">
        <v>967</v>
      </c>
      <c r="D553" s="16" t="s">
        <v>1301</v>
      </c>
      <c r="E553" s="16" t="s">
        <v>1294</v>
      </c>
      <c r="F553" s="16" t="s">
        <v>2169</v>
      </c>
      <c r="G553" s="17" t="s">
        <v>2530</v>
      </c>
      <c r="H553" s="16" t="s">
        <v>1533</v>
      </c>
      <c r="I553" s="18" t="n">
        <v>6.66</v>
      </c>
      <c r="J553" s="16" t="n">
        <v>1</v>
      </c>
      <c r="K553" s="16" t="n">
        <v>117</v>
      </c>
      <c r="L553" s="19" t="n">
        <v>2508.09</v>
      </c>
      <c r="M553" s="17" t="s">
        <v>969</v>
      </c>
      <c r="N553" s="18" t="n">
        <v>6.66</v>
      </c>
      <c r="O553" s="16" t="s">
        <v>1534</v>
      </c>
      <c r="P553" s="16" t="s">
        <v>1535</v>
      </c>
      <c r="Q553" s="17" t="s">
        <v>1536</v>
      </c>
      <c r="R553" s="78" t="s">
        <v>2531</v>
      </c>
      <c r="S553" s="77" t="n">
        <f aca="false">IFERROR(INDEX('Injectable Value'!$Z$28:$Z$178,MATCH($C553,'Injectable Value'!$A$28:$A$178,0)),"")</f>
        <v>1</v>
      </c>
      <c r="T553" s="19" t="n">
        <f aca="false">IFERROR(ROUND(INDEX('Injectable Value'!$AA$28:$AA$178,MATCH($C553,'Injectable Value'!$A$28:$A$178,0)),1),"")</f>
        <v>2508.1</v>
      </c>
      <c r="U553" s="17" t="s">
        <v>284</v>
      </c>
      <c r="V553" s="16" t="n">
        <v>1</v>
      </c>
      <c r="W553" s="16" t="s">
        <v>284</v>
      </c>
      <c r="X553" s="16" t="s">
        <v>281</v>
      </c>
      <c r="Y553" s="16" t="s">
        <v>283</v>
      </c>
      <c r="Z553" s="17" t="str">
        <f aca="false">IFERROR(INDEX(Scoring!$U:$U,MATCH($C553&amp;"|"&amp;$E553,Scoring!$AD:$AD,0)),"")</f>
        <v/>
      </c>
      <c r="AA553" s="16" t="str">
        <f aca="false">IFERROR(INDEX(Scoring!$E:$E,MATCH($C553&amp;"|"&amp;$E553,Scoring!$AD:$AD,0)),"")</f>
        <v>Excluded – IV only</v>
      </c>
      <c r="AB553" s="19" t="n">
        <f aca="false">IFERROR(INDEX(Scoring!$M:$M,MATCH($C553&amp;"|"&amp;$E553,Scoring!$AD:$AD,0)),"")</f>
        <v>117</v>
      </c>
      <c r="AC553" s="16" t="str">
        <f aca="false">IFERROR(INDEX('Route of Administration'!$C$5:$C$155,MATCH($C553,'Route of Administration'!$A$5:$A$155,0)),"")</f>
        <v>IV</v>
      </c>
      <c r="AD553" s="15" t="str">
        <f aca="false">IFERROR(INDEX('Route of Administration'!$D$5:$D$155,MATCH($C553,'Route of Administration'!$A$5:$A$155,0)),"")</f>
        <v>No</v>
      </c>
      <c r="AE553" s="15" t="str">
        <f aca="false">IF($AD553="No","Not checked – drug is IV only",IFERROR(INDEX('Route of Administration'!$O$5:$O$170,MATCH($E553&amp;"|"&amp;$C553,'Route of Administration'!$S$5:$S$170,0)),"Not checked – price ≤ USD 5"))</f>
        <v>Not checked – drug is IV only</v>
      </c>
    </row>
    <row r="554" customFormat="false" ht="28.35" hidden="false" customHeight="false" outlineLevel="0" collapsed="false">
      <c r="B554" s="16" t="n">
        <v>552</v>
      </c>
      <c r="C554" s="16" t="s">
        <v>967</v>
      </c>
      <c r="D554" s="16" t="s">
        <v>1301</v>
      </c>
      <c r="E554" s="16" t="s">
        <v>1294</v>
      </c>
      <c r="F554" s="16" t="s">
        <v>2532</v>
      </c>
      <c r="G554" s="17" t="s">
        <v>1578</v>
      </c>
      <c r="H554" s="16" t="s">
        <v>1533</v>
      </c>
      <c r="I554" s="18" t="n">
        <v>38.11</v>
      </c>
      <c r="J554" s="16" t="n">
        <v>1</v>
      </c>
      <c r="K554" s="16" t="n">
        <v>117</v>
      </c>
      <c r="L554" s="19" t="n">
        <v>2508.09</v>
      </c>
      <c r="M554" s="17" t="s">
        <v>969</v>
      </c>
      <c r="N554" s="18" t="n">
        <v>38.11</v>
      </c>
      <c r="O554" s="16" t="s">
        <v>1534</v>
      </c>
      <c r="P554" s="16" t="s">
        <v>1535</v>
      </c>
      <c r="Q554" s="17" t="s">
        <v>1536</v>
      </c>
      <c r="R554" s="78" t="s">
        <v>2531</v>
      </c>
      <c r="S554" s="77" t="n">
        <f aca="false">IFERROR(INDEX('Injectable Value'!$Z$28:$Z$178,MATCH($C554,'Injectable Value'!$A$28:$A$178,0)),"")</f>
        <v>1</v>
      </c>
      <c r="T554" s="19" t="n">
        <f aca="false">IFERROR(ROUND(INDEX('Injectable Value'!$AA$28:$AA$178,MATCH($C554,'Injectable Value'!$A$28:$A$178,0)),1),"")</f>
        <v>2508.1</v>
      </c>
      <c r="U554" s="17" t="s">
        <v>284</v>
      </c>
      <c r="V554" s="16" t="n">
        <v>1</v>
      </c>
      <c r="W554" s="16" t="s">
        <v>284</v>
      </c>
      <c r="X554" s="16" t="s">
        <v>281</v>
      </c>
      <c r="Y554" s="16" t="s">
        <v>1547</v>
      </c>
      <c r="Z554" s="17" t="str">
        <f aca="false">IFERROR(INDEX(Scoring!$U:$U,MATCH($C554&amp;"|"&amp;$E554,Scoring!$AD:$AD,0)),"")</f>
        <v/>
      </c>
      <c r="AA554" s="16" t="str">
        <f aca="false">IFERROR(INDEX(Scoring!$E:$E,MATCH($C554&amp;"|"&amp;$E554,Scoring!$AD:$AD,0)),"")</f>
        <v>Excluded – IV only</v>
      </c>
      <c r="AB554" s="19" t="n">
        <f aca="false">IFERROR(INDEX(Scoring!$M:$M,MATCH($C554&amp;"|"&amp;$E554,Scoring!$AD:$AD,0)),"")</f>
        <v>117</v>
      </c>
      <c r="AC554" s="16" t="str">
        <f aca="false">IFERROR(INDEX('Route of Administration'!$C$5:$C$155,MATCH($C554,'Route of Administration'!$A$5:$A$155,0)),"")</f>
        <v>IV</v>
      </c>
      <c r="AD554" s="15" t="str">
        <f aca="false">IFERROR(INDEX('Route of Administration'!$D$5:$D$155,MATCH($C554,'Route of Administration'!$A$5:$A$155,0)),"")</f>
        <v>No</v>
      </c>
      <c r="AE554" s="15" t="str">
        <f aca="false">IF($AD554="No","Not checked – drug is IV only",IFERROR(INDEX('Route of Administration'!$O$5:$O$170,MATCH($E554&amp;"|"&amp;$C554,'Route of Administration'!$S$5:$S$170,0)),"Not checked – price ≤ USD 5"))</f>
        <v>Not checked – drug is IV only</v>
      </c>
    </row>
    <row r="555" customFormat="false" ht="28.35" hidden="false" customHeight="false" outlineLevel="0" collapsed="false">
      <c r="B555" s="16" t="n">
        <v>553</v>
      </c>
      <c r="C555" s="16" t="s">
        <v>1295</v>
      </c>
      <c r="D555" s="16" t="s">
        <v>1296</v>
      </c>
      <c r="E555" s="16" t="s">
        <v>1294</v>
      </c>
      <c r="F555" s="16" t="s">
        <v>2533</v>
      </c>
      <c r="G555" s="17" t="s">
        <v>2534</v>
      </c>
      <c r="H555" s="16" t="s">
        <v>1540</v>
      </c>
      <c r="I555" s="18"/>
      <c r="J555" s="16" t="n">
        <v>1</v>
      </c>
      <c r="K555" s="16" t="n">
        <v>858</v>
      </c>
      <c r="L555" s="19" t="n">
        <v>13738.53</v>
      </c>
      <c r="M555" s="17" t="s">
        <v>1297</v>
      </c>
      <c r="N555" s="82" t="n">
        <v>59.3</v>
      </c>
      <c r="O555" s="64" t="s">
        <v>1541</v>
      </c>
      <c r="P555" s="16" t="s">
        <v>1700</v>
      </c>
      <c r="Q555" s="17" t="s">
        <v>1864</v>
      </c>
      <c r="R555" s="78" t="s">
        <v>1865</v>
      </c>
      <c r="S555" s="77" t="n">
        <f aca="false">IFERROR(INDEX('Injectable Value'!$Z$28:$Z$178,MATCH($C555,'Injectable Value'!$A$28:$A$178,0)),"")</f>
        <v>0.372538609534506</v>
      </c>
      <c r="T555" s="19" t="n">
        <f aca="false">IFERROR(ROUND(INDEX('Injectable Value'!$AA$28:$AA$178,MATCH($C555,'Injectable Value'!$A$28:$A$178,0)),1),"")</f>
        <v>5118.1</v>
      </c>
      <c r="U555" s="17" t="s">
        <v>1299</v>
      </c>
      <c r="V555" s="16" t="n">
        <v>9</v>
      </c>
      <c r="W555" s="16" t="s">
        <v>342</v>
      </c>
      <c r="X555" s="16" t="s">
        <v>291</v>
      </c>
      <c r="Y555" s="16" t="s">
        <v>283</v>
      </c>
      <c r="Z555" s="17" t="str">
        <f aca="false">IFERROR(INDEX(Scoring!$U:$U,MATCH($C555&amp;"|"&amp;$E555,Scoring!$AD:$AD,0)),"")</f>
        <v>Prefilled only</v>
      </c>
      <c r="AA555" s="16" t="str">
        <f aca="false">IFERROR(INDEX(Scoring!$E:$E,MATCH($C555&amp;"|"&amp;$E555,Scoring!$AD:$AD,0)),"")</f>
        <v>Excluded – IV only</v>
      </c>
      <c r="AB555" s="19" t="n">
        <f aca="false">IFERROR(INDEX(Scoring!$M:$M,MATCH($C555&amp;"|"&amp;$E555,Scoring!$AD:$AD,0)),"")</f>
        <v>320</v>
      </c>
      <c r="AC555" s="16" t="str">
        <f aca="false">IFERROR(INDEX('Route of Administration'!$C$5:$C$155,MATCH($C555,'Route of Administration'!$A$5:$A$155,0)),"")</f>
        <v>Intrathecal</v>
      </c>
      <c r="AD555" s="15" t="str">
        <f aca="false">IFERROR(INDEX('Route of Administration'!$D$5:$D$155,MATCH($C555,'Route of Administration'!$A$5:$A$155,0)),"")</f>
        <v>No</v>
      </c>
      <c r="AE555" s="15" t="str">
        <f aca="false">IF($AD555="No","Not checked – drug is IV only",IFERROR(INDEX('Route of Administration'!$O$5:$O$170,MATCH($E555&amp;"|"&amp;$C555,'Route of Administration'!$S$5:$S$170,0)),"Not checked – price ≤ USD 5"))</f>
        <v>Not checked – drug is IV only</v>
      </c>
    </row>
    <row r="556" customFormat="false" ht="82.05" hidden="false" customHeight="false" outlineLevel="0" collapsed="false">
      <c r="B556" s="16" t="n">
        <v>554</v>
      </c>
      <c r="C556" s="16" t="s">
        <v>665</v>
      </c>
      <c r="D556" s="16" t="s">
        <v>665</v>
      </c>
      <c r="E556" s="16" t="s">
        <v>1294</v>
      </c>
      <c r="F556" s="16" t="s">
        <v>1762</v>
      </c>
      <c r="G556" s="17" t="s">
        <v>1887</v>
      </c>
      <c r="H556" s="16" t="s">
        <v>1533</v>
      </c>
      <c r="I556" s="18" t="n">
        <v>67.02</v>
      </c>
      <c r="J556" s="16" t="n">
        <v>1</v>
      </c>
      <c r="K556" s="16" t="n">
        <v>346</v>
      </c>
      <c r="L556" s="19" t="n">
        <v>32830.17</v>
      </c>
      <c r="M556" s="17" t="s">
        <v>667</v>
      </c>
      <c r="N556" s="18" t="n">
        <v>67.02</v>
      </c>
      <c r="O556" s="16" t="s">
        <v>1534</v>
      </c>
      <c r="P556" s="16" t="s">
        <v>1535</v>
      </c>
      <c r="Q556" s="17" t="s">
        <v>1536</v>
      </c>
      <c r="R556" s="78" t="s">
        <v>2091</v>
      </c>
      <c r="S556" s="77" t="n">
        <f aca="false">IFERROR(INDEX('Injectable Value'!$Z$28:$Z$178,MATCH($C556,'Injectable Value'!$A$28:$A$178,0)),"")</f>
        <v>1</v>
      </c>
      <c r="T556" s="19" t="n">
        <f aca="false">IFERROR(ROUND(INDEX('Injectable Value'!$AA$28:$AA$178,MATCH($C556,'Injectable Value'!$A$28:$A$178,0)),1),"")</f>
        <v>32830.2</v>
      </c>
      <c r="U556" s="17" t="s">
        <v>1169</v>
      </c>
      <c r="V556" s="16" t="n">
        <v>32</v>
      </c>
      <c r="W556" s="16" t="s">
        <v>334</v>
      </c>
      <c r="X556" s="16" t="s">
        <v>281</v>
      </c>
      <c r="Y556" s="16" t="s">
        <v>283</v>
      </c>
      <c r="Z556" s="17" t="str">
        <f aca="false">IFERROR(INDEX(Scoring!$U:$U,MATCH($C556&amp;"|"&amp;$E556,Scoring!$AD:$AD,0)),"")</f>
        <v/>
      </c>
      <c r="AA556" s="16" t="str">
        <f aca="false">IFERROR(INDEX(Scoring!$E:$E,MATCH($C556&amp;"|"&amp;$E556,Scoring!$AD:$AD,0)),"")</f>
        <v>Excluded – IV only</v>
      </c>
      <c r="AB556" s="19" t="n">
        <f aca="false">IFERROR(INDEX(Scoring!$M:$M,MATCH($C556&amp;"|"&amp;$E556,Scoring!$AD:$AD,0)),"")</f>
        <v>346</v>
      </c>
      <c r="AC556" s="16" t="str">
        <f aca="false">IFERROR(INDEX('Route of Administration'!$C$5:$C$155,MATCH($C556,'Route of Administration'!$A$5:$A$155,0)),"")</f>
        <v>IV</v>
      </c>
      <c r="AD556" s="15" t="str">
        <f aca="false">IFERROR(INDEX('Route of Administration'!$D$5:$D$155,MATCH($C556,'Route of Administration'!$A$5:$A$155,0)),"")</f>
        <v>No</v>
      </c>
      <c r="AE556" s="15" t="str">
        <f aca="false">IF($AD556="No","Not checked – drug is IV only",IFERROR(INDEX('Route of Administration'!$O$5:$O$170,MATCH($E556&amp;"|"&amp;$C556,'Route of Administration'!$S$5:$S$170,0)),"Not checked – price ≤ USD 5"))</f>
        <v>Not checked – drug is IV only</v>
      </c>
    </row>
    <row r="557" customFormat="false" ht="55.2" hidden="false" customHeight="false" outlineLevel="0" collapsed="false">
      <c r="B557" s="16" t="n">
        <v>555</v>
      </c>
      <c r="C557" s="16" t="s">
        <v>1180</v>
      </c>
      <c r="D557" s="16" t="s">
        <v>2535</v>
      </c>
      <c r="E557" s="16" t="s">
        <v>1294</v>
      </c>
      <c r="F557" s="16"/>
      <c r="G557" s="17" t="s">
        <v>2536</v>
      </c>
      <c r="H557" s="16" t="s">
        <v>1533</v>
      </c>
      <c r="I557" s="18" t="n">
        <v>634</v>
      </c>
      <c r="J557" s="16" t="n">
        <v>1</v>
      </c>
      <c r="K557" s="16" t="n">
        <v>1</v>
      </c>
      <c r="L557" s="19" t="n">
        <v>15.02</v>
      </c>
      <c r="M557" s="17" t="s">
        <v>1182</v>
      </c>
      <c r="N557" s="18" t="n">
        <v>634</v>
      </c>
      <c r="O557" s="16" t="s">
        <v>1534</v>
      </c>
      <c r="P557" s="16" t="s">
        <v>1700</v>
      </c>
      <c r="Q557" s="17" t="s">
        <v>1878</v>
      </c>
      <c r="R557" s="78" t="s">
        <v>2537</v>
      </c>
      <c r="S557" s="77" t="n">
        <f aca="false">IFERROR(INDEX('Injectable Value'!$Z$28:$Z$178,MATCH($C557,'Injectable Value'!$A$28:$A$178,0)),"")</f>
        <v>0.952380952380952</v>
      </c>
      <c r="T557" s="19" t="n">
        <f aca="false">IFERROR(ROUND(INDEX('Injectable Value'!$AA$28:$AA$178,MATCH($C557,'Injectable Value'!$A$28:$A$178,0)),1),"")</f>
        <v>14.3</v>
      </c>
      <c r="U557" s="17" t="s">
        <v>1292</v>
      </c>
      <c r="V557" s="16" t="n">
        <v>19</v>
      </c>
      <c r="W557" s="16" t="s">
        <v>334</v>
      </c>
      <c r="X557" s="16" t="s">
        <v>349</v>
      </c>
      <c r="Y557" s="16" t="s">
        <v>283</v>
      </c>
      <c r="Z557" s="17" t="str">
        <f aca="false">IFERROR(INDEX(Scoring!$U:$U,MATCH($C557&amp;"|"&amp;$E557,Scoring!$AD:$AD,0)),"")</f>
        <v/>
      </c>
      <c r="AA557" s="16" t="str">
        <f aca="false">IFERROR(INDEX(Scoring!$E:$E,MATCH($C557&amp;"|"&amp;$E557,Scoring!$AD:$AD,0)),"")</f>
        <v>Excluded – IV only</v>
      </c>
      <c r="AB557" s="19" t="n">
        <f aca="false">IFERROR(INDEX(Scoring!$M:$M,MATCH($C557&amp;"|"&amp;$E557,Scoring!$AD:$AD,0)),"")</f>
        <v>1</v>
      </c>
      <c r="AC557" s="16" t="str">
        <f aca="false">IFERROR(INDEX('Route of Administration'!$C$5:$C$155,MATCH($C557,'Route of Administration'!$A$5:$A$155,0)),"")</f>
        <v>IV</v>
      </c>
      <c r="AD557" s="15" t="str">
        <f aca="false">IFERROR(INDEX('Route of Administration'!$D$5:$D$155,MATCH($C557,'Route of Administration'!$A$5:$A$155,0)),"")</f>
        <v>No</v>
      </c>
      <c r="AE557" s="15" t="str">
        <f aca="false">IF($AD557="No","Not checked – drug is IV only",IFERROR(INDEX('Route of Administration'!$O$5:$O$170,MATCH($E557&amp;"|"&amp;$C557,'Route of Administration'!$S$5:$S$170,0)),"Not checked – price ≤ USD 5"))</f>
        <v>Not checked – drug is IV only</v>
      </c>
    </row>
    <row r="558" customFormat="false" ht="28.35" hidden="false" customHeight="false" outlineLevel="0" collapsed="false">
      <c r="B558" s="16" t="n">
        <v>556</v>
      </c>
      <c r="C558" s="16" t="s">
        <v>1295</v>
      </c>
      <c r="D558" s="16" t="s">
        <v>1296</v>
      </c>
      <c r="E558" s="16" t="s">
        <v>1294</v>
      </c>
      <c r="F558" s="16" t="s">
        <v>1695</v>
      </c>
      <c r="G558" s="17" t="s">
        <v>2254</v>
      </c>
      <c r="H558" s="16" t="s">
        <v>1540</v>
      </c>
      <c r="I558" s="18"/>
      <c r="J558" s="16" t="n">
        <v>1</v>
      </c>
      <c r="K558" s="16" t="n">
        <v>858</v>
      </c>
      <c r="L558" s="19" t="n">
        <v>13738.53</v>
      </c>
      <c r="M558" s="17" t="s">
        <v>1297</v>
      </c>
      <c r="N558" s="18"/>
      <c r="O558" s="16" t="s">
        <v>1573</v>
      </c>
      <c r="P558" s="16" t="s">
        <v>112</v>
      </c>
      <c r="Q558" s="17" t="s">
        <v>112</v>
      </c>
      <c r="R558" s="16"/>
      <c r="S558" s="77" t="n">
        <f aca="false">IFERROR(INDEX('Injectable Value'!$Z$28:$Z$178,MATCH($C558,'Injectable Value'!$A$28:$A$178,0)),"")</f>
        <v>0.372538609534506</v>
      </c>
      <c r="T558" s="19" t="n">
        <f aca="false">IFERROR(ROUND(INDEX('Injectable Value'!$AA$28:$AA$178,MATCH($C558,'Injectable Value'!$A$28:$A$178,0)),1),"")</f>
        <v>5118.1</v>
      </c>
      <c r="U558" s="17" t="s">
        <v>1299</v>
      </c>
      <c r="V558" s="16" t="n">
        <v>9</v>
      </c>
      <c r="W558" s="16" t="s">
        <v>342</v>
      </c>
      <c r="X558" s="16" t="s">
        <v>291</v>
      </c>
      <c r="Y558" s="16" t="s">
        <v>310</v>
      </c>
      <c r="Z558" s="17" t="str">
        <f aca="false">IFERROR(INDEX(Scoring!$U:$U,MATCH($C558&amp;"|"&amp;$E558,Scoring!$AD:$AD,0)),"")</f>
        <v>Prefilled only</v>
      </c>
      <c r="AA558" s="16" t="str">
        <f aca="false">IFERROR(INDEX(Scoring!$E:$E,MATCH($C558&amp;"|"&amp;$E558,Scoring!$AD:$AD,0)),"")</f>
        <v>Excluded – IV only</v>
      </c>
      <c r="AB558" s="19" t="n">
        <f aca="false">IFERROR(INDEX(Scoring!$M:$M,MATCH($C558&amp;"|"&amp;$E558,Scoring!$AD:$AD,0)),"")</f>
        <v>320</v>
      </c>
      <c r="AC558" s="16" t="str">
        <f aca="false">IFERROR(INDEX('Route of Administration'!$C$5:$C$155,MATCH($C558,'Route of Administration'!$A$5:$A$155,0)),"")</f>
        <v>Intrathecal</v>
      </c>
      <c r="AD558" s="15" t="str">
        <f aca="false">IFERROR(INDEX('Route of Administration'!$D$5:$D$155,MATCH($C558,'Route of Administration'!$A$5:$A$155,0)),"")</f>
        <v>No</v>
      </c>
      <c r="AE558" s="15" t="str">
        <f aca="false">IF($AD558="No","Not checked – drug is IV only",IFERROR(INDEX('Route of Administration'!$O$5:$O$170,MATCH($E558&amp;"|"&amp;$C558,'Route of Administration'!$S$5:$S$170,0)),"Not checked – price ≤ USD 5"))</f>
        <v>Not checked – drug is IV only</v>
      </c>
    </row>
    <row r="559" customFormat="false" ht="55.2" hidden="false" customHeight="false" outlineLevel="0" collapsed="false">
      <c r="B559" s="16" t="n">
        <v>557</v>
      </c>
      <c r="C559" s="16" t="s">
        <v>1180</v>
      </c>
      <c r="D559" s="16" t="s">
        <v>2538</v>
      </c>
      <c r="E559" s="16" t="s">
        <v>1294</v>
      </c>
      <c r="F559" s="16" t="s">
        <v>2539</v>
      </c>
      <c r="G559" s="17" t="s">
        <v>2540</v>
      </c>
      <c r="H559" s="16" t="s">
        <v>1533</v>
      </c>
      <c r="I559" s="18" t="n">
        <v>7.2659</v>
      </c>
      <c r="J559" s="16" t="n">
        <v>13</v>
      </c>
      <c r="K559" s="16" t="n">
        <v>1</v>
      </c>
      <c r="L559" s="19" t="n">
        <v>15.02</v>
      </c>
      <c r="M559" s="17" t="s">
        <v>1182</v>
      </c>
      <c r="N559" s="18" t="n">
        <v>7.2659</v>
      </c>
      <c r="O559" s="16" t="s">
        <v>1534</v>
      </c>
      <c r="P559" s="16" t="s">
        <v>1700</v>
      </c>
      <c r="Q559" s="17" t="s">
        <v>1536</v>
      </c>
      <c r="R559" s="78" t="s">
        <v>2541</v>
      </c>
      <c r="S559" s="77" t="n">
        <f aca="false">IFERROR(INDEX('Injectable Value'!$Z$28:$Z$178,MATCH($C559,'Injectable Value'!$A$28:$A$178,0)),"")</f>
        <v>0.952380952380952</v>
      </c>
      <c r="T559" s="19" t="n">
        <f aca="false">IFERROR(ROUND(INDEX('Injectable Value'!$AA$28:$AA$178,MATCH($C559,'Injectable Value'!$A$28:$A$178,0)),1),"")</f>
        <v>14.3</v>
      </c>
      <c r="U559" s="17" t="s">
        <v>1292</v>
      </c>
      <c r="V559" s="16" t="n">
        <v>19</v>
      </c>
      <c r="W559" s="16" t="s">
        <v>334</v>
      </c>
      <c r="X559" s="16" t="s">
        <v>349</v>
      </c>
      <c r="Y559" s="16" t="s">
        <v>283</v>
      </c>
      <c r="Z559" s="17" t="str">
        <f aca="false">IFERROR(INDEX(Scoring!$U:$U,MATCH($C559&amp;"|"&amp;$E559,Scoring!$AD:$AD,0)),"")</f>
        <v/>
      </c>
      <c r="AA559" s="16" t="str">
        <f aca="false">IFERROR(INDEX(Scoring!$E:$E,MATCH($C559&amp;"|"&amp;$E559,Scoring!$AD:$AD,0)),"")</f>
        <v>Excluded – IV only</v>
      </c>
      <c r="AB559" s="19" t="n">
        <f aca="false">IFERROR(INDEX(Scoring!$M:$M,MATCH($C559&amp;"|"&amp;$E559,Scoring!$AD:$AD,0)),"")</f>
        <v>1</v>
      </c>
      <c r="AC559" s="16" t="str">
        <f aca="false">IFERROR(INDEX('Route of Administration'!$C$5:$C$155,MATCH($C559,'Route of Administration'!$A$5:$A$155,0)),"")</f>
        <v>IV</v>
      </c>
      <c r="AD559" s="15" t="str">
        <f aca="false">IFERROR(INDEX('Route of Administration'!$D$5:$D$155,MATCH($C559,'Route of Administration'!$A$5:$A$155,0)),"")</f>
        <v>No</v>
      </c>
      <c r="AE559" s="15" t="str">
        <f aca="false">IF($AD559="No","Not checked – drug is IV only",IFERROR(INDEX('Route of Administration'!$O$5:$O$170,MATCH($E559&amp;"|"&amp;$C559,'Route of Administration'!$S$5:$S$170,0)),"Not checked – price ≤ USD 5"))</f>
        <v>Not checked – drug is IV only</v>
      </c>
    </row>
    <row r="560" customFormat="false" ht="41.75" hidden="false" customHeight="false" outlineLevel="0" collapsed="false">
      <c r="B560" s="16" t="n">
        <v>558</v>
      </c>
      <c r="C560" s="16" t="s">
        <v>1303</v>
      </c>
      <c r="D560" s="16" t="s">
        <v>1304</v>
      </c>
      <c r="E560" s="16" t="s">
        <v>1294</v>
      </c>
      <c r="F560" s="16" t="s">
        <v>2542</v>
      </c>
      <c r="G560" s="17" t="s">
        <v>2540</v>
      </c>
      <c r="H560" s="16" t="s">
        <v>1533</v>
      </c>
      <c r="I560" s="18" t="n">
        <v>6.0342</v>
      </c>
      <c r="J560" s="16" t="n">
        <v>15</v>
      </c>
      <c r="K560" s="16" t="n">
        <v>69</v>
      </c>
      <c r="L560" s="19" t="n">
        <v>1781.11</v>
      </c>
      <c r="M560" s="17" t="s">
        <v>1305</v>
      </c>
      <c r="N560" s="18" t="n">
        <v>6.0342</v>
      </c>
      <c r="O560" s="16" t="s">
        <v>1534</v>
      </c>
      <c r="P560" s="16" t="s">
        <v>1700</v>
      </c>
      <c r="Q560" s="17" t="s">
        <v>1536</v>
      </c>
      <c r="R560" s="78" t="s">
        <v>2543</v>
      </c>
      <c r="S560" s="77" t="n">
        <f aca="false">IFERROR(INDEX('Injectable Value'!$Z$28:$Z$178,MATCH($C560,'Injectable Value'!$A$28:$A$178,0)),"")</f>
        <v>1</v>
      </c>
      <c r="T560" s="19" t="n">
        <f aca="false">IFERROR(ROUND(INDEX('Injectable Value'!$AA$28:$AA$178,MATCH($C560,'Injectable Value'!$A$28:$A$178,0)),1),"")</f>
        <v>1781.1</v>
      </c>
      <c r="U560" s="17" t="s">
        <v>1307</v>
      </c>
      <c r="V560" s="16" t="n">
        <v>12</v>
      </c>
      <c r="W560" s="16" t="s">
        <v>437</v>
      </c>
      <c r="X560" s="16" t="s">
        <v>349</v>
      </c>
      <c r="Y560" s="16" t="s">
        <v>283</v>
      </c>
      <c r="Z560" s="17" t="str">
        <f aca="false">IFERROR(INDEX(Scoring!$U:$U,MATCH($C560&amp;"|"&amp;$E560,Scoring!$AD:$AD,0)),"")</f>
        <v/>
      </c>
      <c r="AA560" s="16" t="str">
        <f aca="false">IFERROR(INDEX(Scoring!$E:$E,MATCH($C560&amp;"|"&amp;$E560,Scoring!$AD:$AD,0)),"")</f>
        <v>Excluded – IV only</v>
      </c>
      <c r="AB560" s="19" t="n">
        <f aca="false">IFERROR(INDEX(Scoring!$M:$M,MATCH($C560&amp;"|"&amp;$E560,Scoring!$AD:$AD,0)),"")</f>
        <v>69</v>
      </c>
      <c r="AC560" s="16" t="str">
        <f aca="false">IFERROR(INDEX('Route of Administration'!$C$5:$C$155,MATCH($C560,'Route of Administration'!$A$5:$A$155,0)),"")</f>
        <v>IV</v>
      </c>
      <c r="AD560" s="15" t="str">
        <f aca="false">IFERROR(INDEX('Route of Administration'!$D$5:$D$155,MATCH($C560,'Route of Administration'!$A$5:$A$155,0)),"")</f>
        <v>No</v>
      </c>
      <c r="AE560" s="15" t="str">
        <f aca="false">IF($AD560="No","Not checked – drug is IV only",IFERROR(INDEX('Route of Administration'!$O$5:$O$170,MATCH($E560&amp;"|"&amp;$C560,'Route of Administration'!$S$5:$S$170,0)),"Not checked – price ≤ USD 5"))</f>
        <v>Not checked – drug is IV only</v>
      </c>
    </row>
    <row r="561" customFormat="false" ht="28.35" hidden="false" customHeight="false" outlineLevel="0" collapsed="false">
      <c r="B561" s="16" t="n">
        <v>559</v>
      </c>
      <c r="C561" s="16" t="s">
        <v>556</v>
      </c>
      <c r="D561" s="16" t="s">
        <v>1314</v>
      </c>
      <c r="E561" s="16" t="s">
        <v>1294</v>
      </c>
      <c r="F561" s="16" t="s">
        <v>1744</v>
      </c>
      <c r="G561" s="17"/>
      <c r="H561" s="16"/>
      <c r="I561" s="18"/>
      <c r="J561" s="16" t="n">
        <v>22</v>
      </c>
      <c r="K561" s="16" t="n">
        <v>2</v>
      </c>
      <c r="L561" s="19" t="n">
        <v>71.73</v>
      </c>
      <c r="M561" s="17" t="s">
        <v>558</v>
      </c>
      <c r="N561" s="82" t="n">
        <v>42.21</v>
      </c>
      <c r="O561" s="64" t="s">
        <v>1541</v>
      </c>
      <c r="P561" s="16" t="s">
        <v>1561</v>
      </c>
      <c r="Q561" s="17" t="s">
        <v>1864</v>
      </c>
      <c r="R561" s="78" t="s">
        <v>1865</v>
      </c>
      <c r="S561" s="77" t="n">
        <f aca="false">IFERROR(INDEX('Injectable Value'!$Z$28:$Z$178,MATCH($C561,'Injectable Value'!$A$28:$A$178,0)),"")</f>
        <v>0.996078431372549</v>
      </c>
      <c r="T561" s="19" t="n">
        <f aca="false">IFERROR(ROUND(INDEX('Injectable Value'!$AA$28:$AA$178,MATCH($C561,'Injectable Value'!$A$28:$A$178,0)),1),"")</f>
        <v>71.4</v>
      </c>
      <c r="U561" s="17" t="s">
        <v>367</v>
      </c>
      <c r="V561" s="16" t="n">
        <v>1</v>
      </c>
      <c r="W561" s="16" t="s">
        <v>366</v>
      </c>
      <c r="X561" s="16" t="s">
        <v>310</v>
      </c>
      <c r="Y561" s="16" t="s">
        <v>310</v>
      </c>
      <c r="Z561" s="17" t="str">
        <f aca="false">IFERROR(INDEX(Scoring!$U:$U,MATCH($C561&amp;"|"&amp;$E561,Scoring!$AD:$AD,0)),"")</f>
        <v/>
      </c>
      <c r="AA561" s="16" t="str">
        <f aca="false">IFERROR(INDEX(Scoring!$E:$E,MATCH($C561&amp;"|"&amp;$E561,Scoring!$AD:$AD,0)),"")</f>
        <v>Excluded – IV only</v>
      </c>
      <c r="AB561" s="19" t="n">
        <f aca="false">IFERROR(INDEX(Scoring!$M:$M,MATCH($C561&amp;"|"&amp;$E561,Scoring!$AD:$AD,0)),"")</f>
        <v>2</v>
      </c>
      <c r="AC561" s="16" t="str">
        <f aca="false">IFERROR(INDEX('Route of Administration'!$C$5:$C$155,MATCH($C561,'Route of Administration'!$A$5:$A$155,0)),"")</f>
        <v>IV</v>
      </c>
      <c r="AD561" s="15" t="str">
        <f aca="false">IFERROR(INDEX('Route of Administration'!$D$5:$D$155,MATCH($C561,'Route of Administration'!$A$5:$A$155,0)),"")</f>
        <v>No</v>
      </c>
      <c r="AE561" s="15" t="str">
        <f aca="false">IF($AD561="No","Not checked – drug is IV only",IFERROR(INDEX('Route of Administration'!$O$5:$O$170,MATCH($E561&amp;"|"&amp;$C561,'Route of Administration'!$S$5:$S$170,0)),"Not checked – price ≤ USD 5"))</f>
        <v>Not checked – drug is IV only</v>
      </c>
    </row>
    <row r="562" customFormat="false" ht="82.05" hidden="false" customHeight="false" outlineLevel="0" collapsed="false">
      <c r="B562" s="16" t="n">
        <v>560</v>
      </c>
      <c r="C562" s="16" t="s">
        <v>665</v>
      </c>
      <c r="D562" s="16" t="s">
        <v>2544</v>
      </c>
      <c r="E562" s="16" t="s">
        <v>1294</v>
      </c>
      <c r="F562" s="16" t="s">
        <v>1972</v>
      </c>
      <c r="G562" s="17" t="s">
        <v>1887</v>
      </c>
      <c r="H562" s="16" t="s">
        <v>1533</v>
      </c>
      <c r="I562" s="18" t="n">
        <v>92.0498</v>
      </c>
      <c r="J562" s="16" t="n">
        <v>31</v>
      </c>
      <c r="K562" s="16" t="n">
        <v>346</v>
      </c>
      <c r="L562" s="19" t="n">
        <v>32830.17</v>
      </c>
      <c r="M562" s="17" t="s">
        <v>667</v>
      </c>
      <c r="N562" s="18" t="n">
        <v>92.0498</v>
      </c>
      <c r="O562" s="16" t="s">
        <v>1534</v>
      </c>
      <c r="P562" s="16" t="s">
        <v>1535</v>
      </c>
      <c r="Q562" s="17" t="s">
        <v>1536</v>
      </c>
      <c r="R562" s="78" t="s">
        <v>1701</v>
      </c>
      <c r="S562" s="77" t="n">
        <f aca="false">IFERROR(INDEX('Injectable Value'!$Z$28:$Z$178,MATCH($C562,'Injectable Value'!$A$28:$A$178,0)),"")</f>
        <v>1</v>
      </c>
      <c r="T562" s="19" t="n">
        <f aca="false">IFERROR(ROUND(INDEX('Injectable Value'!$AA$28:$AA$178,MATCH($C562,'Injectable Value'!$A$28:$A$178,0)),1),"")</f>
        <v>32830.2</v>
      </c>
      <c r="U562" s="17" t="s">
        <v>1169</v>
      </c>
      <c r="V562" s="16" t="n">
        <v>32</v>
      </c>
      <c r="W562" s="16" t="s">
        <v>334</v>
      </c>
      <c r="X562" s="16" t="s">
        <v>281</v>
      </c>
      <c r="Y562" s="16" t="s">
        <v>283</v>
      </c>
      <c r="Z562" s="17" t="str">
        <f aca="false">IFERROR(INDEX(Scoring!$U:$U,MATCH($C562&amp;"|"&amp;$E562,Scoring!$AD:$AD,0)),"")</f>
        <v/>
      </c>
      <c r="AA562" s="16" t="str">
        <f aca="false">IFERROR(INDEX(Scoring!$E:$E,MATCH($C562&amp;"|"&amp;$E562,Scoring!$AD:$AD,0)),"")</f>
        <v>Excluded – IV only</v>
      </c>
      <c r="AB562" s="19" t="n">
        <f aca="false">IFERROR(INDEX(Scoring!$M:$M,MATCH($C562&amp;"|"&amp;$E562,Scoring!$AD:$AD,0)),"")</f>
        <v>346</v>
      </c>
      <c r="AC562" s="16" t="str">
        <f aca="false">IFERROR(INDEX('Route of Administration'!$C$5:$C$155,MATCH($C562,'Route of Administration'!$A$5:$A$155,0)),"")</f>
        <v>IV</v>
      </c>
      <c r="AD562" s="15" t="str">
        <f aca="false">IFERROR(INDEX('Route of Administration'!$D$5:$D$155,MATCH($C562,'Route of Administration'!$A$5:$A$155,0)),"")</f>
        <v>No</v>
      </c>
      <c r="AE562" s="15" t="str">
        <f aca="false">IF($AD562="No","Not checked – drug is IV only",IFERROR(INDEX('Route of Administration'!$O$5:$O$170,MATCH($E562&amp;"|"&amp;$C562,'Route of Administration'!$S$5:$S$170,0)),"Not checked – price ≤ USD 5"))</f>
        <v>Not checked – drug is IV only</v>
      </c>
    </row>
    <row r="563" customFormat="false" ht="55.2" hidden="false" customHeight="false" outlineLevel="0" collapsed="false">
      <c r="B563" s="16" t="n">
        <v>561</v>
      </c>
      <c r="C563" s="16" t="s">
        <v>1180</v>
      </c>
      <c r="D563" s="16" t="s">
        <v>2535</v>
      </c>
      <c r="E563" s="16" t="s">
        <v>1294</v>
      </c>
      <c r="F563" s="16" t="s">
        <v>1988</v>
      </c>
      <c r="G563" s="17" t="s">
        <v>2379</v>
      </c>
      <c r="H563" s="16" t="s">
        <v>1533</v>
      </c>
      <c r="I563" s="18" t="n">
        <v>5.579</v>
      </c>
      <c r="J563" s="16" t="n">
        <v>1</v>
      </c>
      <c r="K563" s="16" t="n">
        <v>1</v>
      </c>
      <c r="L563" s="19" t="n">
        <v>15.02</v>
      </c>
      <c r="M563" s="17" t="s">
        <v>1182</v>
      </c>
      <c r="N563" s="18" t="n">
        <v>5.579</v>
      </c>
      <c r="O563" s="16" t="s">
        <v>1534</v>
      </c>
      <c r="P563" s="16" t="s">
        <v>1700</v>
      </c>
      <c r="Q563" s="17" t="s">
        <v>1536</v>
      </c>
      <c r="R563" s="78" t="s">
        <v>2465</v>
      </c>
      <c r="S563" s="77" t="n">
        <f aca="false">IFERROR(INDEX('Injectable Value'!$Z$28:$Z$178,MATCH($C563,'Injectable Value'!$A$28:$A$178,0)),"")</f>
        <v>0.952380952380952</v>
      </c>
      <c r="T563" s="19" t="n">
        <f aca="false">IFERROR(ROUND(INDEX('Injectable Value'!$AA$28:$AA$178,MATCH($C563,'Injectable Value'!$A$28:$A$178,0)),1),"")</f>
        <v>14.3</v>
      </c>
      <c r="U563" s="17" t="s">
        <v>1292</v>
      </c>
      <c r="V563" s="16" t="n">
        <v>19</v>
      </c>
      <c r="W563" s="16" t="s">
        <v>334</v>
      </c>
      <c r="X563" s="16" t="s">
        <v>349</v>
      </c>
      <c r="Y563" s="16" t="s">
        <v>283</v>
      </c>
      <c r="Z563" s="17" t="str">
        <f aca="false">IFERROR(INDEX(Scoring!$U:$U,MATCH($C563&amp;"|"&amp;$E563,Scoring!$AD:$AD,0)),"")</f>
        <v/>
      </c>
      <c r="AA563" s="16" t="str">
        <f aca="false">IFERROR(INDEX(Scoring!$E:$E,MATCH($C563&amp;"|"&amp;$E563,Scoring!$AD:$AD,0)),"")</f>
        <v>Excluded – IV only</v>
      </c>
      <c r="AB563" s="19" t="n">
        <f aca="false">IFERROR(INDEX(Scoring!$M:$M,MATCH($C563&amp;"|"&amp;$E563,Scoring!$AD:$AD,0)),"")</f>
        <v>1</v>
      </c>
      <c r="AC563" s="16" t="str">
        <f aca="false">IFERROR(INDEX('Route of Administration'!$C$5:$C$155,MATCH($C563,'Route of Administration'!$A$5:$A$155,0)),"")</f>
        <v>IV</v>
      </c>
      <c r="AD563" s="15" t="str">
        <f aca="false">IFERROR(INDEX('Route of Administration'!$D$5:$D$155,MATCH($C563,'Route of Administration'!$A$5:$A$155,0)),"")</f>
        <v>No</v>
      </c>
      <c r="AE563" s="15" t="str">
        <f aca="false">IF($AD563="No","Not checked – drug is IV only",IFERROR(INDEX('Route of Administration'!$O$5:$O$170,MATCH($E563&amp;"|"&amp;$C563,'Route of Administration'!$S$5:$S$170,0)),"Not checked – price ≤ USD 5"))</f>
        <v>Not checked – drug is IV only</v>
      </c>
    </row>
    <row r="564" customFormat="false" ht="41.75" hidden="false" customHeight="false" outlineLevel="0" collapsed="false">
      <c r="B564" s="16" t="n">
        <v>562</v>
      </c>
      <c r="C564" s="16" t="s">
        <v>1303</v>
      </c>
      <c r="D564" s="16" t="s">
        <v>1304</v>
      </c>
      <c r="E564" s="16" t="s">
        <v>1294</v>
      </c>
      <c r="F564" s="16" t="s">
        <v>2426</v>
      </c>
      <c r="G564" s="17" t="s">
        <v>2540</v>
      </c>
      <c r="H564" s="16" t="s">
        <v>1533</v>
      </c>
      <c r="I564" s="18" t="n">
        <v>11.39</v>
      </c>
      <c r="J564" s="16" t="n">
        <v>1</v>
      </c>
      <c r="K564" s="16" t="n">
        <v>69</v>
      </c>
      <c r="L564" s="19" t="n">
        <v>1781.11</v>
      </c>
      <c r="M564" s="17" t="s">
        <v>1305</v>
      </c>
      <c r="N564" s="18" t="n">
        <v>11.39</v>
      </c>
      <c r="O564" s="16" t="s">
        <v>1534</v>
      </c>
      <c r="P564" s="16" t="s">
        <v>1700</v>
      </c>
      <c r="Q564" s="17" t="s">
        <v>1536</v>
      </c>
      <c r="R564" s="78" t="s">
        <v>1814</v>
      </c>
      <c r="S564" s="77" t="n">
        <f aca="false">IFERROR(INDEX('Injectable Value'!$Z$28:$Z$178,MATCH($C564,'Injectable Value'!$A$28:$A$178,0)),"")</f>
        <v>1</v>
      </c>
      <c r="T564" s="19" t="n">
        <f aca="false">IFERROR(ROUND(INDEX('Injectable Value'!$AA$28:$AA$178,MATCH($C564,'Injectable Value'!$A$28:$A$178,0)),1),"")</f>
        <v>1781.1</v>
      </c>
      <c r="U564" s="17" t="s">
        <v>1307</v>
      </c>
      <c r="V564" s="16" t="n">
        <v>12</v>
      </c>
      <c r="W564" s="16" t="s">
        <v>437</v>
      </c>
      <c r="X564" s="16" t="s">
        <v>349</v>
      </c>
      <c r="Y564" s="16" t="s">
        <v>283</v>
      </c>
      <c r="Z564" s="17" t="str">
        <f aca="false">IFERROR(INDEX(Scoring!$U:$U,MATCH($C564&amp;"|"&amp;$E564,Scoring!$AD:$AD,0)),"")</f>
        <v/>
      </c>
      <c r="AA564" s="16" t="str">
        <f aca="false">IFERROR(INDEX(Scoring!$E:$E,MATCH($C564&amp;"|"&amp;$E564,Scoring!$AD:$AD,0)),"")</f>
        <v>Excluded – IV only</v>
      </c>
      <c r="AB564" s="19" t="n">
        <f aca="false">IFERROR(INDEX(Scoring!$M:$M,MATCH($C564&amp;"|"&amp;$E564,Scoring!$AD:$AD,0)),"")</f>
        <v>69</v>
      </c>
      <c r="AC564" s="16" t="str">
        <f aca="false">IFERROR(INDEX('Route of Administration'!$C$5:$C$155,MATCH($C564,'Route of Administration'!$A$5:$A$155,0)),"")</f>
        <v>IV</v>
      </c>
      <c r="AD564" s="15" t="str">
        <f aca="false">IFERROR(INDEX('Route of Administration'!$D$5:$D$155,MATCH($C564,'Route of Administration'!$A$5:$A$155,0)),"")</f>
        <v>No</v>
      </c>
      <c r="AE564" s="15" t="str">
        <f aca="false">IF($AD564="No","Not checked – drug is IV only",IFERROR(INDEX('Route of Administration'!$O$5:$O$170,MATCH($E564&amp;"|"&amp;$C564,'Route of Administration'!$S$5:$S$170,0)),"Not checked – price ≤ USD 5"))</f>
        <v>Not checked – drug is IV only</v>
      </c>
    </row>
    <row r="565" customFormat="false" ht="55.2" hidden="false" customHeight="false" outlineLevel="0" collapsed="false">
      <c r="B565" s="16" t="n">
        <v>563</v>
      </c>
      <c r="C565" s="16" t="s">
        <v>1180</v>
      </c>
      <c r="D565" s="16" t="s">
        <v>2535</v>
      </c>
      <c r="E565" s="16" t="s">
        <v>1294</v>
      </c>
      <c r="F565" s="16" t="s">
        <v>2545</v>
      </c>
      <c r="G565" s="17" t="s">
        <v>2050</v>
      </c>
      <c r="H565" s="16" t="s">
        <v>1533</v>
      </c>
      <c r="I565" s="18" t="n">
        <v>7.18</v>
      </c>
      <c r="J565" s="16" t="n">
        <v>1</v>
      </c>
      <c r="K565" s="16" t="n">
        <v>1</v>
      </c>
      <c r="L565" s="19" t="n">
        <v>15.02</v>
      </c>
      <c r="M565" s="17" t="s">
        <v>1182</v>
      </c>
      <c r="N565" s="18" t="n">
        <v>7.18</v>
      </c>
      <c r="O565" s="16" t="s">
        <v>1534</v>
      </c>
      <c r="P565" s="16" t="s">
        <v>1700</v>
      </c>
      <c r="Q565" s="17" t="s">
        <v>1878</v>
      </c>
      <c r="R565" s="78" t="s">
        <v>2537</v>
      </c>
      <c r="S565" s="77" t="n">
        <f aca="false">IFERROR(INDEX('Injectable Value'!$Z$28:$Z$178,MATCH($C565,'Injectable Value'!$A$28:$A$178,0)),"")</f>
        <v>0.952380952380952</v>
      </c>
      <c r="T565" s="19" t="n">
        <f aca="false">IFERROR(ROUND(INDEX('Injectable Value'!$AA$28:$AA$178,MATCH($C565,'Injectable Value'!$A$28:$A$178,0)),1),"")</f>
        <v>14.3</v>
      </c>
      <c r="U565" s="17" t="s">
        <v>1292</v>
      </c>
      <c r="V565" s="16" t="n">
        <v>19</v>
      </c>
      <c r="W565" s="16" t="s">
        <v>334</v>
      </c>
      <c r="X565" s="16" t="s">
        <v>349</v>
      </c>
      <c r="Y565" s="16" t="s">
        <v>283</v>
      </c>
      <c r="Z565" s="17" t="str">
        <f aca="false">IFERROR(INDEX(Scoring!$U:$U,MATCH($C565&amp;"|"&amp;$E565,Scoring!$AD:$AD,0)),"")</f>
        <v/>
      </c>
      <c r="AA565" s="16" t="str">
        <f aca="false">IFERROR(INDEX(Scoring!$E:$E,MATCH($C565&amp;"|"&amp;$E565,Scoring!$AD:$AD,0)),"")</f>
        <v>Excluded – IV only</v>
      </c>
      <c r="AB565" s="19" t="n">
        <f aca="false">IFERROR(INDEX(Scoring!$M:$M,MATCH($C565&amp;"|"&amp;$E565,Scoring!$AD:$AD,0)),"")</f>
        <v>1</v>
      </c>
      <c r="AC565" s="16" t="str">
        <f aca="false">IFERROR(INDEX('Route of Administration'!$C$5:$C$155,MATCH($C565,'Route of Administration'!$A$5:$A$155,0)),"")</f>
        <v>IV</v>
      </c>
      <c r="AD565" s="15" t="str">
        <f aca="false">IFERROR(INDEX('Route of Administration'!$D$5:$D$155,MATCH($C565,'Route of Administration'!$A$5:$A$155,0)),"")</f>
        <v>No</v>
      </c>
      <c r="AE565" s="15" t="str">
        <f aca="false">IF($AD565="No","Not checked – drug is IV only",IFERROR(INDEX('Route of Administration'!$O$5:$O$170,MATCH($E565&amp;"|"&amp;$C565,'Route of Administration'!$S$5:$S$170,0)),"Not checked – price ≤ USD 5"))</f>
        <v>Not checked – drug is IV only</v>
      </c>
    </row>
    <row r="566" customFormat="false" ht="55.2" hidden="false" customHeight="false" outlineLevel="0" collapsed="false">
      <c r="B566" s="16" t="n">
        <v>564</v>
      </c>
      <c r="C566" s="16" t="s">
        <v>1211</v>
      </c>
      <c r="D566" s="16" t="s">
        <v>1310</v>
      </c>
      <c r="E566" s="16" t="s">
        <v>1294</v>
      </c>
      <c r="F566" s="16" t="s">
        <v>2546</v>
      </c>
      <c r="G566" s="17" t="s">
        <v>2050</v>
      </c>
      <c r="H566" s="16" t="s">
        <v>1533</v>
      </c>
      <c r="I566" s="18" t="n">
        <v>5.27</v>
      </c>
      <c r="J566" s="16" t="n">
        <v>1</v>
      </c>
      <c r="K566" s="16" t="n">
        <v>58</v>
      </c>
      <c r="L566" s="19" t="n">
        <v>1115.28</v>
      </c>
      <c r="M566" s="17" t="s">
        <v>1213</v>
      </c>
      <c r="N566" s="18" t="n">
        <v>5.27</v>
      </c>
      <c r="O566" s="16" t="s">
        <v>1534</v>
      </c>
      <c r="P566" s="16" t="s">
        <v>1700</v>
      </c>
      <c r="Q566" s="17" t="s">
        <v>1878</v>
      </c>
      <c r="R566" s="78" t="s">
        <v>2547</v>
      </c>
      <c r="S566" s="77" t="n">
        <f aca="false">IFERROR(INDEX('Injectable Value'!$Z$28:$Z$178,MATCH($C566,'Injectable Value'!$A$28:$A$178,0)),"")</f>
        <v>0.257790111422073</v>
      </c>
      <c r="T566" s="19" t="n">
        <f aca="false">IFERROR(ROUND(INDEX('Injectable Value'!$AA$28:$AA$178,MATCH($C566,'Injectable Value'!$A$28:$A$178,0)),1),"")</f>
        <v>287.5</v>
      </c>
      <c r="U566" s="17" t="s">
        <v>1312</v>
      </c>
      <c r="V566" s="16" t="n">
        <v>18</v>
      </c>
      <c r="W566" s="16" t="s">
        <v>437</v>
      </c>
      <c r="X566" s="16" t="s">
        <v>349</v>
      </c>
      <c r="Y566" s="16" t="s">
        <v>283</v>
      </c>
      <c r="Z566" s="17" t="str">
        <f aca="false">IFERROR(INDEX(Scoring!$U:$U,MATCH($C566&amp;"|"&amp;$E566,Scoring!$AD:$AD,0)),"")</f>
        <v/>
      </c>
      <c r="AA566" s="16" t="str">
        <f aca="false">IFERROR(INDEX(Scoring!$E:$E,MATCH($C566&amp;"|"&amp;$E566,Scoring!$AD:$AD,0)),"")</f>
        <v>Priority 3</v>
      </c>
      <c r="AB566" s="19" t="n">
        <f aca="false">IFERROR(INDEX(Scoring!$M:$M,MATCH($C566&amp;"|"&amp;$E566,Scoring!$AD:$AD,0)),"")</f>
        <v>15</v>
      </c>
      <c r="AC566" s="16" t="str">
        <f aca="false">IFERROR(INDEX('Route of Administration'!$C$5:$C$155,MATCH($C566,'Route of Administration'!$A$5:$A$155,0)),"")</f>
        <v>IV, IM</v>
      </c>
      <c r="AD566" s="15" t="str">
        <f aca="false">IFERROR(INDEX('Route of Administration'!$D$5:$D$155,MATCH($C566,'Route of Administration'!$A$5:$A$155,0)),"")</f>
        <v>Yes</v>
      </c>
      <c r="AE566" s="15" t="str">
        <f aca="false">IF($AD566="No","Not checked – drug is IV only",IFERROR(INDEX('Route of Administration'!$O$5:$O$170,MATCH($E566&amp;"|"&amp;$C566,'Route of Administration'!$S$5:$S$170,0)),"Not checked – price ≤ USD 5"))</f>
        <v>Pass</v>
      </c>
    </row>
    <row r="567" customFormat="false" ht="55.2" hidden="false" customHeight="false" outlineLevel="0" collapsed="false">
      <c r="B567" s="16" t="n">
        <v>565</v>
      </c>
      <c r="C567" s="16" t="s">
        <v>1211</v>
      </c>
      <c r="D567" s="16" t="s">
        <v>1310</v>
      </c>
      <c r="E567" s="16" t="s">
        <v>1294</v>
      </c>
      <c r="F567" s="16" t="s">
        <v>2546</v>
      </c>
      <c r="G567" s="17" t="s">
        <v>2540</v>
      </c>
      <c r="H567" s="16" t="s">
        <v>1533</v>
      </c>
      <c r="I567" s="18" t="n">
        <v>26.33</v>
      </c>
      <c r="J567" s="16" t="n">
        <v>1</v>
      </c>
      <c r="K567" s="16" t="n">
        <v>58</v>
      </c>
      <c r="L567" s="19" t="n">
        <v>1115.28</v>
      </c>
      <c r="M567" s="17" t="s">
        <v>1213</v>
      </c>
      <c r="N567" s="18" t="n">
        <v>26.33</v>
      </c>
      <c r="O567" s="16" t="s">
        <v>1534</v>
      </c>
      <c r="P567" s="16" t="s">
        <v>1700</v>
      </c>
      <c r="Q567" s="17" t="s">
        <v>1878</v>
      </c>
      <c r="R567" s="78" t="s">
        <v>2547</v>
      </c>
      <c r="S567" s="77" t="n">
        <f aca="false">IFERROR(INDEX('Injectable Value'!$Z$28:$Z$178,MATCH($C567,'Injectable Value'!$A$28:$A$178,0)),"")</f>
        <v>0.257790111422073</v>
      </c>
      <c r="T567" s="19" t="n">
        <f aca="false">IFERROR(ROUND(INDEX('Injectable Value'!$AA$28:$AA$178,MATCH($C567,'Injectable Value'!$A$28:$A$178,0)),1),"")</f>
        <v>287.5</v>
      </c>
      <c r="U567" s="17" t="s">
        <v>1312</v>
      </c>
      <c r="V567" s="16" t="n">
        <v>18</v>
      </c>
      <c r="W567" s="16" t="s">
        <v>437</v>
      </c>
      <c r="X567" s="16" t="s">
        <v>349</v>
      </c>
      <c r="Y567" s="16" t="s">
        <v>283</v>
      </c>
      <c r="Z567" s="17" t="str">
        <f aca="false">IFERROR(INDEX(Scoring!$U:$U,MATCH($C567&amp;"|"&amp;$E567,Scoring!$AD:$AD,0)),"")</f>
        <v/>
      </c>
      <c r="AA567" s="16" t="str">
        <f aca="false">IFERROR(INDEX(Scoring!$E:$E,MATCH($C567&amp;"|"&amp;$E567,Scoring!$AD:$AD,0)),"")</f>
        <v>Priority 3</v>
      </c>
      <c r="AB567" s="19" t="n">
        <f aca="false">IFERROR(INDEX(Scoring!$M:$M,MATCH($C567&amp;"|"&amp;$E567,Scoring!$AD:$AD,0)),"")</f>
        <v>15</v>
      </c>
      <c r="AC567" s="16" t="str">
        <f aca="false">IFERROR(INDEX('Route of Administration'!$C$5:$C$155,MATCH($C567,'Route of Administration'!$A$5:$A$155,0)),"")</f>
        <v>IV, IM</v>
      </c>
      <c r="AD567" s="15" t="str">
        <f aca="false">IFERROR(INDEX('Route of Administration'!$D$5:$D$155,MATCH($C567,'Route of Administration'!$A$5:$A$155,0)),"")</f>
        <v>Yes</v>
      </c>
      <c r="AE567" s="15" t="str">
        <f aca="false">IF($AD567="No","Not checked – drug is IV only",IFERROR(INDEX('Route of Administration'!$O$5:$O$170,MATCH($E567&amp;"|"&amp;$C567,'Route of Administration'!$S$5:$S$170,0)),"Not checked – price ≤ USD 5"))</f>
        <v>Pass</v>
      </c>
    </row>
    <row r="568" customFormat="false" ht="28.35" hidden="false" customHeight="false" outlineLevel="0" collapsed="false">
      <c r="B568" s="16" t="n">
        <v>566</v>
      </c>
      <c r="C568" s="16" t="s">
        <v>483</v>
      </c>
      <c r="D568" s="16" t="s">
        <v>483</v>
      </c>
      <c r="E568" s="16" t="s">
        <v>1318</v>
      </c>
      <c r="F568" s="16" t="s">
        <v>2031</v>
      </c>
      <c r="G568" s="17" t="s">
        <v>2548</v>
      </c>
      <c r="H568" s="16" t="s">
        <v>1533</v>
      </c>
      <c r="I568" s="18" t="n">
        <v>10.97</v>
      </c>
      <c r="J568" s="16" t="n">
        <v>1</v>
      </c>
      <c r="K568" s="16" t="n">
        <v>1185</v>
      </c>
      <c r="L568" s="19" t="n">
        <v>59407.06</v>
      </c>
      <c r="M568" s="17" t="s">
        <v>485</v>
      </c>
      <c r="N568" s="18" t="n">
        <v>10.97</v>
      </c>
      <c r="O568" s="16" t="s">
        <v>1534</v>
      </c>
      <c r="P568" s="16" t="s">
        <v>1535</v>
      </c>
      <c r="Q568" s="17" t="s">
        <v>1536</v>
      </c>
      <c r="R568" s="78" t="s">
        <v>2549</v>
      </c>
      <c r="S568" s="77" t="n">
        <f aca="false">IFERROR(INDEX('Injectable Value'!$Z$28:$Z$178,MATCH($C568,'Injectable Value'!$A$28:$A$178,0)),"")</f>
        <v>0.991808067465962</v>
      </c>
      <c r="T568" s="19" t="n">
        <f aca="false">IFERROR(ROUND(INDEX('Injectable Value'!$AA$28:$AA$178,MATCH($C568,'Injectable Value'!$A$28:$A$178,0)),1),"")</f>
        <v>58920.4</v>
      </c>
      <c r="U568" s="17" t="s">
        <v>772</v>
      </c>
      <c r="V568" s="16" t="n">
        <v>2</v>
      </c>
      <c r="W568" s="16" t="s">
        <v>772</v>
      </c>
      <c r="X568" s="16" t="s">
        <v>281</v>
      </c>
      <c r="Y568" s="16" t="s">
        <v>310</v>
      </c>
      <c r="Z568" s="17" t="str">
        <f aca="false">IFERROR(INDEX(Scoring!$U:$U,MATCH($C568&amp;"|"&amp;$E568,Scoring!$AD:$AD,0)),"")</f>
        <v>Reconstitution</v>
      </c>
      <c r="AA568" s="16" t="str">
        <f aca="false">IFERROR(INDEX(Scoring!$E:$E,MATCH($C568&amp;"|"&amp;$E568,Scoring!$AD:$AD,0)),"")</f>
        <v>Excluded – IV only</v>
      </c>
      <c r="AB568" s="19" t="n">
        <f aca="false">IFERROR(INDEX(Scoring!$M:$M,MATCH($C568&amp;"|"&amp;$E568,Scoring!$AD:$AD,0)),"")</f>
        <v>1175</v>
      </c>
      <c r="AC568" s="16" t="str">
        <f aca="false">IFERROR(INDEX('Route of Administration'!$C$5:$C$155,MATCH($C568,'Route of Administration'!$A$5:$A$155,0)),"")</f>
        <v>IV</v>
      </c>
      <c r="AD568" s="15" t="str">
        <f aca="false">IFERROR(INDEX('Route of Administration'!$D$5:$D$155,MATCH($C568,'Route of Administration'!$A$5:$A$155,0)),"")</f>
        <v>No</v>
      </c>
      <c r="AE568" s="15" t="str">
        <f aca="false">IF($AD568="No","Not checked – drug is IV only",IFERROR(INDEX('Route of Administration'!$O$5:$O$170,MATCH($E568&amp;"|"&amp;$C568,'Route of Administration'!$S$5:$S$170,0)),"Not checked – price ≤ USD 5"))</f>
        <v>Not checked – drug is IV only</v>
      </c>
    </row>
    <row r="569" customFormat="false" ht="28.35" hidden="false" customHeight="false" outlineLevel="0" collapsed="false">
      <c r="B569" s="16" t="n">
        <v>567</v>
      </c>
      <c r="C569" s="16" t="s">
        <v>483</v>
      </c>
      <c r="D569" s="16" t="s">
        <v>2550</v>
      </c>
      <c r="E569" s="16" t="s">
        <v>1318</v>
      </c>
      <c r="F569" s="16" t="s">
        <v>1733</v>
      </c>
      <c r="G569" s="17" t="s">
        <v>2551</v>
      </c>
      <c r="H569" s="16" t="s">
        <v>1533</v>
      </c>
      <c r="I569" s="18" t="n">
        <v>12.0797</v>
      </c>
      <c r="J569" s="16" t="n">
        <v>29</v>
      </c>
      <c r="K569" s="16" t="n">
        <v>1185</v>
      </c>
      <c r="L569" s="19" t="n">
        <v>59407.06</v>
      </c>
      <c r="M569" s="17" t="s">
        <v>485</v>
      </c>
      <c r="N569" s="18" t="n">
        <v>12.0797</v>
      </c>
      <c r="O569" s="16" t="s">
        <v>1534</v>
      </c>
      <c r="P569" s="16" t="s">
        <v>1561</v>
      </c>
      <c r="Q569" s="17" t="s">
        <v>1536</v>
      </c>
      <c r="R569" s="78" t="s">
        <v>1701</v>
      </c>
      <c r="S569" s="77" t="n">
        <f aca="false">IFERROR(INDEX('Injectable Value'!$Z$28:$Z$178,MATCH($C569,'Injectable Value'!$A$28:$A$178,0)),"")</f>
        <v>0.991808067465962</v>
      </c>
      <c r="T569" s="19" t="n">
        <f aca="false">IFERROR(ROUND(INDEX('Injectable Value'!$AA$28:$AA$178,MATCH($C569,'Injectable Value'!$A$28:$A$178,0)),1),"")</f>
        <v>58920.4</v>
      </c>
      <c r="U569" s="17" t="s">
        <v>772</v>
      </c>
      <c r="V569" s="16" t="n">
        <v>2</v>
      </c>
      <c r="W569" s="16" t="s">
        <v>772</v>
      </c>
      <c r="X569" s="16" t="s">
        <v>281</v>
      </c>
      <c r="Y569" s="16" t="s">
        <v>333</v>
      </c>
      <c r="Z569" s="17" t="str">
        <f aca="false">IFERROR(INDEX(Scoring!$U:$U,MATCH($C569&amp;"|"&amp;$E569,Scoring!$AD:$AD,0)),"")</f>
        <v>Reconstitution</v>
      </c>
      <c r="AA569" s="16" t="str">
        <f aca="false">IFERROR(INDEX(Scoring!$E:$E,MATCH($C569&amp;"|"&amp;$E569,Scoring!$AD:$AD,0)),"")</f>
        <v>Excluded – IV only</v>
      </c>
      <c r="AB569" s="19" t="n">
        <f aca="false">IFERROR(INDEX(Scoring!$M:$M,MATCH($C569&amp;"|"&amp;$E569,Scoring!$AD:$AD,0)),"")</f>
        <v>1175</v>
      </c>
      <c r="AC569" s="16" t="str">
        <f aca="false">IFERROR(INDEX('Route of Administration'!$C$5:$C$155,MATCH($C569,'Route of Administration'!$A$5:$A$155,0)),"")</f>
        <v>IV</v>
      </c>
      <c r="AD569" s="15" t="str">
        <f aca="false">IFERROR(INDEX('Route of Administration'!$D$5:$D$155,MATCH($C569,'Route of Administration'!$A$5:$A$155,0)),"")</f>
        <v>No</v>
      </c>
      <c r="AE569" s="15" t="str">
        <f aca="false">IF($AD569="No","Not checked – drug is IV only",IFERROR(INDEX('Route of Administration'!$O$5:$O$170,MATCH($E569&amp;"|"&amp;$C569,'Route of Administration'!$S$5:$S$170,0)),"Not checked – price ≤ USD 5"))</f>
        <v>Not checked – drug is IV only</v>
      </c>
    </row>
    <row r="570" customFormat="false" ht="28.35" hidden="false" customHeight="false" outlineLevel="0" collapsed="false">
      <c r="B570" s="16" t="n">
        <v>568</v>
      </c>
      <c r="C570" s="16" t="s">
        <v>483</v>
      </c>
      <c r="D570" s="16" t="s">
        <v>2550</v>
      </c>
      <c r="E570" s="16" t="s">
        <v>1318</v>
      </c>
      <c r="F570" s="16" t="s">
        <v>1733</v>
      </c>
      <c r="G570" s="17" t="s">
        <v>2551</v>
      </c>
      <c r="H570" s="16" t="s">
        <v>1533</v>
      </c>
      <c r="I570" s="18" t="n">
        <v>12.0797</v>
      </c>
      <c r="J570" s="16" t="n">
        <v>30</v>
      </c>
      <c r="K570" s="16" t="n">
        <v>1185</v>
      </c>
      <c r="L570" s="19" t="n">
        <v>59407.06</v>
      </c>
      <c r="M570" s="17" t="s">
        <v>485</v>
      </c>
      <c r="N570" s="18" t="n">
        <v>12.0797</v>
      </c>
      <c r="O570" s="16" t="s">
        <v>1534</v>
      </c>
      <c r="P570" s="16" t="s">
        <v>1561</v>
      </c>
      <c r="Q570" s="17" t="s">
        <v>1536</v>
      </c>
      <c r="R570" s="78" t="s">
        <v>1701</v>
      </c>
      <c r="S570" s="77" t="n">
        <f aca="false">IFERROR(INDEX('Injectable Value'!$Z$28:$Z$178,MATCH($C570,'Injectable Value'!$A$28:$A$178,0)),"")</f>
        <v>0.991808067465962</v>
      </c>
      <c r="T570" s="19" t="n">
        <f aca="false">IFERROR(ROUND(INDEX('Injectable Value'!$AA$28:$AA$178,MATCH($C570,'Injectable Value'!$A$28:$A$178,0)),1),"")</f>
        <v>58920.4</v>
      </c>
      <c r="U570" s="17" t="s">
        <v>772</v>
      </c>
      <c r="V570" s="16" t="n">
        <v>2</v>
      </c>
      <c r="W570" s="16" t="s">
        <v>772</v>
      </c>
      <c r="X570" s="16" t="s">
        <v>281</v>
      </c>
      <c r="Y570" s="16" t="s">
        <v>333</v>
      </c>
      <c r="Z570" s="17" t="str">
        <f aca="false">IFERROR(INDEX(Scoring!$U:$U,MATCH($C570&amp;"|"&amp;$E570,Scoring!$AD:$AD,0)),"")</f>
        <v>Reconstitution</v>
      </c>
      <c r="AA570" s="16" t="str">
        <f aca="false">IFERROR(INDEX(Scoring!$E:$E,MATCH($C570&amp;"|"&amp;$E570,Scoring!$AD:$AD,0)),"")</f>
        <v>Excluded – IV only</v>
      </c>
      <c r="AB570" s="19" t="n">
        <f aca="false">IFERROR(INDEX(Scoring!$M:$M,MATCH($C570&amp;"|"&amp;$E570,Scoring!$AD:$AD,0)),"")</f>
        <v>1175</v>
      </c>
      <c r="AC570" s="16" t="str">
        <f aca="false">IFERROR(INDEX('Route of Administration'!$C$5:$C$155,MATCH($C570,'Route of Administration'!$A$5:$A$155,0)),"")</f>
        <v>IV</v>
      </c>
      <c r="AD570" s="15" t="str">
        <f aca="false">IFERROR(INDEX('Route of Administration'!$D$5:$D$155,MATCH($C570,'Route of Administration'!$A$5:$A$155,0)),"")</f>
        <v>No</v>
      </c>
      <c r="AE570" s="15" t="str">
        <f aca="false">IF($AD570="No","Not checked – drug is IV only",IFERROR(INDEX('Route of Administration'!$O$5:$O$170,MATCH($E570&amp;"|"&amp;$C570,'Route of Administration'!$S$5:$S$170,0)),"Not checked – price ≤ USD 5"))</f>
        <v>Not checked – drug is IV only</v>
      </c>
    </row>
    <row r="571" customFormat="false" ht="28.35" hidden="false" customHeight="false" outlineLevel="0" collapsed="false">
      <c r="B571" s="16" t="n">
        <v>569</v>
      </c>
      <c r="C571" s="16" t="s">
        <v>362</v>
      </c>
      <c r="D571" s="16" t="s">
        <v>1319</v>
      </c>
      <c r="E571" s="16" t="s">
        <v>1318</v>
      </c>
      <c r="F571" s="16" t="s">
        <v>2552</v>
      </c>
      <c r="G571" s="17" t="s">
        <v>2553</v>
      </c>
      <c r="H571" s="16" t="s">
        <v>1533</v>
      </c>
      <c r="I571" s="18" t="n">
        <v>30.73</v>
      </c>
      <c r="J571" s="16" t="n">
        <v>1</v>
      </c>
      <c r="K571" s="16" t="n">
        <v>335</v>
      </c>
      <c r="L571" s="19" t="n">
        <v>5713.56</v>
      </c>
      <c r="M571" s="17" t="s">
        <v>364</v>
      </c>
      <c r="N571" s="18" t="n">
        <v>30.73</v>
      </c>
      <c r="O571" s="16" t="s">
        <v>1534</v>
      </c>
      <c r="P571" s="16" t="s">
        <v>1535</v>
      </c>
      <c r="Q571" s="17" t="s">
        <v>1536</v>
      </c>
      <c r="R571" s="78" t="s">
        <v>2554</v>
      </c>
      <c r="S571" s="77" t="n">
        <f aca="false">IFERROR(INDEX('Injectable Value'!$Z$28:$Z$178,MATCH($C571,'Injectable Value'!$A$28:$A$178,0)),"")</f>
        <v>1</v>
      </c>
      <c r="T571" s="19" t="n">
        <f aca="false">IFERROR(ROUND(INDEX('Injectable Value'!$AA$28:$AA$178,MATCH($C571,'Injectable Value'!$A$28:$A$178,0)),1),"")</f>
        <v>5713.6</v>
      </c>
      <c r="U571" s="17" t="s">
        <v>614</v>
      </c>
      <c r="V571" s="16" t="n">
        <v>1</v>
      </c>
      <c r="W571" s="16" t="s">
        <v>112</v>
      </c>
      <c r="X571" s="16" t="s">
        <v>281</v>
      </c>
      <c r="Y571" s="16" t="s">
        <v>333</v>
      </c>
      <c r="Z571" s="17" t="str">
        <f aca="false">IFERROR(INDEX(Scoring!$U:$U,MATCH($C571&amp;"|"&amp;$E571,Scoring!$AD:$AD,0)),"")</f>
        <v>Reconstitution</v>
      </c>
      <c r="AA571" s="16" t="str">
        <f aca="false">IFERROR(INDEX(Scoring!$E:$E,MATCH($C571&amp;"|"&amp;$E571,Scoring!$AD:$AD,0)),"")</f>
        <v>Priority 2</v>
      </c>
      <c r="AB571" s="19" t="n">
        <f aca="false">IFERROR(INDEX(Scoring!$M:$M,MATCH($C571&amp;"|"&amp;$E571,Scoring!$AD:$AD,0)),"")</f>
        <v>335</v>
      </c>
      <c r="AC571" s="16" t="str">
        <f aca="false">IFERROR(INDEX('Route of Administration'!$C$5:$C$155,MATCH($C571,'Route of Administration'!$A$5:$A$155,0)),"")</f>
        <v>IV, IM</v>
      </c>
      <c r="AD571" s="15" t="str">
        <f aca="false">IFERROR(INDEX('Route of Administration'!$D$5:$D$155,MATCH($C571,'Route of Administration'!$A$5:$A$155,0)),"")</f>
        <v>Yes</v>
      </c>
      <c r="AE571" s="15" t="str">
        <f aca="false">IF($AD571="No","Not checked – drug is IV only",IFERROR(INDEX('Route of Administration'!$O$5:$O$170,MATCH($E571&amp;"|"&amp;$C571,'Route of Administration'!$S$5:$S$170,0)),"Not checked – price ≤ USD 5"))</f>
        <v>Pass</v>
      </c>
    </row>
    <row r="572" customFormat="false" ht="28.35" hidden="false" customHeight="false" outlineLevel="0" collapsed="false">
      <c r="B572" s="16" t="n">
        <v>570</v>
      </c>
      <c r="C572" s="16" t="s">
        <v>362</v>
      </c>
      <c r="D572" s="16" t="s">
        <v>1319</v>
      </c>
      <c r="E572" s="16" t="s">
        <v>1318</v>
      </c>
      <c r="F572" s="16" t="s">
        <v>2454</v>
      </c>
      <c r="G572" s="17" t="s">
        <v>2455</v>
      </c>
      <c r="H572" s="16" t="s">
        <v>1533</v>
      </c>
      <c r="I572" s="18" t="n">
        <v>15.365</v>
      </c>
      <c r="J572" s="16" t="n">
        <v>1</v>
      </c>
      <c r="K572" s="16" t="n">
        <v>335</v>
      </c>
      <c r="L572" s="19" t="n">
        <v>5713.56</v>
      </c>
      <c r="M572" s="17" t="s">
        <v>364</v>
      </c>
      <c r="N572" s="18" t="n">
        <v>15.365</v>
      </c>
      <c r="O572" s="16" t="s">
        <v>1534</v>
      </c>
      <c r="P572" s="16" t="s">
        <v>1535</v>
      </c>
      <c r="Q572" s="17" t="s">
        <v>1536</v>
      </c>
      <c r="R572" s="78" t="s">
        <v>2554</v>
      </c>
      <c r="S572" s="77" t="n">
        <f aca="false">IFERROR(INDEX('Injectable Value'!$Z$28:$Z$178,MATCH($C572,'Injectable Value'!$A$28:$A$178,0)),"")</f>
        <v>1</v>
      </c>
      <c r="T572" s="19" t="n">
        <f aca="false">IFERROR(ROUND(INDEX('Injectable Value'!$AA$28:$AA$178,MATCH($C572,'Injectable Value'!$A$28:$A$178,0)),1),"")</f>
        <v>5713.6</v>
      </c>
      <c r="U572" s="17" t="s">
        <v>614</v>
      </c>
      <c r="V572" s="16" t="n">
        <v>1</v>
      </c>
      <c r="W572" s="16" t="s">
        <v>112</v>
      </c>
      <c r="X572" s="16" t="s">
        <v>281</v>
      </c>
      <c r="Y572" s="16" t="s">
        <v>333</v>
      </c>
      <c r="Z572" s="17" t="str">
        <f aca="false">IFERROR(INDEX(Scoring!$U:$U,MATCH($C572&amp;"|"&amp;$E572,Scoring!$AD:$AD,0)),"")</f>
        <v>Reconstitution</v>
      </c>
      <c r="AA572" s="16" t="str">
        <f aca="false">IFERROR(INDEX(Scoring!$E:$E,MATCH($C572&amp;"|"&amp;$E572,Scoring!$AD:$AD,0)),"")</f>
        <v>Priority 2</v>
      </c>
      <c r="AB572" s="19" t="n">
        <f aca="false">IFERROR(INDEX(Scoring!$M:$M,MATCH($C572&amp;"|"&amp;$E572,Scoring!$AD:$AD,0)),"")</f>
        <v>335</v>
      </c>
      <c r="AC572" s="16" t="str">
        <f aca="false">IFERROR(INDEX('Route of Administration'!$C$5:$C$155,MATCH($C572,'Route of Administration'!$A$5:$A$155,0)),"")</f>
        <v>IV, IM</v>
      </c>
      <c r="AD572" s="15" t="str">
        <f aca="false">IFERROR(INDEX('Route of Administration'!$D$5:$D$155,MATCH($C572,'Route of Administration'!$A$5:$A$155,0)),"")</f>
        <v>Yes</v>
      </c>
      <c r="AE572" s="15" t="str">
        <f aca="false">IF($AD572="No","Not checked – drug is IV only",IFERROR(INDEX('Route of Administration'!$O$5:$O$170,MATCH($E572&amp;"|"&amp;$C572,'Route of Administration'!$S$5:$S$170,0)),"Not checked – price ≤ USD 5"))</f>
        <v>Pass</v>
      </c>
    </row>
    <row r="573" customFormat="false" ht="28.35" hidden="false" customHeight="false" outlineLevel="0" collapsed="false">
      <c r="B573" s="16" t="n">
        <v>571</v>
      </c>
      <c r="C573" s="16" t="s">
        <v>355</v>
      </c>
      <c r="D573" s="16" t="s">
        <v>1317</v>
      </c>
      <c r="E573" s="16" t="s">
        <v>1318</v>
      </c>
      <c r="F573" s="16" t="s">
        <v>2454</v>
      </c>
      <c r="G573" s="17" t="s">
        <v>2455</v>
      </c>
      <c r="H573" s="16" t="s">
        <v>1533</v>
      </c>
      <c r="I573" s="18" t="n">
        <v>8.323</v>
      </c>
      <c r="J573" s="16" t="n">
        <v>1</v>
      </c>
      <c r="K573" s="16" t="n">
        <v>290</v>
      </c>
      <c r="L573" s="19" t="n">
        <v>6348.25</v>
      </c>
      <c r="M573" s="17" t="s">
        <v>357</v>
      </c>
      <c r="N573" s="18" t="n">
        <v>8.323</v>
      </c>
      <c r="O573" s="16" t="s">
        <v>1534</v>
      </c>
      <c r="P573" s="16" t="s">
        <v>1535</v>
      </c>
      <c r="Q573" s="17" t="s">
        <v>1536</v>
      </c>
      <c r="R573" s="78" t="s">
        <v>2555</v>
      </c>
      <c r="S573" s="77" t="n">
        <f aca="false">IFERROR(INDEX('Injectable Value'!$Z$28:$Z$178,MATCH($C573,'Injectable Value'!$A$28:$A$178,0)),"")</f>
        <v>0.991596638655462</v>
      </c>
      <c r="T573" s="19" t="n">
        <f aca="false">IFERROR(ROUND(INDEX('Injectable Value'!$AA$28:$AA$178,MATCH($C573,'Injectable Value'!$A$28:$A$178,0)),1),"")</f>
        <v>6294.9</v>
      </c>
      <c r="U573" s="17" t="s">
        <v>614</v>
      </c>
      <c r="V573" s="16" t="n">
        <v>1</v>
      </c>
      <c r="W573" s="16" t="s">
        <v>112</v>
      </c>
      <c r="X573" s="16" t="s">
        <v>281</v>
      </c>
      <c r="Y573" s="16" t="s">
        <v>333</v>
      </c>
      <c r="Z573" s="17" t="str">
        <f aca="false">IFERROR(INDEX(Scoring!$U:$U,MATCH($C573&amp;"|"&amp;$E573,Scoring!$AD:$AD,0)),"")</f>
        <v>Reconstitution</v>
      </c>
      <c r="AA573" s="16" t="str">
        <f aca="false">IFERROR(INDEX(Scoring!$E:$E,MATCH($C573&amp;"|"&amp;$E573,Scoring!$AD:$AD,0)),"")</f>
        <v>Priority 2</v>
      </c>
      <c r="AB573" s="19" t="n">
        <f aca="false">IFERROR(INDEX(Scoring!$M:$M,MATCH($C573&amp;"|"&amp;$E573,Scoring!$AD:$AD,0)),"")</f>
        <v>288</v>
      </c>
      <c r="AC573" s="16" t="str">
        <f aca="false">IFERROR(INDEX('Route of Administration'!$C$5:$C$155,MATCH($C573,'Route of Administration'!$A$5:$A$155,0)),"")</f>
        <v>IV, IM</v>
      </c>
      <c r="AD573" s="15" t="str">
        <f aca="false">IFERROR(INDEX('Route of Administration'!$D$5:$D$155,MATCH($C573,'Route of Administration'!$A$5:$A$155,0)),"")</f>
        <v>Yes</v>
      </c>
      <c r="AE573" s="15" t="str">
        <f aca="false">IF($AD573="No","Not checked – drug is IV only",IFERROR(INDEX('Route of Administration'!$O$5:$O$170,MATCH($E573&amp;"|"&amp;$C573,'Route of Administration'!$S$5:$S$170,0)),"Not checked – price ≤ USD 5"))</f>
        <v>Pass</v>
      </c>
    </row>
    <row r="574" customFormat="false" ht="28.35" hidden="false" customHeight="false" outlineLevel="0" collapsed="false">
      <c r="B574" s="16" t="n">
        <v>572</v>
      </c>
      <c r="C574" s="16" t="s">
        <v>355</v>
      </c>
      <c r="D574" s="16" t="s">
        <v>1317</v>
      </c>
      <c r="E574" s="16" t="s">
        <v>1318</v>
      </c>
      <c r="F574" s="16" t="s">
        <v>2552</v>
      </c>
      <c r="G574" s="17" t="s">
        <v>2553</v>
      </c>
      <c r="H574" s="16" t="s">
        <v>1533</v>
      </c>
      <c r="I574" s="18" t="n">
        <v>17.738</v>
      </c>
      <c r="J574" s="16" t="n">
        <v>1</v>
      </c>
      <c r="K574" s="16" t="n">
        <v>290</v>
      </c>
      <c r="L574" s="19" t="n">
        <v>6348.25</v>
      </c>
      <c r="M574" s="17" t="s">
        <v>357</v>
      </c>
      <c r="N574" s="18" t="n">
        <v>17.738</v>
      </c>
      <c r="O574" s="16" t="s">
        <v>1534</v>
      </c>
      <c r="P574" s="16" t="s">
        <v>1535</v>
      </c>
      <c r="Q574" s="17" t="s">
        <v>1536</v>
      </c>
      <c r="R574" s="78" t="s">
        <v>2556</v>
      </c>
      <c r="S574" s="77" t="n">
        <f aca="false">IFERROR(INDEX('Injectable Value'!$Z$28:$Z$178,MATCH($C574,'Injectable Value'!$A$28:$A$178,0)),"")</f>
        <v>0.991596638655462</v>
      </c>
      <c r="T574" s="19" t="n">
        <f aca="false">IFERROR(ROUND(INDEX('Injectable Value'!$AA$28:$AA$178,MATCH($C574,'Injectable Value'!$A$28:$A$178,0)),1),"")</f>
        <v>6294.9</v>
      </c>
      <c r="U574" s="17" t="s">
        <v>614</v>
      </c>
      <c r="V574" s="16" t="n">
        <v>1</v>
      </c>
      <c r="W574" s="16" t="s">
        <v>112</v>
      </c>
      <c r="X574" s="16" t="s">
        <v>281</v>
      </c>
      <c r="Y574" s="16" t="s">
        <v>333</v>
      </c>
      <c r="Z574" s="17" t="str">
        <f aca="false">IFERROR(INDEX(Scoring!$U:$U,MATCH($C574&amp;"|"&amp;$E574,Scoring!$AD:$AD,0)),"")</f>
        <v>Reconstitution</v>
      </c>
      <c r="AA574" s="16" t="str">
        <f aca="false">IFERROR(INDEX(Scoring!$E:$E,MATCH($C574&amp;"|"&amp;$E574,Scoring!$AD:$AD,0)),"")</f>
        <v>Priority 2</v>
      </c>
      <c r="AB574" s="19" t="n">
        <f aca="false">IFERROR(INDEX(Scoring!$M:$M,MATCH($C574&amp;"|"&amp;$E574,Scoring!$AD:$AD,0)),"")</f>
        <v>288</v>
      </c>
      <c r="AC574" s="16" t="str">
        <f aca="false">IFERROR(INDEX('Route of Administration'!$C$5:$C$155,MATCH($C574,'Route of Administration'!$A$5:$A$155,0)),"")</f>
        <v>IV, IM</v>
      </c>
      <c r="AD574" s="15" t="str">
        <f aca="false">IFERROR(INDEX('Route of Administration'!$D$5:$D$155,MATCH($C574,'Route of Administration'!$A$5:$A$155,0)),"")</f>
        <v>Yes</v>
      </c>
      <c r="AE574" s="15" t="str">
        <f aca="false">IF($AD574="No","Not checked – drug is IV only",IFERROR(INDEX('Route of Administration'!$O$5:$O$170,MATCH($E574&amp;"|"&amp;$C574,'Route of Administration'!$S$5:$S$170,0)),"Not checked – price ≤ USD 5"))</f>
        <v>Pass</v>
      </c>
    </row>
    <row r="575" customFormat="false" ht="28.35" hidden="false" customHeight="false" outlineLevel="0" collapsed="false">
      <c r="B575" s="16" t="n">
        <v>573</v>
      </c>
      <c r="C575" s="16" t="s">
        <v>1323</v>
      </c>
      <c r="D575" s="16" t="s">
        <v>2557</v>
      </c>
      <c r="E575" s="16" t="s">
        <v>1318</v>
      </c>
      <c r="F575" s="16" t="s">
        <v>2558</v>
      </c>
      <c r="G575" s="17" t="s">
        <v>2559</v>
      </c>
      <c r="H575" s="16" t="s">
        <v>1533</v>
      </c>
      <c r="I575" s="18" t="n">
        <v>13.489</v>
      </c>
      <c r="J575" s="16" t="n">
        <v>1</v>
      </c>
      <c r="K575" s="16" t="n">
        <v>766</v>
      </c>
      <c r="L575" s="19" t="n">
        <v>32204.47</v>
      </c>
      <c r="M575" s="17" t="s">
        <v>1325</v>
      </c>
      <c r="N575" s="18" t="n">
        <v>13.489</v>
      </c>
      <c r="O575" s="16" t="s">
        <v>1534</v>
      </c>
      <c r="P575" s="16" t="s">
        <v>1535</v>
      </c>
      <c r="Q575" s="17" t="s">
        <v>1536</v>
      </c>
      <c r="R575" s="78" t="s">
        <v>2560</v>
      </c>
      <c r="S575" s="77" t="n">
        <f aca="false">IFERROR(INDEX('Injectable Value'!$Z$28:$Z$178,MATCH($C575,'Injectable Value'!$A$28:$A$178,0)),"")</f>
        <v>1</v>
      </c>
      <c r="T575" s="19" t="n">
        <f aca="false">IFERROR(ROUND(INDEX('Injectable Value'!$AA$28:$AA$178,MATCH($C575,'Injectable Value'!$A$28:$A$178,0)),1),"")</f>
        <v>32204.5</v>
      </c>
      <c r="U575" s="17" t="s">
        <v>614</v>
      </c>
      <c r="V575" s="16" t="n">
        <v>1</v>
      </c>
      <c r="W575" s="16" t="s">
        <v>112</v>
      </c>
      <c r="X575" s="16" t="s">
        <v>281</v>
      </c>
      <c r="Y575" s="16" t="s">
        <v>333</v>
      </c>
      <c r="Z575" s="17" t="str">
        <f aca="false">IFERROR(INDEX(Scoring!$U:$U,MATCH($C575&amp;"|"&amp;$E575,Scoring!$AD:$AD,0)),"")</f>
        <v>Reconstitution</v>
      </c>
      <c r="AA575" s="16" t="str">
        <f aca="false">IFERROR(INDEX(Scoring!$E:$E,MATCH($C575&amp;"|"&amp;$E575,Scoring!$AD:$AD,0)),"")</f>
        <v>Excluded – IV only</v>
      </c>
      <c r="AB575" s="19" t="n">
        <f aca="false">IFERROR(INDEX(Scoring!$M:$M,MATCH($C575&amp;"|"&amp;$E575,Scoring!$AD:$AD,0)),"")</f>
        <v>766</v>
      </c>
      <c r="AC575" s="16" t="str">
        <f aca="false">IFERROR(INDEX('Route of Administration'!$C$5:$C$155,MATCH($C575,'Route of Administration'!$A$5:$A$155,0)),"")</f>
        <v>IV</v>
      </c>
      <c r="AD575" s="15" t="str">
        <f aca="false">IFERROR(INDEX('Route of Administration'!$D$5:$D$155,MATCH($C575,'Route of Administration'!$A$5:$A$155,0)),"")</f>
        <v>No</v>
      </c>
      <c r="AE575" s="15" t="str">
        <f aca="false">IF($AD575="No","Not checked – drug is IV only",IFERROR(INDEX('Route of Administration'!$O$5:$O$170,MATCH($E575&amp;"|"&amp;$C575,'Route of Administration'!$S$5:$S$170,0)),"Not checked – price ≤ USD 5"))</f>
        <v>Not checked – drug is IV only</v>
      </c>
    </row>
    <row r="576" customFormat="false" ht="28.35" hidden="false" customHeight="false" outlineLevel="0" collapsed="false">
      <c r="B576" s="16" t="n">
        <v>574</v>
      </c>
      <c r="C576" s="16" t="s">
        <v>1323</v>
      </c>
      <c r="D576" s="16" t="s">
        <v>2561</v>
      </c>
      <c r="E576" s="16" t="s">
        <v>1318</v>
      </c>
      <c r="F576" s="16" t="s">
        <v>2562</v>
      </c>
      <c r="G576" s="17" t="s">
        <v>2563</v>
      </c>
      <c r="H576" s="16" t="s">
        <v>1533</v>
      </c>
      <c r="I576" s="18" t="n">
        <v>26.971</v>
      </c>
      <c r="J576" s="16" t="n">
        <v>1</v>
      </c>
      <c r="K576" s="16" t="n">
        <v>766</v>
      </c>
      <c r="L576" s="19" t="n">
        <v>32204.47</v>
      </c>
      <c r="M576" s="17" t="s">
        <v>1325</v>
      </c>
      <c r="N576" s="18" t="n">
        <v>26.971</v>
      </c>
      <c r="O576" s="16" t="s">
        <v>1534</v>
      </c>
      <c r="P576" s="16" t="s">
        <v>1535</v>
      </c>
      <c r="Q576" s="17" t="s">
        <v>1536</v>
      </c>
      <c r="R576" s="78" t="s">
        <v>2560</v>
      </c>
      <c r="S576" s="77" t="n">
        <f aca="false">IFERROR(INDEX('Injectable Value'!$Z$28:$Z$178,MATCH($C576,'Injectable Value'!$A$28:$A$178,0)),"")</f>
        <v>1</v>
      </c>
      <c r="T576" s="19" t="n">
        <f aca="false">IFERROR(ROUND(INDEX('Injectable Value'!$AA$28:$AA$178,MATCH($C576,'Injectable Value'!$A$28:$A$178,0)),1),"")</f>
        <v>32204.5</v>
      </c>
      <c r="U576" s="17" t="s">
        <v>614</v>
      </c>
      <c r="V576" s="16" t="n">
        <v>1</v>
      </c>
      <c r="W576" s="16" t="s">
        <v>112</v>
      </c>
      <c r="X576" s="16" t="s">
        <v>281</v>
      </c>
      <c r="Y576" s="16" t="s">
        <v>333</v>
      </c>
      <c r="Z576" s="17" t="str">
        <f aca="false">IFERROR(INDEX(Scoring!$U:$U,MATCH($C576&amp;"|"&amp;$E576,Scoring!$AD:$AD,0)),"")</f>
        <v>Reconstitution</v>
      </c>
      <c r="AA576" s="16" t="str">
        <f aca="false">IFERROR(INDEX(Scoring!$E:$E,MATCH($C576&amp;"|"&amp;$E576,Scoring!$AD:$AD,0)),"")</f>
        <v>Excluded – IV only</v>
      </c>
      <c r="AB576" s="19" t="n">
        <f aca="false">IFERROR(INDEX(Scoring!$M:$M,MATCH($C576&amp;"|"&amp;$E576,Scoring!$AD:$AD,0)),"")</f>
        <v>766</v>
      </c>
      <c r="AC576" s="16" t="str">
        <f aca="false">IFERROR(INDEX('Route of Administration'!$C$5:$C$155,MATCH($C576,'Route of Administration'!$A$5:$A$155,0)),"")</f>
        <v>IV</v>
      </c>
      <c r="AD576" s="15" t="str">
        <f aca="false">IFERROR(INDEX('Route of Administration'!$D$5:$D$155,MATCH($C576,'Route of Administration'!$A$5:$A$155,0)),"")</f>
        <v>No</v>
      </c>
      <c r="AE576" s="15" t="str">
        <f aca="false">IF($AD576="No","Not checked – drug is IV only",IFERROR(INDEX('Route of Administration'!$O$5:$O$170,MATCH($E576&amp;"|"&amp;$C576,'Route of Administration'!$S$5:$S$170,0)),"Not checked – price ≤ USD 5"))</f>
        <v>Not checked – drug is IV only</v>
      </c>
    </row>
    <row r="577" customFormat="false" ht="28.35" hidden="false" customHeight="false" outlineLevel="0" collapsed="false">
      <c r="B577" s="16" t="n">
        <v>575</v>
      </c>
      <c r="C577" s="16" t="s">
        <v>632</v>
      </c>
      <c r="D577" s="16" t="s">
        <v>1321</v>
      </c>
      <c r="E577" s="16" t="s">
        <v>1318</v>
      </c>
      <c r="F577" s="16" t="s">
        <v>2564</v>
      </c>
      <c r="G577" s="17" t="s">
        <v>2565</v>
      </c>
      <c r="H577" s="16" t="s">
        <v>1533</v>
      </c>
      <c r="I577" s="18" t="n">
        <v>6.9411728505</v>
      </c>
      <c r="J577" s="16" t="n">
        <v>1</v>
      </c>
      <c r="K577" s="16" t="n">
        <v>2582</v>
      </c>
      <c r="L577" s="19" t="n">
        <v>38106.07</v>
      </c>
      <c r="M577" s="17" t="s">
        <v>634</v>
      </c>
      <c r="N577" s="18" t="n">
        <v>6.9411728505</v>
      </c>
      <c r="O577" s="16" t="s">
        <v>1534</v>
      </c>
      <c r="P577" s="16" t="s">
        <v>1700</v>
      </c>
      <c r="Q577" s="17" t="s">
        <v>1878</v>
      </c>
      <c r="R577" s="78" t="s">
        <v>2566</v>
      </c>
      <c r="S577" s="77" t="n">
        <f aca="false">IFERROR(INDEX('Injectable Value'!$Z$28:$Z$178,MATCH($C577,'Injectable Value'!$A$28:$A$178,0)),"")</f>
        <v>0.125875590958329</v>
      </c>
      <c r="T577" s="19" t="n">
        <f aca="false">IFERROR(ROUND(INDEX('Injectable Value'!$AA$28:$AA$178,MATCH($C577,'Injectable Value'!$A$28:$A$178,0)),1),"")</f>
        <v>4796.6</v>
      </c>
      <c r="U577" s="17" t="s">
        <v>360</v>
      </c>
      <c r="V577" s="16" t="n">
        <v>1</v>
      </c>
      <c r="W577" s="16" t="s">
        <v>112</v>
      </c>
      <c r="X577" s="16" t="s">
        <v>281</v>
      </c>
      <c r="Y577" s="16" t="s">
        <v>283</v>
      </c>
      <c r="Z577" s="17" t="str">
        <f aca="false">IFERROR(INDEX(Scoring!$U:$U,MATCH($C577&amp;"|"&amp;$E577,Scoring!$AD:$AD,0)),"")</f>
        <v/>
      </c>
      <c r="AA577" s="16" t="str">
        <f aca="false">IFERROR(INDEX(Scoring!$E:$E,MATCH($C577&amp;"|"&amp;$E577,Scoring!$AD:$AD,0)),"")</f>
        <v>Priority 2</v>
      </c>
      <c r="AB577" s="19" t="n">
        <f aca="false">IFERROR(INDEX(Scoring!$M:$M,MATCH($C577&amp;"|"&amp;$E577,Scoring!$AD:$AD,0)),"")</f>
        <v>325</v>
      </c>
      <c r="AC577" s="16" t="str">
        <f aca="false">IFERROR(INDEX('Route of Administration'!$C$5:$C$155,MATCH($C577,'Route of Administration'!$A$5:$A$155,0)),"")</f>
        <v>IV, IM</v>
      </c>
      <c r="AD577" s="15" t="str">
        <f aca="false">IFERROR(INDEX('Route of Administration'!$D$5:$D$155,MATCH($C577,'Route of Administration'!$A$5:$A$155,0)),"")</f>
        <v>Yes</v>
      </c>
      <c r="AE577" s="15" t="str">
        <f aca="false">IF($AD577="No","Not checked – drug is IV only",IFERROR(INDEX('Route of Administration'!$O$5:$O$170,MATCH($E577&amp;"|"&amp;$C577,'Route of Administration'!$S$5:$S$170,0)),"Not checked – price ≤ USD 5"))</f>
        <v>Pass</v>
      </c>
    </row>
    <row r="578" customFormat="false" ht="28.35" hidden="false" customHeight="false" outlineLevel="0" collapsed="false">
      <c r="B578" s="16" t="n">
        <v>576</v>
      </c>
      <c r="C578" s="16" t="s">
        <v>1337</v>
      </c>
      <c r="D578" s="16" t="s">
        <v>1338</v>
      </c>
      <c r="E578" s="16" t="s">
        <v>241</v>
      </c>
      <c r="F578" s="16" t="s">
        <v>2567</v>
      </c>
      <c r="G578" s="17" t="s">
        <v>2568</v>
      </c>
      <c r="H578" s="16" t="s">
        <v>1533</v>
      </c>
      <c r="I578" s="18" t="n">
        <v>29.39</v>
      </c>
      <c r="J578" s="16" t="n">
        <v>1</v>
      </c>
      <c r="K578" s="16" t="n">
        <v>15</v>
      </c>
      <c r="L578" s="19" t="n">
        <v>3589.61</v>
      </c>
      <c r="M578" s="17" t="s">
        <v>1339</v>
      </c>
      <c r="N578" s="18" t="n">
        <v>29.39</v>
      </c>
      <c r="O578" s="16" t="s">
        <v>1534</v>
      </c>
      <c r="P578" s="16" t="s">
        <v>1535</v>
      </c>
      <c r="Q578" s="17" t="s">
        <v>1536</v>
      </c>
      <c r="R578" s="78" t="s">
        <v>2569</v>
      </c>
      <c r="S578" s="77" t="n">
        <f aca="false">IFERROR(INDEX('Injectable Value'!$Z$28:$Z$178,MATCH($C578,'Injectable Value'!$A$28:$A$178,0)),"")</f>
        <v>0.833333333333333</v>
      </c>
      <c r="T578" s="19" t="n">
        <f aca="false">IFERROR(ROUND(INDEX('Injectable Value'!$AA$28:$AA$178,MATCH($C578,'Injectable Value'!$A$28:$A$178,0)),1),"")</f>
        <v>2991.3</v>
      </c>
      <c r="U578" s="17" t="s">
        <v>284</v>
      </c>
      <c r="V578" s="16" t="n">
        <v>1</v>
      </c>
      <c r="W578" s="16" t="s">
        <v>284</v>
      </c>
      <c r="X578" s="16" t="s">
        <v>281</v>
      </c>
      <c r="Y578" s="16" t="s">
        <v>359</v>
      </c>
      <c r="Z578" s="17" t="str">
        <f aca="false">IFERROR(INDEX(Scoring!$U:$U,MATCH($C578&amp;"|"&amp;$E578,Scoring!$AD:$AD,0)),"")</f>
        <v>Reconstitution</v>
      </c>
      <c r="AA578" s="16" t="str">
        <f aca="false">IFERROR(INDEX(Scoring!$E:$E,MATCH($C578&amp;"|"&amp;$E578,Scoring!$AD:$AD,0)),"")</f>
        <v>Excluded – IV only</v>
      </c>
      <c r="AB578" s="19" t="n">
        <f aca="false">IFERROR(INDEX(Scoring!$M:$M,MATCH($C578&amp;"|"&amp;$E578,Scoring!$AD:$AD,0)),"")</f>
        <v>13</v>
      </c>
      <c r="AC578" s="16" t="str">
        <f aca="false">IFERROR(INDEX('Route of Administration'!$C$5:$C$155,MATCH($C578,'Route of Administration'!$A$5:$A$155,0)),"")</f>
        <v>IV</v>
      </c>
      <c r="AD578" s="15" t="str">
        <f aca="false">IFERROR(INDEX('Route of Administration'!$D$5:$D$155,MATCH($C578,'Route of Administration'!$A$5:$A$155,0)),"")</f>
        <v>No</v>
      </c>
      <c r="AE578" s="15" t="str">
        <f aca="false">IF($AD578="No","Not checked – drug is IV only",IFERROR(INDEX('Route of Administration'!$O$5:$O$170,MATCH($E578&amp;"|"&amp;$C578,'Route of Administration'!$S$5:$S$170,0)),"Not checked – price ≤ USD 5"))</f>
        <v>Not checked – drug is IV only</v>
      </c>
    </row>
    <row r="579" customFormat="false" ht="28.35" hidden="false" customHeight="false" outlineLevel="0" collapsed="false">
      <c r="B579" s="16" t="n">
        <v>577</v>
      </c>
      <c r="C579" s="16" t="s">
        <v>394</v>
      </c>
      <c r="D579" s="16" t="s">
        <v>1342</v>
      </c>
      <c r="E579" s="16" t="s">
        <v>241</v>
      </c>
      <c r="F579" s="16" t="s">
        <v>1569</v>
      </c>
      <c r="G579" s="17" t="s">
        <v>2570</v>
      </c>
      <c r="H579" s="16" t="s">
        <v>1533</v>
      </c>
      <c r="I579" s="18" t="n">
        <v>15.95</v>
      </c>
      <c r="J579" s="16" t="n">
        <v>1</v>
      </c>
      <c r="K579" s="16" t="n">
        <v>1644</v>
      </c>
      <c r="L579" s="19" t="n">
        <v>41889.23</v>
      </c>
      <c r="M579" s="17" t="s">
        <v>396</v>
      </c>
      <c r="N579" s="18" t="n">
        <v>15.95</v>
      </c>
      <c r="O579" s="16" t="s">
        <v>1534</v>
      </c>
      <c r="P579" s="16" t="s">
        <v>1535</v>
      </c>
      <c r="Q579" s="17" t="s">
        <v>1536</v>
      </c>
      <c r="R579" s="78" t="s">
        <v>2571</v>
      </c>
      <c r="S579" s="77" t="n">
        <f aca="false">IFERROR(INDEX('Injectable Value'!$Z$28:$Z$178,MATCH($C579,'Injectable Value'!$A$28:$A$178,0)),"")</f>
        <v>0.990783410138249</v>
      </c>
      <c r="T579" s="19" t="n">
        <f aca="false">IFERROR(ROUND(INDEX('Injectable Value'!$AA$28:$AA$178,MATCH($C579,'Injectable Value'!$A$28:$A$178,0)),1),"")</f>
        <v>41503.2</v>
      </c>
      <c r="U579" s="17" t="s">
        <v>1343</v>
      </c>
      <c r="V579" s="16" t="n">
        <v>2</v>
      </c>
      <c r="W579" s="16" t="s">
        <v>1343</v>
      </c>
      <c r="X579" s="16" t="s">
        <v>281</v>
      </c>
      <c r="Y579" s="16" t="s">
        <v>1547</v>
      </c>
      <c r="Z579" s="17" t="str">
        <f aca="false">IFERROR(INDEX(Scoring!$U:$U,MATCH($C579&amp;"|"&amp;$E579,Scoring!$AD:$AD,0)),"")</f>
        <v>Cancer drug (cytotoxic) – less relevant</v>
      </c>
      <c r="AA579" s="16" t="str">
        <f aca="false">IFERROR(INDEX(Scoring!$E:$E,MATCH($C579&amp;"|"&amp;$E579,Scoring!$AD:$AD,0)),"")</f>
        <v>Excluded – IV only</v>
      </c>
      <c r="AB579" s="19" t="n">
        <f aca="false">IFERROR(INDEX(Scoring!$M:$M,MATCH($C579&amp;"|"&amp;$E579,Scoring!$AD:$AD,0)),"")</f>
        <v>1629</v>
      </c>
      <c r="AC579" s="16" t="str">
        <f aca="false">IFERROR(INDEX('Route of Administration'!$C$5:$C$155,MATCH($C579,'Route of Administration'!$A$5:$A$155,0)),"")</f>
        <v>IV</v>
      </c>
      <c r="AD579" s="15" t="str">
        <f aca="false">IFERROR(INDEX('Route of Administration'!$D$5:$D$155,MATCH($C579,'Route of Administration'!$A$5:$A$155,0)),"")</f>
        <v>No</v>
      </c>
      <c r="AE579" s="15" t="str">
        <f aca="false">IF($AD579="No","Not checked – drug is IV only",IFERROR(INDEX('Route of Administration'!$O$5:$O$170,MATCH($E579&amp;"|"&amp;$C579,'Route of Administration'!$S$5:$S$170,0)),"Not checked – price ≤ USD 5"))</f>
        <v>Not checked – drug is IV only</v>
      </c>
    </row>
    <row r="580" customFormat="false" ht="28.35" hidden="false" customHeight="false" outlineLevel="0" collapsed="false">
      <c r="B580" s="16" t="n">
        <v>578</v>
      </c>
      <c r="C580" s="16" t="s">
        <v>665</v>
      </c>
      <c r="D580" s="16" t="s">
        <v>1504</v>
      </c>
      <c r="E580" s="16" t="s">
        <v>241</v>
      </c>
      <c r="F580" s="16" t="s">
        <v>1942</v>
      </c>
      <c r="G580" s="17" t="s">
        <v>2506</v>
      </c>
      <c r="H580" s="16" t="s">
        <v>1533</v>
      </c>
      <c r="I580" s="18" t="n">
        <v>21.78</v>
      </c>
      <c r="J580" s="16" t="n">
        <v>1</v>
      </c>
      <c r="K580" s="16" t="n">
        <v>346</v>
      </c>
      <c r="L580" s="19" t="n">
        <v>32830.17</v>
      </c>
      <c r="M580" s="17" t="s">
        <v>667</v>
      </c>
      <c r="N580" s="18" t="n">
        <v>21.78</v>
      </c>
      <c r="O580" s="16" t="s">
        <v>1534</v>
      </c>
      <c r="P580" s="16" t="s">
        <v>1535</v>
      </c>
      <c r="Q580" s="17" t="s">
        <v>1536</v>
      </c>
      <c r="R580" s="78" t="s">
        <v>1944</v>
      </c>
      <c r="S580" s="77" t="n">
        <f aca="false">IFERROR(INDEX('Injectable Value'!$Z$28:$Z$178,MATCH($C580,'Injectable Value'!$A$28:$A$178,0)),"")</f>
        <v>1</v>
      </c>
      <c r="T580" s="19" t="n">
        <f aca="false">IFERROR(ROUND(INDEX('Injectable Value'!$AA$28:$AA$178,MATCH($C580,'Injectable Value'!$A$28:$A$178,0)),1),"")</f>
        <v>32830.2</v>
      </c>
      <c r="U580" s="17" t="s">
        <v>1372</v>
      </c>
      <c r="V580" s="16" t="n">
        <v>7</v>
      </c>
      <c r="W580" s="16" t="s">
        <v>1371</v>
      </c>
      <c r="X580" s="16" t="s">
        <v>281</v>
      </c>
      <c r="Y580" s="16" t="s">
        <v>283</v>
      </c>
      <c r="Z580" s="17" t="str">
        <f aca="false">IFERROR(INDEX(Scoring!$U:$U,MATCH($C580&amp;"|"&amp;$E580,Scoring!$AD:$AD,0)),"")</f>
        <v/>
      </c>
      <c r="AA580" s="16" t="str">
        <f aca="false">IFERROR(INDEX(Scoring!$E:$E,MATCH($C580&amp;"|"&amp;$E580,Scoring!$AD:$AD,0)),"")</f>
        <v>Excluded – IV only</v>
      </c>
      <c r="AB580" s="19" t="n">
        <f aca="false">IFERROR(INDEX(Scoring!$M:$M,MATCH($C580&amp;"|"&amp;$E580,Scoring!$AD:$AD,0)),"")</f>
        <v>346</v>
      </c>
      <c r="AC580" s="16" t="str">
        <f aca="false">IFERROR(INDEX('Route of Administration'!$C$5:$C$155,MATCH($C580,'Route of Administration'!$A$5:$A$155,0)),"")</f>
        <v>IV</v>
      </c>
      <c r="AD580" s="15" t="str">
        <f aca="false">IFERROR(INDEX('Route of Administration'!$D$5:$D$155,MATCH($C580,'Route of Administration'!$A$5:$A$155,0)),"")</f>
        <v>No</v>
      </c>
      <c r="AE580" s="15" t="str">
        <f aca="false">IF($AD580="No","Not checked – drug is IV only",IFERROR(INDEX('Route of Administration'!$O$5:$O$170,MATCH($E580&amp;"|"&amp;$C580,'Route of Administration'!$S$5:$S$170,0)),"Not checked – price ≤ USD 5"))</f>
        <v>Not checked – drug is IV only</v>
      </c>
    </row>
    <row r="581" customFormat="false" ht="28.35" hidden="false" customHeight="false" outlineLevel="0" collapsed="false">
      <c r="B581" s="16" t="n">
        <v>579</v>
      </c>
      <c r="C581" s="16" t="s">
        <v>665</v>
      </c>
      <c r="D581" s="16" t="s">
        <v>1504</v>
      </c>
      <c r="E581" s="16" t="s">
        <v>241</v>
      </c>
      <c r="F581" s="16" t="s">
        <v>1945</v>
      </c>
      <c r="G581" s="17" t="s">
        <v>2434</v>
      </c>
      <c r="H581" s="16" t="s">
        <v>1533</v>
      </c>
      <c r="I581" s="18" t="n">
        <v>48.28</v>
      </c>
      <c r="J581" s="16" t="n">
        <v>1</v>
      </c>
      <c r="K581" s="16" t="n">
        <v>346</v>
      </c>
      <c r="L581" s="19" t="n">
        <v>32830.17</v>
      </c>
      <c r="M581" s="17" t="s">
        <v>667</v>
      </c>
      <c r="N581" s="18" t="n">
        <v>48.28</v>
      </c>
      <c r="O581" s="16" t="s">
        <v>1534</v>
      </c>
      <c r="P581" s="16" t="s">
        <v>1535</v>
      </c>
      <c r="Q581" s="17" t="s">
        <v>1536</v>
      </c>
      <c r="R581" s="78" t="s">
        <v>1944</v>
      </c>
      <c r="S581" s="77" t="n">
        <f aca="false">IFERROR(INDEX('Injectable Value'!$Z$28:$Z$178,MATCH($C581,'Injectable Value'!$A$28:$A$178,0)),"")</f>
        <v>1</v>
      </c>
      <c r="T581" s="19" t="n">
        <f aca="false">IFERROR(ROUND(INDEX('Injectable Value'!$AA$28:$AA$178,MATCH($C581,'Injectable Value'!$A$28:$A$178,0)),1),"")</f>
        <v>32830.2</v>
      </c>
      <c r="U581" s="17" t="s">
        <v>1372</v>
      </c>
      <c r="V581" s="16" t="n">
        <v>7</v>
      </c>
      <c r="W581" s="16" t="s">
        <v>1371</v>
      </c>
      <c r="X581" s="16" t="s">
        <v>281</v>
      </c>
      <c r="Y581" s="16" t="s">
        <v>283</v>
      </c>
      <c r="Z581" s="17" t="str">
        <f aca="false">IFERROR(INDEX(Scoring!$U:$U,MATCH($C581&amp;"|"&amp;$E581,Scoring!$AD:$AD,0)),"")</f>
        <v/>
      </c>
      <c r="AA581" s="16" t="str">
        <f aca="false">IFERROR(INDEX(Scoring!$E:$E,MATCH($C581&amp;"|"&amp;$E581,Scoring!$AD:$AD,0)),"")</f>
        <v>Excluded – IV only</v>
      </c>
      <c r="AB581" s="19" t="n">
        <f aca="false">IFERROR(INDEX(Scoring!$M:$M,MATCH($C581&amp;"|"&amp;$E581,Scoring!$AD:$AD,0)),"")</f>
        <v>346</v>
      </c>
      <c r="AC581" s="16" t="str">
        <f aca="false">IFERROR(INDEX('Route of Administration'!$C$5:$C$155,MATCH($C581,'Route of Administration'!$A$5:$A$155,0)),"")</f>
        <v>IV</v>
      </c>
      <c r="AD581" s="15" t="str">
        <f aca="false">IFERROR(INDEX('Route of Administration'!$D$5:$D$155,MATCH($C581,'Route of Administration'!$A$5:$A$155,0)),"")</f>
        <v>No</v>
      </c>
      <c r="AE581" s="15" t="str">
        <f aca="false">IF($AD581="No","Not checked – drug is IV only",IFERROR(INDEX('Route of Administration'!$O$5:$O$170,MATCH($E581&amp;"|"&amp;$C581,'Route of Administration'!$S$5:$S$170,0)),"Not checked – price ≤ USD 5"))</f>
        <v>Not checked – drug is IV only</v>
      </c>
    </row>
    <row r="582" customFormat="false" ht="28.35" hidden="false" customHeight="false" outlineLevel="0" collapsed="false">
      <c r="B582" s="16" t="n">
        <v>580</v>
      </c>
      <c r="C582" s="16" t="s">
        <v>665</v>
      </c>
      <c r="D582" s="16" t="s">
        <v>2572</v>
      </c>
      <c r="E582" s="16" t="s">
        <v>241</v>
      </c>
      <c r="F582" s="16" t="s">
        <v>1762</v>
      </c>
      <c r="G582" s="17" t="s">
        <v>1887</v>
      </c>
      <c r="H582" s="16" t="s">
        <v>1533</v>
      </c>
      <c r="I582" s="18" t="n">
        <v>78.79</v>
      </c>
      <c r="J582" s="16" t="n">
        <v>1</v>
      </c>
      <c r="K582" s="16" t="n">
        <v>346</v>
      </c>
      <c r="L582" s="19" t="n">
        <v>32830.17</v>
      </c>
      <c r="M582" s="17" t="s">
        <v>667</v>
      </c>
      <c r="N582" s="18" t="n">
        <v>78.79</v>
      </c>
      <c r="O582" s="16" t="s">
        <v>1534</v>
      </c>
      <c r="P582" s="16" t="s">
        <v>1700</v>
      </c>
      <c r="Q582" s="17" t="s">
        <v>1536</v>
      </c>
      <c r="R582" s="78" t="s">
        <v>2573</v>
      </c>
      <c r="S582" s="77" t="n">
        <f aca="false">IFERROR(INDEX('Injectable Value'!$Z$28:$Z$178,MATCH($C582,'Injectable Value'!$A$28:$A$178,0)),"")</f>
        <v>1</v>
      </c>
      <c r="T582" s="19" t="n">
        <f aca="false">IFERROR(ROUND(INDEX('Injectable Value'!$AA$28:$AA$178,MATCH($C582,'Injectable Value'!$A$28:$A$178,0)),1),"")</f>
        <v>32830.2</v>
      </c>
      <c r="U582" s="17" t="s">
        <v>1372</v>
      </c>
      <c r="V582" s="16" t="n">
        <v>7</v>
      </c>
      <c r="W582" s="16" t="s">
        <v>1371</v>
      </c>
      <c r="X582" s="16" t="s">
        <v>281</v>
      </c>
      <c r="Y582" s="16" t="s">
        <v>283</v>
      </c>
      <c r="Z582" s="17" t="str">
        <f aca="false">IFERROR(INDEX(Scoring!$U:$U,MATCH($C582&amp;"|"&amp;$E582,Scoring!$AD:$AD,0)),"")</f>
        <v/>
      </c>
      <c r="AA582" s="16" t="str">
        <f aca="false">IFERROR(INDEX(Scoring!$E:$E,MATCH($C582&amp;"|"&amp;$E582,Scoring!$AD:$AD,0)),"")</f>
        <v>Excluded – IV only</v>
      </c>
      <c r="AB582" s="19" t="n">
        <f aca="false">IFERROR(INDEX(Scoring!$M:$M,MATCH($C582&amp;"|"&amp;$E582,Scoring!$AD:$AD,0)),"")</f>
        <v>346</v>
      </c>
      <c r="AC582" s="16" t="str">
        <f aca="false">IFERROR(INDEX('Route of Administration'!$C$5:$C$155,MATCH($C582,'Route of Administration'!$A$5:$A$155,0)),"")</f>
        <v>IV</v>
      </c>
      <c r="AD582" s="15" t="str">
        <f aca="false">IFERROR(INDEX('Route of Administration'!$D$5:$D$155,MATCH($C582,'Route of Administration'!$A$5:$A$155,0)),"")</f>
        <v>No</v>
      </c>
      <c r="AE582" s="15" t="str">
        <f aca="false">IF($AD582="No","Not checked – drug is IV only",IFERROR(INDEX('Route of Administration'!$O$5:$O$170,MATCH($E582&amp;"|"&amp;$C582,'Route of Administration'!$S$5:$S$170,0)),"Not checked – price ≤ USD 5"))</f>
        <v>Not checked – drug is IV only</v>
      </c>
    </row>
    <row r="583" customFormat="false" ht="28.35" hidden="false" customHeight="false" outlineLevel="0" collapsed="false">
      <c r="B583" s="16" t="n">
        <v>581</v>
      </c>
      <c r="C583" s="16" t="s">
        <v>73</v>
      </c>
      <c r="D583" s="16" t="s">
        <v>73</v>
      </c>
      <c r="E583" s="16" t="s">
        <v>241</v>
      </c>
      <c r="F583" s="16" t="s">
        <v>2018</v>
      </c>
      <c r="G583" s="17" t="s">
        <v>2574</v>
      </c>
      <c r="H583" s="16" t="s">
        <v>1533</v>
      </c>
      <c r="I583" s="18"/>
      <c r="J583" s="16" t="n">
        <v>1</v>
      </c>
      <c r="K583" s="16" t="n">
        <v>1331</v>
      </c>
      <c r="L583" s="19" t="n">
        <v>23317.34</v>
      </c>
      <c r="M583" s="17" t="s">
        <v>1329</v>
      </c>
      <c r="N583" s="18"/>
      <c r="O583" s="16" t="s">
        <v>1573</v>
      </c>
      <c r="P583" s="16" t="s">
        <v>112</v>
      </c>
      <c r="Q583" s="17" t="s">
        <v>112</v>
      </c>
      <c r="R583" s="16"/>
      <c r="S583" s="77" t="n">
        <f aca="false">IFERROR(INDEX('Injectable Value'!$Z$28:$Z$178,MATCH($C583,'Injectable Value'!$A$28:$A$178,0)),"")</f>
        <v>0.0847700746550087</v>
      </c>
      <c r="T583" s="19" t="n">
        <f aca="false">IFERROR(ROUND(INDEX('Injectable Value'!$AA$28:$AA$178,MATCH($C583,'Injectable Value'!$A$28:$A$178,0)),1),"")</f>
        <v>1976.6</v>
      </c>
      <c r="U583" s="17" t="s">
        <v>1331</v>
      </c>
      <c r="V583" s="16" t="n">
        <v>2</v>
      </c>
      <c r="W583" s="16" t="s">
        <v>1144</v>
      </c>
      <c r="X583" s="16" t="s">
        <v>281</v>
      </c>
      <c r="Y583" s="16" t="s">
        <v>283</v>
      </c>
      <c r="Z583" s="17" t="str">
        <f aca="false">IFERROR(INDEX(Scoring!$U:$U,MATCH($C583&amp;"|"&amp;$E583,Scoring!$AD:$AD,0)),"")</f>
        <v>Reconstitution</v>
      </c>
      <c r="AA583" s="16" t="str">
        <f aca="false">IFERROR(INDEX(Scoring!$E:$E,MATCH($C583&amp;"|"&amp;$E583,Scoring!$AD:$AD,0)),"")</f>
        <v>Priority 2</v>
      </c>
      <c r="AB583" s="19" t="n">
        <f aca="false">IFERROR(INDEX(Scoring!$M:$M,MATCH($C583&amp;"|"&amp;$E583,Scoring!$AD:$AD,0)),"")</f>
        <v>113</v>
      </c>
      <c r="AC583" s="16" t="str">
        <f aca="false">IFERROR(INDEX('Route of Administration'!$C$5:$C$155,MATCH($C583,'Route of Administration'!$A$5:$A$155,0)),"")</f>
        <v>IM</v>
      </c>
      <c r="AD583" s="15" t="str">
        <f aca="false">IFERROR(INDEX('Route of Administration'!$D$5:$D$155,MATCH($C583,'Route of Administration'!$A$5:$A$155,0)),"")</f>
        <v>Yes</v>
      </c>
      <c r="AE583" s="15" t="str">
        <f aca="false">IF($AD583="No","Not checked – drug is IV only",IFERROR(INDEX('Route of Administration'!$O$5:$O$170,MATCH($E583&amp;"|"&amp;$C583,'Route of Administration'!$S$5:$S$170,0)),"Not checked – price ≤ USD 5"))</f>
        <v>Pass</v>
      </c>
    </row>
    <row r="584" customFormat="false" ht="28.35" hidden="false" customHeight="false" outlineLevel="0" collapsed="false">
      <c r="B584" s="16" t="n">
        <v>582</v>
      </c>
      <c r="C584" s="16" t="s">
        <v>295</v>
      </c>
      <c r="D584" s="16" t="s">
        <v>1347</v>
      </c>
      <c r="E584" s="16" t="s">
        <v>241</v>
      </c>
      <c r="F584" s="16" t="s">
        <v>1683</v>
      </c>
      <c r="G584" s="17" t="s">
        <v>1684</v>
      </c>
      <c r="H584" s="16" t="s">
        <v>1540</v>
      </c>
      <c r="I584" s="18" t="n">
        <v>345.31</v>
      </c>
      <c r="J584" s="16" t="n">
        <v>1</v>
      </c>
      <c r="K584" s="16" t="n">
        <v>146</v>
      </c>
      <c r="L584" s="19" t="n">
        <v>11366.06</v>
      </c>
      <c r="M584" s="17" t="s">
        <v>296</v>
      </c>
      <c r="N584" s="18" t="n">
        <v>345.31</v>
      </c>
      <c r="O584" s="16" t="s">
        <v>1534</v>
      </c>
      <c r="P584" s="16" t="s">
        <v>1535</v>
      </c>
      <c r="Q584" s="17" t="s">
        <v>1536</v>
      </c>
      <c r="R584" s="78" t="s">
        <v>2575</v>
      </c>
      <c r="S584" s="77" t="n">
        <f aca="false">IFERROR(INDEX('Injectable Value'!$Z$28:$Z$178,MATCH($C584,'Injectable Value'!$A$28:$A$178,0)),"")</f>
        <v>1</v>
      </c>
      <c r="T584" s="19" t="n">
        <f aca="false">IFERROR(ROUND(INDEX('Injectable Value'!$AA$28:$AA$178,MATCH($C584,'Injectable Value'!$A$28:$A$178,0)),1),"")</f>
        <v>11366.1</v>
      </c>
      <c r="U584" s="17" t="s">
        <v>1348</v>
      </c>
      <c r="V584" s="16" t="n">
        <v>7</v>
      </c>
      <c r="W584" s="16" t="s">
        <v>1031</v>
      </c>
      <c r="X584" s="16" t="s">
        <v>291</v>
      </c>
      <c r="Y584" s="16" t="s">
        <v>283</v>
      </c>
      <c r="Z584" s="17" t="str">
        <f aca="false">IFERROR(INDEX(Scoring!$U:$U,MATCH($C584&amp;"|"&amp;$E584,Scoring!$AD:$AD,0)),"")</f>
        <v>Prefilled only</v>
      </c>
      <c r="AA584" s="16" t="str">
        <f aca="false">IFERROR(INDEX(Scoring!$E:$E,MATCH($C584&amp;"|"&amp;$E584,Scoring!$AD:$AD,0)),"")</f>
        <v>Priority 1</v>
      </c>
      <c r="AB584" s="19" t="n">
        <f aca="false">IFERROR(INDEX(Scoring!$M:$M,MATCH($C584&amp;"|"&amp;$E584,Scoring!$AD:$AD,0)),"")</f>
        <v>146</v>
      </c>
      <c r="AC584" s="16" t="str">
        <f aca="false">IFERROR(INDEX('Route of Administration'!$C$5:$C$155,MATCH($C584,'Route of Administration'!$A$5:$A$155,0)),"")</f>
        <v>IM</v>
      </c>
      <c r="AD584" s="15" t="str">
        <f aca="false">IFERROR(INDEX('Route of Administration'!$D$5:$D$155,MATCH($C584,'Route of Administration'!$A$5:$A$155,0)),"")</f>
        <v>Yes</v>
      </c>
      <c r="AE584" s="15" t="str">
        <f aca="false">IF($AD584="No","Not checked – drug is IV only",IFERROR(INDEX('Route of Administration'!$O$5:$O$170,MATCH($E584&amp;"|"&amp;$C584,'Route of Administration'!$S$5:$S$170,0)),"Not checked – price ≤ USD 5"))</f>
        <v>Pass</v>
      </c>
    </row>
    <row r="585" customFormat="false" ht="95.5" hidden="false" customHeight="false" outlineLevel="0" collapsed="false">
      <c r="B585" s="16" t="n">
        <v>583</v>
      </c>
      <c r="C585" s="16" t="s">
        <v>338</v>
      </c>
      <c r="D585" s="16" t="s">
        <v>2576</v>
      </c>
      <c r="E585" s="16" t="s">
        <v>241</v>
      </c>
      <c r="F585" s="16" t="s">
        <v>1680</v>
      </c>
      <c r="G585" s="17" t="s">
        <v>1681</v>
      </c>
      <c r="H585" s="16" t="s">
        <v>1533</v>
      </c>
      <c r="I585" s="18" t="n">
        <v>1007.36</v>
      </c>
      <c r="J585" s="16" t="n">
        <v>1</v>
      </c>
      <c r="K585" s="16" t="n">
        <v>905</v>
      </c>
      <c r="L585" s="19" t="n">
        <v>28093.38</v>
      </c>
      <c r="M585" s="17" t="s">
        <v>340</v>
      </c>
      <c r="N585" s="18" t="n">
        <v>1007.36</v>
      </c>
      <c r="O585" s="16" t="s">
        <v>1534</v>
      </c>
      <c r="P585" s="16" t="s">
        <v>1700</v>
      </c>
      <c r="Q585" s="17" t="s">
        <v>1536</v>
      </c>
      <c r="R585" s="78" t="s">
        <v>2577</v>
      </c>
      <c r="S585" s="77" t="n">
        <f aca="false">IFERROR(INDEX('Injectable Value'!$Z$28:$Z$178,MATCH($C585,'Injectable Value'!$A$28:$A$178,0)),"")</f>
        <v>1</v>
      </c>
      <c r="T585" s="19" t="n">
        <f aca="false">IFERROR(ROUND(INDEX('Injectable Value'!$AA$28:$AA$178,MATCH($C585,'Injectable Value'!$A$28:$A$178,0)),1),"")</f>
        <v>28093.4</v>
      </c>
      <c r="U585" s="17" t="s">
        <v>1335</v>
      </c>
      <c r="V585" s="16" t="n">
        <v>34</v>
      </c>
      <c r="W585" s="16" t="s">
        <v>537</v>
      </c>
      <c r="X585" s="16" t="s">
        <v>281</v>
      </c>
      <c r="Y585" s="16" t="s">
        <v>333</v>
      </c>
      <c r="Z585" s="17" t="str">
        <f aca="false">IFERROR(INDEX(Scoring!$U:$U,MATCH($C585&amp;"|"&amp;$E585,Scoring!$AD:$AD,0)),"")</f>
        <v>Cancer drug (cytotoxic) – less relevant; Reconstitution</v>
      </c>
      <c r="AA585" s="16" t="str">
        <f aca="false">IFERROR(INDEX(Scoring!$E:$E,MATCH($C585&amp;"|"&amp;$E585,Scoring!$AD:$AD,0)),"")</f>
        <v>Priority 1</v>
      </c>
      <c r="AB585" s="19" t="n">
        <f aca="false">IFERROR(INDEX(Scoring!$M:$M,MATCH($C585&amp;"|"&amp;$E585,Scoring!$AD:$AD,0)),"")</f>
        <v>905</v>
      </c>
      <c r="AC585" s="16" t="str">
        <f aca="false">IFERROR(INDEX('Route of Administration'!$C$5:$C$155,MATCH($C585,'Route of Administration'!$A$5:$A$155,0)),"")</f>
        <v>IV, SC</v>
      </c>
      <c r="AD585" s="15" t="str">
        <f aca="false">IFERROR(INDEX('Route of Administration'!$D$5:$D$155,MATCH($C585,'Route of Administration'!$A$5:$A$155,0)),"")</f>
        <v>Yes</v>
      </c>
      <c r="AE585" s="15" t="str">
        <f aca="false">IF($AD585="No","Not checked – drug is IV only",IFERROR(INDEX('Route of Administration'!$O$5:$O$170,MATCH($E585&amp;"|"&amp;$C585,'Route of Administration'!$S$5:$S$170,0)),"Not checked – price ≤ USD 5"))</f>
        <v>Pass</v>
      </c>
    </row>
    <row r="586" customFormat="false" ht="28.35" hidden="false" customHeight="false" outlineLevel="0" collapsed="false">
      <c r="B586" s="16" t="n">
        <v>584</v>
      </c>
      <c r="C586" s="16" t="s">
        <v>594</v>
      </c>
      <c r="D586" s="16" t="s">
        <v>2578</v>
      </c>
      <c r="E586" s="16" t="s">
        <v>241</v>
      </c>
      <c r="F586" s="16" t="s">
        <v>2579</v>
      </c>
      <c r="G586" s="17" t="s">
        <v>2580</v>
      </c>
      <c r="H586" s="16" t="s">
        <v>1533</v>
      </c>
      <c r="I586" s="18" t="n">
        <v>9.92</v>
      </c>
      <c r="J586" s="16" t="n">
        <v>1</v>
      </c>
      <c r="K586" s="16" t="n">
        <v>208</v>
      </c>
      <c r="L586" s="19" t="n">
        <v>3923.58</v>
      </c>
      <c r="M586" s="17" t="s">
        <v>596</v>
      </c>
      <c r="N586" s="18" t="n">
        <v>9.92</v>
      </c>
      <c r="O586" s="16" t="s">
        <v>1534</v>
      </c>
      <c r="P586" s="16" t="s">
        <v>1535</v>
      </c>
      <c r="Q586" s="17" t="s">
        <v>1536</v>
      </c>
      <c r="R586" s="78" t="s">
        <v>2581</v>
      </c>
      <c r="S586" s="77" t="n">
        <f aca="false">IFERROR(INDEX('Injectable Value'!$Z$28:$Z$178,MATCH($C586,'Injectable Value'!$A$28:$A$178,0)),"")</f>
        <v>1</v>
      </c>
      <c r="T586" s="19" t="n">
        <f aca="false">IFERROR(ROUND(INDEX('Injectable Value'!$AA$28:$AA$178,MATCH($C586,'Injectable Value'!$A$28:$A$178,0)),1),"")</f>
        <v>3923.6</v>
      </c>
      <c r="U586" s="17" t="s">
        <v>1390</v>
      </c>
      <c r="V586" s="16" t="n">
        <v>5</v>
      </c>
      <c r="W586" s="16" t="s">
        <v>1031</v>
      </c>
      <c r="X586" s="16" t="s">
        <v>281</v>
      </c>
      <c r="Y586" s="16" t="s">
        <v>283</v>
      </c>
      <c r="Z586" s="17" t="str">
        <f aca="false">IFERROR(INDEX(Scoring!$U:$U,MATCH($C586&amp;"|"&amp;$E586,Scoring!$AD:$AD,0)),"")</f>
        <v>Reconstitution</v>
      </c>
      <c r="AA586" s="16" t="str">
        <f aca="false">IFERROR(INDEX(Scoring!$E:$E,MATCH($C586&amp;"|"&amp;$E586,Scoring!$AD:$AD,0)),"")</f>
        <v>Excluded – IV only</v>
      </c>
      <c r="AB586" s="19" t="n">
        <f aca="false">IFERROR(INDEX(Scoring!$M:$M,MATCH($C586&amp;"|"&amp;$E586,Scoring!$AD:$AD,0)),"")</f>
        <v>208</v>
      </c>
      <c r="AC586" s="16" t="str">
        <f aca="false">IFERROR(INDEX('Route of Administration'!$C$5:$C$155,MATCH($C586,'Route of Administration'!$A$5:$A$155,0)),"")</f>
        <v>IV</v>
      </c>
      <c r="AD586" s="15" t="str">
        <f aca="false">IFERROR(INDEX('Route of Administration'!$D$5:$D$155,MATCH($C586,'Route of Administration'!$A$5:$A$155,0)),"")</f>
        <v>No</v>
      </c>
      <c r="AE586" s="15" t="str">
        <f aca="false">IF($AD586="No","Not checked – drug is IV only",IFERROR(INDEX('Route of Administration'!$O$5:$O$170,MATCH($E586&amp;"|"&amp;$C586,'Route of Administration'!$S$5:$S$170,0)),"Not checked – price ≤ USD 5"))</f>
        <v>Not checked – drug is IV only</v>
      </c>
    </row>
    <row r="587" customFormat="false" ht="41.75" hidden="false" customHeight="false" outlineLevel="0" collapsed="false">
      <c r="B587" s="16" t="n">
        <v>585</v>
      </c>
      <c r="C587" s="16" t="s">
        <v>676</v>
      </c>
      <c r="D587" s="16" t="s">
        <v>2582</v>
      </c>
      <c r="E587" s="16" t="s">
        <v>241</v>
      </c>
      <c r="F587" s="16" t="s">
        <v>2583</v>
      </c>
      <c r="G587" s="17" t="s">
        <v>1884</v>
      </c>
      <c r="H587" s="16" t="s">
        <v>1533</v>
      </c>
      <c r="I587" s="18" t="n">
        <v>114.18</v>
      </c>
      <c r="J587" s="16" t="n">
        <v>1</v>
      </c>
      <c r="K587" s="16" t="n">
        <v>188</v>
      </c>
      <c r="L587" s="19" t="n">
        <v>262.84</v>
      </c>
      <c r="M587" s="17" t="s">
        <v>678</v>
      </c>
      <c r="N587" s="18" t="n">
        <v>114.18</v>
      </c>
      <c r="O587" s="16" t="s">
        <v>1534</v>
      </c>
      <c r="P587" s="16" t="s">
        <v>1535</v>
      </c>
      <c r="Q587" s="17" t="s">
        <v>1536</v>
      </c>
      <c r="R587" s="78" t="s">
        <v>1685</v>
      </c>
      <c r="S587" s="77" t="n">
        <f aca="false">IFERROR(INDEX('Injectable Value'!$Z$28:$Z$178,MATCH($C587,'Injectable Value'!$A$28:$A$178,0)),"")</f>
        <v>0.703571428571429</v>
      </c>
      <c r="T587" s="19" t="n">
        <f aca="false">IFERROR(ROUND(INDEX('Injectable Value'!$AA$28:$AA$178,MATCH($C587,'Injectable Value'!$A$28:$A$178,0)),1),"")</f>
        <v>184.9</v>
      </c>
      <c r="U587" s="17" t="s">
        <v>1386</v>
      </c>
      <c r="V587" s="16" t="n">
        <v>12</v>
      </c>
      <c r="W587" s="16" t="s">
        <v>1385</v>
      </c>
      <c r="X587" s="16" t="s">
        <v>281</v>
      </c>
      <c r="Y587" s="16" t="s">
        <v>283</v>
      </c>
      <c r="Z587" s="17" t="str">
        <f aca="false">IFERROR(INDEX(Scoring!$U:$U,MATCH($C587&amp;"|"&amp;$E587,Scoring!$AD:$AD,0)),"")</f>
        <v/>
      </c>
      <c r="AA587" s="16" t="str">
        <f aca="false">IFERROR(INDEX(Scoring!$E:$E,MATCH($C587&amp;"|"&amp;$E587,Scoring!$AD:$AD,0)),"")</f>
        <v>Priority 2</v>
      </c>
      <c r="AB587" s="19" t="n">
        <f aca="false">IFERROR(INDEX(Scoring!$M:$M,MATCH($C587&amp;"|"&amp;$E587,Scoring!$AD:$AD,0)),"")</f>
        <v>132</v>
      </c>
      <c r="AC587" s="16" t="str">
        <f aca="false">IFERROR(INDEX('Route of Administration'!$C$5:$C$155,MATCH($C587,'Route of Administration'!$A$5:$A$155,0)),"")</f>
        <v>IM</v>
      </c>
      <c r="AD587" s="15" t="str">
        <f aca="false">IFERROR(INDEX('Route of Administration'!$D$5:$D$155,MATCH($C587,'Route of Administration'!$A$5:$A$155,0)),"")</f>
        <v>Yes</v>
      </c>
      <c r="AE587" s="15" t="str">
        <f aca="false">IF($AD587="No","Not checked – drug is IV only",IFERROR(INDEX('Route of Administration'!$O$5:$O$170,MATCH($E587&amp;"|"&amp;$C587,'Route of Administration'!$S$5:$S$170,0)),"Not checked – price ≤ USD 5"))</f>
        <v>Pass</v>
      </c>
    </row>
    <row r="588" customFormat="false" ht="28.35" hidden="false" customHeight="false" outlineLevel="0" collapsed="false">
      <c r="B588" s="16" t="n">
        <v>586</v>
      </c>
      <c r="C588" s="16" t="s">
        <v>1376</v>
      </c>
      <c r="D588" s="16" t="s">
        <v>2584</v>
      </c>
      <c r="E588" s="16" t="s">
        <v>241</v>
      </c>
      <c r="F588" s="16" t="s">
        <v>2585</v>
      </c>
      <c r="G588" s="17" t="s">
        <v>2586</v>
      </c>
      <c r="H588" s="16" t="s">
        <v>1533</v>
      </c>
      <c r="I588" s="18" t="n">
        <v>25.12</v>
      </c>
      <c r="J588" s="16" t="n">
        <v>1</v>
      </c>
      <c r="K588" s="16" t="n">
        <v>18</v>
      </c>
      <c r="L588" s="19" t="n">
        <v>77.4</v>
      </c>
      <c r="M588" s="17" t="s">
        <v>1378</v>
      </c>
      <c r="N588" s="18" t="n">
        <v>25.12</v>
      </c>
      <c r="O588" s="16" t="s">
        <v>1534</v>
      </c>
      <c r="P588" s="16" t="s">
        <v>1535</v>
      </c>
      <c r="Q588" s="17" t="s">
        <v>1536</v>
      </c>
      <c r="R588" s="78" t="s">
        <v>2587</v>
      </c>
      <c r="S588" s="77" t="n">
        <f aca="false">IFERROR(INDEX('Injectable Value'!$Z$28:$Z$178,MATCH($C588,'Injectable Value'!$A$28:$A$178,0)),"")</f>
        <v>1</v>
      </c>
      <c r="T588" s="19" t="n">
        <f aca="false">IFERROR(ROUND(INDEX('Injectable Value'!$AA$28:$AA$178,MATCH($C588,'Injectable Value'!$A$28:$A$178,0)),1),"")</f>
        <v>77.4</v>
      </c>
      <c r="U588" s="17" t="s">
        <v>1380</v>
      </c>
      <c r="V588" s="16" t="n">
        <v>11</v>
      </c>
      <c r="W588" s="16" t="s">
        <v>785</v>
      </c>
      <c r="X588" s="16" t="s">
        <v>349</v>
      </c>
      <c r="Y588" s="16" t="s">
        <v>283</v>
      </c>
      <c r="Z588" s="17" t="str">
        <f aca="false">IFERROR(INDEX(Scoring!$U:$U,MATCH($C588&amp;"|"&amp;$E588,Scoring!$AD:$AD,0)),"")</f>
        <v/>
      </c>
      <c r="AA588" s="16" t="str">
        <f aca="false">IFERROR(INDEX(Scoring!$E:$E,MATCH($C588&amp;"|"&amp;$E588,Scoring!$AD:$AD,0)),"")</f>
        <v>Excluded – IV only</v>
      </c>
      <c r="AB588" s="19" t="n">
        <f aca="false">IFERROR(INDEX(Scoring!$M:$M,MATCH($C588&amp;"|"&amp;$E588,Scoring!$AD:$AD,0)),"")</f>
        <v>18</v>
      </c>
      <c r="AC588" s="16" t="str">
        <f aca="false">IFERROR(INDEX('Route of Administration'!$C$5:$C$155,MATCH($C588,'Route of Administration'!$A$5:$A$155,0)),"")</f>
        <v>IV</v>
      </c>
      <c r="AD588" s="15" t="str">
        <f aca="false">IFERROR(INDEX('Route of Administration'!$D$5:$D$155,MATCH($C588,'Route of Administration'!$A$5:$A$155,0)),"")</f>
        <v>No</v>
      </c>
      <c r="AE588" s="15" t="str">
        <f aca="false">IF($AD588="No","Not checked – drug is IV only",IFERROR(INDEX('Route of Administration'!$O$5:$O$170,MATCH($E588&amp;"|"&amp;$C588,'Route of Administration'!$S$5:$S$170,0)),"Not checked – price ≤ USD 5"))</f>
        <v>Not checked – drug is IV only</v>
      </c>
    </row>
    <row r="589" customFormat="false" ht="28.35" hidden="false" customHeight="false" outlineLevel="0" collapsed="false">
      <c r="B589" s="16" t="n">
        <v>587</v>
      </c>
      <c r="C589" s="16" t="s">
        <v>671</v>
      </c>
      <c r="D589" s="16" t="s">
        <v>671</v>
      </c>
      <c r="E589" s="16" t="s">
        <v>241</v>
      </c>
      <c r="F589" s="16" t="s">
        <v>2128</v>
      </c>
      <c r="G589" s="17" t="s">
        <v>2588</v>
      </c>
      <c r="H589" s="16" t="s">
        <v>1533</v>
      </c>
      <c r="I589" s="18" t="n">
        <v>10.85</v>
      </c>
      <c r="J589" s="16" t="n">
        <v>1</v>
      </c>
      <c r="K589" s="16" t="n">
        <v>106</v>
      </c>
      <c r="L589" s="19" t="n">
        <v>7074.72</v>
      </c>
      <c r="M589" s="17" t="s">
        <v>673</v>
      </c>
      <c r="N589" s="18" t="n">
        <v>10.85</v>
      </c>
      <c r="O589" s="16" t="s">
        <v>1534</v>
      </c>
      <c r="P589" s="16" t="s">
        <v>1535</v>
      </c>
      <c r="Q589" s="17" t="s">
        <v>1536</v>
      </c>
      <c r="R589" s="78" t="s">
        <v>2589</v>
      </c>
      <c r="S589" s="77" t="n">
        <f aca="false">IFERROR(INDEX('Injectable Value'!$Z$28:$Z$178,MATCH($C589,'Injectable Value'!$A$28:$A$178,0)),"")</f>
        <v>0.9375</v>
      </c>
      <c r="T589" s="19" t="n">
        <f aca="false">IFERROR(ROUND(INDEX('Injectable Value'!$AA$28:$AA$178,MATCH($C589,'Injectable Value'!$A$28:$A$178,0)),1),"")</f>
        <v>6632.6</v>
      </c>
      <c r="U589" s="17" t="s">
        <v>1375</v>
      </c>
      <c r="V589" s="16" t="n">
        <v>4</v>
      </c>
      <c r="W589" s="16" t="s">
        <v>1031</v>
      </c>
      <c r="X589" s="16" t="s">
        <v>281</v>
      </c>
      <c r="Y589" s="16" t="s">
        <v>1547</v>
      </c>
      <c r="Z589" s="17" t="str">
        <f aca="false">IFERROR(INDEX(Scoring!$U:$U,MATCH($C589&amp;"|"&amp;$E589,Scoring!$AD:$AD,0)),"")</f>
        <v>Reconstitution</v>
      </c>
      <c r="AA589" s="16" t="str">
        <f aca="false">IFERROR(INDEX(Scoring!$E:$E,MATCH($C589&amp;"|"&amp;$E589,Scoring!$AD:$AD,0)),"")</f>
        <v>Priority 2</v>
      </c>
      <c r="AB589" s="19" t="n">
        <f aca="false">IFERROR(INDEX(Scoring!$M:$M,MATCH($C589&amp;"|"&amp;$E589,Scoring!$AD:$AD,0)),"")</f>
        <v>99</v>
      </c>
      <c r="AC589" s="16" t="str">
        <f aca="false">IFERROR(INDEX('Route of Administration'!$C$5:$C$155,MATCH($C589,'Route of Administration'!$A$5:$A$155,0)),"")</f>
        <v>IV, IM</v>
      </c>
      <c r="AD589" s="15" t="str">
        <f aca="false">IFERROR(INDEX('Route of Administration'!$D$5:$D$155,MATCH($C589,'Route of Administration'!$A$5:$A$155,0)),"")</f>
        <v>Yes</v>
      </c>
      <c r="AE589" s="15" t="str">
        <f aca="false">IF($AD589="No","Not checked – drug is IV only",IFERROR(INDEX('Route of Administration'!$O$5:$O$170,MATCH($E589&amp;"|"&amp;$C589,'Route of Administration'!$S$5:$S$170,0)),"Not checked – price ≤ USD 5"))</f>
        <v>Pass</v>
      </c>
    </row>
    <row r="590" customFormat="false" ht="41.75" hidden="false" customHeight="false" outlineLevel="0" collapsed="false">
      <c r="B590" s="16" t="n">
        <v>588</v>
      </c>
      <c r="C590" s="16" t="s">
        <v>534</v>
      </c>
      <c r="D590" s="16" t="s">
        <v>534</v>
      </c>
      <c r="E590" s="16" t="s">
        <v>241</v>
      </c>
      <c r="F590" s="16" t="s">
        <v>1692</v>
      </c>
      <c r="G590" s="17" t="s">
        <v>2021</v>
      </c>
      <c r="H590" s="16" t="s">
        <v>1533</v>
      </c>
      <c r="I590" s="18" t="n">
        <v>6.61</v>
      </c>
      <c r="J590" s="16" t="n">
        <v>1</v>
      </c>
      <c r="K590" s="16" t="n">
        <v>3515</v>
      </c>
      <c r="L590" s="19" t="n">
        <v>140084.73</v>
      </c>
      <c r="M590" s="17" t="s">
        <v>535</v>
      </c>
      <c r="N590" s="18" t="n">
        <v>6.61</v>
      </c>
      <c r="O590" s="16" t="s">
        <v>1534</v>
      </c>
      <c r="P590" s="16" t="s">
        <v>1700</v>
      </c>
      <c r="Q590" s="17" t="s">
        <v>1536</v>
      </c>
      <c r="R590" s="78" t="s">
        <v>2590</v>
      </c>
      <c r="S590" s="77" t="n">
        <f aca="false">IFERROR(INDEX('Injectable Value'!$Z$28:$Z$178,MATCH($C590,'Injectable Value'!$A$28:$A$178,0)),"")</f>
        <v>0.251824206147514</v>
      </c>
      <c r="T590" s="19" t="n">
        <f aca="false">IFERROR(ROUND(INDEX('Injectable Value'!$AA$28:$AA$178,MATCH($C590,'Injectable Value'!$A$28:$A$178,0)),1),"")</f>
        <v>35276.7</v>
      </c>
      <c r="U590" s="17" t="s">
        <v>1365</v>
      </c>
      <c r="V590" s="16" t="n">
        <v>14</v>
      </c>
      <c r="W590" s="16" t="s">
        <v>334</v>
      </c>
      <c r="X590" s="16" t="s">
        <v>281</v>
      </c>
      <c r="Y590" s="16" t="s">
        <v>333</v>
      </c>
      <c r="Z590" s="17" t="str">
        <f aca="false">IFERROR(INDEX(Scoring!$U:$U,MATCH($C590&amp;"|"&amp;$E590,Scoring!$AD:$AD,0)),"")</f>
        <v>Reconstitution</v>
      </c>
      <c r="AA590" s="16" t="str">
        <f aca="false">IFERROR(INDEX(Scoring!$E:$E,MATCH($C590&amp;"|"&amp;$E590,Scoring!$AD:$AD,0)),"")</f>
        <v>Excluded – IV only</v>
      </c>
      <c r="AB590" s="19" t="n">
        <f aca="false">IFERROR(INDEX(Scoring!$M:$M,MATCH($C590&amp;"|"&amp;$E590,Scoring!$AD:$AD,0)),"")</f>
        <v>885</v>
      </c>
      <c r="AC590" s="16" t="str">
        <f aca="false">IFERROR(INDEX('Route of Administration'!$C$5:$C$155,MATCH($C590,'Route of Administration'!$A$5:$A$155,0)),"")</f>
        <v>IV</v>
      </c>
      <c r="AD590" s="15" t="str">
        <f aca="false">IFERROR(INDEX('Route of Administration'!$D$5:$D$155,MATCH($C590,'Route of Administration'!$A$5:$A$155,0)),"")</f>
        <v>No</v>
      </c>
      <c r="AE590" s="15" t="str">
        <f aca="false">IF($AD590="No","Not checked – drug is IV only",IFERROR(INDEX('Route of Administration'!$O$5:$O$170,MATCH($E590&amp;"|"&amp;$C590,'Route of Administration'!$S$5:$S$170,0)),"Not checked – price ≤ USD 5"))</f>
        <v>Not checked – drug is IV only</v>
      </c>
    </row>
    <row r="591" customFormat="false" ht="55.2" hidden="false" customHeight="false" outlineLevel="0" collapsed="false">
      <c r="B591" s="16" t="n">
        <v>589</v>
      </c>
      <c r="C591" s="16" t="s">
        <v>483</v>
      </c>
      <c r="D591" s="16" t="s">
        <v>483</v>
      </c>
      <c r="E591" s="16" t="s">
        <v>241</v>
      </c>
      <c r="F591" s="16" t="s">
        <v>2031</v>
      </c>
      <c r="G591" s="17" t="s">
        <v>2548</v>
      </c>
      <c r="H591" s="16" t="s">
        <v>1533</v>
      </c>
      <c r="I591" s="18" t="n">
        <v>10.97</v>
      </c>
      <c r="J591" s="16" t="n">
        <v>1</v>
      </c>
      <c r="K591" s="16" t="n">
        <v>1185</v>
      </c>
      <c r="L591" s="19" t="n">
        <v>59407.06</v>
      </c>
      <c r="M591" s="17" t="s">
        <v>485</v>
      </c>
      <c r="N591" s="18" t="n">
        <v>10.97</v>
      </c>
      <c r="O591" s="16" t="s">
        <v>1534</v>
      </c>
      <c r="P591" s="16" t="s">
        <v>1535</v>
      </c>
      <c r="Q591" s="17" t="s">
        <v>1536</v>
      </c>
      <c r="R591" s="78" t="s">
        <v>2549</v>
      </c>
      <c r="S591" s="77" t="n">
        <f aca="false">IFERROR(INDEX('Injectable Value'!$Z$28:$Z$178,MATCH($C591,'Injectable Value'!$A$28:$A$178,0)),"")</f>
        <v>0.991808067465962</v>
      </c>
      <c r="T591" s="19" t="n">
        <f aca="false">IFERROR(ROUND(INDEX('Injectable Value'!$AA$28:$AA$178,MATCH($C591,'Injectable Value'!$A$28:$A$178,0)),1),"")</f>
        <v>58920.4</v>
      </c>
      <c r="U591" s="17" t="s">
        <v>1356</v>
      </c>
      <c r="V591" s="16" t="n">
        <v>18</v>
      </c>
      <c r="W591" s="16" t="s">
        <v>1355</v>
      </c>
      <c r="X591" s="16" t="s">
        <v>281</v>
      </c>
      <c r="Y591" s="16" t="s">
        <v>310</v>
      </c>
      <c r="Z591" s="17" t="str">
        <f aca="false">IFERROR(INDEX(Scoring!$U:$U,MATCH($C591&amp;"|"&amp;$E591,Scoring!$AD:$AD,0)),"")</f>
        <v>Reconstitution</v>
      </c>
      <c r="AA591" s="16" t="str">
        <f aca="false">IFERROR(INDEX(Scoring!$E:$E,MATCH($C591&amp;"|"&amp;$E591,Scoring!$AD:$AD,0)),"")</f>
        <v>Excluded – IV only</v>
      </c>
      <c r="AB591" s="19" t="n">
        <f aca="false">IFERROR(INDEX(Scoring!$M:$M,MATCH($C591&amp;"|"&amp;$E591,Scoring!$AD:$AD,0)),"")</f>
        <v>1175</v>
      </c>
      <c r="AC591" s="16" t="str">
        <f aca="false">IFERROR(INDEX('Route of Administration'!$C$5:$C$155,MATCH($C591,'Route of Administration'!$A$5:$A$155,0)),"")</f>
        <v>IV</v>
      </c>
      <c r="AD591" s="15" t="str">
        <f aca="false">IFERROR(INDEX('Route of Administration'!$D$5:$D$155,MATCH($C591,'Route of Administration'!$A$5:$A$155,0)),"")</f>
        <v>No</v>
      </c>
      <c r="AE591" s="15" t="str">
        <f aca="false">IF($AD591="No","Not checked – drug is IV only",IFERROR(INDEX('Route of Administration'!$O$5:$O$170,MATCH($E591&amp;"|"&amp;$C591,'Route of Administration'!$S$5:$S$170,0)),"Not checked – price ≤ USD 5"))</f>
        <v>Not checked – drug is IV only</v>
      </c>
    </row>
    <row r="592" customFormat="false" ht="95.5" hidden="false" customHeight="false" outlineLevel="0" collapsed="false">
      <c r="B592" s="16" t="n">
        <v>590</v>
      </c>
      <c r="C592" s="16" t="s">
        <v>338</v>
      </c>
      <c r="D592" s="16" t="s">
        <v>2576</v>
      </c>
      <c r="E592" s="16" t="s">
        <v>241</v>
      </c>
      <c r="F592" s="16" t="s">
        <v>1703</v>
      </c>
      <c r="G592" s="17" t="s">
        <v>1681</v>
      </c>
      <c r="H592" s="16" t="s">
        <v>1533</v>
      </c>
      <c r="I592" s="18" t="n">
        <v>1444.1174</v>
      </c>
      <c r="J592" s="16" t="n">
        <v>29</v>
      </c>
      <c r="K592" s="16" t="n">
        <v>905</v>
      </c>
      <c r="L592" s="19" t="n">
        <v>28093.38</v>
      </c>
      <c r="M592" s="17" t="s">
        <v>340</v>
      </c>
      <c r="N592" s="18" t="n">
        <v>1444.1174</v>
      </c>
      <c r="O592" s="16" t="s">
        <v>1534</v>
      </c>
      <c r="P592" s="16" t="s">
        <v>1700</v>
      </c>
      <c r="Q592" s="17" t="s">
        <v>1536</v>
      </c>
      <c r="R592" s="78" t="s">
        <v>1701</v>
      </c>
      <c r="S592" s="77" t="n">
        <f aca="false">IFERROR(INDEX('Injectable Value'!$Z$28:$Z$178,MATCH($C592,'Injectable Value'!$A$28:$A$178,0)),"")</f>
        <v>1</v>
      </c>
      <c r="T592" s="19" t="n">
        <f aca="false">IFERROR(ROUND(INDEX('Injectable Value'!$AA$28:$AA$178,MATCH($C592,'Injectable Value'!$A$28:$A$178,0)),1),"")</f>
        <v>28093.4</v>
      </c>
      <c r="U592" s="17" t="s">
        <v>1335</v>
      </c>
      <c r="V592" s="16" t="n">
        <v>34</v>
      </c>
      <c r="W592" s="16" t="s">
        <v>537</v>
      </c>
      <c r="X592" s="16" t="s">
        <v>281</v>
      </c>
      <c r="Y592" s="16" t="s">
        <v>333</v>
      </c>
      <c r="Z592" s="17" t="str">
        <f aca="false">IFERROR(INDEX(Scoring!$U:$U,MATCH($C592&amp;"|"&amp;$E592,Scoring!$AD:$AD,0)),"")</f>
        <v>Cancer drug (cytotoxic) – less relevant; Reconstitution</v>
      </c>
      <c r="AA592" s="16" t="str">
        <f aca="false">IFERROR(INDEX(Scoring!$E:$E,MATCH($C592&amp;"|"&amp;$E592,Scoring!$AD:$AD,0)),"")</f>
        <v>Priority 1</v>
      </c>
      <c r="AB592" s="19" t="n">
        <f aca="false">IFERROR(INDEX(Scoring!$M:$M,MATCH($C592&amp;"|"&amp;$E592,Scoring!$AD:$AD,0)),"")</f>
        <v>905</v>
      </c>
      <c r="AC592" s="16" t="str">
        <f aca="false">IFERROR(INDEX('Route of Administration'!$C$5:$C$155,MATCH($C592,'Route of Administration'!$A$5:$A$155,0)),"")</f>
        <v>IV, SC</v>
      </c>
      <c r="AD592" s="15" t="str">
        <f aca="false">IFERROR(INDEX('Route of Administration'!$D$5:$D$155,MATCH($C592,'Route of Administration'!$A$5:$A$155,0)),"")</f>
        <v>Yes</v>
      </c>
      <c r="AE592" s="15" t="str">
        <f aca="false">IF($AD592="No","Not checked – drug is IV only",IFERROR(INDEX('Route of Administration'!$O$5:$O$170,MATCH($E592&amp;"|"&amp;$C592,'Route of Administration'!$S$5:$S$170,0)),"Not checked – price ≤ USD 5"))</f>
        <v>Pass</v>
      </c>
    </row>
    <row r="593" customFormat="false" ht="28.35" hidden="false" customHeight="false" outlineLevel="0" collapsed="false">
      <c r="B593" s="16" t="n">
        <v>591</v>
      </c>
      <c r="C593" s="16" t="s">
        <v>804</v>
      </c>
      <c r="D593" s="16" t="s">
        <v>2591</v>
      </c>
      <c r="E593" s="16" t="s">
        <v>241</v>
      </c>
      <c r="F593" s="16" t="s">
        <v>2043</v>
      </c>
      <c r="G593" s="17" t="s">
        <v>2021</v>
      </c>
      <c r="H593" s="16" t="s">
        <v>1533</v>
      </c>
      <c r="I593" s="18" t="n">
        <v>7.2659</v>
      </c>
      <c r="J593" s="16" t="n">
        <v>31</v>
      </c>
      <c r="K593" s="16" t="n">
        <v>3168</v>
      </c>
      <c r="L593" s="19" t="n">
        <v>130453.11</v>
      </c>
      <c r="M593" s="17" t="s">
        <v>806</v>
      </c>
      <c r="N593" s="18" t="n">
        <v>7.2659</v>
      </c>
      <c r="O593" s="16" t="s">
        <v>1534</v>
      </c>
      <c r="P593" s="16" t="s">
        <v>1700</v>
      </c>
      <c r="Q593" s="17" t="s">
        <v>1536</v>
      </c>
      <c r="R593" s="78" t="s">
        <v>1701</v>
      </c>
      <c r="S593" s="77" t="n">
        <f aca="false">IFERROR(INDEX('Injectable Value'!$Z$28:$Z$178,MATCH($C593,'Injectable Value'!$A$28:$A$178,0)),"")</f>
        <v>0.103608949323645</v>
      </c>
      <c r="T593" s="19" t="n">
        <f aca="false">IFERROR(ROUND(INDEX('Injectable Value'!$AA$28:$AA$178,MATCH($C593,'Injectable Value'!$A$28:$A$178,0)),1),"")</f>
        <v>13516.1</v>
      </c>
      <c r="U593" s="17" t="s">
        <v>1345</v>
      </c>
      <c r="V593" s="16" t="n">
        <v>10</v>
      </c>
      <c r="W593" s="16" t="s">
        <v>808</v>
      </c>
      <c r="X593" s="16" t="s">
        <v>281</v>
      </c>
      <c r="Y593" s="16" t="s">
        <v>333</v>
      </c>
      <c r="Z593" s="17" t="str">
        <f aca="false">IFERROR(INDEX(Scoring!$U:$U,MATCH($C593&amp;"|"&amp;$E593,Scoring!$AD:$AD,0)),"")</f>
        <v>Reconstitution</v>
      </c>
      <c r="AA593" s="16" t="str">
        <f aca="false">IFERROR(INDEX(Scoring!$E:$E,MATCH($C593&amp;"|"&amp;$E593,Scoring!$AD:$AD,0)),"")</f>
        <v>Excluded – IV only</v>
      </c>
      <c r="AB593" s="19" t="n">
        <f aca="false">IFERROR(INDEX(Scoring!$M:$M,MATCH($C593&amp;"|"&amp;$E593,Scoring!$AD:$AD,0)),"")</f>
        <v>328</v>
      </c>
      <c r="AC593" s="16" t="str">
        <f aca="false">IFERROR(INDEX('Route of Administration'!$C$5:$C$155,MATCH($C593,'Route of Administration'!$A$5:$A$155,0)),"")</f>
        <v>IV</v>
      </c>
      <c r="AD593" s="15" t="str">
        <f aca="false">IFERROR(INDEX('Route of Administration'!$D$5:$D$155,MATCH($C593,'Route of Administration'!$A$5:$A$155,0)),"")</f>
        <v>No</v>
      </c>
      <c r="AE593" s="15" t="str">
        <f aca="false">IF($AD593="No","Not checked – drug is IV only",IFERROR(INDEX('Route of Administration'!$O$5:$O$170,MATCH($E593&amp;"|"&amp;$C593,'Route of Administration'!$S$5:$S$170,0)),"Not checked – price ≤ USD 5"))</f>
        <v>Not checked – drug is IV only</v>
      </c>
    </row>
    <row r="594" customFormat="false" ht="28.35" hidden="false" customHeight="false" outlineLevel="0" collapsed="false">
      <c r="B594" s="16" t="n">
        <v>592</v>
      </c>
      <c r="C594" s="16" t="s">
        <v>295</v>
      </c>
      <c r="D594" s="16" t="s">
        <v>1347</v>
      </c>
      <c r="E594" s="16" t="s">
        <v>241</v>
      </c>
      <c r="F594" s="16" t="s">
        <v>2099</v>
      </c>
      <c r="G594" s="17" t="s">
        <v>1729</v>
      </c>
      <c r="H594" s="16" t="s">
        <v>1540</v>
      </c>
      <c r="I594" s="18" t="n">
        <v>531.8684</v>
      </c>
      <c r="J594" s="16" t="n">
        <v>31</v>
      </c>
      <c r="K594" s="16" t="n">
        <v>146</v>
      </c>
      <c r="L594" s="19" t="n">
        <v>11366.06</v>
      </c>
      <c r="M594" s="17" t="s">
        <v>296</v>
      </c>
      <c r="N594" s="18" t="n">
        <v>531.8684</v>
      </c>
      <c r="O594" s="16" t="s">
        <v>1534</v>
      </c>
      <c r="P594" s="16" t="s">
        <v>1561</v>
      </c>
      <c r="Q594" s="17" t="s">
        <v>1536</v>
      </c>
      <c r="R594" s="78" t="s">
        <v>1701</v>
      </c>
      <c r="S594" s="77" t="n">
        <f aca="false">IFERROR(INDEX('Injectable Value'!$Z$28:$Z$178,MATCH($C594,'Injectable Value'!$A$28:$A$178,0)),"")</f>
        <v>1</v>
      </c>
      <c r="T594" s="19" t="n">
        <f aca="false">IFERROR(ROUND(INDEX('Injectable Value'!$AA$28:$AA$178,MATCH($C594,'Injectable Value'!$A$28:$A$178,0)),1),"")</f>
        <v>11366.1</v>
      </c>
      <c r="U594" s="17" t="s">
        <v>1348</v>
      </c>
      <c r="V594" s="16" t="n">
        <v>7</v>
      </c>
      <c r="W594" s="16" t="s">
        <v>1031</v>
      </c>
      <c r="X594" s="16" t="s">
        <v>291</v>
      </c>
      <c r="Y594" s="16" t="s">
        <v>283</v>
      </c>
      <c r="Z594" s="17" t="str">
        <f aca="false">IFERROR(INDEX(Scoring!$U:$U,MATCH($C594&amp;"|"&amp;$E594,Scoring!$AD:$AD,0)),"")</f>
        <v>Prefilled only</v>
      </c>
      <c r="AA594" s="16" t="str">
        <f aca="false">IFERROR(INDEX(Scoring!$E:$E,MATCH($C594&amp;"|"&amp;$E594,Scoring!$AD:$AD,0)),"")</f>
        <v>Priority 1</v>
      </c>
      <c r="AB594" s="19" t="n">
        <f aca="false">IFERROR(INDEX(Scoring!$M:$M,MATCH($C594&amp;"|"&amp;$E594,Scoring!$AD:$AD,0)),"")</f>
        <v>146</v>
      </c>
      <c r="AC594" s="16" t="str">
        <f aca="false">IFERROR(INDEX('Route of Administration'!$C$5:$C$155,MATCH($C594,'Route of Administration'!$A$5:$A$155,0)),"")</f>
        <v>IM</v>
      </c>
      <c r="AD594" s="15" t="str">
        <f aca="false">IFERROR(INDEX('Route of Administration'!$D$5:$D$155,MATCH($C594,'Route of Administration'!$A$5:$A$155,0)),"")</f>
        <v>Yes</v>
      </c>
      <c r="AE594" s="15" t="str">
        <f aca="false">IF($AD594="No","Not checked – drug is IV only",IFERROR(INDEX('Route of Administration'!$O$5:$O$170,MATCH($E594&amp;"|"&amp;$C594,'Route of Administration'!$S$5:$S$170,0)),"Not checked – price ≤ USD 5"))</f>
        <v>Pass</v>
      </c>
    </row>
    <row r="595" customFormat="false" ht="28.35" hidden="false" customHeight="false" outlineLevel="0" collapsed="false">
      <c r="B595" s="16" t="n">
        <v>593</v>
      </c>
      <c r="C595" s="16" t="s">
        <v>476</v>
      </c>
      <c r="D595" s="16" t="s">
        <v>2592</v>
      </c>
      <c r="E595" s="16" t="s">
        <v>241</v>
      </c>
      <c r="F595" s="16" t="s">
        <v>1730</v>
      </c>
      <c r="G595" s="17" t="s">
        <v>2026</v>
      </c>
      <c r="H595" s="16" t="s">
        <v>1533</v>
      </c>
      <c r="I595" s="18" t="n">
        <v>95.2025</v>
      </c>
      <c r="J595" s="16" t="n">
        <v>28</v>
      </c>
      <c r="K595" s="16" t="n">
        <v>257</v>
      </c>
      <c r="L595" s="19" t="n">
        <v>4183.29</v>
      </c>
      <c r="M595" s="17" t="s">
        <v>478</v>
      </c>
      <c r="N595" s="18" t="n">
        <v>95.2025</v>
      </c>
      <c r="O595" s="16" t="s">
        <v>1534</v>
      </c>
      <c r="P595" s="16" t="s">
        <v>1700</v>
      </c>
      <c r="Q595" s="17" t="s">
        <v>1536</v>
      </c>
      <c r="R595" s="78" t="s">
        <v>1701</v>
      </c>
      <c r="S595" s="77" t="n">
        <f aca="false">IFERROR(INDEX('Injectable Value'!$Z$28:$Z$178,MATCH($C595,'Injectable Value'!$A$28:$A$178,0)),"")</f>
        <v>0.689888576486515</v>
      </c>
      <c r="T595" s="19" t="n">
        <f aca="false">IFERROR(ROUND(INDEX('Injectable Value'!$AA$28:$AA$178,MATCH($C595,'Injectable Value'!$A$28:$A$178,0)),1),"")</f>
        <v>2886</v>
      </c>
      <c r="U595" s="17" t="s">
        <v>1351</v>
      </c>
      <c r="V595" s="16" t="n">
        <v>9</v>
      </c>
      <c r="W595" s="16" t="s">
        <v>1350</v>
      </c>
      <c r="X595" s="16" t="s">
        <v>281</v>
      </c>
      <c r="Y595" s="16" t="s">
        <v>283</v>
      </c>
      <c r="Z595" s="17" t="str">
        <f aca="false">IFERROR(INDEX(Scoring!$U:$U,MATCH($C595&amp;"|"&amp;$E595,Scoring!$AD:$AD,0)),"")</f>
        <v>Cancer drug (cytotoxic) – less relevant; Reconstitution</v>
      </c>
      <c r="AA595" s="16" t="str">
        <f aca="false">IFERROR(INDEX(Scoring!$E:$E,MATCH($C595&amp;"|"&amp;$E595,Scoring!$AD:$AD,0)),"")</f>
        <v>Excluded – IV only</v>
      </c>
      <c r="AB595" s="19" t="n">
        <f aca="false">IFERROR(INDEX(Scoring!$M:$M,MATCH($C595&amp;"|"&amp;$E595,Scoring!$AD:$AD,0)),"")</f>
        <v>177</v>
      </c>
      <c r="AC595" s="16" t="str">
        <f aca="false">IFERROR(INDEX('Route of Administration'!$C$5:$C$155,MATCH($C595,'Route of Administration'!$A$5:$A$155,0)),"")</f>
        <v>IV</v>
      </c>
      <c r="AD595" s="15" t="str">
        <f aca="false">IFERROR(INDEX('Route of Administration'!$D$5:$D$155,MATCH($C595,'Route of Administration'!$A$5:$A$155,0)),"")</f>
        <v>No</v>
      </c>
      <c r="AE595" s="15" t="str">
        <f aca="false">IF($AD595="No","Not checked – drug is IV only",IFERROR(INDEX('Route of Administration'!$O$5:$O$170,MATCH($E595&amp;"|"&amp;$C595,'Route of Administration'!$S$5:$S$170,0)),"Not checked – price ≤ USD 5"))</f>
        <v>Not checked – drug is IV only</v>
      </c>
    </row>
    <row r="596" customFormat="false" ht="55.2" hidden="false" customHeight="false" outlineLevel="0" collapsed="false">
      <c r="B596" s="16" t="n">
        <v>594</v>
      </c>
      <c r="C596" s="16" t="s">
        <v>483</v>
      </c>
      <c r="D596" s="16" t="s">
        <v>2593</v>
      </c>
      <c r="E596" s="16" t="s">
        <v>241</v>
      </c>
      <c r="F596" s="16" t="s">
        <v>2594</v>
      </c>
      <c r="G596" s="17" t="s">
        <v>2595</v>
      </c>
      <c r="H596" s="16" t="s">
        <v>1533</v>
      </c>
      <c r="I596" s="18" t="n">
        <v>12.0797</v>
      </c>
      <c r="J596" s="16" t="n">
        <v>29</v>
      </c>
      <c r="K596" s="16" t="n">
        <v>1185</v>
      </c>
      <c r="L596" s="19" t="n">
        <v>59407.06</v>
      </c>
      <c r="M596" s="17" t="s">
        <v>485</v>
      </c>
      <c r="N596" s="18" t="n">
        <v>12.0797</v>
      </c>
      <c r="O596" s="16" t="s">
        <v>1534</v>
      </c>
      <c r="P596" s="16" t="s">
        <v>1561</v>
      </c>
      <c r="Q596" s="17" t="s">
        <v>1536</v>
      </c>
      <c r="R596" s="78" t="s">
        <v>1701</v>
      </c>
      <c r="S596" s="77" t="n">
        <f aca="false">IFERROR(INDEX('Injectable Value'!$Z$28:$Z$178,MATCH($C596,'Injectable Value'!$A$28:$A$178,0)),"")</f>
        <v>0.991808067465962</v>
      </c>
      <c r="T596" s="19" t="n">
        <f aca="false">IFERROR(ROUND(INDEX('Injectable Value'!$AA$28:$AA$178,MATCH($C596,'Injectable Value'!$A$28:$A$178,0)),1),"")</f>
        <v>58920.4</v>
      </c>
      <c r="U596" s="17" t="s">
        <v>1356</v>
      </c>
      <c r="V596" s="16" t="n">
        <v>18</v>
      </c>
      <c r="W596" s="16" t="s">
        <v>1355</v>
      </c>
      <c r="X596" s="16" t="s">
        <v>281</v>
      </c>
      <c r="Y596" s="16" t="s">
        <v>359</v>
      </c>
      <c r="Z596" s="17" t="str">
        <f aca="false">IFERROR(INDEX(Scoring!$U:$U,MATCH($C596&amp;"|"&amp;$E596,Scoring!$AD:$AD,0)),"")</f>
        <v>Reconstitution</v>
      </c>
      <c r="AA596" s="16" t="str">
        <f aca="false">IFERROR(INDEX(Scoring!$E:$E,MATCH($C596&amp;"|"&amp;$E596,Scoring!$AD:$AD,0)),"")</f>
        <v>Excluded – IV only</v>
      </c>
      <c r="AB596" s="19" t="n">
        <f aca="false">IFERROR(INDEX(Scoring!$M:$M,MATCH($C596&amp;"|"&amp;$E596,Scoring!$AD:$AD,0)),"")</f>
        <v>1175</v>
      </c>
      <c r="AC596" s="16" t="str">
        <f aca="false">IFERROR(INDEX('Route of Administration'!$C$5:$C$155,MATCH($C596,'Route of Administration'!$A$5:$A$155,0)),"")</f>
        <v>IV</v>
      </c>
      <c r="AD596" s="15" t="str">
        <f aca="false">IFERROR(INDEX('Route of Administration'!$D$5:$D$155,MATCH($C596,'Route of Administration'!$A$5:$A$155,0)),"")</f>
        <v>No</v>
      </c>
      <c r="AE596" s="15" t="str">
        <f aca="false">IF($AD596="No","Not checked – drug is IV only",IFERROR(INDEX('Route of Administration'!$O$5:$O$170,MATCH($E596&amp;"|"&amp;$C596,'Route of Administration'!$S$5:$S$170,0)),"Not checked – price ≤ USD 5"))</f>
        <v>Not checked – drug is IV only</v>
      </c>
    </row>
    <row r="597" customFormat="false" ht="55.2" hidden="false" customHeight="false" outlineLevel="0" collapsed="false">
      <c r="B597" s="16" t="n">
        <v>595</v>
      </c>
      <c r="C597" s="16" t="s">
        <v>483</v>
      </c>
      <c r="D597" s="16" t="s">
        <v>2596</v>
      </c>
      <c r="E597" s="16" t="s">
        <v>241</v>
      </c>
      <c r="F597" s="16" t="s">
        <v>2594</v>
      </c>
      <c r="G597" s="17" t="s">
        <v>2595</v>
      </c>
      <c r="H597" s="16" t="s">
        <v>1533</v>
      </c>
      <c r="I597" s="18" t="n">
        <v>12.0797</v>
      </c>
      <c r="J597" s="16" t="n">
        <v>30</v>
      </c>
      <c r="K597" s="16" t="n">
        <v>1185</v>
      </c>
      <c r="L597" s="19" t="n">
        <v>59407.06</v>
      </c>
      <c r="M597" s="17" t="s">
        <v>485</v>
      </c>
      <c r="N597" s="18" t="n">
        <v>12.0797</v>
      </c>
      <c r="O597" s="16" t="s">
        <v>1534</v>
      </c>
      <c r="P597" s="16" t="s">
        <v>1561</v>
      </c>
      <c r="Q597" s="17" t="s">
        <v>1536</v>
      </c>
      <c r="R597" s="78" t="s">
        <v>1701</v>
      </c>
      <c r="S597" s="77" t="n">
        <f aca="false">IFERROR(INDEX('Injectable Value'!$Z$28:$Z$178,MATCH($C597,'Injectable Value'!$A$28:$A$178,0)),"")</f>
        <v>0.991808067465962</v>
      </c>
      <c r="T597" s="19" t="n">
        <f aca="false">IFERROR(ROUND(INDEX('Injectable Value'!$AA$28:$AA$178,MATCH($C597,'Injectable Value'!$A$28:$A$178,0)),1),"")</f>
        <v>58920.4</v>
      </c>
      <c r="U597" s="17" t="s">
        <v>1356</v>
      </c>
      <c r="V597" s="16" t="n">
        <v>18</v>
      </c>
      <c r="W597" s="16" t="s">
        <v>1355</v>
      </c>
      <c r="X597" s="16" t="s">
        <v>281</v>
      </c>
      <c r="Y597" s="16" t="s">
        <v>359</v>
      </c>
      <c r="Z597" s="17" t="str">
        <f aca="false">IFERROR(INDEX(Scoring!$U:$U,MATCH($C597&amp;"|"&amp;$E597,Scoring!$AD:$AD,0)),"")</f>
        <v>Reconstitution</v>
      </c>
      <c r="AA597" s="16" t="str">
        <f aca="false">IFERROR(INDEX(Scoring!$E:$E,MATCH($C597&amp;"|"&amp;$E597,Scoring!$AD:$AD,0)),"")</f>
        <v>Excluded – IV only</v>
      </c>
      <c r="AB597" s="19" t="n">
        <f aca="false">IFERROR(INDEX(Scoring!$M:$M,MATCH($C597&amp;"|"&amp;$E597,Scoring!$AD:$AD,0)),"")</f>
        <v>1175</v>
      </c>
      <c r="AC597" s="16" t="str">
        <f aca="false">IFERROR(INDEX('Route of Administration'!$C$5:$C$155,MATCH($C597,'Route of Administration'!$A$5:$A$155,0)),"")</f>
        <v>IV</v>
      </c>
      <c r="AD597" s="15" t="str">
        <f aca="false">IFERROR(INDEX('Route of Administration'!$D$5:$D$155,MATCH($C597,'Route of Administration'!$A$5:$A$155,0)),"")</f>
        <v>No</v>
      </c>
      <c r="AE597" s="15" t="str">
        <f aca="false">IF($AD597="No","Not checked – drug is IV only",IFERROR(INDEX('Route of Administration'!$O$5:$O$170,MATCH($E597&amp;"|"&amp;$C597,'Route of Administration'!$S$5:$S$170,0)),"Not checked – price ≤ USD 5"))</f>
        <v>Not checked – drug is IV only</v>
      </c>
    </row>
    <row r="598" customFormat="false" ht="41.75" hidden="false" customHeight="false" outlineLevel="0" collapsed="false">
      <c r="B598" s="16" t="n">
        <v>596</v>
      </c>
      <c r="C598" s="16" t="s">
        <v>534</v>
      </c>
      <c r="D598" s="16" t="s">
        <v>2597</v>
      </c>
      <c r="E598" s="16" t="s">
        <v>241</v>
      </c>
      <c r="F598" s="16" t="s">
        <v>2043</v>
      </c>
      <c r="G598" s="17" t="s">
        <v>2021</v>
      </c>
      <c r="H598" s="16" t="s">
        <v>1533</v>
      </c>
      <c r="I598" s="18" t="n">
        <v>5.5596</v>
      </c>
      <c r="J598" s="16" t="n">
        <v>31</v>
      </c>
      <c r="K598" s="16" t="n">
        <v>3515</v>
      </c>
      <c r="L598" s="19" t="n">
        <v>140084.73</v>
      </c>
      <c r="M598" s="17" t="s">
        <v>535</v>
      </c>
      <c r="N598" s="18" t="n">
        <v>5.5596</v>
      </c>
      <c r="O598" s="16" t="s">
        <v>1534</v>
      </c>
      <c r="P598" s="16" t="s">
        <v>1700</v>
      </c>
      <c r="Q598" s="17" t="s">
        <v>1536</v>
      </c>
      <c r="R598" s="78" t="s">
        <v>1701</v>
      </c>
      <c r="S598" s="77" t="n">
        <f aca="false">IFERROR(INDEX('Injectable Value'!$Z$28:$Z$178,MATCH($C598,'Injectable Value'!$A$28:$A$178,0)),"")</f>
        <v>0.251824206147514</v>
      </c>
      <c r="T598" s="19" t="n">
        <f aca="false">IFERROR(ROUND(INDEX('Injectable Value'!$AA$28:$AA$178,MATCH($C598,'Injectable Value'!$A$28:$A$178,0)),1),"")</f>
        <v>35276.7</v>
      </c>
      <c r="U598" s="17" t="s">
        <v>1365</v>
      </c>
      <c r="V598" s="16" t="n">
        <v>14</v>
      </c>
      <c r="W598" s="16" t="s">
        <v>334</v>
      </c>
      <c r="X598" s="16" t="s">
        <v>281</v>
      </c>
      <c r="Y598" s="16" t="s">
        <v>333</v>
      </c>
      <c r="Z598" s="17" t="str">
        <f aca="false">IFERROR(INDEX(Scoring!$U:$U,MATCH($C598&amp;"|"&amp;$E598,Scoring!$AD:$AD,0)),"")</f>
        <v>Reconstitution</v>
      </c>
      <c r="AA598" s="16" t="str">
        <f aca="false">IFERROR(INDEX(Scoring!$E:$E,MATCH($C598&amp;"|"&amp;$E598,Scoring!$AD:$AD,0)),"")</f>
        <v>Excluded – IV only</v>
      </c>
      <c r="AB598" s="19" t="n">
        <f aca="false">IFERROR(INDEX(Scoring!$M:$M,MATCH($C598&amp;"|"&amp;$E598,Scoring!$AD:$AD,0)),"")</f>
        <v>885</v>
      </c>
      <c r="AC598" s="16" t="str">
        <f aca="false">IFERROR(INDEX('Route of Administration'!$C$5:$C$155,MATCH($C598,'Route of Administration'!$A$5:$A$155,0)),"")</f>
        <v>IV</v>
      </c>
      <c r="AD598" s="15" t="str">
        <f aca="false">IFERROR(INDEX('Route of Administration'!$D$5:$D$155,MATCH($C598,'Route of Administration'!$A$5:$A$155,0)),"")</f>
        <v>No</v>
      </c>
      <c r="AE598" s="15" t="str">
        <f aca="false">IF($AD598="No","Not checked – drug is IV only",IFERROR(INDEX('Route of Administration'!$O$5:$O$170,MATCH($E598&amp;"|"&amp;$C598,'Route of Administration'!$S$5:$S$170,0)),"Not checked – price ≤ USD 5"))</f>
        <v>Not checked – drug is IV only</v>
      </c>
    </row>
    <row r="599" customFormat="false" ht="28.35" hidden="false" customHeight="false" outlineLevel="0" collapsed="false">
      <c r="B599" s="16" t="n">
        <v>597</v>
      </c>
      <c r="C599" s="16" t="s">
        <v>1120</v>
      </c>
      <c r="D599" s="16" t="s">
        <v>1367</v>
      </c>
      <c r="E599" s="16" t="s">
        <v>241</v>
      </c>
      <c r="F599" s="16" t="s">
        <v>2598</v>
      </c>
      <c r="G599" s="17" t="s">
        <v>2599</v>
      </c>
      <c r="H599" s="16" t="s">
        <v>1533</v>
      </c>
      <c r="I599" s="18" t="n">
        <v>17.628</v>
      </c>
      <c r="J599" s="16" t="n">
        <v>23</v>
      </c>
      <c r="K599" s="16" t="n">
        <v>55</v>
      </c>
      <c r="L599" s="19" t="n">
        <v>6450.54</v>
      </c>
      <c r="M599" s="17" t="s">
        <v>1121</v>
      </c>
      <c r="N599" s="18" t="n">
        <v>17.628</v>
      </c>
      <c r="O599" s="16" t="s">
        <v>1534</v>
      </c>
      <c r="P599" s="16" t="s">
        <v>1535</v>
      </c>
      <c r="Q599" s="17" t="s">
        <v>1536</v>
      </c>
      <c r="R599" s="78" t="s">
        <v>2600</v>
      </c>
      <c r="S599" s="77" t="n">
        <f aca="false">IFERROR(INDEX('Injectable Value'!$Z$28:$Z$178,MATCH($C599,'Injectable Value'!$A$28:$A$178,0)),"")</f>
        <v>0.449896846448571</v>
      </c>
      <c r="T599" s="19" t="n">
        <f aca="false">IFERROR(ROUND(INDEX('Injectable Value'!$AA$28:$AA$178,MATCH($C599,'Injectable Value'!$A$28:$A$178,0)),1),"")</f>
        <v>2902.1</v>
      </c>
      <c r="U599" s="17" t="s">
        <v>1369</v>
      </c>
      <c r="V599" s="16" t="n">
        <v>2</v>
      </c>
      <c r="W599" s="16" t="s">
        <v>452</v>
      </c>
      <c r="X599" s="16" t="s">
        <v>281</v>
      </c>
      <c r="Y599" s="16" t="s">
        <v>283</v>
      </c>
      <c r="Z599" s="17" t="str">
        <f aca="false">IFERROR(INDEX(Scoring!$U:$U,MATCH($C599&amp;"|"&amp;$E599,Scoring!$AD:$AD,0)),"")</f>
        <v/>
      </c>
      <c r="AA599" s="16" t="str">
        <f aca="false">IFERROR(INDEX(Scoring!$E:$E,MATCH($C599&amp;"|"&amp;$E599,Scoring!$AD:$AD,0)),"")</f>
        <v>Excluded – IV only</v>
      </c>
      <c r="AB599" s="19" t="n">
        <f aca="false">IFERROR(INDEX(Scoring!$M:$M,MATCH($C599&amp;"|"&amp;$E599,Scoring!$AD:$AD,0)),"")</f>
        <v>25</v>
      </c>
      <c r="AC599" s="16" t="str">
        <f aca="false">IFERROR(INDEX('Route of Administration'!$C$5:$C$155,MATCH($C599,'Route of Administration'!$A$5:$A$155,0)),"")</f>
        <v>IV</v>
      </c>
      <c r="AD599" s="15" t="str">
        <f aca="false">IFERROR(INDEX('Route of Administration'!$D$5:$D$155,MATCH($C599,'Route of Administration'!$A$5:$A$155,0)),"")</f>
        <v>No</v>
      </c>
      <c r="AE599" s="15" t="str">
        <f aca="false">IF($AD599="No","Not checked – drug is IV only",IFERROR(INDEX('Route of Administration'!$O$5:$O$170,MATCH($E599&amp;"|"&amp;$C599,'Route of Administration'!$S$5:$S$170,0)),"Not checked – price ≤ USD 5"))</f>
        <v>Not checked – drug is IV only</v>
      </c>
    </row>
    <row r="600" customFormat="false" ht="28.35" hidden="false" customHeight="false" outlineLevel="0" collapsed="false">
      <c r="B600" s="16" t="n">
        <v>598</v>
      </c>
      <c r="C600" s="16" t="s">
        <v>671</v>
      </c>
      <c r="D600" s="16" t="s">
        <v>2601</v>
      </c>
      <c r="E600" s="16" t="s">
        <v>241</v>
      </c>
      <c r="F600" s="16" t="s">
        <v>2148</v>
      </c>
      <c r="G600" s="17" t="s">
        <v>2602</v>
      </c>
      <c r="H600" s="16" t="s">
        <v>1533</v>
      </c>
      <c r="I600" s="18" t="n">
        <v>62.2065</v>
      </c>
      <c r="J600" s="16" t="n">
        <v>26</v>
      </c>
      <c r="K600" s="16" t="n">
        <v>106</v>
      </c>
      <c r="L600" s="19" t="n">
        <v>7074.72</v>
      </c>
      <c r="M600" s="17" t="s">
        <v>673</v>
      </c>
      <c r="N600" s="18" t="n">
        <v>62.2065</v>
      </c>
      <c r="O600" s="16" t="s">
        <v>1534</v>
      </c>
      <c r="P600" s="16" t="s">
        <v>1535</v>
      </c>
      <c r="Q600" s="17" t="s">
        <v>1536</v>
      </c>
      <c r="R600" s="78" t="s">
        <v>1701</v>
      </c>
      <c r="S600" s="77" t="n">
        <f aca="false">IFERROR(INDEX('Injectable Value'!$Z$28:$Z$178,MATCH($C600,'Injectable Value'!$A$28:$A$178,0)),"")</f>
        <v>0.9375</v>
      </c>
      <c r="T600" s="19" t="n">
        <f aca="false">IFERROR(ROUND(INDEX('Injectable Value'!$AA$28:$AA$178,MATCH($C600,'Injectable Value'!$A$28:$A$178,0)),1),"")</f>
        <v>6632.6</v>
      </c>
      <c r="U600" s="17" t="s">
        <v>1375</v>
      </c>
      <c r="V600" s="16" t="n">
        <v>4</v>
      </c>
      <c r="W600" s="16" t="s">
        <v>1031</v>
      </c>
      <c r="X600" s="16" t="s">
        <v>281</v>
      </c>
      <c r="Y600" s="16" t="s">
        <v>283</v>
      </c>
      <c r="Z600" s="17" t="str">
        <f aca="false">IFERROR(INDEX(Scoring!$U:$U,MATCH($C600&amp;"|"&amp;$E600,Scoring!$AD:$AD,0)),"")</f>
        <v>Reconstitution</v>
      </c>
      <c r="AA600" s="16" t="str">
        <f aca="false">IFERROR(INDEX(Scoring!$E:$E,MATCH($C600&amp;"|"&amp;$E600,Scoring!$AD:$AD,0)),"")</f>
        <v>Priority 2</v>
      </c>
      <c r="AB600" s="19" t="n">
        <f aca="false">IFERROR(INDEX(Scoring!$M:$M,MATCH($C600&amp;"|"&amp;$E600,Scoring!$AD:$AD,0)),"")</f>
        <v>99</v>
      </c>
      <c r="AC600" s="16" t="str">
        <f aca="false">IFERROR(INDEX('Route of Administration'!$C$5:$C$155,MATCH($C600,'Route of Administration'!$A$5:$A$155,0)),"")</f>
        <v>IV, IM</v>
      </c>
      <c r="AD600" s="15" t="str">
        <f aca="false">IFERROR(INDEX('Route of Administration'!$D$5:$D$155,MATCH($C600,'Route of Administration'!$A$5:$A$155,0)),"")</f>
        <v>Yes</v>
      </c>
      <c r="AE600" s="15" t="str">
        <f aca="false">IF($AD600="No","Not checked – drug is IV only",IFERROR(INDEX('Route of Administration'!$O$5:$O$170,MATCH($E600&amp;"|"&amp;$C600,'Route of Administration'!$S$5:$S$170,0)),"Not checked – price ≤ USD 5"))</f>
        <v>Pass</v>
      </c>
    </row>
    <row r="601" customFormat="false" ht="28.35" hidden="false" customHeight="false" outlineLevel="0" collapsed="false">
      <c r="B601" s="16" t="n">
        <v>599</v>
      </c>
      <c r="C601" s="16" t="s">
        <v>1376</v>
      </c>
      <c r="D601" s="16" t="s">
        <v>2603</v>
      </c>
      <c r="E601" s="16" t="s">
        <v>241</v>
      </c>
      <c r="F601" s="16" t="s">
        <v>2604</v>
      </c>
      <c r="G601" s="17" t="s">
        <v>2586</v>
      </c>
      <c r="H601" s="16" t="s">
        <v>1533</v>
      </c>
      <c r="I601" s="18" t="n">
        <v>36.2052</v>
      </c>
      <c r="J601" s="16" t="n">
        <v>26</v>
      </c>
      <c r="K601" s="16" t="n">
        <v>18</v>
      </c>
      <c r="L601" s="19" t="n">
        <v>77.4</v>
      </c>
      <c r="M601" s="17" t="s">
        <v>1378</v>
      </c>
      <c r="N601" s="18" t="n">
        <v>36.2052</v>
      </c>
      <c r="O601" s="16" t="s">
        <v>1534</v>
      </c>
      <c r="P601" s="16" t="s">
        <v>1700</v>
      </c>
      <c r="Q601" s="17" t="s">
        <v>1536</v>
      </c>
      <c r="R601" s="78" t="s">
        <v>1701</v>
      </c>
      <c r="S601" s="77" t="n">
        <f aca="false">IFERROR(INDEX('Injectable Value'!$Z$28:$Z$178,MATCH($C601,'Injectable Value'!$A$28:$A$178,0)),"")</f>
        <v>1</v>
      </c>
      <c r="T601" s="19" t="n">
        <f aca="false">IFERROR(ROUND(INDEX('Injectable Value'!$AA$28:$AA$178,MATCH($C601,'Injectable Value'!$A$28:$A$178,0)),1),"")</f>
        <v>77.4</v>
      </c>
      <c r="U601" s="17" t="s">
        <v>1380</v>
      </c>
      <c r="V601" s="16" t="n">
        <v>11</v>
      </c>
      <c r="W601" s="16" t="s">
        <v>785</v>
      </c>
      <c r="X601" s="16" t="s">
        <v>349</v>
      </c>
      <c r="Y601" s="16" t="s">
        <v>283</v>
      </c>
      <c r="Z601" s="17" t="str">
        <f aca="false">IFERROR(INDEX(Scoring!$U:$U,MATCH($C601&amp;"|"&amp;$E601,Scoring!$AD:$AD,0)),"")</f>
        <v/>
      </c>
      <c r="AA601" s="16" t="str">
        <f aca="false">IFERROR(INDEX(Scoring!$E:$E,MATCH($C601&amp;"|"&amp;$E601,Scoring!$AD:$AD,0)),"")</f>
        <v>Excluded – IV only</v>
      </c>
      <c r="AB601" s="19" t="n">
        <f aca="false">IFERROR(INDEX(Scoring!$M:$M,MATCH($C601&amp;"|"&amp;$E601,Scoring!$AD:$AD,0)),"")</f>
        <v>18</v>
      </c>
      <c r="AC601" s="16" t="str">
        <f aca="false">IFERROR(INDEX('Route of Administration'!$C$5:$C$155,MATCH($C601,'Route of Administration'!$A$5:$A$155,0)),"")</f>
        <v>IV</v>
      </c>
      <c r="AD601" s="15" t="str">
        <f aca="false">IFERROR(INDEX('Route of Administration'!$D$5:$D$155,MATCH($C601,'Route of Administration'!$A$5:$A$155,0)),"")</f>
        <v>No</v>
      </c>
      <c r="AE601" s="15" t="str">
        <f aca="false">IF($AD601="No","Not checked – drug is IV only",IFERROR(INDEX('Route of Administration'!$O$5:$O$170,MATCH($E601&amp;"|"&amp;$C601,'Route of Administration'!$S$5:$S$170,0)),"Not checked – price ≤ USD 5"))</f>
        <v>Not checked – drug is IV only</v>
      </c>
    </row>
    <row r="602" customFormat="false" ht="41.75" hidden="false" customHeight="false" outlineLevel="0" collapsed="false">
      <c r="B602" s="16" t="n">
        <v>600</v>
      </c>
      <c r="C602" s="16" t="s">
        <v>676</v>
      </c>
      <c r="D602" s="16" t="s">
        <v>2605</v>
      </c>
      <c r="E602" s="16" t="s">
        <v>241</v>
      </c>
      <c r="F602" s="16" t="s">
        <v>2606</v>
      </c>
      <c r="G602" s="17" t="s">
        <v>1884</v>
      </c>
      <c r="H602" s="16" t="s">
        <v>1533</v>
      </c>
      <c r="I602" s="18" t="n">
        <v>25.877</v>
      </c>
      <c r="J602" s="16" t="n">
        <v>28</v>
      </c>
      <c r="K602" s="16" t="n">
        <v>188</v>
      </c>
      <c r="L602" s="19" t="n">
        <v>262.84</v>
      </c>
      <c r="M602" s="17" t="s">
        <v>678</v>
      </c>
      <c r="N602" s="18" t="n">
        <v>25.877</v>
      </c>
      <c r="O602" s="16" t="s">
        <v>1534</v>
      </c>
      <c r="P602" s="16" t="s">
        <v>1535</v>
      </c>
      <c r="Q602" s="17" t="s">
        <v>1536</v>
      </c>
      <c r="R602" s="78" t="s">
        <v>2607</v>
      </c>
      <c r="S602" s="77" t="n">
        <f aca="false">IFERROR(INDEX('Injectable Value'!$Z$28:$Z$178,MATCH($C602,'Injectable Value'!$A$28:$A$178,0)),"")</f>
        <v>0.703571428571429</v>
      </c>
      <c r="T602" s="19" t="n">
        <f aca="false">IFERROR(ROUND(INDEX('Injectable Value'!$AA$28:$AA$178,MATCH($C602,'Injectable Value'!$A$28:$A$178,0)),1),"")</f>
        <v>184.9</v>
      </c>
      <c r="U602" s="17" t="s">
        <v>1386</v>
      </c>
      <c r="V602" s="16" t="n">
        <v>12</v>
      </c>
      <c r="W602" s="16" t="s">
        <v>1385</v>
      </c>
      <c r="X602" s="16" t="s">
        <v>281</v>
      </c>
      <c r="Y602" s="16" t="s">
        <v>283</v>
      </c>
      <c r="Z602" s="17" t="str">
        <f aca="false">IFERROR(INDEX(Scoring!$U:$U,MATCH($C602&amp;"|"&amp;$E602,Scoring!$AD:$AD,0)),"")</f>
        <v/>
      </c>
      <c r="AA602" s="16" t="str">
        <f aca="false">IFERROR(INDEX(Scoring!$E:$E,MATCH($C602&amp;"|"&amp;$E602,Scoring!$AD:$AD,0)),"")</f>
        <v>Priority 2</v>
      </c>
      <c r="AB602" s="19" t="n">
        <f aca="false">IFERROR(INDEX(Scoring!$M:$M,MATCH($C602&amp;"|"&amp;$E602,Scoring!$AD:$AD,0)),"")</f>
        <v>132</v>
      </c>
      <c r="AC602" s="16" t="str">
        <f aca="false">IFERROR(INDEX('Route of Administration'!$C$5:$C$155,MATCH($C602,'Route of Administration'!$A$5:$A$155,0)),"")</f>
        <v>IM</v>
      </c>
      <c r="AD602" s="15" t="str">
        <f aca="false">IFERROR(INDEX('Route of Administration'!$D$5:$D$155,MATCH($C602,'Route of Administration'!$A$5:$A$155,0)),"")</f>
        <v>Yes</v>
      </c>
      <c r="AE602" s="15" t="str">
        <f aca="false">IF($AD602="No","Not checked – drug is IV only",IFERROR(INDEX('Route of Administration'!$O$5:$O$170,MATCH($E602&amp;"|"&amp;$C602,'Route of Administration'!$S$5:$S$170,0)),"Not checked – price ≤ USD 5"))</f>
        <v>Pass</v>
      </c>
    </row>
    <row r="603" customFormat="false" ht="28.35" hidden="false" customHeight="false" outlineLevel="0" collapsed="false">
      <c r="B603" s="16" t="n">
        <v>601</v>
      </c>
      <c r="C603" s="16" t="s">
        <v>594</v>
      </c>
      <c r="D603" s="16" t="s">
        <v>2578</v>
      </c>
      <c r="E603" s="16" t="s">
        <v>241</v>
      </c>
      <c r="F603" s="16" t="s">
        <v>2316</v>
      </c>
      <c r="G603" s="17" t="s">
        <v>2608</v>
      </c>
      <c r="H603" s="16" t="s">
        <v>1533</v>
      </c>
      <c r="I603" s="18" t="n">
        <v>18.7806</v>
      </c>
      <c r="J603" s="16" t="n">
        <v>6</v>
      </c>
      <c r="K603" s="16" t="n">
        <v>208</v>
      </c>
      <c r="L603" s="19" t="n">
        <v>3923.58</v>
      </c>
      <c r="M603" s="17" t="s">
        <v>596</v>
      </c>
      <c r="N603" s="18" t="n">
        <v>18.7806</v>
      </c>
      <c r="O603" s="16" t="s">
        <v>1534</v>
      </c>
      <c r="P603" s="16" t="s">
        <v>1561</v>
      </c>
      <c r="Q603" s="17" t="s">
        <v>1536</v>
      </c>
      <c r="R603" s="78" t="s">
        <v>2609</v>
      </c>
      <c r="S603" s="77" t="n">
        <f aca="false">IFERROR(INDEX('Injectable Value'!$Z$28:$Z$178,MATCH($C603,'Injectable Value'!$A$28:$A$178,0)),"")</f>
        <v>1</v>
      </c>
      <c r="T603" s="19" t="n">
        <f aca="false">IFERROR(ROUND(INDEX('Injectable Value'!$AA$28:$AA$178,MATCH($C603,'Injectable Value'!$A$28:$A$178,0)),1),"")</f>
        <v>3923.6</v>
      </c>
      <c r="U603" s="17" t="s">
        <v>1390</v>
      </c>
      <c r="V603" s="16" t="n">
        <v>5</v>
      </c>
      <c r="W603" s="16" t="s">
        <v>1031</v>
      </c>
      <c r="X603" s="16" t="s">
        <v>281</v>
      </c>
      <c r="Y603" s="16" t="s">
        <v>333</v>
      </c>
      <c r="Z603" s="17" t="str">
        <f aca="false">IFERROR(INDEX(Scoring!$U:$U,MATCH($C603&amp;"|"&amp;$E603,Scoring!$AD:$AD,0)),"")</f>
        <v>Reconstitution</v>
      </c>
      <c r="AA603" s="16" t="str">
        <f aca="false">IFERROR(INDEX(Scoring!$E:$E,MATCH($C603&amp;"|"&amp;$E603,Scoring!$AD:$AD,0)),"")</f>
        <v>Excluded – IV only</v>
      </c>
      <c r="AB603" s="19" t="n">
        <f aca="false">IFERROR(INDEX(Scoring!$M:$M,MATCH($C603&amp;"|"&amp;$E603,Scoring!$AD:$AD,0)),"")</f>
        <v>208</v>
      </c>
      <c r="AC603" s="16" t="str">
        <f aca="false">IFERROR(INDEX('Route of Administration'!$C$5:$C$155,MATCH($C603,'Route of Administration'!$A$5:$A$155,0)),"")</f>
        <v>IV</v>
      </c>
      <c r="AD603" s="15" t="str">
        <f aca="false">IFERROR(INDEX('Route of Administration'!$D$5:$D$155,MATCH($C603,'Route of Administration'!$A$5:$A$155,0)),"")</f>
        <v>No</v>
      </c>
      <c r="AE603" s="15" t="str">
        <f aca="false">IF($AD603="No","Not checked – drug is IV only",IFERROR(INDEX('Route of Administration'!$O$5:$O$170,MATCH($E603&amp;"|"&amp;$C603,'Route of Administration'!$S$5:$S$170,0)),"Not checked – price ≤ USD 5"))</f>
        <v>Not checked – drug is IV only</v>
      </c>
    </row>
    <row r="604" customFormat="false" ht="55.2" hidden="false" customHeight="false" outlineLevel="0" collapsed="false">
      <c r="B604" s="16" t="n">
        <v>602</v>
      </c>
      <c r="C604" s="16" t="s">
        <v>483</v>
      </c>
      <c r="D604" s="16" t="s">
        <v>2610</v>
      </c>
      <c r="E604" s="16" t="s">
        <v>241</v>
      </c>
      <c r="F604" s="16" t="s">
        <v>1757</v>
      </c>
      <c r="G604" s="17" t="s">
        <v>2611</v>
      </c>
      <c r="H604" s="16" t="s">
        <v>1533</v>
      </c>
      <c r="I604" s="18" t="n">
        <v>6.45575</v>
      </c>
      <c r="J604" s="16" t="n">
        <v>1</v>
      </c>
      <c r="K604" s="16" t="n">
        <v>1185</v>
      </c>
      <c r="L604" s="19" t="n">
        <v>59407.06</v>
      </c>
      <c r="M604" s="17" t="s">
        <v>485</v>
      </c>
      <c r="N604" s="18" t="n">
        <v>6.45575</v>
      </c>
      <c r="O604" s="16" t="s">
        <v>1534</v>
      </c>
      <c r="P604" s="16" t="s">
        <v>1700</v>
      </c>
      <c r="Q604" s="17" t="s">
        <v>1536</v>
      </c>
      <c r="R604" s="78" t="s">
        <v>2612</v>
      </c>
      <c r="S604" s="77" t="n">
        <f aca="false">IFERROR(INDEX('Injectable Value'!$Z$28:$Z$178,MATCH($C604,'Injectable Value'!$A$28:$A$178,0)),"")</f>
        <v>0.991808067465962</v>
      </c>
      <c r="T604" s="19" t="n">
        <f aca="false">IFERROR(ROUND(INDEX('Injectable Value'!$AA$28:$AA$178,MATCH($C604,'Injectable Value'!$A$28:$A$178,0)),1),"")</f>
        <v>58920.4</v>
      </c>
      <c r="U604" s="17" t="s">
        <v>1356</v>
      </c>
      <c r="V604" s="16" t="n">
        <v>18</v>
      </c>
      <c r="W604" s="16" t="s">
        <v>1355</v>
      </c>
      <c r="X604" s="16" t="s">
        <v>281</v>
      </c>
      <c r="Y604" s="16" t="s">
        <v>1547</v>
      </c>
      <c r="Z604" s="17" t="str">
        <f aca="false">IFERROR(INDEX(Scoring!$U:$U,MATCH($C604&amp;"|"&amp;$E604,Scoring!$AD:$AD,0)),"")</f>
        <v>Reconstitution</v>
      </c>
      <c r="AA604" s="16" t="str">
        <f aca="false">IFERROR(INDEX(Scoring!$E:$E,MATCH($C604&amp;"|"&amp;$E604,Scoring!$AD:$AD,0)),"")</f>
        <v>Excluded – IV only</v>
      </c>
      <c r="AB604" s="19" t="n">
        <f aca="false">IFERROR(INDEX(Scoring!$M:$M,MATCH($C604&amp;"|"&amp;$E604,Scoring!$AD:$AD,0)),"")</f>
        <v>1175</v>
      </c>
      <c r="AC604" s="16" t="str">
        <f aca="false">IFERROR(INDEX('Route of Administration'!$C$5:$C$155,MATCH($C604,'Route of Administration'!$A$5:$A$155,0)),"")</f>
        <v>IV</v>
      </c>
      <c r="AD604" s="15" t="str">
        <f aca="false">IFERROR(INDEX('Route of Administration'!$D$5:$D$155,MATCH($C604,'Route of Administration'!$A$5:$A$155,0)),"")</f>
        <v>No</v>
      </c>
      <c r="AE604" s="15" t="str">
        <f aca="false">IF($AD604="No","Not checked – drug is IV only",IFERROR(INDEX('Route of Administration'!$O$5:$O$170,MATCH($E604&amp;"|"&amp;$C604,'Route of Administration'!$S$5:$S$170,0)),"Not checked – price ≤ USD 5"))</f>
        <v>Not checked – drug is IV only</v>
      </c>
    </row>
    <row r="605" customFormat="false" ht="55.2" hidden="false" customHeight="false" outlineLevel="0" collapsed="false">
      <c r="B605" s="16" t="n">
        <v>603</v>
      </c>
      <c r="C605" s="16" t="s">
        <v>483</v>
      </c>
      <c r="D605" s="16" t="s">
        <v>2610</v>
      </c>
      <c r="E605" s="16" t="s">
        <v>241</v>
      </c>
      <c r="F605" s="16" t="s">
        <v>1760</v>
      </c>
      <c r="G605" s="17" t="s">
        <v>2613</v>
      </c>
      <c r="H605" s="16" t="s">
        <v>1533</v>
      </c>
      <c r="I605" s="18" t="n">
        <v>12.9115</v>
      </c>
      <c r="J605" s="16" t="n">
        <v>1</v>
      </c>
      <c r="K605" s="16" t="n">
        <v>1185</v>
      </c>
      <c r="L605" s="19" t="n">
        <v>59407.06</v>
      </c>
      <c r="M605" s="17" t="s">
        <v>485</v>
      </c>
      <c r="N605" s="18" t="n">
        <v>12.9115</v>
      </c>
      <c r="O605" s="16" t="s">
        <v>1534</v>
      </c>
      <c r="P605" s="16" t="s">
        <v>1700</v>
      </c>
      <c r="Q605" s="17" t="s">
        <v>1536</v>
      </c>
      <c r="R605" s="78" t="s">
        <v>2612</v>
      </c>
      <c r="S605" s="77" t="n">
        <f aca="false">IFERROR(INDEX('Injectable Value'!$Z$28:$Z$178,MATCH($C605,'Injectable Value'!$A$28:$A$178,0)),"")</f>
        <v>0.991808067465962</v>
      </c>
      <c r="T605" s="19" t="n">
        <f aca="false">IFERROR(ROUND(INDEX('Injectable Value'!$AA$28:$AA$178,MATCH($C605,'Injectable Value'!$A$28:$A$178,0)),1),"")</f>
        <v>58920.4</v>
      </c>
      <c r="U605" s="17" t="s">
        <v>1356</v>
      </c>
      <c r="V605" s="16" t="n">
        <v>18</v>
      </c>
      <c r="W605" s="16" t="s">
        <v>1355</v>
      </c>
      <c r="X605" s="16" t="s">
        <v>281</v>
      </c>
      <c r="Y605" s="16" t="s">
        <v>1547</v>
      </c>
      <c r="Z605" s="17" t="str">
        <f aca="false">IFERROR(INDEX(Scoring!$U:$U,MATCH($C605&amp;"|"&amp;$E605,Scoring!$AD:$AD,0)),"")</f>
        <v>Reconstitution</v>
      </c>
      <c r="AA605" s="16" t="str">
        <f aca="false">IFERROR(INDEX(Scoring!$E:$E,MATCH($C605&amp;"|"&amp;$E605,Scoring!$AD:$AD,0)),"")</f>
        <v>Excluded – IV only</v>
      </c>
      <c r="AB605" s="19" t="n">
        <f aca="false">IFERROR(INDEX(Scoring!$M:$M,MATCH($C605&amp;"|"&amp;$E605,Scoring!$AD:$AD,0)),"")</f>
        <v>1175</v>
      </c>
      <c r="AC605" s="16" t="str">
        <f aca="false">IFERROR(INDEX('Route of Administration'!$C$5:$C$155,MATCH($C605,'Route of Administration'!$A$5:$A$155,0)),"")</f>
        <v>IV</v>
      </c>
      <c r="AD605" s="15" t="str">
        <f aca="false">IFERROR(INDEX('Route of Administration'!$D$5:$D$155,MATCH($C605,'Route of Administration'!$A$5:$A$155,0)),"")</f>
        <v>No</v>
      </c>
      <c r="AE605" s="15" t="str">
        <f aca="false">IF($AD605="No","Not checked – drug is IV only",IFERROR(INDEX('Route of Administration'!$O$5:$O$170,MATCH($E605&amp;"|"&amp;$C605,'Route of Administration'!$S$5:$S$170,0)),"Not checked – price ≤ USD 5"))</f>
        <v>Not checked – drug is IV only</v>
      </c>
    </row>
    <row r="606" customFormat="false" ht="28.35" hidden="false" customHeight="false" outlineLevel="0" collapsed="false">
      <c r="B606" s="16" t="n">
        <v>604</v>
      </c>
      <c r="C606" s="16" t="s">
        <v>476</v>
      </c>
      <c r="D606" s="16" t="s">
        <v>2614</v>
      </c>
      <c r="E606" s="16" t="s">
        <v>241</v>
      </c>
      <c r="F606" s="16" t="s">
        <v>2057</v>
      </c>
      <c r="G606" s="17" t="s">
        <v>2615</v>
      </c>
      <c r="H606" s="16" t="s">
        <v>1533</v>
      </c>
      <c r="I606" s="18" t="n">
        <v>265.643</v>
      </c>
      <c r="J606" s="16" t="n">
        <v>1</v>
      </c>
      <c r="K606" s="16" t="n">
        <v>257</v>
      </c>
      <c r="L606" s="19" t="n">
        <v>4183.29</v>
      </c>
      <c r="M606" s="17" t="s">
        <v>478</v>
      </c>
      <c r="N606" s="18" t="n">
        <v>265.643</v>
      </c>
      <c r="O606" s="16" t="s">
        <v>1534</v>
      </c>
      <c r="P606" s="16" t="s">
        <v>1700</v>
      </c>
      <c r="Q606" s="17" t="s">
        <v>1536</v>
      </c>
      <c r="R606" s="78" t="s">
        <v>1771</v>
      </c>
      <c r="S606" s="77" t="n">
        <f aca="false">IFERROR(INDEX('Injectable Value'!$Z$28:$Z$178,MATCH($C606,'Injectable Value'!$A$28:$A$178,0)),"")</f>
        <v>0.689888576486515</v>
      </c>
      <c r="T606" s="19" t="n">
        <f aca="false">IFERROR(ROUND(INDEX('Injectable Value'!$AA$28:$AA$178,MATCH($C606,'Injectable Value'!$A$28:$A$178,0)),1),"")</f>
        <v>2886</v>
      </c>
      <c r="U606" s="17" t="s">
        <v>1351</v>
      </c>
      <c r="V606" s="16" t="n">
        <v>9</v>
      </c>
      <c r="W606" s="16" t="s">
        <v>1350</v>
      </c>
      <c r="X606" s="16" t="s">
        <v>281</v>
      </c>
      <c r="Y606" s="16" t="s">
        <v>283</v>
      </c>
      <c r="Z606" s="17" t="str">
        <f aca="false">IFERROR(INDEX(Scoring!$U:$U,MATCH($C606&amp;"|"&amp;$E606,Scoring!$AD:$AD,0)),"")</f>
        <v>Cancer drug (cytotoxic) – less relevant; Reconstitution</v>
      </c>
      <c r="AA606" s="16" t="str">
        <f aca="false">IFERROR(INDEX(Scoring!$E:$E,MATCH($C606&amp;"|"&amp;$E606,Scoring!$AD:$AD,0)),"")</f>
        <v>Excluded – IV only</v>
      </c>
      <c r="AB606" s="19" t="n">
        <f aca="false">IFERROR(INDEX(Scoring!$M:$M,MATCH($C606&amp;"|"&amp;$E606,Scoring!$AD:$AD,0)),"")</f>
        <v>177</v>
      </c>
      <c r="AC606" s="16" t="str">
        <f aca="false">IFERROR(INDEX('Route of Administration'!$C$5:$C$155,MATCH($C606,'Route of Administration'!$A$5:$A$155,0)),"")</f>
        <v>IV</v>
      </c>
      <c r="AD606" s="15" t="str">
        <f aca="false">IFERROR(INDEX('Route of Administration'!$D$5:$D$155,MATCH($C606,'Route of Administration'!$A$5:$A$155,0)),"")</f>
        <v>No</v>
      </c>
      <c r="AE606" s="15" t="str">
        <f aca="false">IF($AD606="No","Not checked – drug is IV only",IFERROR(INDEX('Route of Administration'!$O$5:$O$170,MATCH($E606&amp;"|"&amp;$C606,'Route of Administration'!$S$5:$S$170,0)),"Not checked – price ≤ USD 5"))</f>
        <v>Not checked – drug is IV only</v>
      </c>
    </row>
    <row r="607" customFormat="false" ht="28.35" hidden="false" customHeight="false" outlineLevel="0" collapsed="false">
      <c r="B607" s="16" t="n">
        <v>605</v>
      </c>
      <c r="C607" s="16" t="s">
        <v>573</v>
      </c>
      <c r="D607" s="16" t="s">
        <v>1383</v>
      </c>
      <c r="E607" s="16" t="s">
        <v>241</v>
      </c>
      <c r="F607" s="16" t="s">
        <v>1762</v>
      </c>
      <c r="G607" s="17" t="s">
        <v>2616</v>
      </c>
      <c r="H607" s="16" t="s">
        <v>1533</v>
      </c>
      <c r="I607" s="18" t="n">
        <v>24.4146</v>
      </c>
      <c r="J607" s="16" t="n">
        <v>1</v>
      </c>
      <c r="K607" s="16" t="n">
        <v>307</v>
      </c>
      <c r="L607" s="19" t="n">
        <v>7276.73</v>
      </c>
      <c r="M607" s="17" t="s">
        <v>574</v>
      </c>
      <c r="N607" s="18" t="n">
        <v>24.4146</v>
      </c>
      <c r="O607" s="16" t="s">
        <v>1534</v>
      </c>
      <c r="P607" s="16" t="s">
        <v>1700</v>
      </c>
      <c r="Q607" s="17" t="s">
        <v>1536</v>
      </c>
      <c r="R607" s="78" t="s">
        <v>2617</v>
      </c>
      <c r="S607" s="77" t="n">
        <f aca="false">IFERROR(INDEX('Injectable Value'!$Z$28:$Z$178,MATCH($C607,'Injectable Value'!$A$28:$A$178,0)),"")</f>
        <v>0.947368421052632</v>
      </c>
      <c r="T607" s="19" t="n">
        <f aca="false">IFERROR(ROUND(INDEX('Injectable Value'!$AA$28:$AA$178,MATCH($C607,'Injectable Value'!$A$28:$A$178,0)),1),"")</f>
        <v>6893.7</v>
      </c>
      <c r="U607" s="17" t="s">
        <v>464</v>
      </c>
      <c r="V607" s="16" t="n">
        <v>1</v>
      </c>
      <c r="W607" s="16" t="s">
        <v>463</v>
      </c>
      <c r="X607" s="16" t="s">
        <v>281</v>
      </c>
      <c r="Y607" s="16" t="s">
        <v>283</v>
      </c>
      <c r="Z607" s="17" t="str">
        <f aca="false">IFERROR(INDEX(Scoring!$U:$U,MATCH($C607&amp;"|"&amp;$E607,Scoring!$AD:$AD,0)),"")</f>
        <v/>
      </c>
      <c r="AA607" s="16" t="str">
        <f aca="false">IFERROR(INDEX(Scoring!$E:$E,MATCH($C607&amp;"|"&amp;$E607,Scoring!$AD:$AD,0)),"")</f>
        <v>Priority 2</v>
      </c>
      <c r="AB607" s="19" t="n">
        <f aca="false">IFERROR(INDEX(Scoring!$M:$M,MATCH($C607&amp;"|"&amp;$E607,Scoring!$AD:$AD,0)),"")</f>
        <v>291</v>
      </c>
      <c r="AC607" s="16" t="str">
        <f aca="false">IFERROR(INDEX('Route of Administration'!$C$5:$C$155,MATCH($C607,'Route of Administration'!$A$5:$A$155,0)),"")</f>
        <v>IM</v>
      </c>
      <c r="AD607" s="15" t="str">
        <f aca="false">IFERROR(INDEX('Route of Administration'!$D$5:$D$155,MATCH($C607,'Route of Administration'!$A$5:$A$155,0)),"")</f>
        <v>Yes</v>
      </c>
      <c r="AE607" s="15" t="str">
        <f aca="false">IF($AD607="No","Not checked – drug is IV only",IFERROR(INDEX('Route of Administration'!$O$5:$O$170,MATCH($E607&amp;"|"&amp;$C607,'Route of Administration'!$S$5:$S$170,0)),"Not checked – price ≤ USD 5"))</f>
        <v>Pass</v>
      </c>
    </row>
    <row r="608" customFormat="false" ht="95.5" hidden="false" customHeight="false" outlineLevel="0" collapsed="false">
      <c r="B608" s="16" t="n">
        <v>606</v>
      </c>
      <c r="C608" s="16" t="s">
        <v>338</v>
      </c>
      <c r="D608" s="16" t="s">
        <v>2618</v>
      </c>
      <c r="E608" s="16" t="s">
        <v>241</v>
      </c>
      <c r="F608" s="16" t="s">
        <v>1973</v>
      </c>
      <c r="G608" s="17" t="s">
        <v>2619</v>
      </c>
      <c r="H608" s="16" t="s">
        <v>1533</v>
      </c>
      <c r="I608" s="18" t="n">
        <v>981.694</v>
      </c>
      <c r="J608" s="16" t="n">
        <v>1</v>
      </c>
      <c r="K608" s="16" t="n">
        <v>905</v>
      </c>
      <c r="L608" s="19" t="n">
        <v>28093.38</v>
      </c>
      <c r="M608" s="17" t="s">
        <v>340</v>
      </c>
      <c r="N608" s="18" t="n">
        <v>981.694</v>
      </c>
      <c r="O608" s="16" t="s">
        <v>1534</v>
      </c>
      <c r="P608" s="16" t="s">
        <v>1700</v>
      </c>
      <c r="Q608" s="17" t="s">
        <v>1536</v>
      </c>
      <c r="R608" s="78" t="s">
        <v>1771</v>
      </c>
      <c r="S608" s="77" t="n">
        <f aca="false">IFERROR(INDEX('Injectable Value'!$Z$28:$Z$178,MATCH($C608,'Injectable Value'!$A$28:$A$178,0)),"")</f>
        <v>1</v>
      </c>
      <c r="T608" s="19" t="n">
        <f aca="false">IFERROR(ROUND(INDEX('Injectable Value'!$AA$28:$AA$178,MATCH($C608,'Injectable Value'!$A$28:$A$178,0)),1),"")</f>
        <v>28093.4</v>
      </c>
      <c r="U608" s="17" t="s">
        <v>1335</v>
      </c>
      <c r="V608" s="16" t="n">
        <v>34</v>
      </c>
      <c r="W608" s="16" t="s">
        <v>537</v>
      </c>
      <c r="X608" s="16" t="s">
        <v>281</v>
      </c>
      <c r="Y608" s="16" t="s">
        <v>283</v>
      </c>
      <c r="Z608" s="17" t="str">
        <f aca="false">IFERROR(INDEX(Scoring!$U:$U,MATCH($C608&amp;"|"&amp;$E608,Scoring!$AD:$AD,0)),"")</f>
        <v>Cancer drug (cytotoxic) – less relevant; Reconstitution</v>
      </c>
      <c r="AA608" s="16" t="str">
        <f aca="false">IFERROR(INDEX(Scoring!$E:$E,MATCH($C608&amp;"|"&amp;$E608,Scoring!$AD:$AD,0)),"")</f>
        <v>Priority 1</v>
      </c>
      <c r="AB608" s="19" t="n">
        <f aca="false">IFERROR(INDEX(Scoring!$M:$M,MATCH($C608&amp;"|"&amp;$E608,Scoring!$AD:$AD,0)),"")</f>
        <v>905</v>
      </c>
      <c r="AC608" s="16" t="str">
        <f aca="false">IFERROR(INDEX('Route of Administration'!$C$5:$C$155,MATCH($C608,'Route of Administration'!$A$5:$A$155,0)),"")</f>
        <v>IV, SC</v>
      </c>
      <c r="AD608" s="15" t="str">
        <f aca="false">IFERROR(INDEX('Route of Administration'!$D$5:$D$155,MATCH($C608,'Route of Administration'!$A$5:$A$155,0)),"")</f>
        <v>Yes</v>
      </c>
      <c r="AE608" s="15" t="str">
        <f aca="false">IF($AD608="No","Not checked – drug is IV only",IFERROR(INDEX('Route of Administration'!$O$5:$O$170,MATCH($E608&amp;"|"&amp;$C608,'Route of Administration'!$S$5:$S$170,0)),"Not checked – price ≤ USD 5"))</f>
        <v>Pass</v>
      </c>
    </row>
    <row r="609" customFormat="false" ht="28.35" hidden="false" customHeight="false" outlineLevel="0" collapsed="false">
      <c r="B609" s="16" t="n">
        <v>607</v>
      </c>
      <c r="C609" s="16" t="s">
        <v>73</v>
      </c>
      <c r="D609" s="16" t="s">
        <v>2620</v>
      </c>
      <c r="E609" s="16" t="s">
        <v>241</v>
      </c>
      <c r="F609" s="16" t="s">
        <v>2080</v>
      </c>
      <c r="G609" s="17" t="s">
        <v>2621</v>
      </c>
      <c r="H609" s="16" t="s">
        <v>2622</v>
      </c>
      <c r="I609" s="18" t="n">
        <v>176.652</v>
      </c>
      <c r="J609" s="16" t="n">
        <v>1</v>
      </c>
      <c r="K609" s="16" t="n">
        <v>1331</v>
      </c>
      <c r="L609" s="19" t="n">
        <v>23317.34</v>
      </c>
      <c r="M609" s="17" t="s">
        <v>1329</v>
      </c>
      <c r="N609" s="18" t="n">
        <v>176.652</v>
      </c>
      <c r="O609" s="16" t="s">
        <v>1534</v>
      </c>
      <c r="P609" s="16" t="s">
        <v>1535</v>
      </c>
      <c r="Q609" s="17" t="s">
        <v>1536</v>
      </c>
      <c r="R609" s="78" t="s">
        <v>1799</v>
      </c>
      <c r="S609" s="77" t="n">
        <f aca="false">IFERROR(INDEX('Injectable Value'!$Z$28:$Z$178,MATCH($C609,'Injectable Value'!$A$28:$A$178,0)),"")</f>
        <v>0.0847700746550087</v>
      </c>
      <c r="T609" s="19" t="n">
        <f aca="false">IFERROR(ROUND(INDEX('Injectable Value'!$AA$28:$AA$178,MATCH($C609,'Injectable Value'!$A$28:$A$178,0)),1),"")</f>
        <v>1976.6</v>
      </c>
      <c r="U609" s="17" t="s">
        <v>1331</v>
      </c>
      <c r="V609" s="16" t="n">
        <v>2</v>
      </c>
      <c r="W609" s="16" t="s">
        <v>1144</v>
      </c>
      <c r="X609" s="16" t="s">
        <v>281</v>
      </c>
      <c r="Y609" s="16" t="s">
        <v>333</v>
      </c>
      <c r="Z609" s="17" t="str">
        <f aca="false">IFERROR(INDEX(Scoring!$U:$U,MATCH($C609&amp;"|"&amp;$E609,Scoring!$AD:$AD,0)),"")</f>
        <v>Reconstitution</v>
      </c>
      <c r="AA609" s="16" t="str">
        <f aca="false">IFERROR(INDEX(Scoring!$E:$E,MATCH($C609&amp;"|"&amp;$E609,Scoring!$AD:$AD,0)),"")</f>
        <v>Priority 2</v>
      </c>
      <c r="AB609" s="19" t="n">
        <f aca="false">IFERROR(INDEX(Scoring!$M:$M,MATCH($C609&amp;"|"&amp;$E609,Scoring!$AD:$AD,0)),"")</f>
        <v>113</v>
      </c>
      <c r="AC609" s="16" t="str">
        <f aca="false">IFERROR(INDEX('Route of Administration'!$C$5:$C$155,MATCH($C609,'Route of Administration'!$A$5:$A$155,0)),"")</f>
        <v>IM</v>
      </c>
      <c r="AD609" s="15" t="str">
        <f aca="false">IFERROR(INDEX('Route of Administration'!$D$5:$D$155,MATCH($C609,'Route of Administration'!$A$5:$A$155,0)),"")</f>
        <v>Yes</v>
      </c>
      <c r="AE609" s="15" t="str">
        <f aca="false">IF($AD609="No","Not checked – drug is IV only",IFERROR(INDEX('Route of Administration'!$O$5:$O$170,MATCH($E609&amp;"|"&amp;$C609,'Route of Administration'!$S$5:$S$170,0)),"Not checked – price ≤ USD 5"))</f>
        <v>Pass</v>
      </c>
    </row>
    <row r="610" customFormat="false" ht="28.35" hidden="false" customHeight="false" outlineLevel="0" collapsed="false">
      <c r="B610" s="16" t="n">
        <v>608</v>
      </c>
      <c r="C610" s="16" t="s">
        <v>73</v>
      </c>
      <c r="D610" s="16" t="s">
        <v>2620</v>
      </c>
      <c r="E610" s="16" t="s">
        <v>241</v>
      </c>
      <c r="F610" s="16" t="s">
        <v>2442</v>
      </c>
      <c r="G610" s="17" t="s">
        <v>2623</v>
      </c>
      <c r="H610" s="16" t="s">
        <v>2622</v>
      </c>
      <c r="I610" s="18" t="n">
        <v>220.822</v>
      </c>
      <c r="J610" s="16" t="n">
        <v>1</v>
      </c>
      <c r="K610" s="16" t="n">
        <v>1331</v>
      </c>
      <c r="L610" s="19" t="n">
        <v>23317.34</v>
      </c>
      <c r="M610" s="17" t="s">
        <v>1329</v>
      </c>
      <c r="N610" s="18" t="n">
        <v>220.822</v>
      </c>
      <c r="O610" s="16" t="s">
        <v>1534</v>
      </c>
      <c r="P610" s="16" t="s">
        <v>1700</v>
      </c>
      <c r="Q610" s="17" t="s">
        <v>1536</v>
      </c>
      <c r="R610" s="78" t="s">
        <v>1799</v>
      </c>
      <c r="S610" s="77" t="n">
        <f aca="false">IFERROR(INDEX('Injectable Value'!$Z$28:$Z$178,MATCH($C610,'Injectable Value'!$A$28:$A$178,0)),"")</f>
        <v>0.0847700746550087</v>
      </c>
      <c r="T610" s="19" t="n">
        <f aca="false">IFERROR(ROUND(INDEX('Injectable Value'!$AA$28:$AA$178,MATCH($C610,'Injectable Value'!$A$28:$A$178,0)),1),"")</f>
        <v>1976.6</v>
      </c>
      <c r="U610" s="17" t="s">
        <v>1331</v>
      </c>
      <c r="V610" s="16" t="n">
        <v>2</v>
      </c>
      <c r="W610" s="16" t="s">
        <v>1144</v>
      </c>
      <c r="X610" s="16" t="s">
        <v>281</v>
      </c>
      <c r="Y610" s="16" t="s">
        <v>333</v>
      </c>
      <c r="Z610" s="17" t="str">
        <f aca="false">IFERROR(INDEX(Scoring!$U:$U,MATCH($C610&amp;"|"&amp;$E610,Scoring!$AD:$AD,0)),"")</f>
        <v>Reconstitution</v>
      </c>
      <c r="AA610" s="16" t="str">
        <f aca="false">IFERROR(INDEX(Scoring!$E:$E,MATCH($C610&amp;"|"&amp;$E610,Scoring!$AD:$AD,0)),"")</f>
        <v>Priority 2</v>
      </c>
      <c r="AB610" s="19" t="n">
        <f aca="false">IFERROR(INDEX(Scoring!$M:$M,MATCH($C610&amp;"|"&amp;$E610,Scoring!$AD:$AD,0)),"")</f>
        <v>113</v>
      </c>
      <c r="AC610" s="16" t="str">
        <f aca="false">IFERROR(INDEX('Route of Administration'!$C$5:$C$155,MATCH($C610,'Route of Administration'!$A$5:$A$155,0)),"")</f>
        <v>IM</v>
      </c>
      <c r="AD610" s="15" t="str">
        <f aca="false">IFERROR(INDEX('Route of Administration'!$D$5:$D$155,MATCH($C610,'Route of Administration'!$A$5:$A$155,0)),"")</f>
        <v>Yes</v>
      </c>
      <c r="AE610" s="15" t="str">
        <f aca="false">IF($AD610="No","Not checked – drug is IV only",IFERROR(INDEX('Route of Administration'!$O$5:$O$170,MATCH($E610&amp;"|"&amp;$C610,'Route of Administration'!$S$5:$S$170,0)),"Not checked – price ≤ USD 5"))</f>
        <v>Pass</v>
      </c>
    </row>
    <row r="611" customFormat="false" ht="41.75" hidden="false" customHeight="false" outlineLevel="0" collapsed="false">
      <c r="B611" s="16" t="n">
        <v>609</v>
      </c>
      <c r="C611" s="16" t="s">
        <v>676</v>
      </c>
      <c r="D611" s="16" t="s">
        <v>2624</v>
      </c>
      <c r="E611" s="16" t="s">
        <v>241</v>
      </c>
      <c r="F611" s="16" t="s">
        <v>2625</v>
      </c>
      <c r="G611" s="17" t="s">
        <v>2626</v>
      </c>
      <c r="H611" s="16" t="s">
        <v>1533</v>
      </c>
      <c r="I611" s="18" t="n">
        <v>52.717</v>
      </c>
      <c r="J611" s="16" t="n">
        <v>1</v>
      </c>
      <c r="K611" s="16" t="n">
        <v>188</v>
      </c>
      <c r="L611" s="19" t="n">
        <v>262.84</v>
      </c>
      <c r="M611" s="17" t="s">
        <v>678</v>
      </c>
      <c r="N611" s="18" t="n">
        <v>52.717</v>
      </c>
      <c r="O611" s="16" t="s">
        <v>1534</v>
      </c>
      <c r="P611" s="16" t="s">
        <v>1700</v>
      </c>
      <c r="Q611" s="17" t="s">
        <v>1536</v>
      </c>
      <c r="R611" s="78" t="s">
        <v>1799</v>
      </c>
      <c r="S611" s="77" t="n">
        <f aca="false">IFERROR(INDEX('Injectable Value'!$Z$28:$Z$178,MATCH($C611,'Injectable Value'!$A$28:$A$178,0)),"")</f>
        <v>0.703571428571429</v>
      </c>
      <c r="T611" s="19" t="n">
        <f aca="false">IFERROR(ROUND(INDEX('Injectable Value'!$AA$28:$AA$178,MATCH($C611,'Injectable Value'!$A$28:$A$178,0)),1),"")</f>
        <v>184.9</v>
      </c>
      <c r="U611" s="17" t="s">
        <v>1386</v>
      </c>
      <c r="V611" s="16" t="n">
        <v>12</v>
      </c>
      <c r="W611" s="16" t="s">
        <v>1385</v>
      </c>
      <c r="X611" s="16" t="s">
        <v>281</v>
      </c>
      <c r="Y611" s="16" t="s">
        <v>283</v>
      </c>
      <c r="Z611" s="17" t="str">
        <f aca="false">IFERROR(INDEX(Scoring!$U:$U,MATCH($C611&amp;"|"&amp;$E611,Scoring!$AD:$AD,0)),"")</f>
        <v/>
      </c>
      <c r="AA611" s="16" t="str">
        <f aca="false">IFERROR(INDEX(Scoring!$E:$E,MATCH($C611&amp;"|"&amp;$E611,Scoring!$AD:$AD,0)),"")</f>
        <v>Priority 2</v>
      </c>
      <c r="AB611" s="19" t="n">
        <f aca="false">IFERROR(INDEX(Scoring!$M:$M,MATCH($C611&amp;"|"&amp;$E611,Scoring!$AD:$AD,0)),"")</f>
        <v>132</v>
      </c>
      <c r="AC611" s="16" t="str">
        <f aca="false">IFERROR(INDEX('Route of Administration'!$C$5:$C$155,MATCH($C611,'Route of Administration'!$A$5:$A$155,0)),"")</f>
        <v>IM</v>
      </c>
      <c r="AD611" s="15" t="str">
        <f aca="false">IFERROR(INDEX('Route of Administration'!$D$5:$D$155,MATCH($C611,'Route of Administration'!$A$5:$A$155,0)),"")</f>
        <v>Yes</v>
      </c>
      <c r="AE611" s="15" t="str">
        <f aca="false">IF($AD611="No","Not checked – drug is IV only",IFERROR(INDEX('Route of Administration'!$O$5:$O$170,MATCH($E611&amp;"|"&amp;$C611,'Route of Administration'!$S$5:$S$170,0)),"Not checked – price ≤ USD 5"))</f>
        <v>Pass</v>
      </c>
    </row>
    <row r="612" customFormat="false" ht="28.35" hidden="false" customHeight="false" outlineLevel="0" collapsed="false">
      <c r="B612" s="16" t="n">
        <v>610</v>
      </c>
      <c r="C612" s="16" t="s">
        <v>1358</v>
      </c>
      <c r="D612" s="16" t="s">
        <v>1359</v>
      </c>
      <c r="E612" s="16" t="s">
        <v>241</v>
      </c>
      <c r="F612" s="16" t="s">
        <v>2627</v>
      </c>
      <c r="G612" s="17" t="s">
        <v>1863</v>
      </c>
      <c r="H612" s="16" t="s">
        <v>1533</v>
      </c>
      <c r="I612" s="18" t="n">
        <v>14.546</v>
      </c>
      <c r="J612" s="16" t="n">
        <v>1</v>
      </c>
      <c r="K612" s="16" t="n">
        <v>344</v>
      </c>
      <c r="L612" s="19" t="n">
        <v>8758.04</v>
      </c>
      <c r="M612" s="17" t="s">
        <v>1360</v>
      </c>
      <c r="N612" s="18" t="n">
        <v>14.546</v>
      </c>
      <c r="O612" s="16" t="s">
        <v>1534</v>
      </c>
      <c r="P612" s="16" t="s">
        <v>1700</v>
      </c>
      <c r="Q612" s="17" t="s">
        <v>1536</v>
      </c>
      <c r="R612" s="78" t="s">
        <v>1799</v>
      </c>
      <c r="S612" s="77" t="n">
        <f aca="false">IFERROR(INDEX('Injectable Value'!$Z$28:$Z$178,MATCH($C612,'Injectable Value'!$A$28:$A$178,0)),"")</f>
        <v>0.981298701298701</v>
      </c>
      <c r="T612" s="19" t="n">
        <f aca="false">IFERROR(ROUND(INDEX('Injectable Value'!$AA$28:$AA$178,MATCH($C612,'Injectable Value'!$A$28:$A$178,0)),1),"")</f>
        <v>8594.3</v>
      </c>
      <c r="U612" s="17" t="s">
        <v>1362</v>
      </c>
      <c r="V612" s="16" t="n">
        <v>7</v>
      </c>
      <c r="W612" s="16" t="s">
        <v>1049</v>
      </c>
      <c r="X612" s="16" t="s">
        <v>349</v>
      </c>
      <c r="Y612" s="16" t="s">
        <v>283</v>
      </c>
      <c r="Z612" s="17" t="str">
        <f aca="false">IFERROR(INDEX(Scoring!$U:$U,MATCH($C612&amp;"|"&amp;$E612,Scoring!$AD:$AD,0)),"")</f>
        <v/>
      </c>
      <c r="AA612" s="16" t="str">
        <f aca="false">IFERROR(INDEX(Scoring!$E:$E,MATCH($C612&amp;"|"&amp;$E612,Scoring!$AD:$AD,0)),"")</f>
        <v>Priority 2</v>
      </c>
      <c r="AB612" s="19" t="n">
        <f aca="false">IFERROR(INDEX(Scoring!$M:$M,MATCH($C612&amp;"|"&amp;$E612,Scoring!$AD:$AD,0)),"")</f>
        <v>338</v>
      </c>
      <c r="AC612" s="16" t="str">
        <f aca="false">IFERROR(INDEX('Route of Administration'!$C$5:$C$155,MATCH($C612,'Route of Administration'!$A$5:$A$155,0)),"")</f>
        <v>IV, SC (IM for long-acting depot)</v>
      </c>
      <c r="AD612" s="15" t="str">
        <f aca="false">IFERROR(INDEX('Route of Administration'!$D$5:$D$155,MATCH($C612,'Route of Administration'!$A$5:$A$155,0)),"")</f>
        <v>Yes</v>
      </c>
      <c r="AE612" s="15" t="str">
        <f aca="false">IF($AD612="No","Not checked – drug is IV only",IFERROR(INDEX('Route of Administration'!$O$5:$O$170,MATCH($E612&amp;"|"&amp;$C612,'Route of Administration'!$S$5:$S$170,0)),"Not checked – price ≤ USD 5"))</f>
        <v>Pass</v>
      </c>
    </row>
    <row r="613" customFormat="false" ht="28.35" hidden="false" customHeight="false" outlineLevel="0" collapsed="false">
      <c r="B613" s="16" t="n">
        <v>611</v>
      </c>
      <c r="C613" s="16" t="s">
        <v>594</v>
      </c>
      <c r="D613" s="16" t="s">
        <v>2578</v>
      </c>
      <c r="E613" s="16" t="s">
        <v>241</v>
      </c>
      <c r="F613" s="16" t="s">
        <v>2435</v>
      </c>
      <c r="G613" s="17" t="s">
        <v>2628</v>
      </c>
      <c r="H613" s="16" t="s">
        <v>1533</v>
      </c>
      <c r="I613" s="18"/>
      <c r="J613" s="16" t="n">
        <v>1</v>
      </c>
      <c r="K613" s="16" t="n">
        <v>208</v>
      </c>
      <c r="L613" s="19" t="n">
        <v>3923.58</v>
      </c>
      <c r="M613" s="17" t="s">
        <v>596</v>
      </c>
      <c r="N613" s="18"/>
      <c r="O613" s="16" t="s">
        <v>1573</v>
      </c>
      <c r="P613" s="16" t="s">
        <v>112</v>
      </c>
      <c r="Q613" s="17" t="s">
        <v>112</v>
      </c>
      <c r="R613" s="16"/>
      <c r="S613" s="77" t="n">
        <f aca="false">IFERROR(INDEX('Injectable Value'!$Z$28:$Z$178,MATCH($C613,'Injectable Value'!$A$28:$A$178,0)),"")</f>
        <v>1</v>
      </c>
      <c r="T613" s="19" t="n">
        <f aca="false">IFERROR(ROUND(INDEX('Injectable Value'!$AA$28:$AA$178,MATCH($C613,'Injectable Value'!$A$28:$A$178,0)),1),"")</f>
        <v>3923.6</v>
      </c>
      <c r="U613" s="17" t="s">
        <v>1390</v>
      </c>
      <c r="V613" s="16" t="n">
        <v>5</v>
      </c>
      <c r="W613" s="16" t="s">
        <v>1031</v>
      </c>
      <c r="X613" s="16" t="s">
        <v>281</v>
      </c>
      <c r="Y613" s="16" t="s">
        <v>333</v>
      </c>
      <c r="Z613" s="17" t="str">
        <f aca="false">IFERROR(INDEX(Scoring!$U:$U,MATCH($C613&amp;"|"&amp;$E613,Scoring!$AD:$AD,0)),"")</f>
        <v>Reconstitution</v>
      </c>
      <c r="AA613" s="16" t="str">
        <f aca="false">IFERROR(INDEX(Scoring!$E:$E,MATCH($C613&amp;"|"&amp;$E613,Scoring!$AD:$AD,0)),"")</f>
        <v>Excluded – IV only</v>
      </c>
      <c r="AB613" s="19" t="n">
        <f aca="false">IFERROR(INDEX(Scoring!$M:$M,MATCH($C613&amp;"|"&amp;$E613,Scoring!$AD:$AD,0)),"")</f>
        <v>208</v>
      </c>
      <c r="AC613" s="16" t="str">
        <f aca="false">IFERROR(INDEX('Route of Administration'!$C$5:$C$155,MATCH($C613,'Route of Administration'!$A$5:$A$155,0)),"")</f>
        <v>IV</v>
      </c>
      <c r="AD613" s="15" t="str">
        <f aca="false">IFERROR(INDEX('Route of Administration'!$D$5:$D$155,MATCH($C613,'Route of Administration'!$A$5:$A$155,0)),"")</f>
        <v>No</v>
      </c>
      <c r="AE613" s="15" t="str">
        <f aca="false">IF($AD613="No","Not checked – drug is IV only",IFERROR(INDEX('Route of Administration'!$O$5:$O$170,MATCH($E613&amp;"|"&amp;$C613,'Route of Administration'!$S$5:$S$170,0)),"Not checked – price ≤ USD 5"))</f>
        <v>Not checked – drug is IV only</v>
      </c>
    </row>
    <row r="614" customFormat="false" ht="28.35" hidden="false" customHeight="false" outlineLevel="0" collapsed="false">
      <c r="B614" s="16" t="n">
        <v>612</v>
      </c>
      <c r="C614" s="16" t="s">
        <v>804</v>
      </c>
      <c r="D614" s="16" t="s">
        <v>2629</v>
      </c>
      <c r="E614" s="16" t="s">
        <v>241</v>
      </c>
      <c r="F614" s="16" t="s">
        <v>2630</v>
      </c>
      <c r="G614" s="17" t="s">
        <v>2631</v>
      </c>
      <c r="H614" s="16" t="s">
        <v>1533</v>
      </c>
      <c r="I614" s="18"/>
      <c r="J614" s="16" t="n">
        <v>1</v>
      </c>
      <c r="K614" s="16" t="n">
        <v>3168</v>
      </c>
      <c r="L614" s="19" t="n">
        <v>130453.11</v>
      </c>
      <c r="M614" s="17" t="s">
        <v>806</v>
      </c>
      <c r="N614" s="18"/>
      <c r="O614" s="16" t="s">
        <v>1573</v>
      </c>
      <c r="P614" s="16" t="s">
        <v>112</v>
      </c>
      <c r="Q614" s="17" t="s">
        <v>112</v>
      </c>
      <c r="R614" s="16"/>
      <c r="S614" s="77" t="n">
        <f aca="false">IFERROR(INDEX('Injectable Value'!$Z$28:$Z$178,MATCH($C614,'Injectable Value'!$A$28:$A$178,0)),"")</f>
        <v>0.103608949323645</v>
      </c>
      <c r="T614" s="19" t="n">
        <f aca="false">IFERROR(ROUND(INDEX('Injectable Value'!$AA$28:$AA$178,MATCH($C614,'Injectable Value'!$A$28:$A$178,0)),1),"")</f>
        <v>13516.1</v>
      </c>
      <c r="U614" s="17" t="s">
        <v>1345</v>
      </c>
      <c r="V614" s="16" t="n">
        <v>10</v>
      </c>
      <c r="W614" s="16" t="s">
        <v>808</v>
      </c>
      <c r="X614" s="16" t="s">
        <v>281</v>
      </c>
      <c r="Y614" s="16" t="s">
        <v>333</v>
      </c>
      <c r="Z614" s="17" t="str">
        <f aca="false">IFERROR(INDEX(Scoring!$U:$U,MATCH($C614&amp;"|"&amp;$E614,Scoring!$AD:$AD,0)),"")</f>
        <v>Reconstitution</v>
      </c>
      <c r="AA614" s="16" t="str">
        <f aca="false">IFERROR(INDEX(Scoring!$E:$E,MATCH($C614&amp;"|"&amp;$E614,Scoring!$AD:$AD,0)),"")</f>
        <v>Excluded – IV only</v>
      </c>
      <c r="AB614" s="19" t="n">
        <f aca="false">IFERROR(INDEX(Scoring!$M:$M,MATCH($C614&amp;"|"&amp;$E614,Scoring!$AD:$AD,0)),"")</f>
        <v>328</v>
      </c>
      <c r="AC614" s="16" t="str">
        <f aca="false">IFERROR(INDEX('Route of Administration'!$C$5:$C$155,MATCH($C614,'Route of Administration'!$A$5:$A$155,0)),"")</f>
        <v>IV</v>
      </c>
      <c r="AD614" s="15" t="str">
        <f aca="false">IFERROR(INDEX('Route of Administration'!$D$5:$D$155,MATCH($C614,'Route of Administration'!$A$5:$A$155,0)),"")</f>
        <v>No</v>
      </c>
      <c r="AE614" s="15" t="str">
        <f aca="false">IF($AD614="No","Not checked – drug is IV only",IFERROR(INDEX('Route of Administration'!$O$5:$O$170,MATCH($E614&amp;"|"&amp;$C614,'Route of Administration'!$S$5:$S$170,0)),"Not checked – price ≤ USD 5"))</f>
        <v>Not checked – drug is IV only</v>
      </c>
    </row>
    <row r="615" customFormat="false" ht="55.2" hidden="false" customHeight="false" outlineLevel="0" collapsed="false">
      <c r="B615" s="16" t="n">
        <v>613</v>
      </c>
      <c r="C615" s="16" t="s">
        <v>483</v>
      </c>
      <c r="D615" s="16" t="s">
        <v>2596</v>
      </c>
      <c r="E615" s="16" t="s">
        <v>241</v>
      </c>
      <c r="F615" s="16" t="s">
        <v>2454</v>
      </c>
      <c r="G615" s="17" t="s">
        <v>2455</v>
      </c>
      <c r="H615" s="16" t="s">
        <v>1533</v>
      </c>
      <c r="I615" s="18" t="n">
        <v>23.422</v>
      </c>
      <c r="J615" s="16" t="n">
        <v>1</v>
      </c>
      <c r="K615" s="16" t="n">
        <v>1185</v>
      </c>
      <c r="L615" s="19" t="n">
        <v>59407.06</v>
      </c>
      <c r="M615" s="17" t="s">
        <v>485</v>
      </c>
      <c r="N615" s="18" t="n">
        <v>23.422</v>
      </c>
      <c r="O615" s="16" t="s">
        <v>1534</v>
      </c>
      <c r="P615" s="16" t="s">
        <v>1700</v>
      </c>
      <c r="Q615" s="17" t="s">
        <v>1536</v>
      </c>
      <c r="R615" s="78" t="s">
        <v>2456</v>
      </c>
      <c r="S615" s="77" t="n">
        <f aca="false">IFERROR(INDEX('Injectable Value'!$Z$28:$Z$178,MATCH($C615,'Injectable Value'!$A$28:$A$178,0)),"")</f>
        <v>0.991808067465962</v>
      </c>
      <c r="T615" s="19" t="n">
        <f aca="false">IFERROR(ROUND(INDEX('Injectable Value'!$AA$28:$AA$178,MATCH($C615,'Injectable Value'!$A$28:$A$178,0)),1),"")</f>
        <v>58920.4</v>
      </c>
      <c r="U615" s="17" t="s">
        <v>1356</v>
      </c>
      <c r="V615" s="16" t="n">
        <v>18</v>
      </c>
      <c r="W615" s="16" t="s">
        <v>1355</v>
      </c>
      <c r="X615" s="16" t="s">
        <v>281</v>
      </c>
      <c r="Y615" s="16" t="s">
        <v>333</v>
      </c>
      <c r="Z615" s="17" t="str">
        <f aca="false">IFERROR(INDEX(Scoring!$U:$U,MATCH($C615&amp;"|"&amp;$E615,Scoring!$AD:$AD,0)),"")</f>
        <v>Reconstitution</v>
      </c>
      <c r="AA615" s="16" t="str">
        <f aca="false">IFERROR(INDEX(Scoring!$E:$E,MATCH($C615&amp;"|"&amp;$E615,Scoring!$AD:$AD,0)),"")</f>
        <v>Excluded – IV only</v>
      </c>
      <c r="AB615" s="19" t="n">
        <f aca="false">IFERROR(INDEX(Scoring!$M:$M,MATCH($C615&amp;"|"&amp;$E615,Scoring!$AD:$AD,0)),"")</f>
        <v>1175</v>
      </c>
      <c r="AC615" s="16" t="str">
        <f aca="false">IFERROR(INDEX('Route of Administration'!$C$5:$C$155,MATCH($C615,'Route of Administration'!$A$5:$A$155,0)),"")</f>
        <v>IV</v>
      </c>
      <c r="AD615" s="15" t="str">
        <f aca="false">IFERROR(INDEX('Route of Administration'!$D$5:$D$155,MATCH($C615,'Route of Administration'!$A$5:$A$155,0)),"")</f>
        <v>No</v>
      </c>
      <c r="AE615" s="15" t="str">
        <f aca="false">IF($AD615="No","Not checked – drug is IV only",IFERROR(INDEX('Route of Administration'!$O$5:$O$170,MATCH($E615&amp;"|"&amp;$C615,'Route of Administration'!$S$5:$S$170,0)),"Not checked – price ≤ USD 5"))</f>
        <v>Not checked – drug is IV only</v>
      </c>
    </row>
    <row r="616" customFormat="false" ht="55.2" hidden="false" customHeight="false" outlineLevel="0" collapsed="false">
      <c r="B616" s="16" t="n">
        <v>614</v>
      </c>
      <c r="C616" s="16" t="s">
        <v>483</v>
      </c>
      <c r="D616" s="16" t="s">
        <v>2596</v>
      </c>
      <c r="E616" s="16" t="s">
        <v>241</v>
      </c>
      <c r="F616" s="16" t="s">
        <v>1787</v>
      </c>
      <c r="G616" s="17" t="s">
        <v>1788</v>
      </c>
      <c r="H616" s="16" t="s">
        <v>1533</v>
      </c>
      <c r="I616" s="18" t="n">
        <v>9.107</v>
      </c>
      <c r="J616" s="16" t="n">
        <v>1</v>
      </c>
      <c r="K616" s="16" t="n">
        <v>1185</v>
      </c>
      <c r="L616" s="19" t="n">
        <v>59407.06</v>
      </c>
      <c r="M616" s="17" t="s">
        <v>485</v>
      </c>
      <c r="N616" s="18" t="n">
        <v>9.107</v>
      </c>
      <c r="O616" s="16" t="s">
        <v>1534</v>
      </c>
      <c r="P616" s="16" t="s">
        <v>1535</v>
      </c>
      <c r="Q616" s="17" t="s">
        <v>1536</v>
      </c>
      <c r="R616" s="78" t="s">
        <v>2453</v>
      </c>
      <c r="S616" s="77" t="n">
        <f aca="false">IFERROR(INDEX('Injectable Value'!$Z$28:$Z$178,MATCH($C616,'Injectable Value'!$A$28:$A$178,0)),"")</f>
        <v>0.991808067465962</v>
      </c>
      <c r="T616" s="19" t="n">
        <f aca="false">IFERROR(ROUND(INDEX('Injectable Value'!$AA$28:$AA$178,MATCH($C616,'Injectable Value'!$A$28:$A$178,0)),1),"")</f>
        <v>58920.4</v>
      </c>
      <c r="U616" s="17" t="s">
        <v>1356</v>
      </c>
      <c r="V616" s="16" t="n">
        <v>18</v>
      </c>
      <c r="W616" s="16" t="s">
        <v>1355</v>
      </c>
      <c r="X616" s="16" t="s">
        <v>281</v>
      </c>
      <c r="Y616" s="16" t="s">
        <v>333</v>
      </c>
      <c r="Z616" s="17" t="str">
        <f aca="false">IFERROR(INDEX(Scoring!$U:$U,MATCH($C616&amp;"|"&amp;$E616,Scoring!$AD:$AD,0)),"")</f>
        <v>Reconstitution</v>
      </c>
      <c r="AA616" s="16" t="str">
        <f aca="false">IFERROR(INDEX(Scoring!$E:$E,MATCH($C616&amp;"|"&amp;$E616,Scoring!$AD:$AD,0)),"")</f>
        <v>Excluded – IV only</v>
      </c>
      <c r="AB616" s="19" t="n">
        <f aca="false">IFERROR(INDEX(Scoring!$M:$M,MATCH($C616&amp;"|"&amp;$E616,Scoring!$AD:$AD,0)),"")</f>
        <v>1175</v>
      </c>
      <c r="AC616" s="16" t="str">
        <f aca="false">IFERROR(INDEX('Route of Administration'!$C$5:$C$155,MATCH($C616,'Route of Administration'!$A$5:$A$155,0)),"")</f>
        <v>IV</v>
      </c>
      <c r="AD616" s="15" t="str">
        <f aca="false">IFERROR(INDEX('Route of Administration'!$D$5:$D$155,MATCH($C616,'Route of Administration'!$A$5:$A$155,0)),"")</f>
        <v>No</v>
      </c>
      <c r="AE616" s="15" t="str">
        <f aca="false">IF($AD616="No","Not checked – drug is IV only",IFERROR(INDEX('Route of Administration'!$O$5:$O$170,MATCH($E616&amp;"|"&amp;$C616,'Route of Administration'!$S$5:$S$170,0)),"Not checked – price ≤ USD 5"))</f>
        <v>Not checked – drug is IV only</v>
      </c>
    </row>
    <row r="617" customFormat="false" ht="28.35" hidden="false" customHeight="false" outlineLevel="0" collapsed="false">
      <c r="B617" s="16" t="n">
        <v>615</v>
      </c>
      <c r="C617" s="16" t="s">
        <v>665</v>
      </c>
      <c r="D617" s="16" t="s">
        <v>2632</v>
      </c>
      <c r="E617" s="16" t="s">
        <v>241</v>
      </c>
      <c r="F617" s="16" t="s">
        <v>2633</v>
      </c>
      <c r="G617" s="17" t="s">
        <v>1887</v>
      </c>
      <c r="H617" s="16" t="s">
        <v>1533</v>
      </c>
      <c r="I617" s="18" t="n">
        <v>11.71</v>
      </c>
      <c r="J617" s="16" t="n">
        <v>1</v>
      </c>
      <c r="K617" s="16" t="n">
        <v>346</v>
      </c>
      <c r="L617" s="19" t="n">
        <v>32830.17</v>
      </c>
      <c r="M617" s="17" t="s">
        <v>667</v>
      </c>
      <c r="N617" s="18" t="n">
        <v>11.71</v>
      </c>
      <c r="O617" s="16" t="s">
        <v>1534</v>
      </c>
      <c r="P617" s="16" t="s">
        <v>1700</v>
      </c>
      <c r="Q617" s="17" t="s">
        <v>1878</v>
      </c>
      <c r="R617" s="78" t="s">
        <v>2634</v>
      </c>
      <c r="S617" s="77" t="n">
        <f aca="false">IFERROR(INDEX('Injectable Value'!$Z$28:$Z$178,MATCH($C617,'Injectable Value'!$A$28:$A$178,0)),"")</f>
        <v>1</v>
      </c>
      <c r="T617" s="19" t="n">
        <f aca="false">IFERROR(ROUND(INDEX('Injectable Value'!$AA$28:$AA$178,MATCH($C617,'Injectable Value'!$A$28:$A$178,0)),1),"")</f>
        <v>32830.2</v>
      </c>
      <c r="U617" s="17" t="s">
        <v>1372</v>
      </c>
      <c r="V617" s="16" t="n">
        <v>7</v>
      </c>
      <c r="W617" s="16" t="s">
        <v>1371</v>
      </c>
      <c r="X617" s="16" t="s">
        <v>281</v>
      </c>
      <c r="Y617" s="16" t="s">
        <v>283</v>
      </c>
      <c r="Z617" s="17" t="str">
        <f aca="false">IFERROR(INDEX(Scoring!$U:$U,MATCH($C617&amp;"|"&amp;$E617,Scoring!$AD:$AD,0)),"")</f>
        <v/>
      </c>
      <c r="AA617" s="16" t="str">
        <f aca="false">IFERROR(INDEX(Scoring!$E:$E,MATCH($C617&amp;"|"&amp;$E617,Scoring!$AD:$AD,0)),"")</f>
        <v>Excluded – IV only</v>
      </c>
      <c r="AB617" s="19" t="n">
        <f aca="false">IFERROR(INDEX(Scoring!$M:$M,MATCH($C617&amp;"|"&amp;$E617,Scoring!$AD:$AD,0)),"")</f>
        <v>346</v>
      </c>
      <c r="AC617" s="16" t="str">
        <f aca="false">IFERROR(INDEX('Route of Administration'!$C$5:$C$155,MATCH($C617,'Route of Administration'!$A$5:$A$155,0)),"")</f>
        <v>IV</v>
      </c>
      <c r="AD617" s="15" t="str">
        <f aca="false">IFERROR(INDEX('Route of Administration'!$D$5:$D$155,MATCH($C617,'Route of Administration'!$A$5:$A$155,0)),"")</f>
        <v>No</v>
      </c>
      <c r="AE617" s="15" t="str">
        <f aca="false">IF($AD617="No","Not checked – drug is IV only",IFERROR(INDEX('Route of Administration'!$O$5:$O$170,MATCH($E617&amp;"|"&amp;$C617,'Route of Administration'!$S$5:$S$170,0)),"Not checked – price ≤ USD 5"))</f>
        <v>Not checked – drug is IV only</v>
      </c>
    </row>
    <row r="618" customFormat="false" ht="95.5" hidden="false" customHeight="false" outlineLevel="0" collapsed="false">
      <c r="B618" s="16" t="n">
        <v>616</v>
      </c>
      <c r="C618" s="16" t="s">
        <v>338</v>
      </c>
      <c r="D618" s="16" t="s">
        <v>2635</v>
      </c>
      <c r="E618" s="16" t="s">
        <v>241</v>
      </c>
      <c r="F618" s="16" t="s">
        <v>1889</v>
      </c>
      <c r="G618" s="17" t="s">
        <v>2005</v>
      </c>
      <c r="H618" s="16" t="s">
        <v>1533</v>
      </c>
      <c r="I618" s="18" t="n">
        <v>116.14</v>
      </c>
      <c r="J618" s="16" t="n">
        <v>1</v>
      </c>
      <c r="K618" s="16" t="n">
        <v>905</v>
      </c>
      <c r="L618" s="19" t="n">
        <v>28093.38</v>
      </c>
      <c r="M618" s="17" t="s">
        <v>340</v>
      </c>
      <c r="N618" s="18" t="n">
        <v>116.14</v>
      </c>
      <c r="O618" s="16" t="s">
        <v>1534</v>
      </c>
      <c r="P618" s="16" t="s">
        <v>1700</v>
      </c>
      <c r="Q618" s="17" t="s">
        <v>1878</v>
      </c>
      <c r="R618" s="78" t="s">
        <v>2636</v>
      </c>
      <c r="S618" s="77" t="n">
        <f aca="false">IFERROR(INDEX('Injectable Value'!$Z$28:$Z$178,MATCH($C618,'Injectable Value'!$A$28:$A$178,0)),"")</f>
        <v>1</v>
      </c>
      <c r="T618" s="19" t="n">
        <f aca="false">IFERROR(ROUND(INDEX('Injectable Value'!$AA$28:$AA$178,MATCH($C618,'Injectable Value'!$A$28:$A$178,0)),1),"")</f>
        <v>28093.4</v>
      </c>
      <c r="U618" s="17" t="s">
        <v>1335</v>
      </c>
      <c r="V618" s="16" t="n">
        <v>34</v>
      </c>
      <c r="W618" s="16" t="s">
        <v>537</v>
      </c>
      <c r="X618" s="16" t="s">
        <v>281</v>
      </c>
      <c r="Y618" s="16" t="s">
        <v>283</v>
      </c>
      <c r="Z618" s="17" t="str">
        <f aca="false">IFERROR(INDEX(Scoring!$U:$U,MATCH($C618&amp;"|"&amp;$E618,Scoring!$AD:$AD,0)),"")</f>
        <v>Cancer drug (cytotoxic) – less relevant; Reconstitution</v>
      </c>
      <c r="AA618" s="16" t="str">
        <f aca="false">IFERROR(INDEX(Scoring!$E:$E,MATCH($C618&amp;"|"&amp;$E618,Scoring!$AD:$AD,0)),"")</f>
        <v>Priority 1</v>
      </c>
      <c r="AB618" s="19" t="n">
        <f aca="false">IFERROR(INDEX(Scoring!$M:$M,MATCH($C618&amp;"|"&amp;$E618,Scoring!$AD:$AD,0)),"")</f>
        <v>905</v>
      </c>
      <c r="AC618" s="16" t="str">
        <f aca="false">IFERROR(INDEX('Route of Administration'!$C$5:$C$155,MATCH($C618,'Route of Administration'!$A$5:$A$155,0)),"")</f>
        <v>IV, SC</v>
      </c>
      <c r="AD618" s="15" t="str">
        <f aca="false">IFERROR(INDEX('Route of Administration'!$D$5:$D$155,MATCH($C618,'Route of Administration'!$A$5:$A$155,0)),"")</f>
        <v>Yes</v>
      </c>
      <c r="AE618" s="15" t="str">
        <f aca="false">IF($AD618="No","Not checked – drug is IV only",IFERROR(INDEX('Route of Administration'!$O$5:$O$170,MATCH($E618&amp;"|"&amp;$C618,'Route of Administration'!$S$5:$S$170,0)),"Not checked – price ≤ USD 5"))</f>
        <v>Pass</v>
      </c>
    </row>
    <row r="619" customFormat="false" ht="28.35" hidden="false" customHeight="false" outlineLevel="0" collapsed="false">
      <c r="B619" s="16" t="n">
        <v>617</v>
      </c>
      <c r="C619" s="16" t="s">
        <v>594</v>
      </c>
      <c r="D619" s="16" t="s">
        <v>2637</v>
      </c>
      <c r="E619" s="16" t="s">
        <v>241</v>
      </c>
      <c r="F619" s="16" t="s">
        <v>2638</v>
      </c>
      <c r="G619" s="17" t="s">
        <v>2639</v>
      </c>
      <c r="H619" s="16" t="s">
        <v>1533</v>
      </c>
      <c r="I619" s="18" t="n">
        <v>5.15</v>
      </c>
      <c r="J619" s="16" t="n">
        <v>1</v>
      </c>
      <c r="K619" s="16" t="n">
        <v>208</v>
      </c>
      <c r="L619" s="19" t="n">
        <v>3923.58</v>
      </c>
      <c r="M619" s="17" t="s">
        <v>596</v>
      </c>
      <c r="N619" s="18" t="n">
        <v>5.15</v>
      </c>
      <c r="O619" s="16" t="s">
        <v>1534</v>
      </c>
      <c r="P619" s="16" t="s">
        <v>1700</v>
      </c>
      <c r="Q619" s="17" t="s">
        <v>1536</v>
      </c>
      <c r="R619" s="78" t="s">
        <v>1814</v>
      </c>
      <c r="S619" s="77" t="n">
        <f aca="false">IFERROR(INDEX('Injectable Value'!$Z$28:$Z$178,MATCH($C619,'Injectable Value'!$A$28:$A$178,0)),"")</f>
        <v>1</v>
      </c>
      <c r="T619" s="19" t="n">
        <f aca="false">IFERROR(ROUND(INDEX('Injectable Value'!$AA$28:$AA$178,MATCH($C619,'Injectable Value'!$A$28:$A$178,0)),1),"")</f>
        <v>3923.6</v>
      </c>
      <c r="U619" s="17" t="s">
        <v>1390</v>
      </c>
      <c r="V619" s="16" t="n">
        <v>5</v>
      </c>
      <c r="W619" s="16" t="s">
        <v>1031</v>
      </c>
      <c r="X619" s="16" t="s">
        <v>281</v>
      </c>
      <c r="Y619" s="16" t="s">
        <v>283</v>
      </c>
      <c r="Z619" s="17" t="str">
        <f aca="false">IFERROR(INDEX(Scoring!$U:$U,MATCH($C619&amp;"|"&amp;$E619,Scoring!$AD:$AD,0)),"")</f>
        <v>Reconstitution</v>
      </c>
      <c r="AA619" s="16" t="str">
        <f aca="false">IFERROR(INDEX(Scoring!$E:$E,MATCH($C619&amp;"|"&amp;$E619,Scoring!$AD:$AD,0)),"")</f>
        <v>Excluded – IV only</v>
      </c>
      <c r="AB619" s="19" t="n">
        <f aca="false">IFERROR(INDEX(Scoring!$M:$M,MATCH($C619&amp;"|"&amp;$E619,Scoring!$AD:$AD,0)),"")</f>
        <v>208</v>
      </c>
      <c r="AC619" s="16" t="str">
        <f aca="false">IFERROR(INDEX('Route of Administration'!$C$5:$C$155,MATCH($C619,'Route of Administration'!$A$5:$A$155,0)),"")</f>
        <v>IV</v>
      </c>
      <c r="AD619" s="15" t="str">
        <f aca="false">IFERROR(INDEX('Route of Administration'!$D$5:$D$155,MATCH($C619,'Route of Administration'!$A$5:$A$155,0)),"")</f>
        <v>No</v>
      </c>
      <c r="AE619" s="15" t="str">
        <f aca="false">IF($AD619="No","Not checked – drug is IV only",IFERROR(INDEX('Route of Administration'!$O$5:$O$170,MATCH($E619&amp;"|"&amp;$C619,'Route of Administration'!$S$5:$S$170,0)),"Not checked – price ≤ USD 5"))</f>
        <v>Not checked – drug is IV only</v>
      </c>
    </row>
    <row r="620" customFormat="false" ht="28.35" hidden="false" customHeight="false" outlineLevel="0" collapsed="false">
      <c r="B620" s="16" t="n">
        <v>618</v>
      </c>
      <c r="C620" s="16" t="s">
        <v>594</v>
      </c>
      <c r="D620" s="16" t="s">
        <v>2637</v>
      </c>
      <c r="E620" s="16" t="s">
        <v>241</v>
      </c>
      <c r="F620" s="16" t="s">
        <v>2638</v>
      </c>
      <c r="G620" s="17" t="s">
        <v>2640</v>
      </c>
      <c r="H620" s="16" t="s">
        <v>1533</v>
      </c>
      <c r="I620" s="18" t="n">
        <v>5.15</v>
      </c>
      <c r="J620" s="16" t="n">
        <v>1</v>
      </c>
      <c r="K620" s="16" t="n">
        <v>208</v>
      </c>
      <c r="L620" s="19" t="n">
        <v>3923.58</v>
      </c>
      <c r="M620" s="17" t="s">
        <v>596</v>
      </c>
      <c r="N620" s="18" t="n">
        <v>5.15</v>
      </c>
      <c r="O620" s="16" t="s">
        <v>1534</v>
      </c>
      <c r="P620" s="16" t="s">
        <v>1700</v>
      </c>
      <c r="Q620" s="17" t="s">
        <v>1536</v>
      </c>
      <c r="R620" s="78" t="s">
        <v>1814</v>
      </c>
      <c r="S620" s="77" t="n">
        <f aca="false">IFERROR(INDEX('Injectable Value'!$Z$28:$Z$178,MATCH($C620,'Injectable Value'!$A$28:$A$178,0)),"")</f>
        <v>1</v>
      </c>
      <c r="T620" s="19" t="n">
        <f aca="false">IFERROR(ROUND(INDEX('Injectable Value'!$AA$28:$AA$178,MATCH($C620,'Injectable Value'!$A$28:$A$178,0)),1),"")</f>
        <v>3923.6</v>
      </c>
      <c r="U620" s="17" t="s">
        <v>1390</v>
      </c>
      <c r="V620" s="16" t="n">
        <v>5</v>
      </c>
      <c r="W620" s="16" t="s">
        <v>1031</v>
      </c>
      <c r="X620" s="16" t="s">
        <v>281</v>
      </c>
      <c r="Y620" s="16" t="s">
        <v>283</v>
      </c>
      <c r="Z620" s="17" t="str">
        <f aca="false">IFERROR(INDEX(Scoring!$U:$U,MATCH($C620&amp;"|"&amp;$E620,Scoring!$AD:$AD,0)),"")</f>
        <v>Reconstitution</v>
      </c>
      <c r="AA620" s="16" t="str">
        <f aca="false">IFERROR(INDEX(Scoring!$E:$E,MATCH($C620&amp;"|"&amp;$E620,Scoring!$AD:$AD,0)),"")</f>
        <v>Excluded – IV only</v>
      </c>
      <c r="AB620" s="19" t="n">
        <f aca="false">IFERROR(INDEX(Scoring!$M:$M,MATCH($C620&amp;"|"&amp;$E620,Scoring!$AD:$AD,0)),"")</f>
        <v>208</v>
      </c>
      <c r="AC620" s="16" t="str">
        <f aca="false">IFERROR(INDEX('Route of Administration'!$C$5:$C$155,MATCH($C620,'Route of Administration'!$A$5:$A$155,0)),"")</f>
        <v>IV</v>
      </c>
      <c r="AD620" s="15" t="str">
        <f aca="false">IFERROR(INDEX('Route of Administration'!$D$5:$D$155,MATCH($C620,'Route of Administration'!$A$5:$A$155,0)),"")</f>
        <v>No</v>
      </c>
      <c r="AE620" s="15" t="str">
        <f aca="false">IF($AD620="No","Not checked – drug is IV only",IFERROR(INDEX('Route of Administration'!$O$5:$O$170,MATCH($E620&amp;"|"&amp;$C620,'Route of Administration'!$S$5:$S$170,0)),"Not checked – price ≤ USD 5"))</f>
        <v>Not checked – drug is IV only</v>
      </c>
    </row>
    <row r="621" customFormat="false" ht="55.2" hidden="false" customHeight="false" outlineLevel="0" collapsed="false">
      <c r="B621" s="16" t="n">
        <v>619</v>
      </c>
      <c r="C621" s="16" t="s">
        <v>483</v>
      </c>
      <c r="D621" s="16" t="s">
        <v>2641</v>
      </c>
      <c r="E621" s="16" t="s">
        <v>241</v>
      </c>
      <c r="F621" s="16" t="s">
        <v>1816</v>
      </c>
      <c r="G621" s="17" t="s">
        <v>2642</v>
      </c>
      <c r="H621" s="16" t="s">
        <v>1533</v>
      </c>
      <c r="I621" s="18" t="n">
        <v>8.23</v>
      </c>
      <c r="J621" s="16" t="n">
        <v>1</v>
      </c>
      <c r="K621" s="16" t="n">
        <v>1185</v>
      </c>
      <c r="L621" s="19" t="n">
        <v>59407.06</v>
      </c>
      <c r="M621" s="17" t="s">
        <v>485</v>
      </c>
      <c r="N621" s="18" t="n">
        <v>8.23</v>
      </c>
      <c r="O621" s="16" t="s">
        <v>1534</v>
      </c>
      <c r="P621" s="16" t="s">
        <v>1700</v>
      </c>
      <c r="Q621" s="17" t="s">
        <v>1878</v>
      </c>
      <c r="R621" s="78" t="s">
        <v>2643</v>
      </c>
      <c r="S621" s="77" t="n">
        <f aca="false">IFERROR(INDEX('Injectable Value'!$Z$28:$Z$178,MATCH($C621,'Injectable Value'!$A$28:$A$178,0)),"")</f>
        <v>0.991808067465962</v>
      </c>
      <c r="T621" s="19" t="n">
        <f aca="false">IFERROR(ROUND(INDEX('Injectable Value'!$AA$28:$AA$178,MATCH($C621,'Injectable Value'!$A$28:$A$178,0)),1),"")</f>
        <v>58920.4</v>
      </c>
      <c r="U621" s="17" t="s">
        <v>1356</v>
      </c>
      <c r="V621" s="16" t="n">
        <v>18</v>
      </c>
      <c r="W621" s="16" t="s">
        <v>1355</v>
      </c>
      <c r="X621" s="16" t="s">
        <v>281</v>
      </c>
      <c r="Y621" s="16" t="s">
        <v>359</v>
      </c>
      <c r="Z621" s="17" t="str">
        <f aca="false">IFERROR(INDEX(Scoring!$U:$U,MATCH($C621&amp;"|"&amp;$E621,Scoring!$AD:$AD,0)),"")</f>
        <v>Reconstitution</v>
      </c>
      <c r="AA621" s="16" t="str">
        <f aca="false">IFERROR(INDEX(Scoring!$E:$E,MATCH($C621&amp;"|"&amp;$E621,Scoring!$AD:$AD,0)),"")</f>
        <v>Excluded – IV only</v>
      </c>
      <c r="AB621" s="19" t="n">
        <f aca="false">IFERROR(INDEX(Scoring!$M:$M,MATCH($C621&amp;"|"&amp;$E621,Scoring!$AD:$AD,0)),"")</f>
        <v>1175</v>
      </c>
      <c r="AC621" s="16" t="str">
        <f aca="false">IFERROR(INDEX('Route of Administration'!$C$5:$C$155,MATCH($C621,'Route of Administration'!$A$5:$A$155,0)),"")</f>
        <v>IV</v>
      </c>
      <c r="AD621" s="15" t="str">
        <f aca="false">IFERROR(INDEX('Route of Administration'!$D$5:$D$155,MATCH($C621,'Route of Administration'!$A$5:$A$155,0)),"")</f>
        <v>No</v>
      </c>
      <c r="AE621" s="15" t="str">
        <f aca="false">IF($AD621="No","Not checked – drug is IV only",IFERROR(INDEX('Route of Administration'!$O$5:$O$170,MATCH($E621&amp;"|"&amp;$C621,'Route of Administration'!$S$5:$S$170,0)),"Not checked – price ≤ USD 5"))</f>
        <v>Not checked – drug is IV only</v>
      </c>
    </row>
    <row r="622" customFormat="false" ht="28.35" hidden="false" customHeight="false" outlineLevel="0" collapsed="false">
      <c r="B622" s="16" t="n">
        <v>620</v>
      </c>
      <c r="C622" s="16" t="s">
        <v>1393</v>
      </c>
      <c r="D622" s="16" t="s">
        <v>1393</v>
      </c>
      <c r="E622" s="16" t="s">
        <v>1392</v>
      </c>
      <c r="F622" s="16" t="s">
        <v>2644</v>
      </c>
      <c r="G622" s="17" t="s">
        <v>2645</v>
      </c>
      <c r="H622" s="16" t="s">
        <v>1533</v>
      </c>
      <c r="I622" s="18" t="n">
        <v>9.52</v>
      </c>
      <c r="J622" s="16" t="n">
        <v>1</v>
      </c>
      <c r="K622" s="16" t="n">
        <v>59</v>
      </c>
      <c r="L622" s="19" t="n">
        <v>1206.55</v>
      </c>
      <c r="M622" s="17" t="s">
        <v>520</v>
      </c>
      <c r="N622" s="18" t="n">
        <v>9.52</v>
      </c>
      <c r="O622" s="16" t="s">
        <v>1534</v>
      </c>
      <c r="P622" s="16" t="s">
        <v>1535</v>
      </c>
      <c r="Q622" s="17" t="s">
        <v>1536</v>
      </c>
      <c r="R622" s="78" t="s">
        <v>2646</v>
      </c>
      <c r="S622" s="77" t="n">
        <f aca="false">IFERROR(INDEX('Injectable Value'!$Z$28:$Z$178,MATCH($C622,'Injectable Value'!$A$28:$A$178,0)),"")</f>
        <v>0.581244456320444</v>
      </c>
      <c r="T622" s="19" t="n">
        <f aca="false">IFERROR(ROUND(INDEX('Injectable Value'!$AA$28:$AA$178,MATCH($C622,'Injectable Value'!$A$28:$A$178,0)),1),"")</f>
        <v>701.3</v>
      </c>
      <c r="U622" s="17" t="s">
        <v>772</v>
      </c>
      <c r="V622" s="16" t="n">
        <v>2</v>
      </c>
      <c r="W622" s="16" t="s">
        <v>772</v>
      </c>
      <c r="X622" s="16" t="s">
        <v>349</v>
      </c>
      <c r="Y622" s="16" t="s">
        <v>283</v>
      </c>
      <c r="Z622" s="17" t="str">
        <f aca="false">IFERROR(INDEX(Scoring!$U:$U,MATCH($C622&amp;"|"&amp;$E622,Scoring!$AD:$AD,0)),"")</f>
        <v/>
      </c>
      <c r="AA622" s="16" t="str">
        <f aca="false">IFERROR(INDEX(Scoring!$E:$E,MATCH($C622&amp;"|"&amp;$E622,Scoring!$AD:$AD,0)),"")</f>
        <v>Excluded – IV only</v>
      </c>
      <c r="AB622" s="19" t="n">
        <f aca="false">IFERROR(INDEX(Scoring!$M:$M,MATCH($C622&amp;"|"&amp;$E622,Scoring!$AD:$AD,0)),"")</f>
        <v>34</v>
      </c>
      <c r="AC622" s="16" t="str">
        <f aca="false">IFERROR(INDEX('Route of Administration'!$C$5:$C$155,MATCH($C622,'Route of Administration'!$A$5:$A$155,0)),"")</f>
        <v>IV</v>
      </c>
      <c r="AD622" s="15" t="str">
        <f aca="false">IFERROR(INDEX('Route of Administration'!$D$5:$D$155,MATCH($C622,'Route of Administration'!$A$5:$A$155,0)),"")</f>
        <v>No</v>
      </c>
      <c r="AE622" s="15" t="str">
        <f aca="false">IF($AD622="No","Not checked – drug is IV only",IFERROR(INDEX('Route of Administration'!$O$5:$O$170,MATCH($E622&amp;"|"&amp;$C622,'Route of Administration'!$S$5:$S$170,0)),"Not checked – price ≤ USD 5"))</f>
        <v>Not checked – drug is IV only</v>
      </c>
    </row>
    <row r="623" customFormat="false" ht="68.65" hidden="false" customHeight="false" outlineLevel="0" collapsed="false">
      <c r="B623" s="16" t="n">
        <v>621</v>
      </c>
      <c r="C623" s="16" t="s">
        <v>295</v>
      </c>
      <c r="D623" s="16" t="s">
        <v>1391</v>
      </c>
      <c r="E623" s="16" t="s">
        <v>1392</v>
      </c>
      <c r="F623" s="16" t="s">
        <v>1728</v>
      </c>
      <c r="G623" s="17" t="s">
        <v>1729</v>
      </c>
      <c r="H623" s="16" t="s">
        <v>1540</v>
      </c>
      <c r="I623" s="18" t="n">
        <v>531.8684</v>
      </c>
      <c r="J623" s="16" t="n">
        <v>31</v>
      </c>
      <c r="K623" s="16" t="n">
        <v>146</v>
      </c>
      <c r="L623" s="19" t="n">
        <v>11366.06</v>
      </c>
      <c r="M623" s="17" t="s">
        <v>296</v>
      </c>
      <c r="N623" s="82" t="n">
        <v>77.33</v>
      </c>
      <c r="O623" s="64" t="s">
        <v>1724</v>
      </c>
      <c r="P623" s="64" t="s">
        <v>1700</v>
      </c>
      <c r="Q623" s="83" t="s">
        <v>2647</v>
      </c>
      <c r="R623" s="78" t="s">
        <v>2648</v>
      </c>
      <c r="S623" s="77" t="n">
        <f aca="false">IFERROR(INDEX('Injectable Value'!$Z$28:$Z$178,MATCH($C623,'Injectable Value'!$A$28:$A$178,0)),"")</f>
        <v>1</v>
      </c>
      <c r="T623" s="19" t="n">
        <f aca="false">IFERROR(ROUND(INDEX('Injectable Value'!$AA$28:$AA$178,MATCH($C623,'Injectable Value'!$A$28:$A$178,0)),1),"")</f>
        <v>11366.1</v>
      </c>
      <c r="U623" s="17" t="s">
        <v>453</v>
      </c>
      <c r="V623" s="16" t="n">
        <v>1</v>
      </c>
      <c r="W623" s="16" t="s">
        <v>452</v>
      </c>
      <c r="X623" s="16" t="s">
        <v>291</v>
      </c>
      <c r="Y623" s="16" t="s">
        <v>283</v>
      </c>
      <c r="Z623" s="17" t="str">
        <f aca="false">IFERROR(INDEX(Scoring!$U:$U,MATCH($C623&amp;"|"&amp;$E623,Scoring!$AD:$AD,0)),"")</f>
        <v>Prefilled only</v>
      </c>
      <c r="AA623" s="16" t="str">
        <f aca="false">IFERROR(INDEX(Scoring!$E:$E,MATCH($C623&amp;"|"&amp;$E623,Scoring!$AD:$AD,0)),"")</f>
        <v>Priority 1</v>
      </c>
      <c r="AB623" s="19" t="n">
        <f aca="false">IFERROR(INDEX(Scoring!$M:$M,MATCH($C623&amp;"|"&amp;$E623,Scoring!$AD:$AD,0)),"")</f>
        <v>146</v>
      </c>
      <c r="AC623" s="16" t="str">
        <f aca="false">IFERROR(INDEX('Route of Administration'!$C$5:$C$155,MATCH($C623,'Route of Administration'!$A$5:$A$155,0)),"")</f>
        <v>IM</v>
      </c>
      <c r="AD623" s="15" t="str">
        <f aca="false">IFERROR(INDEX('Route of Administration'!$D$5:$D$155,MATCH($C623,'Route of Administration'!$A$5:$A$155,0)),"")</f>
        <v>Yes</v>
      </c>
      <c r="AE623" s="15" t="str">
        <f aca="false">IF($AD623="No","Not checked – drug is IV only",IFERROR(INDEX('Route of Administration'!$O$5:$O$170,MATCH($E623&amp;"|"&amp;$C623,'Route of Administration'!$S$5:$S$170,0)),"Not checked – price ≤ USD 5"))</f>
        <v>Pass</v>
      </c>
    </row>
    <row r="624" customFormat="false" ht="28.35" hidden="false" customHeight="false" outlineLevel="0" collapsed="false">
      <c r="B624" s="16" t="n">
        <v>622</v>
      </c>
      <c r="C624" s="16" t="s">
        <v>1393</v>
      </c>
      <c r="D624" s="16" t="s">
        <v>2649</v>
      </c>
      <c r="E624" s="16" t="s">
        <v>1392</v>
      </c>
      <c r="F624" s="16" t="s">
        <v>2311</v>
      </c>
      <c r="G624" s="17" t="s">
        <v>2650</v>
      </c>
      <c r="H624" s="16" t="s">
        <v>1533</v>
      </c>
      <c r="I624" s="18" t="n">
        <v>14.8934</v>
      </c>
      <c r="J624" s="16" t="n">
        <v>25</v>
      </c>
      <c r="K624" s="16" t="n">
        <v>59</v>
      </c>
      <c r="L624" s="19" t="n">
        <v>1206.55</v>
      </c>
      <c r="M624" s="17" t="s">
        <v>520</v>
      </c>
      <c r="N624" s="18" t="n">
        <v>14.8934</v>
      </c>
      <c r="O624" s="16" t="s">
        <v>1534</v>
      </c>
      <c r="P624" s="16" t="s">
        <v>1561</v>
      </c>
      <c r="Q624" s="17" t="s">
        <v>1536</v>
      </c>
      <c r="R624" s="78" t="s">
        <v>1701</v>
      </c>
      <c r="S624" s="77" t="n">
        <f aca="false">IFERROR(INDEX('Injectable Value'!$Z$28:$Z$178,MATCH($C624,'Injectable Value'!$A$28:$A$178,0)),"")</f>
        <v>0.581244456320444</v>
      </c>
      <c r="T624" s="19" t="n">
        <f aca="false">IFERROR(ROUND(INDEX('Injectable Value'!$AA$28:$AA$178,MATCH($C624,'Injectable Value'!$A$28:$A$178,0)),1),"")</f>
        <v>701.3</v>
      </c>
      <c r="U624" s="17" t="s">
        <v>772</v>
      </c>
      <c r="V624" s="16" t="n">
        <v>2</v>
      </c>
      <c r="W624" s="16" t="s">
        <v>772</v>
      </c>
      <c r="X624" s="16" t="s">
        <v>349</v>
      </c>
      <c r="Y624" s="16" t="s">
        <v>283</v>
      </c>
      <c r="Z624" s="17" t="str">
        <f aca="false">IFERROR(INDEX(Scoring!$U:$U,MATCH($C624&amp;"|"&amp;$E624,Scoring!$AD:$AD,0)),"")</f>
        <v/>
      </c>
      <c r="AA624" s="16" t="str">
        <f aca="false">IFERROR(INDEX(Scoring!$E:$E,MATCH($C624&amp;"|"&amp;$E624,Scoring!$AD:$AD,0)),"")</f>
        <v>Excluded – IV only</v>
      </c>
      <c r="AB624" s="19" t="n">
        <f aca="false">IFERROR(INDEX(Scoring!$M:$M,MATCH($C624&amp;"|"&amp;$E624,Scoring!$AD:$AD,0)),"")</f>
        <v>34</v>
      </c>
      <c r="AC624" s="16" t="str">
        <f aca="false">IFERROR(INDEX('Route of Administration'!$C$5:$C$155,MATCH($C624,'Route of Administration'!$A$5:$A$155,0)),"")</f>
        <v>IV</v>
      </c>
      <c r="AD624" s="15" t="str">
        <f aca="false">IFERROR(INDEX('Route of Administration'!$D$5:$D$155,MATCH($C624,'Route of Administration'!$A$5:$A$155,0)),"")</f>
        <v>No</v>
      </c>
      <c r="AE624" s="15" t="str">
        <f aca="false">IF($AD624="No","Not checked – drug is IV only",IFERROR(INDEX('Route of Administration'!$O$5:$O$170,MATCH($E624&amp;"|"&amp;$C624,'Route of Administration'!$S$5:$S$170,0)),"Not checked – price ≤ USD 5"))</f>
        <v>Not checked – drug is IV only</v>
      </c>
    </row>
    <row r="625" customFormat="false" ht="55.2" hidden="false" customHeight="false" outlineLevel="0" collapsed="false">
      <c r="B625" s="16" t="n">
        <v>623</v>
      </c>
      <c r="C625" s="16" t="s">
        <v>1266</v>
      </c>
      <c r="D625" s="16" t="s">
        <v>1397</v>
      </c>
      <c r="E625" s="16" t="s">
        <v>1392</v>
      </c>
      <c r="F625" s="16"/>
      <c r="G625" s="17"/>
      <c r="H625" s="16"/>
      <c r="I625" s="18"/>
      <c r="J625" s="16" t="n">
        <v>31</v>
      </c>
      <c r="K625" s="16" t="n">
        <v>2286</v>
      </c>
      <c r="L625" s="19" t="n">
        <v>106496.78</v>
      </c>
      <c r="M625" s="17" t="s">
        <v>1268</v>
      </c>
      <c r="N625" s="82" t="n">
        <v>20.65</v>
      </c>
      <c r="O625" s="64" t="s">
        <v>1541</v>
      </c>
      <c r="P625" s="16" t="s">
        <v>1535</v>
      </c>
      <c r="Q625" s="17" t="s">
        <v>2651</v>
      </c>
      <c r="R625" s="78" t="s">
        <v>2652</v>
      </c>
      <c r="S625" s="77" t="n">
        <f aca="false">IFERROR(INDEX('Injectable Value'!$Z$28:$Z$178,MATCH($C625,'Injectable Value'!$A$28:$A$178,0)),"")</f>
        <v>0.174359744408496</v>
      </c>
      <c r="T625" s="19" t="n">
        <f aca="false">IFERROR(ROUND(INDEX('Injectable Value'!$AA$28:$AA$178,MATCH($C625,'Injectable Value'!$A$28:$A$178,0)),1),"")</f>
        <v>18568.8</v>
      </c>
      <c r="U625" s="17" t="s">
        <v>453</v>
      </c>
      <c r="V625" s="16" t="n">
        <v>1</v>
      </c>
      <c r="W625" s="16" t="s">
        <v>452</v>
      </c>
      <c r="X625" s="16" t="s">
        <v>310</v>
      </c>
      <c r="Y625" s="16" t="s">
        <v>310</v>
      </c>
      <c r="Z625" s="17" t="str">
        <f aca="false">IFERROR(INDEX(Scoring!$U:$U,MATCH($C625&amp;"|"&amp;$E625,Scoring!$AD:$AD,0)),"")</f>
        <v/>
      </c>
      <c r="AA625" s="16" t="str">
        <f aca="false">IFERROR(INDEX(Scoring!$E:$E,MATCH($C625&amp;"|"&amp;$E625,Scoring!$AD:$AD,0)),"")</f>
        <v>Excluded – IV only</v>
      </c>
      <c r="AB625" s="19" t="n">
        <f aca="false">IFERROR(INDEX(Scoring!$M:$M,MATCH($C625&amp;"|"&amp;$E625,Scoring!$AD:$AD,0)),"")</f>
        <v>399</v>
      </c>
      <c r="AC625" s="16" t="str">
        <f aca="false">IFERROR(INDEX('Route of Administration'!$C$5:$C$155,MATCH($C625,'Route of Administration'!$A$5:$A$155,0)),"")</f>
        <v>IV</v>
      </c>
      <c r="AD625" s="15" t="str">
        <f aca="false">IFERROR(INDEX('Route of Administration'!$D$5:$D$155,MATCH($C625,'Route of Administration'!$A$5:$A$155,0)),"")</f>
        <v>No</v>
      </c>
      <c r="AE625" s="15" t="str">
        <f aca="false">IF($AD625="No","Not checked – drug is IV only",IFERROR(INDEX('Route of Administration'!$O$5:$O$170,MATCH($E625&amp;"|"&amp;$C625,'Route of Administration'!$S$5:$S$170,0)),"Not checked – price ≤ USD 5"))</f>
        <v>Not checked – drug is IV only</v>
      </c>
    </row>
    <row r="626" customFormat="false" ht="28.35" hidden="false" customHeight="false" outlineLevel="0" collapsed="false">
      <c r="B626" s="16" t="n">
        <v>624</v>
      </c>
      <c r="C626" s="16" t="s">
        <v>483</v>
      </c>
      <c r="D626" s="16" t="s">
        <v>1398</v>
      </c>
      <c r="E626" s="16" t="s">
        <v>1392</v>
      </c>
      <c r="F626" s="16" t="s">
        <v>1733</v>
      </c>
      <c r="G626" s="17" t="s">
        <v>1734</v>
      </c>
      <c r="H626" s="16" t="s">
        <v>1533</v>
      </c>
      <c r="I626" s="18" t="n">
        <v>12.0797</v>
      </c>
      <c r="J626" s="16" t="n">
        <v>29</v>
      </c>
      <c r="K626" s="16" t="n">
        <v>1185</v>
      </c>
      <c r="L626" s="19" t="n">
        <v>59407.06</v>
      </c>
      <c r="M626" s="17" t="s">
        <v>485</v>
      </c>
      <c r="N626" s="18" t="n">
        <v>12.0797</v>
      </c>
      <c r="O626" s="16" t="s">
        <v>1534</v>
      </c>
      <c r="P626" s="16" t="s">
        <v>1561</v>
      </c>
      <c r="Q626" s="17" t="s">
        <v>1536</v>
      </c>
      <c r="R626" s="78" t="s">
        <v>1701</v>
      </c>
      <c r="S626" s="77" t="n">
        <f aca="false">IFERROR(INDEX('Injectable Value'!$Z$28:$Z$178,MATCH($C626,'Injectable Value'!$A$28:$A$178,0)),"")</f>
        <v>0.991808067465962</v>
      </c>
      <c r="T626" s="19" t="n">
        <f aca="false">IFERROR(ROUND(INDEX('Injectable Value'!$AA$28:$AA$178,MATCH($C626,'Injectable Value'!$A$28:$A$178,0)),1),"")</f>
        <v>58920.4</v>
      </c>
      <c r="U626" s="17" t="s">
        <v>453</v>
      </c>
      <c r="V626" s="16" t="n">
        <v>1</v>
      </c>
      <c r="W626" s="16" t="s">
        <v>452</v>
      </c>
      <c r="X626" s="16" t="s">
        <v>281</v>
      </c>
      <c r="Y626" s="16" t="s">
        <v>333</v>
      </c>
      <c r="Z626" s="17" t="str">
        <f aca="false">IFERROR(INDEX(Scoring!$U:$U,MATCH($C626&amp;"|"&amp;$E626,Scoring!$AD:$AD,0)),"")</f>
        <v>Reconstitution</v>
      </c>
      <c r="AA626" s="16" t="str">
        <f aca="false">IFERROR(INDEX(Scoring!$E:$E,MATCH($C626&amp;"|"&amp;$E626,Scoring!$AD:$AD,0)),"")</f>
        <v>Excluded – IV only</v>
      </c>
      <c r="AB626" s="19" t="n">
        <f aca="false">IFERROR(INDEX(Scoring!$M:$M,MATCH($C626&amp;"|"&amp;$E626,Scoring!$AD:$AD,0)),"")</f>
        <v>1175</v>
      </c>
      <c r="AC626" s="16" t="str">
        <f aca="false">IFERROR(INDEX('Route of Administration'!$C$5:$C$155,MATCH($C626,'Route of Administration'!$A$5:$A$155,0)),"")</f>
        <v>IV</v>
      </c>
      <c r="AD626" s="15" t="str">
        <f aca="false">IFERROR(INDEX('Route of Administration'!$D$5:$D$155,MATCH($C626,'Route of Administration'!$A$5:$A$155,0)),"")</f>
        <v>No</v>
      </c>
      <c r="AE626" s="15" t="str">
        <f aca="false">IF($AD626="No","Not checked – drug is IV only",IFERROR(INDEX('Route of Administration'!$O$5:$O$170,MATCH($E626&amp;"|"&amp;$C626,'Route of Administration'!$S$5:$S$170,0)),"Not checked – price ≤ USD 5"))</f>
        <v>Not checked – drug is IV only</v>
      </c>
    </row>
    <row r="627" customFormat="false" ht="28.35" hidden="false" customHeight="false" outlineLevel="0" collapsed="false">
      <c r="B627" s="16" t="n">
        <v>625</v>
      </c>
      <c r="C627" s="16" t="s">
        <v>1399</v>
      </c>
      <c r="D627" s="16" t="s">
        <v>1400</v>
      </c>
      <c r="E627" s="16" t="s">
        <v>1392</v>
      </c>
      <c r="F627" s="16" t="s">
        <v>1730</v>
      </c>
      <c r="G627" s="17" t="s">
        <v>2653</v>
      </c>
      <c r="H627" s="16" t="s">
        <v>1540</v>
      </c>
      <c r="I627" s="18" t="n">
        <v>118.3449</v>
      </c>
      <c r="J627" s="16" t="n">
        <v>31</v>
      </c>
      <c r="K627" s="16" t="n">
        <v>153</v>
      </c>
      <c r="L627" s="19" t="n">
        <v>8244.44</v>
      </c>
      <c r="M627" s="17" t="s">
        <v>1401</v>
      </c>
      <c r="N627" s="18" t="n">
        <v>118.3449</v>
      </c>
      <c r="O627" s="16" t="s">
        <v>1534</v>
      </c>
      <c r="P627" s="16" t="s">
        <v>1561</v>
      </c>
      <c r="Q627" s="17" t="s">
        <v>1536</v>
      </c>
      <c r="R627" s="78" t="s">
        <v>2654</v>
      </c>
      <c r="S627" s="77" t="n">
        <f aca="false">IFERROR(INDEX('Injectable Value'!$Z$28:$Z$178,MATCH($C627,'Injectable Value'!$A$28:$A$178,0)),"")</f>
        <v>0.749979206504154</v>
      </c>
      <c r="T627" s="19" t="n">
        <f aca="false">IFERROR(ROUND(INDEX('Injectable Value'!$AA$28:$AA$178,MATCH($C627,'Injectable Value'!$A$28:$A$178,0)),1),"")</f>
        <v>6183.2</v>
      </c>
      <c r="U627" s="17" t="s">
        <v>1403</v>
      </c>
      <c r="V627" s="16" t="n">
        <v>2</v>
      </c>
      <c r="W627" s="16" t="s">
        <v>452</v>
      </c>
      <c r="X627" s="16" t="s">
        <v>291</v>
      </c>
      <c r="Y627" s="16" t="s">
        <v>283</v>
      </c>
      <c r="Z627" s="17" t="str">
        <f aca="false">IFERROR(INDEX(Scoring!$U:$U,MATCH($C627&amp;"|"&amp;$E627,Scoring!$AD:$AD,0)),"")</f>
        <v>Prefilled only</v>
      </c>
      <c r="AA627" s="16" t="str">
        <f aca="false">IFERROR(INDEX(Scoring!$E:$E,MATCH($C627&amp;"|"&amp;$E627,Scoring!$AD:$AD,0)),"")</f>
        <v>Priority 2</v>
      </c>
      <c r="AB627" s="19" t="n">
        <f aca="false">IFERROR(INDEX(Scoring!$M:$M,MATCH($C627&amp;"|"&amp;$E627,Scoring!$AD:$AD,0)),"")</f>
        <v>115</v>
      </c>
      <c r="AC627" s="16" t="str">
        <f aca="false">IFERROR(INDEX('Route of Administration'!$C$5:$C$155,MATCH($C627,'Route of Administration'!$A$5:$A$155,0)),"")</f>
        <v>IM</v>
      </c>
      <c r="AD627" s="15" t="str">
        <f aca="false">IFERROR(INDEX('Route of Administration'!$D$5:$D$155,MATCH($C627,'Route of Administration'!$A$5:$A$155,0)),"")</f>
        <v>Yes</v>
      </c>
      <c r="AE627" s="15" t="str">
        <f aca="false">IF($AD627="No","Not checked – drug is IV only",IFERROR(INDEX('Route of Administration'!$O$5:$O$170,MATCH($E627&amp;"|"&amp;$C627,'Route of Administration'!$S$5:$S$170,0)),"Not checked – price ≤ USD 5"))</f>
        <v>Pass</v>
      </c>
    </row>
    <row r="628" customFormat="false" ht="28.35" hidden="false" customHeight="false" outlineLevel="0" collapsed="false">
      <c r="B628" s="16" t="n">
        <v>626</v>
      </c>
      <c r="C628" s="16" t="s">
        <v>1406</v>
      </c>
      <c r="D628" s="16" t="s">
        <v>1407</v>
      </c>
      <c r="E628" s="16" t="s">
        <v>1392</v>
      </c>
      <c r="F628" s="16"/>
      <c r="G628" s="17"/>
      <c r="H628" s="16"/>
      <c r="I628" s="18"/>
      <c r="J628" s="16" t="n">
        <v>31</v>
      </c>
      <c r="K628" s="16" t="n">
        <v>565</v>
      </c>
      <c r="L628" s="19" t="n">
        <v>17324.19</v>
      </c>
      <c r="M628" s="17" t="s">
        <v>1408</v>
      </c>
      <c r="N628" s="82" t="n">
        <v>10.96</v>
      </c>
      <c r="O628" s="64" t="s">
        <v>1541</v>
      </c>
      <c r="P628" s="16" t="s">
        <v>1561</v>
      </c>
      <c r="Q628" s="17" t="s">
        <v>1542</v>
      </c>
      <c r="R628" s="78" t="s">
        <v>1543</v>
      </c>
      <c r="S628" s="77" t="n">
        <f aca="false">IFERROR(INDEX('Injectable Value'!$Z$28:$Z$178,MATCH($C628,'Injectable Value'!$A$28:$A$178,0)),"")</f>
        <v>0.419074437219412</v>
      </c>
      <c r="T628" s="19" t="n">
        <f aca="false">IFERROR(ROUND(INDEX('Injectable Value'!$AA$28:$AA$178,MATCH($C628,'Injectable Value'!$A$28:$A$178,0)),1),"")</f>
        <v>7260.1</v>
      </c>
      <c r="U628" s="17" t="s">
        <v>453</v>
      </c>
      <c r="V628" s="16" t="n">
        <v>1</v>
      </c>
      <c r="W628" s="16" t="s">
        <v>452</v>
      </c>
      <c r="X628" s="16" t="s">
        <v>310</v>
      </c>
      <c r="Y628" s="16" t="s">
        <v>310</v>
      </c>
      <c r="Z628" s="17" t="str">
        <f aca="false">IFERROR(INDEX(Scoring!$U:$U,MATCH($C628&amp;"|"&amp;$E628,Scoring!$AD:$AD,0)),"")</f>
        <v/>
      </c>
      <c r="AA628" s="16" t="str">
        <f aca="false">IFERROR(INDEX(Scoring!$E:$E,MATCH($C628&amp;"|"&amp;$E628,Scoring!$AD:$AD,0)),"")</f>
        <v>Excluded – IV only</v>
      </c>
      <c r="AB628" s="19" t="n">
        <f aca="false">IFERROR(INDEX(Scoring!$M:$M,MATCH($C628&amp;"|"&amp;$E628,Scoring!$AD:$AD,0)),"")</f>
        <v>237</v>
      </c>
      <c r="AC628" s="16" t="str">
        <f aca="false">IFERROR(INDEX('Route of Administration'!$C$5:$C$155,MATCH($C628,'Route of Administration'!$A$5:$A$155,0)),"")</f>
        <v>IV</v>
      </c>
      <c r="AD628" s="15" t="str">
        <f aca="false">IFERROR(INDEX('Route of Administration'!$D$5:$D$155,MATCH($C628,'Route of Administration'!$A$5:$A$155,0)),"")</f>
        <v>No</v>
      </c>
      <c r="AE628" s="15" t="str">
        <f aca="false">IF($AD628="No","Not checked – drug is IV only",IFERROR(INDEX('Route of Administration'!$O$5:$O$170,MATCH($E628&amp;"|"&amp;$C628,'Route of Administration'!$S$5:$S$170,0)),"Not checked – price ≤ USD 5"))</f>
        <v>Not checked – drug is IV only</v>
      </c>
    </row>
    <row r="629" customFormat="false" ht="28.35" hidden="false" customHeight="false" outlineLevel="0" collapsed="false">
      <c r="B629" s="16" t="n">
        <v>627</v>
      </c>
      <c r="C629" s="16" t="s">
        <v>910</v>
      </c>
      <c r="D629" s="16" t="s">
        <v>1405</v>
      </c>
      <c r="E629" s="16" t="s">
        <v>1392</v>
      </c>
      <c r="F629" s="16" t="s">
        <v>1897</v>
      </c>
      <c r="G629" s="17" t="s">
        <v>2123</v>
      </c>
      <c r="H629" s="16" t="s">
        <v>1533</v>
      </c>
      <c r="I629" s="18" t="n">
        <v>7.72</v>
      </c>
      <c r="J629" s="16" t="n">
        <v>1</v>
      </c>
      <c r="K629" s="16" t="n">
        <v>264</v>
      </c>
      <c r="L629" s="19" t="n">
        <v>20408.58</v>
      </c>
      <c r="M629" s="17" t="s">
        <v>596</v>
      </c>
      <c r="N629" s="18" t="n">
        <v>7.72</v>
      </c>
      <c r="O629" s="16" t="s">
        <v>1534</v>
      </c>
      <c r="P629" s="16" t="s">
        <v>1700</v>
      </c>
      <c r="Q629" s="17" t="s">
        <v>1536</v>
      </c>
      <c r="R629" s="78" t="s">
        <v>1814</v>
      </c>
      <c r="S629" s="77" t="n">
        <f aca="false">IFERROR(INDEX('Injectable Value'!$Z$28:$Z$178,MATCH($C629,'Injectable Value'!$A$28:$A$178,0)),"")</f>
        <v>0.989010989010989</v>
      </c>
      <c r="T629" s="19" t="n">
        <f aca="false">IFERROR(ROUND(INDEX('Injectable Value'!$AA$28:$AA$178,MATCH($C629,'Injectable Value'!$A$28:$A$178,0)),1),"")</f>
        <v>20184.3</v>
      </c>
      <c r="U629" s="17" t="s">
        <v>360</v>
      </c>
      <c r="V629" s="16" t="n">
        <v>1</v>
      </c>
      <c r="W629" s="16" t="s">
        <v>112</v>
      </c>
      <c r="X629" s="16" t="s">
        <v>281</v>
      </c>
      <c r="Y629" s="16" t="s">
        <v>283</v>
      </c>
      <c r="Z629" s="17" t="str">
        <f aca="false">IFERROR(INDEX(Scoring!$U:$U,MATCH($C629&amp;"|"&amp;$E629,Scoring!$AD:$AD,0)),"")</f>
        <v/>
      </c>
      <c r="AA629" s="16" t="str">
        <f aca="false">IFERROR(INDEX(Scoring!$E:$E,MATCH($C629&amp;"|"&amp;$E629,Scoring!$AD:$AD,0)),"")</f>
        <v>Excluded – IV only</v>
      </c>
      <c r="AB629" s="19" t="n">
        <f aca="false">IFERROR(INDEX(Scoring!$M:$M,MATCH($C629&amp;"|"&amp;$E629,Scoring!$AD:$AD,0)),"")</f>
        <v>261</v>
      </c>
      <c r="AC629" s="16" t="str">
        <f aca="false">IFERROR(INDEX('Route of Administration'!$C$5:$C$155,MATCH($C629,'Route of Administration'!$A$5:$A$155,0)),"")</f>
        <v>IV</v>
      </c>
      <c r="AD629" s="15" t="str">
        <f aca="false">IFERROR(INDEX('Route of Administration'!$D$5:$D$155,MATCH($C629,'Route of Administration'!$A$5:$A$155,0)),"")</f>
        <v>No</v>
      </c>
      <c r="AE629" s="15" t="str">
        <f aca="false">IF($AD629="No","Not checked – drug is IV only",IFERROR(INDEX('Route of Administration'!$O$5:$O$170,MATCH($E629&amp;"|"&amp;$C629,'Route of Administration'!$S$5:$S$170,0)),"Not checked – price ≤ USD 5"))</f>
        <v>Not checked – drug is IV only</v>
      </c>
    </row>
    <row r="630" customFormat="false" ht="28.35" hidden="false" customHeight="false" outlineLevel="0" collapsed="false">
      <c r="B630" s="16" t="n">
        <v>628</v>
      </c>
      <c r="C630" s="16" t="s">
        <v>483</v>
      </c>
      <c r="D630" s="16" t="s">
        <v>2655</v>
      </c>
      <c r="E630" s="16" t="s">
        <v>243</v>
      </c>
      <c r="F630" s="16" t="s">
        <v>2031</v>
      </c>
      <c r="G630" s="17" t="s">
        <v>1734</v>
      </c>
      <c r="H630" s="16" t="s">
        <v>1533</v>
      </c>
      <c r="I630" s="18" t="n">
        <v>10.97</v>
      </c>
      <c r="J630" s="16" t="n">
        <v>1</v>
      </c>
      <c r="K630" s="16" t="n">
        <v>1185</v>
      </c>
      <c r="L630" s="19" t="n">
        <v>59407.06</v>
      </c>
      <c r="M630" s="17" t="s">
        <v>485</v>
      </c>
      <c r="N630" s="18" t="n">
        <v>10.97</v>
      </c>
      <c r="O630" s="16" t="s">
        <v>1534</v>
      </c>
      <c r="P630" s="16" t="s">
        <v>1535</v>
      </c>
      <c r="Q630" s="17" t="s">
        <v>1536</v>
      </c>
      <c r="R630" s="78" t="s">
        <v>2549</v>
      </c>
      <c r="S630" s="77" t="n">
        <f aca="false">IFERROR(INDEX('Injectable Value'!$Z$28:$Z$178,MATCH($C630,'Injectable Value'!$A$28:$A$178,0)),"")</f>
        <v>0.991808067465962</v>
      </c>
      <c r="T630" s="19" t="n">
        <f aca="false">IFERROR(ROUND(INDEX('Injectable Value'!$AA$28:$AA$178,MATCH($C630,'Injectable Value'!$A$28:$A$178,0)),1),"")</f>
        <v>58920.4</v>
      </c>
      <c r="U630" s="17" t="s">
        <v>1415</v>
      </c>
      <c r="V630" s="16" t="n">
        <v>10</v>
      </c>
      <c r="W630" s="16" t="s">
        <v>334</v>
      </c>
      <c r="X630" s="16" t="s">
        <v>281</v>
      </c>
      <c r="Y630" s="16" t="s">
        <v>333</v>
      </c>
      <c r="Z630" s="17" t="str">
        <f aca="false">IFERROR(INDEX(Scoring!$U:$U,MATCH($C630&amp;"|"&amp;$E630,Scoring!$AD:$AD,0)),"")</f>
        <v>Reconstitution</v>
      </c>
      <c r="AA630" s="16" t="str">
        <f aca="false">IFERROR(INDEX(Scoring!$E:$E,MATCH($C630&amp;"|"&amp;$E630,Scoring!$AD:$AD,0)),"")</f>
        <v>Excluded – IV only</v>
      </c>
      <c r="AB630" s="19" t="n">
        <f aca="false">IFERROR(INDEX(Scoring!$M:$M,MATCH($C630&amp;"|"&amp;$E630,Scoring!$AD:$AD,0)),"")</f>
        <v>1175</v>
      </c>
      <c r="AC630" s="16" t="str">
        <f aca="false">IFERROR(INDEX('Route of Administration'!$C$5:$C$155,MATCH($C630,'Route of Administration'!$A$5:$A$155,0)),"")</f>
        <v>IV</v>
      </c>
      <c r="AD630" s="15" t="str">
        <f aca="false">IFERROR(INDEX('Route of Administration'!$D$5:$D$155,MATCH($C630,'Route of Administration'!$A$5:$A$155,0)),"")</f>
        <v>No</v>
      </c>
      <c r="AE630" s="15" t="str">
        <f aca="false">IF($AD630="No","Not checked – drug is IV only",IFERROR(INDEX('Route of Administration'!$O$5:$O$170,MATCH($E630&amp;"|"&amp;$C630,'Route of Administration'!$S$5:$S$170,0)),"Not checked – price ≤ USD 5"))</f>
        <v>Not checked – drug is IV only</v>
      </c>
    </row>
    <row r="631" customFormat="false" ht="28.35" hidden="false" customHeight="false" outlineLevel="0" collapsed="false">
      <c r="B631" s="16" t="n">
        <v>629</v>
      </c>
      <c r="C631" s="16" t="s">
        <v>76</v>
      </c>
      <c r="D631" s="16" t="s">
        <v>76</v>
      </c>
      <c r="E631" s="16" t="s">
        <v>243</v>
      </c>
      <c r="F631" s="16" t="s">
        <v>2656</v>
      </c>
      <c r="G631" s="17" t="s">
        <v>2657</v>
      </c>
      <c r="H631" s="16" t="s">
        <v>1533</v>
      </c>
      <c r="I631" s="18" t="n">
        <v>25.36</v>
      </c>
      <c r="J631" s="16" t="n">
        <v>1</v>
      </c>
      <c r="K631" s="16" t="n">
        <v>3110</v>
      </c>
      <c r="L631" s="19" t="n">
        <v>93119.22</v>
      </c>
      <c r="M631" s="17" t="s">
        <v>370</v>
      </c>
      <c r="N631" s="18" t="n">
        <v>25.36</v>
      </c>
      <c r="O631" s="16" t="s">
        <v>1534</v>
      </c>
      <c r="P631" s="16" t="s">
        <v>1535</v>
      </c>
      <c r="Q631" s="17" t="s">
        <v>1536</v>
      </c>
      <c r="R631" s="78" t="s">
        <v>2658</v>
      </c>
      <c r="S631" s="77" t="n">
        <f aca="false">IFERROR(INDEX('Injectable Value'!$Z$28:$Z$178,MATCH($C631,'Injectable Value'!$A$28:$A$178,0)),"")</f>
        <v>1</v>
      </c>
      <c r="T631" s="19" t="n">
        <f aca="false">IFERROR(ROUND(INDEX('Injectable Value'!$AA$28:$AA$178,MATCH($C631,'Injectable Value'!$A$28:$A$178,0)),1),"")</f>
        <v>93119.2</v>
      </c>
      <c r="U631" s="17" t="s">
        <v>1144</v>
      </c>
      <c r="V631" s="16" t="n">
        <v>1</v>
      </c>
      <c r="W631" s="16" t="s">
        <v>1144</v>
      </c>
      <c r="X631" s="16" t="s">
        <v>281</v>
      </c>
      <c r="Y631" s="16" t="s">
        <v>333</v>
      </c>
      <c r="Z631" s="17" t="str">
        <f aca="false">IFERROR(INDEX(Scoring!$U:$U,MATCH($C631&amp;"|"&amp;$E631,Scoring!$AD:$AD,0)),"")</f>
        <v>Reconstitution</v>
      </c>
      <c r="AA631" s="16" t="str">
        <f aca="false">IFERROR(INDEX(Scoring!$E:$E,MATCH($C631&amp;"|"&amp;$E631,Scoring!$AD:$AD,0)),"")</f>
        <v>Priority 1</v>
      </c>
      <c r="AB631" s="19" t="n">
        <f aca="false">IFERROR(INDEX(Scoring!$M:$M,MATCH($C631&amp;"|"&amp;$E631,Scoring!$AD:$AD,0)),"")</f>
        <v>3110</v>
      </c>
      <c r="AC631" s="16" t="str">
        <f aca="false">IFERROR(INDEX('Route of Administration'!$C$5:$C$155,MATCH($C631,'Route of Administration'!$A$5:$A$155,0)),"")</f>
        <v>IV, IM</v>
      </c>
      <c r="AD631" s="15" t="str">
        <f aca="false">IFERROR(INDEX('Route of Administration'!$D$5:$D$155,MATCH($C631,'Route of Administration'!$A$5:$A$155,0)),"")</f>
        <v>Yes</v>
      </c>
      <c r="AE631" s="15" t="str">
        <f aca="false">IF($AD631="No","Not checked – drug is IV only",IFERROR(INDEX('Route of Administration'!$O$5:$O$170,MATCH($E631&amp;"|"&amp;$C631,'Route of Administration'!$S$5:$S$170,0)),"Not checked – price ≤ USD 5"))</f>
        <v>Pass</v>
      </c>
    </row>
    <row r="632" customFormat="false" ht="28.35" hidden="false" customHeight="false" outlineLevel="0" collapsed="false">
      <c r="B632" s="16" t="n">
        <v>630</v>
      </c>
      <c r="C632" s="16" t="s">
        <v>362</v>
      </c>
      <c r="D632" s="16" t="s">
        <v>1411</v>
      </c>
      <c r="E632" s="16" t="s">
        <v>243</v>
      </c>
      <c r="F632" s="16" t="s">
        <v>2656</v>
      </c>
      <c r="G632" s="17" t="s">
        <v>1693</v>
      </c>
      <c r="H632" s="16" t="s">
        <v>1533</v>
      </c>
      <c r="I632" s="18" t="n">
        <v>34.58</v>
      </c>
      <c r="J632" s="16" t="n">
        <v>1</v>
      </c>
      <c r="K632" s="16" t="n">
        <v>335</v>
      </c>
      <c r="L632" s="19" t="n">
        <v>5713.56</v>
      </c>
      <c r="M632" s="17" t="s">
        <v>364</v>
      </c>
      <c r="N632" s="18" t="n">
        <v>34.58</v>
      </c>
      <c r="O632" s="16" t="s">
        <v>1534</v>
      </c>
      <c r="P632" s="16" t="s">
        <v>1535</v>
      </c>
      <c r="Q632" s="17" t="s">
        <v>1536</v>
      </c>
      <c r="R632" s="78" t="s">
        <v>2659</v>
      </c>
      <c r="S632" s="77" t="n">
        <f aca="false">IFERROR(INDEX('Injectable Value'!$Z$28:$Z$178,MATCH($C632,'Injectable Value'!$A$28:$A$178,0)),"")</f>
        <v>1</v>
      </c>
      <c r="T632" s="19" t="n">
        <f aca="false">IFERROR(ROUND(INDEX('Injectable Value'!$AA$28:$AA$178,MATCH($C632,'Injectable Value'!$A$28:$A$178,0)),1),"")</f>
        <v>5713.6</v>
      </c>
      <c r="U632" s="17" t="s">
        <v>1144</v>
      </c>
      <c r="V632" s="16" t="n">
        <v>1</v>
      </c>
      <c r="W632" s="16" t="s">
        <v>1144</v>
      </c>
      <c r="X632" s="16" t="s">
        <v>281</v>
      </c>
      <c r="Y632" s="16" t="s">
        <v>310</v>
      </c>
      <c r="Z632" s="17" t="str">
        <f aca="false">IFERROR(INDEX(Scoring!$U:$U,MATCH($C632&amp;"|"&amp;$E632,Scoring!$AD:$AD,0)),"")</f>
        <v/>
      </c>
      <c r="AA632" s="16" t="str">
        <f aca="false">IFERROR(INDEX(Scoring!$E:$E,MATCH($C632&amp;"|"&amp;$E632,Scoring!$AD:$AD,0)),"")</f>
        <v>Excluded – IV only</v>
      </c>
      <c r="AB632" s="19" t="n">
        <f aca="false">IFERROR(INDEX(Scoring!$M:$M,MATCH($C632&amp;"|"&amp;$E632,Scoring!$AD:$AD,0)),"")</f>
        <v>335</v>
      </c>
      <c r="AC632" s="16" t="str">
        <f aca="false">IFERROR(INDEX('Route of Administration'!$C$5:$C$155,MATCH($C632,'Route of Administration'!$A$5:$A$155,0)),"")</f>
        <v>IV, IM</v>
      </c>
      <c r="AD632" s="15" t="str">
        <f aca="false">IFERROR(INDEX('Route of Administration'!$D$5:$D$155,MATCH($C632,'Route of Administration'!$A$5:$A$155,0)),"")</f>
        <v>Yes</v>
      </c>
      <c r="AE632" s="15" t="str">
        <f aca="false">IF($AD632="No","Not checked – drug is IV only",IFERROR(INDEX('Route of Administration'!$O$5:$O$170,MATCH($E632&amp;"|"&amp;$C632,'Route of Administration'!$S$5:$S$170,0)),"Not checked – price ≤ USD 5"))</f>
        <v>Fail</v>
      </c>
    </row>
    <row r="633" customFormat="false" ht="28.35" hidden="false" customHeight="false" outlineLevel="0" collapsed="false">
      <c r="B633" s="16" t="n">
        <v>631</v>
      </c>
      <c r="C633" s="16" t="s">
        <v>615</v>
      </c>
      <c r="D633" s="16" t="s">
        <v>1410</v>
      </c>
      <c r="E633" s="16" t="s">
        <v>243</v>
      </c>
      <c r="F633" s="16" t="s">
        <v>2660</v>
      </c>
      <c r="G633" s="17" t="s">
        <v>2661</v>
      </c>
      <c r="H633" s="16" t="s">
        <v>1533</v>
      </c>
      <c r="I633" s="18" t="n">
        <v>81.96</v>
      </c>
      <c r="J633" s="16" t="n">
        <v>1</v>
      </c>
      <c r="K633" s="16" t="n">
        <v>441</v>
      </c>
      <c r="L633" s="19" t="n">
        <v>3973.65</v>
      </c>
      <c r="M633" s="17" t="s">
        <v>617</v>
      </c>
      <c r="N633" s="18" t="n">
        <v>81.96</v>
      </c>
      <c r="O633" s="16" t="s">
        <v>1534</v>
      </c>
      <c r="P633" s="16" t="s">
        <v>1535</v>
      </c>
      <c r="Q633" s="17" t="s">
        <v>1536</v>
      </c>
      <c r="R633" s="78" t="s">
        <v>2662</v>
      </c>
      <c r="S633" s="77" t="n">
        <f aca="false">IFERROR(INDEX('Injectable Value'!$Z$28:$Z$178,MATCH($C633,'Injectable Value'!$A$28:$A$178,0)),"")</f>
        <v>1</v>
      </c>
      <c r="T633" s="19" t="n">
        <f aca="false">IFERROR(ROUND(INDEX('Injectable Value'!$AA$28:$AA$178,MATCH($C633,'Injectable Value'!$A$28:$A$178,0)),1),"")</f>
        <v>3973.7</v>
      </c>
      <c r="U633" s="17" t="s">
        <v>1144</v>
      </c>
      <c r="V633" s="16" t="n">
        <v>1</v>
      </c>
      <c r="W633" s="16" t="s">
        <v>1144</v>
      </c>
      <c r="X633" s="16" t="s">
        <v>281</v>
      </c>
      <c r="Y633" s="16" t="s">
        <v>333</v>
      </c>
      <c r="Z633" s="17" t="str">
        <f aca="false">IFERROR(INDEX(Scoring!$U:$U,MATCH($C633&amp;"|"&amp;$E633,Scoring!$AD:$AD,0)),"")</f>
        <v>Cancer drug (cytotoxic) – less relevant; Reconstitution</v>
      </c>
      <c r="AA633" s="16" t="str">
        <f aca="false">IFERROR(INDEX(Scoring!$E:$E,MATCH($C633&amp;"|"&amp;$E633,Scoring!$AD:$AD,0)),"")</f>
        <v>Priority 1</v>
      </c>
      <c r="AB633" s="19" t="n">
        <f aca="false">IFERROR(INDEX(Scoring!$M:$M,MATCH($C633&amp;"|"&amp;$E633,Scoring!$AD:$AD,0)),"")</f>
        <v>441</v>
      </c>
      <c r="AC633" s="16" t="str">
        <f aca="false">IFERROR(INDEX('Route of Administration'!$C$5:$C$155,MATCH($C633,'Route of Administration'!$A$5:$A$155,0)),"")</f>
        <v>IV, IM, SC</v>
      </c>
      <c r="AD633" s="15" t="str">
        <f aca="false">IFERROR(INDEX('Route of Administration'!$D$5:$D$155,MATCH($C633,'Route of Administration'!$A$5:$A$155,0)),"")</f>
        <v>Yes</v>
      </c>
      <c r="AE633" s="15" t="str">
        <f aca="false">IF($AD633="No","Not checked – drug is IV only",IFERROR(INDEX('Route of Administration'!$O$5:$O$170,MATCH($E633&amp;"|"&amp;$C633,'Route of Administration'!$S$5:$S$170,0)),"Not checked – price ≤ USD 5"))</f>
        <v>Pass</v>
      </c>
    </row>
    <row r="634" customFormat="false" ht="28.35" hidden="false" customHeight="false" outlineLevel="0" collapsed="false">
      <c r="B634" s="16" t="n">
        <v>632</v>
      </c>
      <c r="C634" s="16" t="s">
        <v>483</v>
      </c>
      <c r="D634" s="16" t="s">
        <v>2663</v>
      </c>
      <c r="E634" s="16" t="s">
        <v>243</v>
      </c>
      <c r="F634" s="16" t="s">
        <v>1733</v>
      </c>
      <c r="G634" s="17" t="s">
        <v>1734</v>
      </c>
      <c r="H634" s="16" t="s">
        <v>1533</v>
      </c>
      <c r="I634" s="18" t="n">
        <v>12.0797</v>
      </c>
      <c r="J634" s="16" t="n">
        <v>29</v>
      </c>
      <c r="K634" s="16" t="n">
        <v>1185</v>
      </c>
      <c r="L634" s="19" t="n">
        <v>59407.06</v>
      </c>
      <c r="M634" s="17" t="s">
        <v>485</v>
      </c>
      <c r="N634" s="18" t="n">
        <v>12.0797</v>
      </c>
      <c r="O634" s="16" t="s">
        <v>1534</v>
      </c>
      <c r="P634" s="16" t="s">
        <v>1700</v>
      </c>
      <c r="Q634" s="17" t="s">
        <v>1536</v>
      </c>
      <c r="R634" s="78" t="s">
        <v>1701</v>
      </c>
      <c r="S634" s="77" t="n">
        <f aca="false">IFERROR(INDEX('Injectable Value'!$Z$28:$Z$178,MATCH($C634,'Injectable Value'!$A$28:$A$178,0)),"")</f>
        <v>0.991808067465962</v>
      </c>
      <c r="T634" s="19" t="n">
        <f aca="false">IFERROR(ROUND(INDEX('Injectable Value'!$AA$28:$AA$178,MATCH($C634,'Injectable Value'!$A$28:$A$178,0)),1),"")</f>
        <v>58920.4</v>
      </c>
      <c r="U634" s="17" t="s">
        <v>1415</v>
      </c>
      <c r="V634" s="16" t="n">
        <v>10</v>
      </c>
      <c r="W634" s="16" t="s">
        <v>334</v>
      </c>
      <c r="X634" s="16" t="s">
        <v>281</v>
      </c>
      <c r="Y634" s="16" t="s">
        <v>333</v>
      </c>
      <c r="Z634" s="17" t="str">
        <f aca="false">IFERROR(INDEX(Scoring!$U:$U,MATCH($C634&amp;"|"&amp;$E634,Scoring!$AD:$AD,0)),"")</f>
        <v>Reconstitution</v>
      </c>
      <c r="AA634" s="16" t="str">
        <f aca="false">IFERROR(INDEX(Scoring!$E:$E,MATCH($C634&amp;"|"&amp;$E634,Scoring!$AD:$AD,0)),"")</f>
        <v>Excluded – IV only</v>
      </c>
      <c r="AB634" s="19" t="n">
        <f aca="false">IFERROR(INDEX(Scoring!$M:$M,MATCH($C634&amp;"|"&amp;$E634,Scoring!$AD:$AD,0)),"")</f>
        <v>1175</v>
      </c>
      <c r="AC634" s="16" t="str">
        <f aca="false">IFERROR(INDEX('Route of Administration'!$C$5:$C$155,MATCH($C634,'Route of Administration'!$A$5:$A$155,0)),"")</f>
        <v>IV</v>
      </c>
      <c r="AD634" s="15" t="str">
        <f aca="false">IFERROR(INDEX('Route of Administration'!$D$5:$D$155,MATCH($C634,'Route of Administration'!$A$5:$A$155,0)),"")</f>
        <v>No</v>
      </c>
      <c r="AE634" s="15" t="str">
        <f aca="false">IF($AD634="No","Not checked – drug is IV only",IFERROR(INDEX('Route of Administration'!$O$5:$O$170,MATCH($E634&amp;"|"&amp;$C634,'Route of Administration'!$S$5:$S$170,0)),"Not checked – price ≤ USD 5"))</f>
        <v>Not checked – drug is IV only</v>
      </c>
    </row>
    <row r="635" customFormat="false" ht="28.35" hidden="false" customHeight="false" outlineLevel="0" collapsed="false">
      <c r="B635" s="16" t="n">
        <v>633</v>
      </c>
      <c r="C635" s="16" t="s">
        <v>483</v>
      </c>
      <c r="D635" s="16" t="s">
        <v>2663</v>
      </c>
      <c r="E635" s="16" t="s">
        <v>243</v>
      </c>
      <c r="F635" s="16" t="s">
        <v>1733</v>
      </c>
      <c r="G635" s="17" t="s">
        <v>1734</v>
      </c>
      <c r="H635" s="16" t="s">
        <v>1533</v>
      </c>
      <c r="I635" s="18" t="n">
        <v>12.0797</v>
      </c>
      <c r="J635" s="16" t="n">
        <v>30</v>
      </c>
      <c r="K635" s="16" t="n">
        <v>1185</v>
      </c>
      <c r="L635" s="19" t="n">
        <v>59407.06</v>
      </c>
      <c r="M635" s="17" t="s">
        <v>485</v>
      </c>
      <c r="N635" s="18" t="n">
        <v>12.0797</v>
      </c>
      <c r="O635" s="16" t="s">
        <v>1534</v>
      </c>
      <c r="P635" s="16" t="s">
        <v>1700</v>
      </c>
      <c r="Q635" s="17" t="s">
        <v>1536</v>
      </c>
      <c r="R635" s="78" t="s">
        <v>1701</v>
      </c>
      <c r="S635" s="77" t="n">
        <f aca="false">IFERROR(INDEX('Injectable Value'!$Z$28:$Z$178,MATCH($C635,'Injectable Value'!$A$28:$A$178,0)),"")</f>
        <v>0.991808067465962</v>
      </c>
      <c r="T635" s="19" t="n">
        <f aca="false">IFERROR(ROUND(INDEX('Injectable Value'!$AA$28:$AA$178,MATCH($C635,'Injectable Value'!$A$28:$A$178,0)),1),"")</f>
        <v>58920.4</v>
      </c>
      <c r="U635" s="17" t="s">
        <v>1415</v>
      </c>
      <c r="V635" s="16" t="n">
        <v>10</v>
      </c>
      <c r="W635" s="16" t="s">
        <v>334</v>
      </c>
      <c r="X635" s="16" t="s">
        <v>281</v>
      </c>
      <c r="Y635" s="16" t="s">
        <v>333</v>
      </c>
      <c r="Z635" s="17" t="str">
        <f aca="false">IFERROR(INDEX(Scoring!$U:$U,MATCH($C635&amp;"|"&amp;$E635,Scoring!$AD:$AD,0)),"")</f>
        <v>Reconstitution</v>
      </c>
      <c r="AA635" s="16" t="str">
        <f aca="false">IFERROR(INDEX(Scoring!$E:$E,MATCH($C635&amp;"|"&amp;$E635,Scoring!$AD:$AD,0)),"")</f>
        <v>Excluded – IV only</v>
      </c>
      <c r="AB635" s="19" t="n">
        <f aca="false">IFERROR(INDEX(Scoring!$M:$M,MATCH($C635&amp;"|"&amp;$E635,Scoring!$AD:$AD,0)),"")</f>
        <v>1175</v>
      </c>
      <c r="AC635" s="16" t="str">
        <f aca="false">IFERROR(INDEX('Route of Administration'!$C$5:$C$155,MATCH($C635,'Route of Administration'!$A$5:$A$155,0)),"")</f>
        <v>IV</v>
      </c>
      <c r="AD635" s="15" t="str">
        <f aca="false">IFERROR(INDEX('Route of Administration'!$D$5:$D$155,MATCH($C635,'Route of Administration'!$A$5:$A$155,0)),"")</f>
        <v>No</v>
      </c>
      <c r="AE635" s="15" t="str">
        <f aca="false">IF($AD635="No","Not checked – drug is IV only",IFERROR(INDEX('Route of Administration'!$O$5:$O$170,MATCH($E635&amp;"|"&amp;$C635,'Route of Administration'!$S$5:$S$170,0)),"Not checked – price ≤ USD 5"))</f>
        <v>Not checked – drug is IV only</v>
      </c>
    </row>
    <row r="636" customFormat="false" ht="28.35" hidden="false" customHeight="false" outlineLevel="0" collapsed="false">
      <c r="B636" s="16" t="n">
        <v>634</v>
      </c>
      <c r="C636" s="16" t="s">
        <v>526</v>
      </c>
      <c r="D636" s="16" t="s">
        <v>527</v>
      </c>
      <c r="E636" s="16" t="s">
        <v>244</v>
      </c>
      <c r="F636" s="16" t="s">
        <v>1595</v>
      </c>
      <c r="G636" s="17" t="s">
        <v>2664</v>
      </c>
      <c r="H636" s="16" t="s">
        <v>1533</v>
      </c>
      <c r="I636" s="18" t="n">
        <v>10.93</v>
      </c>
      <c r="J636" s="16" t="n">
        <v>1</v>
      </c>
      <c r="K636" s="16" t="n">
        <v>10</v>
      </c>
      <c r="L636" s="19" t="n">
        <v>280.98</v>
      </c>
      <c r="M636" s="17" t="s">
        <v>509</v>
      </c>
      <c r="N636" s="18" t="n">
        <v>10.93</v>
      </c>
      <c r="O636" s="16" t="s">
        <v>1534</v>
      </c>
      <c r="P636" s="16" t="s">
        <v>1535</v>
      </c>
      <c r="Q636" s="17" t="s">
        <v>1536</v>
      </c>
      <c r="R636" s="78" t="s">
        <v>1606</v>
      </c>
      <c r="S636" s="77" t="n">
        <f aca="false">IFERROR(INDEX('Injectable Value'!$Z$28:$Z$178,MATCH($C636,'Injectable Value'!$A$28:$A$178,0)),"")</f>
        <v>0.928571428571429</v>
      </c>
      <c r="T636" s="19" t="n">
        <f aca="false">IFERROR(ROUND(INDEX('Injectable Value'!$AA$28:$AA$178,MATCH($C636,'Injectable Value'!$A$28:$A$178,0)),1),"")</f>
        <v>260.9</v>
      </c>
      <c r="U636" s="17" t="s">
        <v>284</v>
      </c>
      <c r="V636" s="16" t="n">
        <v>1</v>
      </c>
      <c r="W636" s="16" t="s">
        <v>284</v>
      </c>
      <c r="X636" s="16" t="s">
        <v>281</v>
      </c>
      <c r="Y636" s="16" t="s">
        <v>333</v>
      </c>
      <c r="Z636" s="17" t="str">
        <f aca="false">IFERROR(INDEX(Scoring!$U:$U,MATCH($C636&amp;"|"&amp;$E636,Scoring!$AD:$AD,0)),"")</f>
        <v>Reconstitution</v>
      </c>
      <c r="AA636" s="16" t="str">
        <f aca="false">IFERROR(INDEX(Scoring!$E:$E,MATCH($C636&amp;"|"&amp;$E636,Scoring!$AD:$AD,0)),"")</f>
        <v>Priority 3</v>
      </c>
      <c r="AB636" s="19" t="n">
        <f aca="false">IFERROR(INDEX(Scoring!$M:$M,MATCH($C636&amp;"|"&amp;$E636,Scoring!$AD:$AD,0)),"")</f>
        <v>9</v>
      </c>
      <c r="AC636" s="16" t="str">
        <f aca="false">IFERROR(INDEX('Route of Administration'!$C$5:$C$155,MATCH($C636,'Route of Administration'!$A$5:$A$155,0)),"")</f>
        <v>IV, IM</v>
      </c>
      <c r="AD636" s="15" t="str">
        <f aca="false">IFERROR(INDEX('Route of Administration'!$D$5:$D$155,MATCH($C636,'Route of Administration'!$A$5:$A$155,0)),"")</f>
        <v>Yes</v>
      </c>
      <c r="AE636" s="15" t="str">
        <f aca="false">IF($AD636="No","Not checked – drug is IV only",IFERROR(INDEX('Route of Administration'!$O$5:$O$170,MATCH($E636&amp;"|"&amp;$C636,'Route of Administration'!$S$5:$S$170,0)),"Not checked – price ≤ USD 5"))</f>
        <v>Pass</v>
      </c>
    </row>
    <row r="637" customFormat="false" ht="28.35" hidden="false" customHeight="false" outlineLevel="0" collapsed="false">
      <c r="B637" s="16" t="n">
        <v>635</v>
      </c>
      <c r="C637" s="16" t="s">
        <v>526</v>
      </c>
      <c r="D637" s="16" t="s">
        <v>527</v>
      </c>
      <c r="E637" s="16" t="s">
        <v>244</v>
      </c>
      <c r="F637" s="16" t="s">
        <v>1598</v>
      </c>
      <c r="G637" s="17" t="s">
        <v>2664</v>
      </c>
      <c r="H637" s="16" t="s">
        <v>1533</v>
      </c>
      <c r="I637" s="18"/>
      <c r="J637" s="16" t="n">
        <v>1</v>
      </c>
      <c r="K637" s="16" t="n">
        <v>10</v>
      </c>
      <c r="L637" s="19" t="n">
        <v>280.98</v>
      </c>
      <c r="M637" s="17" t="s">
        <v>509</v>
      </c>
      <c r="N637" s="18"/>
      <c r="O637" s="16" t="s">
        <v>1573</v>
      </c>
      <c r="P637" s="16" t="s">
        <v>112</v>
      </c>
      <c r="Q637" s="17" t="s">
        <v>112</v>
      </c>
      <c r="R637" s="16"/>
      <c r="S637" s="77" t="n">
        <f aca="false">IFERROR(INDEX('Injectable Value'!$Z$28:$Z$178,MATCH($C637,'Injectable Value'!$A$28:$A$178,0)),"")</f>
        <v>0.928571428571429</v>
      </c>
      <c r="T637" s="19" t="n">
        <f aca="false">IFERROR(ROUND(INDEX('Injectable Value'!$AA$28:$AA$178,MATCH($C637,'Injectable Value'!$A$28:$A$178,0)),1),"")</f>
        <v>260.9</v>
      </c>
      <c r="U637" s="17" t="s">
        <v>284</v>
      </c>
      <c r="V637" s="16" t="n">
        <v>1</v>
      </c>
      <c r="W637" s="16" t="s">
        <v>284</v>
      </c>
      <c r="X637" s="16" t="s">
        <v>281</v>
      </c>
      <c r="Y637" s="16" t="s">
        <v>333</v>
      </c>
      <c r="Z637" s="17" t="str">
        <f aca="false">IFERROR(INDEX(Scoring!$U:$U,MATCH($C637&amp;"|"&amp;$E637,Scoring!$AD:$AD,0)),"")</f>
        <v>Reconstitution</v>
      </c>
      <c r="AA637" s="16" t="str">
        <f aca="false">IFERROR(INDEX(Scoring!$E:$E,MATCH($C637&amp;"|"&amp;$E637,Scoring!$AD:$AD,0)),"")</f>
        <v>Priority 3</v>
      </c>
      <c r="AB637" s="19" t="n">
        <f aca="false">IFERROR(INDEX(Scoring!$M:$M,MATCH($C637&amp;"|"&amp;$E637,Scoring!$AD:$AD,0)),"")</f>
        <v>9</v>
      </c>
      <c r="AC637" s="16" t="str">
        <f aca="false">IFERROR(INDEX('Route of Administration'!$C$5:$C$155,MATCH($C637,'Route of Administration'!$A$5:$A$155,0)),"")</f>
        <v>IV, IM</v>
      </c>
      <c r="AD637" s="15" t="str">
        <f aca="false">IFERROR(INDEX('Route of Administration'!$D$5:$D$155,MATCH($C637,'Route of Administration'!$A$5:$A$155,0)),"")</f>
        <v>Yes</v>
      </c>
      <c r="AE637" s="15" t="str">
        <f aca="false">IF($AD637="No","Not checked – drug is IV only",IFERROR(INDEX('Route of Administration'!$O$5:$O$170,MATCH($E637&amp;"|"&amp;$C637,'Route of Administration'!$S$5:$S$170,0)),"Not checked – price ≤ USD 5"))</f>
        <v>Pass</v>
      </c>
    </row>
    <row r="638" customFormat="false" ht="41.75" hidden="false" customHeight="false" outlineLevel="0" collapsed="false">
      <c r="B638" s="16" t="n">
        <v>636</v>
      </c>
      <c r="C638" s="16" t="s">
        <v>76</v>
      </c>
      <c r="D638" s="16" t="s">
        <v>76</v>
      </c>
      <c r="E638" s="16" t="s">
        <v>244</v>
      </c>
      <c r="F638" s="16" t="s">
        <v>2665</v>
      </c>
      <c r="G638" s="17" t="s">
        <v>2666</v>
      </c>
      <c r="H638" s="16" t="s">
        <v>1533</v>
      </c>
      <c r="I638" s="18" t="n">
        <v>5.24</v>
      </c>
      <c r="J638" s="16" t="n">
        <v>1</v>
      </c>
      <c r="K638" s="16" t="n">
        <v>3110</v>
      </c>
      <c r="L638" s="19" t="n">
        <v>93119.22</v>
      </c>
      <c r="M638" s="17" t="s">
        <v>370</v>
      </c>
      <c r="N638" s="18" t="n">
        <v>5.24</v>
      </c>
      <c r="O638" s="16" t="s">
        <v>1534</v>
      </c>
      <c r="P638" s="16" t="s">
        <v>1535</v>
      </c>
      <c r="Q638" s="17" t="s">
        <v>1536</v>
      </c>
      <c r="R638" s="78" t="s">
        <v>2667</v>
      </c>
      <c r="S638" s="77" t="n">
        <f aca="false">IFERROR(INDEX('Injectable Value'!$Z$28:$Z$178,MATCH($C638,'Injectable Value'!$A$28:$A$178,0)),"")</f>
        <v>1</v>
      </c>
      <c r="T638" s="19" t="n">
        <f aca="false">IFERROR(ROUND(INDEX('Injectable Value'!$AA$28:$AA$178,MATCH($C638,'Injectable Value'!$A$28:$A$178,0)),1),"")</f>
        <v>93119.2</v>
      </c>
      <c r="U638" s="17" t="s">
        <v>1427</v>
      </c>
      <c r="V638" s="16" t="n">
        <v>5</v>
      </c>
      <c r="W638" s="16" t="s">
        <v>855</v>
      </c>
      <c r="X638" s="16" t="s">
        <v>281</v>
      </c>
      <c r="Y638" s="16" t="s">
        <v>310</v>
      </c>
      <c r="Z638" s="17" t="str">
        <f aca="false">IFERROR(INDEX(Scoring!$U:$U,MATCH($C638&amp;"|"&amp;$E638,Scoring!$AD:$AD,0)),"")</f>
        <v>Reconstitution</v>
      </c>
      <c r="AA638" s="16" t="str">
        <f aca="false">IFERROR(INDEX(Scoring!$E:$E,MATCH($C638&amp;"|"&amp;$E638,Scoring!$AD:$AD,0)),"")</f>
        <v>Priority 2</v>
      </c>
      <c r="AB638" s="19" t="n">
        <f aca="false">IFERROR(INDEX(Scoring!$M:$M,MATCH($C638&amp;"|"&amp;$E638,Scoring!$AD:$AD,0)),"")</f>
        <v>3110</v>
      </c>
      <c r="AC638" s="16" t="str">
        <f aca="false">IFERROR(INDEX('Route of Administration'!$C$5:$C$155,MATCH($C638,'Route of Administration'!$A$5:$A$155,0)),"")</f>
        <v>IV, IM</v>
      </c>
      <c r="AD638" s="15" t="str">
        <f aca="false">IFERROR(INDEX('Route of Administration'!$D$5:$D$155,MATCH($C638,'Route of Administration'!$A$5:$A$155,0)),"")</f>
        <v>Yes</v>
      </c>
      <c r="AE638" s="15" t="str">
        <f aca="false">IF($AD638="No","Not checked – drug is IV only",IFERROR(INDEX('Route of Administration'!$O$5:$O$170,MATCH($E638&amp;"|"&amp;$C638,'Route of Administration'!$S$5:$S$170,0)),"Not checked – price ≤ USD 5"))</f>
        <v>Pass</v>
      </c>
    </row>
    <row r="639" customFormat="false" ht="28.35" hidden="false" customHeight="false" outlineLevel="0" collapsed="false">
      <c r="B639" s="16" t="n">
        <v>637</v>
      </c>
      <c r="C639" s="16" t="s">
        <v>76</v>
      </c>
      <c r="D639" s="16" t="s">
        <v>76</v>
      </c>
      <c r="E639" s="16" t="s">
        <v>244</v>
      </c>
      <c r="F639" s="16" t="s">
        <v>2567</v>
      </c>
      <c r="G639" s="17" t="s">
        <v>2668</v>
      </c>
      <c r="H639" s="16" t="s">
        <v>1533</v>
      </c>
      <c r="I639" s="18" t="n">
        <v>6.3</v>
      </c>
      <c r="J639" s="16" t="n">
        <v>1</v>
      </c>
      <c r="K639" s="16" t="n">
        <v>3110</v>
      </c>
      <c r="L639" s="19" t="n">
        <v>93119.22</v>
      </c>
      <c r="M639" s="17" t="s">
        <v>370</v>
      </c>
      <c r="N639" s="18" t="n">
        <v>6.3</v>
      </c>
      <c r="O639" s="16" t="s">
        <v>1534</v>
      </c>
      <c r="P639" s="16" t="s">
        <v>1535</v>
      </c>
      <c r="Q639" s="17" t="s">
        <v>1536</v>
      </c>
      <c r="R639" s="78" t="s">
        <v>2667</v>
      </c>
      <c r="S639" s="77" t="n">
        <f aca="false">IFERROR(INDEX('Injectable Value'!$Z$28:$Z$178,MATCH($C639,'Injectable Value'!$A$28:$A$178,0)),"")</f>
        <v>1</v>
      </c>
      <c r="T639" s="19" t="n">
        <f aca="false">IFERROR(ROUND(INDEX('Injectable Value'!$AA$28:$AA$178,MATCH($C639,'Injectable Value'!$A$28:$A$178,0)),1),"")</f>
        <v>93119.2</v>
      </c>
      <c r="U639" s="17" t="s">
        <v>1427</v>
      </c>
      <c r="V639" s="16" t="n">
        <v>5</v>
      </c>
      <c r="W639" s="16" t="s">
        <v>855</v>
      </c>
      <c r="X639" s="16" t="s">
        <v>281</v>
      </c>
      <c r="Y639" s="16" t="s">
        <v>310</v>
      </c>
      <c r="Z639" s="17" t="str">
        <f aca="false">IFERROR(INDEX(Scoring!$U:$U,MATCH($C639&amp;"|"&amp;$E639,Scoring!$AD:$AD,0)),"")</f>
        <v>Reconstitution</v>
      </c>
      <c r="AA639" s="16" t="str">
        <f aca="false">IFERROR(INDEX(Scoring!$E:$E,MATCH($C639&amp;"|"&amp;$E639,Scoring!$AD:$AD,0)),"")</f>
        <v>Priority 2</v>
      </c>
      <c r="AB639" s="19" t="n">
        <f aca="false">IFERROR(INDEX(Scoring!$M:$M,MATCH($C639&amp;"|"&amp;$E639,Scoring!$AD:$AD,0)),"")</f>
        <v>3110</v>
      </c>
      <c r="AC639" s="16" t="str">
        <f aca="false">IFERROR(INDEX('Route of Administration'!$C$5:$C$155,MATCH($C639,'Route of Administration'!$A$5:$A$155,0)),"")</f>
        <v>IV, IM</v>
      </c>
      <c r="AD639" s="15" t="str">
        <f aca="false">IFERROR(INDEX('Route of Administration'!$D$5:$D$155,MATCH($C639,'Route of Administration'!$A$5:$A$155,0)),"")</f>
        <v>Yes</v>
      </c>
      <c r="AE639" s="15" t="str">
        <f aca="false">IF($AD639="No","Not checked – drug is IV only",IFERROR(INDEX('Route of Administration'!$O$5:$O$170,MATCH($E639&amp;"|"&amp;$C639,'Route of Administration'!$S$5:$S$170,0)),"Not checked – price ≤ USD 5"))</f>
        <v>Pass</v>
      </c>
    </row>
    <row r="640" customFormat="false" ht="28.35" hidden="false" customHeight="false" outlineLevel="0" collapsed="false">
      <c r="B640" s="16" t="n">
        <v>638</v>
      </c>
      <c r="C640" s="16" t="s">
        <v>388</v>
      </c>
      <c r="D640" s="16" t="s">
        <v>388</v>
      </c>
      <c r="E640" s="16" t="s">
        <v>244</v>
      </c>
      <c r="F640" s="16" t="s">
        <v>1837</v>
      </c>
      <c r="G640" s="17" t="s">
        <v>1717</v>
      </c>
      <c r="H640" s="16" t="s">
        <v>1533</v>
      </c>
      <c r="I640" s="18" t="n">
        <v>81.96</v>
      </c>
      <c r="J640" s="16" t="n">
        <v>1</v>
      </c>
      <c r="K640" s="16" t="n">
        <v>312</v>
      </c>
      <c r="L640" s="19" t="n">
        <v>59827.18</v>
      </c>
      <c r="M640" s="17" t="s">
        <v>390</v>
      </c>
      <c r="N640" s="18" t="n">
        <v>81.96</v>
      </c>
      <c r="O640" s="16" t="s">
        <v>1534</v>
      </c>
      <c r="P640" s="16" t="s">
        <v>1700</v>
      </c>
      <c r="Q640" s="17" t="s">
        <v>1536</v>
      </c>
      <c r="R640" s="78" t="s">
        <v>2669</v>
      </c>
      <c r="S640" s="77" t="n">
        <f aca="false">IFERROR(INDEX('Injectable Value'!$Z$28:$Z$178,MATCH($C640,'Injectable Value'!$A$28:$A$178,0)),"")</f>
        <v>1</v>
      </c>
      <c r="T640" s="19" t="n">
        <f aca="false">IFERROR(ROUND(INDEX('Injectable Value'!$AA$28:$AA$178,MATCH($C640,'Injectable Value'!$A$28:$A$178,0)),1),"")</f>
        <v>59827.2</v>
      </c>
      <c r="U640" s="17" t="s">
        <v>1433</v>
      </c>
      <c r="V640" s="16" t="n">
        <v>3</v>
      </c>
      <c r="W640" s="16" t="s">
        <v>772</v>
      </c>
      <c r="X640" s="16" t="s">
        <v>281</v>
      </c>
      <c r="Y640" s="16" t="s">
        <v>333</v>
      </c>
      <c r="Z640" s="17" t="str">
        <f aca="false">IFERROR(INDEX(Scoring!$U:$U,MATCH($C640&amp;"|"&amp;$E640,Scoring!$AD:$AD,0)),"")</f>
        <v>Reconstitution</v>
      </c>
      <c r="AA640" s="16" t="str">
        <f aca="false">IFERROR(INDEX(Scoring!$E:$E,MATCH($C640&amp;"|"&amp;$E640,Scoring!$AD:$AD,0)),"")</f>
        <v>Excluded – IV only</v>
      </c>
      <c r="AB640" s="19" t="n">
        <f aca="false">IFERROR(INDEX(Scoring!$M:$M,MATCH($C640&amp;"|"&amp;$E640,Scoring!$AD:$AD,0)),"")</f>
        <v>312</v>
      </c>
      <c r="AC640" s="16" t="str">
        <f aca="false">IFERROR(INDEX('Route of Administration'!$C$5:$C$155,MATCH($C640,'Route of Administration'!$A$5:$A$155,0)),"")</f>
        <v>IV</v>
      </c>
      <c r="AD640" s="15" t="str">
        <f aca="false">IFERROR(INDEX('Route of Administration'!$D$5:$D$155,MATCH($C640,'Route of Administration'!$A$5:$A$155,0)),"")</f>
        <v>No</v>
      </c>
      <c r="AE640" s="15" t="str">
        <f aca="false">IF($AD640="No","Not checked – drug is IV only",IFERROR(INDEX('Route of Administration'!$O$5:$O$170,MATCH($E640&amp;"|"&amp;$C640,'Route of Administration'!$S$5:$S$170,0)),"Not checked – price ≤ USD 5"))</f>
        <v>Not checked – drug is IV only</v>
      </c>
    </row>
    <row r="641" customFormat="false" ht="28.35" hidden="false" customHeight="false" outlineLevel="0" collapsed="false">
      <c r="B641" s="16" t="n">
        <v>639</v>
      </c>
      <c r="C641" s="16" t="s">
        <v>665</v>
      </c>
      <c r="D641" s="16" t="s">
        <v>665</v>
      </c>
      <c r="E641" s="16" t="s">
        <v>244</v>
      </c>
      <c r="F641" s="16" t="s">
        <v>1762</v>
      </c>
      <c r="G641" s="17" t="s">
        <v>2123</v>
      </c>
      <c r="H641" s="16" t="s">
        <v>1533</v>
      </c>
      <c r="I641" s="18" t="n">
        <v>197.11</v>
      </c>
      <c r="J641" s="16" t="n">
        <v>1</v>
      </c>
      <c r="K641" s="16" t="n">
        <v>346</v>
      </c>
      <c r="L641" s="19" t="n">
        <v>32830.17</v>
      </c>
      <c r="M641" s="17" t="s">
        <v>667</v>
      </c>
      <c r="N641" s="18" t="n">
        <v>197.11</v>
      </c>
      <c r="O641" s="16" t="s">
        <v>1534</v>
      </c>
      <c r="P641" s="16" t="s">
        <v>1700</v>
      </c>
      <c r="Q641" s="17" t="s">
        <v>1536</v>
      </c>
      <c r="R641" s="78" t="s">
        <v>2670</v>
      </c>
      <c r="S641" s="77" t="n">
        <f aca="false">IFERROR(INDEX('Injectable Value'!$Z$28:$Z$178,MATCH($C641,'Injectable Value'!$A$28:$A$178,0)),"")</f>
        <v>1</v>
      </c>
      <c r="T641" s="19" t="n">
        <f aca="false">IFERROR(ROUND(INDEX('Injectable Value'!$AA$28:$AA$178,MATCH($C641,'Injectable Value'!$A$28:$A$178,0)),1),"")</f>
        <v>32830.2</v>
      </c>
      <c r="U641" s="17" t="s">
        <v>772</v>
      </c>
      <c r="V641" s="16" t="n">
        <v>2</v>
      </c>
      <c r="W641" s="16" t="s">
        <v>772</v>
      </c>
      <c r="X641" s="16" t="s">
        <v>281</v>
      </c>
      <c r="Y641" s="16" t="s">
        <v>283</v>
      </c>
      <c r="Z641" s="17" t="str">
        <f aca="false">IFERROR(INDEX(Scoring!$U:$U,MATCH($C641&amp;"|"&amp;$E641,Scoring!$AD:$AD,0)),"")</f>
        <v/>
      </c>
      <c r="AA641" s="16" t="str">
        <f aca="false">IFERROR(INDEX(Scoring!$E:$E,MATCH($C641&amp;"|"&amp;$E641,Scoring!$AD:$AD,0)),"")</f>
        <v>Excluded – IV only</v>
      </c>
      <c r="AB641" s="19" t="n">
        <f aca="false">IFERROR(INDEX(Scoring!$M:$M,MATCH($C641&amp;"|"&amp;$E641,Scoring!$AD:$AD,0)),"")</f>
        <v>346</v>
      </c>
      <c r="AC641" s="16" t="str">
        <f aca="false">IFERROR(INDEX('Route of Administration'!$C$5:$C$155,MATCH($C641,'Route of Administration'!$A$5:$A$155,0)),"")</f>
        <v>IV</v>
      </c>
      <c r="AD641" s="15" t="str">
        <f aca="false">IFERROR(INDEX('Route of Administration'!$D$5:$D$155,MATCH($C641,'Route of Administration'!$A$5:$A$155,0)),"")</f>
        <v>No</v>
      </c>
      <c r="AE641" s="15" t="str">
        <f aca="false">IF($AD641="No","Not checked – drug is IV only",IFERROR(INDEX('Route of Administration'!$O$5:$O$170,MATCH($E641&amp;"|"&amp;$C641,'Route of Administration'!$S$5:$S$170,0)),"Not checked – price ≤ USD 5"))</f>
        <v>Not checked – drug is IV only</v>
      </c>
    </row>
    <row r="642" customFormat="false" ht="28.35" hidden="false" customHeight="false" outlineLevel="0" collapsed="false">
      <c r="B642" s="16" t="n">
        <v>640</v>
      </c>
      <c r="C642" s="16" t="s">
        <v>1466</v>
      </c>
      <c r="D642" s="16" t="s">
        <v>1466</v>
      </c>
      <c r="E642" s="16" t="s">
        <v>244</v>
      </c>
      <c r="F642" s="16" t="s">
        <v>1762</v>
      </c>
      <c r="G642" s="17" t="s">
        <v>2671</v>
      </c>
      <c r="H642" s="16" t="s">
        <v>1533</v>
      </c>
      <c r="I642" s="18" t="n">
        <v>18.31</v>
      </c>
      <c r="J642" s="16" t="n">
        <v>1</v>
      </c>
      <c r="K642" s="16" t="n">
        <v>780</v>
      </c>
      <c r="L642" s="19" t="n">
        <v>18439.5</v>
      </c>
      <c r="M642" s="17" t="s">
        <v>1268</v>
      </c>
      <c r="N642" s="18" t="n">
        <v>18.31</v>
      </c>
      <c r="O642" s="16" t="s">
        <v>1534</v>
      </c>
      <c r="P642" s="16" t="s">
        <v>1700</v>
      </c>
      <c r="Q642" s="17" t="s">
        <v>1536</v>
      </c>
      <c r="R642" s="78" t="s">
        <v>2672</v>
      </c>
      <c r="S642" s="77" t="n">
        <f aca="false">IFERROR(INDEX('Injectable Value'!$Z$28:$Z$178,MATCH($C642,'Injectable Value'!$A$28:$A$178,0)),"")</f>
        <v>0.194160055301433</v>
      </c>
      <c r="T642" s="19" t="n">
        <f aca="false">IFERROR(ROUND(INDEX('Injectable Value'!$AA$28:$AA$178,MATCH($C642,'Injectable Value'!$A$28:$A$178,0)),1),"")</f>
        <v>3580.2</v>
      </c>
      <c r="U642" s="17" t="s">
        <v>1433</v>
      </c>
      <c r="V642" s="16" t="n">
        <v>3</v>
      </c>
      <c r="W642" s="16" t="s">
        <v>772</v>
      </c>
      <c r="X642" s="16" t="s">
        <v>349</v>
      </c>
      <c r="Y642" s="16" t="s">
        <v>283</v>
      </c>
      <c r="Z642" s="17" t="str">
        <f aca="false">IFERROR(INDEX(Scoring!$U:$U,MATCH($C642&amp;"|"&amp;$E642,Scoring!$AD:$AD,0)),"")</f>
        <v/>
      </c>
      <c r="AA642" s="16" t="str">
        <f aca="false">IFERROR(INDEX(Scoring!$E:$E,MATCH($C642&amp;"|"&amp;$E642,Scoring!$AD:$AD,0)),"")</f>
        <v>Excluded – IV only</v>
      </c>
      <c r="AB642" s="19" t="n">
        <f aca="false">IFERROR(INDEX(Scoring!$M:$M,MATCH($C642&amp;"|"&amp;$E642,Scoring!$AD:$AD,0)),"")</f>
        <v>151</v>
      </c>
      <c r="AC642" s="16" t="str">
        <f aca="false">IFERROR(INDEX('Route of Administration'!$C$5:$C$155,MATCH($C642,'Route of Administration'!$A$5:$A$155,0)),"")</f>
        <v>IV</v>
      </c>
      <c r="AD642" s="15" t="str">
        <f aca="false">IFERROR(INDEX('Route of Administration'!$D$5:$D$155,MATCH($C642,'Route of Administration'!$A$5:$A$155,0)),"")</f>
        <v>No</v>
      </c>
      <c r="AE642" s="15" t="str">
        <f aca="false">IF($AD642="No","Not checked – drug is IV only",IFERROR(INDEX('Route of Administration'!$O$5:$O$170,MATCH($E642&amp;"|"&amp;$C642,'Route of Administration'!$S$5:$S$170,0)),"Not checked – price ≤ USD 5"))</f>
        <v>Not checked – drug is IV only</v>
      </c>
    </row>
    <row r="643" customFormat="false" ht="28.35" hidden="false" customHeight="false" outlineLevel="0" collapsed="false">
      <c r="B643" s="16" t="n">
        <v>641</v>
      </c>
      <c r="C643" s="16" t="s">
        <v>556</v>
      </c>
      <c r="D643" s="16" t="s">
        <v>556</v>
      </c>
      <c r="E643" s="16" t="s">
        <v>244</v>
      </c>
      <c r="F643" s="16" t="s">
        <v>2673</v>
      </c>
      <c r="G643" s="17" t="s">
        <v>2674</v>
      </c>
      <c r="H643" s="16" t="s">
        <v>1533</v>
      </c>
      <c r="I643" s="18" t="n">
        <v>38.34</v>
      </c>
      <c r="J643" s="16" t="n">
        <v>1</v>
      </c>
      <c r="K643" s="16" t="n">
        <v>2</v>
      </c>
      <c r="L643" s="19" t="n">
        <v>71.73</v>
      </c>
      <c r="M643" s="17" t="s">
        <v>558</v>
      </c>
      <c r="N643" s="18" t="n">
        <v>38.34</v>
      </c>
      <c r="O643" s="16" t="s">
        <v>1534</v>
      </c>
      <c r="P643" s="16" t="s">
        <v>1700</v>
      </c>
      <c r="Q643" s="17" t="s">
        <v>1536</v>
      </c>
      <c r="R643" s="78" t="s">
        <v>2675</v>
      </c>
      <c r="S643" s="77" t="n">
        <f aca="false">IFERROR(INDEX('Injectable Value'!$Z$28:$Z$178,MATCH($C643,'Injectable Value'!$A$28:$A$178,0)),"")</f>
        <v>0.996078431372549</v>
      </c>
      <c r="T643" s="19" t="n">
        <f aca="false">IFERROR(ROUND(INDEX('Injectable Value'!$AA$28:$AA$178,MATCH($C643,'Injectable Value'!$A$28:$A$178,0)),1),"")</f>
        <v>71.4</v>
      </c>
      <c r="U643" s="17" t="s">
        <v>772</v>
      </c>
      <c r="V643" s="16" t="n">
        <v>2</v>
      </c>
      <c r="W643" s="16" t="s">
        <v>772</v>
      </c>
      <c r="X643" s="16" t="s">
        <v>281</v>
      </c>
      <c r="Y643" s="16" t="s">
        <v>333</v>
      </c>
      <c r="Z643" s="17" t="str">
        <f aca="false">IFERROR(INDEX(Scoring!$U:$U,MATCH($C643&amp;"|"&amp;$E643,Scoring!$AD:$AD,0)),"")</f>
        <v>Reconstitution</v>
      </c>
      <c r="AA643" s="16" t="str">
        <f aca="false">IFERROR(INDEX(Scoring!$E:$E,MATCH($C643&amp;"|"&amp;$E643,Scoring!$AD:$AD,0)),"")</f>
        <v>Excluded – IV only</v>
      </c>
      <c r="AB643" s="19" t="n">
        <f aca="false">IFERROR(INDEX(Scoring!$M:$M,MATCH($C643&amp;"|"&amp;$E643,Scoring!$AD:$AD,0)),"")</f>
        <v>2</v>
      </c>
      <c r="AC643" s="16" t="str">
        <f aca="false">IFERROR(INDEX('Route of Administration'!$C$5:$C$155,MATCH($C643,'Route of Administration'!$A$5:$A$155,0)),"")</f>
        <v>IV</v>
      </c>
      <c r="AD643" s="15" t="str">
        <f aca="false">IFERROR(INDEX('Route of Administration'!$D$5:$D$155,MATCH($C643,'Route of Administration'!$A$5:$A$155,0)),"")</f>
        <v>No</v>
      </c>
      <c r="AE643" s="15" t="str">
        <f aca="false">IF($AD643="No","Not checked – drug is IV only",IFERROR(INDEX('Route of Administration'!$O$5:$O$170,MATCH($E643&amp;"|"&amp;$C643,'Route of Administration'!$S$5:$S$170,0)),"Not checked – price ≤ USD 5"))</f>
        <v>Not checked – drug is IV only</v>
      </c>
    </row>
    <row r="644" customFormat="false" ht="28.35" hidden="false" customHeight="false" outlineLevel="0" collapsed="false">
      <c r="B644" s="16" t="n">
        <v>642</v>
      </c>
      <c r="C644" s="16" t="s">
        <v>1460</v>
      </c>
      <c r="D644" s="16" t="s">
        <v>2676</v>
      </c>
      <c r="E644" s="16" t="s">
        <v>244</v>
      </c>
      <c r="F644" s="16" t="s">
        <v>2071</v>
      </c>
      <c r="G644" s="17" t="s">
        <v>2324</v>
      </c>
      <c r="H644" s="16" t="s">
        <v>1533</v>
      </c>
      <c r="I644" s="18" t="n">
        <v>8.84</v>
      </c>
      <c r="J644" s="16" t="n">
        <v>1</v>
      </c>
      <c r="K644" s="16" t="n">
        <v>186</v>
      </c>
      <c r="L644" s="19" t="n">
        <v>1176.33</v>
      </c>
      <c r="M644" s="17" t="s">
        <v>1462</v>
      </c>
      <c r="N644" s="18" t="n">
        <v>8.84</v>
      </c>
      <c r="O644" s="16" t="s">
        <v>1534</v>
      </c>
      <c r="P644" s="16" t="s">
        <v>1700</v>
      </c>
      <c r="Q644" s="17" t="s">
        <v>1536</v>
      </c>
      <c r="R644" s="78" t="s">
        <v>2677</v>
      </c>
      <c r="S644" s="77" t="n">
        <f aca="false">IFERROR(INDEX('Injectable Value'!$Z$28:$Z$178,MATCH($C644,'Injectable Value'!$A$28:$A$178,0)),"")</f>
        <v>0.857142857142857</v>
      </c>
      <c r="T644" s="19" t="n">
        <f aca="false">IFERROR(ROUND(INDEX('Injectable Value'!$AA$28:$AA$178,MATCH($C644,'Injectable Value'!$A$28:$A$178,0)),1),"")</f>
        <v>1008.3</v>
      </c>
      <c r="U644" s="17" t="s">
        <v>772</v>
      </c>
      <c r="V644" s="16" t="n">
        <v>2</v>
      </c>
      <c r="W644" s="16" t="s">
        <v>772</v>
      </c>
      <c r="X644" s="16" t="s">
        <v>349</v>
      </c>
      <c r="Y644" s="16" t="s">
        <v>283</v>
      </c>
      <c r="Z644" s="17" t="str">
        <f aca="false">IFERROR(INDEX(Scoring!$U:$U,MATCH($C644&amp;"|"&amp;$E644,Scoring!$AD:$AD,0)),"")</f>
        <v/>
      </c>
      <c r="AA644" s="16" t="str">
        <f aca="false">IFERROR(INDEX(Scoring!$E:$E,MATCH($C644&amp;"|"&amp;$E644,Scoring!$AD:$AD,0)),"")</f>
        <v>Excluded – IV only</v>
      </c>
      <c r="AB644" s="19" t="n">
        <f aca="false">IFERROR(INDEX(Scoring!$M:$M,MATCH($C644&amp;"|"&amp;$E644,Scoring!$AD:$AD,0)),"")</f>
        <v>159</v>
      </c>
      <c r="AC644" s="16" t="str">
        <f aca="false">IFERROR(INDEX('Route of Administration'!$C$5:$C$155,MATCH($C644,'Route of Administration'!$A$5:$A$155,0)),"")</f>
        <v>IV</v>
      </c>
      <c r="AD644" s="15" t="str">
        <f aca="false">IFERROR(INDEX('Route of Administration'!$D$5:$D$155,MATCH($C644,'Route of Administration'!$A$5:$A$155,0)),"")</f>
        <v>No</v>
      </c>
      <c r="AE644" s="15" t="str">
        <f aca="false">IF($AD644="No","Not checked – drug is IV only",IFERROR(INDEX('Route of Administration'!$O$5:$O$170,MATCH($E644&amp;"|"&amp;$C644,'Route of Administration'!$S$5:$S$170,0)),"Not checked – price ≤ USD 5"))</f>
        <v>Not checked – drug is IV only</v>
      </c>
    </row>
    <row r="645" customFormat="false" ht="28.35" hidden="false" customHeight="false" outlineLevel="0" collapsed="false">
      <c r="B645" s="16" t="n">
        <v>643</v>
      </c>
      <c r="C645" s="16" t="s">
        <v>1454</v>
      </c>
      <c r="D645" s="16" t="s">
        <v>1455</v>
      </c>
      <c r="E645" s="16" t="s">
        <v>244</v>
      </c>
      <c r="F645" s="16" t="s">
        <v>2678</v>
      </c>
      <c r="G645" s="17" t="s">
        <v>2679</v>
      </c>
      <c r="H645" s="16" t="s">
        <v>1533</v>
      </c>
      <c r="I645" s="18" t="n">
        <v>6.4</v>
      </c>
      <c r="J645" s="16" t="n">
        <v>1</v>
      </c>
      <c r="K645" s="16" t="n">
        <v>128</v>
      </c>
      <c r="L645" s="19" t="n">
        <v>3640.13</v>
      </c>
      <c r="M645" s="17" t="s">
        <v>1456</v>
      </c>
      <c r="N645" s="18" t="n">
        <v>6.4</v>
      </c>
      <c r="O645" s="16" t="s">
        <v>1534</v>
      </c>
      <c r="P645" s="16" t="s">
        <v>1535</v>
      </c>
      <c r="Q645" s="17" t="s">
        <v>1536</v>
      </c>
      <c r="R645" s="78" t="s">
        <v>1685</v>
      </c>
      <c r="S645" s="77" t="n">
        <f aca="false">IFERROR(INDEX('Injectable Value'!$Z$28:$Z$178,MATCH($C645,'Injectable Value'!$A$28:$A$178,0)),"")</f>
        <v>0.485928583569446</v>
      </c>
      <c r="T645" s="19" t="n">
        <f aca="false">IFERROR(ROUND(INDEX('Injectable Value'!$AA$28:$AA$178,MATCH($C645,'Injectable Value'!$A$28:$A$178,0)),1),"")</f>
        <v>1768.8</v>
      </c>
      <c r="U645" s="17" t="s">
        <v>772</v>
      </c>
      <c r="V645" s="16" t="n">
        <v>2</v>
      </c>
      <c r="W645" s="16" t="s">
        <v>772</v>
      </c>
      <c r="X645" s="16" t="s">
        <v>349</v>
      </c>
      <c r="Y645" s="16" t="s">
        <v>283</v>
      </c>
      <c r="Z645" s="17" t="str">
        <f aca="false">IFERROR(INDEX(Scoring!$U:$U,MATCH($C645&amp;"|"&amp;$E645,Scoring!$AD:$AD,0)),"")</f>
        <v/>
      </c>
      <c r="AA645" s="16" t="str">
        <f aca="false">IFERROR(INDEX(Scoring!$E:$E,MATCH($C645&amp;"|"&amp;$E645,Scoring!$AD:$AD,0)),"")</f>
        <v>Priority 3</v>
      </c>
      <c r="AB645" s="19" t="n">
        <f aca="false">IFERROR(INDEX(Scoring!$M:$M,MATCH($C645&amp;"|"&amp;$E645,Scoring!$AD:$AD,0)),"")</f>
        <v>62</v>
      </c>
      <c r="AC645" s="16" t="str">
        <f aca="false">IFERROR(INDEX('Route of Administration'!$C$5:$C$155,MATCH($C645,'Route of Administration'!$A$5:$A$155,0)),"")</f>
        <v>IV, IM</v>
      </c>
      <c r="AD645" s="15" t="str">
        <f aca="false">IFERROR(INDEX('Route of Administration'!$D$5:$D$155,MATCH($C645,'Route of Administration'!$A$5:$A$155,0)),"")</f>
        <v>Yes</v>
      </c>
      <c r="AE645" s="15" t="str">
        <f aca="false">IF($AD645="No","Not checked – drug is IV only",IFERROR(INDEX('Route of Administration'!$O$5:$O$170,MATCH($E645&amp;"|"&amp;$C645,'Route of Administration'!$S$5:$S$170,0)),"Not checked – price ≤ USD 5"))</f>
        <v>Pass</v>
      </c>
    </row>
    <row r="646" customFormat="false" ht="15" hidden="false" customHeight="false" outlineLevel="0" collapsed="false">
      <c r="B646" s="16" t="n">
        <v>644</v>
      </c>
      <c r="C646" s="16" t="s">
        <v>819</v>
      </c>
      <c r="D646" s="16" t="s">
        <v>819</v>
      </c>
      <c r="E646" s="16" t="s">
        <v>244</v>
      </c>
      <c r="F646" s="16" t="s">
        <v>2022</v>
      </c>
      <c r="G646" s="17" t="s">
        <v>2680</v>
      </c>
      <c r="H646" s="16" t="s">
        <v>1533</v>
      </c>
      <c r="I646" s="18" t="n">
        <v>26.32</v>
      </c>
      <c r="J646" s="16" t="n">
        <v>1</v>
      </c>
      <c r="K646" s="16" t="n">
        <v>133</v>
      </c>
      <c r="L646" s="19" t="n">
        <v>4036.55</v>
      </c>
      <c r="M646" s="17" t="s">
        <v>821</v>
      </c>
      <c r="N646" s="18" t="n">
        <v>26.32</v>
      </c>
      <c r="O646" s="16" t="s">
        <v>1534</v>
      </c>
      <c r="P646" s="16" t="s">
        <v>1700</v>
      </c>
      <c r="Q646" s="17" t="s">
        <v>1536</v>
      </c>
      <c r="R646" s="78" t="s">
        <v>2681</v>
      </c>
      <c r="S646" s="77" t="n">
        <f aca="false">IFERROR(INDEX('Injectable Value'!$Z$28:$Z$178,MATCH($C646,'Injectable Value'!$A$28:$A$178,0)),"")</f>
        <v>1</v>
      </c>
      <c r="T646" s="19" t="n">
        <f aca="false">IFERROR(ROUND(INDEX('Injectable Value'!$AA$28:$AA$178,MATCH($C646,'Injectable Value'!$A$28:$A$178,0)),1),"")</f>
        <v>4036.6</v>
      </c>
      <c r="U646" s="17" t="s">
        <v>1453</v>
      </c>
      <c r="V646" s="16" t="n">
        <v>3</v>
      </c>
      <c r="W646" s="16" t="s">
        <v>772</v>
      </c>
      <c r="X646" s="16" t="s">
        <v>349</v>
      </c>
      <c r="Y646" s="16" t="s">
        <v>283</v>
      </c>
      <c r="Z646" s="17" t="str">
        <f aca="false">IFERROR(INDEX(Scoring!$U:$U,MATCH($C646&amp;"|"&amp;$E646,Scoring!$AD:$AD,0)),"")</f>
        <v/>
      </c>
      <c r="AA646" s="16" t="str">
        <f aca="false">IFERROR(INDEX(Scoring!$E:$E,MATCH($C646&amp;"|"&amp;$E646,Scoring!$AD:$AD,0)),"")</f>
        <v>Excluded – IV only</v>
      </c>
      <c r="AB646" s="19" t="n">
        <f aca="false">IFERROR(INDEX(Scoring!$M:$M,MATCH($C646&amp;"|"&amp;$E646,Scoring!$AD:$AD,0)),"")</f>
        <v>133</v>
      </c>
      <c r="AC646" s="16" t="str">
        <f aca="false">IFERROR(INDEX('Route of Administration'!$C$5:$C$155,MATCH($C646,'Route of Administration'!$A$5:$A$155,0)),"")</f>
        <v>IV</v>
      </c>
      <c r="AD646" s="15" t="str">
        <f aca="false">IFERROR(INDEX('Route of Administration'!$D$5:$D$155,MATCH($C646,'Route of Administration'!$A$5:$A$155,0)),"")</f>
        <v>No</v>
      </c>
      <c r="AE646" s="15" t="str">
        <f aca="false">IF($AD646="No","Not checked – drug is IV only",IFERROR(INDEX('Route of Administration'!$O$5:$O$170,MATCH($E646&amp;"|"&amp;$C646,'Route of Administration'!$S$5:$S$170,0)),"Not checked – price ≤ USD 5"))</f>
        <v>Not checked – drug is IV only</v>
      </c>
    </row>
    <row r="647" customFormat="false" ht="28.35" hidden="false" customHeight="false" outlineLevel="0" collapsed="false">
      <c r="B647" s="16" t="n">
        <v>645</v>
      </c>
      <c r="C647" s="16" t="s">
        <v>1444</v>
      </c>
      <c r="D647" s="16" t="s">
        <v>1444</v>
      </c>
      <c r="E647" s="16" t="s">
        <v>244</v>
      </c>
      <c r="F647" s="16" t="s">
        <v>2682</v>
      </c>
      <c r="G647" s="17" t="s">
        <v>2679</v>
      </c>
      <c r="H647" s="16" t="s">
        <v>1533</v>
      </c>
      <c r="I647" s="18" t="n">
        <v>29.63</v>
      </c>
      <c r="J647" s="16" t="n">
        <v>1</v>
      </c>
      <c r="K647" s="16" t="n">
        <v>77</v>
      </c>
      <c r="L647" s="19" t="n">
        <v>64.81</v>
      </c>
      <c r="M647" s="17" t="s">
        <v>1445</v>
      </c>
      <c r="N647" s="18" t="n">
        <v>29.63</v>
      </c>
      <c r="O647" s="16" t="s">
        <v>1534</v>
      </c>
      <c r="P647" s="16" t="s">
        <v>1535</v>
      </c>
      <c r="Q647" s="17" t="s">
        <v>1536</v>
      </c>
      <c r="R647" s="78" t="s">
        <v>1685</v>
      </c>
      <c r="S647" s="77" t="n">
        <f aca="false">IFERROR(INDEX('Injectable Value'!$Z$28:$Z$178,MATCH($C647,'Injectable Value'!$A$28:$A$178,0)),"")</f>
        <v>0.292735042735043</v>
      </c>
      <c r="T647" s="19" t="n">
        <f aca="false">IFERROR(ROUND(INDEX('Injectable Value'!$AA$28:$AA$178,MATCH($C647,'Injectable Value'!$A$28:$A$178,0)),1),"")</f>
        <v>19</v>
      </c>
      <c r="U647" s="17" t="s">
        <v>772</v>
      </c>
      <c r="V647" s="16" t="n">
        <v>2</v>
      </c>
      <c r="W647" s="16" t="s">
        <v>772</v>
      </c>
      <c r="X647" s="16" t="s">
        <v>349</v>
      </c>
      <c r="Y647" s="16" t="s">
        <v>283</v>
      </c>
      <c r="Z647" s="17" t="str">
        <f aca="false">IFERROR(INDEX(Scoring!$U:$U,MATCH($C647&amp;"|"&amp;$E647,Scoring!$AD:$AD,0)),"")</f>
        <v/>
      </c>
      <c r="AA647" s="16" t="str">
        <f aca="false">IFERROR(INDEX(Scoring!$E:$E,MATCH($C647&amp;"|"&amp;$E647,Scoring!$AD:$AD,0)),"")</f>
        <v>Priority 2</v>
      </c>
      <c r="AB647" s="19" t="n">
        <f aca="false">IFERROR(INDEX(Scoring!$M:$M,MATCH($C647&amp;"|"&amp;$E647,Scoring!$AD:$AD,0)),"")</f>
        <v>23</v>
      </c>
      <c r="AC647" s="16" t="str">
        <f aca="false">IFERROR(INDEX('Route of Administration'!$C$5:$C$155,MATCH($C647,'Route of Administration'!$A$5:$A$155,0)),"")</f>
        <v>SC, IM (IV if required)</v>
      </c>
      <c r="AD647" s="15" t="str">
        <f aca="false">IFERROR(INDEX('Route of Administration'!$D$5:$D$155,MATCH($C647,'Route of Administration'!$A$5:$A$155,0)),"")</f>
        <v>Yes</v>
      </c>
      <c r="AE647" s="15" t="str">
        <f aca="false">IF($AD647="No","Not checked – drug is IV only",IFERROR(INDEX('Route of Administration'!$O$5:$O$170,MATCH($E647&amp;"|"&amp;$C647,'Route of Administration'!$S$5:$S$170,0)),"Not checked – price ≤ USD 5"))</f>
        <v>Pass</v>
      </c>
    </row>
    <row r="648" customFormat="false" ht="15" hidden="false" customHeight="false" outlineLevel="0" collapsed="false">
      <c r="B648" s="16" t="n">
        <v>646</v>
      </c>
      <c r="C648" s="16" t="s">
        <v>1434</v>
      </c>
      <c r="D648" s="16" t="s">
        <v>1434</v>
      </c>
      <c r="E648" s="16" t="s">
        <v>244</v>
      </c>
      <c r="F648" s="16" t="s">
        <v>2247</v>
      </c>
      <c r="G648" s="17" t="s">
        <v>2679</v>
      </c>
      <c r="H648" s="16" t="s">
        <v>1533</v>
      </c>
      <c r="I648" s="18" t="n">
        <v>8.98</v>
      </c>
      <c r="J648" s="16" t="n">
        <v>1</v>
      </c>
      <c r="K648" s="16" t="n">
        <v>669</v>
      </c>
      <c r="L648" s="19" t="n">
        <v>11022.87</v>
      </c>
      <c r="M648" s="17" t="s">
        <v>1435</v>
      </c>
      <c r="N648" s="18" t="n">
        <v>8.98</v>
      </c>
      <c r="O648" s="16" t="s">
        <v>1534</v>
      </c>
      <c r="P648" s="16" t="s">
        <v>1700</v>
      </c>
      <c r="Q648" s="17" t="s">
        <v>1536</v>
      </c>
      <c r="R648" s="78" t="s">
        <v>2683</v>
      </c>
      <c r="S648" s="77" t="n">
        <f aca="false">IFERROR(INDEX('Injectable Value'!$Z$28:$Z$178,MATCH($C648,'Injectable Value'!$A$28:$A$178,0)),"")</f>
        <v>0.407590557590558</v>
      </c>
      <c r="T648" s="19" t="n">
        <f aca="false">IFERROR(ROUND(INDEX('Injectable Value'!$AA$28:$AA$178,MATCH($C648,'Injectable Value'!$A$28:$A$178,0)),1),"")</f>
        <v>4492.8</v>
      </c>
      <c r="U648" s="17" t="s">
        <v>772</v>
      </c>
      <c r="V648" s="16" t="n">
        <v>2</v>
      </c>
      <c r="W648" s="16" t="s">
        <v>772</v>
      </c>
      <c r="X648" s="16" t="s">
        <v>349</v>
      </c>
      <c r="Y648" s="16" t="s">
        <v>283</v>
      </c>
      <c r="Z648" s="17" t="str">
        <f aca="false">IFERROR(INDEX(Scoring!$U:$U,MATCH($C648&amp;"|"&amp;$E648,Scoring!$AD:$AD,0)),"")</f>
        <v/>
      </c>
      <c r="AA648" s="16" t="str">
        <f aca="false">IFERROR(INDEX(Scoring!$E:$E,MATCH($C648&amp;"|"&amp;$E648,Scoring!$AD:$AD,0)),"")</f>
        <v>Priority 2</v>
      </c>
      <c r="AB648" s="19" t="n">
        <f aca="false">IFERROR(INDEX(Scoring!$M:$M,MATCH($C648&amp;"|"&amp;$E648,Scoring!$AD:$AD,0)),"")</f>
        <v>273</v>
      </c>
      <c r="AC648" s="16" t="str">
        <f aca="false">IFERROR(INDEX('Route of Administration'!$C$5:$C$155,MATCH($C648,'Route of Administration'!$A$5:$A$155,0)),"")</f>
        <v>IM</v>
      </c>
      <c r="AD648" s="15" t="str">
        <f aca="false">IFERROR(INDEX('Route of Administration'!$D$5:$D$155,MATCH($C648,'Route of Administration'!$A$5:$A$155,0)),"")</f>
        <v>Yes</v>
      </c>
      <c r="AE648" s="15" t="str">
        <f aca="false">IF($AD648="No","Not checked – drug is IV only",IFERROR(INDEX('Route of Administration'!$O$5:$O$170,MATCH($E648&amp;"|"&amp;$C648,'Route of Administration'!$S$5:$S$170,0)),"Not checked – price ≤ USD 5"))</f>
        <v>Pass</v>
      </c>
    </row>
    <row r="649" customFormat="false" ht="28.35" hidden="false" customHeight="false" outlineLevel="0" collapsed="false">
      <c r="B649" s="16" t="n">
        <v>647</v>
      </c>
      <c r="C649" s="16" t="s">
        <v>1428</v>
      </c>
      <c r="D649" s="16" t="s">
        <v>1428</v>
      </c>
      <c r="E649" s="16" t="s">
        <v>244</v>
      </c>
      <c r="F649" s="16" t="s">
        <v>2071</v>
      </c>
      <c r="G649" s="17" t="s">
        <v>2684</v>
      </c>
      <c r="H649" s="16" t="s">
        <v>1533</v>
      </c>
      <c r="I649" s="18" t="n">
        <v>6.74</v>
      </c>
      <c r="J649" s="16" t="n">
        <v>1</v>
      </c>
      <c r="K649" s="16" t="n">
        <v>435</v>
      </c>
      <c r="L649" s="19" t="n">
        <v>7691.34</v>
      </c>
      <c r="M649" s="17" t="s">
        <v>1429</v>
      </c>
      <c r="N649" s="18" t="n">
        <v>6.74</v>
      </c>
      <c r="O649" s="16" t="s">
        <v>1534</v>
      </c>
      <c r="P649" s="16" t="s">
        <v>1535</v>
      </c>
      <c r="Q649" s="17" t="s">
        <v>1536</v>
      </c>
      <c r="R649" s="78" t="s">
        <v>1685</v>
      </c>
      <c r="S649" s="77" t="n">
        <f aca="false">IFERROR(INDEX('Injectable Value'!$Z$28:$Z$178,MATCH($C649,'Injectable Value'!$A$28:$A$178,0)),"")</f>
        <v>0.0201374081971097</v>
      </c>
      <c r="T649" s="19" t="n">
        <f aca="false">IFERROR(ROUND(INDEX('Injectable Value'!$AA$28:$AA$178,MATCH($C649,'Injectable Value'!$A$28:$A$178,0)),1),"")</f>
        <v>154.9</v>
      </c>
      <c r="U649" s="17" t="s">
        <v>772</v>
      </c>
      <c r="V649" s="16" t="n">
        <v>2</v>
      </c>
      <c r="W649" s="16" t="s">
        <v>772</v>
      </c>
      <c r="X649" s="16" t="s">
        <v>349</v>
      </c>
      <c r="Y649" s="16" t="s">
        <v>283</v>
      </c>
      <c r="Z649" s="17" t="str">
        <f aca="false">IFERROR(INDEX(Scoring!$U:$U,MATCH($C649&amp;"|"&amp;$E649,Scoring!$AD:$AD,0)),"")</f>
        <v/>
      </c>
      <c r="AA649" s="16" t="str">
        <f aca="false">IFERROR(INDEX(Scoring!$E:$E,MATCH($C649&amp;"|"&amp;$E649,Scoring!$AD:$AD,0)),"")</f>
        <v>Priority 3</v>
      </c>
      <c r="AB649" s="19" t="n">
        <f aca="false">IFERROR(INDEX(Scoring!$M:$M,MATCH($C649&amp;"|"&amp;$E649,Scoring!$AD:$AD,0)),"")</f>
        <v>9</v>
      </c>
      <c r="AC649" s="16" t="str">
        <f aca="false">IFERROR(INDEX('Route of Administration'!$C$5:$C$155,MATCH($C649,'Route of Administration'!$A$5:$A$155,0)),"")</f>
        <v>IV, IM, SC</v>
      </c>
      <c r="AD649" s="15" t="str">
        <f aca="false">IFERROR(INDEX('Route of Administration'!$D$5:$D$155,MATCH($C649,'Route of Administration'!$A$5:$A$155,0)),"")</f>
        <v>Yes</v>
      </c>
      <c r="AE649" s="15" t="str">
        <f aca="false">IF($AD649="No","Not checked – drug is IV only",IFERROR(INDEX('Route of Administration'!$O$5:$O$170,MATCH($E649&amp;"|"&amp;$C649,'Route of Administration'!$S$5:$S$170,0)),"Not checked – price ≤ USD 5"))</f>
        <v>Pass</v>
      </c>
    </row>
    <row r="650" customFormat="false" ht="28.35" hidden="false" customHeight="false" outlineLevel="0" collapsed="false">
      <c r="B650" s="16" t="n">
        <v>648</v>
      </c>
      <c r="C650" s="16" t="s">
        <v>76</v>
      </c>
      <c r="D650" s="16" t="s">
        <v>76</v>
      </c>
      <c r="E650" s="16" t="s">
        <v>244</v>
      </c>
      <c r="F650" s="16" t="s">
        <v>2656</v>
      </c>
      <c r="G650" s="17" t="s">
        <v>2657</v>
      </c>
      <c r="H650" s="16" t="s">
        <v>1533</v>
      </c>
      <c r="I650" s="18" t="n">
        <v>25.36</v>
      </c>
      <c r="J650" s="16" t="n">
        <v>1</v>
      </c>
      <c r="K650" s="16" t="n">
        <v>3110</v>
      </c>
      <c r="L650" s="19" t="n">
        <v>93119.22</v>
      </c>
      <c r="M650" s="17" t="s">
        <v>370</v>
      </c>
      <c r="N650" s="18" t="n">
        <v>25.36</v>
      </c>
      <c r="O650" s="16" t="s">
        <v>1534</v>
      </c>
      <c r="P650" s="16" t="s">
        <v>1700</v>
      </c>
      <c r="Q650" s="17" t="s">
        <v>1536</v>
      </c>
      <c r="R650" s="78" t="s">
        <v>2685</v>
      </c>
      <c r="S650" s="77" t="n">
        <f aca="false">IFERROR(INDEX('Injectable Value'!$Z$28:$Z$178,MATCH($C650,'Injectable Value'!$A$28:$A$178,0)),"")</f>
        <v>1</v>
      </c>
      <c r="T650" s="19" t="n">
        <f aca="false">IFERROR(ROUND(INDEX('Injectable Value'!$AA$28:$AA$178,MATCH($C650,'Injectable Value'!$A$28:$A$178,0)),1),"")</f>
        <v>93119.2</v>
      </c>
      <c r="U650" s="17" t="s">
        <v>1427</v>
      </c>
      <c r="V650" s="16" t="n">
        <v>5</v>
      </c>
      <c r="W650" s="16" t="s">
        <v>855</v>
      </c>
      <c r="X650" s="16" t="s">
        <v>281</v>
      </c>
      <c r="Y650" s="16" t="s">
        <v>333</v>
      </c>
      <c r="Z650" s="17" t="str">
        <f aca="false">IFERROR(INDEX(Scoring!$U:$U,MATCH($C650&amp;"|"&amp;$E650,Scoring!$AD:$AD,0)),"")</f>
        <v>Reconstitution</v>
      </c>
      <c r="AA650" s="16" t="str">
        <f aca="false">IFERROR(INDEX(Scoring!$E:$E,MATCH($C650&amp;"|"&amp;$E650,Scoring!$AD:$AD,0)),"")</f>
        <v>Priority 2</v>
      </c>
      <c r="AB650" s="19" t="n">
        <f aca="false">IFERROR(INDEX(Scoring!$M:$M,MATCH($C650&amp;"|"&amp;$E650,Scoring!$AD:$AD,0)),"")</f>
        <v>3110</v>
      </c>
      <c r="AC650" s="16" t="str">
        <f aca="false">IFERROR(INDEX('Route of Administration'!$C$5:$C$155,MATCH($C650,'Route of Administration'!$A$5:$A$155,0)),"")</f>
        <v>IV, IM</v>
      </c>
      <c r="AD650" s="15" t="str">
        <f aca="false">IFERROR(INDEX('Route of Administration'!$D$5:$D$155,MATCH($C650,'Route of Administration'!$A$5:$A$155,0)),"")</f>
        <v>Yes</v>
      </c>
      <c r="AE650" s="15" t="str">
        <f aca="false">IF($AD650="No","Not checked – drug is IV only",IFERROR(INDEX('Route of Administration'!$O$5:$O$170,MATCH($E650&amp;"|"&amp;$C650,'Route of Administration'!$S$5:$S$170,0)),"Not checked – price ≤ USD 5"))</f>
        <v>Pass</v>
      </c>
    </row>
    <row r="651" customFormat="false" ht="28.35" hidden="false" customHeight="false" outlineLevel="0" collapsed="false">
      <c r="B651" s="16" t="n">
        <v>649</v>
      </c>
      <c r="C651" s="16" t="s">
        <v>362</v>
      </c>
      <c r="D651" s="16" t="s">
        <v>362</v>
      </c>
      <c r="E651" s="16" t="s">
        <v>244</v>
      </c>
      <c r="F651" s="16" t="s">
        <v>2656</v>
      </c>
      <c r="G651" s="17" t="s">
        <v>2657</v>
      </c>
      <c r="H651" s="16" t="s">
        <v>1533</v>
      </c>
      <c r="I651" s="18" t="n">
        <v>28.93</v>
      </c>
      <c r="J651" s="16" t="n">
        <v>1</v>
      </c>
      <c r="K651" s="16" t="n">
        <v>335</v>
      </c>
      <c r="L651" s="19" t="n">
        <v>5713.56</v>
      </c>
      <c r="M651" s="17" t="s">
        <v>364</v>
      </c>
      <c r="N651" s="18" t="n">
        <v>28.93</v>
      </c>
      <c r="O651" s="16" t="s">
        <v>1534</v>
      </c>
      <c r="P651" s="16" t="s">
        <v>1700</v>
      </c>
      <c r="Q651" s="17" t="s">
        <v>1536</v>
      </c>
      <c r="R651" s="78" t="s">
        <v>2686</v>
      </c>
      <c r="S651" s="77" t="n">
        <f aca="false">IFERROR(INDEX('Injectable Value'!$Z$28:$Z$178,MATCH($C651,'Injectable Value'!$A$28:$A$178,0)),"")</f>
        <v>1</v>
      </c>
      <c r="T651" s="19" t="n">
        <f aca="false">IFERROR(ROUND(INDEX('Injectable Value'!$AA$28:$AA$178,MATCH($C651,'Injectable Value'!$A$28:$A$178,0)),1),"")</f>
        <v>5713.6</v>
      </c>
      <c r="U651" s="17" t="s">
        <v>1425</v>
      </c>
      <c r="V651" s="16" t="n">
        <v>4</v>
      </c>
      <c r="W651" s="16" t="s">
        <v>772</v>
      </c>
      <c r="X651" s="16" t="s">
        <v>281</v>
      </c>
      <c r="Y651" s="16" t="s">
        <v>333</v>
      </c>
      <c r="Z651" s="17" t="str">
        <f aca="false">IFERROR(INDEX(Scoring!$U:$U,MATCH($C651&amp;"|"&amp;$E651,Scoring!$AD:$AD,0)),"")</f>
        <v>Reconstitution</v>
      </c>
      <c r="AA651" s="16" t="str">
        <f aca="false">IFERROR(INDEX(Scoring!$E:$E,MATCH($C651&amp;"|"&amp;$E651,Scoring!$AD:$AD,0)),"")</f>
        <v>Priority 2</v>
      </c>
      <c r="AB651" s="19" t="n">
        <f aca="false">IFERROR(INDEX(Scoring!$M:$M,MATCH($C651&amp;"|"&amp;$E651,Scoring!$AD:$AD,0)),"")</f>
        <v>335</v>
      </c>
      <c r="AC651" s="16" t="str">
        <f aca="false">IFERROR(INDEX('Route of Administration'!$C$5:$C$155,MATCH($C651,'Route of Administration'!$A$5:$A$155,0)),"")</f>
        <v>IV, IM</v>
      </c>
      <c r="AD651" s="15" t="str">
        <f aca="false">IFERROR(INDEX('Route of Administration'!$D$5:$D$155,MATCH($C651,'Route of Administration'!$A$5:$A$155,0)),"")</f>
        <v>Yes</v>
      </c>
      <c r="AE651" s="15" t="str">
        <f aca="false">IF($AD651="No","Not checked – drug is IV only",IFERROR(INDEX('Route of Administration'!$O$5:$O$170,MATCH($E651&amp;"|"&amp;$C651,'Route of Administration'!$S$5:$S$170,0)),"Not checked – price ≤ USD 5"))</f>
        <v>Pass</v>
      </c>
    </row>
    <row r="652" customFormat="false" ht="28.35" hidden="false" customHeight="false" outlineLevel="0" collapsed="false">
      <c r="B652" s="16" t="n">
        <v>650</v>
      </c>
      <c r="C652" s="16" t="s">
        <v>1250</v>
      </c>
      <c r="D652" s="16" t="s">
        <v>1423</v>
      </c>
      <c r="E652" s="16" t="s">
        <v>244</v>
      </c>
      <c r="F652" s="16" t="s">
        <v>2071</v>
      </c>
      <c r="G652" s="17" t="s">
        <v>2679</v>
      </c>
      <c r="H652" s="16" t="s">
        <v>1533</v>
      </c>
      <c r="I652" s="18" t="n">
        <v>6.45</v>
      </c>
      <c r="J652" s="16" t="n">
        <v>1</v>
      </c>
      <c r="K652" s="16" t="n">
        <v>2221</v>
      </c>
      <c r="L652" s="19" t="n">
        <v>49989.33</v>
      </c>
      <c r="M652" s="17" t="s">
        <v>1252</v>
      </c>
      <c r="N652" s="18" t="n">
        <v>6.45</v>
      </c>
      <c r="O652" s="16" t="s">
        <v>1534</v>
      </c>
      <c r="P652" s="16" t="s">
        <v>1535</v>
      </c>
      <c r="Q652" s="17" t="s">
        <v>1536</v>
      </c>
      <c r="R652" s="78" t="s">
        <v>2687</v>
      </c>
      <c r="S652" s="77" t="n">
        <f aca="false">IFERROR(INDEX('Injectable Value'!$Z$28:$Z$178,MATCH($C652,'Injectable Value'!$A$28:$A$178,0)),"")</f>
        <v>0.0524659711687654</v>
      </c>
      <c r="T652" s="19" t="n">
        <f aca="false">IFERROR(ROUND(INDEX('Injectable Value'!$AA$28:$AA$178,MATCH($C652,'Injectable Value'!$A$28:$A$178,0)),1),"")</f>
        <v>2622.7</v>
      </c>
      <c r="U652" s="17" t="s">
        <v>772</v>
      </c>
      <c r="V652" s="16" t="n">
        <v>2</v>
      </c>
      <c r="W652" s="16" t="s">
        <v>772</v>
      </c>
      <c r="X652" s="16" t="s">
        <v>349</v>
      </c>
      <c r="Y652" s="16" t="s">
        <v>283</v>
      </c>
      <c r="Z652" s="17" t="str">
        <f aca="false">IFERROR(INDEX(Scoring!$U:$U,MATCH($C652&amp;"|"&amp;$E652,Scoring!$AD:$AD,0)),"")</f>
        <v/>
      </c>
      <c r="AA652" s="16" t="str">
        <f aca="false">IFERROR(INDEX(Scoring!$E:$E,MATCH($C652&amp;"|"&amp;$E652,Scoring!$AD:$AD,0)),"")</f>
        <v>Excluded – IV only</v>
      </c>
      <c r="AB652" s="19" t="n">
        <f aca="false">IFERROR(INDEX(Scoring!$M:$M,MATCH($C652&amp;"|"&amp;$E652,Scoring!$AD:$AD,0)),"")</f>
        <v>117</v>
      </c>
      <c r="AC652" s="16" t="str">
        <f aca="false">IFERROR(INDEX('Route of Administration'!$C$5:$C$155,MATCH($C652,'Route of Administration'!$A$5:$A$155,0)),"")</f>
        <v>IV</v>
      </c>
      <c r="AD652" s="15" t="str">
        <f aca="false">IFERROR(INDEX('Route of Administration'!$D$5:$D$155,MATCH($C652,'Route of Administration'!$A$5:$A$155,0)),"")</f>
        <v>No</v>
      </c>
      <c r="AE652" s="15" t="str">
        <f aca="false">IF($AD652="No","Not checked – drug is IV only",IFERROR(INDEX('Route of Administration'!$O$5:$O$170,MATCH($E652&amp;"|"&amp;$C652,'Route of Administration'!$S$5:$S$170,0)),"Not checked – price ≤ USD 5"))</f>
        <v>Not checked – drug is IV only</v>
      </c>
    </row>
    <row r="653" customFormat="false" ht="28.35" hidden="false" customHeight="false" outlineLevel="0" collapsed="false">
      <c r="B653" s="16" t="n">
        <v>651</v>
      </c>
      <c r="C653" s="16" t="s">
        <v>1417</v>
      </c>
      <c r="D653" s="16" t="s">
        <v>1417</v>
      </c>
      <c r="E653" s="16" t="s">
        <v>244</v>
      </c>
      <c r="F653" s="16" t="s">
        <v>2688</v>
      </c>
      <c r="G653" s="17" t="s">
        <v>2689</v>
      </c>
      <c r="H653" s="16" t="s">
        <v>1533</v>
      </c>
      <c r="I653" s="18" t="n">
        <v>5.88</v>
      </c>
      <c r="J653" s="16" t="n">
        <v>1</v>
      </c>
      <c r="K653" s="16" t="n">
        <v>251</v>
      </c>
      <c r="L653" s="19" t="n">
        <v>4229.67</v>
      </c>
      <c r="M653" s="17" t="s">
        <v>1419</v>
      </c>
      <c r="N653" s="18" t="n">
        <v>5.88</v>
      </c>
      <c r="O653" s="16" t="s">
        <v>1534</v>
      </c>
      <c r="P653" s="16" t="s">
        <v>1700</v>
      </c>
      <c r="Q653" s="17" t="s">
        <v>1536</v>
      </c>
      <c r="R653" s="78" t="s">
        <v>2690</v>
      </c>
      <c r="S653" s="77" t="n">
        <f aca="false">IFERROR(INDEX('Injectable Value'!$Z$28:$Z$178,MATCH($C653,'Injectable Value'!$A$28:$A$178,0)),"")</f>
        <v>0.679653957913821</v>
      </c>
      <c r="T653" s="19" t="n">
        <f aca="false">IFERROR(ROUND(INDEX('Injectable Value'!$AA$28:$AA$178,MATCH($C653,'Injectable Value'!$A$28:$A$178,0)),1),"")</f>
        <v>2874.7</v>
      </c>
      <c r="U653" s="17" t="s">
        <v>772</v>
      </c>
      <c r="V653" s="16" t="n">
        <v>2</v>
      </c>
      <c r="W653" s="16" t="s">
        <v>772</v>
      </c>
      <c r="X653" s="16" t="s">
        <v>281</v>
      </c>
      <c r="Y653" s="16" t="s">
        <v>283</v>
      </c>
      <c r="Z653" s="17" t="str">
        <f aca="false">IFERROR(INDEX(Scoring!$U:$U,MATCH($C653&amp;"|"&amp;$E653,Scoring!$AD:$AD,0)),"")</f>
        <v/>
      </c>
      <c r="AA653" s="16" t="str">
        <f aca="false">IFERROR(INDEX(Scoring!$E:$E,MATCH($C653&amp;"|"&amp;$E653,Scoring!$AD:$AD,0)),"")</f>
        <v>Excluded – IV only</v>
      </c>
      <c r="AB653" s="19" t="n">
        <f aca="false">IFERROR(INDEX(Scoring!$M:$M,MATCH($C653&amp;"|"&amp;$E653,Scoring!$AD:$AD,0)),"")</f>
        <v>171</v>
      </c>
      <c r="AC653" s="16" t="str">
        <f aca="false">IFERROR(INDEX('Route of Administration'!$C$5:$C$155,MATCH($C653,'Route of Administration'!$A$5:$A$155,0)),"")</f>
        <v>IV</v>
      </c>
      <c r="AD653" s="15" t="str">
        <f aca="false">IFERROR(INDEX('Route of Administration'!$D$5:$D$155,MATCH($C653,'Route of Administration'!$A$5:$A$155,0)),"")</f>
        <v>No</v>
      </c>
      <c r="AE653" s="15" t="str">
        <f aca="false">IF($AD653="No","Not checked – drug is IV only",IFERROR(INDEX('Route of Administration'!$O$5:$O$170,MATCH($E653&amp;"|"&amp;$C653,'Route of Administration'!$S$5:$S$170,0)),"Not checked – price ≤ USD 5"))</f>
        <v>Not checked – drug is IV only</v>
      </c>
    </row>
    <row r="654" customFormat="false" ht="28.35" hidden="false" customHeight="false" outlineLevel="0" collapsed="false">
      <c r="B654" s="16" t="n">
        <v>652</v>
      </c>
      <c r="C654" s="16" t="s">
        <v>1417</v>
      </c>
      <c r="D654" s="16" t="s">
        <v>2691</v>
      </c>
      <c r="E654" s="16" t="s">
        <v>244</v>
      </c>
      <c r="F654" s="16" t="s">
        <v>2692</v>
      </c>
      <c r="G654" s="17" t="s">
        <v>2689</v>
      </c>
      <c r="H654" s="16" t="s">
        <v>1533</v>
      </c>
      <c r="I654" s="18" t="n">
        <v>7.6953</v>
      </c>
      <c r="J654" s="16" t="n">
        <v>23</v>
      </c>
      <c r="K654" s="16" t="n">
        <v>251</v>
      </c>
      <c r="L654" s="19" t="n">
        <v>4229.67</v>
      </c>
      <c r="M654" s="17" t="s">
        <v>1419</v>
      </c>
      <c r="N654" s="18" t="n">
        <v>7.6953</v>
      </c>
      <c r="O654" s="16" t="s">
        <v>1534</v>
      </c>
      <c r="P654" s="16" t="s">
        <v>1561</v>
      </c>
      <c r="Q654" s="17" t="s">
        <v>1536</v>
      </c>
      <c r="R654" s="78" t="s">
        <v>2693</v>
      </c>
      <c r="S654" s="77" t="n">
        <f aca="false">IFERROR(INDEX('Injectable Value'!$Z$28:$Z$178,MATCH($C654,'Injectable Value'!$A$28:$A$178,0)),"")</f>
        <v>0.679653957913821</v>
      </c>
      <c r="T654" s="19" t="n">
        <f aca="false">IFERROR(ROUND(INDEX('Injectable Value'!$AA$28:$AA$178,MATCH($C654,'Injectable Value'!$A$28:$A$178,0)),1),"")</f>
        <v>2874.7</v>
      </c>
      <c r="U654" s="17" t="s">
        <v>772</v>
      </c>
      <c r="V654" s="16" t="n">
        <v>2</v>
      </c>
      <c r="W654" s="16" t="s">
        <v>772</v>
      </c>
      <c r="X654" s="16" t="s">
        <v>281</v>
      </c>
      <c r="Y654" s="16" t="s">
        <v>283</v>
      </c>
      <c r="Z654" s="17" t="str">
        <f aca="false">IFERROR(INDEX(Scoring!$U:$U,MATCH($C654&amp;"|"&amp;$E654,Scoring!$AD:$AD,0)),"")</f>
        <v/>
      </c>
      <c r="AA654" s="16" t="str">
        <f aca="false">IFERROR(INDEX(Scoring!$E:$E,MATCH($C654&amp;"|"&amp;$E654,Scoring!$AD:$AD,0)),"")</f>
        <v>Excluded – IV only</v>
      </c>
      <c r="AB654" s="19" t="n">
        <f aca="false">IFERROR(INDEX(Scoring!$M:$M,MATCH($C654&amp;"|"&amp;$E654,Scoring!$AD:$AD,0)),"")</f>
        <v>171</v>
      </c>
      <c r="AC654" s="16" t="str">
        <f aca="false">IFERROR(INDEX('Route of Administration'!$C$5:$C$155,MATCH($C654,'Route of Administration'!$A$5:$A$155,0)),"")</f>
        <v>IV</v>
      </c>
      <c r="AD654" s="15" t="str">
        <f aca="false">IFERROR(INDEX('Route of Administration'!$D$5:$D$155,MATCH($C654,'Route of Administration'!$A$5:$A$155,0)),"")</f>
        <v>No</v>
      </c>
      <c r="AE654" s="15" t="str">
        <f aca="false">IF($AD654="No","Not checked – drug is IV only",IFERROR(INDEX('Route of Administration'!$O$5:$O$170,MATCH($E654&amp;"|"&amp;$C654,'Route of Administration'!$S$5:$S$170,0)),"Not checked – price ≤ USD 5"))</f>
        <v>Not checked – drug is IV only</v>
      </c>
    </row>
    <row r="655" customFormat="false" ht="28.35" hidden="false" customHeight="false" outlineLevel="0" collapsed="false">
      <c r="B655" s="16" t="n">
        <v>653</v>
      </c>
      <c r="C655" s="16" t="s">
        <v>1250</v>
      </c>
      <c r="D655" s="16" t="s">
        <v>1423</v>
      </c>
      <c r="E655" s="16" t="s">
        <v>244</v>
      </c>
      <c r="F655" s="16" t="s">
        <v>1722</v>
      </c>
      <c r="G655" s="17"/>
      <c r="H655" s="16"/>
      <c r="I655" s="18"/>
      <c r="J655" s="16" t="n">
        <v>2</v>
      </c>
      <c r="K655" s="16" t="n">
        <v>2221</v>
      </c>
      <c r="L655" s="19" t="n">
        <v>49989.33</v>
      </c>
      <c r="M655" s="17" t="s">
        <v>1252</v>
      </c>
      <c r="N655" s="18"/>
      <c r="O655" s="16" t="s">
        <v>1573</v>
      </c>
      <c r="P655" s="16" t="s">
        <v>112</v>
      </c>
      <c r="Q655" s="17" t="s">
        <v>112</v>
      </c>
      <c r="R655" s="16"/>
      <c r="S655" s="77" t="n">
        <f aca="false">IFERROR(INDEX('Injectable Value'!$Z$28:$Z$178,MATCH($C655,'Injectable Value'!$A$28:$A$178,0)),"")</f>
        <v>0.0524659711687654</v>
      </c>
      <c r="T655" s="19" t="n">
        <f aca="false">IFERROR(ROUND(INDEX('Injectable Value'!$AA$28:$AA$178,MATCH($C655,'Injectable Value'!$A$28:$A$178,0)),1),"")</f>
        <v>2622.7</v>
      </c>
      <c r="U655" s="17" t="s">
        <v>772</v>
      </c>
      <c r="V655" s="16" t="n">
        <v>2</v>
      </c>
      <c r="W655" s="16" t="s">
        <v>772</v>
      </c>
      <c r="X655" s="16" t="s">
        <v>310</v>
      </c>
      <c r="Y655" s="16" t="s">
        <v>310</v>
      </c>
      <c r="Z655" s="17" t="str">
        <f aca="false">IFERROR(INDEX(Scoring!$U:$U,MATCH($C655&amp;"|"&amp;$E655,Scoring!$AD:$AD,0)),"")</f>
        <v/>
      </c>
      <c r="AA655" s="16" t="str">
        <f aca="false">IFERROR(INDEX(Scoring!$E:$E,MATCH($C655&amp;"|"&amp;$E655,Scoring!$AD:$AD,0)),"")</f>
        <v>Excluded – IV only</v>
      </c>
      <c r="AB655" s="19" t="n">
        <f aca="false">IFERROR(INDEX(Scoring!$M:$M,MATCH($C655&amp;"|"&amp;$E655,Scoring!$AD:$AD,0)),"")</f>
        <v>117</v>
      </c>
      <c r="AC655" s="16" t="str">
        <f aca="false">IFERROR(INDEX('Route of Administration'!$C$5:$C$155,MATCH($C655,'Route of Administration'!$A$5:$A$155,0)),"")</f>
        <v>IV</v>
      </c>
      <c r="AD655" s="15" t="str">
        <f aca="false">IFERROR(INDEX('Route of Administration'!$D$5:$D$155,MATCH($C655,'Route of Administration'!$A$5:$A$155,0)),"")</f>
        <v>No</v>
      </c>
      <c r="AE655" s="15" t="str">
        <f aca="false">IF($AD655="No","Not checked – drug is IV only",IFERROR(INDEX('Route of Administration'!$O$5:$O$170,MATCH($E655&amp;"|"&amp;$C655,'Route of Administration'!$S$5:$S$170,0)),"Not checked – price ≤ USD 5"))</f>
        <v>Not checked – drug is IV only</v>
      </c>
    </row>
    <row r="656" customFormat="false" ht="28.35" hidden="false" customHeight="false" outlineLevel="0" collapsed="false">
      <c r="B656" s="16" t="n">
        <v>654</v>
      </c>
      <c r="C656" s="16" t="s">
        <v>362</v>
      </c>
      <c r="D656" s="16" t="s">
        <v>2694</v>
      </c>
      <c r="E656" s="16" t="s">
        <v>244</v>
      </c>
      <c r="F656" s="16" t="s">
        <v>2528</v>
      </c>
      <c r="G656" s="17" t="s">
        <v>2657</v>
      </c>
      <c r="H656" s="16" t="s">
        <v>1533</v>
      </c>
      <c r="I656" s="18" t="n">
        <v>11.6164</v>
      </c>
      <c r="J656" s="16" t="n">
        <v>30</v>
      </c>
      <c r="K656" s="16" t="n">
        <v>335</v>
      </c>
      <c r="L656" s="19" t="n">
        <v>5713.56</v>
      </c>
      <c r="M656" s="17" t="s">
        <v>364</v>
      </c>
      <c r="N656" s="18" t="n">
        <v>11.6164</v>
      </c>
      <c r="O656" s="16" t="s">
        <v>1534</v>
      </c>
      <c r="P656" s="16" t="s">
        <v>1561</v>
      </c>
      <c r="Q656" s="17" t="s">
        <v>1536</v>
      </c>
      <c r="R656" s="78" t="s">
        <v>1701</v>
      </c>
      <c r="S656" s="77" t="n">
        <f aca="false">IFERROR(INDEX('Injectable Value'!$Z$28:$Z$178,MATCH($C656,'Injectable Value'!$A$28:$A$178,0)),"")</f>
        <v>1</v>
      </c>
      <c r="T656" s="19" t="n">
        <f aca="false">IFERROR(ROUND(INDEX('Injectable Value'!$AA$28:$AA$178,MATCH($C656,'Injectable Value'!$A$28:$A$178,0)),1),"")</f>
        <v>5713.6</v>
      </c>
      <c r="U656" s="17" t="s">
        <v>1425</v>
      </c>
      <c r="V656" s="16" t="n">
        <v>4</v>
      </c>
      <c r="W656" s="16" t="s">
        <v>772</v>
      </c>
      <c r="X656" s="16" t="s">
        <v>281</v>
      </c>
      <c r="Y656" s="16" t="s">
        <v>333</v>
      </c>
      <c r="Z656" s="17" t="str">
        <f aca="false">IFERROR(INDEX(Scoring!$U:$U,MATCH($C656&amp;"|"&amp;$E656,Scoring!$AD:$AD,0)),"")</f>
        <v>Reconstitution</v>
      </c>
      <c r="AA656" s="16" t="str">
        <f aca="false">IFERROR(INDEX(Scoring!$E:$E,MATCH($C656&amp;"|"&amp;$E656,Scoring!$AD:$AD,0)),"")</f>
        <v>Priority 2</v>
      </c>
      <c r="AB656" s="19" t="n">
        <f aca="false">IFERROR(INDEX(Scoring!$M:$M,MATCH($C656&amp;"|"&amp;$E656,Scoring!$AD:$AD,0)),"")</f>
        <v>335</v>
      </c>
      <c r="AC656" s="16" t="str">
        <f aca="false">IFERROR(INDEX('Route of Administration'!$C$5:$C$155,MATCH($C656,'Route of Administration'!$A$5:$A$155,0)),"")</f>
        <v>IV, IM</v>
      </c>
      <c r="AD656" s="15" t="str">
        <f aca="false">IFERROR(INDEX('Route of Administration'!$D$5:$D$155,MATCH($C656,'Route of Administration'!$A$5:$A$155,0)),"")</f>
        <v>Yes</v>
      </c>
      <c r="AE656" s="15" t="str">
        <f aca="false">IF($AD656="No","Not checked – drug is IV only",IFERROR(INDEX('Route of Administration'!$O$5:$O$170,MATCH($E656&amp;"|"&amp;$C656,'Route of Administration'!$S$5:$S$170,0)),"Not checked – price ≤ USD 5"))</f>
        <v>Pass</v>
      </c>
    </row>
    <row r="657" customFormat="false" ht="28.35" hidden="false" customHeight="false" outlineLevel="0" collapsed="false">
      <c r="B657" s="16" t="n">
        <v>655</v>
      </c>
      <c r="C657" s="16" t="s">
        <v>388</v>
      </c>
      <c r="D657" s="16" t="s">
        <v>2695</v>
      </c>
      <c r="E657" s="16" t="s">
        <v>244</v>
      </c>
      <c r="F657" s="16" t="s">
        <v>1716</v>
      </c>
      <c r="G657" s="17" t="s">
        <v>1717</v>
      </c>
      <c r="H657" s="16" t="s">
        <v>1533</v>
      </c>
      <c r="I657" s="18" t="n">
        <v>93.7335</v>
      </c>
      <c r="J657" s="16" t="n">
        <v>28</v>
      </c>
      <c r="K657" s="16" t="n">
        <v>312</v>
      </c>
      <c r="L657" s="19" t="n">
        <v>59827.18</v>
      </c>
      <c r="M657" s="17" t="s">
        <v>390</v>
      </c>
      <c r="N657" s="18" t="n">
        <v>93.7335</v>
      </c>
      <c r="O657" s="16" t="s">
        <v>1534</v>
      </c>
      <c r="P657" s="16" t="s">
        <v>1561</v>
      </c>
      <c r="Q657" s="17" t="s">
        <v>1536</v>
      </c>
      <c r="R657" s="78" t="s">
        <v>1701</v>
      </c>
      <c r="S657" s="77" t="n">
        <f aca="false">IFERROR(INDEX('Injectable Value'!$Z$28:$Z$178,MATCH($C657,'Injectable Value'!$A$28:$A$178,0)),"")</f>
        <v>1</v>
      </c>
      <c r="T657" s="19" t="n">
        <f aca="false">IFERROR(ROUND(INDEX('Injectable Value'!$AA$28:$AA$178,MATCH($C657,'Injectable Value'!$A$28:$A$178,0)),1),"")</f>
        <v>59827.2</v>
      </c>
      <c r="U657" s="17" t="s">
        <v>1433</v>
      </c>
      <c r="V657" s="16" t="n">
        <v>3</v>
      </c>
      <c r="W657" s="16" t="s">
        <v>772</v>
      </c>
      <c r="X657" s="16" t="s">
        <v>281</v>
      </c>
      <c r="Y657" s="16" t="s">
        <v>333</v>
      </c>
      <c r="Z657" s="17" t="str">
        <f aca="false">IFERROR(INDEX(Scoring!$U:$U,MATCH($C657&amp;"|"&amp;$E657,Scoring!$AD:$AD,0)),"")</f>
        <v>Reconstitution</v>
      </c>
      <c r="AA657" s="16" t="str">
        <f aca="false">IFERROR(INDEX(Scoring!$E:$E,MATCH($C657&amp;"|"&amp;$E657,Scoring!$AD:$AD,0)),"")</f>
        <v>Excluded – IV only</v>
      </c>
      <c r="AB657" s="19" t="n">
        <f aca="false">IFERROR(INDEX(Scoring!$M:$M,MATCH($C657&amp;"|"&amp;$E657,Scoring!$AD:$AD,0)),"")</f>
        <v>312</v>
      </c>
      <c r="AC657" s="16" t="str">
        <f aca="false">IFERROR(INDEX('Route of Administration'!$C$5:$C$155,MATCH($C657,'Route of Administration'!$A$5:$A$155,0)),"")</f>
        <v>IV</v>
      </c>
      <c r="AD657" s="15" t="str">
        <f aca="false">IFERROR(INDEX('Route of Administration'!$D$5:$D$155,MATCH($C657,'Route of Administration'!$A$5:$A$155,0)),"")</f>
        <v>No</v>
      </c>
      <c r="AE657" s="15" t="str">
        <f aca="false">IF($AD657="No","Not checked – drug is IV only",IFERROR(INDEX('Route of Administration'!$O$5:$O$170,MATCH($E657&amp;"|"&amp;$C657,'Route of Administration'!$S$5:$S$170,0)),"Not checked – price ≤ USD 5"))</f>
        <v>Not checked – drug is IV only</v>
      </c>
    </row>
    <row r="658" customFormat="false" ht="28.35" hidden="false" customHeight="false" outlineLevel="0" collapsed="false">
      <c r="B658" s="16" t="n">
        <v>656</v>
      </c>
      <c r="C658" s="16" t="s">
        <v>1438</v>
      </c>
      <c r="D658" s="16" t="s">
        <v>1439</v>
      </c>
      <c r="E658" s="16" t="s">
        <v>244</v>
      </c>
      <c r="F658" s="16" t="s">
        <v>2696</v>
      </c>
      <c r="G658" s="17" t="s">
        <v>2697</v>
      </c>
      <c r="H658" s="16" t="s">
        <v>1533</v>
      </c>
      <c r="I658" s="18" t="n">
        <v>59.1216</v>
      </c>
      <c r="J658" s="16" t="n">
        <v>6</v>
      </c>
      <c r="K658" s="16" t="n">
        <v>106</v>
      </c>
      <c r="L658" s="19" t="n">
        <v>175.06</v>
      </c>
      <c r="M658" s="17" t="s">
        <v>1440</v>
      </c>
      <c r="N658" s="18" t="n">
        <v>59.1216</v>
      </c>
      <c r="O658" s="16" t="s">
        <v>1534</v>
      </c>
      <c r="P658" s="16" t="s">
        <v>1561</v>
      </c>
      <c r="Q658" s="17" t="s">
        <v>1536</v>
      </c>
      <c r="R658" s="78" t="s">
        <v>2698</v>
      </c>
      <c r="S658" s="77" t="n">
        <f aca="false">IFERROR(INDEX('Injectable Value'!$Z$28:$Z$178,MATCH($C658,'Injectable Value'!$A$28:$A$178,0)),"")</f>
        <v>1</v>
      </c>
      <c r="T658" s="19" t="n">
        <f aca="false">IFERROR(ROUND(INDEX('Injectable Value'!$AA$28:$AA$178,MATCH($C658,'Injectable Value'!$A$28:$A$178,0)),1),"")</f>
        <v>175.1</v>
      </c>
      <c r="U658" s="17" t="s">
        <v>1442</v>
      </c>
      <c r="V658" s="16" t="n">
        <v>3</v>
      </c>
      <c r="W658" s="16" t="s">
        <v>912</v>
      </c>
      <c r="X658" s="16" t="s">
        <v>349</v>
      </c>
      <c r="Y658" s="16" t="s">
        <v>333</v>
      </c>
      <c r="Z658" s="17" t="str">
        <f aca="false">IFERROR(INDEX(Scoring!$U:$U,MATCH($C658&amp;"|"&amp;$E658,Scoring!$AD:$AD,0)),"")</f>
        <v>Reconstitution</v>
      </c>
      <c r="AA658" s="16" t="str">
        <f aca="false">IFERROR(INDEX(Scoring!$E:$E,MATCH($C658&amp;"|"&amp;$E658,Scoring!$AD:$AD,0)),"")</f>
        <v>Priority 2</v>
      </c>
      <c r="AB658" s="19" t="n">
        <f aca="false">IFERROR(INDEX(Scoring!$M:$M,MATCH($C658&amp;"|"&amp;$E658,Scoring!$AD:$AD,0)),"")</f>
        <v>106</v>
      </c>
      <c r="AC658" s="16" t="str">
        <f aca="false">IFERROR(INDEX('Route of Administration'!$C$5:$C$155,MATCH($C658,'Route of Administration'!$A$5:$A$155,0)),"")</f>
        <v>SC</v>
      </c>
      <c r="AD658" s="15" t="str">
        <f aca="false">IFERROR(INDEX('Route of Administration'!$D$5:$D$155,MATCH($C658,'Route of Administration'!$A$5:$A$155,0)),"")</f>
        <v>Yes</v>
      </c>
      <c r="AE658" s="15" t="str">
        <f aca="false">IF($AD658="No","Not checked – drug is IV only",IFERROR(INDEX('Route of Administration'!$O$5:$O$170,MATCH($E658&amp;"|"&amp;$C658,'Route of Administration'!$S$5:$S$170,0)),"Not checked – price ≤ USD 5"))</f>
        <v>Pass</v>
      </c>
    </row>
    <row r="659" customFormat="false" ht="28.35" hidden="false" customHeight="false" outlineLevel="0" collapsed="false">
      <c r="B659" s="16" t="n">
        <v>657</v>
      </c>
      <c r="C659" s="16" t="s">
        <v>1448</v>
      </c>
      <c r="D659" s="16" t="s">
        <v>1449</v>
      </c>
      <c r="E659" s="16" t="s">
        <v>244</v>
      </c>
      <c r="F659" s="16" t="s">
        <v>1722</v>
      </c>
      <c r="G659" s="17" t="s">
        <v>2679</v>
      </c>
      <c r="H659" s="16" t="s">
        <v>1533</v>
      </c>
      <c r="I659" s="18" t="n">
        <v>13.899</v>
      </c>
      <c r="J659" s="16" t="n">
        <v>1</v>
      </c>
      <c r="K659" s="16" t="n">
        <v>9</v>
      </c>
      <c r="L659" s="19" t="n">
        <v>1894.78</v>
      </c>
      <c r="M659" s="17" t="s">
        <v>657</v>
      </c>
      <c r="N659" s="18" t="n">
        <v>13.899</v>
      </c>
      <c r="O659" s="16" t="s">
        <v>1534</v>
      </c>
      <c r="P659" s="16" t="s">
        <v>1561</v>
      </c>
      <c r="Q659" s="17" t="s">
        <v>1536</v>
      </c>
      <c r="R659" s="78" t="s">
        <v>2699</v>
      </c>
      <c r="S659" s="77" t="n">
        <f aca="false">IFERROR(INDEX('Injectable Value'!$Z$28:$Z$178,MATCH($C659,'Injectable Value'!$A$28:$A$178,0)),"")</f>
        <v>1</v>
      </c>
      <c r="T659" s="19" t="n">
        <f aca="false">IFERROR(ROUND(INDEX('Injectable Value'!$AA$28:$AA$178,MATCH($C659,'Injectable Value'!$A$28:$A$178,0)),1),"")</f>
        <v>1894.8</v>
      </c>
      <c r="U659" s="17" t="s">
        <v>1259</v>
      </c>
      <c r="V659" s="16" t="n">
        <v>2</v>
      </c>
      <c r="W659" s="16" t="s">
        <v>912</v>
      </c>
      <c r="X659" s="16" t="s">
        <v>349</v>
      </c>
      <c r="Y659" s="16" t="s">
        <v>283</v>
      </c>
      <c r="Z659" s="17" t="str">
        <f aca="false">IFERROR(INDEX(Scoring!$U:$U,MATCH($C659&amp;"|"&amp;$E659,Scoring!$AD:$AD,0)),"")</f>
        <v/>
      </c>
      <c r="AA659" s="16" t="str">
        <f aca="false">IFERROR(INDEX(Scoring!$E:$E,MATCH($C659&amp;"|"&amp;$E659,Scoring!$AD:$AD,0)),"")</f>
        <v>Excluded – IV only</v>
      </c>
      <c r="AB659" s="19" t="n">
        <f aca="false">IFERROR(INDEX(Scoring!$M:$M,MATCH($C659&amp;"|"&amp;$E659,Scoring!$AD:$AD,0)),"")</f>
        <v>9</v>
      </c>
      <c r="AC659" s="16" t="str">
        <f aca="false">IFERROR(INDEX('Route of Administration'!$C$5:$C$155,MATCH($C659,'Route of Administration'!$A$5:$A$155,0)),"")</f>
        <v>IV</v>
      </c>
      <c r="AD659" s="15" t="str">
        <f aca="false">IFERROR(INDEX('Route of Administration'!$D$5:$D$155,MATCH($C659,'Route of Administration'!$A$5:$A$155,0)),"")</f>
        <v>No</v>
      </c>
      <c r="AE659" s="15" t="str">
        <f aca="false">IF($AD659="No","Not checked – drug is IV only",IFERROR(INDEX('Route of Administration'!$O$5:$O$170,MATCH($E659&amp;"|"&amp;$C659,'Route of Administration'!$S$5:$S$170,0)),"Not checked – price ≤ USD 5"))</f>
        <v>Not checked – drug is IV only</v>
      </c>
    </row>
    <row r="660" customFormat="false" ht="15" hidden="false" customHeight="false" outlineLevel="0" collapsed="false">
      <c r="B660" s="16" t="n">
        <v>658</v>
      </c>
      <c r="C660" s="16" t="s">
        <v>819</v>
      </c>
      <c r="D660" s="16" t="s">
        <v>2700</v>
      </c>
      <c r="E660" s="16" t="s">
        <v>244</v>
      </c>
      <c r="F660" s="16" t="s">
        <v>2308</v>
      </c>
      <c r="G660" s="17" t="s">
        <v>2680</v>
      </c>
      <c r="H660" s="16" t="s">
        <v>1533</v>
      </c>
      <c r="I660" s="18" t="n">
        <v>21.0971</v>
      </c>
      <c r="J660" s="16" t="n">
        <v>24</v>
      </c>
      <c r="K660" s="16" t="n">
        <v>133</v>
      </c>
      <c r="L660" s="19" t="n">
        <v>4036.55</v>
      </c>
      <c r="M660" s="17" t="s">
        <v>821</v>
      </c>
      <c r="N660" s="18" t="n">
        <v>21.0971</v>
      </c>
      <c r="O660" s="16" t="s">
        <v>1534</v>
      </c>
      <c r="P660" s="16" t="s">
        <v>1561</v>
      </c>
      <c r="Q660" s="17" t="s">
        <v>1536</v>
      </c>
      <c r="R660" s="78" t="s">
        <v>2049</v>
      </c>
      <c r="S660" s="77" t="n">
        <f aca="false">IFERROR(INDEX('Injectable Value'!$Z$28:$Z$178,MATCH($C660,'Injectable Value'!$A$28:$A$178,0)),"")</f>
        <v>1</v>
      </c>
      <c r="T660" s="19" t="n">
        <f aca="false">IFERROR(ROUND(INDEX('Injectable Value'!$AA$28:$AA$178,MATCH($C660,'Injectable Value'!$A$28:$A$178,0)),1),"")</f>
        <v>4036.6</v>
      </c>
      <c r="U660" s="17" t="s">
        <v>1453</v>
      </c>
      <c r="V660" s="16" t="n">
        <v>3</v>
      </c>
      <c r="W660" s="16" t="s">
        <v>772</v>
      </c>
      <c r="X660" s="16" t="s">
        <v>349</v>
      </c>
      <c r="Y660" s="16" t="s">
        <v>283</v>
      </c>
      <c r="Z660" s="17" t="str">
        <f aca="false">IFERROR(INDEX(Scoring!$U:$U,MATCH($C660&amp;"|"&amp;$E660,Scoring!$AD:$AD,0)),"")</f>
        <v/>
      </c>
      <c r="AA660" s="16" t="str">
        <f aca="false">IFERROR(INDEX(Scoring!$E:$E,MATCH($C660&amp;"|"&amp;$E660,Scoring!$AD:$AD,0)),"")</f>
        <v>Excluded – IV only</v>
      </c>
      <c r="AB660" s="19" t="n">
        <f aca="false">IFERROR(INDEX(Scoring!$M:$M,MATCH($C660&amp;"|"&amp;$E660,Scoring!$AD:$AD,0)),"")</f>
        <v>133</v>
      </c>
      <c r="AC660" s="16" t="str">
        <f aca="false">IFERROR(INDEX('Route of Administration'!$C$5:$C$155,MATCH($C660,'Route of Administration'!$A$5:$A$155,0)),"")</f>
        <v>IV</v>
      </c>
      <c r="AD660" s="15" t="str">
        <f aca="false">IFERROR(INDEX('Route of Administration'!$D$5:$D$155,MATCH($C660,'Route of Administration'!$A$5:$A$155,0)),"")</f>
        <v>No</v>
      </c>
      <c r="AE660" s="15" t="str">
        <f aca="false">IF($AD660="No","Not checked – drug is IV only",IFERROR(INDEX('Route of Administration'!$O$5:$O$170,MATCH($E660&amp;"|"&amp;$C660,'Route of Administration'!$S$5:$S$170,0)),"Not checked – price ≤ USD 5"))</f>
        <v>Not checked – drug is IV only</v>
      </c>
    </row>
    <row r="661" customFormat="false" ht="28.35" hidden="false" customHeight="false" outlineLevel="0" collapsed="false">
      <c r="B661" s="16" t="n">
        <v>659</v>
      </c>
      <c r="C661" s="16" t="s">
        <v>518</v>
      </c>
      <c r="D661" s="16" t="s">
        <v>1459</v>
      </c>
      <c r="E661" s="16" t="s">
        <v>244</v>
      </c>
      <c r="F661" s="16" t="s">
        <v>1740</v>
      </c>
      <c r="G661" s="17" t="s">
        <v>2050</v>
      </c>
      <c r="H661" s="16" t="s">
        <v>1533</v>
      </c>
      <c r="I661" s="18" t="n">
        <v>5.3223</v>
      </c>
      <c r="J661" s="16" t="n">
        <v>28</v>
      </c>
      <c r="K661" s="16" t="n">
        <v>2546</v>
      </c>
      <c r="L661" s="19" t="n">
        <v>46507.62</v>
      </c>
      <c r="M661" s="17" t="s">
        <v>520</v>
      </c>
      <c r="N661" s="18" t="n">
        <v>5.3223</v>
      </c>
      <c r="O661" s="16" t="s">
        <v>1534</v>
      </c>
      <c r="P661" s="16" t="s">
        <v>1561</v>
      </c>
      <c r="Q661" s="17" t="s">
        <v>1536</v>
      </c>
      <c r="R661" s="78" t="s">
        <v>1701</v>
      </c>
      <c r="S661" s="77" t="n">
        <f aca="false">IFERROR(INDEX('Injectable Value'!$Z$28:$Z$178,MATCH($C661,'Injectable Value'!$A$28:$A$178,0)),"")</f>
        <v>0.378228374732698</v>
      </c>
      <c r="T661" s="19" t="n">
        <f aca="false">IFERROR(ROUND(INDEX('Injectable Value'!$AA$28:$AA$178,MATCH($C661,'Injectable Value'!$A$28:$A$178,0)),1),"")</f>
        <v>17590.5</v>
      </c>
      <c r="U661" s="17" t="s">
        <v>912</v>
      </c>
      <c r="V661" s="16" t="n">
        <v>1</v>
      </c>
      <c r="W661" s="16" t="s">
        <v>912</v>
      </c>
      <c r="X661" s="16" t="s">
        <v>349</v>
      </c>
      <c r="Y661" s="16" t="s">
        <v>283</v>
      </c>
      <c r="Z661" s="17" t="str">
        <f aca="false">IFERROR(INDEX(Scoring!$U:$U,MATCH($C661&amp;"|"&amp;$E661,Scoring!$AD:$AD,0)),"")</f>
        <v/>
      </c>
      <c r="AA661" s="16" t="str">
        <f aca="false">IFERROR(INDEX(Scoring!$E:$E,MATCH($C661&amp;"|"&amp;$E661,Scoring!$AD:$AD,0)),"")</f>
        <v>Priority 2</v>
      </c>
      <c r="AB661" s="19" t="n">
        <f aca="false">IFERROR(INDEX(Scoring!$M:$M,MATCH($C661&amp;"|"&amp;$E661,Scoring!$AD:$AD,0)),"")</f>
        <v>963</v>
      </c>
      <c r="AC661" s="16" t="str">
        <f aca="false">IFERROR(INDEX('Route of Administration'!$C$5:$C$155,MATCH($C661,'Route of Administration'!$A$5:$A$155,0)),"")</f>
        <v>IV, IM</v>
      </c>
      <c r="AD661" s="15" t="str">
        <f aca="false">IFERROR(INDEX('Route of Administration'!$D$5:$D$155,MATCH($C661,'Route of Administration'!$A$5:$A$155,0)),"")</f>
        <v>Yes</v>
      </c>
      <c r="AE661" s="15" t="str">
        <f aca="false">IF($AD661="No","Not checked – drug is IV only",IFERROR(INDEX('Route of Administration'!$O$5:$O$170,MATCH($E661&amp;"|"&amp;$C661,'Route of Administration'!$S$5:$S$170,0)),"Not checked – price ≤ USD 5"))</f>
        <v>Pass</v>
      </c>
    </row>
    <row r="662" customFormat="false" ht="28.35" hidden="false" customHeight="false" outlineLevel="0" collapsed="false">
      <c r="B662" s="16" t="n">
        <v>660</v>
      </c>
      <c r="C662" s="16" t="s">
        <v>1460</v>
      </c>
      <c r="D662" s="16" t="s">
        <v>2701</v>
      </c>
      <c r="E662" s="16" t="s">
        <v>244</v>
      </c>
      <c r="F662" s="16" t="s">
        <v>1722</v>
      </c>
      <c r="G662" s="17" t="s">
        <v>2702</v>
      </c>
      <c r="H662" s="16" t="s">
        <v>1533</v>
      </c>
      <c r="I662" s="18" t="n">
        <v>26.0352</v>
      </c>
      <c r="J662" s="16" t="n">
        <v>27</v>
      </c>
      <c r="K662" s="16" t="n">
        <v>186</v>
      </c>
      <c r="L662" s="19" t="n">
        <v>1176.33</v>
      </c>
      <c r="M662" s="17" t="s">
        <v>1462</v>
      </c>
      <c r="N662" s="18" t="n">
        <v>26.0352</v>
      </c>
      <c r="O662" s="16" t="s">
        <v>1534</v>
      </c>
      <c r="P662" s="16" t="s">
        <v>1561</v>
      </c>
      <c r="Q662" s="17" t="s">
        <v>1536</v>
      </c>
      <c r="R662" s="78" t="s">
        <v>2703</v>
      </c>
      <c r="S662" s="77" t="n">
        <f aca="false">IFERROR(INDEX('Injectable Value'!$Z$28:$Z$178,MATCH($C662,'Injectable Value'!$A$28:$A$178,0)),"")</f>
        <v>0.857142857142857</v>
      </c>
      <c r="T662" s="19" t="n">
        <f aca="false">IFERROR(ROUND(INDEX('Injectable Value'!$AA$28:$AA$178,MATCH($C662,'Injectable Value'!$A$28:$A$178,0)),1),"")</f>
        <v>1008.3</v>
      </c>
      <c r="U662" s="17" t="s">
        <v>772</v>
      </c>
      <c r="V662" s="16" t="n">
        <v>2</v>
      </c>
      <c r="W662" s="16" t="s">
        <v>772</v>
      </c>
      <c r="X662" s="16" t="s">
        <v>349</v>
      </c>
      <c r="Y662" s="16" t="s">
        <v>283</v>
      </c>
      <c r="Z662" s="17" t="str">
        <f aca="false">IFERROR(INDEX(Scoring!$U:$U,MATCH($C662&amp;"|"&amp;$E662,Scoring!$AD:$AD,0)),"")</f>
        <v/>
      </c>
      <c r="AA662" s="16" t="str">
        <f aca="false">IFERROR(INDEX(Scoring!$E:$E,MATCH($C662&amp;"|"&amp;$E662,Scoring!$AD:$AD,0)),"")</f>
        <v>Excluded – IV only</v>
      </c>
      <c r="AB662" s="19" t="n">
        <f aca="false">IFERROR(INDEX(Scoring!$M:$M,MATCH($C662&amp;"|"&amp;$E662,Scoring!$AD:$AD,0)),"")</f>
        <v>159</v>
      </c>
      <c r="AC662" s="16" t="str">
        <f aca="false">IFERROR(INDEX('Route of Administration'!$C$5:$C$155,MATCH($C662,'Route of Administration'!$A$5:$A$155,0)),"")</f>
        <v>IV</v>
      </c>
      <c r="AD662" s="15" t="str">
        <f aca="false">IFERROR(INDEX('Route of Administration'!$D$5:$D$155,MATCH($C662,'Route of Administration'!$A$5:$A$155,0)),"")</f>
        <v>No</v>
      </c>
      <c r="AE662" s="15" t="str">
        <f aca="false">IF($AD662="No","Not checked – drug is IV only",IFERROR(INDEX('Route of Administration'!$O$5:$O$170,MATCH($E662&amp;"|"&amp;$C662,'Route of Administration'!$S$5:$S$170,0)),"Not checked – price ≤ USD 5"))</f>
        <v>Not checked – drug is IV only</v>
      </c>
    </row>
    <row r="663" customFormat="false" ht="28.35" hidden="false" customHeight="false" outlineLevel="0" collapsed="false">
      <c r="B663" s="16" t="n">
        <v>661</v>
      </c>
      <c r="C663" s="16" t="s">
        <v>556</v>
      </c>
      <c r="D663" s="16" t="s">
        <v>2704</v>
      </c>
      <c r="E663" s="16" t="s">
        <v>244</v>
      </c>
      <c r="F663" s="16" t="s">
        <v>2705</v>
      </c>
      <c r="G663" s="17" t="s">
        <v>2674</v>
      </c>
      <c r="H663" s="16" t="s">
        <v>1533</v>
      </c>
      <c r="I663" s="18" t="n">
        <v>28.024</v>
      </c>
      <c r="J663" s="16" t="n">
        <v>22</v>
      </c>
      <c r="K663" s="16" t="n">
        <v>2</v>
      </c>
      <c r="L663" s="19" t="n">
        <v>71.73</v>
      </c>
      <c r="M663" s="17" t="s">
        <v>558</v>
      </c>
      <c r="N663" s="18" t="n">
        <v>28.024</v>
      </c>
      <c r="O663" s="16" t="s">
        <v>1534</v>
      </c>
      <c r="P663" s="16" t="s">
        <v>1561</v>
      </c>
      <c r="Q663" s="17" t="s">
        <v>1536</v>
      </c>
      <c r="R663" s="78" t="s">
        <v>1746</v>
      </c>
      <c r="S663" s="77" t="n">
        <f aca="false">IFERROR(INDEX('Injectable Value'!$Z$28:$Z$178,MATCH($C663,'Injectable Value'!$A$28:$A$178,0)),"")</f>
        <v>0.996078431372549</v>
      </c>
      <c r="T663" s="19" t="n">
        <f aca="false">IFERROR(ROUND(INDEX('Injectable Value'!$AA$28:$AA$178,MATCH($C663,'Injectable Value'!$A$28:$A$178,0)),1),"")</f>
        <v>71.4</v>
      </c>
      <c r="U663" s="17" t="s">
        <v>772</v>
      </c>
      <c r="V663" s="16" t="n">
        <v>2</v>
      </c>
      <c r="W663" s="16" t="s">
        <v>772</v>
      </c>
      <c r="X663" s="16" t="s">
        <v>281</v>
      </c>
      <c r="Y663" s="16" t="s">
        <v>333</v>
      </c>
      <c r="Z663" s="17" t="str">
        <f aca="false">IFERROR(INDEX(Scoring!$U:$U,MATCH($C663&amp;"|"&amp;$E663,Scoring!$AD:$AD,0)),"")</f>
        <v>Reconstitution</v>
      </c>
      <c r="AA663" s="16" t="str">
        <f aca="false">IFERROR(INDEX(Scoring!$E:$E,MATCH($C663&amp;"|"&amp;$E663,Scoring!$AD:$AD,0)),"")</f>
        <v>Excluded – IV only</v>
      </c>
      <c r="AB663" s="19" t="n">
        <f aca="false">IFERROR(INDEX(Scoring!$M:$M,MATCH($C663&amp;"|"&amp;$E663,Scoring!$AD:$AD,0)),"")</f>
        <v>2</v>
      </c>
      <c r="AC663" s="16" t="str">
        <f aca="false">IFERROR(INDEX('Route of Administration'!$C$5:$C$155,MATCH($C663,'Route of Administration'!$A$5:$A$155,0)),"")</f>
        <v>IV</v>
      </c>
      <c r="AD663" s="15" t="str">
        <f aca="false">IFERROR(INDEX('Route of Administration'!$D$5:$D$155,MATCH($C663,'Route of Administration'!$A$5:$A$155,0)),"")</f>
        <v>No</v>
      </c>
      <c r="AE663" s="15" t="str">
        <f aca="false">IF($AD663="No","Not checked – drug is IV only",IFERROR(INDEX('Route of Administration'!$O$5:$O$170,MATCH($E663&amp;"|"&amp;$C663,'Route of Administration'!$S$5:$S$170,0)),"Not checked – price ≤ USD 5"))</f>
        <v>Not checked – drug is IV only</v>
      </c>
    </row>
    <row r="664" customFormat="false" ht="28.35" hidden="false" customHeight="false" outlineLevel="0" collapsed="false">
      <c r="B664" s="16" t="n">
        <v>662</v>
      </c>
      <c r="C664" s="16" t="s">
        <v>1466</v>
      </c>
      <c r="D664" s="16" t="s">
        <v>2706</v>
      </c>
      <c r="E664" s="16" t="s">
        <v>244</v>
      </c>
      <c r="F664" s="16" t="s">
        <v>2707</v>
      </c>
      <c r="G664" s="17" t="s">
        <v>2708</v>
      </c>
      <c r="H664" s="16" t="s">
        <v>1533</v>
      </c>
      <c r="I664" s="18" t="n">
        <v>8.5428</v>
      </c>
      <c r="J664" s="16" t="n">
        <v>30</v>
      </c>
      <c r="K664" s="16" t="n">
        <v>780</v>
      </c>
      <c r="L664" s="19" t="n">
        <v>18439.5</v>
      </c>
      <c r="M664" s="17" t="s">
        <v>1268</v>
      </c>
      <c r="N664" s="18" t="n">
        <v>8.5428</v>
      </c>
      <c r="O664" s="16" t="s">
        <v>1534</v>
      </c>
      <c r="P664" s="16" t="s">
        <v>1561</v>
      </c>
      <c r="Q664" s="17" t="s">
        <v>1536</v>
      </c>
      <c r="R664" s="78" t="s">
        <v>1701</v>
      </c>
      <c r="S664" s="77" t="n">
        <f aca="false">IFERROR(INDEX('Injectable Value'!$Z$28:$Z$178,MATCH($C664,'Injectable Value'!$A$28:$A$178,0)),"")</f>
        <v>0.194160055301433</v>
      </c>
      <c r="T664" s="19" t="n">
        <f aca="false">IFERROR(ROUND(INDEX('Injectable Value'!$AA$28:$AA$178,MATCH($C664,'Injectable Value'!$A$28:$A$178,0)),1),"")</f>
        <v>3580.2</v>
      </c>
      <c r="U664" s="17" t="s">
        <v>1433</v>
      </c>
      <c r="V664" s="16" t="n">
        <v>3</v>
      </c>
      <c r="W664" s="16" t="s">
        <v>772</v>
      </c>
      <c r="X664" s="16" t="s">
        <v>281</v>
      </c>
      <c r="Y664" s="16" t="s">
        <v>283</v>
      </c>
      <c r="Z664" s="17" t="str">
        <f aca="false">IFERROR(INDEX(Scoring!$U:$U,MATCH($C664&amp;"|"&amp;$E664,Scoring!$AD:$AD,0)),"")</f>
        <v/>
      </c>
      <c r="AA664" s="16" t="str">
        <f aca="false">IFERROR(INDEX(Scoring!$E:$E,MATCH($C664&amp;"|"&amp;$E664,Scoring!$AD:$AD,0)),"")</f>
        <v>Excluded – IV only</v>
      </c>
      <c r="AB664" s="19" t="n">
        <f aca="false">IFERROR(INDEX(Scoring!$M:$M,MATCH($C664&amp;"|"&amp;$E664,Scoring!$AD:$AD,0)),"")</f>
        <v>151</v>
      </c>
      <c r="AC664" s="16" t="str">
        <f aca="false">IFERROR(INDEX('Route of Administration'!$C$5:$C$155,MATCH($C664,'Route of Administration'!$A$5:$A$155,0)),"")</f>
        <v>IV</v>
      </c>
      <c r="AD664" s="15" t="str">
        <f aca="false">IFERROR(INDEX('Route of Administration'!$D$5:$D$155,MATCH($C664,'Route of Administration'!$A$5:$A$155,0)),"")</f>
        <v>No</v>
      </c>
      <c r="AE664" s="15" t="str">
        <f aca="false">IF($AD664="No","Not checked – drug is IV only",IFERROR(INDEX('Route of Administration'!$O$5:$O$170,MATCH($E664&amp;"|"&amp;$C664,'Route of Administration'!$S$5:$S$170,0)),"Not checked – price ≤ USD 5"))</f>
        <v>Not checked – drug is IV only</v>
      </c>
    </row>
    <row r="665" customFormat="false" ht="28.35" hidden="false" customHeight="false" outlineLevel="0" collapsed="false">
      <c r="B665" s="16" t="n">
        <v>663</v>
      </c>
      <c r="C665" s="16" t="s">
        <v>665</v>
      </c>
      <c r="D665" s="16" t="s">
        <v>665</v>
      </c>
      <c r="E665" s="16" t="s">
        <v>244</v>
      </c>
      <c r="F665" s="16" t="s">
        <v>1972</v>
      </c>
      <c r="G665" s="17" t="s">
        <v>2050</v>
      </c>
      <c r="H665" s="16" t="s">
        <v>1533</v>
      </c>
      <c r="I665" s="18" t="n">
        <v>83.0776</v>
      </c>
      <c r="J665" s="16" t="n">
        <v>26</v>
      </c>
      <c r="K665" s="16" t="n">
        <v>346</v>
      </c>
      <c r="L665" s="19" t="n">
        <v>32830.17</v>
      </c>
      <c r="M665" s="17" t="s">
        <v>667</v>
      </c>
      <c r="N665" s="18" t="n">
        <v>83.0776</v>
      </c>
      <c r="O665" s="16" t="s">
        <v>1534</v>
      </c>
      <c r="P665" s="16" t="s">
        <v>1561</v>
      </c>
      <c r="Q665" s="17" t="s">
        <v>1536</v>
      </c>
      <c r="R665" s="78" t="s">
        <v>1701</v>
      </c>
      <c r="S665" s="77" t="n">
        <f aca="false">IFERROR(INDEX('Injectable Value'!$Z$28:$Z$178,MATCH($C665,'Injectable Value'!$A$28:$A$178,0)),"")</f>
        <v>1</v>
      </c>
      <c r="T665" s="19" t="n">
        <f aca="false">IFERROR(ROUND(INDEX('Injectable Value'!$AA$28:$AA$178,MATCH($C665,'Injectable Value'!$A$28:$A$178,0)),1),"")</f>
        <v>32830.2</v>
      </c>
      <c r="U665" s="17" t="s">
        <v>772</v>
      </c>
      <c r="V665" s="16" t="n">
        <v>2</v>
      </c>
      <c r="W665" s="16" t="s">
        <v>772</v>
      </c>
      <c r="X665" s="16" t="s">
        <v>349</v>
      </c>
      <c r="Y665" s="16" t="s">
        <v>283</v>
      </c>
      <c r="Z665" s="17" t="str">
        <f aca="false">IFERROR(INDEX(Scoring!$U:$U,MATCH($C665&amp;"|"&amp;$E665,Scoring!$AD:$AD,0)),"")</f>
        <v/>
      </c>
      <c r="AA665" s="16" t="str">
        <f aca="false">IFERROR(INDEX(Scoring!$E:$E,MATCH($C665&amp;"|"&amp;$E665,Scoring!$AD:$AD,0)),"")</f>
        <v>Excluded – IV only</v>
      </c>
      <c r="AB665" s="19" t="n">
        <f aca="false">IFERROR(INDEX(Scoring!$M:$M,MATCH($C665&amp;"|"&amp;$E665,Scoring!$AD:$AD,0)),"")</f>
        <v>346</v>
      </c>
      <c r="AC665" s="16" t="str">
        <f aca="false">IFERROR(INDEX('Route of Administration'!$C$5:$C$155,MATCH($C665,'Route of Administration'!$A$5:$A$155,0)),"")</f>
        <v>IV</v>
      </c>
      <c r="AD665" s="15" t="str">
        <f aca="false">IFERROR(INDEX('Route of Administration'!$D$5:$D$155,MATCH($C665,'Route of Administration'!$A$5:$A$155,0)),"")</f>
        <v>No</v>
      </c>
      <c r="AE665" s="15" t="str">
        <f aca="false">IF($AD665="No","Not checked – drug is IV only",IFERROR(INDEX('Route of Administration'!$O$5:$O$170,MATCH($E665&amp;"|"&amp;$C665,'Route of Administration'!$S$5:$S$170,0)),"Not checked – price ≤ USD 5"))</f>
        <v>Not checked – drug is IV only</v>
      </c>
    </row>
    <row r="666" customFormat="false" ht="28.35" hidden="false" customHeight="false" outlineLevel="0" collapsed="false">
      <c r="B666" s="16" t="n">
        <v>664</v>
      </c>
      <c r="C666" s="16" t="s">
        <v>1471</v>
      </c>
      <c r="D666" s="16" t="s">
        <v>1472</v>
      </c>
      <c r="E666" s="16" t="s">
        <v>244</v>
      </c>
      <c r="F666" s="16" t="s">
        <v>1733</v>
      </c>
      <c r="G666" s="17" t="s">
        <v>1734</v>
      </c>
      <c r="H666" s="16" t="s">
        <v>1533</v>
      </c>
      <c r="I666" s="18" t="n">
        <v>6.7348</v>
      </c>
      <c r="J666" s="16" t="n">
        <v>27</v>
      </c>
      <c r="K666" s="16" t="n">
        <v>1200</v>
      </c>
      <c r="L666" s="19" t="n">
        <v>53526.71</v>
      </c>
      <c r="M666" s="17" t="s">
        <v>673</v>
      </c>
      <c r="N666" s="18" t="n">
        <v>6.7348</v>
      </c>
      <c r="O666" s="16" t="s">
        <v>1534</v>
      </c>
      <c r="P666" s="16" t="s">
        <v>1561</v>
      </c>
      <c r="Q666" s="17" t="s">
        <v>1536</v>
      </c>
      <c r="R666" s="78" t="s">
        <v>1701</v>
      </c>
      <c r="S666" s="77" t="n">
        <f aca="false">IFERROR(INDEX('Injectable Value'!$Z$28:$Z$178,MATCH($C666,'Injectable Value'!$A$28:$A$178,0)),"")</f>
        <v>0.822746602056947</v>
      </c>
      <c r="T666" s="19" t="n">
        <f aca="false">IFERROR(ROUND(INDEX('Injectable Value'!$AA$28:$AA$178,MATCH($C666,'Injectable Value'!$A$28:$A$178,0)),1),"")</f>
        <v>44038.9</v>
      </c>
      <c r="U666" s="17" t="s">
        <v>912</v>
      </c>
      <c r="V666" s="16" t="n">
        <v>1</v>
      </c>
      <c r="W666" s="16" t="s">
        <v>912</v>
      </c>
      <c r="X666" s="16" t="s">
        <v>281</v>
      </c>
      <c r="Y666" s="16" t="s">
        <v>333</v>
      </c>
      <c r="Z666" s="17" t="str">
        <f aca="false">IFERROR(INDEX(Scoring!$U:$U,MATCH($C666&amp;"|"&amp;$E666,Scoring!$AD:$AD,0)),"")</f>
        <v>Reconstitution</v>
      </c>
      <c r="AA666" s="16" t="str">
        <f aca="false">IFERROR(INDEX(Scoring!$E:$E,MATCH($C666&amp;"|"&amp;$E666,Scoring!$AD:$AD,0)),"")</f>
        <v>Excluded – IV only</v>
      </c>
      <c r="AB666" s="19" t="n">
        <f aca="false">IFERROR(INDEX(Scoring!$M:$M,MATCH($C666&amp;"|"&amp;$E666,Scoring!$AD:$AD,0)),"")</f>
        <v>987</v>
      </c>
      <c r="AC666" s="16" t="str">
        <f aca="false">IFERROR(INDEX('Route of Administration'!$C$5:$C$155,MATCH($C666,'Route of Administration'!$A$5:$A$155,0)),"")</f>
        <v>IV</v>
      </c>
      <c r="AD666" s="15" t="str">
        <f aca="false">IFERROR(INDEX('Route of Administration'!$D$5:$D$155,MATCH($C666,'Route of Administration'!$A$5:$A$155,0)),"")</f>
        <v>No</v>
      </c>
      <c r="AE666" s="15" t="str">
        <f aca="false">IF($AD666="No","Not checked – drug is IV only",IFERROR(INDEX('Route of Administration'!$O$5:$O$170,MATCH($E666&amp;"|"&amp;$C666,'Route of Administration'!$S$5:$S$170,0)),"Not checked – price ≤ USD 5"))</f>
        <v>Not checked – drug is IV only</v>
      </c>
    </row>
    <row r="667" customFormat="false" ht="28.35" hidden="false" customHeight="false" outlineLevel="0" collapsed="false">
      <c r="B667" s="16" t="n">
        <v>665</v>
      </c>
      <c r="C667" s="16" t="s">
        <v>1448</v>
      </c>
      <c r="D667" s="16" t="s">
        <v>1449</v>
      </c>
      <c r="E667" s="16" t="s">
        <v>244</v>
      </c>
      <c r="F667" s="16" t="s">
        <v>2464</v>
      </c>
      <c r="G667" s="17" t="s">
        <v>2463</v>
      </c>
      <c r="H667" s="16" t="s">
        <v>1533</v>
      </c>
      <c r="I667" s="18"/>
      <c r="J667" s="16" t="n">
        <v>1</v>
      </c>
      <c r="K667" s="16" t="n">
        <v>9</v>
      </c>
      <c r="L667" s="19" t="n">
        <v>1894.78</v>
      </c>
      <c r="M667" s="17" t="s">
        <v>657</v>
      </c>
      <c r="N667" s="18"/>
      <c r="O667" s="16" t="s">
        <v>1573</v>
      </c>
      <c r="P667" s="16" t="s">
        <v>112</v>
      </c>
      <c r="Q667" s="17" t="s">
        <v>112</v>
      </c>
      <c r="R667" s="16"/>
      <c r="S667" s="77" t="n">
        <f aca="false">IFERROR(INDEX('Injectable Value'!$Z$28:$Z$178,MATCH($C667,'Injectable Value'!$A$28:$A$178,0)),"")</f>
        <v>1</v>
      </c>
      <c r="T667" s="19" t="n">
        <f aca="false">IFERROR(ROUND(INDEX('Injectable Value'!$AA$28:$AA$178,MATCH($C667,'Injectable Value'!$A$28:$A$178,0)),1),"")</f>
        <v>1894.8</v>
      </c>
      <c r="U667" s="17" t="s">
        <v>1259</v>
      </c>
      <c r="V667" s="16" t="n">
        <v>2</v>
      </c>
      <c r="W667" s="16" t="s">
        <v>912</v>
      </c>
      <c r="X667" s="16" t="s">
        <v>349</v>
      </c>
      <c r="Y667" s="16" t="s">
        <v>283</v>
      </c>
      <c r="Z667" s="17" t="str">
        <f aca="false">IFERROR(INDEX(Scoring!$U:$U,MATCH($C667&amp;"|"&amp;$E667,Scoring!$AD:$AD,0)),"")</f>
        <v/>
      </c>
      <c r="AA667" s="16" t="str">
        <f aca="false">IFERROR(INDEX(Scoring!$E:$E,MATCH($C667&amp;"|"&amp;$E667,Scoring!$AD:$AD,0)),"")</f>
        <v>Excluded – IV only</v>
      </c>
      <c r="AB667" s="19" t="n">
        <f aca="false">IFERROR(INDEX(Scoring!$M:$M,MATCH($C667&amp;"|"&amp;$E667,Scoring!$AD:$AD,0)),"")</f>
        <v>9</v>
      </c>
      <c r="AC667" s="16" t="str">
        <f aca="false">IFERROR(INDEX('Route of Administration'!$C$5:$C$155,MATCH($C667,'Route of Administration'!$A$5:$A$155,0)),"")</f>
        <v>IV</v>
      </c>
      <c r="AD667" s="15" t="str">
        <f aca="false">IFERROR(INDEX('Route of Administration'!$D$5:$D$155,MATCH($C667,'Route of Administration'!$A$5:$A$155,0)),"")</f>
        <v>No</v>
      </c>
      <c r="AE667" s="15" t="str">
        <f aca="false">IF($AD667="No","Not checked – drug is IV only",IFERROR(INDEX('Route of Administration'!$O$5:$O$170,MATCH($E667&amp;"|"&amp;$C667,'Route of Administration'!$S$5:$S$170,0)),"Not checked – price ≤ USD 5"))</f>
        <v>Not checked – drug is IV only</v>
      </c>
    </row>
    <row r="668" customFormat="false" ht="28.35" hidden="false" customHeight="false" outlineLevel="0" collapsed="false">
      <c r="B668" s="16" t="n">
        <v>666</v>
      </c>
      <c r="C668" s="16" t="s">
        <v>1448</v>
      </c>
      <c r="D668" s="16" t="s">
        <v>1449</v>
      </c>
      <c r="E668" s="16" t="s">
        <v>244</v>
      </c>
      <c r="F668" s="16" t="s">
        <v>1748</v>
      </c>
      <c r="G668" s="17" t="s">
        <v>1863</v>
      </c>
      <c r="H668" s="16" t="s">
        <v>1533</v>
      </c>
      <c r="I668" s="18"/>
      <c r="J668" s="16" t="n">
        <v>1</v>
      </c>
      <c r="K668" s="16" t="n">
        <v>9</v>
      </c>
      <c r="L668" s="19" t="n">
        <v>1894.78</v>
      </c>
      <c r="M668" s="17" t="s">
        <v>657</v>
      </c>
      <c r="N668" s="18"/>
      <c r="O668" s="16" t="s">
        <v>1573</v>
      </c>
      <c r="P668" s="16" t="s">
        <v>112</v>
      </c>
      <c r="Q668" s="17" t="s">
        <v>112</v>
      </c>
      <c r="R668" s="16"/>
      <c r="S668" s="77" t="n">
        <f aca="false">IFERROR(INDEX('Injectable Value'!$Z$28:$Z$178,MATCH($C668,'Injectable Value'!$A$28:$A$178,0)),"")</f>
        <v>1</v>
      </c>
      <c r="T668" s="19" t="n">
        <f aca="false">IFERROR(ROUND(INDEX('Injectable Value'!$AA$28:$AA$178,MATCH($C668,'Injectable Value'!$A$28:$A$178,0)),1),"")</f>
        <v>1894.8</v>
      </c>
      <c r="U668" s="17" t="s">
        <v>1259</v>
      </c>
      <c r="V668" s="16" t="n">
        <v>2</v>
      </c>
      <c r="W668" s="16" t="s">
        <v>912</v>
      </c>
      <c r="X668" s="16" t="s">
        <v>349</v>
      </c>
      <c r="Y668" s="16" t="s">
        <v>283</v>
      </c>
      <c r="Z668" s="17" t="str">
        <f aca="false">IFERROR(INDEX(Scoring!$U:$U,MATCH($C668&amp;"|"&amp;$E668,Scoring!$AD:$AD,0)),"")</f>
        <v/>
      </c>
      <c r="AA668" s="16" t="str">
        <f aca="false">IFERROR(INDEX(Scoring!$E:$E,MATCH($C668&amp;"|"&amp;$E668,Scoring!$AD:$AD,0)),"")</f>
        <v>Excluded – IV only</v>
      </c>
      <c r="AB668" s="19" t="n">
        <f aca="false">IFERROR(INDEX(Scoring!$M:$M,MATCH($C668&amp;"|"&amp;$E668,Scoring!$AD:$AD,0)),"")</f>
        <v>9</v>
      </c>
      <c r="AC668" s="16" t="str">
        <f aca="false">IFERROR(INDEX('Route of Administration'!$C$5:$C$155,MATCH($C668,'Route of Administration'!$A$5:$A$155,0)),"")</f>
        <v>IV</v>
      </c>
      <c r="AD668" s="15" t="str">
        <f aca="false">IFERROR(INDEX('Route of Administration'!$D$5:$D$155,MATCH($C668,'Route of Administration'!$A$5:$A$155,0)),"")</f>
        <v>No</v>
      </c>
      <c r="AE668" s="15" t="str">
        <f aca="false">IF($AD668="No","Not checked – drug is IV only",IFERROR(INDEX('Route of Administration'!$O$5:$O$170,MATCH($E668&amp;"|"&amp;$C668,'Route of Administration'!$S$5:$S$170,0)),"Not checked – price ≤ USD 5"))</f>
        <v>Not checked – drug is IV only</v>
      </c>
    </row>
    <row r="669" customFormat="false" ht="28.35" hidden="false" customHeight="false" outlineLevel="0" collapsed="false">
      <c r="B669" s="16" t="n">
        <v>667</v>
      </c>
      <c r="C669" s="16" t="s">
        <v>388</v>
      </c>
      <c r="D669" s="16" t="s">
        <v>2709</v>
      </c>
      <c r="E669" s="16" t="s">
        <v>244</v>
      </c>
      <c r="F669" s="16" t="s">
        <v>1787</v>
      </c>
      <c r="G669" s="17" t="s">
        <v>1788</v>
      </c>
      <c r="H669" s="16" t="s">
        <v>1533</v>
      </c>
      <c r="I669" s="18"/>
      <c r="J669" s="16" t="n">
        <v>1</v>
      </c>
      <c r="K669" s="16" t="n">
        <v>312</v>
      </c>
      <c r="L669" s="19" t="n">
        <v>59827.18</v>
      </c>
      <c r="M669" s="17" t="s">
        <v>390</v>
      </c>
      <c r="N669" s="18"/>
      <c r="O669" s="16" t="s">
        <v>1573</v>
      </c>
      <c r="P669" s="16" t="s">
        <v>112</v>
      </c>
      <c r="Q669" s="17" t="s">
        <v>112</v>
      </c>
      <c r="R669" s="16"/>
      <c r="S669" s="77" t="n">
        <f aca="false">IFERROR(INDEX('Injectable Value'!$Z$28:$Z$178,MATCH($C669,'Injectable Value'!$A$28:$A$178,0)),"")</f>
        <v>1</v>
      </c>
      <c r="T669" s="19" t="n">
        <f aca="false">IFERROR(ROUND(INDEX('Injectable Value'!$AA$28:$AA$178,MATCH($C669,'Injectable Value'!$A$28:$A$178,0)),1),"")</f>
        <v>59827.2</v>
      </c>
      <c r="U669" s="17" t="s">
        <v>1433</v>
      </c>
      <c r="V669" s="16" t="n">
        <v>3</v>
      </c>
      <c r="W669" s="16" t="s">
        <v>772</v>
      </c>
      <c r="X669" s="16" t="s">
        <v>281</v>
      </c>
      <c r="Y669" s="16" t="s">
        <v>333</v>
      </c>
      <c r="Z669" s="17" t="str">
        <f aca="false">IFERROR(INDEX(Scoring!$U:$U,MATCH($C669&amp;"|"&amp;$E669,Scoring!$AD:$AD,0)),"")</f>
        <v>Reconstitution</v>
      </c>
      <c r="AA669" s="16" t="str">
        <f aca="false">IFERROR(INDEX(Scoring!$E:$E,MATCH($C669&amp;"|"&amp;$E669,Scoring!$AD:$AD,0)),"")</f>
        <v>Excluded – IV only</v>
      </c>
      <c r="AB669" s="19" t="n">
        <f aca="false">IFERROR(INDEX(Scoring!$M:$M,MATCH($C669&amp;"|"&amp;$E669,Scoring!$AD:$AD,0)),"")</f>
        <v>312</v>
      </c>
      <c r="AC669" s="16" t="str">
        <f aca="false">IFERROR(INDEX('Route of Administration'!$C$5:$C$155,MATCH($C669,'Route of Administration'!$A$5:$A$155,0)),"")</f>
        <v>IV</v>
      </c>
      <c r="AD669" s="15" t="str">
        <f aca="false">IFERROR(INDEX('Route of Administration'!$D$5:$D$155,MATCH($C669,'Route of Administration'!$A$5:$A$155,0)),"")</f>
        <v>No</v>
      </c>
      <c r="AE669" s="15" t="str">
        <f aca="false">IF($AD669="No","Not checked – drug is IV only",IFERROR(INDEX('Route of Administration'!$O$5:$O$170,MATCH($E669&amp;"|"&amp;$C669,'Route of Administration'!$S$5:$S$170,0)),"Not checked – price ≤ USD 5"))</f>
        <v>Not checked – drug is IV only</v>
      </c>
    </row>
    <row r="670" customFormat="false" ht="28.35" hidden="false" customHeight="false" outlineLevel="0" collapsed="false">
      <c r="B670" s="16" t="n">
        <v>668</v>
      </c>
      <c r="C670" s="16" t="s">
        <v>388</v>
      </c>
      <c r="D670" s="16" t="s">
        <v>2709</v>
      </c>
      <c r="E670" s="16" t="s">
        <v>244</v>
      </c>
      <c r="F670" s="16" t="s">
        <v>1854</v>
      </c>
      <c r="G670" s="17" t="s">
        <v>1855</v>
      </c>
      <c r="H670" s="16" t="s">
        <v>1533</v>
      </c>
      <c r="I670" s="18"/>
      <c r="J670" s="16" t="n">
        <v>1</v>
      </c>
      <c r="K670" s="16" t="n">
        <v>312</v>
      </c>
      <c r="L670" s="19" t="n">
        <v>59827.18</v>
      </c>
      <c r="M670" s="17" t="s">
        <v>390</v>
      </c>
      <c r="N670" s="18"/>
      <c r="O670" s="16" t="s">
        <v>1573</v>
      </c>
      <c r="P670" s="16" t="s">
        <v>112</v>
      </c>
      <c r="Q670" s="17" t="s">
        <v>112</v>
      </c>
      <c r="R670" s="16"/>
      <c r="S670" s="77" t="n">
        <f aca="false">IFERROR(INDEX('Injectable Value'!$Z$28:$Z$178,MATCH($C670,'Injectable Value'!$A$28:$A$178,0)),"")</f>
        <v>1</v>
      </c>
      <c r="T670" s="19" t="n">
        <f aca="false">IFERROR(ROUND(INDEX('Injectable Value'!$AA$28:$AA$178,MATCH($C670,'Injectable Value'!$A$28:$A$178,0)),1),"")</f>
        <v>59827.2</v>
      </c>
      <c r="U670" s="17" t="s">
        <v>1433</v>
      </c>
      <c r="V670" s="16" t="n">
        <v>3</v>
      </c>
      <c r="W670" s="16" t="s">
        <v>772</v>
      </c>
      <c r="X670" s="16" t="s">
        <v>281</v>
      </c>
      <c r="Y670" s="16" t="s">
        <v>333</v>
      </c>
      <c r="Z670" s="17" t="str">
        <f aca="false">IFERROR(INDEX(Scoring!$U:$U,MATCH($C670&amp;"|"&amp;$E670,Scoring!$AD:$AD,0)),"")</f>
        <v>Reconstitution</v>
      </c>
      <c r="AA670" s="16" t="str">
        <f aca="false">IFERROR(INDEX(Scoring!$E:$E,MATCH($C670&amp;"|"&amp;$E670,Scoring!$AD:$AD,0)),"")</f>
        <v>Excluded – IV only</v>
      </c>
      <c r="AB670" s="19" t="n">
        <f aca="false">IFERROR(INDEX(Scoring!$M:$M,MATCH($C670&amp;"|"&amp;$E670,Scoring!$AD:$AD,0)),"")</f>
        <v>312</v>
      </c>
      <c r="AC670" s="16" t="str">
        <f aca="false">IFERROR(INDEX('Route of Administration'!$C$5:$C$155,MATCH($C670,'Route of Administration'!$A$5:$A$155,0)),"")</f>
        <v>IV</v>
      </c>
      <c r="AD670" s="15" t="str">
        <f aca="false">IFERROR(INDEX('Route of Administration'!$D$5:$D$155,MATCH($C670,'Route of Administration'!$A$5:$A$155,0)),"")</f>
        <v>No</v>
      </c>
      <c r="AE670" s="15" t="str">
        <f aca="false">IF($AD670="No","Not checked – drug is IV only",IFERROR(INDEX('Route of Administration'!$O$5:$O$170,MATCH($E670&amp;"|"&amp;$C670,'Route of Administration'!$S$5:$S$170,0)),"Not checked – price ≤ USD 5"))</f>
        <v>Not checked – drug is IV only</v>
      </c>
    </row>
    <row r="671" customFormat="false" ht="41.75" hidden="false" customHeight="false" outlineLevel="0" collapsed="false">
      <c r="B671" s="16" t="n">
        <v>669</v>
      </c>
      <c r="C671" s="16" t="s">
        <v>775</v>
      </c>
      <c r="D671" s="16" t="s">
        <v>1422</v>
      </c>
      <c r="E671" s="16" t="s">
        <v>244</v>
      </c>
      <c r="F671" s="16" t="s">
        <v>2083</v>
      </c>
      <c r="G671" s="17" t="s">
        <v>1850</v>
      </c>
      <c r="H671" s="16" t="s">
        <v>1533</v>
      </c>
      <c r="I671" s="18"/>
      <c r="J671" s="16" t="n">
        <v>1</v>
      </c>
      <c r="K671" s="16" t="n">
        <v>684</v>
      </c>
      <c r="L671" s="19" t="n">
        <v>8785.35</v>
      </c>
      <c r="M671" s="17" t="s">
        <v>777</v>
      </c>
      <c r="N671" s="82" t="n">
        <v>3.06</v>
      </c>
      <c r="O671" s="64" t="s">
        <v>1541</v>
      </c>
      <c r="P671" s="16" t="s">
        <v>1561</v>
      </c>
      <c r="Q671" s="17" t="s">
        <v>1542</v>
      </c>
      <c r="R671" s="78" t="s">
        <v>1543</v>
      </c>
      <c r="S671" s="77" t="n">
        <f aca="false">IFERROR(INDEX('Injectable Value'!$Z$28:$Z$178,MATCH($C671,'Injectable Value'!$A$28:$A$178,0)),"")</f>
        <v>0.959959846916369</v>
      </c>
      <c r="T671" s="19" t="n">
        <f aca="false">IFERROR(ROUND(INDEX('Injectable Value'!$AA$28:$AA$178,MATCH($C671,'Injectable Value'!$A$28:$A$178,0)),1),"")</f>
        <v>8433.6</v>
      </c>
      <c r="U671" s="17" t="s">
        <v>614</v>
      </c>
      <c r="V671" s="16" t="n">
        <v>1</v>
      </c>
      <c r="W671" s="16" t="s">
        <v>112</v>
      </c>
      <c r="X671" s="16" t="s">
        <v>281</v>
      </c>
      <c r="Y671" s="16" t="s">
        <v>283</v>
      </c>
      <c r="Z671" s="17" t="str">
        <f aca="false">IFERROR(INDEX(Scoring!$U:$U,MATCH($C671&amp;"|"&amp;$E671,Scoring!$AD:$AD,0)),"")</f>
        <v>Low price comes from another market – confirm with the company</v>
      </c>
      <c r="AA671" s="16" t="str">
        <f aca="false">IFERROR(INDEX(Scoring!$E:$E,MATCH($C671&amp;"|"&amp;$E671,Scoring!$AD:$AD,0)),"")</f>
        <v>Excluded – price ≤ USD 5</v>
      </c>
      <c r="AB671" s="19" t="n">
        <f aca="false">IFERROR(INDEX(Scoring!$M:$M,MATCH($C671&amp;"|"&amp;$E671,Scoring!$AD:$AD,0)),"")</f>
        <v>657</v>
      </c>
      <c r="AC671" s="16" t="str">
        <f aca="false">IFERROR(INDEX('Route of Administration'!$C$5:$C$155,MATCH($C671,'Route of Administration'!$A$5:$A$155,0)),"")</f>
        <v>IV, IM</v>
      </c>
      <c r="AD671" s="15" t="str">
        <f aca="false">IFERROR(INDEX('Route of Administration'!$D$5:$D$155,MATCH($C671,'Route of Administration'!$A$5:$A$155,0)),"")</f>
        <v>Yes</v>
      </c>
      <c r="AE671" s="15" t="str">
        <f aca="false">IF($AD671="No","Not checked – drug is IV only",IFERROR(INDEX('Route of Administration'!$O$5:$O$170,MATCH($E671&amp;"|"&amp;$C671,'Route of Administration'!$S$5:$S$170,0)),"Not checked – price ≤ USD 5"))</f>
        <v>Not checked – price ≤ USD 5</v>
      </c>
    </row>
    <row r="672" customFormat="false" ht="28.35" hidden="false" customHeight="false" outlineLevel="0" collapsed="false">
      <c r="B672" s="16" t="n">
        <v>670</v>
      </c>
      <c r="C672" s="16" t="s">
        <v>1466</v>
      </c>
      <c r="D672" s="16" t="s">
        <v>2706</v>
      </c>
      <c r="E672" s="16" t="s">
        <v>244</v>
      </c>
      <c r="F672" s="16" t="s">
        <v>2710</v>
      </c>
      <c r="G672" s="17" t="s">
        <v>2711</v>
      </c>
      <c r="H672" s="16" t="s">
        <v>1533</v>
      </c>
      <c r="I672" s="18" t="n">
        <v>74.284</v>
      </c>
      <c r="J672" s="16" t="n">
        <v>1</v>
      </c>
      <c r="K672" s="16" t="n">
        <v>780</v>
      </c>
      <c r="L672" s="19" t="n">
        <v>18439.5</v>
      </c>
      <c r="M672" s="17" t="s">
        <v>1268</v>
      </c>
      <c r="N672" s="18" t="n">
        <v>74.284</v>
      </c>
      <c r="O672" s="16" t="s">
        <v>1534</v>
      </c>
      <c r="P672" s="16" t="s">
        <v>1535</v>
      </c>
      <c r="Q672" s="17" t="s">
        <v>1536</v>
      </c>
      <c r="R672" s="78" t="s">
        <v>2712</v>
      </c>
      <c r="S672" s="77" t="n">
        <f aca="false">IFERROR(INDEX('Injectable Value'!$Z$28:$Z$178,MATCH($C672,'Injectable Value'!$A$28:$A$178,0)),"")</f>
        <v>0.194160055301433</v>
      </c>
      <c r="T672" s="19" t="n">
        <f aca="false">IFERROR(ROUND(INDEX('Injectable Value'!$AA$28:$AA$178,MATCH($C672,'Injectable Value'!$A$28:$A$178,0)),1),"")</f>
        <v>3580.2</v>
      </c>
      <c r="U672" s="17" t="s">
        <v>1433</v>
      </c>
      <c r="V672" s="16" t="n">
        <v>3</v>
      </c>
      <c r="W672" s="16" t="s">
        <v>772</v>
      </c>
      <c r="X672" s="16" t="s">
        <v>349</v>
      </c>
      <c r="Y672" s="16" t="s">
        <v>283</v>
      </c>
      <c r="Z672" s="17" t="str">
        <f aca="false">IFERROR(INDEX(Scoring!$U:$U,MATCH($C672&amp;"|"&amp;$E672,Scoring!$AD:$AD,0)),"")</f>
        <v/>
      </c>
      <c r="AA672" s="16" t="str">
        <f aca="false">IFERROR(INDEX(Scoring!$E:$E,MATCH($C672&amp;"|"&amp;$E672,Scoring!$AD:$AD,0)),"")</f>
        <v>Excluded – IV only</v>
      </c>
      <c r="AB672" s="19" t="n">
        <f aca="false">IFERROR(INDEX(Scoring!$M:$M,MATCH($C672&amp;"|"&amp;$E672,Scoring!$AD:$AD,0)),"")</f>
        <v>151</v>
      </c>
      <c r="AC672" s="16" t="str">
        <f aca="false">IFERROR(INDEX('Route of Administration'!$C$5:$C$155,MATCH($C672,'Route of Administration'!$A$5:$A$155,0)),"")</f>
        <v>IV</v>
      </c>
      <c r="AD672" s="15" t="str">
        <f aca="false">IFERROR(INDEX('Route of Administration'!$D$5:$D$155,MATCH($C672,'Route of Administration'!$A$5:$A$155,0)),"")</f>
        <v>No</v>
      </c>
      <c r="AE672" s="15" t="str">
        <f aca="false">IF($AD672="No","Not checked – drug is IV only",IFERROR(INDEX('Route of Administration'!$O$5:$O$170,MATCH($E672&amp;"|"&amp;$C672,'Route of Administration'!$S$5:$S$170,0)),"Not checked – price ≤ USD 5"))</f>
        <v>Not checked – drug is IV only</v>
      </c>
    </row>
    <row r="673" customFormat="false" ht="28.35" hidden="false" customHeight="false" outlineLevel="0" collapsed="false">
      <c r="B673" s="16" t="n">
        <v>671</v>
      </c>
      <c r="C673" s="16" t="s">
        <v>1466</v>
      </c>
      <c r="D673" s="16" t="s">
        <v>2706</v>
      </c>
      <c r="E673" s="16" t="s">
        <v>244</v>
      </c>
      <c r="F673" s="16" t="s">
        <v>2386</v>
      </c>
      <c r="G673" s="17" t="s">
        <v>2463</v>
      </c>
      <c r="H673" s="16" t="s">
        <v>1533</v>
      </c>
      <c r="I673" s="18"/>
      <c r="J673" s="16" t="n">
        <v>1</v>
      </c>
      <c r="K673" s="16" t="n">
        <v>780</v>
      </c>
      <c r="L673" s="19" t="n">
        <v>18439.5</v>
      </c>
      <c r="M673" s="17" t="s">
        <v>1268</v>
      </c>
      <c r="N673" s="18"/>
      <c r="O673" s="16" t="s">
        <v>1573</v>
      </c>
      <c r="P673" s="16" t="s">
        <v>112</v>
      </c>
      <c r="Q673" s="17" t="s">
        <v>112</v>
      </c>
      <c r="R673" s="16"/>
      <c r="S673" s="77" t="n">
        <f aca="false">IFERROR(INDEX('Injectable Value'!$Z$28:$Z$178,MATCH($C673,'Injectable Value'!$A$28:$A$178,0)),"")</f>
        <v>0.194160055301433</v>
      </c>
      <c r="T673" s="19" t="n">
        <f aca="false">IFERROR(ROUND(INDEX('Injectable Value'!$AA$28:$AA$178,MATCH($C673,'Injectable Value'!$A$28:$A$178,0)),1),"")</f>
        <v>3580.2</v>
      </c>
      <c r="U673" s="17" t="s">
        <v>1433</v>
      </c>
      <c r="V673" s="16" t="n">
        <v>3</v>
      </c>
      <c r="W673" s="16" t="s">
        <v>772</v>
      </c>
      <c r="X673" s="16" t="s">
        <v>349</v>
      </c>
      <c r="Y673" s="16" t="s">
        <v>283</v>
      </c>
      <c r="Z673" s="17" t="str">
        <f aca="false">IFERROR(INDEX(Scoring!$U:$U,MATCH($C673&amp;"|"&amp;$E673,Scoring!$AD:$AD,0)),"")</f>
        <v/>
      </c>
      <c r="AA673" s="16" t="str">
        <f aca="false">IFERROR(INDEX(Scoring!$E:$E,MATCH($C673&amp;"|"&amp;$E673,Scoring!$AD:$AD,0)),"")</f>
        <v>Excluded – IV only</v>
      </c>
      <c r="AB673" s="19" t="n">
        <f aca="false">IFERROR(INDEX(Scoring!$M:$M,MATCH($C673&amp;"|"&amp;$E673,Scoring!$AD:$AD,0)),"")</f>
        <v>151</v>
      </c>
      <c r="AC673" s="16" t="str">
        <f aca="false">IFERROR(INDEX('Route of Administration'!$C$5:$C$155,MATCH($C673,'Route of Administration'!$A$5:$A$155,0)),"")</f>
        <v>IV</v>
      </c>
      <c r="AD673" s="15" t="str">
        <f aca="false">IFERROR(INDEX('Route of Administration'!$D$5:$D$155,MATCH($C673,'Route of Administration'!$A$5:$A$155,0)),"")</f>
        <v>No</v>
      </c>
      <c r="AE673" s="15" t="str">
        <f aca="false">IF($AD673="No","Not checked – drug is IV only",IFERROR(INDEX('Route of Administration'!$O$5:$O$170,MATCH($E673&amp;"|"&amp;$C673,'Route of Administration'!$S$5:$S$170,0)),"Not checked – price ≤ USD 5"))</f>
        <v>Not checked – drug is IV only</v>
      </c>
    </row>
    <row r="674" customFormat="false" ht="28.35" hidden="false" customHeight="false" outlineLevel="0" collapsed="false">
      <c r="B674" s="16" t="n">
        <v>672</v>
      </c>
      <c r="C674" s="16" t="s">
        <v>768</v>
      </c>
      <c r="D674" s="16" t="s">
        <v>1474</v>
      </c>
      <c r="E674" s="16" t="s">
        <v>1475</v>
      </c>
      <c r="F674" s="16" t="s">
        <v>2567</v>
      </c>
      <c r="G674" s="17"/>
      <c r="H674" s="16"/>
      <c r="I674" s="18" t="n">
        <v>24.95</v>
      </c>
      <c r="J674" s="16" t="n">
        <v>1</v>
      </c>
      <c r="K674" s="16" t="n">
        <v>310</v>
      </c>
      <c r="L674" s="19" t="n">
        <v>8995.42</v>
      </c>
      <c r="M674" s="17" t="s">
        <v>770</v>
      </c>
      <c r="N674" s="18" t="n">
        <v>24.95</v>
      </c>
      <c r="O674" s="16" t="s">
        <v>1534</v>
      </c>
      <c r="P674" s="16" t="s">
        <v>1535</v>
      </c>
      <c r="Q674" s="17" t="s">
        <v>1536</v>
      </c>
      <c r="R674" s="78" t="s">
        <v>2713</v>
      </c>
      <c r="S674" s="77" t="n">
        <f aca="false">IFERROR(INDEX('Injectable Value'!$Z$28:$Z$178,MATCH($C674,'Injectable Value'!$A$28:$A$178,0)),"")</f>
        <v>0.156211180124224</v>
      </c>
      <c r="T674" s="19" t="n">
        <f aca="false">IFERROR(ROUND(INDEX('Injectable Value'!$AA$28:$AA$178,MATCH($C674,'Injectable Value'!$A$28:$A$178,0)),1),"")</f>
        <v>1405.2</v>
      </c>
      <c r="U674" s="17" t="s">
        <v>284</v>
      </c>
      <c r="V674" s="16" t="n">
        <v>1</v>
      </c>
      <c r="W674" s="16" t="s">
        <v>284</v>
      </c>
      <c r="X674" s="16" t="s">
        <v>310</v>
      </c>
      <c r="Y674" s="16" t="s">
        <v>310</v>
      </c>
      <c r="Z674" s="17" t="str">
        <f aca="false">IFERROR(INDEX(Scoring!$U:$U,MATCH($C674&amp;"|"&amp;$E674,Scoring!$AD:$AD,0)),"")</f>
        <v/>
      </c>
      <c r="AA674" s="16" t="str">
        <f aca="false">IFERROR(INDEX(Scoring!$E:$E,MATCH($C674&amp;"|"&amp;$E674,Scoring!$AD:$AD,0)),"")</f>
        <v>Excluded – IV only</v>
      </c>
      <c r="AB674" s="19" t="n">
        <f aca="false">IFERROR(INDEX(Scoring!$M:$M,MATCH($C674&amp;"|"&amp;$E674,Scoring!$AD:$AD,0)),"")</f>
        <v>48</v>
      </c>
      <c r="AC674" s="16" t="str">
        <f aca="false">IFERROR(INDEX('Route of Administration'!$C$5:$C$155,MATCH($C674,'Route of Administration'!$A$5:$A$155,0)),"")</f>
        <v>IV, IM</v>
      </c>
      <c r="AD674" s="15" t="str">
        <f aca="false">IFERROR(INDEX('Route of Administration'!$D$5:$D$155,MATCH($C674,'Route of Administration'!$A$5:$A$155,0)),"")</f>
        <v>Yes</v>
      </c>
      <c r="AE674" s="15" t="str">
        <f aca="false">IF($AD674="No","Not checked – drug is IV only",IFERROR(INDEX('Route of Administration'!$O$5:$O$170,MATCH($E674&amp;"|"&amp;$C674,'Route of Administration'!$S$5:$S$170,0)),"Not checked – price ≤ USD 5"))</f>
        <v>Fail</v>
      </c>
    </row>
    <row r="675" customFormat="false" ht="28.35" hidden="false" customHeight="false" outlineLevel="0" collapsed="false">
      <c r="B675" s="16" t="n">
        <v>673</v>
      </c>
      <c r="C675" s="16" t="s">
        <v>375</v>
      </c>
      <c r="D675" s="16" t="s">
        <v>376</v>
      </c>
      <c r="E675" s="16" t="s">
        <v>1475</v>
      </c>
      <c r="F675" s="16" t="s">
        <v>1563</v>
      </c>
      <c r="G675" s="17" t="s">
        <v>2714</v>
      </c>
      <c r="H675" s="16" t="s">
        <v>1533</v>
      </c>
      <c r="I675" s="18" t="n">
        <v>14.96</v>
      </c>
      <c r="J675" s="16" t="n">
        <v>1</v>
      </c>
      <c r="K675" s="16" t="n">
        <v>472</v>
      </c>
      <c r="L675" s="19" t="n">
        <v>7831.08</v>
      </c>
      <c r="M675" s="17" t="s">
        <v>377</v>
      </c>
      <c r="N675" s="18" t="n">
        <v>14.96</v>
      </c>
      <c r="O675" s="16" t="s">
        <v>1534</v>
      </c>
      <c r="P675" s="16" t="s">
        <v>1535</v>
      </c>
      <c r="Q675" s="17" t="s">
        <v>1536</v>
      </c>
      <c r="R675" s="78" t="s">
        <v>1565</v>
      </c>
      <c r="S675" s="77" t="n">
        <f aca="false">IFERROR(INDEX('Injectable Value'!$Z$28:$Z$178,MATCH($C675,'Injectable Value'!$A$28:$A$178,0)),"")</f>
        <v>0.1734375</v>
      </c>
      <c r="T675" s="19" t="n">
        <f aca="false">IFERROR(ROUND(INDEX('Injectable Value'!$AA$28:$AA$178,MATCH($C675,'Injectable Value'!$A$28:$A$178,0)),1),"")</f>
        <v>1358.2</v>
      </c>
      <c r="U675" s="17" t="s">
        <v>284</v>
      </c>
      <c r="V675" s="16" t="n">
        <v>1</v>
      </c>
      <c r="W675" s="16" t="s">
        <v>284</v>
      </c>
      <c r="X675" s="16" t="s">
        <v>281</v>
      </c>
      <c r="Y675" s="16" t="s">
        <v>283</v>
      </c>
      <c r="Z675" s="17" t="str">
        <f aca="false">IFERROR(INDEX(Scoring!$U:$U,MATCH($C675&amp;"|"&amp;$E675,Scoring!$AD:$AD,0)),"")</f>
        <v/>
      </c>
      <c r="AA675" s="16" t="str">
        <f aca="false">IFERROR(INDEX(Scoring!$E:$E,MATCH($C675&amp;"|"&amp;$E675,Scoring!$AD:$AD,0)),"")</f>
        <v>Priority 3</v>
      </c>
      <c r="AB675" s="19" t="n">
        <f aca="false">IFERROR(INDEX(Scoring!$M:$M,MATCH($C675&amp;"|"&amp;$E675,Scoring!$AD:$AD,0)),"")</f>
        <v>82</v>
      </c>
      <c r="AC675" s="16" t="str">
        <f aca="false">IFERROR(INDEX('Route of Administration'!$C$5:$C$155,MATCH($C675,'Route of Administration'!$A$5:$A$155,0)),"")</f>
        <v>IM</v>
      </c>
      <c r="AD675" s="15" t="str">
        <f aca="false">IFERROR(INDEX('Route of Administration'!$D$5:$D$155,MATCH($C675,'Route of Administration'!$A$5:$A$155,0)),"")</f>
        <v>Yes</v>
      </c>
      <c r="AE675" s="15" t="str">
        <f aca="false">IF($AD675="No","Not checked – drug is IV only",IFERROR(INDEX('Route of Administration'!$O$5:$O$170,MATCH($E675&amp;"|"&amp;$C675,'Route of Administration'!$S$5:$S$170,0)),"Not checked – price ≤ USD 5"))</f>
        <v>Pass</v>
      </c>
    </row>
    <row r="676" customFormat="false" ht="28.35" hidden="false" customHeight="false" outlineLevel="0" collapsed="false">
      <c r="B676" s="16" t="n">
        <v>674</v>
      </c>
      <c r="C676" s="16" t="s">
        <v>967</v>
      </c>
      <c r="D676" s="16" t="s">
        <v>1301</v>
      </c>
      <c r="E676" s="16" t="s">
        <v>1475</v>
      </c>
      <c r="F676" s="16" t="s">
        <v>2169</v>
      </c>
      <c r="G676" s="17" t="s">
        <v>2715</v>
      </c>
      <c r="H676" s="16" t="s">
        <v>1533</v>
      </c>
      <c r="I676" s="18" t="n">
        <v>6.66</v>
      </c>
      <c r="J676" s="16" t="n">
        <v>1</v>
      </c>
      <c r="K676" s="16" t="n">
        <v>117</v>
      </c>
      <c r="L676" s="19" t="n">
        <v>2508.09</v>
      </c>
      <c r="M676" s="17" t="s">
        <v>969</v>
      </c>
      <c r="N676" s="18" t="n">
        <v>6.66</v>
      </c>
      <c r="O676" s="16" t="s">
        <v>1534</v>
      </c>
      <c r="P676" s="16" t="s">
        <v>1535</v>
      </c>
      <c r="Q676" s="17" t="s">
        <v>1536</v>
      </c>
      <c r="R676" s="78" t="s">
        <v>2531</v>
      </c>
      <c r="S676" s="77" t="n">
        <f aca="false">IFERROR(INDEX('Injectable Value'!$Z$28:$Z$178,MATCH($C676,'Injectable Value'!$A$28:$A$178,0)),"")</f>
        <v>1</v>
      </c>
      <c r="T676" s="19" t="n">
        <f aca="false">IFERROR(ROUND(INDEX('Injectable Value'!$AA$28:$AA$178,MATCH($C676,'Injectable Value'!$A$28:$A$178,0)),1),"")</f>
        <v>2508.1</v>
      </c>
      <c r="U676" s="17" t="s">
        <v>284</v>
      </c>
      <c r="V676" s="16" t="n">
        <v>1</v>
      </c>
      <c r="W676" s="16" t="s">
        <v>284</v>
      </c>
      <c r="X676" s="16" t="s">
        <v>281</v>
      </c>
      <c r="Y676" s="16" t="s">
        <v>283</v>
      </c>
      <c r="Z676" s="17" t="str">
        <f aca="false">IFERROR(INDEX(Scoring!$U:$U,MATCH($C676&amp;"|"&amp;$E676,Scoring!$AD:$AD,0)),"")</f>
        <v/>
      </c>
      <c r="AA676" s="16" t="str">
        <f aca="false">IFERROR(INDEX(Scoring!$E:$E,MATCH($C676&amp;"|"&amp;$E676,Scoring!$AD:$AD,0)),"")</f>
        <v>Excluded – IV only</v>
      </c>
      <c r="AB676" s="19" t="n">
        <f aca="false">IFERROR(INDEX(Scoring!$M:$M,MATCH($C676&amp;"|"&amp;$E676,Scoring!$AD:$AD,0)),"")</f>
        <v>117</v>
      </c>
      <c r="AC676" s="16" t="str">
        <f aca="false">IFERROR(INDEX('Route of Administration'!$C$5:$C$155,MATCH($C676,'Route of Administration'!$A$5:$A$155,0)),"")</f>
        <v>IV</v>
      </c>
      <c r="AD676" s="15" t="str">
        <f aca="false">IFERROR(INDEX('Route of Administration'!$D$5:$D$155,MATCH($C676,'Route of Administration'!$A$5:$A$155,0)),"")</f>
        <v>No</v>
      </c>
      <c r="AE676" s="15" t="str">
        <f aca="false">IF($AD676="No","Not checked – drug is IV only",IFERROR(INDEX('Route of Administration'!$O$5:$O$170,MATCH($E676&amp;"|"&amp;$C676,'Route of Administration'!$S$5:$S$170,0)),"Not checked – price ≤ USD 5"))</f>
        <v>Not checked – drug is IV only</v>
      </c>
    </row>
    <row r="677" customFormat="false" ht="28.35" hidden="false" customHeight="false" outlineLevel="0" collapsed="false">
      <c r="B677" s="16" t="n">
        <v>675</v>
      </c>
      <c r="C677" s="16" t="s">
        <v>967</v>
      </c>
      <c r="D677" s="16" t="s">
        <v>1301</v>
      </c>
      <c r="E677" s="16" t="s">
        <v>1475</v>
      </c>
      <c r="F677" s="16" t="s">
        <v>2532</v>
      </c>
      <c r="G677" s="17" t="s">
        <v>2716</v>
      </c>
      <c r="H677" s="16" t="s">
        <v>1533</v>
      </c>
      <c r="I677" s="18" t="n">
        <v>38.11</v>
      </c>
      <c r="J677" s="16" t="n">
        <v>1</v>
      </c>
      <c r="K677" s="16" t="n">
        <v>117</v>
      </c>
      <c r="L677" s="19" t="n">
        <v>2508.09</v>
      </c>
      <c r="M677" s="17" t="s">
        <v>969</v>
      </c>
      <c r="N677" s="18" t="n">
        <v>38.11</v>
      </c>
      <c r="O677" s="16" t="s">
        <v>1534</v>
      </c>
      <c r="P677" s="16" t="s">
        <v>1535</v>
      </c>
      <c r="Q677" s="17" t="s">
        <v>1536</v>
      </c>
      <c r="R677" s="78" t="s">
        <v>2531</v>
      </c>
      <c r="S677" s="77" t="n">
        <f aca="false">IFERROR(INDEX('Injectable Value'!$Z$28:$Z$178,MATCH($C677,'Injectable Value'!$A$28:$A$178,0)),"")</f>
        <v>1</v>
      </c>
      <c r="T677" s="19" t="n">
        <f aca="false">IFERROR(ROUND(INDEX('Injectable Value'!$AA$28:$AA$178,MATCH($C677,'Injectable Value'!$A$28:$A$178,0)),1),"")</f>
        <v>2508.1</v>
      </c>
      <c r="U677" s="17" t="s">
        <v>284</v>
      </c>
      <c r="V677" s="16" t="n">
        <v>1</v>
      </c>
      <c r="W677" s="16" t="s">
        <v>284</v>
      </c>
      <c r="X677" s="16" t="s">
        <v>281</v>
      </c>
      <c r="Y677" s="16" t="s">
        <v>1547</v>
      </c>
      <c r="Z677" s="17" t="str">
        <f aca="false">IFERROR(INDEX(Scoring!$U:$U,MATCH($C677&amp;"|"&amp;$E677,Scoring!$AD:$AD,0)),"")</f>
        <v/>
      </c>
      <c r="AA677" s="16" t="str">
        <f aca="false">IFERROR(INDEX(Scoring!$E:$E,MATCH($C677&amp;"|"&amp;$E677,Scoring!$AD:$AD,0)),"")</f>
        <v>Excluded – IV only</v>
      </c>
      <c r="AB677" s="19" t="n">
        <f aca="false">IFERROR(INDEX(Scoring!$M:$M,MATCH($C677&amp;"|"&amp;$E677,Scoring!$AD:$AD,0)),"")</f>
        <v>117</v>
      </c>
      <c r="AC677" s="16" t="str">
        <f aca="false">IFERROR(INDEX('Route of Administration'!$C$5:$C$155,MATCH($C677,'Route of Administration'!$A$5:$A$155,0)),"")</f>
        <v>IV</v>
      </c>
      <c r="AD677" s="15" t="str">
        <f aca="false">IFERROR(INDEX('Route of Administration'!$D$5:$D$155,MATCH($C677,'Route of Administration'!$A$5:$A$155,0)),"")</f>
        <v>No</v>
      </c>
      <c r="AE677" s="15" t="str">
        <f aca="false">IF($AD677="No","Not checked – drug is IV only",IFERROR(INDEX('Route of Administration'!$O$5:$O$170,MATCH($E677&amp;"|"&amp;$C677,'Route of Administration'!$S$5:$S$170,0)),"Not checked – price ≤ USD 5"))</f>
        <v>Not checked – drug is IV only</v>
      </c>
    </row>
    <row r="678" customFormat="false" ht="41.75" hidden="false" customHeight="false" outlineLevel="0" collapsed="false">
      <c r="B678" s="16" t="n">
        <v>676</v>
      </c>
      <c r="C678" s="16" t="s">
        <v>881</v>
      </c>
      <c r="D678" s="16" t="s">
        <v>881</v>
      </c>
      <c r="E678" s="16" t="s">
        <v>1475</v>
      </c>
      <c r="F678" s="16" t="s">
        <v>1600</v>
      </c>
      <c r="G678" s="17" t="s">
        <v>2717</v>
      </c>
      <c r="H678" s="16" t="s">
        <v>1533</v>
      </c>
      <c r="I678" s="18" t="n">
        <v>31.25</v>
      </c>
      <c r="J678" s="16" t="n">
        <v>1</v>
      </c>
      <c r="K678" s="16" t="n">
        <v>445</v>
      </c>
      <c r="L678" s="19" t="n">
        <v>8796.85</v>
      </c>
      <c r="M678" s="17" t="s">
        <v>882</v>
      </c>
      <c r="N678" s="18" t="n">
        <v>31.25</v>
      </c>
      <c r="O678" s="16" t="s">
        <v>1534</v>
      </c>
      <c r="P678" s="16" t="s">
        <v>1535</v>
      </c>
      <c r="Q678" s="17" t="s">
        <v>1536</v>
      </c>
      <c r="R678" s="78" t="s">
        <v>2718</v>
      </c>
      <c r="S678" s="77" t="n">
        <f aca="false">IFERROR(INDEX('Injectable Value'!$Z$28:$Z$178,MATCH($C678,'Injectable Value'!$A$28:$A$178,0)),"")</f>
        <v>0.274306714947369</v>
      </c>
      <c r="T678" s="19" t="n">
        <f aca="false">IFERROR(ROUND(INDEX('Injectable Value'!$AA$28:$AA$178,MATCH($C678,'Injectable Value'!$A$28:$A$178,0)),1),"")</f>
        <v>2413</v>
      </c>
      <c r="U678" s="17" t="s">
        <v>284</v>
      </c>
      <c r="V678" s="16" t="n">
        <v>1</v>
      </c>
      <c r="W678" s="16" t="s">
        <v>284</v>
      </c>
      <c r="X678" s="16" t="s">
        <v>281</v>
      </c>
      <c r="Y678" s="16" t="s">
        <v>283</v>
      </c>
      <c r="Z678" s="17" t="str">
        <f aca="false">IFERROR(INDEX(Scoring!$U:$U,MATCH($C678&amp;"|"&amp;$E678,Scoring!$AD:$AD,0)),"")</f>
        <v/>
      </c>
      <c r="AA678" s="16" t="str">
        <f aca="false">IFERROR(INDEX(Scoring!$E:$E,MATCH($C678&amp;"|"&amp;$E678,Scoring!$AD:$AD,0)),"")</f>
        <v>Priority 2</v>
      </c>
      <c r="AB678" s="19" t="n">
        <f aca="false">IFERROR(INDEX(Scoring!$M:$M,MATCH($C678&amp;"|"&amp;$E678,Scoring!$AD:$AD,0)),"")</f>
        <v>122</v>
      </c>
      <c r="AC678" s="16" t="str">
        <f aca="false">IFERROR(INDEX('Route of Administration'!$C$5:$C$155,MATCH($C678,'Route of Administration'!$A$5:$A$155,0)),"")</f>
        <v>IM, SC</v>
      </c>
      <c r="AD678" s="15" t="str">
        <f aca="false">IFERROR(INDEX('Route of Administration'!$D$5:$D$155,MATCH($C678,'Route of Administration'!$A$5:$A$155,0)),"")</f>
        <v>Yes</v>
      </c>
      <c r="AE678" s="15" t="str">
        <f aca="false">IF($AD678="No","Not checked – drug is IV only",IFERROR(INDEX('Route of Administration'!$O$5:$O$170,MATCH($E678&amp;"|"&amp;$C678,'Route of Administration'!$S$5:$S$170,0)),"Not checked – price ≤ USD 5"))</f>
        <v>Pass</v>
      </c>
    </row>
    <row r="679" customFormat="false" ht="28.35" hidden="false" customHeight="false" outlineLevel="0" collapsed="false">
      <c r="B679" s="16" t="n">
        <v>677</v>
      </c>
      <c r="C679" s="16" t="s">
        <v>1481</v>
      </c>
      <c r="D679" s="16" t="s">
        <v>1481</v>
      </c>
      <c r="E679" s="16" t="s">
        <v>1475</v>
      </c>
      <c r="F679" s="16" t="s">
        <v>2719</v>
      </c>
      <c r="G679" s="17"/>
      <c r="H679" s="16"/>
      <c r="I679" s="18" t="n">
        <v>5289.94</v>
      </c>
      <c r="J679" s="16" t="n">
        <v>1</v>
      </c>
      <c r="K679" s="16" t="n">
        <v>10</v>
      </c>
      <c r="L679" s="19" t="n">
        <v>662.47</v>
      </c>
      <c r="M679" s="17" t="s">
        <v>1482</v>
      </c>
      <c r="N679" s="18" t="n">
        <v>5289.94</v>
      </c>
      <c r="O679" s="16" t="s">
        <v>1534</v>
      </c>
      <c r="P679" s="16" t="s">
        <v>1535</v>
      </c>
      <c r="Q679" s="17" t="s">
        <v>1536</v>
      </c>
      <c r="R679" s="78" t="s">
        <v>2720</v>
      </c>
      <c r="S679" s="77" t="n">
        <f aca="false">IFERROR(INDEX('Injectable Value'!$Z$28:$Z$178,MATCH($C679,'Injectable Value'!$A$28:$A$178,0)),"")</f>
        <v>0.222222222222222</v>
      </c>
      <c r="T679" s="19" t="n">
        <f aca="false">IFERROR(ROUND(INDEX('Injectable Value'!$AA$28:$AA$178,MATCH($C679,'Injectable Value'!$A$28:$A$178,0)),1),"")</f>
        <v>147.2</v>
      </c>
      <c r="U679" s="17" t="s">
        <v>284</v>
      </c>
      <c r="V679" s="16" t="n">
        <v>1</v>
      </c>
      <c r="W679" s="16" t="s">
        <v>284</v>
      </c>
      <c r="X679" s="16" t="s">
        <v>310</v>
      </c>
      <c r="Y679" s="16" t="s">
        <v>310</v>
      </c>
      <c r="Z679" s="17" t="str">
        <f aca="false">IFERROR(INDEX(Scoring!$U:$U,MATCH($C679&amp;"|"&amp;$E679,Scoring!$AD:$AD,0)),"")</f>
        <v/>
      </c>
      <c r="AA679" s="16" t="str">
        <f aca="false">IFERROR(INDEX(Scoring!$E:$E,MATCH($C679&amp;"|"&amp;$E679,Scoring!$AD:$AD,0)),"")</f>
        <v>Excluded – IV only</v>
      </c>
      <c r="AB679" s="19" t="n">
        <f aca="false">IFERROR(INDEX(Scoring!$M:$M,MATCH($C679&amp;"|"&amp;$E679,Scoring!$AD:$AD,0)),"")</f>
        <v>2</v>
      </c>
      <c r="AC679" s="16" t="str">
        <f aca="false">IFERROR(INDEX('Route of Administration'!$C$5:$C$155,MATCH($C679,'Route of Administration'!$A$5:$A$155,0)),"")</f>
        <v>IV</v>
      </c>
      <c r="AD679" s="15" t="str">
        <f aca="false">IFERROR(INDEX('Route of Administration'!$D$5:$D$155,MATCH($C679,'Route of Administration'!$A$5:$A$155,0)),"")</f>
        <v>No</v>
      </c>
      <c r="AE679" s="15" t="str">
        <f aca="false">IF($AD679="No","Not checked – drug is IV only",IFERROR(INDEX('Route of Administration'!$O$5:$O$170,MATCH($E679&amp;"|"&amp;$C679,'Route of Administration'!$S$5:$S$170,0)),"Not checked – price ≤ USD 5"))</f>
        <v>Not checked – drug is IV only</v>
      </c>
    </row>
    <row r="680" customFormat="false" ht="28.35" hidden="false" customHeight="false" outlineLevel="0" collapsed="false">
      <c r="B680" s="16" t="n">
        <v>678</v>
      </c>
      <c r="C680" s="16" t="s">
        <v>1303</v>
      </c>
      <c r="D680" s="16" t="s">
        <v>1303</v>
      </c>
      <c r="E680" s="16" t="s">
        <v>1475</v>
      </c>
      <c r="F680" s="16" t="s">
        <v>1569</v>
      </c>
      <c r="G680" s="17"/>
      <c r="H680" s="16"/>
      <c r="I680" s="18"/>
      <c r="J680" s="16" t="n">
        <v>1</v>
      </c>
      <c r="K680" s="16" t="n">
        <v>69</v>
      </c>
      <c r="L680" s="19" t="n">
        <v>1781.11</v>
      </c>
      <c r="M680" s="17" t="s">
        <v>1305</v>
      </c>
      <c r="N680" s="82" t="n">
        <v>4.02</v>
      </c>
      <c r="O680" s="64" t="s">
        <v>1541</v>
      </c>
      <c r="P680" s="16" t="s">
        <v>1535</v>
      </c>
      <c r="Q680" s="17" t="s">
        <v>1864</v>
      </c>
      <c r="R680" s="78" t="s">
        <v>1865</v>
      </c>
      <c r="S680" s="77" t="n">
        <f aca="false">IFERROR(INDEX('Injectable Value'!$Z$28:$Z$178,MATCH($C680,'Injectable Value'!$A$28:$A$178,0)),"")</f>
        <v>1</v>
      </c>
      <c r="T680" s="19" t="n">
        <f aca="false">IFERROR(ROUND(INDEX('Injectable Value'!$AA$28:$AA$178,MATCH($C680,'Injectable Value'!$A$28:$A$178,0)),1),"")</f>
        <v>1781.1</v>
      </c>
      <c r="U680" s="17" t="s">
        <v>284</v>
      </c>
      <c r="V680" s="16" t="n">
        <v>1</v>
      </c>
      <c r="W680" s="16" t="s">
        <v>284</v>
      </c>
      <c r="X680" s="16" t="s">
        <v>310</v>
      </c>
      <c r="Y680" s="16" t="s">
        <v>310</v>
      </c>
      <c r="Z680" s="17" t="str">
        <f aca="false">IFERROR(INDEX(Scoring!$U:$U,MATCH($C680&amp;"|"&amp;$E680,Scoring!$AD:$AD,0)),"")</f>
        <v/>
      </c>
      <c r="AA680" s="16" t="str">
        <f aca="false">IFERROR(INDEX(Scoring!$E:$E,MATCH($C680&amp;"|"&amp;$E680,Scoring!$AD:$AD,0)),"")</f>
        <v>Excluded – IV only</v>
      </c>
      <c r="AB680" s="19" t="n">
        <f aca="false">IFERROR(INDEX(Scoring!$M:$M,MATCH($C680&amp;"|"&amp;$E680,Scoring!$AD:$AD,0)),"")</f>
        <v>69</v>
      </c>
      <c r="AC680" s="16" t="str">
        <f aca="false">IFERROR(INDEX('Route of Administration'!$C$5:$C$155,MATCH($C680,'Route of Administration'!$A$5:$A$155,0)),"")</f>
        <v>IV</v>
      </c>
      <c r="AD680" s="15" t="str">
        <f aca="false">IFERROR(INDEX('Route of Administration'!$D$5:$D$155,MATCH($C680,'Route of Administration'!$A$5:$A$155,0)),"")</f>
        <v>No</v>
      </c>
      <c r="AE680" s="15" t="str">
        <f aca="false">IF($AD680="No","Not checked – drug is IV only",IFERROR(INDEX('Route of Administration'!$O$5:$O$170,MATCH($E680&amp;"|"&amp;$C680,'Route of Administration'!$S$5:$S$170,0)),"Not checked – price ≤ USD 5"))</f>
        <v>Not checked – drug is IV only</v>
      </c>
    </row>
    <row r="681" customFormat="false" ht="28.35" hidden="false" customHeight="false" outlineLevel="0" collapsed="false">
      <c r="B681" s="16" t="n">
        <v>679</v>
      </c>
      <c r="C681" s="16" t="s">
        <v>1490</v>
      </c>
      <c r="D681" s="16" t="s">
        <v>1490</v>
      </c>
      <c r="E681" s="16" t="s">
        <v>1475</v>
      </c>
      <c r="F681" s="16" t="s">
        <v>2721</v>
      </c>
      <c r="G681" s="17" t="s">
        <v>2722</v>
      </c>
      <c r="H681" s="16" t="s">
        <v>1533</v>
      </c>
      <c r="I681" s="18" t="n">
        <v>18.9</v>
      </c>
      <c r="J681" s="16" t="n">
        <v>1</v>
      </c>
      <c r="K681" s="16" t="n">
        <v>43</v>
      </c>
      <c r="L681" s="19" t="n">
        <v>1942.31</v>
      </c>
      <c r="M681" s="17" t="s">
        <v>445</v>
      </c>
      <c r="N681" s="18" t="n">
        <v>18.9</v>
      </c>
      <c r="O681" s="16" t="s">
        <v>1534</v>
      </c>
      <c r="P681" s="16" t="s">
        <v>1535</v>
      </c>
      <c r="Q681" s="17" t="s">
        <v>1536</v>
      </c>
      <c r="R681" s="78" t="s">
        <v>2723</v>
      </c>
      <c r="S681" s="77" t="n">
        <f aca="false">IFERROR(INDEX('Injectable Value'!$Z$28:$Z$178,MATCH($C681,'Injectable Value'!$A$28:$A$178,0)),"")</f>
        <v>0.833333333333333</v>
      </c>
      <c r="T681" s="19" t="n">
        <f aca="false">IFERROR(ROUND(INDEX('Injectable Value'!$AA$28:$AA$178,MATCH($C681,'Injectable Value'!$A$28:$A$178,0)),1),"")</f>
        <v>1618.6</v>
      </c>
      <c r="U681" s="17" t="s">
        <v>284</v>
      </c>
      <c r="V681" s="16" t="n">
        <v>1</v>
      </c>
      <c r="W681" s="16" t="s">
        <v>284</v>
      </c>
      <c r="X681" s="16" t="s">
        <v>281</v>
      </c>
      <c r="Y681" s="16" t="s">
        <v>283</v>
      </c>
      <c r="Z681" s="17" t="str">
        <f aca="false">IFERROR(INDEX(Scoring!$U:$U,MATCH($C681&amp;"|"&amp;$E681,Scoring!$AD:$AD,0)),"")</f>
        <v/>
      </c>
      <c r="AA681" s="16" t="str">
        <f aca="false">IFERROR(INDEX(Scoring!$E:$E,MATCH($C681&amp;"|"&amp;$E681,Scoring!$AD:$AD,0)),"")</f>
        <v>Priority 3</v>
      </c>
      <c r="AB681" s="19" t="n">
        <f aca="false">IFERROR(INDEX(Scoring!$M:$M,MATCH($C681&amp;"|"&amp;$E681,Scoring!$AD:$AD,0)),"")</f>
        <v>36</v>
      </c>
      <c r="AC681" s="16" t="str">
        <f aca="false">IFERROR(INDEX('Route of Administration'!$C$5:$C$155,MATCH($C681,'Route of Administration'!$A$5:$A$155,0)),"")</f>
        <v>IM</v>
      </c>
      <c r="AD681" s="15" t="str">
        <f aca="false">IFERROR(INDEX('Route of Administration'!$D$5:$D$155,MATCH($C681,'Route of Administration'!$A$5:$A$155,0)),"")</f>
        <v>Yes</v>
      </c>
      <c r="AE681" s="15" t="str">
        <f aca="false">IF($AD681="No","Not checked – drug is IV only",IFERROR(INDEX('Route of Administration'!$O$5:$O$170,MATCH($E681&amp;"|"&amp;$C681,'Route of Administration'!$S$5:$S$170,0)),"Not checked – price ≤ USD 5"))</f>
        <v>Pass</v>
      </c>
    </row>
    <row r="682" customFormat="false" ht="28.35" hidden="false" customHeight="false" outlineLevel="0" collapsed="false">
      <c r="B682" s="16" t="n">
        <v>680</v>
      </c>
      <c r="C682" s="16" t="s">
        <v>1490</v>
      </c>
      <c r="D682" s="16" t="s">
        <v>1490</v>
      </c>
      <c r="E682" s="16" t="s">
        <v>1475</v>
      </c>
      <c r="F682" s="16" t="s">
        <v>2724</v>
      </c>
      <c r="G682" s="17" t="s">
        <v>2722</v>
      </c>
      <c r="H682" s="16" t="s">
        <v>1533</v>
      </c>
      <c r="I682" s="18" t="n">
        <v>11.08</v>
      </c>
      <c r="J682" s="16" t="n">
        <v>1</v>
      </c>
      <c r="K682" s="16" t="n">
        <v>43</v>
      </c>
      <c r="L682" s="19" t="n">
        <v>1942.31</v>
      </c>
      <c r="M682" s="17" t="s">
        <v>445</v>
      </c>
      <c r="N682" s="18" t="n">
        <v>11.08</v>
      </c>
      <c r="O682" s="16" t="s">
        <v>1534</v>
      </c>
      <c r="P682" s="16" t="s">
        <v>1535</v>
      </c>
      <c r="Q682" s="17" t="s">
        <v>1536</v>
      </c>
      <c r="R682" s="78" t="s">
        <v>2723</v>
      </c>
      <c r="S682" s="77" t="n">
        <f aca="false">IFERROR(INDEX('Injectable Value'!$Z$28:$Z$178,MATCH($C682,'Injectable Value'!$A$28:$A$178,0)),"")</f>
        <v>0.833333333333333</v>
      </c>
      <c r="T682" s="19" t="n">
        <f aca="false">IFERROR(ROUND(INDEX('Injectable Value'!$AA$28:$AA$178,MATCH($C682,'Injectable Value'!$A$28:$A$178,0)),1),"")</f>
        <v>1618.6</v>
      </c>
      <c r="U682" s="17" t="s">
        <v>284</v>
      </c>
      <c r="V682" s="16" t="n">
        <v>1</v>
      </c>
      <c r="W682" s="16" t="s">
        <v>284</v>
      </c>
      <c r="X682" s="16" t="s">
        <v>281</v>
      </c>
      <c r="Y682" s="16" t="s">
        <v>283</v>
      </c>
      <c r="Z682" s="17" t="str">
        <f aca="false">IFERROR(INDEX(Scoring!$U:$U,MATCH($C682&amp;"|"&amp;$E682,Scoring!$AD:$AD,0)),"")</f>
        <v/>
      </c>
      <c r="AA682" s="16" t="str">
        <f aca="false">IFERROR(INDEX(Scoring!$E:$E,MATCH($C682&amp;"|"&amp;$E682,Scoring!$AD:$AD,0)),"")</f>
        <v>Priority 3</v>
      </c>
      <c r="AB682" s="19" t="n">
        <f aca="false">IFERROR(INDEX(Scoring!$M:$M,MATCH($C682&amp;"|"&amp;$E682,Scoring!$AD:$AD,0)),"")</f>
        <v>36</v>
      </c>
      <c r="AC682" s="16" t="str">
        <f aca="false">IFERROR(INDEX('Route of Administration'!$C$5:$C$155,MATCH($C682,'Route of Administration'!$A$5:$A$155,0)),"")</f>
        <v>IM</v>
      </c>
      <c r="AD682" s="15" t="str">
        <f aca="false">IFERROR(INDEX('Route of Administration'!$D$5:$D$155,MATCH($C682,'Route of Administration'!$A$5:$A$155,0)),"")</f>
        <v>Yes</v>
      </c>
      <c r="AE682" s="15" t="str">
        <f aca="false">IF($AD682="No","Not checked – drug is IV only",IFERROR(INDEX('Route of Administration'!$O$5:$O$170,MATCH($E682&amp;"|"&amp;$C682,'Route of Administration'!$S$5:$S$170,0)),"Not checked – price ≤ USD 5"))</f>
        <v>Pass</v>
      </c>
    </row>
    <row r="683" customFormat="false" ht="28.35" hidden="false" customHeight="false" outlineLevel="0" collapsed="false">
      <c r="B683" s="16" t="n">
        <v>681</v>
      </c>
      <c r="C683" s="16" t="s">
        <v>632</v>
      </c>
      <c r="D683" s="16" t="s">
        <v>1493</v>
      </c>
      <c r="E683" s="16" t="s">
        <v>1475</v>
      </c>
      <c r="F683" s="16" t="s">
        <v>1821</v>
      </c>
      <c r="G683" s="17" t="s">
        <v>2725</v>
      </c>
      <c r="H683" s="16" t="s">
        <v>1533</v>
      </c>
      <c r="I683" s="18"/>
      <c r="J683" s="16" t="n">
        <v>1</v>
      </c>
      <c r="K683" s="16" t="n">
        <v>2582</v>
      </c>
      <c r="L683" s="19" t="n">
        <v>38106.07</v>
      </c>
      <c r="M683" s="17" t="s">
        <v>634</v>
      </c>
      <c r="N683" s="82" t="n">
        <v>23.15</v>
      </c>
      <c r="O683" s="64" t="s">
        <v>1541</v>
      </c>
      <c r="P683" s="16" t="s">
        <v>1535</v>
      </c>
      <c r="Q683" s="17" t="s">
        <v>1542</v>
      </c>
      <c r="R683" s="78" t="s">
        <v>1543</v>
      </c>
      <c r="S683" s="77" t="n">
        <f aca="false">IFERROR(INDEX('Injectable Value'!$Z$28:$Z$178,MATCH($C683,'Injectable Value'!$A$28:$A$178,0)),"")</f>
        <v>0.125875590958329</v>
      </c>
      <c r="T683" s="19" t="n">
        <f aca="false">IFERROR(ROUND(INDEX('Injectable Value'!$AA$28:$AA$178,MATCH($C683,'Injectable Value'!$A$28:$A$178,0)),1),"")</f>
        <v>4796.6</v>
      </c>
      <c r="U683" s="17" t="s">
        <v>284</v>
      </c>
      <c r="V683" s="16" t="n">
        <v>1</v>
      </c>
      <c r="W683" s="16" t="s">
        <v>284</v>
      </c>
      <c r="X683" s="16" t="s">
        <v>281</v>
      </c>
      <c r="Y683" s="16" t="s">
        <v>283</v>
      </c>
      <c r="Z683" s="17" t="str">
        <f aca="false">IFERROR(INDEX(Scoring!$U:$U,MATCH($C683&amp;"|"&amp;$E683,Scoring!$AD:$AD,0)),"")</f>
        <v/>
      </c>
      <c r="AA683" s="16" t="str">
        <f aca="false">IFERROR(INDEX(Scoring!$E:$E,MATCH($C683&amp;"|"&amp;$E683,Scoring!$AD:$AD,0)),"")</f>
        <v>Priority 2</v>
      </c>
      <c r="AB683" s="19" t="n">
        <f aca="false">IFERROR(INDEX(Scoring!$M:$M,MATCH($C683&amp;"|"&amp;$E683,Scoring!$AD:$AD,0)),"")</f>
        <v>325</v>
      </c>
      <c r="AC683" s="16" t="str">
        <f aca="false">IFERROR(INDEX('Route of Administration'!$C$5:$C$155,MATCH($C683,'Route of Administration'!$A$5:$A$155,0)),"")</f>
        <v>IV, IM</v>
      </c>
      <c r="AD683" s="15" t="str">
        <f aca="false">IFERROR(INDEX('Route of Administration'!$D$5:$D$155,MATCH($C683,'Route of Administration'!$A$5:$A$155,0)),"")</f>
        <v>Yes</v>
      </c>
      <c r="AE683" s="15" t="str">
        <f aca="false">IF($AD683="No","Not checked – drug is IV only",IFERROR(INDEX('Route of Administration'!$O$5:$O$170,MATCH($E683&amp;"|"&amp;$C683,'Route of Administration'!$S$5:$S$170,0)),"Not checked – price ≤ USD 5"))</f>
        <v>Pass</v>
      </c>
    </row>
    <row r="684" customFormat="false" ht="41.75" hidden="false" customHeight="false" outlineLevel="0" collapsed="false">
      <c r="B684" s="16" t="n">
        <v>682</v>
      </c>
      <c r="C684" s="16" t="s">
        <v>1495</v>
      </c>
      <c r="D684" s="16" t="s">
        <v>1495</v>
      </c>
      <c r="E684" s="16" t="s">
        <v>1475</v>
      </c>
      <c r="F684" s="16" t="s">
        <v>2726</v>
      </c>
      <c r="G684" s="17" t="s">
        <v>2727</v>
      </c>
      <c r="H684" s="16" t="s">
        <v>1533</v>
      </c>
      <c r="I684" s="18" t="n">
        <v>179.58</v>
      </c>
      <c r="J684" s="16" t="n">
        <v>1</v>
      </c>
      <c r="K684" s="16" t="n">
        <v>48</v>
      </c>
      <c r="L684" s="19" t="n">
        <v>304.87</v>
      </c>
      <c r="M684" s="17" t="s">
        <v>1496</v>
      </c>
      <c r="N684" s="18" t="n">
        <v>179.58</v>
      </c>
      <c r="O684" s="16" t="s">
        <v>1534</v>
      </c>
      <c r="P684" s="16" t="s">
        <v>1535</v>
      </c>
      <c r="Q684" s="17" t="s">
        <v>1536</v>
      </c>
      <c r="R684" s="78" t="s">
        <v>2728</v>
      </c>
      <c r="S684" s="77" t="n">
        <f aca="false">IFERROR(INDEX('Injectable Value'!$Z$28:$Z$178,MATCH($C684,'Injectable Value'!$A$28:$A$178,0)),"")</f>
        <v>0.702380952380952</v>
      </c>
      <c r="T684" s="19" t="n">
        <f aca="false">IFERROR(ROUND(INDEX('Injectable Value'!$AA$28:$AA$178,MATCH($C684,'Injectable Value'!$A$28:$A$178,0)),1),"")</f>
        <v>214.1</v>
      </c>
      <c r="U684" s="17" t="s">
        <v>284</v>
      </c>
      <c r="V684" s="16" t="n">
        <v>1</v>
      </c>
      <c r="W684" s="16" t="s">
        <v>284</v>
      </c>
      <c r="X684" s="16" t="s">
        <v>310</v>
      </c>
      <c r="Y684" s="16" t="s">
        <v>310</v>
      </c>
      <c r="Z684" s="17" t="str">
        <f aca="false">IFERROR(INDEX(Scoring!$U:$U,MATCH($C684&amp;"|"&amp;$E684,Scoring!$AD:$AD,0)),"")</f>
        <v/>
      </c>
      <c r="AA684" s="16" t="str">
        <f aca="false">IFERROR(INDEX(Scoring!$E:$E,MATCH($C684&amp;"|"&amp;$E684,Scoring!$AD:$AD,0)),"")</f>
        <v>Excluded – IV only</v>
      </c>
      <c r="AB684" s="19" t="n">
        <f aca="false">IFERROR(INDEX(Scoring!$M:$M,MATCH($C684&amp;"|"&amp;$E684,Scoring!$AD:$AD,0)),"")</f>
        <v>34</v>
      </c>
      <c r="AC684" s="16" t="str">
        <f aca="false">IFERROR(INDEX('Route of Administration'!$C$5:$C$155,MATCH($C684,'Route of Administration'!$A$5:$A$155,0)),"")</f>
        <v>IV, ID, SC</v>
      </c>
      <c r="AD684" s="15" t="str">
        <f aca="false">IFERROR(INDEX('Route of Administration'!$D$5:$D$155,MATCH($C684,'Route of Administration'!$A$5:$A$155,0)),"")</f>
        <v>Yes</v>
      </c>
      <c r="AE684" s="15" t="str">
        <f aca="false">IF($AD684="No","Not checked – drug is IV only",IFERROR(INDEX('Route of Administration'!$O$5:$O$170,MATCH($E684&amp;"|"&amp;$C684,'Route of Administration'!$S$5:$S$170,0)),"Not checked – price ≤ USD 5"))</f>
        <v>Fail</v>
      </c>
    </row>
    <row r="685" customFormat="false" ht="28.35" hidden="false" customHeight="false" outlineLevel="0" collapsed="false">
      <c r="B685" s="16" t="n">
        <v>683</v>
      </c>
      <c r="C685" s="16" t="s">
        <v>754</v>
      </c>
      <c r="D685" s="16" t="s">
        <v>755</v>
      </c>
      <c r="E685" s="16" t="s">
        <v>1475</v>
      </c>
      <c r="F685" s="16" t="s">
        <v>1914</v>
      </c>
      <c r="G685" s="17" t="s">
        <v>2729</v>
      </c>
      <c r="H685" s="16" t="s">
        <v>1533</v>
      </c>
      <c r="I685" s="18"/>
      <c r="J685" s="16" t="n">
        <v>1</v>
      </c>
      <c r="K685" s="16" t="n">
        <v>286</v>
      </c>
      <c r="L685" s="19" t="n">
        <v>3067.39</v>
      </c>
      <c r="M685" s="17" t="s">
        <v>756</v>
      </c>
      <c r="N685" s="82" t="n">
        <v>5.03</v>
      </c>
      <c r="O685" s="64" t="s">
        <v>1541</v>
      </c>
      <c r="P685" s="16" t="s">
        <v>1535</v>
      </c>
      <c r="Q685" s="17" t="s">
        <v>1864</v>
      </c>
      <c r="R685" s="78" t="s">
        <v>1865</v>
      </c>
      <c r="S685" s="77" t="n">
        <f aca="false">IFERROR(INDEX('Injectable Value'!$Z$28:$Z$178,MATCH($C685,'Injectable Value'!$A$28:$A$178,0)),"")</f>
        <v>1</v>
      </c>
      <c r="T685" s="19" t="n">
        <f aca="false">IFERROR(ROUND(INDEX('Injectable Value'!$AA$28:$AA$178,MATCH($C685,'Injectable Value'!$A$28:$A$178,0)),1),"")</f>
        <v>3067.4</v>
      </c>
      <c r="U685" s="17" t="s">
        <v>284</v>
      </c>
      <c r="V685" s="16" t="n">
        <v>1</v>
      </c>
      <c r="W685" s="16" t="s">
        <v>284</v>
      </c>
      <c r="X685" s="16" t="s">
        <v>281</v>
      </c>
      <c r="Y685" s="16" t="s">
        <v>283</v>
      </c>
      <c r="Z685" s="17" t="str">
        <f aca="false">IFERROR(INDEX(Scoring!$U:$U,MATCH($C685&amp;"|"&amp;$E685,Scoring!$AD:$AD,0)),"")</f>
        <v/>
      </c>
      <c r="AA685" s="16" t="str">
        <f aca="false">IFERROR(INDEX(Scoring!$E:$E,MATCH($C685&amp;"|"&amp;$E685,Scoring!$AD:$AD,0)),"")</f>
        <v>Priority 2</v>
      </c>
      <c r="AB685" s="19" t="n">
        <f aca="false">IFERROR(INDEX(Scoring!$M:$M,MATCH($C685&amp;"|"&amp;$E685,Scoring!$AD:$AD,0)),"")</f>
        <v>286</v>
      </c>
      <c r="AC685" s="16" t="str">
        <f aca="false">IFERROR(INDEX('Route of Administration'!$C$5:$C$155,MATCH($C685,'Route of Administration'!$A$5:$A$155,0)),"")</f>
        <v>IV, IM</v>
      </c>
      <c r="AD685" s="15" t="str">
        <f aca="false">IFERROR(INDEX('Route of Administration'!$D$5:$D$155,MATCH($C685,'Route of Administration'!$A$5:$A$155,0)),"")</f>
        <v>Yes</v>
      </c>
      <c r="AE685" s="15" t="str">
        <f aca="false">IF($AD685="No","Not checked – drug is IV only",IFERROR(INDEX('Route of Administration'!$O$5:$O$170,MATCH($E685&amp;"|"&amp;$C685,'Route of Administration'!$S$5:$S$170,0)),"Not checked – price ≤ USD 5"))</f>
        <v>Pass</v>
      </c>
    </row>
    <row r="686" customFormat="false" ht="28.35" hidden="false" customHeight="false" outlineLevel="0" collapsed="false">
      <c r="B686" s="16" t="n">
        <v>684</v>
      </c>
      <c r="C686" s="16" t="s">
        <v>599</v>
      </c>
      <c r="D686" s="16" t="s">
        <v>600</v>
      </c>
      <c r="E686" s="16" t="s">
        <v>1475</v>
      </c>
      <c r="F686" s="16" t="s">
        <v>1622</v>
      </c>
      <c r="G686" s="17" t="s">
        <v>2730</v>
      </c>
      <c r="H686" s="16" t="s">
        <v>1533</v>
      </c>
      <c r="I686" s="18"/>
      <c r="J686" s="16" t="n">
        <v>1</v>
      </c>
      <c r="K686" s="16" t="n">
        <v>374</v>
      </c>
      <c r="L686" s="19" t="n">
        <v>13615.47</v>
      </c>
      <c r="M686" s="17" t="s">
        <v>601</v>
      </c>
      <c r="N686" s="82" t="n">
        <v>2.67</v>
      </c>
      <c r="O686" s="64" t="s">
        <v>1541</v>
      </c>
      <c r="P686" s="16" t="s">
        <v>1535</v>
      </c>
      <c r="Q686" s="17" t="s">
        <v>1864</v>
      </c>
      <c r="R686" s="78" t="s">
        <v>1865</v>
      </c>
      <c r="S686" s="77" t="n">
        <f aca="false">IFERROR(INDEX('Injectable Value'!$Z$28:$Z$178,MATCH($C686,'Injectable Value'!$A$28:$A$178,0)),"")</f>
        <v>0.18191811645244</v>
      </c>
      <c r="T686" s="19" t="n">
        <f aca="false">IFERROR(ROUND(INDEX('Injectable Value'!$AA$28:$AA$178,MATCH($C686,'Injectable Value'!$A$28:$A$178,0)),1),"")</f>
        <v>2476.9</v>
      </c>
      <c r="U686" s="17" t="s">
        <v>284</v>
      </c>
      <c r="V686" s="16" t="n">
        <v>1</v>
      </c>
      <c r="W686" s="16" t="s">
        <v>284</v>
      </c>
      <c r="X686" s="16" t="s">
        <v>281</v>
      </c>
      <c r="Y686" s="16" t="s">
        <v>310</v>
      </c>
      <c r="Z686" s="17" t="str">
        <f aca="false">IFERROR(INDEX(Scoring!$U:$U,MATCH($C686&amp;"|"&amp;$E686,Scoring!$AD:$AD,0)),"")</f>
        <v/>
      </c>
      <c r="AA686" s="16" t="str">
        <f aca="false">IFERROR(INDEX(Scoring!$E:$E,MATCH($C686&amp;"|"&amp;$E686,Scoring!$AD:$AD,0)),"")</f>
        <v>Excluded – IV only</v>
      </c>
      <c r="AB686" s="19" t="n">
        <f aca="false">IFERROR(INDEX(Scoring!$M:$M,MATCH($C686&amp;"|"&amp;$E686,Scoring!$AD:$AD,0)),"")</f>
        <v>68</v>
      </c>
      <c r="AC686" s="16" t="str">
        <f aca="false">IFERROR(INDEX('Route of Administration'!$C$5:$C$155,MATCH($C686,'Route of Administration'!$A$5:$A$155,0)),"")</f>
        <v>IV</v>
      </c>
      <c r="AD686" s="15" t="str">
        <f aca="false">IFERROR(INDEX('Route of Administration'!$D$5:$D$155,MATCH($C686,'Route of Administration'!$A$5:$A$155,0)),"")</f>
        <v>No</v>
      </c>
      <c r="AE686" s="15" t="str">
        <f aca="false">IF($AD686="No","Not checked – drug is IV only",IFERROR(INDEX('Route of Administration'!$O$5:$O$170,MATCH($E686&amp;"|"&amp;$C686,'Route of Administration'!$S$5:$S$170,0)),"Not checked – price ≤ USD 5"))</f>
        <v>Not checked – drug is IV only</v>
      </c>
    </row>
    <row r="687" customFormat="false" ht="28.35" hidden="false" customHeight="false" outlineLevel="0" collapsed="false">
      <c r="B687" s="16" t="n">
        <v>685</v>
      </c>
      <c r="C687" s="16" t="s">
        <v>1486</v>
      </c>
      <c r="D687" s="16" t="s">
        <v>1486</v>
      </c>
      <c r="E687" s="16" t="s">
        <v>1475</v>
      </c>
      <c r="F687" s="16" t="s">
        <v>1945</v>
      </c>
      <c r="G687" s="17" t="s">
        <v>2731</v>
      </c>
      <c r="H687" s="16" t="s">
        <v>1533</v>
      </c>
      <c r="I687" s="18" t="n">
        <v>61.13</v>
      </c>
      <c r="J687" s="16" t="n">
        <v>1</v>
      </c>
      <c r="K687" s="16" t="n">
        <v>111</v>
      </c>
      <c r="L687" s="19" t="n">
        <v>1044.77</v>
      </c>
      <c r="M687" s="17" t="s">
        <v>1487</v>
      </c>
      <c r="N687" s="18" t="n">
        <v>61.13</v>
      </c>
      <c r="O687" s="16" t="s">
        <v>1534</v>
      </c>
      <c r="P687" s="16" t="s">
        <v>1535</v>
      </c>
      <c r="Q687" s="17" t="s">
        <v>1536</v>
      </c>
      <c r="R687" s="78" t="s">
        <v>2732</v>
      </c>
      <c r="S687" s="77" t="n">
        <f aca="false">IFERROR(INDEX('Injectable Value'!$Z$28:$Z$178,MATCH($C687,'Injectable Value'!$A$28:$A$178,0)),"")</f>
        <v>0.432465091299678</v>
      </c>
      <c r="T687" s="19" t="n">
        <f aca="false">IFERROR(ROUND(INDEX('Injectable Value'!$AA$28:$AA$178,MATCH($C687,'Injectable Value'!$A$28:$A$178,0)),1),"")</f>
        <v>451.8</v>
      </c>
      <c r="U687" s="17" t="s">
        <v>284</v>
      </c>
      <c r="V687" s="16" t="n">
        <v>1</v>
      </c>
      <c r="W687" s="16" t="s">
        <v>284</v>
      </c>
      <c r="X687" s="16" t="s">
        <v>281</v>
      </c>
      <c r="Y687" s="16" t="s">
        <v>283</v>
      </c>
      <c r="Z687" s="17" t="str">
        <f aca="false">IFERROR(INDEX(Scoring!$U:$U,MATCH($C687&amp;"|"&amp;$E687,Scoring!$AD:$AD,0)),"")</f>
        <v/>
      </c>
      <c r="AA687" s="16" t="str">
        <f aca="false">IFERROR(INDEX(Scoring!$E:$E,MATCH($C687&amp;"|"&amp;$E687,Scoring!$AD:$AD,0)),"")</f>
        <v>Excluded – IV only</v>
      </c>
      <c r="AB687" s="19" t="n">
        <f aca="false">IFERROR(INDEX(Scoring!$M:$M,MATCH($C687&amp;"|"&amp;$E687,Scoring!$AD:$AD,0)),"")</f>
        <v>48</v>
      </c>
      <c r="AC687" s="16" t="str">
        <f aca="false">IFERROR(INDEX('Route of Administration'!$C$5:$C$155,MATCH($C687,'Route of Administration'!$A$5:$A$155,0)),"")</f>
        <v>IV</v>
      </c>
      <c r="AD687" s="15" t="str">
        <f aca="false">IFERROR(INDEX('Route of Administration'!$D$5:$D$155,MATCH($C687,'Route of Administration'!$A$5:$A$155,0)),"")</f>
        <v>No</v>
      </c>
      <c r="AE687" s="15" t="str">
        <f aca="false">IF($AD687="No","Not checked – drug is IV only",IFERROR(INDEX('Route of Administration'!$O$5:$O$170,MATCH($E687&amp;"|"&amp;$C687,'Route of Administration'!$S$5:$S$170,0)),"Not checked – price ≤ USD 5"))</f>
        <v>Not checked – drug is IV only</v>
      </c>
    </row>
    <row r="688" customFormat="false" ht="28.35" hidden="false" customHeight="false" outlineLevel="0" collapsed="false">
      <c r="B688" s="16" t="n">
        <v>686</v>
      </c>
      <c r="C688" s="16" t="s">
        <v>1486</v>
      </c>
      <c r="D688" s="16" t="s">
        <v>1486</v>
      </c>
      <c r="E688" s="16" t="s">
        <v>1475</v>
      </c>
      <c r="F688" s="16" t="s">
        <v>2733</v>
      </c>
      <c r="G688" s="17" t="s">
        <v>2731</v>
      </c>
      <c r="H688" s="16" t="s">
        <v>1533</v>
      </c>
      <c r="I688" s="18"/>
      <c r="J688" s="16" t="n">
        <v>1</v>
      </c>
      <c r="K688" s="16" t="n">
        <v>111</v>
      </c>
      <c r="L688" s="19" t="n">
        <v>1044.77</v>
      </c>
      <c r="M688" s="17" t="s">
        <v>1487</v>
      </c>
      <c r="N688" s="18"/>
      <c r="O688" s="16" t="s">
        <v>1573</v>
      </c>
      <c r="P688" s="16" t="s">
        <v>112</v>
      </c>
      <c r="Q688" s="17" t="s">
        <v>112</v>
      </c>
      <c r="R688" s="16"/>
      <c r="S688" s="77" t="n">
        <f aca="false">IFERROR(INDEX('Injectable Value'!$Z$28:$Z$178,MATCH($C688,'Injectable Value'!$A$28:$A$178,0)),"")</f>
        <v>0.432465091299678</v>
      </c>
      <c r="T688" s="19" t="n">
        <f aca="false">IFERROR(ROUND(INDEX('Injectable Value'!$AA$28:$AA$178,MATCH($C688,'Injectable Value'!$A$28:$A$178,0)),1),"")</f>
        <v>451.8</v>
      </c>
      <c r="U688" s="17" t="s">
        <v>284</v>
      </c>
      <c r="V688" s="16" t="n">
        <v>1</v>
      </c>
      <c r="W688" s="16" t="s">
        <v>284</v>
      </c>
      <c r="X688" s="16" t="s">
        <v>281</v>
      </c>
      <c r="Y688" s="16" t="s">
        <v>283</v>
      </c>
      <c r="Z688" s="17" t="str">
        <f aca="false">IFERROR(INDEX(Scoring!$U:$U,MATCH($C688&amp;"|"&amp;$E688,Scoring!$AD:$AD,0)),"")</f>
        <v/>
      </c>
      <c r="AA688" s="16" t="str">
        <f aca="false">IFERROR(INDEX(Scoring!$E:$E,MATCH($C688&amp;"|"&amp;$E688,Scoring!$AD:$AD,0)),"")</f>
        <v>Excluded – IV only</v>
      </c>
      <c r="AB688" s="19" t="n">
        <f aca="false">IFERROR(INDEX(Scoring!$M:$M,MATCH($C688&amp;"|"&amp;$E688,Scoring!$AD:$AD,0)),"")</f>
        <v>48</v>
      </c>
      <c r="AC688" s="16" t="str">
        <f aca="false">IFERROR(INDEX('Route of Administration'!$C$5:$C$155,MATCH($C688,'Route of Administration'!$A$5:$A$155,0)),"")</f>
        <v>IV</v>
      </c>
      <c r="AD688" s="15" t="str">
        <f aca="false">IFERROR(INDEX('Route of Administration'!$D$5:$D$155,MATCH($C688,'Route of Administration'!$A$5:$A$155,0)),"")</f>
        <v>No</v>
      </c>
      <c r="AE688" s="15" t="str">
        <f aca="false">IF($AD688="No","Not checked – drug is IV only",IFERROR(INDEX('Route of Administration'!$O$5:$O$170,MATCH($E688&amp;"|"&amp;$C688,'Route of Administration'!$S$5:$S$170,0)),"Not checked – price ≤ USD 5"))</f>
        <v>Not checked – drug is IV only</v>
      </c>
    </row>
    <row r="689" customFormat="false" ht="28.35" hidden="false" customHeight="false" outlineLevel="0" collapsed="false">
      <c r="B689" s="16" t="n">
        <v>687</v>
      </c>
      <c r="C689" s="16" t="s">
        <v>338</v>
      </c>
      <c r="D689" s="16" t="s">
        <v>338</v>
      </c>
      <c r="E689" s="16" t="s">
        <v>1475</v>
      </c>
      <c r="F689" s="16" t="s">
        <v>1636</v>
      </c>
      <c r="G689" s="17" t="s">
        <v>2734</v>
      </c>
      <c r="H689" s="16" t="s">
        <v>281</v>
      </c>
      <c r="I689" s="18" t="n">
        <v>22.25</v>
      </c>
      <c r="J689" s="16" t="n">
        <v>1</v>
      </c>
      <c r="K689" s="16" t="n">
        <v>905</v>
      </c>
      <c r="L689" s="19" t="n">
        <v>28093.38</v>
      </c>
      <c r="M689" s="17" t="s">
        <v>340</v>
      </c>
      <c r="N689" s="18" t="n">
        <v>22.25</v>
      </c>
      <c r="O689" s="16" t="s">
        <v>1534</v>
      </c>
      <c r="P689" s="16" t="s">
        <v>1535</v>
      </c>
      <c r="Q689" s="17" t="s">
        <v>1536</v>
      </c>
      <c r="R689" s="78" t="s">
        <v>1638</v>
      </c>
      <c r="S689" s="77" t="n">
        <f aca="false">IFERROR(INDEX('Injectable Value'!$Z$28:$Z$178,MATCH($C689,'Injectable Value'!$A$28:$A$178,0)),"")</f>
        <v>1</v>
      </c>
      <c r="T689" s="19" t="n">
        <f aca="false">IFERROR(ROUND(INDEX('Injectable Value'!$AA$28:$AA$178,MATCH($C689,'Injectable Value'!$A$28:$A$178,0)),1),"")</f>
        <v>28093.4</v>
      </c>
      <c r="U689" s="17" t="s">
        <v>1478</v>
      </c>
      <c r="V689" s="16" t="n">
        <v>6</v>
      </c>
      <c r="W689" s="16" t="s">
        <v>1477</v>
      </c>
      <c r="X689" s="16" t="s">
        <v>281</v>
      </c>
      <c r="Y689" s="16" t="s">
        <v>333</v>
      </c>
      <c r="Z689" s="17" t="str">
        <f aca="false">IFERROR(INDEX(Scoring!$U:$U,MATCH($C689&amp;"|"&amp;$E689,Scoring!$AD:$AD,0)),"")</f>
        <v>Cancer drug (cytotoxic) – less relevant; Reconstitution</v>
      </c>
      <c r="AA689" s="16" t="str">
        <f aca="false">IFERROR(INDEX(Scoring!$E:$E,MATCH($C689&amp;"|"&amp;$E689,Scoring!$AD:$AD,0)),"")</f>
        <v>Priority 1</v>
      </c>
      <c r="AB689" s="19" t="n">
        <f aca="false">IFERROR(INDEX(Scoring!$M:$M,MATCH($C689&amp;"|"&amp;$E689,Scoring!$AD:$AD,0)),"")</f>
        <v>905</v>
      </c>
      <c r="AC689" s="16" t="str">
        <f aca="false">IFERROR(INDEX('Route of Administration'!$C$5:$C$155,MATCH($C689,'Route of Administration'!$A$5:$A$155,0)),"")</f>
        <v>IV, SC</v>
      </c>
      <c r="AD689" s="15" t="str">
        <f aca="false">IFERROR(INDEX('Route of Administration'!$D$5:$D$155,MATCH($C689,'Route of Administration'!$A$5:$A$155,0)),"")</f>
        <v>Yes</v>
      </c>
      <c r="AE689" s="15" t="str">
        <f aca="false">IF($AD689="No","Not checked – drug is IV only",IFERROR(INDEX('Route of Administration'!$O$5:$O$170,MATCH($E689&amp;"|"&amp;$C689,'Route of Administration'!$S$5:$S$170,0)),"Not checked – price ≤ USD 5"))</f>
        <v>Pass</v>
      </c>
    </row>
    <row r="690" customFormat="false" ht="28.35" hidden="false" customHeight="false" outlineLevel="0" collapsed="false">
      <c r="B690" s="16" t="n">
        <v>688</v>
      </c>
      <c r="C690" s="16" t="s">
        <v>295</v>
      </c>
      <c r="D690" s="16" t="s">
        <v>295</v>
      </c>
      <c r="E690" s="16" t="s">
        <v>1475</v>
      </c>
      <c r="F690" s="16" t="s">
        <v>1554</v>
      </c>
      <c r="G690" s="17" t="s">
        <v>2735</v>
      </c>
      <c r="H690" s="16" t="s">
        <v>1556</v>
      </c>
      <c r="I690" s="18" t="n">
        <v>29.97</v>
      </c>
      <c r="J690" s="16" t="n">
        <v>1</v>
      </c>
      <c r="K690" s="16" t="n">
        <v>146</v>
      </c>
      <c r="L690" s="19" t="n">
        <v>11366.06</v>
      </c>
      <c r="M690" s="17" t="s">
        <v>296</v>
      </c>
      <c r="N690" s="18" t="n">
        <v>29.97</v>
      </c>
      <c r="O690" s="16" t="s">
        <v>1534</v>
      </c>
      <c r="P690" s="16" t="s">
        <v>1535</v>
      </c>
      <c r="Q690" s="17" t="s">
        <v>1536</v>
      </c>
      <c r="R690" s="78" t="s">
        <v>1557</v>
      </c>
      <c r="S690" s="77" t="n">
        <f aca="false">IFERROR(INDEX('Injectable Value'!$Z$28:$Z$178,MATCH($C690,'Injectable Value'!$A$28:$A$178,0)),"")</f>
        <v>1</v>
      </c>
      <c r="T690" s="19" t="n">
        <f aca="false">IFERROR(ROUND(INDEX('Injectable Value'!$AA$28:$AA$178,MATCH($C690,'Injectable Value'!$A$28:$A$178,0)),1),"")</f>
        <v>11366.1</v>
      </c>
      <c r="U690" s="17" t="s">
        <v>284</v>
      </c>
      <c r="V690" s="16" t="n">
        <v>1</v>
      </c>
      <c r="W690" s="16" t="s">
        <v>284</v>
      </c>
      <c r="X690" s="16" t="s">
        <v>291</v>
      </c>
      <c r="Y690" s="16" t="s">
        <v>283</v>
      </c>
      <c r="Z690" s="17" t="str">
        <f aca="false">IFERROR(INDEX(Scoring!$U:$U,MATCH($C690&amp;"|"&amp;$E690,Scoring!$AD:$AD,0)),"")</f>
        <v>Prefilled only</v>
      </c>
      <c r="AA690" s="16" t="str">
        <f aca="false">IFERROR(INDEX(Scoring!$E:$E,MATCH($C690&amp;"|"&amp;$E690,Scoring!$AD:$AD,0)),"")</f>
        <v>Priority 1</v>
      </c>
      <c r="AB690" s="19" t="n">
        <f aca="false">IFERROR(INDEX(Scoring!$M:$M,MATCH($C690&amp;"|"&amp;$E690,Scoring!$AD:$AD,0)),"")</f>
        <v>146</v>
      </c>
      <c r="AC690" s="16" t="str">
        <f aca="false">IFERROR(INDEX('Route of Administration'!$C$5:$C$155,MATCH($C690,'Route of Administration'!$A$5:$A$155,0)),"")</f>
        <v>IM</v>
      </c>
      <c r="AD690" s="15" t="str">
        <f aca="false">IFERROR(INDEX('Route of Administration'!$D$5:$D$155,MATCH($C690,'Route of Administration'!$A$5:$A$155,0)),"")</f>
        <v>Yes</v>
      </c>
      <c r="AE690" s="15" t="str">
        <f aca="false">IF($AD690="No","Not checked – drug is IV only",IFERROR(INDEX('Route of Administration'!$O$5:$O$170,MATCH($E690&amp;"|"&amp;$C690,'Route of Administration'!$S$5:$S$170,0)),"Not checked – price ≤ USD 5"))</f>
        <v>Pass</v>
      </c>
    </row>
    <row r="691" customFormat="false" ht="28.35" hidden="false" customHeight="false" outlineLevel="0" collapsed="false">
      <c r="B691" s="16" t="n">
        <v>689</v>
      </c>
      <c r="C691" s="16" t="s">
        <v>665</v>
      </c>
      <c r="D691" s="16" t="s">
        <v>1504</v>
      </c>
      <c r="E691" s="16" t="s">
        <v>1475</v>
      </c>
      <c r="F691" s="16" t="s">
        <v>1942</v>
      </c>
      <c r="G691" s="17" t="s">
        <v>2506</v>
      </c>
      <c r="H691" s="16" t="s">
        <v>1533</v>
      </c>
      <c r="I691" s="18" t="n">
        <v>21.78</v>
      </c>
      <c r="J691" s="16" t="n">
        <v>1</v>
      </c>
      <c r="K691" s="16" t="n">
        <v>346</v>
      </c>
      <c r="L691" s="19" t="n">
        <v>32830.17</v>
      </c>
      <c r="M691" s="17" t="s">
        <v>667</v>
      </c>
      <c r="N691" s="18" t="n">
        <v>21.78</v>
      </c>
      <c r="O691" s="16" t="s">
        <v>1534</v>
      </c>
      <c r="P691" s="16" t="s">
        <v>1535</v>
      </c>
      <c r="Q691" s="17" t="s">
        <v>1536</v>
      </c>
      <c r="R691" s="78" t="s">
        <v>1944</v>
      </c>
      <c r="S691" s="77" t="n">
        <f aca="false">IFERROR(INDEX('Injectable Value'!$Z$28:$Z$178,MATCH($C691,'Injectable Value'!$A$28:$A$178,0)),"")</f>
        <v>1</v>
      </c>
      <c r="T691" s="19" t="n">
        <f aca="false">IFERROR(ROUND(INDEX('Injectable Value'!$AA$28:$AA$178,MATCH($C691,'Injectable Value'!$A$28:$A$178,0)),1),"")</f>
        <v>32830.2</v>
      </c>
      <c r="U691" s="17" t="s">
        <v>284</v>
      </c>
      <c r="V691" s="16" t="n">
        <v>1</v>
      </c>
      <c r="W691" s="16" t="s">
        <v>284</v>
      </c>
      <c r="X691" s="16" t="s">
        <v>281</v>
      </c>
      <c r="Y691" s="16" t="s">
        <v>283</v>
      </c>
      <c r="Z691" s="17" t="str">
        <f aca="false">IFERROR(INDEX(Scoring!$U:$U,MATCH($C691&amp;"|"&amp;$E691,Scoring!$AD:$AD,0)),"")</f>
        <v/>
      </c>
      <c r="AA691" s="16" t="str">
        <f aca="false">IFERROR(INDEX(Scoring!$E:$E,MATCH($C691&amp;"|"&amp;$E691,Scoring!$AD:$AD,0)),"")</f>
        <v>Excluded – IV only</v>
      </c>
      <c r="AB691" s="19" t="n">
        <f aca="false">IFERROR(INDEX(Scoring!$M:$M,MATCH($C691&amp;"|"&amp;$E691,Scoring!$AD:$AD,0)),"")</f>
        <v>346</v>
      </c>
      <c r="AC691" s="16" t="str">
        <f aca="false">IFERROR(INDEX('Route of Administration'!$C$5:$C$155,MATCH($C691,'Route of Administration'!$A$5:$A$155,0)),"")</f>
        <v>IV</v>
      </c>
      <c r="AD691" s="15" t="str">
        <f aca="false">IFERROR(INDEX('Route of Administration'!$D$5:$D$155,MATCH($C691,'Route of Administration'!$A$5:$A$155,0)),"")</f>
        <v>No</v>
      </c>
      <c r="AE691" s="15" t="str">
        <f aca="false">IF($AD691="No","Not checked – drug is IV only",IFERROR(INDEX('Route of Administration'!$O$5:$O$170,MATCH($E691&amp;"|"&amp;$C691,'Route of Administration'!$S$5:$S$170,0)),"Not checked – price ≤ USD 5"))</f>
        <v>Not checked – drug is IV only</v>
      </c>
    </row>
    <row r="692" customFormat="false" ht="28.35" hidden="false" customHeight="false" outlineLevel="0" collapsed="false">
      <c r="B692" s="16" t="n">
        <v>690</v>
      </c>
      <c r="C692" s="16" t="s">
        <v>665</v>
      </c>
      <c r="D692" s="16" t="s">
        <v>1504</v>
      </c>
      <c r="E692" s="16" t="s">
        <v>1475</v>
      </c>
      <c r="F692" s="16" t="s">
        <v>1945</v>
      </c>
      <c r="G692" s="17" t="s">
        <v>2434</v>
      </c>
      <c r="H692" s="16" t="s">
        <v>1533</v>
      </c>
      <c r="I692" s="18" t="n">
        <v>48.28</v>
      </c>
      <c r="J692" s="16" t="n">
        <v>1</v>
      </c>
      <c r="K692" s="16" t="n">
        <v>346</v>
      </c>
      <c r="L692" s="19" t="n">
        <v>32830.17</v>
      </c>
      <c r="M692" s="17" t="s">
        <v>667</v>
      </c>
      <c r="N692" s="18" t="n">
        <v>48.28</v>
      </c>
      <c r="O692" s="16" t="s">
        <v>1534</v>
      </c>
      <c r="P692" s="16" t="s">
        <v>1535</v>
      </c>
      <c r="Q692" s="17" t="s">
        <v>1536</v>
      </c>
      <c r="R692" s="78" t="s">
        <v>1944</v>
      </c>
      <c r="S692" s="77" t="n">
        <f aca="false">IFERROR(INDEX('Injectable Value'!$Z$28:$Z$178,MATCH($C692,'Injectable Value'!$A$28:$A$178,0)),"")</f>
        <v>1</v>
      </c>
      <c r="T692" s="19" t="n">
        <f aca="false">IFERROR(ROUND(INDEX('Injectable Value'!$AA$28:$AA$178,MATCH($C692,'Injectable Value'!$A$28:$A$178,0)),1),"")</f>
        <v>32830.2</v>
      </c>
      <c r="U692" s="17" t="s">
        <v>284</v>
      </c>
      <c r="V692" s="16" t="n">
        <v>1</v>
      </c>
      <c r="W692" s="16" t="s">
        <v>284</v>
      </c>
      <c r="X692" s="16" t="s">
        <v>281</v>
      </c>
      <c r="Y692" s="16" t="s">
        <v>283</v>
      </c>
      <c r="Z692" s="17" t="str">
        <f aca="false">IFERROR(INDEX(Scoring!$U:$U,MATCH($C692&amp;"|"&amp;$E692,Scoring!$AD:$AD,0)),"")</f>
        <v/>
      </c>
      <c r="AA692" s="16" t="str">
        <f aca="false">IFERROR(INDEX(Scoring!$E:$E,MATCH($C692&amp;"|"&amp;$E692,Scoring!$AD:$AD,0)),"")</f>
        <v>Excluded – IV only</v>
      </c>
      <c r="AB692" s="19" t="n">
        <f aca="false">IFERROR(INDEX(Scoring!$M:$M,MATCH($C692&amp;"|"&amp;$E692,Scoring!$AD:$AD,0)),"")</f>
        <v>346</v>
      </c>
      <c r="AC692" s="16" t="str">
        <f aca="false">IFERROR(INDEX('Route of Administration'!$C$5:$C$155,MATCH($C692,'Route of Administration'!$A$5:$A$155,0)),"")</f>
        <v>IV</v>
      </c>
      <c r="AD692" s="15" t="str">
        <f aca="false">IFERROR(INDEX('Route of Administration'!$D$5:$D$155,MATCH($C692,'Route of Administration'!$A$5:$A$155,0)),"")</f>
        <v>No</v>
      </c>
      <c r="AE692" s="15" t="str">
        <f aca="false">IF($AD692="No","Not checked – drug is IV only",IFERROR(INDEX('Route of Administration'!$O$5:$O$170,MATCH($E692&amp;"|"&amp;$C692,'Route of Administration'!$S$5:$S$170,0)),"Not checked – price ≤ USD 5"))</f>
        <v>Not checked – drug is IV only</v>
      </c>
    </row>
    <row r="693" customFormat="false" ht="28.35" hidden="false" customHeight="false" outlineLevel="0" collapsed="false">
      <c r="B693" s="16" t="n">
        <v>691</v>
      </c>
      <c r="C693" s="16" t="s">
        <v>338</v>
      </c>
      <c r="D693" s="16" t="s">
        <v>338</v>
      </c>
      <c r="E693" s="16" t="s">
        <v>1475</v>
      </c>
      <c r="F693" s="16" t="s">
        <v>1680</v>
      </c>
      <c r="G693" s="17" t="s">
        <v>1693</v>
      </c>
      <c r="H693" s="16" t="s">
        <v>1533</v>
      </c>
      <c r="I693" s="18" t="n">
        <v>856.68</v>
      </c>
      <c r="J693" s="16" t="n">
        <v>1</v>
      </c>
      <c r="K693" s="16" t="n">
        <v>905</v>
      </c>
      <c r="L693" s="19" t="n">
        <v>28093.38</v>
      </c>
      <c r="M693" s="17" t="s">
        <v>340</v>
      </c>
      <c r="N693" s="18" t="n">
        <v>856.68</v>
      </c>
      <c r="O693" s="16" t="s">
        <v>1534</v>
      </c>
      <c r="P693" s="16" t="s">
        <v>1535</v>
      </c>
      <c r="Q693" s="17" t="s">
        <v>1536</v>
      </c>
      <c r="R693" s="78" t="s">
        <v>1682</v>
      </c>
      <c r="S693" s="77" t="n">
        <f aca="false">IFERROR(INDEX('Injectable Value'!$Z$28:$Z$178,MATCH($C693,'Injectable Value'!$A$28:$A$178,0)),"")</f>
        <v>1</v>
      </c>
      <c r="T693" s="19" t="n">
        <f aca="false">IFERROR(ROUND(INDEX('Injectable Value'!$AA$28:$AA$178,MATCH($C693,'Injectable Value'!$A$28:$A$178,0)),1),"")</f>
        <v>28093.4</v>
      </c>
      <c r="U693" s="17" t="s">
        <v>1478</v>
      </c>
      <c r="V693" s="16" t="n">
        <v>6</v>
      </c>
      <c r="W693" s="16" t="s">
        <v>1477</v>
      </c>
      <c r="X693" s="16" t="s">
        <v>281</v>
      </c>
      <c r="Y693" s="16" t="s">
        <v>310</v>
      </c>
      <c r="Z693" s="17" t="str">
        <f aca="false">IFERROR(INDEX(Scoring!$U:$U,MATCH($C693&amp;"|"&amp;$E693,Scoring!$AD:$AD,0)),"")</f>
        <v>Cancer drug (cytotoxic) – less relevant; Reconstitution</v>
      </c>
      <c r="AA693" s="16" t="str">
        <f aca="false">IFERROR(INDEX(Scoring!$E:$E,MATCH($C693&amp;"|"&amp;$E693,Scoring!$AD:$AD,0)),"")</f>
        <v>Priority 1</v>
      </c>
      <c r="AB693" s="19" t="n">
        <f aca="false">IFERROR(INDEX(Scoring!$M:$M,MATCH($C693&amp;"|"&amp;$E693,Scoring!$AD:$AD,0)),"")</f>
        <v>905</v>
      </c>
      <c r="AC693" s="16" t="str">
        <f aca="false">IFERROR(INDEX('Route of Administration'!$C$5:$C$155,MATCH($C693,'Route of Administration'!$A$5:$A$155,0)),"")</f>
        <v>IV, SC</v>
      </c>
      <c r="AD693" s="15" t="str">
        <f aca="false">IFERROR(INDEX('Route of Administration'!$D$5:$D$155,MATCH($C693,'Route of Administration'!$A$5:$A$155,0)),"")</f>
        <v>Yes</v>
      </c>
      <c r="AE693" s="15" t="str">
        <f aca="false">IF($AD693="No","Not checked – drug is IV only",IFERROR(INDEX('Route of Administration'!$O$5:$O$170,MATCH($E693&amp;"|"&amp;$C693,'Route of Administration'!$S$5:$S$170,0)),"Not checked – price ≤ USD 5"))</f>
        <v>Pass</v>
      </c>
    </row>
    <row r="694" customFormat="false" ht="28.35" hidden="false" customHeight="false" outlineLevel="0" collapsed="false">
      <c r="B694" s="16" t="n">
        <v>692</v>
      </c>
      <c r="C694" s="16" t="s">
        <v>338</v>
      </c>
      <c r="D694" s="16" t="s">
        <v>2736</v>
      </c>
      <c r="E694" s="16" t="s">
        <v>1475</v>
      </c>
      <c r="F694" s="16" t="s">
        <v>1703</v>
      </c>
      <c r="G694" s="17" t="s">
        <v>1681</v>
      </c>
      <c r="H694" s="16" t="s">
        <v>1533</v>
      </c>
      <c r="I694" s="18" t="n">
        <v>1444.1174</v>
      </c>
      <c r="J694" s="16" t="n">
        <v>29</v>
      </c>
      <c r="K694" s="16" t="n">
        <v>905</v>
      </c>
      <c r="L694" s="19" t="n">
        <v>28093.38</v>
      </c>
      <c r="M694" s="17" t="s">
        <v>340</v>
      </c>
      <c r="N694" s="18" t="n">
        <v>1444.1174</v>
      </c>
      <c r="O694" s="16" t="s">
        <v>1534</v>
      </c>
      <c r="P694" s="16" t="s">
        <v>1561</v>
      </c>
      <c r="Q694" s="17" t="s">
        <v>1536</v>
      </c>
      <c r="R694" s="78" t="s">
        <v>1701</v>
      </c>
      <c r="S694" s="77" t="n">
        <f aca="false">IFERROR(INDEX('Injectable Value'!$Z$28:$Z$178,MATCH($C694,'Injectable Value'!$A$28:$A$178,0)),"")</f>
        <v>1</v>
      </c>
      <c r="T694" s="19" t="n">
        <f aca="false">IFERROR(ROUND(INDEX('Injectable Value'!$AA$28:$AA$178,MATCH($C694,'Injectable Value'!$A$28:$A$178,0)),1),"")</f>
        <v>28093.4</v>
      </c>
      <c r="U694" s="17" t="s">
        <v>1478</v>
      </c>
      <c r="V694" s="16" t="n">
        <v>6</v>
      </c>
      <c r="W694" s="16" t="s">
        <v>1477</v>
      </c>
      <c r="X694" s="16" t="s">
        <v>281</v>
      </c>
      <c r="Y694" s="16" t="s">
        <v>333</v>
      </c>
      <c r="Z694" s="17" t="str">
        <f aca="false">IFERROR(INDEX(Scoring!$U:$U,MATCH($C694&amp;"|"&amp;$E694,Scoring!$AD:$AD,0)),"")</f>
        <v>Cancer drug (cytotoxic) – less relevant; Reconstitution</v>
      </c>
      <c r="AA694" s="16" t="str">
        <f aca="false">IFERROR(INDEX(Scoring!$E:$E,MATCH($C694&amp;"|"&amp;$E694,Scoring!$AD:$AD,0)),"")</f>
        <v>Priority 1</v>
      </c>
      <c r="AB694" s="19" t="n">
        <f aca="false">IFERROR(INDEX(Scoring!$M:$M,MATCH($C694&amp;"|"&amp;$E694,Scoring!$AD:$AD,0)),"")</f>
        <v>905</v>
      </c>
      <c r="AC694" s="16" t="str">
        <f aca="false">IFERROR(INDEX('Route of Administration'!$C$5:$C$155,MATCH($C694,'Route of Administration'!$A$5:$A$155,0)),"")</f>
        <v>IV, SC</v>
      </c>
      <c r="AD694" s="15" t="str">
        <f aca="false">IFERROR(INDEX('Route of Administration'!$D$5:$D$155,MATCH($C694,'Route of Administration'!$A$5:$A$155,0)),"")</f>
        <v>Yes</v>
      </c>
      <c r="AE694" s="15" t="str">
        <f aca="false">IF($AD694="No","Not checked – drug is IV only",IFERROR(INDEX('Route of Administration'!$O$5:$O$170,MATCH($E694&amp;"|"&amp;$C694,'Route of Administration'!$S$5:$S$170,0)),"Not checked – price ≤ USD 5"))</f>
        <v>Pass</v>
      </c>
    </row>
    <row r="695" customFormat="false" ht="28.35" hidden="false" customHeight="false" outlineLevel="0" collapsed="false">
      <c r="B695" s="16" t="n">
        <v>693</v>
      </c>
      <c r="C695" s="16" t="s">
        <v>76</v>
      </c>
      <c r="D695" s="16" t="s">
        <v>1479</v>
      </c>
      <c r="E695" s="16" t="s">
        <v>1475</v>
      </c>
      <c r="F695" s="16" t="s">
        <v>1707</v>
      </c>
      <c r="G695" s="17" t="s">
        <v>1711</v>
      </c>
      <c r="H695" s="16" t="s">
        <v>1533</v>
      </c>
      <c r="I695" s="18" t="n">
        <v>7.8196</v>
      </c>
      <c r="J695" s="16" t="n">
        <v>30</v>
      </c>
      <c r="K695" s="16" t="n">
        <v>3110</v>
      </c>
      <c r="L695" s="19" t="n">
        <v>93119.22</v>
      </c>
      <c r="M695" s="17" t="s">
        <v>370</v>
      </c>
      <c r="N695" s="18" t="n">
        <v>7.8196</v>
      </c>
      <c r="O695" s="16" t="s">
        <v>1534</v>
      </c>
      <c r="P695" s="16" t="s">
        <v>1700</v>
      </c>
      <c r="Q695" s="17" t="s">
        <v>1536</v>
      </c>
      <c r="R695" s="78" t="s">
        <v>2737</v>
      </c>
      <c r="S695" s="77" t="n">
        <f aca="false">IFERROR(INDEX('Injectable Value'!$Z$28:$Z$178,MATCH($C695,'Injectable Value'!$A$28:$A$178,0)),"")</f>
        <v>1</v>
      </c>
      <c r="T695" s="19" t="n">
        <f aca="false">IFERROR(ROUND(INDEX('Injectable Value'!$AA$28:$AA$178,MATCH($C695,'Injectable Value'!$A$28:$A$178,0)),1),"")</f>
        <v>93119.2</v>
      </c>
      <c r="U695" s="17" t="s">
        <v>367</v>
      </c>
      <c r="V695" s="16" t="n">
        <v>1</v>
      </c>
      <c r="W695" s="16" t="s">
        <v>366</v>
      </c>
      <c r="X695" s="16" t="s">
        <v>281</v>
      </c>
      <c r="Y695" s="16" t="s">
        <v>283</v>
      </c>
      <c r="Z695" s="17" t="str">
        <f aca="false">IFERROR(INDEX(Scoring!$U:$U,MATCH($C695&amp;"|"&amp;$E695,Scoring!$AD:$AD,0)),"")</f>
        <v>Reconstitution</v>
      </c>
      <c r="AA695" s="16" t="str">
        <f aca="false">IFERROR(INDEX(Scoring!$E:$E,MATCH($C695&amp;"|"&amp;$E695,Scoring!$AD:$AD,0)),"")</f>
        <v>Priority 2</v>
      </c>
      <c r="AB695" s="19" t="n">
        <f aca="false">IFERROR(INDEX(Scoring!$M:$M,MATCH($C695&amp;"|"&amp;$E695,Scoring!$AD:$AD,0)),"")</f>
        <v>3110</v>
      </c>
      <c r="AC695" s="16" t="str">
        <f aca="false">IFERROR(INDEX('Route of Administration'!$C$5:$C$155,MATCH($C695,'Route of Administration'!$A$5:$A$155,0)),"")</f>
        <v>IV, IM</v>
      </c>
      <c r="AD695" s="15" t="str">
        <f aca="false">IFERROR(INDEX('Route of Administration'!$D$5:$D$155,MATCH($C695,'Route of Administration'!$A$5:$A$155,0)),"")</f>
        <v>Yes</v>
      </c>
      <c r="AE695" s="15" t="str">
        <f aca="false">IF($AD695="No","Not checked – drug is IV only",IFERROR(INDEX('Route of Administration'!$O$5:$O$170,MATCH($E695&amp;"|"&amp;$C695,'Route of Administration'!$S$5:$S$170,0)),"Not checked – price ≤ USD 5"))</f>
        <v>Pass</v>
      </c>
    </row>
    <row r="696" customFormat="false" ht="28.35" hidden="false" customHeight="false" outlineLevel="0" collapsed="false">
      <c r="B696" s="16" t="n">
        <v>694</v>
      </c>
      <c r="C696" s="16" t="s">
        <v>338</v>
      </c>
      <c r="D696" s="16" t="s">
        <v>2738</v>
      </c>
      <c r="E696" s="16" t="s">
        <v>1475</v>
      </c>
      <c r="F696" s="16" t="s">
        <v>1889</v>
      </c>
      <c r="G696" s="17" t="s">
        <v>2005</v>
      </c>
      <c r="H696" s="16" t="s">
        <v>1533</v>
      </c>
      <c r="I696" s="18" t="n">
        <v>152.64</v>
      </c>
      <c r="J696" s="16" t="n">
        <v>1</v>
      </c>
      <c r="K696" s="16" t="n">
        <v>905</v>
      </c>
      <c r="L696" s="19" t="n">
        <v>28093.38</v>
      </c>
      <c r="M696" s="17" t="s">
        <v>340</v>
      </c>
      <c r="N696" s="18" t="n">
        <v>152.64</v>
      </c>
      <c r="O696" s="16" t="s">
        <v>1534</v>
      </c>
      <c r="P696" s="16" t="s">
        <v>1700</v>
      </c>
      <c r="Q696" s="17" t="s">
        <v>1536</v>
      </c>
      <c r="R696" s="78" t="s">
        <v>1814</v>
      </c>
      <c r="S696" s="77" t="n">
        <f aca="false">IFERROR(INDEX('Injectable Value'!$Z$28:$Z$178,MATCH($C696,'Injectable Value'!$A$28:$A$178,0)),"")</f>
        <v>1</v>
      </c>
      <c r="T696" s="19" t="n">
        <f aca="false">IFERROR(ROUND(INDEX('Injectable Value'!$AA$28:$AA$178,MATCH($C696,'Injectable Value'!$A$28:$A$178,0)),1),"")</f>
        <v>28093.4</v>
      </c>
      <c r="U696" s="17" t="s">
        <v>1478</v>
      </c>
      <c r="V696" s="16" t="n">
        <v>6</v>
      </c>
      <c r="W696" s="16" t="s">
        <v>1477</v>
      </c>
      <c r="X696" s="16" t="s">
        <v>281</v>
      </c>
      <c r="Y696" s="16" t="s">
        <v>283</v>
      </c>
      <c r="Z696" s="17" t="str">
        <f aca="false">IFERROR(INDEX(Scoring!$U:$U,MATCH($C696&amp;"|"&amp;$E696,Scoring!$AD:$AD,0)),"")</f>
        <v>Cancer drug (cytotoxic) – less relevant; Reconstitution</v>
      </c>
      <c r="AA696" s="16" t="str">
        <f aca="false">IFERROR(INDEX(Scoring!$E:$E,MATCH($C696&amp;"|"&amp;$E696,Scoring!$AD:$AD,0)),"")</f>
        <v>Priority 1</v>
      </c>
      <c r="AB696" s="19" t="n">
        <f aca="false">IFERROR(INDEX(Scoring!$M:$M,MATCH($C696&amp;"|"&amp;$E696,Scoring!$AD:$AD,0)),"")</f>
        <v>905</v>
      </c>
      <c r="AC696" s="16" t="str">
        <f aca="false">IFERROR(INDEX('Route of Administration'!$C$5:$C$155,MATCH($C696,'Route of Administration'!$A$5:$A$155,0)),"")</f>
        <v>IV, SC</v>
      </c>
      <c r="AD696" s="15" t="str">
        <f aca="false">IFERROR(INDEX('Route of Administration'!$D$5:$D$155,MATCH($C696,'Route of Administration'!$A$5:$A$155,0)),"")</f>
        <v>Yes</v>
      </c>
      <c r="AE696" s="15" t="str">
        <f aca="false">IF($AD696="No","Not checked – drug is IV only",IFERROR(INDEX('Route of Administration'!$O$5:$O$170,MATCH($E696&amp;"|"&amp;$C696,'Route of Administration'!$S$5:$S$170,0)),"Not checked – price ≤ USD 5"))</f>
        <v>Pass</v>
      </c>
    </row>
    <row r="697" customFormat="false" ht="28.35" hidden="false" customHeight="false" outlineLevel="0" collapsed="false">
      <c r="B697" s="16" t="n">
        <v>695</v>
      </c>
      <c r="C697" s="16" t="s">
        <v>518</v>
      </c>
      <c r="D697" s="16" t="s">
        <v>1502</v>
      </c>
      <c r="E697" s="16" t="s">
        <v>1475</v>
      </c>
      <c r="F697" s="16" t="s">
        <v>2739</v>
      </c>
      <c r="G697" s="17" t="s">
        <v>2740</v>
      </c>
      <c r="H697" s="16" t="s">
        <v>1533</v>
      </c>
      <c r="I697" s="18" t="n">
        <v>6.29</v>
      </c>
      <c r="J697" s="16" t="n">
        <v>1</v>
      </c>
      <c r="K697" s="16" t="n">
        <v>2546</v>
      </c>
      <c r="L697" s="19" t="n">
        <v>46507.62</v>
      </c>
      <c r="M697" s="17" t="s">
        <v>520</v>
      </c>
      <c r="N697" s="18" t="n">
        <v>6.29</v>
      </c>
      <c r="O697" s="16" t="s">
        <v>1534</v>
      </c>
      <c r="P697" s="16" t="s">
        <v>1700</v>
      </c>
      <c r="Q697" s="17" t="s">
        <v>1536</v>
      </c>
      <c r="R697" s="78" t="s">
        <v>1814</v>
      </c>
      <c r="S697" s="77" t="n">
        <f aca="false">IFERROR(INDEX('Injectable Value'!$Z$28:$Z$178,MATCH($C697,'Injectable Value'!$A$28:$A$178,0)),"")</f>
        <v>0.378228374732698</v>
      </c>
      <c r="T697" s="19" t="n">
        <f aca="false">IFERROR(ROUND(INDEX('Injectable Value'!$AA$28:$AA$178,MATCH($C697,'Injectable Value'!$A$28:$A$178,0)),1),"")</f>
        <v>17590.5</v>
      </c>
      <c r="U697" s="17" t="s">
        <v>360</v>
      </c>
      <c r="V697" s="16" t="n">
        <v>1</v>
      </c>
      <c r="W697" s="16" t="s">
        <v>112</v>
      </c>
      <c r="X697" s="16" t="s">
        <v>281</v>
      </c>
      <c r="Y697" s="16" t="s">
        <v>310</v>
      </c>
      <c r="Z697" s="17" t="str">
        <f aca="false">IFERROR(INDEX(Scoring!$U:$U,MATCH($C697&amp;"|"&amp;$E697,Scoring!$AD:$AD,0)),"")</f>
        <v/>
      </c>
      <c r="AA697" s="16" t="str">
        <f aca="false">IFERROR(INDEX(Scoring!$E:$E,MATCH($C697&amp;"|"&amp;$E697,Scoring!$AD:$AD,0)),"")</f>
        <v>Priority 2</v>
      </c>
      <c r="AB697" s="19" t="n">
        <f aca="false">IFERROR(INDEX(Scoring!$M:$M,MATCH($C697&amp;"|"&amp;$E697,Scoring!$AD:$AD,0)),"")</f>
        <v>963</v>
      </c>
      <c r="AC697" s="16" t="str">
        <f aca="false">IFERROR(INDEX('Route of Administration'!$C$5:$C$155,MATCH($C697,'Route of Administration'!$A$5:$A$155,0)),"")</f>
        <v>IV, IM</v>
      </c>
      <c r="AD697" s="15" t="str">
        <f aca="false">IFERROR(INDEX('Route of Administration'!$D$5:$D$155,MATCH($C697,'Route of Administration'!$A$5:$A$155,0)),"")</f>
        <v>Yes</v>
      </c>
      <c r="AE697" s="15" t="str">
        <f aca="false">IF($AD697="No","Not checked – drug is IV only",IFERROR(INDEX('Route of Administration'!$O$5:$O$170,MATCH($E697&amp;"|"&amp;$C697,'Route of Administration'!$S$5:$S$170,0)),"Not checked – price ≤ USD 5"))</f>
        <v>To confirm</v>
      </c>
    </row>
    <row r="698" customFormat="false" ht="28.35" hidden="false" customHeight="false" outlineLevel="0" collapsed="false">
      <c r="B698" s="16" t="n">
        <v>696</v>
      </c>
      <c r="C698" s="16" t="s">
        <v>1499</v>
      </c>
      <c r="D698" s="16" t="s">
        <v>1500</v>
      </c>
      <c r="E698" s="16" t="s">
        <v>1475</v>
      </c>
      <c r="F698" s="16" t="s">
        <v>2741</v>
      </c>
      <c r="G698" s="17" t="s">
        <v>2479</v>
      </c>
      <c r="H698" s="16" t="s">
        <v>1533</v>
      </c>
      <c r="I698" s="18" t="n">
        <v>7.58</v>
      </c>
      <c r="J698" s="16" t="n">
        <v>1</v>
      </c>
      <c r="K698" s="16" t="n">
        <v>565</v>
      </c>
      <c r="L698" s="19" t="n">
        <v>12587.3</v>
      </c>
      <c r="M698" s="17" t="s">
        <v>1501</v>
      </c>
      <c r="N698" s="18" t="n">
        <v>7.58</v>
      </c>
      <c r="O698" s="16" t="s">
        <v>1534</v>
      </c>
      <c r="P698" s="16" t="s">
        <v>1700</v>
      </c>
      <c r="Q698" s="17" t="s">
        <v>1536</v>
      </c>
      <c r="R698" s="78" t="s">
        <v>1814</v>
      </c>
      <c r="S698" s="77" t="n">
        <f aca="false">IFERROR(INDEX('Injectable Value'!$Z$28:$Z$178,MATCH($C698,'Injectable Value'!$A$28:$A$178,0)),"")</f>
        <v>0.95</v>
      </c>
      <c r="T698" s="19" t="n">
        <f aca="false">IFERROR(ROUND(INDEX('Injectable Value'!$AA$28:$AA$178,MATCH($C698,'Injectable Value'!$A$28:$A$178,0)),1),"")</f>
        <v>11957.9</v>
      </c>
      <c r="U698" s="17" t="s">
        <v>360</v>
      </c>
      <c r="V698" s="16" t="n">
        <v>1</v>
      </c>
      <c r="W698" s="16" t="s">
        <v>112</v>
      </c>
      <c r="X698" s="16" t="s">
        <v>281</v>
      </c>
      <c r="Y698" s="16" t="s">
        <v>283</v>
      </c>
      <c r="Z698" s="17" t="str">
        <f aca="false">IFERROR(INDEX(Scoring!$U:$U,MATCH($C698&amp;"|"&amp;$E698,Scoring!$AD:$AD,0)),"")</f>
        <v/>
      </c>
      <c r="AA698" s="16" t="str">
        <f aca="false">IFERROR(INDEX(Scoring!$E:$E,MATCH($C698&amp;"|"&amp;$E698,Scoring!$AD:$AD,0)),"")</f>
        <v>Excluded – IV only</v>
      </c>
      <c r="AB698" s="19" t="n">
        <f aca="false">IFERROR(INDEX(Scoring!$M:$M,MATCH($C698&amp;"|"&amp;$E698,Scoring!$AD:$AD,0)),"")</f>
        <v>537</v>
      </c>
      <c r="AC698" s="16" t="str">
        <f aca="false">IFERROR(INDEX('Route of Administration'!$C$5:$C$155,MATCH($C698,'Route of Administration'!$A$5:$A$155,0)),"")</f>
        <v>IV</v>
      </c>
      <c r="AD698" s="15" t="str">
        <f aca="false">IFERROR(INDEX('Route of Administration'!$D$5:$D$155,MATCH($C698,'Route of Administration'!$A$5:$A$155,0)),"")</f>
        <v>No</v>
      </c>
      <c r="AE698" s="15" t="str">
        <f aca="false">IF($AD698="No","Not checked – drug is IV only",IFERROR(INDEX('Route of Administration'!$O$5:$O$170,MATCH($E698&amp;"|"&amp;$C698,'Route of Administration'!$S$5:$S$170,0)),"Not checked – price ≤ USD 5"))</f>
        <v>Not checked – drug is IV only</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apomio.de/preisvergleich/folinsaeure-aurobindo-10mg-ml-injektionsloesung-100-ml-actavis"/>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poneo.de/rx/16821360-fulvestrant-cipla-250-mg-5-ml-inj-lsg-i-e-f-sp.html"/>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vademecum.es/espana/medicamento/50229/azacitidina-glenmark-25-mg-ml-polvo-para-suspension-inyectable-efg"/>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poneo.de/rx/16796219-fulvestrant-heumann-250-mg-5ml-inj-lsg-i-e-f-sp.html"/>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S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 collapsed="false" customWidth="true" hidden="false" outlineLevel="0" max="9" min="9" style="0" width="60"/>
    <col collapsed="false" customWidth="true" hidden="false" outlineLevel="0" max="10" min="10" style="0" width="3"/>
    <col collapsed="false" customWidth="true" hidden="false" outlineLevel="0" max="11" min="11" style="0" width="16"/>
    <col collapsed="false" customWidth="true" hidden="false" outlineLevel="0" max="12" min="12" style="0" width="24"/>
    <col collapsed="false" customWidth="true" hidden="false" outlineLevel="0" max="13" min="13" style="0" width="38"/>
    <col collapsed="false" customWidth="true" hidden="false" outlineLevel="0" max="14" min="14" style="0" width="60"/>
    <col collapsed="false" customWidth="true" hidden="false" outlineLevel="0" max="15" min="15" style="0" width="16"/>
    <col collapsed="false" customWidth="true" hidden="false" outlineLevel="0" max="16" min="16" style="0" width="24"/>
    <col collapsed="false" customWidth="true" hidden="false" outlineLevel="0" max="17" min="17" style="0" width="40"/>
    <col collapsed="false" customWidth="true" hidden="false" outlineLevel="0" max="18" min="18" style="0" width="20"/>
    <col collapsed="false" customWidth="true" hidden="true" outlineLevel="0" max="19" min="19" style="0" width="10"/>
  </cols>
  <sheetData>
    <row r="1" customFormat="false" ht="18.55" hidden="false" customHeight="false" outlineLevel="0" collapsed="false">
      <c r="A1" s="84" t="s">
        <v>2742</v>
      </c>
    </row>
    <row r="2" customFormat="false" ht="15" hidden="false" customHeight="false" outlineLevel="0" collapsed="false">
      <c r="A2" s="63" t="s">
        <v>2743</v>
      </c>
    </row>
    <row r="3" customFormat="false" ht="33.75" hidden="false" customHeight="true" outlineLevel="0" collapsed="false">
      <c r="A3" s="85" t="s">
        <v>2744</v>
      </c>
      <c r="B3" s="85"/>
      <c r="C3" s="85"/>
      <c r="D3" s="85"/>
      <c r="E3" s="85"/>
      <c r="F3" s="85"/>
      <c r="G3" s="85"/>
      <c r="H3" s="85"/>
      <c r="I3" s="85"/>
      <c r="K3" s="86" t="s">
        <v>2745</v>
      </c>
      <c r="L3" s="86"/>
      <c r="M3" s="86"/>
      <c r="N3" s="86"/>
      <c r="O3" s="86"/>
      <c r="P3" s="86"/>
      <c r="Q3" s="86"/>
      <c r="R3" s="86"/>
    </row>
    <row r="4" customFormat="false" ht="45" hidden="false" customHeight="true" outlineLevel="0" collapsed="false">
      <c r="A4" s="87" t="s">
        <v>8</v>
      </c>
      <c r="B4" s="87" t="s">
        <v>2746</v>
      </c>
      <c r="C4" s="87" t="s">
        <v>259</v>
      </c>
      <c r="D4" s="87" t="s">
        <v>2747</v>
      </c>
      <c r="E4" s="87" t="s">
        <v>2748</v>
      </c>
      <c r="F4" s="87" t="s">
        <v>2749</v>
      </c>
      <c r="G4" s="87" t="s">
        <v>2750</v>
      </c>
      <c r="H4" s="87" t="s">
        <v>2751</v>
      </c>
      <c r="I4" s="87" t="s">
        <v>2752</v>
      </c>
      <c r="K4" s="88" t="s">
        <v>4</v>
      </c>
      <c r="L4" s="88" t="s">
        <v>8</v>
      </c>
      <c r="M4" s="88" t="s">
        <v>2753</v>
      </c>
      <c r="N4" s="88" t="s">
        <v>2754</v>
      </c>
      <c r="O4" s="88" t="s">
        <v>2755</v>
      </c>
      <c r="P4" s="88" t="s">
        <v>2756</v>
      </c>
      <c r="Q4" s="88" t="s">
        <v>2749</v>
      </c>
      <c r="R4" s="88" t="s">
        <v>2757</v>
      </c>
      <c r="S4" s="88" t="s">
        <v>2758</v>
      </c>
    </row>
    <row r="5" customFormat="false" ht="82.05" hidden="false" customHeight="false" outlineLevel="0" collapsed="false">
      <c r="A5" s="89" t="s">
        <v>768</v>
      </c>
      <c r="B5" s="90" t="s">
        <v>770</v>
      </c>
      <c r="C5" s="90" t="s">
        <v>2759</v>
      </c>
      <c r="D5" s="91" t="s">
        <v>283</v>
      </c>
      <c r="E5" s="90" t="s">
        <v>2760</v>
      </c>
      <c r="F5" s="92" t="s">
        <v>2761</v>
      </c>
      <c r="G5" s="90" t="s">
        <v>2762</v>
      </c>
      <c r="H5" s="92" t="s">
        <v>2763</v>
      </c>
      <c r="I5" s="90" t="s">
        <v>2764</v>
      </c>
      <c r="K5" s="16" t="s">
        <v>232</v>
      </c>
      <c r="L5" s="16" t="s">
        <v>768</v>
      </c>
      <c r="M5" s="17" t="s">
        <v>2765</v>
      </c>
      <c r="N5" s="17" t="s">
        <v>2766</v>
      </c>
      <c r="O5" s="93" t="s">
        <v>2767</v>
      </c>
      <c r="P5" s="17" t="s">
        <v>2768</v>
      </c>
      <c r="Q5" s="78" t="s">
        <v>2769</v>
      </c>
      <c r="R5" s="16" t="str">
        <f aca="false">IFERROR(INDEX(Scoring!$E$29:$E$361,MATCH("Acetazolamide|Emcure Pharmaceuticals",Scoring!$AD$29:$AD$361,0)),"")</f>
        <v>Priority 3</v>
      </c>
      <c r="S5" s="16" t="s">
        <v>2770</v>
      </c>
    </row>
    <row r="6" customFormat="false" ht="95.5" hidden="false" customHeight="false" outlineLevel="0" collapsed="false">
      <c r="A6" s="89" t="s">
        <v>1417</v>
      </c>
      <c r="B6" s="90" t="s">
        <v>1419</v>
      </c>
      <c r="C6" s="90" t="s">
        <v>2771</v>
      </c>
      <c r="D6" s="91" t="s">
        <v>1533</v>
      </c>
      <c r="E6" s="90" t="s">
        <v>2772</v>
      </c>
      <c r="F6" s="92" t="s">
        <v>2773</v>
      </c>
      <c r="G6" s="90" t="s">
        <v>2774</v>
      </c>
      <c r="H6" s="92" t="s">
        <v>2775</v>
      </c>
      <c r="I6" s="90" t="s">
        <v>2776</v>
      </c>
      <c r="K6" s="16" t="s">
        <v>245</v>
      </c>
      <c r="L6" s="16" t="s">
        <v>768</v>
      </c>
      <c r="M6" s="17" t="s">
        <v>2777</v>
      </c>
      <c r="N6" s="17" t="s">
        <v>2778</v>
      </c>
      <c r="O6" s="65" t="s">
        <v>2779</v>
      </c>
      <c r="P6" s="17" t="s">
        <v>2780</v>
      </c>
      <c r="Q6" s="78" t="s">
        <v>2781</v>
      </c>
      <c r="R6" s="16" t="str">
        <f aca="false">IFERROR(INDEX(Scoring!$E$29:$E$361,MATCH("Acetazolamide|Zydus Lifesciences",Scoring!$AD$29:$AD$361,0)),"")</f>
        <v>Excluded – IV only</v>
      </c>
      <c r="S6" s="16" t="s">
        <v>2782</v>
      </c>
    </row>
    <row r="7" customFormat="false" ht="55.2" hidden="false" customHeight="false" outlineLevel="0" collapsed="false">
      <c r="A7" s="89" t="s">
        <v>1180</v>
      </c>
      <c r="B7" s="90" t="s">
        <v>1182</v>
      </c>
      <c r="C7" s="90" t="s">
        <v>2771</v>
      </c>
      <c r="D7" s="91" t="s">
        <v>1533</v>
      </c>
      <c r="E7" s="90" t="s">
        <v>2783</v>
      </c>
      <c r="F7" s="92" t="s">
        <v>2784</v>
      </c>
      <c r="G7" s="90" t="s">
        <v>2762</v>
      </c>
      <c r="H7" s="89"/>
      <c r="I7" s="90" t="s">
        <v>2785</v>
      </c>
      <c r="K7" s="16" t="s">
        <v>232</v>
      </c>
      <c r="L7" s="16" t="s">
        <v>775</v>
      </c>
      <c r="M7" s="17" t="s">
        <v>2786</v>
      </c>
      <c r="N7" s="17" t="s">
        <v>2787</v>
      </c>
      <c r="O7" s="93" t="s">
        <v>2767</v>
      </c>
      <c r="P7" s="17" t="s">
        <v>2780</v>
      </c>
      <c r="Q7" s="78" t="s">
        <v>781</v>
      </c>
      <c r="R7" s="16" t="str">
        <f aca="false">IFERROR(INDEX(Scoring!$E$29:$E$361,MATCH("Amikacin|Emcure Pharmaceuticals",Scoring!$AD$29:$AD$361,0)),"")</f>
        <v>Priority 1</v>
      </c>
      <c r="S7" s="16" t="s">
        <v>2788</v>
      </c>
    </row>
    <row r="8" customFormat="false" ht="55.2" hidden="false" customHeight="false" outlineLevel="0" collapsed="false">
      <c r="A8" s="89" t="s">
        <v>775</v>
      </c>
      <c r="B8" s="90" t="s">
        <v>777</v>
      </c>
      <c r="C8" s="90" t="s">
        <v>2759</v>
      </c>
      <c r="D8" s="91" t="s">
        <v>283</v>
      </c>
      <c r="E8" s="90" t="s">
        <v>2789</v>
      </c>
      <c r="F8" s="92" t="s">
        <v>2790</v>
      </c>
      <c r="G8" s="90" t="s">
        <v>2774</v>
      </c>
      <c r="H8" s="89"/>
      <c r="I8" s="90" t="s">
        <v>2764</v>
      </c>
      <c r="K8" s="16" t="s">
        <v>229</v>
      </c>
      <c r="L8" s="16" t="s">
        <v>314</v>
      </c>
      <c r="M8" s="17" t="s">
        <v>2791</v>
      </c>
      <c r="N8" s="17" t="s">
        <v>2792</v>
      </c>
      <c r="O8" s="93" t="s">
        <v>2767</v>
      </c>
      <c r="P8" s="17" t="s">
        <v>2768</v>
      </c>
      <c r="Q8" s="78" t="s">
        <v>2793</v>
      </c>
      <c r="R8" s="16" t="str">
        <f aca="false">IFERROR(INDEX(Scoring!$E$29:$E$361,MATCH("Ampicillin|Aurobindo Pharma",Scoring!$AD$29:$AD$361,0)),"")</f>
        <v>Priority 2</v>
      </c>
      <c r="S8" s="16" t="s">
        <v>2794</v>
      </c>
    </row>
    <row r="9" customFormat="false" ht="82.05" hidden="false" customHeight="false" outlineLevel="0" collapsed="false">
      <c r="A9" s="89" t="s">
        <v>922</v>
      </c>
      <c r="B9" s="90" t="s">
        <v>924</v>
      </c>
      <c r="C9" s="90" t="s">
        <v>2771</v>
      </c>
      <c r="D9" s="91" t="s">
        <v>1533</v>
      </c>
      <c r="E9" s="90" t="s">
        <v>2795</v>
      </c>
      <c r="F9" s="92" t="s">
        <v>2796</v>
      </c>
      <c r="G9" s="90" t="s">
        <v>2774</v>
      </c>
      <c r="H9" s="92" t="s">
        <v>2797</v>
      </c>
      <c r="I9" s="90" t="s">
        <v>2776</v>
      </c>
      <c r="K9" s="16" t="s">
        <v>232</v>
      </c>
      <c r="L9" s="16" t="s">
        <v>314</v>
      </c>
      <c r="M9" s="17" t="s">
        <v>2798</v>
      </c>
      <c r="N9" s="17" t="s">
        <v>2799</v>
      </c>
      <c r="O9" s="93" t="s">
        <v>2767</v>
      </c>
      <c r="P9" s="17" t="s">
        <v>2768</v>
      </c>
      <c r="Q9" s="78" t="s">
        <v>2800</v>
      </c>
      <c r="R9" s="16" t="str">
        <f aca="false">IFERROR(INDEX(Scoring!$E$29:$E$361,MATCH("Ampicillin|Emcure Pharmaceuticals",Scoring!$AD$29:$AD$361,0)),"")</f>
        <v>Priority 2</v>
      </c>
      <c r="S9" s="16" t="s">
        <v>2801</v>
      </c>
    </row>
    <row r="10" customFormat="false" ht="68.65" hidden="false" customHeight="false" outlineLevel="0" collapsed="false">
      <c r="A10" s="89" t="s">
        <v>929</v>
      </c>
      <c r="B10" s="90" t="s">
        <v>931</v>
      </c>
      <c r="C10" s="90" t="s">
        <v>2759</v>
      </c>
      <c r="D10" s="91" t="s">
        <v>283</v>
      </c>
      <c r="E10" s="90" t="s">
        <v>2802</v>
      </c>
      <c r="F10" s="92" t="s">
        <v>934</v>
      </c>
      <c r="G10" s="90" t="s">
        <v>2762</v>
      </c>
      <c r="H10" s="89"/>
      <c r="I10" s="90" t="s">
        <v>2764</v>
      </c>
      <c r="K10" s="16" t="s">
        <v>241</v>
      </c>
      <c r="L10" s="16" t="s">
        <v>73</v>
      </c>
      <c r="M10" s="17" t="s">
        <v>2803</v>
      </c>
      <c r="N10" s="17" t="s">
        <v>2804</v>
      </c>
      <c r="O10" s="93" t="s">
        <v>2767</v>
      </c>
      <c r="P10" s="17" t="s">
        <v>2768</v>
      </c>
      <c r="Q10" s="78" t="s">
        <v>2805</v>
      </c>
      <c r="R10" s="16" t="str">
        <f aca="false">IFERROR(INDEX(Scoring!$E$29:$E$361,MATCH("Aripiprazole|Sun Pharma",Scoring!$AD$29:$AD$361,0)),"")</f>
        <v>Priority 2</v>
      </c>
      <c r="S10" s="16" t="s">
        <v>2806</v>
      </c>
    </row>
    <row r="11" customFormat="false" ht="55.2" hidden="false" customHeight="false" outlineLevel="0" collapsed="false">
      <c r="A11" s="89" t="s">
        <v>314</v>
      </c>
      <c r="B11" s="90" t="s">
        <v>316</v>
      </c>
      <c r="C11" s="90" t="s">
        <v>2759</v>
      </c>
      <c r="D11" s="91" t="s">
        <v>283</v>
      </c>
      <c r="E11" s="90" t="s">
        <v>2807</v>
      </c>
      <c r="F11" s="92" t="s">
        <v>2793</v>
      </c>
      <c r="G11" s="90" t="s">
        <v>2774</v>
      </c>
      <c r="H11" s="89"/>
      <c r="I11" s="90" t="s">
        <v>2764</v>
      </c>
      <c r="K11" s="16" t="s">
        <v>21</v>
      </c>
      <c r="L11" s="16" t="s">
        <v>940</v>
      </c>
      <c r="M11" s="17" t="s">
        <v>2808</v>
      </c>
      <c r="N11" s="17" t="s">
        <v>2809</v>
      </c>
      <c r="O11" s="93" t="s">
        <v>2767</v>
      </c>
      <c r="P11" s="17" t="s">
        <v>2768</v>
      </c>
      <c r="Q11" s="78" t="s">
        <v>2810</v>
      </c>
      <c r="R11" s="16" t="str">
        <f aca="false">IFERROR(INDEX(Scoring!$E$29:$E$361,MATCH("Atropine|Intas Pharmaceuticals",Scoring!$AD$29:$AD$361,0)),"")</f>
        <v>Priority 2</v>
      </c>
      <c r="S11" s="16" t="s">
        <v>2811</v>
      </c>
    </row>
    <row r="12" customFormat="false" ht="68.65" hidden="false" customHeight="false" outlineLevel="0" collapsed="false">
      <c r="A12" s="89" t="s">
        <v>324</v>
      </c>
      <c r="B12" s="90" t="s">
        <v>326</v>
      </c>
      <c r="C12" s="90" t="s">
        <v>2771</v>
      </c>
      <c r="D12" s="91" t="s">
        <v>1533</v>
      </c>
      <c r="E12" s="90" t="s">
        <v>2812</v>
      </c>
      <c r="F12" s="92" t="s">
        <v>2813</v>
      </c>
      <c r="G12" s="90" t="s">
        <v>2774</v>
      </c>
      <c r="H12" s="92" t="s">
        <v>2814</v>
      </c>
      <c r="I12" s="90" t="s">
        <v>2776</v>
      </c>
      <c r="K12" s="16" t="s">
        <v>229</v>
      </c>
      <c r="L12" s="16" t="s">
        <v>329</v>
      </c>
      <c r="M12" s="17" t="s">
        <v>613</v>
      </c>
      <c r="N12" s="17" t="s">
        <v>2815</v>
      </c>
      <c r="O12" s="93" t="s">
        <v>2767</v>
      </c>
      <c r="P12" s="17" t="s">
        <v>2780</v>
      </c>
      <c r="Q12" s="78" t="s">
        <v>2816</v>
      </c>
      <c r="R12" s="16" t="str">
        <f aca="false">IFERROR(INDEX(Scoring!$E$29:$E$361,MATCH("Azacitidine|Aurobindo Pharma",Scoring!$AD$29:$AD$361,0)),"")</f>
        <v>Priority 1</v>
      </c>
      <c r="S12" s="16" t="s">
        <v>2817</v>
      </c>
    </row>
    <row r="13" customFormat="false" ht="68.65" hidden="false" customHeight="false" outlineLevel="0" collapsed="false">
      <c r="A13" s="89" t="s">
        <v>73</v>
      </c>
      <c r="B13" s="90" t="s">
        <v>1329</v>
      </c>
      <c r="C13" s="90" t="s">
        <v>2818</v>
      </c>
      <c r="D13" s="91" t="s">
        <v>283</v>
      </c>
      <c r="E13" s="90" t="s">
        <v>2819</v>
      </c>
      <c r="F13" s="92" t="s">
        <v>2820</v>
      </c>
      <c r="G13" s="90" t="s">
        <v>2774</v>
      </c>
      <c r="H13" s="89"/>
      <c r="I13" s="90" t="s">
        <v>2764</v>
      </c>
      <c r="K13" s="16" t="s">
        <v>230</v>
      </c>
      <c r="L13" s="16" t="s">
        <v>329</v>
      </c>
      <c r="M13" s="17" t="s">
        <v>2821</v>
      </c>
      <c r="N13" s="17" t="s">
        <v>2822</v>
      </c>
      <c r="O13" s="93" t="s">
        <v>2767</v>
      </c>
      <c r="P13" s="17" t="s">
        <v>2768</v>
      </c>
      <c r="Q13" s="78" t="s">
        <v>2823</v>
      </c>
      <c r="R13" s="16" t="str">
        <f aca="false">IFERROR(INDEX(Scoring!$E$29:$E$361,MATCH("Azacitidine|Cipla",Scoring!$AD$29:$AD$361,0)),"")</f>
        <v>Priority 2</v>
      </c>
      <c r="S13" s="16" t="s">
        <v>2824</v>
      </c>
    </row>
    <row r="14" customFormat="false" ht="68.65" hidden="false" customHeight="false" outlineLevel="0" collapsed="false">
      <c r="A14" s="89" t="s">
        <v>937</v>
      </c>
      <c r="B14" s="90" t="s">
        <v>596</v>
      </c>
      <c r="C14" s="90" t="s">
        <v>2771</v>
      </c>
      <c r="D14" s="91" t="s">
        <v>1533</v>
      </c>
      <c r="E14" s="90" t="s">
        <v>2825</v>
      </c>
      <c r="F14" s="92" t="s">
        <v>2826</v>
      </c>
      <c r="G14" s="90" t="s">
        <v>2774</v>
      </c>
      <c r="H14" s="92" t="s">
        <v>939</v>
      </c>
      <c r="I14" s="90" t="s">
        <v>2776</v>
      </c>
      <c r="K14" s="16" t="s">
        <v>231</v>
      </c>
      <c r="L14" s="16" t="s">
        <v>329</v>
      </c>
      <c r="M14" s="17" t="s">
        <v>613</v>
      </c>
      <c r="N14" s="17" t="s">
        <v>2815</v>
      </c>
      <c r="O14" s="93" t="s">
        <v>2767</v>
      </c>
      <c r="P14" s="17" t="s">
        <v>2780</v>
      </c>
      <c r="Q14" s="78" t="s">
        <v>2816</v>
      </c>
      <c r="R14" s="16" t="str">
        <f aca="false">IFERROR(INDEX(Scoring!$E$29:$E$361,MATCH("Azacitidine|Dr. Reddy's Laboratories",Scoring!$AD$29:$AD$361,0)),"")</f>
        <v>Priority 1</v>
      </c>
      <c r="S14" s="16" t="s">
        <v>2827</v>
      </c>
    </row>
    <row r="15" customFormat="false" ht="41.75" hidden="false" customHeight="false" outlineLevel="0" collapsed="false">
      <c r="A15" s="89" t="s">
        <v>940</v>
      </c>
      <c r="B15" s="90" t="s">
        <v>942</v>
      </c>
      <c r="C15" s="90" t="s">
        <v>2828</v>
      </c>
      <c r="D15" s="91" t="s">
        <v>283</v>
      </c>
      <c r="E15" s="90" t="s">
        <v>2829</v>
      </c>
      <c r="F15" s="92" t="s">
        <v>2810</v>
      </c>
      <c r="G15" s="90" t="s">
        <v>2774</v>
      </c>
      <c r="H15" s="89"/>
      <c r="I15" s="90" t="s">
        <v>2764</v>
      </c>
      <c r="K15" s="16" t="s">
        <v>232</v>
      </c>
      <c r="L15" s="16" t="s">
        <v>329</v>
      </c>
      <c r="M15" s="17" t="s">
        <v>613</v>
      </c>
      <c r="N15" s="17" t="s">
        <v>2815</v>
      </c>
      <c r="O15" s="93" t="s">
        <v>2767</v>
      </c>
      <c r="P15" s="17" t="s">
        <v>2780</v>
      </c>
      <c r="Q15" s="78" t="s">
        <v>2816</v>
      </c>
      <c r="R15" s="16" t="str">
        <f aca="false">IFERROR(INDEX(Scoring!$E$29:$E$361,MATCH("Azacitidine|Emcure Pharmaceuticals",Scoring!$AD$29:$AD$361,0)),"")</f>
        <v>Priority 1</v>
      </c>
      <c r="S15" s="16" t="s">
        <v>2830</v>
      </c>
    </row>
    <row r="16" customFormat="false" ht="41.75" hidden="false" customHeight="false" outlineLevel="0" collapsed="false">
      <c r="A16" s="89" t="s">
        <v>329</v>
      </c>
      <c r="B16" s="90" t="s">
        <v>331</v>
      </c>
      <c r="C16" s="90" t="s">
        <v>2831</v>
      </c>
      <c r="D16" s="91" t="s">
        <v>283</v>
      </c>
      <c r="E16" s="90" t="s">
        <v>2832</v>
      </c>
      <c r="F16" s="92" t="s">
        <v>2833</v>
      </c>
      <c r="G16" s="90" t="s">
        <v>2774</v>
      </c>
      <c r="H16" s="89"/>
      <c r="I16" s="90" t="s">
        <v>2764</v>
      </c>
      <c r="K16" s="16" t="s">
        <v>233</v>
      </c>
      <c r="L16" s="16" t="s">
        <v>329</v>
      </c>
      <c r="M16" s="17" t="s">
        <v>613</v>
      </c>
      <c r="N16" s="17" t="s">
        <v>2815</v>
      </c>
      <c r="O16" s="93" t="s">
        <v>2767</v>
      </c>
      <c r="P16" s="17" t="s">
        <v>2780</v>
      </c>
      <c r="Q16" s="78" t="s">
        <v>2816</v>
      </c>
      <c r="R16" s="16" t="str">
        <f aca="false">IFERROR(INDEX(Scoring!$E$29:$E$361,MATCH("Azacitidine|Glenmark Pharmaceuticals",Scoring!$AD$29:$AD$361,0)),"")</f>
        <v>Priority 1</v>
      </c>
      <c r="S16" s="16" t="s">
        <v>2834</v>
      </c>
    </row>
    <row r="17" customFormat="false" ht="55.2" hidden="false" customHeight="false" outlineLevel="0" collapsed="false">
      <c r="A17" s="89" t="s">
        <v>1295</v>
      </c>
      <c r="B17" s="90" t="s">
        <v>1297</v>
      </c>
      <c r="C17" s="90" t="s">
        <v>2835</v>
      </c>
      <c r="D17" s="91" t="s">
        <v>1533</v>
      </c>
      <c r="E17" s="90" t="s">
        <v>2836</v>
      </c>
      <c r="F17" s="92" t="s">
        <v>2837</v>
      </c>
      <c r="G17" s="90" t="s">
        <v>2762</v>
      </c>
      <c r="H17" s="89"/>
      <c r="I17" s="90" t="s">
        <v>2776</v>
      </c>
      <c r="K17" s="16" t="s">
        <v>234</v>
      </c>
      <c r="L17" s="16" t="s">
        <v>329</v>
      </c>
      <c r="M17" s="17" t="s">
        <v>613</v>
      </c>
      <c r="N17" s="17" t="s">
        <v>2815</v>
      </c>
      <c r="O17" s="93" t="s">
        <v>2767</v>
      </c>
      <c r="P17" s="17" t="s">
        <v>2780</v>
      </c>
      <c r="Q17" s="78" t="s">
        <v>2816</v>
      </c>
      <c r="R17" s="16" t="str">
        <f aca="false">IFERROR(INDEX(Scoring!$E$29:$E$361,MATCH("Azacitidine|Hetero Labs",Scoring!$AD$29:$AD$361,0)),"")</f>
        <v>Priority 1</v>
      </c>
      <c r="S17" s="16" t="s">
        <v>2838</v>
      </c>
    </row>
    <row r="18" customFormat="false" ht="55.2" hidden="false" customHeight="false" outlineLevel="0" collapsed="false">
      <c r="A18" s="89" t="s">
        <v>699</v>
      </c>
      <c r="B18" s="90" t="s">
        <v>700</v>
      </c>
      <c r="C18" s="90" t="s">
        <v>2771</v>
      </c>
      <c r="D18" s="91" t="s">
        <v>1533</v>
      </c>
      <c r="E18" s="90" t="s">
        <v>2839</v>
      </c>
      <c r="F18" s="92" t="s">
        <v>2840</v>
      </c>
      <c r="G18" s="90" t="s">
        <v>2774</v>
      </c>
      <c r="H18" s="89"/>
      <c r="I18" s="90" t="s">
        <v>2776</v>
      </c>
      <c r="K18" s="16" t="s">
        <v>21</v>
      </c>
      <c r="L18" s="16" t="s">
        <v>329</v>
      </c>
      <c r="M18" s="17" t="s">
        <v>613</v>
      </c>
      <c r="N18" s="17" t="s">
        <v>2815</v>
      </c>
      <c r="O18" s="93" t="s">
        <v>2767</v>
      </c>
      <c r="P18" s="17" t="s">
        <v>2780</v>
      </c>
      <c r="Q18" s="78" t="s">
        <v>2816</v>
      </c>
      <c r="R18" s="16" t="str">
        <f aca="false">IFERROR(INDEX(Scoring!$E$29:$E$361,MATCH("Azacitidine|Intas Pharmaceuticals",Scoring!$AD$29:$AD$361,0)),"")</f>
        <v>Priority 1</v>
      </c>
      <c r="S18" s="16" t="s">
        <v>2841</v>
      </c>
    </row>
    <row r="19" customFormat="false" ht="41.75" hidden="false" customHeight="false" outlineLevel="0" collapsed="false">
      <c r="A19" s="89" t="s">
        <v>615</v>
      </c>
      <c r="B19" s="90" t="s">
        <v>617</v>
      </c>
      <c r="C19" s="90" t="s">
        <v>2828</v>
      </c>
      <c r="D19" s="91" t="s">
        <v>283</v>
      </c>
      <c r="E19" s="90" t="s">
        <v>2842</v>
      </c>
      <c r="F19" s="92" t="s">
        <v>2843</v>
      </c>
      <c r="G19" s="90" t="s">
        <v>2774</v>
      </c>
      <c r="H19" s="89"/>
      <c r="I19" s="90" t="s">
        <v>2764</v>
      </c>
      <c r="K19" s="16" t="s">
        <v>230</v>
      </c>
      <c r="L19" s="16" t="s">
        <v>615</v>
      </c>
      <c r="M19" s="17" t="s">
        <v>2844</v>
      </c>
      <c r="N19" s="17" t="s">
        <v>2845</v>
      </c>
      <c r="O19" s="93" t="s">
        <v>2767</v>
      </c>
      <c r="P19" s="17" t="s">
        <v>2780</v>
      </c>
      <c r="Q19" s="78" t="s">
        <v>2846</v>
      </c>
      <c r="R19" s="16" t="str">
        <f aca="false">IFERROR(INDEX(Scoring!$E$29:$E$361,MATCH("Bleomycin|Cipla",Scoring!$AD$29:$AD$361,0)),"")</f>
        <v>Priority 1</v>
      </c>
      <c r="S19" s="16" t="s">
        <v>2847</v>
      </c>
    </row>
    <row r="20" customFormat="false" ht="55.2" hidden="false" customHeight="false" outlineLevel="0" collapsed="false">
      <c r="A20" s="89" t="s">
        <v>338</v>
      </c>
      <c r="B20" s="90" t="s">
        <v>340</v>
      </c>
      <c r="C20" s="90" t="s">
        <v>2831</v>
      </c>
      <c r="D20" s="91" t="s">
        <v>283</v>
      </c>
      <c r="E20" s="90" t="s">
        <v>2848</v>
      </c>
      <c r="F20" s="92" t="s">
        <v>2849</v>
      </c>
      <c r="G20" s="90" t="s">
        <v>2774</v>
      </c>
      <c r="H20" s="89"/>
      <c r="I20" s="90" t="s">
        <v>2764</v>
      </c>
      <c r="K20" s="16" t="s">
        <v>21</v>
      </c>
      <c r="L20" s="16" t="s">
        <v>615</v>
      </c>
      <c r="M20" s="17" t="s">
        <v>2844</v>
      </c>
      <c r="N20" s="17" t="s">
        <v>2845</v>
      </c>
      <c r="O20" s="93" t="s">
        <v>2767</v>
      </c>
      <c r="P20" s="17" t="s">
        <v>2780</v>
      </c>
      <c r="Q20" s="78" t="s">
        <v>2846</v>
      </c>
      <c r="R20" s="16" t="str">
        <f aca="false">IFERROR(INDEX(Scoring!$E$29:$E$361,MATCH("Bleomycin|Intas Pharmaceuticals",Scoring!$AD$29:$AD$361,0)),"")</f>
        <v>Priority 1</v>
      </c>
      <c r="S20" s="16" t="s">
        <v>2850</v>
      </c>
    </row>
    <row r="21" customFormat="false" ht="68.65" hidden="false" customHeight="false" outlineLevel="0" collapsed="false">
      <c r="A21" s="89" t="s">
        <v>874</v>
      </c>
      <c r="B21" s="90" t="s">
        <v>876</v>
      </c>
      <c r="C21" s="90" t="s">
        <v>2771</v>
      </c>
      <c r="D21" s="91" t="s">
        <v>1533</v>
      </c>
      <c r="E21" s="90" t="s">
        <v>2851</v>
      </c>
      <c r="F21" s="92" t="s">
        <v>2852</v>
      </c>
      <c r="G21" s="90" t="s">
        <v>2774</v>
      </c>
      <c r="H21" s="92" t="s">
        <v>2853</v>
      </c>
      <c r="I21" s="90" t="s">
        <v>2776</v>
      </c>
      <c r="K21" s="16" t="s">
        <v>243</v>
      </c>
      <c r="L21" s="16" t="s">
        <v>615</v>
      </c>
      <c r="M21" s="17" t="s">
        <v>2854</v>
      </c>
      <c r="N21" s="17" t="s">
        <v>2855</v>
      </c>
      <c r="O21" s="93" t="s">
        <v>2767</v>
      </c>
      <c r="P21" s="17" t="s">
        <v>2768</v>
      </c>
      <c r="Q21" s="78" t="s">
        <v>2846</v>
      </c>
      <c r="R21" s="16" t="str">
        <f aca="false">IFERROR(INDEX(Scoring!$E$29:$E$361,MATCH("Bleomycin|Venus Remedies",Scoring!$AD$29:$AD$361,0)),"")</f>
        <v>Priority 1</v>
      </c>
      <c r="S21" s="16" t="s">
        <v>2856</v>
      </c>
    </row>
    <row r="22" customFormat="false" ht="68.65" hidden="false" customHeight="false" outlineLevel="0" collapsed="false">
      <c r="A22" s="89" t="s">
        <v>346</v>
      </c>
      <c r="B22" s="90" t="s">
        <v>348</v>
      </c>
      <c r="C22" s="90" t="s">
        <v>2857</v>
      </c>
      <c r="D22" s="91" t="s">
        <v>283</v>
      </c>
      <c r="E22" s="90" t="s">
        <v>2858</v>
      </c>
      <c r="F22" s="92" t="s">
        <v>2859</v>
      </c>
      <c r="G22" s="90" t="s">
        <v>2762</v>
      </c>
      <c r="H22" s="89"/>
      <c r="I22" s="90" t="s">
        <v>2764</v>
      </c>
      <c r="K22" s="16" t="s">
        <v>229</v>
      </c>
      <c r="L22" s="16" t="s">
        <v>338</v>
      </c>
      <c r="M22" s="17" t="s">
        <v>2860</v>
      </c>
      <c r="N22" s="17" t="s">
        <v>2861</v>
      </c>
      <c r="O22" s="93" t="s">
        <v>2767</v>
      </c>
      <c r="P22" s="17" t="s">
        <v>2780</v>
      </c>
      <c r="Q22" s="78" t="s">
        <v>2862</v>
      </c>
      <c r="R22" s="16" t="str">
        <f aca="false">IFERROR(INDEX(Scoring!$E$29:$E$361,MATCH("Bortezomib|Aurobindo Pharma",Scoring!$AD$29:$AD$361,0)),"")</f>
        <v>Priority 1</v>
      </c>
      <c r="S22" s="16" t="s">
        <v>2863</v>
      </c>
    </row>
    <row r="23" customFormat="false" ht="82.05" hidden="false" customHeight="false" outlineLevel="0" collapsed="false">
      <c r="A23" s="89" t="s">
        <v>1250</v>
      </c>
      <c r="B23" s="90" t="s">
        <v>1252</v>
      </c>
      <c r="C23" s="90" t="s">
        <v>2771</v>
      </c>
      <c r="D23" s="91" t="s">
        <v>1533</v>
      </c>
      <c r="E23" s="90" t="s">
        <v>2864</v>
      </c>
      <c r="F23" s="92" t="s">
        <v>2865</v>
      </c>
      <c r="G23" s="90" t="s">
        <v>2774</v>
      </c>
      <c r="H23" s="92" t="s">
        <v>2866</v>
      </c>
      <c r="I23" s="90" t="s">
        <v>2867</v>
      </c>
      <c r="K23" s="16" t="s">
        <v>230</v>
      </c>
      <c r="L23" s="16" t="s">
        <v>338</v>
      </c>
      <c r="M23" s="17" t="s">
        <v>2868</v>
      </c>
      <c r="N23" s="17" t="s">
        <v>2869</v>
      </c>
      <c r="O23" s="67" t="s">
        <v>2870</v>
      </c>
      <c r="P23" s="17" t="s">
        <v>2768</v>
      </c>
      <c r="Q23" s="78" t="s">
        <v>2871</v>
      </c>
      <c r="R23" s="16" t="str">
        <f aca="false">IFERROR(INDEX(Scoring!$E$29:$E$361,MATCH("Bortezomib|Cipla",Scoring!$AD$29:$AD$361,0)),"")</f>
        <v>Priority 1</v>
      </c>
      <c r="S23" s="16" t="s">
        <v>2872</v>
      </c>
    </row>
    <row r="24" customFormat="false" ht="55.2" hidden="false" customHeight="false" outlineLevel="0" collapsed="false">
      <c r="A24" s="89" t="s">
        <v>278</v>
      </c>
      <c r="B24" s="90" t="s">
        <v>280</v>
      </c>
      <c r="C24" s="90" t="s">
        <v>2818</v>
      </c>
      <c r="D24" s="91" t="s">
        <v>283</v>
      </c>
      <c r="E24" s="90" t="s">
        <v>2873</v>
      </c>
      <c r="F24" s="92" t="s">
        <v>2874</v>
      </c>
      <c r="G24" s="90" t="s">
        <v>2774</v>
      </c>
      <c r="H24" s="89"/>
      <c r="I24" s="90" t="s">
        <v>2764</v>
      </c>
      <c r="K24" s="16" t="s">
        <v>231</v>
      </c>
      <c r="L24" s="16" t="s">
        <v>338</v>
      </c>
      <c r="M24" s="17" t="s">
        <v>2860</v>
      </c>
      <c r="N24" s="17" t="s">
        <v>2861</v>
      </c>
      <c r="O24" s="93" t="s">
        <v>2767</v>
      </c>
      <c r="P24" s="17" t="s">
        <v>2780</v>
      </c>
      <c r="Q24" s="78" t="s">
        <v>2862</v>
      </c>
      <c r="R24" s="16" t="str">
        <f aca="false">IFERROR(INDEX(Scoring!$E$29:$E$361,MATCH("Bortezomib|Dr. Reddy's Laboratories",Scoring!$AD$29:$AD$361,0)),"")</f>
        <v>Priority 1</v>
      </c>
      <c r="S24" s="16" t="s">
        <v>2875</v>
      </c>
    </row>
    <row r="25" customFormat="false" ht="41.75" hidden="false" customHeight="false" outlineLevel="0" collapsed="false">
      <c r="A25" s="89" t="s">
        <v>1185</v>
      </c>
      <c r="B25" s="90" t="s">
        <v>1187</v>
      </c>
      <c r="C25" s="90" t="s">
        <v>2759</v>
      </c>
      <c r="D25" s="91" t="s">
        <v>283</v>
      </c>
      <c r="E25" s="90" t="s">
        <v>2876</v>
      </c>
      <c r="F25" s="92" t="s">
        <v>2877</v>
      </c>
      <c r="G25" s="90" t="s">
        <v>2774</v>
      </c>
      <c r="H25" s="89"/>
      <c r="I25" s="90" t="s">
        <v>2764</v>
      </c>
      <c r="K25" s="16" t="s">
        <v>232</v>
      </c>
      <c r="L25" s="16" t="s">
        <v>338</v>
      </c>
      <c r="M25" s="17" t="s">
        <v>2860</v>
      </c>
      <c r="N25" s="17" t="s">
        <v>2861</v>
      </c>
      <c r="O25" s="93" t="s">
        <v>2767</v>
      </c>
      <c r="P25" s="17" t="s">
        <v>2780</v>
      </c>
      <c r="Q25" s="78" t="s">
        <v>2862</v>
      </c>
      <c r="R25" s="16" t="str">
        <f aca="false">IFERROR(INDEX(Scoring!$E$29:$E$361,MATCH("Bortezomib|Emcure Pharmaceuticals",Scoring!$AD$29:$AD$361,0)),"")</f>
        <v>Priority 1</v>
      </c>
      <c r="S25" s="16" t="s">
        <v>2878</v>
      </c>
    </row>
    <row r="26" customFormat="false" ht="41.75" hidden="false" customHeight="false" outlineLevel="0" collapsed="false">
      <c r="A26" s="89" t="s">
        <v>355</v>
      </c>
      <c r="B26" s="90" t="s">
        <v>357</v>
      </c>
      <c r="C26" s="90" t="s">
        <v>2759</v>
      </c>
      <c r="D26" s="91" t="s">
        <v>283</v>
      </c>
      <c r="E26" s="90" t="s">
        <v>2879</v>
      </c>
      <c r="F26" s="92" t="s">
        <v>2880</v>
      </c>
      <c r="G26" s="90" t="s">
        <v>2774</v>
      </c>
      <c r="H26" s="89"/>
      <c r="I26" s="90" t="s">
        <v>2764</v>
      </c>
      <c r="K26" s="16" t="s">
        <v>233</v>
      </c>
      <c r="L26" s="16" t="s">
        <v>338</v>
      </c>
      <c r="M26" s="17" t="s">
        <v>2881</v>
      </c>
      <c r="N26" s="17" t="s">
        <v>2861</v>
      </c>
      <c r="O26" s="93" t="s">
        <v>2767</v>
      </c>
      <c r="P26" s="17" t="s">
        <v>2768</v>
      </c>
      <c r="Q26" s="78" t="s">
        <v>2862</v>
      </c>
      <c r="R26" s="16" t="str">
        <f aca="false">IFERROR(INDEX(Scoring!$E$29:$E$361,MATCH("Bortezomib|Glenmark Pharmaceuticals",Scoring!$AD$29:$AD$361,0)),"")</f>
        <v>Priority 1</v>
      </c>
      <c r="S26" s="16" t="s">
        <v>2882</v>
      </c>
    </row>
    <row r="27" customFormat="false" ht="28.35" hidden="false" customHeight="false" outlineLevel="0" collapsed="false">
      <c r="A27" s="89" t="s">
        <v>362</v>
      </c>
      <c r="B27" s="90" t="s">
        <v>364</v>
      </c>
      <c r="C27" s="90" t="s">
        <v>2759</v>
      </c>
      <c r="D27" s="91" t="s">
        <v>283</v>
      </c>
      <c r="E27" s="90" t="s">
        <v>2883</v>
      </c>
      <c r="F27" s="92" t="s">
        <v>2884</v>
      </c>
      <c r="G27" s="90" t="s">
        <v>2774</v>
      </c>
      <c r="H27" s="89"/>
      <c r="I27" s="90" t="s">
        <v>2764</v>
      </c>
      <c r="K27" s="16" t="s">
        <v>234</v>
      </c>
      <c r="L27" s="16" t="s">
        <v>338</v>
      </c>
      <c r="M27" s="17" t="s">
        <v>2860</v>
      </c>
      <c r="N27" s="17" t="s">
        <v>2861</v>
      </c>
      <c r="O27" s="93" t="s">
        <v>2767</v>
      </c>
      <c r="P27" s="17" t="s">
        <v>2780</v>
      </c>
      <c r="Q27" s="78" t="s">
        <v>2862</v>
      </c>
      <c r="R27" s="16" t="str">
        <f aca="false">IFERROR(INDEX(Scoring!$E$29:$E$361,MATCH("Bortezomib|Hetero Labs",Scoring!$AD$29:$AD$361,0)),"")</f>
        <v>Priority 1</v>
      </c>
      <c r="S27" s="16" t="s">
        <v>2885</v>
      </c>
    </row>
    <row r="28" customFormat="false" ht="55.2" hidden="false" customHeight="false" outlineLevel="0" collapsed="false">
      <c r="A28" s="89" t="s">
        <v>76</v>
      </c>
      <c r="B28" s="90" t="s">
        <v>370</v>
      </c>
      <c r="C28" s="90" t="s">
        <v>2759</v>
      </c>
      <c r="D28" s="91" t="s">
        <v>283</v>
      </c>
      <c r="E28" s="90" t="s">
        <v>2886</v>
      </c>
      <c r="F28" s="92" t="s">
        <v>2887</v>
      </c>
      <c r="G28" s="90" t="s">
        <v>2774</v>
      </c>
      <c r="H28" s="89"/>
      <c r="I28" s="90" t="s">
        <v>2764</v>
      </c>
      <c r="K28" s="16" t="s">
        <v>21</v>
      </c>
      <c r="L28" s="16" t="s">
        <v>338</v>
      </c>
      <c r="M28" s="17" t="s">
        <v>2860</v>
      </c>
      <c r="N28" s="17" t="s">
        <v>2861</v>
      </c>
      <c r="O28" s="93" t="s">
        <v>2767</v>
      </c>
      <c r="P28" s="17" t="s">
        <v>2780</v>
      </c>
      <c r="Q28" s="78" t="s">
        <v>2862</v>
      </c>
      <c r="R28" s="16" t="str">
        <f aca="false">IFERROR(INDEX(Scoring!$E$29:$E$361,MATCH("Bortezomib|Intas Pharmaceuticals",Scoring!$AD$29:$AD$361,0)),"")</f>
        <v>Priority 1</v>
      </c>
      <c r="S28" s="16" t="s">
        <v>2888</v>
      </c>
    </row>
    <row r="29" customFormat="false" ht="55.2" hidden="false" customHeight="false" outlineLevel="0" collapsed="false">
      <c r="A29" s="89" t="s">
        <v>1337</v>
      </c>
      <c r="B29" s="90" t="s">
        <v>1339</v>
      </c>
      <c r="C29" s="90" t="s">
        <v>2771</v>
      </c>
      <c r="D29" s="91" t="s">
        <v>1533</v>
      </c>
      <c r="E29" s="90" t="s">
        <v>2889</v>
      </c>
      <c r="F29" s="92" t="s">
        <v>2890</v>
      </c>
      <c r="G29" s="90" t="s">
        <v>2774</v>
      </c>
      <c r="H29" s="89"/>
      <c r="I29" s="90" t="s">
        <v>2776</v>
      </c>
      <c r="K29" s="16" t="s">
        <v>236</v>
      </c>
      <c r="L29" s="16" t="s">
        <v>338</v>
      </c>
      <c r="M29" s="17" t="s">
        <v>2860</v>
      </c>
      <c r="N29" s="17" t="s">
        <v>2861</v>
      </c>
      <c r="O29" s="93" t="s">
        <v>2767</v>
      </c>
      <c r="P29" s="17" t="s">
        <v>2780</v>
      </c>
      <c r="Q29" s="78" t="s">
        <v>2862</v>
      </c>
      <c r="R29" s="16" t="str">
        <f aca="false">IFERROR(INDEX(Scoring!$E$29:$E$361,MATCH("Bortezomib|MSN Laboratories",Scoring!$AD$29:$AD$361,0)),"")</f>
        <v>Priority 1</v>
      </c>
      <c r="S29" s="16" t="s">
        <v>2891</v>
      </c>
    </row>
    <row r="30" customFormat="false" ht="55.2" hidden="false" customHeight="false" outlineLevel="0" collapsed="false">
      <c r="A30" s="89" t="s">
        <v>1428</v>
      </c>
      <c r="B30" s="90" t="s">
        <v>1429</v>
      </c>
      <c r="C30" s="90" t="s">
        <v>2828</v>
      </c>
      <c r="D30" s="91" t="s">
        <v>283</v>
      </c>
      <c r="E30" s="90" t="s">
        <v>2892</v>
      </c>
      <c r="F30" s="92" t="s">
        <v>1431</v>
      </c>
      <c r="G30" s="90" t="s">
        <v>2762</v>
      </c>
      <c r="H30" s="89"/>
      <c r="I30" s="90" t="s">
        <v>2764</v>
      </c>
      <c r="K30" s="16" t="s">
        <v>241</v>
      </c>
      <c r="L30" s="16" t="s">
        <v>338</v>
      </c>
      <c r="M30" s="17" t="s">
        <v>2860</v>
      </c>
      <c r="N30" s="17" t="s">
        <v>2861</v>
      </c>
      <c r="O30" s="93" t="s">
        <v>2767</v>
      </c>
      <c r="P30" s="17" t="s">
        <v>2780</v>
      </c>
      <c r="Q30" s="78" t="s">
        <v>2862</v>
      </c>
      <c r="R30" s="16" t="str">
        <f aca="false">IFERROR(INDEX(Scoring!$E$29:$E$361,MATCH("Bortezomib|Sun Pharma",Scoring!$AD$29:$AD$361,0)),"")</f>
        <v>Priority 1</v>
      </c>
      <c r="S30" s="16" t="s">
        <v>2893</v>
      </c>
    </row>
    <row r="31" customFormat="false" ht="55.2" hidden="false" customHeight="false" outlineLevel="0" collapsed="false">
      <c r="A31" s="89" t="s">
        <v>375</v>
      </c>
      <c r="B31" s="90" t="s">
        <v>377</v>
      </c>
      <c r="C31" s="90" t="s">
        <v>2818</v>
      </c>
      <c r="D31" s="91" t="s">
        <v>283</v>
      </c>
      <c r="E31" s="90" t="s">
        <v>2894</v>
      </c>
      <c r="F31" s="92" t="s">
        <v>2895</v>
      </c>
      <c r="G31" s="90" t="s">
        <v>2774</v>
      </c>
      <c r="H31" s="89"/>
      <c r="I31" s="90" t="s">
        <v>2764</v>
      </c>
      <c r="K31" s="16" t="s">
        <v>245</v>
      </c>
      <c r="L31" s="16" t="s">
        <v>338</v>
      </c>
      <c r="M31" s="17" t="s">
        <v>2860</v>
      </c>
      <c r="N31" s="17" t="s">
        <v>2861</v>
      </c>
      <c r="O31" s="93" t="s">
        <v>2767</v>
      </c>
      <c r="P31" s="17" t="s">
        <v>2780</v>
      </c>
      <c r="Q31" s="78" t="s">
        <v>2862</v>
      </c>
      <c r="R31" s="16" t="str">
        <f aca="false">IFERROR(INDEX(Scoring!$E$29:$E$361,MATCH("Bortezomib|Zydus Lifesciences",Scoring!$AD$29:$AD$361,0)),"")</f>
        <v>Priority 1</v>
      </c>
      <c r="S31" s="16" t="s">
        <v>2896</v>
      </c>
    </row>
    <row r="32" customFormat="false" ht="135.8" hidden="false" customHeight="false" outlineLevel="0" collapsed="false">
      <c r="A32" s="89" t="s">
        <v>967</v>
      </c>
      <c r="B32" s="90" t="s">
        <v>969</v>
      </c>
      <c r="C32" s="90" t="s">
        <v>2771</v>
      </c>
      <c r="D32" s="91" t="s">
        <v>1533</v>
      </c>
      <c r="E32" s="90" t="s">
        <v>2897</v>
      </c>
      <c r="F32" s="92" t="s">
        <v>2898</v>
      </c>
      <c r="G32" s="90" t="s">
        <v>2774</v>
      </c>
      <c r="H32" s="92" t="s">
        <v>2899</v>
      </c>
      <c r="I32" s="90" t="s">
        <v>2776</v>
      </c>
      <c r="K32" s="16" t="s">
        <v>229</v>
      </c>
      <c r="L32" s="16" t="s">
        <v>346</v>
      </c>
      <c r="M32" s="17" t="s">
        <v>2900</v>
      </c>
      <c r="N32" s="17" t="s">
        <v>2901</v>
      </c>
      <c r="O32" s="67" t="s">
        <v>2870</v>
      </c>
      <c r="P32" s="17" t="s">
        <v>2768</v>
      </c>
      <c r="Q32" s="78" t="s">
        <v>2902</v>
      </c>
      <c r="R32" s="16" t="str">
        <f aca="false">IFERROR(INDEX(Scoring!$E$29:$E$361,MATCH("Bupivacaine|Aurobindo Pharma",Scoring!$AD$29:$AD$361,0)),"")</f>
        <v>Priority 2</v>
      </c>
      <c r="S32" s="16" t="s">
        <v>2903</v>
      </c>
    </row>
    <row r="33" customFormat="false" ht="122.35" hidden="false" customHeight="false" outlineLevel="0" collapsed="false">
      <c r="A33" s="89" t="s">
        <v>790</v>
      </c>
      <c r="B33" s="90" t="s">
        <v>792</v>
      </c>
      <c r="C33" s="90" t="s">
        <v>2759</v>
      </c>
      <c r="D33" s="91" t="s">
        <v>283</v>
      </c>
      <c r="E33" s="90" t="s">
        <v>2904</v>
      </c>
      <c r="F33" s="92" t="s">
        <v>2905</v>
      </c>
      <c r="G33" s="90" t="s">
        <v>2774</v>
      </c>
      <c r="H33" s="89"/>
      <c r="I33" s="90" t="s">
        <v>2764</v>
      </c>
      <c r="K33" s="16" t="s">
        <v>238</v>
      </c>
      <c r="L33" s="16" t="s">
        <v>346</v>
      </c>
      <c r="M33" s="17" t="s">
        <v>2906</v>
      </c>
      <c r="N33" s="17" t="s">
        <v>2907</v>
      </c>
      <c r="O33" s="67" t="s">
        <v>2870</v>
      </c>
      <c r="P33" s="17" t="s">
        <v>2768</v>
      </c>
      <c r="Q33" s="78" t="s">
        <v>2908</v>
      </c>
      <c r="R33" s="16" t="str">
        <f aca="false">IFERROR(INDEX(Scoring!$E$29:$E$361,MATCH("Bupivacaine|OneSource Specialty Pharma",Scoring!$AD$29:$AD$361,0)),"")</f>
        <v>Priority 2</v>
      </c>
      <c r="S33" s="16" t="s">
        <v>2909</v>
      </c>
    </row>
    <row r="34" customFormat="false" ht="41.75" hidden="false" customHeight="false" outlineLevel="0" collapsed="false">
      <c r="A34" s="89" t="s">
        <v>881</v>
      </c>
      <c r="B34" s="90" t="s">
        <v>882</v>
      </c>
      <c r="C34" s="90" t="s">
        <v>2910</v>
      </c>
      <c r="D34" s="91" t="s">
        <v>283</v>
      </c>
      <c r="E34" s="90" t="s">
        <v>2911</v>
      </c>
      <c r="F34" s="92" t="s">
        <v>2912</v>
      </c>
      <c r="G34" s="90" t="s">
        <v>2774</v>
      </c>
      <c r="H34" s="89"/>
      <c r="I34" s="90" t="s">
        <v>2764</v>
      </c>
      <c r="K34" s="16" t="s">
        <v>228</v>
      </c>
      <c r="L34" s="16" t="s">
        <v>278</v>
      </c>
      <c r="M34" s="17" t="s">
        <v>2913</v>
      </c>
      <c r="N34" s="17" t="s">
        <v>2914</v>
      </c>
      <c r="O34" s="93" t="s">
        <v>2767</v>
      </c>
      <c r="P34" s="17" t="s">
        <v>2768</v>
      </c>
      <c r="Q34" s="78" t="s">
        <v>2915</v>
      </c>
      <c r="R34" s="16" t="str">
        <f aca="false">IFERROR(INDEX(Scoring!$E$29:$E$361,MATCH("Carboprost|Alembic Pharmaceuticals",Scoring!$AD$29:$AD$361,0)),"")</f>
        <v>Priority 2</v>
      </c>
      <c r="S34" s="16" t="s">
        <v>2916</v>
      </c>
    </row>
    <row r="35" customFormat="false" ht="55.2" hidden="false" customHeight="false" outlineLevel="0" collapsed="false">
      <c r="A35" s="89" t="s">
        <v>1255</v>
      </c>
      <c r="B35" s="90" t="s">
        <v>1257</v>
      </c>
      <c r="C35" s="90" t="s">
        <v>2759</v>
      </c>
      <c r="D35" s="91" t="s">
        <v>283</v>
      </c>
      <c r="E35" s="90" t="s">
        <v>2917</v>
      </c>
      <c r="F35" s="92" t="s">
        <v>1260</v>
      </c>
      <c r="G35" s="90" t="s">
        <v>2762</v>
      </c>
      <c r="H35" s="89"/>
      <c r="I35" s="90" t="s">
        <v>2764</v>
      </c>
      <c r="K35" s="16" t="s">
        <v>229</v>
      </c>
      <c r="L35" s="16" t="s">
        <v>278</v>
      </c>
      <c r="M35" s="17" t="s">
        <v>2918</v>
      </c>
      <c r="N35" s="17" t="s">
        <v>2919</v>
      </c>
      <c r="O35" s="93" t="s">
        <v>2767</v>
      </c>
      <c r="P35" s="17" t="s">
        <v>2768</v>
      </c>
      <c r="Q35" s="78" t="s">
        <v>2920</v>
      </c>
      <c r="R35" s="16" t="str">
        <f aca="false">IFERROR(INDEX(Scoring!$E$29:$E$361,MATCH("Carboprost|Aurobindo Pharma",Scoring!$AD$29:$AD$361,0)),"")</f>
        <v>Priority 2</v>
      </c>
      <c r="S35" s="16" t="s">
        <v>2921</v>
      </c>
    </row>
    <row r="36" customFormat="false" ht="82.05" hidden="false" customHeight="false" outlineLevel="0" collapsed="false">
      <c r="A36" s="89" t="s">
        <v>380</v>
      </c>
      <c r="B36" s="90" t="s">
        <v>381</v>
      </c>
      <c r="C36" s="90" t="s">
        <v>2771</v>
      </c>
      <c r="D36" s="91" t="s">
        <v>1533</v>
      </c>
      <c r="E36" s="90" t="s">
        <v>2922</v>
      </c>
      <c r="F36" s="92" t="s">
        <v>2923</v>
      </c>
      <c r="G36" s="90" t="s">
        <v>2774</v>
      </c>
      <c r="H36" s="92" t="s">
        <v>2924</v>
      </c>
      <c r="I36" s="90" t="s">
        <v>2925</v>
      </c>
      <c r="K36" s="16" t="s">
        <v>231</v>
      </c>
      <c r="L36" s="16" t="s">
        <v>278</v>
      </c>
      <c r="M36" s="17" t="s">
        <v>2926</v>
      </c>
      <c r="N36" s="17" t="s">
        <v>2927</v>
      </c>
      <c r="O36" s="93" t="s">
        <v>2767</v>
      </c>
      <c r="P36" s="17" t="s">
        <v>2768</v>
      </c>
      <c r="Q36" s="78" t="s">
        <v>2928</v>
      </c>
      <c r="R36" s="16" t="str">
        <f aca="false">IFERROR(INDEX(Scoring!$E$29:$E$361,MATCH("Carboprost|Dr. Reddy's Laboratories",Scoring!$AD$29:$AD$361,0)),"")</f>
        <v>Priority 2</v>
      </c>
      <c r="S36" s="16" t="s">
        <v>2929</v>
      </c>
    </row>
    <row r="37" customFormat="false" ht="41.75" hidden="false" customHeight="false" outlineLevel="0" collapsed="false">
      <c r="A37" s="89" t="s">
        <v>984</v>
      </c>
      <c r="B37" s="90" t="s">
        <v>986</v>
      </c>
      <c r="C37" s="90" t="s">
        <v>2831</v>
      </c>
      <c r="D37" s="91" t="s">
        <v>283</v>
      </c>
      <c r="E37" s="90" t="s">
        <v>2930</v>
      </c>
      <c r="F37" s="92" t="s">
        <v>2931</v>
      </c>
      <c r="G37" s="90" t="s">
        <v>2774</v>
      </c>
      <c r="H37" s="89"/>
      <c r="I37" s="90" t="s">
        <v>2764</v>
      </c>
      <c r="K37" s="16" t="s">
        <v>237</v>
      </c>
      <c r="L37" s="16" t="s">
        <v>278</v>
      </c>
      <c r="M37" s="17" t="s">
        <v>2932</v>
      </c>
      <c r="N37" s="17" t="s">
        <v>2919</v>
      </c>
      <c r="O37" s="93" t="s">
        <v>2767</v>
      </c>
      <c r="P37" s="17" t="s">
        <v>2768</v>
      </c>
      <c r="Q37" s="78" t="s">
        <v>2933</v>
      </c>
      <c r="R37" s="16" t="str">
        <f aca="false">IFERROR(INDEX(Scoring!$E$29:$E$361,MATCH("Carboprost|Micro Labs",Scoring!$AD$29:$AD$361,0)),"")</f>
        <v>Priority 2</v>
      </c>
      <c r="S37" s="16" t="s">
        <v>2934</v>
      </c>
    </row>
    <row r="38" customFormat="false" ht="55.2" hidden="false" customHeight="false" outlineLevel="0" collapsed="false">
      <c r="A38" s="89" t="s">
        <v>384</v>
      </c>
      <c r="B38" s="90" t="s">
        <v>385</v>
      </c>
      <c r="C38" s="90" t="s">
        <v>2771</v>
      </c>
      <c r="D38" s="91" t="s">
        <v>1533</v>
      </c>
      <c r="E38" s="90" t="s">
        <v>2935</v>
      </c>
      <c r="F38" s="92" t="s">
        <v>2936</v>
      </c>
      <c r="G38" s="90" t="s">
        <v>2774</v>
      </c>
      <c r="H38" s="89"/>
      <c r="I38" s="90" t="s">
        <v>2776</v>
      </c>
      <c r="K38" s="16" t="s">
        <v>238</v>
      </c>
      <c r="L38" s="16" t="s">
        <v>278</v>
      </c>
      <c r="M38" s="17" t="s">
        <v>2937</v>
      </c>
      <c r="N38" s="17" t="s">
        <v>2938</v>
      </c>
      <c r="O38" s="93" t="s">
        <v>2767</v>
      </c>
      <c r="P38" s="17" t="s">
        <v>2768</v>
      </c>
      <c r="Q38" s="78" t="s">
        <v>2939</v>
      </c>
      <c r="R38" s="16" t="str">
        <f aca="false">IFERROR(INDEX(Scoring!$E$29:$E$361,MATCH("Carboprost|OneSource Specialty Pharma",Scoring!$AD$29:$AD$361,0)),"")</f>
        <v>Priority 2</v>
      </c>
      <c r="S38" s="16" t="s">
        <v>2940</v>
      </c>
    </row>
    <row r="39" customFormat="false" ht="95.5" hidden="false" customHeight="false" outlineLevel="0" collapsed="false">
      <c r="A39" s="89" t="s">
        <v>388</v>
      </c>
      <c r="B39" s="90" t="s">
        <v>390</v>
      </c>
      <c r="C39" s="90" t="s">
        <v>2771</v>
      </c>
      <c r="D39" s="91" t="s">
        <v>1533</v>
      </c>
      <c r="E39" s="90" t="s">
        <v>2941</v>
      </c>
      <c r="F39" s="92" t="s">
        <v>2942</v>
      </c>
      <c r="G39" s="90" t="s">
        <v>2774</v>
      </c>
      <c r="H39" s="92" t="s">
        <v>2943</v>
      </c>
      <c r="I39" s="90" t="s">
        <v>2776</v>
      </c>
      <c r="K39" s="16" t="s">
        <v>229</v>
      </c>
      <c r="L39" s="16" t="s">
        <v>355</v>
      </c>
      <c r="M39" s="17" t="s">
        <v>2944</v>
      </c>
      <c r="N39" s="17" t="s">
        <v>2945</v>
      </c>
      <c r="O39" s="93" t="s">
        <v>2767</v>
      </c>
      <c r="P39" s="17" t="s">
        <v>2768</v>
      </c>
      <c r="Q39" s="78" t="s">
        <v>2946</v>
      </c>
      <c r="R39" s="16" t="str">
        <f aca="false">IFERROR(INDEX(Scoring!$E$29:$E$361,MATCH("Cefepime|Aurobindo Pharma",Scoring!$AD$29:$AD$361,0)),"")</f>
        <v>Priority 2</v>
      </c>
      <c r="S39" s="16" t="s">
        <v>2947</v>
      </c>
    </row>
    <row r="40" customFormat="false" ht="82.05" hidden="false" customHeight="false" outlineLevel="0" collapsed="false">
      <c r="A40" s="89" t="s">
        <v>995</v>
      </c>
      <c r="B40" s="90" t="s">
        <v>997</v>
      </c>
      <c r="C40" s="90" t="s">
        <v>2948</v>
      </c>
      <c r="D40" s="91" t="s">
        <v>283</v>
      </c>
      <c r="E40" s="90" t="s">
        <v>2949</v>
      </c>
      <c r="F40" s="92" t="s">
        <v>2950</v>
      </c>
      <c r="G40" s="90" t="s">
        <v>2762</v>
      </c>
      <c r="H40" s="89"/>
      <c r="I40" s="90" t="s">
        <v>2764</v>
      </c>
      <c r="K40" s="16" t="s">
        <v>230</v>
      </c>
      <c r="L40" s="16" t="s">
        <v>355</v>
      </c>
      <c r="M40" s="17" t="s">
        <v>2951</v>
      </c>
      <c r="N40" s="17" t="s">
        <v>2952</v>
      </c>
      <c r="O40" s="67" t="s">
        <v>2870</v>
      </c>
      <c r="P40" s="17" t="s">
        <v>2780</v>
      </c>
      <c r="Q40" s="78" t="s">
        <v>2953</v>
      </c>
      <c r="R40" s="16" t="str">
        <f aca="false">IFERROR(INDEX(Scoring!$E$29:$E$361,MATCH("Cefepime|Cipla",Scoring!$AD$29:$AD$361,0)),"")</f>
        <v>Priority 2</v>
      </c>
      <c r="S40" s="16" t="s">
        <v>2954</v>
      </c>
    </row>
    <row r="41" customFormat="false" ht="55.2" hidden="false" customHeight="false" outlineLevel="0" collapsed="false">
      <c r="A41" s="89" t="s">
        <v>1002</v>
      </c>
      <c r="B41" s="90" t="s">
        <v>1004</v>
      </c>
      <c r="C41" s="90" t="s">
        <v>2948</v>
      </c>
      <c r="D41" s="91" t="s">
        <v>283</v>
      </c>
      <c r="E41" s="90" t="s">
        <v>2955</v>
      </c>
      <c r="F41" s="92" t="s">
        <v>2956</v>
      </c>
      <c r="G41" s="90" t="s">
        <v>2774</v>
      </c>
      <c r="H41" s="89"/>
      <c r="I41" s="90" t="s">
        <v>2764</v>
      </c>
      <c r="K41" s="16" t="s">
        <v>21</v>
      </c>
      <c r="L41" s="16" t="s">
        <v>355</v>
      </c>
      <c r="M41" s="17" t="s">
        <v>2957</v>
      </c>
      <c r="N41" s="17" t="s">
        <v>2958</v>
      </c>
      <c r="O41" s="93" t="s">
        <v>2767</v>
      </c>
      <c r="P41" s="17" t="s">
        <v>2768</v>
      </c>
      <c r="Q41" s="78" t="s">
        <v>2959</v>
      </c>
      <c r="R41" s="16" t="str">
        <f aca="false">IFERROR(INDEX(Scoring!$E$29:$E$361,MATCH("Cefepime|Intas Pharmaceuticals",Scoring!$AD$29:$AD$361,0)),"")</f>
        <v>Priority 2</v>
      </c>
      <c r="S41" s="16" t="s">
        <v>2960</v>
      </c>
    </row>
    <row r="42" customFormat="false" ht="55.2" hidden="false" customHeight="false" outlineLevel="0" collapsed="false">
      <c r="A42" s="89" t="s">
        <v>719</v>
      </c>
      <c r="B42" s="90" t="s">
        <v>721</v>
      </c>
      <c r="C42" s="90" t="s">
        <v>2831</v>
      </c>
      <c r="D42" s="91" t="s">
        <v>283</v>
      </c>
      <c r="E42" s="90" t="s">
        <v>2961</v>
      </c>
      <c r="F42" s="92" t="s">
        <v>2962</v>
      </c>
      <c r="G42" s="90" t="s">
        <v>2774</v>
      </c>
      <c r="H42" s="89"/>
      <c r="I42" s="90" t="s">
        <v>2764</v>
      </c>
      <c r="K42" s="16" t="s">
        <v>240</v>
      </c>
      <c r="L42" s="16" t="s">
        <v>355</v>
      </c>
      <c r="M42" s="17" t="s">
        <v>2963</v>
      </c>
      <c r="N42" s="17" t="s">
        <v>2964</v>
      </c>
      <c r="O42" s="93" t="s">
        <v>2767</v>
      </c>
      <c r="P42" s="17" t="s">
        <v>2768</v>
      </c>
      <c r="Q42" s="78" t="s">
        <v>2965</v>
      </c>
      <c r="R42" s="16" t="str">
        <f aca="false">IFERROR(INDEX(Scoring!$E$29:$E$361,MATCH("Cefepime|Strides Pharma Science",Scoring!$AD$29:$AD$361,0)),"")</f>
        <v>Priority 2</v>
      </c>
      <c r="S42" s="16" t="s">
        <v>2966</v>
      </c>
    </row>
    <row r="43" customFormat="false" ht="41.75" hidden="false" customHeight="false" outlineLevel="0" collapsed="false">
      <c r="A43" s="89" t="s">
        <v>289</v>
      </c>
      <c r="B43" s="90" t="s">
        <v>290</v>
      </c>
      <c r="C43" s="90" t="s">
        <v>2759</v>
      </c>
      <c r="D43" s="91" t="s">
        <v>283</v>
      </c>
      <c r="E43" s="90" t="s">
        <v>2967</v>
      </c>
      <c r="F43" s="92" t="s">
        <v>2968</v>
      </c>
      <c r="G43" s="90" t="s">
        <v>2774</v>
      </c>
      <c r="H43" s="89"/>
      <c r="I43" s="90" t="s">
        <v>2764</v>
      </c>
      <c r="K43" s="16" t="s">
        <v>229</v>
      </c>
      <c r="L43" s="16" t="s">
        <v>362</v>
      </c>
      <c r="M43" s="17" t="s">
        <v>2969</v>
      </c>
      <c r="N43" s="17" t="s">
        <v>2970</v>
      </c>
      <c r="O43" s="93" t="s">
        <v>2767</v>
      </c>
      <c r="P43" s="17" t="s">
        <v>2768</v>
      </c>
      <c r="Q43" s="78" t="s">
        <v>2971</v>
      </c>
      <c r="R43" s="16" t="str">
        <f aca="false">IFERROR(INDEX(Scoring!$E$29:$E$361,MATCH("Ceftazidime|Aurobindo Pharma",Scoring!$AD$29:$AD$361,0)),"")</f>
        <v>Priority 2</v>
      </c>
      <c r="S43" s="16" t="s">
        <v>2972</v>
      </c>
    </row>
    <row r="44" customFormat="false" ht="55.2" hidden="false" customHeight="false" outlineLevel="0" collapsed="false">
      <c r="A44" s="89" t="s">
        <v>1261</v>
      </c>
      <c r="B44" s="90" t="s">
        <v>1263</v>
      </c>
      <c r="C44" s="90" t="s">
        <v>2759</v>
      </c>
      <c r="D44" s="91" t="s">
        <v>283</v>
      </c>
      <c r="E44" s="90" t="s">
        <v>2973</v>
      </c>
      <c r="F44" s="92" t="s">
        <v>2974</v>
      </c>
      <c r="G44" s="90" t="s">
        <v>2774</v>
      </c>
      <c r="H44" s="89"/>
      <c r="I44" s="90" t="s">
        <v>2764</v>
      </c>
      <c r="K44" s="16" t="s">
        <v>240</v>
      </c>
      <c r="L44" s="16" t="s">
        <v>362</v>
      </c>
      <c r="M44" s="17" t="s">
        <v>2975</v>
      </c>
      <c r="N44" s="17" t="s">
        <v>2976</v>
      </c>
      <c r="O44" s="93" t="s">
        <v>2767</v>
      </c>
      <c r="P44" s="17" t="s">
        <v>2768</v>
      </c>
      <c r="Q44" s="78" t="s">
        <v>2977</v>
      </c>
      <c r="R44" s="16" t="str">
        <f aca="false">IFERROR(INDEX(Scoring!$E$29:$E$361,MATCH("Ceftazidime|Strides Pharma Science",Scoring!$AD$29:$AD$361,0)),"")</f>
        <v>Priority 2</v>
      </c>
      <c r="S44" s="16" t="s">
        <v>2978</v>
      </c>
    </row>
    <row r="45" customFormat="false" ht="82.05" hidden="false" customHeight="false" outlineLevel="0" collapsed="false">
      <c r="A45" s="89" t="s">
        <v>394</v>
      </c>
      <c r="B45" s="90" t="s">
        <v>396</v>
      </c>
      <c r="C45" s="90" t="s">
        <v>2771</v>
      </c>
      <c r="D45" s="91" t="s">
        <v>1533</v>
      </c>
      <c r="E45" s="90" t="s">
        <v>2979</v>
      </c>
      <c r="F45" s="92" t="s">
        <v>2980</v>
      </c>
      <c r="G45" s="90" t="s">
        <v>2774</v>
      </c>
      <c r="H45" s="92" t="s">
        <v>2981</v>
      </c>
      <c r="I45" s="90" t="s">
        <v>2982</v>
      </c>
      <c r="K45" s="16" t="s">
        <v>243</v>
      </c>
      <c r="L45" s="16" t="s">
        <v>362</v>
      </c>
      <c r="M45" s="17" t="s">
        <v>2983</v>
      </c>
      <c r="N45" s="17" t="s">
        <v>2984</v>
      </c>
      <c r="O45" s="65" t="s">
        <v>2779</v>
      </c>
      <c r="P45" s="17" t="s">
        <v>2768</v>
      </c>
      <c r="Q45" s="78" t="s">
        <v>2985</v>
      </c>
      <c r="R45" s="16" t="str">
        <f aca="false">IFERROR(INDEX(Scoring!$E$29:$E$361,MATCH("Ceftazidime|Venus Remedies",Scoring!$AD$29:$AD$361,0)),"")</f>
        <v>Excluded – IV only</v>
      </c>
      <c r="S45" s="16" t="s">
        <v>2986</v>
      </c>
    </row>
    <row r="46" customFormat="false" ht="95.5" hidden="false" customHeight="false" outlineLevel="0" collapsed="false">
      <c r="A46" s="89" t="s">
        <v>1194</v>
      </c>
      <c r="B46" s="90" t="s">
        <v>1196</v>
      </c>
      <c r="C46" s="90" t="s">
        <v>2759</v>
      </c>
      <c r="D46" s="91" t="s">
        <v>283</v>
      </c>
      <c r="E46" s="90" t="s">
        <v>2987</v>
      </c>
      <c r="F46" s="92" t="s">
        <v>2988</v>
      </c>
      <c r="G46" s="90" t="s">
        <v>2774</v>
      </c>
      <c r="H46" s="89"/>
      <c r="I46" s="90" t="s">
        <v>2764</v>
      </c>
      <c r="K46" s="16" t="s">
        <v>244</v>
      </c>
      <c r="L46" s="16" t="s">
        <v>362</v>
      </c>
      <c r="M46" s="17" t="s">
        <v>2989</v>
      </c>
      <c r="N46" s="17" t="s">
        <v>2990</v>
      </c>
      <c r="O46" s="93" t="s">
        <v>2767</v>
      </c>
      <c r="P46" s="17" t="s">
        <v>2768</v>
      </c>
      <c r="Q46" s="78" t="s">
        <v>2991</v>
      </c>
      <c r="R46" s="16" t="str">
        <f aca="false">IFERROR(INDEX(Scoring!$E$29:$E$361,MATCH("Ceftazidime|Wockhardt",Scoring!$AD$29:$AD$361,0)),"")</f>
        <v>Priority 2</v>
      </c>
      <c r="S46" s="16" t="s">
        <v>2992</v>
      </c>
    </row>
    <row r="47" customFormat="false" ht="82.05" hidden="false" customHeight="false" outlineLevel="0" collapsed="false">
      <c r="A47" s="89" t="s">
        <v>1199</v>
      </c>
      <c r="B47" s="90" t="s">
        <v>1201</v>
      </c>
      <c r="C47" s="90" t="s">
        <v>2771</v>
      </c>
      <c r="D47" s="91" t="s">
        <v>1533</v>
      </c>
      <c r="E47" s="90" t="s">
        <v>2993</v>
      </c>
      <c r="F47" s="92" t="s">
        <v>2994</v>
      </c>
      <c r="G47" s="90" t="s">
        <v>2762</v>
      </c>
      <c r="H47" s="89"/>
      <c r="I47" s="90" t="s">
        <v>2982</v>
      </c>
      <c r="K47" s="16" t="s">
        <v>229</v>
      </c>
      <c r="L47" s="16" t="s">
        <v>76</v>
      </c>
      <c r="M47" s="17" t="s">
        <v>2995</v>
      </c>
      <c r="N47" s="17" t="s">
        <v>2996</v>
      </c>
      <c r="O47" s="93" t="s">
        <v>2767</v>
      </c>
      <c r="P47" s="17" t="s">
        <v>2768</v>
      </c>
      <c r="Q47" s="78" t="s">
        <v>2997</v>
      </c>
      <c r="R47" s="16" t="str">
        <f aca="false">IFERROR(INDEX(Scoring!$E$29:$E$361,MATCH("Ceftriaxone|Aurobindo Pharma",Scoring!$AD$29:$AD$361,0)),"")</f>
        <v>Priority 2</v>
      </c>
      <c r="S47" s="16" t="s">
        <v>2998</v>
      </c>
    </row>
    <row r="48" customFormat="false" ht="135.8" hidden="false" customHeight="false" outlineLevel="0" collapsed="false">
      <c r="A48" s="89" t="s">
        <v>401</v>
      </c>
      <c r="B48" s="90" t="s">
        <v>403</v>
      </c>
      <c r="C48" s="90" t="s">
        <v>2828</v>
      </c>
      <c r="D48" s="91" t="s">
        <v>283</v>
      </c>
      <c r="E48" s="90" t="s">
        <v>2999</v>
      </c>
      <c r="F48" s="92" t="s">
        <v>3000</v>
      </c>
      <c r="G48" s="90" t="s">
        <v>3001</v>
      </c>
      <c r="H48" s="92" t="s">
        <v>3002</v>
      </c>
      <c r="I48" s="90" t="s">
        <v>3003</v>
      </c>
      <c r="K48" s="16" t="s">
        <v>21</v>
      </c>
      <c r="L48" s="16" t="s">
        <v>76</v>
      </c>
      <c r="M48" s="17" t="s">
        <v>3004</v>
      </c>
      <c r="N48" s="17" t="s">
        <v>3005</v>
      </c>
      <c r="O48" s="93" t="s">
        <v>2767</v>
      </c>
      <c r="P48" s="17" t="s">
        <v>2768</v>
      </c>
      <c r="Q48" s="78" t="s">
        <v>3006</v>
      </c>
      <c r="R48" s="16" t="str">
        <f aca="false">IFERROR(INDEX(Scoring!$E$29:$E$361,MATCH("Ceftriaxone|Intas Pharmaceuticals",Scoring!$AD$29:$AD$361,0)),"")</f>
        <v>Priority 2</v>
      </c>
      <c r="S48" s="16" t="s">
        <v>3007</v>
      </c>
    </row>
    <row r="49" customFormat="false" ht="55.2" hidden="false" customHeight="false" outlineLevel="0" collapsed="false">
      <c r="A49" s="89" t="s">
        <v>1012</v>
      </c>
      <c r="B49" s="90" t="s">
        <v>1014</v>
      </c>
      <c r="C49" s="90" t="s">
        <v>2828</v>
      </c>
      <c r="D49" s="91" t="s">
        <v>283</v>
      </c>
      <c r="E49" s="90" t="s">
        <v>3008</v>
      </c>
      <c r="F49" s="92" t="s">
        <v>3009</v>
      </c>
      <c r="G49" s="90" t="s">
        <v>2774</v>
      </c>
      <c r="H49" s="89"/>
      <c r="I49" s="90" t="s">
        <v>2764</v>
      </c>
      <c r="K49" s="16" t="s">
        <v>243</v>
      </c>
      <c r="L49" s="16" t="s">
        <v>76</v>
      </c>
      <c r="M49" s="17" t="s">
        <v>3010</v>
      </c>
      <c r="N49" s="17" t="s">
        <v>3011</v>
      </c>
      <c r="O49" s="93" t="s">
        <v>2767</v>
      </c>
      <c r="P49" s="17" t="s">
        <v>2768</v>
      </c>
      <c r="Q49" s="78" t="s">
        <v>3012</v>
      </c>
      <c r="R49" s="16" t="str">
        <f aca="false">IFERROR(INDEX(Scoring!$E$29:$E$361,MATCH("Ceftriaxone|Venus Remedies",Scoring!$AD$29:$AD$361,0)),"")</f>
        <v>Priority 1</v>
      </c>
      <c r="S49" s="16" t="s">
        <v>3013</v>
      </c>
    </row>
    <row r="50" customFormat="false" ht="68.65" hidden="false" customHeight="false" outlineLevel="0" collapsed="false">
      <c r="A50" s="89" t="s">
        <v>408</v>
      </c>
      <c r="B50" s="90" t="s">
        <v>410</v>
      </c>
      <c r="C50" s="90" t="s">
        <v>2771</v>
      </c>
      <c r="D50" s="91" t="s">
        <v>1533</v>
      </c>
      <c r="E50" s="90" t="s">
        <v>3014</v>
      </c>
      <c r="F50" s="92" t="s">
        <v>3015</v>
      </c>
      <c r="G50" s="90" t="s">
        <v>2774</v>
      </c>
      <c r="H50" s="92" t="s">
        <v>3016</v>
      </c>
      <c r="I50" s="90" t="s">
        <v>2982</v>
      </c>
      <c r="K50" s="16" t="s">
        <v>244</v>
      </c>
      <c r="L50" s="16" t="s">
        <v>76</v>
      </c>
      <c r="M50" s="17" t="s">
        <v>3017</v>
      </c>
      <c r="N50" s="17" t="s">
        <v>3018</v>
      </c>
      <c r="O50" s="93" t="s">
        <v>2767</v>
      </c>
      <c r="P50" s="17" t="s">
        <v>2768</v>
      </c>
      <c r="Q50" s="78" t="s">
        <v>3019</v>
      </c>
      <c r="R50" s="16" t="str">
        <f aca="false">IFERROR(INDEX(Scoring!$E$29:$E$361,MATCH("Ceftriaxone|Wockhardt",Scoring!$AD$29:$AD$361,0)),"")</f>
        <v>Priority 2</v>
      </c>
      <c r="S50" s="16" t="s">
        <v>3020</v>
      </c>
    </row>
    <row r="51" customFormat="false" ht="41.75" hidden="false" customHeight="false" outlineLevel="0" collapsed="false">
      <c r="A51" s="89" t="s">
        <v>415</v>
      </c>
      <c r="B51" s="90" t="s">
        <v>416</v>
      </c>
      <c r="C51" s="90" t="s">
        <v>2771</v>
      </c>
      <c r="D51" s="91" t="s">
        <v>1533</v>
      </c>
      <c r="E51" s="90" t="s">
        <v>3021</v>
      </c>
      <c r="F51" s="92" t="s">
        <v>3022</v>
      </c>
      <c r="G51" s="90" t="s">
        <v>2774</v>
      </c>
      <c r="H51" s="89"/>
      <c r="I51" s="90" t="s">
        <v>2776</v>
      </c>
      <c r="K51" s="16" t="s">
        <v>245</v>
      </c>
      <c r="L51" s="16" t="s">
        <v>76</v>
      </c>
      <c r="M51" s="17" t="s">
        <v>3023</v>
      </c>
      <c r="N51" s="17" t="s">
        <v>3024</v>
      </c>
      <c r="O51" s="93" t="s">
        <v>2767</v>
      </c>
      <c r="P51" s="17" t="s">
        <v>2768</v>
      </c>
      <c r="Q51" s="78" t="s">
        <v>3025</v>
      </c>
      <c r="R51" s="16" t="str">
        <f aca="false">IFERROR(INDEX(Scoring!$E$29:$E$361,MATCH("Ceftriaxone|Zydus Lifesciences",Scoring!$AD$29:$AD$361,0)),"")</f>
        <v>Priority 2</v>
      </c>
      <c r="S51" s="16" t="s">
        <v>3026</v>
      </c>
    </row>
    <row r="52" customFormat="false" ht="68.65" hidden="false" customHeight="false" outlineLevel="0" collapsed="false">
      <c r="A52" s="89" t="s">
        <v>724</v>
      </c>
      <c r="B52" s="90" t="s">
        <v>726</v>
      </c>
      <c r="C52" s="90" t="s">
        <v>2771</v>
      </c>
      <c r="D52" s="91" t="s">
        <v>1533</v>
      </c>
      <c r="E52" s="90" t="s">
        <v>3027</v>
      </c>
      <c r="F52" s="92" t="s">
        <v>3028</v>
      </c>
      <c r="G52" s="90" t="s">
        <v>2774</v>
      </c>
      <c r="H52" s="92" t="s">
        <v>3029</v>
      </c>
      <c r="I52" s="90" t="s">
        <v>2776</v>
      </c>
      <c r="K52" s="16" t="s">
        <v>244</v>
      </c>
      <c r="L52" s="16" t="s">
        <v>1428</v>
      </c>
      <c r="M52" s="17" t="s">
        <v>3030</v>
      </c>
      <c r="N52" s="17" t="s">
        <v>3031</v>
      </c>
      <c r="O52" s="93" t="s">
        <v>2767</v>
      </c>
      <c r="P52" s="17" t="s">
        <v>2768</v>
      </c>
      <c r="Q52" s="78" t="s">
        <v>3032</v>
      </c>
      <c r="R52" s="16" t="str">
        <f aca="false">IFERROR(INDEX(Scoring!$E$29:$E$361,MATCH("Chlorphenamine|Wockhardt",Scoring!$AD$29:$AD$361,0)),"")</f>
        <v>Priority 3</v>
      </c>
      <c r="S52" s="16" t="s">
        <v>3033</v>
      </c>
    </row>
    <row r="53" customFormat="false" ht="41.75" hidden="false" customHeight="false" outlineLevel="0" collapsed="false">
      <c r="A53" s="89" t="s">
        <v>419</v>
      </c>
      <c r="B53" s="90" t="s">
        <v>421</v>
      </c>
      <c r="C53" s="90" t="s">
        <v>2759</v>
      </c>
      <c r="D53" s="91" t="s">
        <v>283</v>
      </c>
      <c r="E53" s="90" t="s">
        <v>3034</v>
      </c>
      <c r="F53" s="92" t="s">
        <v>3035</v>
      </c>
      <c r="G53" s="90" t="s">
        <v>2774</v>
      </c>
      <c r="H53" s="89"/>
      <c r="I53" s="90" t="s">
        <v>2764</v>
      </c>
      <c r="K53" s="16" t="s">
        <v>229</v>
      </c>
      <c r="L53" s="16" t="s">
        <v>375</v>
      </c>
      <c r="M53" s="17" t="s">
        <v>3036</v>
      </c>
      <c r="N53" s="17" t="s">
        <v>3037</v>
      </c>
      <c r="O53" s="93" t="s">
        <v>2767</v>
      </c>
      <c r="P53" s="17" t="s">
        <v>2768</v>
      </c>
      <c r="Q53" s="78" t="s">
        <v>3038</v>
      </c>
      <c r="R53" s="16" t="str">
        <f aca="false">IFERROR(INDEX(Scoring!$E$29:$E$361,MATCH("Chlorpromazine|Aurobindo Pharma",Scoring!$AD$29:$AD$361,0)),"")</f>
        <v>Priority 3</v>
      </c>
      <c r="S53" s="16" t="s">
        <v>3039</v>
      </c>
    </row>
    <row r="54" customFormat="false" ht="68.65" hidden="false" customHeight="false" outlineLevel="0" collapsed="false">
      <c r="A54" s="89" t="s">
        <v>426</v>
      </c>
      <c r="B54" s="90" t="s">
        <v>428</v>
      </c>
      <c r="C54" s="90" t="s">
        <v>2771</v>
      </c>
      <c r="D54" s="91" t="s">
        <v>1533</v>
      </c>
      <c r="E54" s="90" t="s">
        <v>3040</v>
      </c>
      <c r="F54" s="92" t="s">
        <v>3041</v>
      </c>
      <c r="G54" s="90" t="s">
        <v>2774</v>
      </c>
      <c r="H54" s="92" t="s">
        <v>3042</v>
      </c>
      <c r="I54" s="90" t="s">
        <v>2776</v>
      </c>
      <c r="K54" s="16" t="s">
        <v>234</v>
      </c>
      <c r="L54" s="16" t="s">
        <v>375</v>
      </c>
      <c r="M54" s="17" t="s">
        <v>3043</v>
      </c>
      <c r="N54" s="17" t="s">
        <v>3044</v>
      </c>
      <c r="O54" s="93" t="s">
        <v>2767</v>
      </c>
      <c r="P54" s="17" t="s">
        <v>2768</v>
      </c>
      <c r="Q54" s="78" t="s">
        <v>2895</v>
      </c>
      <c r="R54" s="16" t="str">
        <f aca="false">IFERROR(INDEX(Scoring!$E$29:$E$361,MATCH("Chlorpromazine|Hetero Labs",Scoring!$AD$29:$AD$361,0)),"")</f>
        <v>Priority 3</v>
      </c>
      <c r="S54" s="16" t="s">
        <v>3045</v>
      </c>
    </row>
    <row r="55" customFormat="false" ht="68.65" hidden="false" customHeight="false" outlineLevel="0" collapsed="false">
      <c r="A55" s="89" t="s">
        <v>804</v>
      </c>
      <c r="B55" s="90" t="s">
        <v>806</v>
      </c>
      <c r="C55" s="90" t="s">
        <v>2771</v>
      </c>
      <c r="D55" s="91" t="s">
        <v>1533</v>
      </c>
      <c r="E55" s="90" t="s">
        <v>3046</v>
      </c>
      <c r="F55" s="92" t="s">
        <v>3047</v>
      </c>
      <c r="G55" s="90" t="s">
        <v>2774</v>
      </c>
      <c r="H55" s="92" t="s">
        <v>3048</v>
      </c>
      <c r="I55" s="90" t="s">
        <v>2776</v>
      </c>
      <c r="K55" s="16" t="s">
        <v>236</v>
      </c>
      <c r="L55" s="16" t="s">
        <v>375</v>
      </c>
      <c r="M55" s="17" t="s">
        <v>3049</v>
      </c>
      <c r="N55" s="17" t="s">
        <v>3050</v>
      </c>
      <c r="O55" s="93" t="s">
        <v>2767</v>
      </c>
      <c r="P55" s="17" t="s">
        <v>2768</v>
      </c>
      <c r="Q55" s="78" t="s">
        <v>3051</v>
      </c>
      <c r="R55" s="16" t="str">
        <f aca="false">IFERROR(INDEX(Scoring!$E$29:$E$361,MATCH("Chlorpromazine|MSN Laboratories",Scoring!$AD$29:$AD$361,0)),"")</f>
        <v>Priority 3</v>
      </c>
      <c r="S55" s="16" t="s">
        <v>3052</v>
      </c>
    </row>
    <row r="56" customFormat="false" ht="55.2" hidden="false" customHeight="false" outlineLevel="0" collapsed="false">
      <c r="A56" s="89" t="s">
        <v>1481</v>
      </c>
      <c r="B56" s="90" t="s">
        <v>1482</v>
      </c>
      <c r="C56" s="90" t="s">
        <v>2771</v>
      </c>
      <c r="D56" s="91" t="s">
        <v>1533</v>
      </c>
      <c r="E56" s="90" t="s">
        <v>3053</v>
      </c>
      <c r="F56" s="92" t="s">
        <v>3054</v>
      </c>
      <c r="G56" s="90" t="s">
        <v>2774</v>
      </c>
      <c r="H56" s="89"/>
      <c r="I56" s="90" t="s">
        <v>2776</v>
      </c>
      <c r="K56" s="16" t="s">
        <v>245</v>
      </c>
      <c r="L56" s="16" t="s">
        <v>375</v>
      </c>
      <c r="M56" s="17" t="s">
        <v>3055</v>
      </c>
      <c r="N56" s="17" t="s">
        <v>3056</v>
      </c>
      <c r="O56" s="93" t="s">
        <v>2767</v>
      </c>
      <c r="P56" s="17" t="s">
        <v>2768</v>
      </c>
      <c r="Q56" s="78" t="s">
        <v>3057</v>
      </c>
      <c r="R56" s="16" t="str">
        <f aca="false">IFERROR(INDEX(Scoring!$E$29:$E$361,MATCH("Chlorpromazine|Zydus Lifesciences",Scoring!$AD$29:$AD$361,0)),"")</f>
        <v>Priority 3</v>
      </c>
      <c r="S56" s="16" t="s">
        <v>3058</v>
      </c>
    </row>
    <row r="57" customFormat="false" ht="68.65" hidden="false" customHeight="false" outlineLevel="0" collapsed="false">
      <c r="A57" s="89" t="s">
        <v>1303</v>
      </c>
      <c r="B57" s="90" t="s">
        <v>1305</v>
      </c>
      <c r="C57" s="90" t="s">
        <v>2771</v>
      </c>
      <c r="D57" s="91" t="s">
        <v>1533</v>
      </c>
      <c r="E57" s="90" t="s">
        <v>3059</v>
      </c>
      <c r="F57" s="92" t="s">
        <v>3060</v>
      </c>
      <c r="G57" s="90" t="s">
        <v>2774</v>
      </c>
      <c r="H57" s="92" t="s">
        <v>3061</v>
      </c>
      <c r="I57" s="90" t="s">
        <v>2776</v>
      </c>
      <c r="K57" s="16" t="s">
        <v>232</v>
      </c>
      <c r="L57" s="16" t="s">
        <v>790</v>
      </c>
      <c r="M57" s="17" t="s">
        <v>3062</v>
      </c>
      <c r="N57" s="17" t="s">
        <v>3063</v>
      </c>
      <c r="O57" s="93" t="s">
        <v>2767</v>
      </c>
      <c r="P57" s="17" t="s">
        <v>2768</v>
      </c>
      <c r="Q57" s="78" t="s">
        <v>2905</v>
      </c>
      <c r="R57" s="16" t="str">
        <f aca="false">IFERROR(INDEX(Scoring!$E$29:$E$361,MATCH("Colistimethate Sodium|Emcure Pharmaceuticals",Scoring!$AD$29:$AD$361,0)),"")</f>
        <v>Priority 3</v>
      </c>
      <c r="S57" s="16" t="s">
        <v>3064</v>
      </c>
    </row>
    <row r="58" customFormat="false" ht="95.5" hidden="false" customHeight="false" outlineLevel="0" collapsed="false">
      <c r="A58" s="89" t="s">
        <v>1208</v>
      </c>
      <c r="B58" s="90" t="s">
        <v>1209</v>
      </c>
      <c r="C58" s="90" t="s">
        <v>2771</v>
      </c>
      <c r="D58" s="91" t="s">
        <v>1533</v>
      </c>
      <c r="E58" s="90" t="s">
        <v>3065</v>
      </c>
      <c r="F58" s="92" t="s">
        <v>3066</v>
      </c>
      <c r="G58" s="90" t="s">
        <v>2774</v>
      </c>
      <c r="H58" s="89"/>
      <c r="I58" s="90" t="s">
        <v>2776</v>
      </c>
      <c r="K58" s="16" t="s">
        <v>21</v>
      </c>
      <c r="L58" s="16" t="s">
        <v>790</v>
      </c>
      <c r="M58" s="17" t="s">
        <v>3067</v>
      </c>
      <c r="N58" s="17" t="s">
        <v>3068</v>
      </c>
      <c r="O58" s="65" t="s">
        <v>2779</v>
      </c>
      <c r="P58" s="17" t="s">
        <v>2768</v>
      </c>
      <c r="Q58" s="78" t="s">
        <v>3069</v>
      </c>
      <c r="R58" s="16" t="str">
        <f aca="false">IFERROR(INDEX(Scoring!$E$29:$E$361,MATCH("Colistimethate Sodium|Intas Pharmaceuticals",Scoring!$AD$29:$AD$361,0)),"")</f>
        <v>Excluded – IV only</v>
      </c>
      <c r="S58" s="16" t="s">
        <v>3070</v>
      </c>
    </row>
    <row r="59" customFormat="false" ht="55.2" hidden="false" customHeight="false" outlineLevel="0" collapsed="false">
      <c r="A59" s="89" t="s">
        <v>1211</v>
      </c>
      <c r="B59" s="90" t="s">
        <v>1213</v>
      </c>
      <c r="C59" s="90" t="s">
        <v>2759</v>
      </c>
      <c r="D59" s="91" t="s">
        <v>283</v>
      </c>
      <c r="E59" s="90" t="s">
        <v>3071</v>
      </c>
      <c r="F59" s="92" t="s">
        <v>3072</v>
      </c>
      <c r="G59" s="90" t="s">
        <v>2774</v>
      </c>
      <c r="H59" s="89"/>
      <c r="I59" s="90" t="s">
        <v>2764</v>
      </c>
      <c r="K59" s="16" t="s">
        <v>245</v>
      </c>
      <c r="L59" s="16" t="s">
        <v>881</v>
      </c>
      <c r="M59" s="17" t="s">
        <v>3073</v>
      </c>
      <c r="N59" s="17" t="s">
        <v>3074</v>
      </c>
      <c r="O59" s="93" t="s">
        <v>2767</v>
      </c>
      <c r="P59" s="17" t="s">
        <v>2768</v>
      </c>
      <c r="Q59" s="78" t="s">
        <v>3075</v>
      </c>
      <c r="R59" s="16" t="str">
        <f aca="false">IFERROR(INDEX(Scoring!$E$29:$E$361,MATCH("Cyanocobalamin|Zydus Lifesciences",Scoring!$AD$29:$AD$361,0)),"")</f>
        <v>Priority 2</v>
      </c>
      <c r="S59" s="16" t="s">
        <v>3076</v>
      </c>
    </row>
    <row r="60" customFormat="false" ht="149.25" hidden="false" customHeight="false" outlineLevel="0" collapsed="false">
      <c r="A60" s="89" t="s">
        <v>732</v>
      </c>
      <c r="B60" s="90" t="s">
        <v>734</v>
      </c>
      <c r="C60" s="90" t="s">
        <v>2771</v>
      </c>
      <c r="D60" s="91" t="s">
        <v>1533</v>
      </c>
      <c r="E60" s="90" t="s">
        <v>3077</v>
      </c>
      <c r="F60" s="92" t="s">
        <v>3078</v>
      </c>
      <c r="G60" s="90" t="s">
        <v>2774</v>
      </c>
      <c r="H60" s="89"/>
      <c r="I60" s="90" t="s">
        <v>2776</v>
      </c>
      <c r="K60" s="16" t="s">
        <v>237</v>
      </c>
      <c r="L60" s="16" t="s">
        <v>1255</v>
      </c>
      <c r="M60" s="17" t="s">
        <v>3079</v>
      </c>
      <c r="N60" s="17" t="s">
        <v>3080</v>
      </c>
      <c r="O60" s="93" t="s">
        <v>2767</v>
      </c>
      <c r="P60" s="17" t="s">
        <v>2768</v>
      </c>
      <c r="Q60" s="78" t="s">
        <v>3081</v>
      </c>
      <c r="R60" s="16" t="str">
        <f aca="false">IFERROR(INDEX(Scoring!$E$29:$E$361,MATCH("Cyclizine|Micro Labs",Scoring!$AD$29:$AD$361,0)),"")</f>
        <v>Priority 2</v>
      </c>
      <c r="S60" s="16" t="s">
        <v>3082</v>
      </c>
    </row>
    <row r="61" customFormat="false" ht="108.95" hidden="false" customHeight="false" outlineLevel="0" collapsed="false">
      <c r="A61" s="89" t="s">
        <v>433</v>
      </c>
      <c r="B61" s="90" t="s">
        <v>435</v>
      </c>
      <c r="C61" s="90" t="s">
        <v>3083</v>
      </c>
      <c r="D61" s="91" t="s">
        <v>283</v>
      </c>
      <c r="E61" s="90" t="s">
        <v>3084</v>
      </c>
      <c r="F61" s="92" t="s">
        <v>3085</v>
      </c>
      <c r="G61" s="90" t="s">
        <v>2762</v>
      </c>
      <c r="H61" s="89"/>
      <c r="I61" s="90" t="s">
        <v>2764</v>
      </c>
      <c r="K61" s="16" t="s">
        <v>21</v>
      </c>
      <c r="L61" s="16" t="s">
        <v>984</v>
      </c>
      <c r="M61" s="17" t="s">
        <v>3086</v>
      </c>
      <c r="N61" s="17" t="s">
        <v>3087</v>
      </c>
      <c r="O61" s="93" t="s">
        <v>2767</v>
      </c>
      <c r="P61" s="17" t="s">
        <v>2768</v>
      </c>
      <c r="Q61" s="78" t="s">
        <v>3088</v>
      </c>
      <c r="R61" s="16" t="str">
        <f aca="false">IFERROR(INDEX(Scoring!$E$29:$E$361,MATCH("Cytarabine|Intas Pharmaceuticals",Scoring!$AD$29:$AD$361,0)),"")</f>
        <v>Priority 2</v>
      </c>
      <c r="S61" s="16" t="s">
        <v>3089</v>
      </c>
    </row>
    <row r="62" customFormat="false" ht="55.2" hidden="false" customHeight="false" outlineLevel="0" collapsed="false">
      <c r="A62" s="89" t="s">
        <v>1034</v>
      </c>
      <c r="B62" s="90" t="s">
        <v>1036</v>
      </c>
      <c r="C62" s="90" t="s">
        <v>2771</v>
      </c>
      <c r="D62" s="91" t="s">
        <v>1533</v>
      </c>
      <c r="E62" s="90" t="s">
        <v>3090</v>
      </c>
      <c r="F62" s="92" t="s">
        <v>3091</v>
      </c>
      <c r="G62" s="90" t="s">
        <v>2774</v>
      </c>
      <c r="H62" s="89"/>
      <c r="I62" s="90" t="s">
        <v>2982</v>
      </c>
      <c r="K62" s="16" t="s">
        <v>21</v>
      </c>
      <c r="L62" s="16" t="s">
        <v>995</v>
      </c>
      <c r="M62" s="17" t="s">
        <v>3092</v>
      </c>
      <c r="N62" s="17" t="s">
        <v>3093</v>
      </c>
      <c r="O62" s="93" t="s">
        <v>2767</v>
      </c>
      <c r="P62" s="17" t="s">
        <v>2768</v>
      </c>
      <c r="Q62" s="78" t="s">
        <v>3094</v>
      </c>
      <c r="R62" s="16" t="str">
        <f aca="false">IFERROR(INDEX(Scoring!$E$29:$E$361,MATCH("Degarelix|Intas Pharmaceuticals",Scoring!$AD$29:$AD$361,0)),"")</f>
        <v>Priority 2</v>
      </c>
      <c r="S62" s="16" t="s">
        <v>3095</v>
      </c>
    </row>
    <row r="63" customFormat="false" ht="41.75" hidden="false" customHeight="false" outlineLevel="0" collapsed="false">
      <c r="A63" s="89" t="s">
        <v>1486</v>
      </c>
      <c r="B63" s="90" t="s">
        <v>1487</v>
      </c>
      <c r="C63" s="90" t="s">
        <v>2771</v>
      </c>
      <c r="D63" s="91" t="s">
        <v>1533</v>
      </c>
      <c r="E63" s="90" t="s">
        <v>3096</v>
      </c>
      <c r="F63" s="92" t="s">
        <v>3097</v>
      </c>
      <c r="G63" s="90" t="s">
        <v>2762</v>
      </c>
      <c r="H63" s="89"/>
      <c r="I63" s="90" t="s">
        <v>2776</v>
      </c>
      <c r="K63" s="16" t="s">
        <v>21</v>
      </c>
      <c r="L63" s="16" t="s">
        <v>1002</v>
      </c>
      <c r="M63" s="17" t="s">
        <v>1005</v>
      </c>
      <c r="N63" s="17" t="s">
        <v>3098</v>
      </c>
      <c r="O63" s="93" t="s">
        <v>2767</v>
      </c>
      <c r="P63" s="17" t="s">
        <v>2780</v>
      </c>
      <c r="Q63" s="78" t="s">
        <v>3099</v>
      </c>
      <c r="R63" s="16" t="str">
        <f aca="false">IFERROR(INDEX(Scoring!$E$29:$E$361,MATCH("Denosumab|Intas Pharmaceuticals",Scoring!$AD$29:$AD$361,0)),"")</f>
        <v>Priority 1</v>
      </c>
      <c r="S63" s="16" t="s">
        <v>3100</v>
      </c>
    </row>
    <row r="64" customFormat="false" ht="68.65" hidden="false" customHeight="false" outlineLevel="0" collapsed="false">
      <c r="A64" s="89" t="s">
        <v>440</v>
      </c>
      <c r="B64" s="90" t="s">
        <v>441</v>
      </c>
      <c r="C64" s="90" t="s">
        <v>2771</v>
      </c>
      <c r="D64" s="91" t="s">
        <v>1533</v>
      </c>
      <c r="E64" s="90" t="s">
        <v>3101</v>
      </c>
      <c r="F64" s="92" t="s">
        <v>3102</v>
      </c>
      <c r="G64" s="90" t="s">
        <v>2774</v>
      </c>
      <c r="H64" s="92" t="s">
        <v>3103</v>
      </c>
      <c r="I64" s="90" t="s">
        <v>2982</v>
      </c>
      <c r="K64" s="16" t="s">
        <v>231</v>
      </c>
      <c r="L64" s="16" t="s">
        <v>719</v>
      </c>
      <c r="M64" s="17" t="s">
        <v>3104</v>
      </c>
      <c r="N64" s="17" t="s">
        <v>3105</v>
      </c>
      <c r="O64" s="93" t="s">
        <v>2767</v>
      </c>
      <c r="P64" s="17" t="s">
        <v>2768</v>
      </c>
      <c r="Q64" s="78" t="s">
        <v>2962</v>
      </c>
      <c r="R64" s="16" t="str">
        <f aca="false">IFERROR(INDEX(Scoring!$E$29:$E$361,MATCH("Desmopressin|Dr. Reddy's Laboratories",Scoring!$AD$29:$AD$361,0)),"")</f>
        <v>Priority 2</v>
      </c>
      <c r="S64" s="16" t="s">
        <v>3106</v>
      </c>
    </row>
    <row r="65" customFormat="false" ht="55.2" hidden="false" customHeight="false" outlineLevel="0" collapsed="false">
      <c r="A65" s="89" t="s">
        <v>444</v>
      </c>
      <c r="B65" s="90" t="s">
        <v>445</v>
      </c>
      <c r="C65" s="90" t="s">
        <v>2910</v>
      </c>
      <c r="D65" s="91" t="s">
        <v>283</v>
      </c>
      <c r="E65" s="90" t="s">
        <v>3107</v>
      </c>
      <c r="F65" s="92" t="s">
        <v>3108</v>
      </c>
      <c r="G65" s="90" t="s">
        <v>2774</v>
      </c>
      <c r="H65" s="89"/>
      <c r="I65" s="90" t="s">
        <v>2764</v>
      </c>
      <c r="K65" s="16" t="s">
        <v>228</v>
      </c>
      <c r="L65" s="16" t="s">
        <v>289</v>
      </c>
      <c r="M65" s="17" t="s">
        <v>3109</v>
      </c>
      <c r="N65" s="17" t="s">
        <v>3110</v>
      </c>
      <c r="O65" s="93" t="s">
        <v>2767</v>
      </c>
      <c r="P65" s="17" t="s">
        <v>2768</v>
      </c>
      <c r="Q65" s="78" t="s">
        <v>2968</v>
      </c>
      <c r="R65" s="16" t="str">
        <f aca="false">IFERROR(INDEX(Scoring!$E$29:$E$361,MATCH("Diazepam|Alembic Pharmaceuticals",Scoring!$AD$29:$AD$361,0)),"")</f>
        <v>Priority 3</v>
      </c>
      <c r="S65" s="16" t="s">
        <v>3111</v>
      </c>
    </row>
    <row r="66" customFormat="false" ht="55.2" hidden="false" customHeight="false" outlineLevel="0" collapsed="false">
      <c r="A66" s="89" t="s">
        <v>448</v>
      </c>
      <c r="B66" s="90" t="s">
        <v>450</v>
      </c>
      <c r="C66" s="90" t="s">
        <v>2759</v>
      </c>
      <c r="D66" s="91" t="s">
        <v>283</v>
      </c>
      <c r="E66" s="90" t="s">
        <v>3112</v>
      </c>
      <c r="F66" s="92" t="s">
        <v>3113</v>
      </c>
      <c r="G66" s="90" t="s">
        <v>2774</v>
      </c>
      <c r="H66" s="89"/>
      <c r="I66" s="90" t="s">
        <v>2764</v>
      </c>
      <c r="K66" s="16" t="s">
        <v>231</v>
      </c>
      <c r="L66" s="16" t="s">
        <v>289</v>
      </c>
      <c r="M66" s="17" t="s">
        <v>3114</v>
      </c>
      <c r="N66" s="17" t="s">
        <v>3115</v>
      </c>
      <c r="O66" s="93" t="s">
        <v>2767</v>
      </c>
      <c r="P66" s="17" t="s">
        <v>2768</v>
      </c>
      <c r="Q66" s="78" t="s">
        <v>3116</v>
      </c>
      <c r="R66" s="16" t="str">
        <f aca="false">IFERROR(INDEX(Scoring!$E$29:$E$361,MATCH("Diazepam|Dr. Reddy's Laboratories",Scoring!$AD$29:$AD$361,0)),"")</f>
        <v>Priority 3</v>
      </c>
      <c r="S66" s="16" t="s">
        <v>3117</v>
      </c>
    </row>
    <row r="67" customFormat="false" ht="95.5" hidden="false" customHeight="false" outlineLevel="0" collapsed="false">
      <c r="A67" s="89" t="s">
        <v>295</v>
      </c>
      <c r="B67" s="90" t="s">
        <v>296</v>
      </c>
      <c r="C67" s="90" t="s">
        <v>2818</v>
      </c>
      <c r="D67" s="91" t="s">
        <v>283</v>
      </c>
      <c r="E67" s="90" t="s">
        <v>3118</v>
      </c>
      <c r="F67" s="92" t="s">
        <v>3119</v>
      </c>
      <c r="G67" s="90" t="s">
        <v>2774</v>
      </c>
      <c r="H67" s="89"/>
      <c r="I67" s="90" t="s">
        <v>2764</v>
      </c>
      <c r="K67" s="16" t="s">
        <v>235</v>
      </c>
      <c r="L67" s="16" t="s">
        <v>289</v>
      </c>
      <c r="M67" s="17" t="s">
        <v>3120</v>
      </c>
      <c r="N67" s="17" t="s">
        <v>3121</v>
      </c>
      <c r="O67" s="93" t="s">
        <v>2767</v>
      </c>
      <c r="P67" s="17" t="s">
        <v>2780</v>
      </c>
      <c r="Q67" s="78" t="s">
        <v>3122</v>
      </c>
      <c r="R67" s="16" t="str">
        <f aca="false">IFERROR(INDEX(Scoring!$E$29:$E$361,MATCH("Diazepam|Lupin",Scoring!$AD$29:$AD$361,0)),"")</f>
        <v>Priority 3</v>
      </c>
      <c r="S67" s="16" t="s">
        <v>3123</v>
      </c>
    </row>
    <row r="68" customFormat="false" ht="82.05" hidden="false" customHeight="false" outlineLevel="0" collapsed="false">
      <c r="A68" s="89" t="s">
        <v>1239</v>
      </c>
      <c r="B68" s="90" t="s">
        <v>1241</v>
      </c>
      <c r="C68" s="90" t="s">
        <v>2771</v>
      </c>
      <c r="D68" s="91" t="s">
        <v>1533</v>
      </c>
      <c r="E68" s="90" t="s">
        <v>3124</v>
      </c>
      <c r="F68" s="92" t="s">
        <v>3125</v>
      </c>
      <c r="G68" s="90" t="s">
        <v>2774</v>
      </c>
      <c r="H68" s="92" t="s">
        <v>3126</v>
      </c>
      <c r="I68" s="90" t="s">
        <v>2776</v>
      </c>
      <c r="K68" s="16" t="s">
        <v>237</v>
      </c>
      <c r="L68" s="16" t="s">
        <v>1261</v>
      </c>
      <c r="M68" s="17" t="s">
        <v>3127</v>
      </c>
      <c r="N68" s="17" t="s">
        <v>3128</v>
      </c>
      <c r="O68" s="93" t="s">
        <v>2767</v>
      </c>
      <c r="P68" s="17" t="s">
        <v>2768</v>
      </c>
      <c r="Q68" s="78" t="s">
        <v>3129</v>
      </c>
      <c r="R68" s="16" t="str">
        <f aca="false">IFERROR(INDEX(Scoring!$E$29:$E$361,MATCH("Diphenhydramine|Micro Labs",Scoring!$AD$29:$AD$361,0)),"")</f>
        <v>Priority 3</v>
      </c>
      <c r="S68" s="16" t="s">
        <v>3130</v>
      </c>
    </row>
    <row r="69" customFormat="false" ht="68.65" hidden="false" customHeight="false" outlineLevel="0" collapsed="false">
      <c r="A69" s="89" t="s">
        <v>888</v>
      </c>
      <c r="B69" s="90" t="s">
        <v>890</v>
      </c>
      <c r="C69" s="90" t="s">
        <v>2759</v>
      </c>
      <c r="D69" s="91" t="s">
        <v>283</v>
      </c>
      <c r="E69" s="90" t="s">
        <v>3131</v>
      </c>
      <c r="F69" s="92" t="s">
        <v>3132</v>
      </c>
      <c r="G69" s="90" t="s">
        <v>2774</v>
      </c>
      <c r="H69" s="89"/>
      <c r="I69" s="90" t="s">
        <v>2764</v>
      </c>
      <c r="K69" s="16" t="s">
        <v>235</v>
      </c>
      <c r="L69" s="16" t="s">
        <v>1194</v>
      </c>
      <c r="M69" s="17" t="s">
        <v>3133</v>
      </c>
      <c r="N69" s="17" t="s">
        <v>3134</v>
      </c>
      <c r="O69" s="93" t="s">
        <v>2767</v>
      </c>
      <c r="P69" s="17" t="s">
        <v>2768</v>
      </c>
      <c r="Q69" s="78" t="s">
        <v>3135</v>
      </c>
      <c r="R69" s="16" t="str">
        <f aca="false">IFERROR(INDEX(Scoring!$E$29:$E$361,MATCH("Droperidol|Lupin",Scoring!$AD$29:$AD$361,0)),"")</f>
        <v>Priority 3</v>
      </c>
      <c r="S69" s="16" t="s">
        <v>3136</v>
      </c>
    </row>
    <row r="70" customFormat="false" ht="82.05" hidden="false" customHeight="false" outlineLevel="0" collapsed="false">
      <c r="A70" s="89" t="s">
        <v>1393</v>
      </c>
      <c r="B70" s="90" t="s">
        <v>520</v>
      </c>
      <c r="C70" s="90" t="s">
        <v>2771</v>
      </c>
      <c r="D70" s="91" t="s">
        <v>1533</v>
      </c>
      <c r="E70" s="90" t="s">
        <v>3137</v>
      </c>
      <c r="F70" s="92" t="s">
        <v>3138</v>
      </c>
      <c r="G70" s="90" t="s">
        <v>2774</v>
      </c>
      <c r="H70" s="92" t="s">
        <v>3139</v>
      </c>
      <c r="I70" s="90" t="s">
        <v>3140</v>
      </c>
      <c r="K70" s="16" t="s">
        <v>229</v>
      </c>
      <c r="L70" s="16" t="s">
        <v>401</v>
      </c>
      <c r="M70" s="17" t="s">
        <v>3141</v>
      </c>
      <c r="N70" s="17" t="s">
        <v>3142</v>
      </c>
      <c r="O70" s="93" t="s">
        <v>2767</v>
      </c>
      <c r="P70" s="17" t="s">
        <v>2768</v>
      </c>
      <c r="Q70" s="78" t="s">
        <v>3143</v>
      </c>
      <c r="R70" s="16" t="str">
        <f aca="false">IFERROR(INDEX(Scoring!$E$29:$E$361,MATCH("Ephedrine|Aurobindo Pharma",Scoring!$AD$29:$AD$361,0)),"")</f>
        <v>Priority 3</v>
      </c>
      <c r="S70" s="16" t="s">
        <v>3144</v>
      </c>
    </row>
    <row r="71" customFormat="false" ht="41.75" hidden="false" customHeight="false" outlineLevel="0" collapsed="false">
      <c r="A71" s="89" t="s">
        <v>1434</v>
      </c>
      <c r="B71" s="90" t="s">
        <v>1435</v>
      </c>
      <c r="C71" s="90" t="s">
        <v>2818</v>
      </c>
      <c r="D71" s="91" t="s">
        <v>283</v>
      </c>
      <c r="E71" s="90" t="s">
        <v>3145</v>
      </c>
      <c r="F71" s="92" t="s">
        <v>3146</v>
      </c>
      <c r="G71" s="90" t="s">
        <v>2774</v>
      </c>
      <c r="H71" s="89"/>
      <c r="I71" s="90" t="s">
        <v>2764</v>
      </c>
      <c r="K71" s="16" t="s">
        <v>231</v>
      </c>
      <c r="L71" s="16" t="s">
        <v>401</v>
      </c>
      <c r="M71" s="17" t="s">
        <v>3147</v>
      </c>
      <c r="N71" s="17" t="s">
        <v>3148</v>
      </c>
      <c r="O71" s="65" t="s">
        <v>2779</v>
      </c>
      <c r="P71" s="17" t="s">
        <v>2768</v>
      </c>
      <c r="Q71" s="78" t="s">
        <v>3149</v>
      </c>
      <c r="R71" s="16" t="str">
        <f aca="false">IFERROR(INDEX(Scoring!$E$29:$E$361,MATCH("Ephedrine|Dr. Reddy's Laboratories",Scoring!$AD$29:$AD$361,0)),"")</f>
        <v>Excluded – IV only</v>
      </c>
      <c r="S71" s="16" t="s">
        <v>3150</v>
      </c>
    </row>
    <row r="72" customFormat="false" ht="41.75" hidden="false" customHeight="false" outlineLevel="0" collapsed="false">
      <c r="A72" s="89" t="s">
        <v>1490</v>
      </c>
      <c r="B72" s="90" t="s">
        <v>445</v>
      </c>
      <c r="C72" s="90" t="s">
        <v>2818</v>
      </c>
      <c r="D72" s="91" t="s">
        <v>283</v>
      </c>
      <c r="E72" s="90" t="s">
        <v>3151</v>
      </c>
      <c r="F72" s="92" t="s">
        <v>3152</v>
      </c>
      <c r="G72" s="90" t="s">
        <v>2774</v>
      </c>
      <c r="H72" s="89"/>
      <c r="I72" s="90" t="s">
        <v>2764</v>
      </c>
      <c r="K72" s="16" t="s">
        <v>21</v>
      </c>
      <c r="L72" s="16" t="s">
        <v>1012</v>
      </c>
      <c r="M72" s="17" t="s">
        <v>3153</v>
      </c>
      <c r="N72" s="17" t="s">
        <v>3154</v>
      </c>
      <c r="O72" s="65" t="s">
        <v>2779</v>
      </c>
      <c r="P72" s="17" t="s">
        <v>2768</v>
      </c>
      <c r="Q72" s="78" t="s">
        <v>3155</v>
      </c>
      <c r="R72" s="16" t="str">
        <f aca="false">IFERROR(INDEX(Scoring!$E$29:$E$361,MATCH("Epinephrine (Adrenaline)|Intas Pharmaceuticals",Scoring!$AD$29:$AD$361,0)),"")</f>
        <v>Excluded – IV only</v>
      </c>
      <c r="S72" s="16" t="s">
        <v>3156</v>
      </c>
    </row>
    <row r="73" customFormat="false" ht="41.75" hidden="false" customHeight="false" outlineLevel="0" collapsed="false">
      <c r="A73" s="89" t="s">
        <v>1438</v>
      </c>
      <c r="B73" s="90" t="s">
        <v>1440</v>
      </c>
      <c r="C73" s="90" t="s">
        <v>2948</v>
      </c>
      <c r="D73" s="91" t="s">
        <v>283</v>
      </c>
      <c r="E73" s="90" t="s">
        <v>3157</v>
      </c>
      <c r="F73" s="92" t="s">
        <v>3158</v>
      </c>
      <c r="G73" s="90" t="s">
        <v>2774</v>
      </c>
      <c r="H73" s="89"/>
      <c r="I73" s="90" t="s">
        <v>2764</v>
      </c>
      <c r="K73" s="16" t="s">
        <v>229</v>
      </c>
      <c r="L73" s="16" t="s">
        <v>419</v>
      </c>
      <c r="M73" s="17" t="s">
        <v>3159</v>
      </c>
      <c r="N73" s="17" t="s">
        <v>3160</v>
      </c>
      <c r="O73" s="93" t="s">
        <v>2767</v>
      </c>
      <c r="P73" s="17" t="s">
        <v>2768</v>
      </c>
      <c r="Q73" s="78" t="s">
        <v>3161</v>
      </c>
      <c r="R73" s="16" t="str">
        <f aca="false">IFERROR(INDEX(Scoring!$E$29:$E$361,MATCH("Ertapenem|Aurobindo Pharma",Scoring!$AD$29:$AD$361,0)),"")</f>
        <v>Priority 1</v>
      </c>
      <c r="S73" s="16" t="s">
        <v>3162</v>
      </c>
    </row>
    <row r="74" customFormat="false" ht="41.75" hidden="false" customHeight="false" outlineLevel="0" collapsed="false">
      <c r="A74" s="89" t="s">
        <v>459</v>
      </c>
      <c r="B74" s="90" t="s">
        <v>461</v>
      </c>
      <c r="C74" s="90" t="s">
        <v>2759</v>
      </c>
      <c r="D74" s="91" t="s">
        <v>283</v>
      </c>
      <c r="E74" s="90" t="s">
        <v>3163</v>
      </c>
      <c r="F74" s="92" t="s">
        <v>3164</v>
      </c>
      <c r="G74" s="90" t="s">
        <v>2774</v>
      </c>
      <c r="H74" s="89"/>
      <c r="I74" s="90" t="s">
        <v>2764</v>
      </c>
      <c r="K74" s="16" t="s">
        <v>231</v>
      </c>
      <c r="L74" s="16" t="s">
        <v>419</v>
      </c>
      <c r="M74" s="17" t="s">
        <v>3165</v>
      </c>
      <c r="N74" s="17" t="s">
        <v>3166</v>
      </c>
      <c r="O74" s="93" t="s">
        <v>2767</v>
      </c>
      <c r="P74" s="17" t="s">
        <v>2768</v>
      </c>
      <c r="Q74" s="78" t="s">
        <v>3167</v>
      </c>
      <c r="R74" s="16" t="str">
        <f aca="false">IFERROR(INDEX(Scoring!$E$29:$E$361,MATCH("Ertapenem|Dr. Reddy's Laboratories",Scoring!$AD$29:$AD$361,0)),"")</f>
        <v>Priority 1</v>
      </c>
      <c r="S74" s="16" t="s">
        <v>3168</v>
      </c>
    </row>
    <row r="75" customFormat="false" ht="68.65" hidden="false" customHeight="false" outlineLevel="0" collapsed="false">
      <c r="A75" s="89" t="s">
        <v>632</v>
      </c>
      <c r="B75" s="90" t="s">
        <v>634</v>
      </c>
      <c r="C75" s="90" t="s">
        <v>2759</v>
      </c>
      <c r="D75" s="91" t="s">
        <v>283</v>
      </c>
      <c r="E75" s="90" t="s">
        <v>3169</v>
      </c>
      <c r="F75" s="92" t="s">
        <v>3170</v>
      </c>
      <c r="G75" s="90" t="s">
        <v>2774</v>
      </c>
      <c r="H75" s="89"/>
      <c r="I75" s="90" t="s">
        <v>2764</v>
      </c>
      <c r="K75" s="16" t="s">
        <v>235</v>
      </c>
      <c r="L75" s="16" t="s">
        <v>419</v>
      </c>
      <c r="M75" s="17" t="s">
        <v>3171</v>
      </c>
      <c r="N75" s="17" t="s">
        <v>3172</v>
      </c>
      <c r="O75" s="93" t="s">
        <v>2767</v>
      </c>
      <c r="P75" s="17" t="s">
        <v>2768</v>
      </c>
      <c r="Q75" s="78" t="s">
        <v>3173</v>
      </c>
      <c r="R75" s="16" t="str">
        <f aca="false">IFERROR(INDEX(Scoring!$E$29:$E$361,MATCH("Ertapenem|Lupin",Scoring!$AD$29:$AD$361,0)),"")</f>
        <v>Priority 2</v>
      </c>
      <c r="S75" s="16" t="s">
        <v>3174</v>
      </c>
    </row>
    <row r="76" customFormat="false" ht="41.75" hidden="false" customHeight="false" outlineLevel="0" collapsed="false">
      <c r="A76" s="89" t="s">
        <v>1051</v>
      </c>
      <c r="B76" s="90" t="s">
        <v>1053</v>
      </c>
      <c r="C76" s="90" t="s">
        <v>2828</v>
      </c>
      <c r="D76" s="91" t="s">
        <v>283</v>
      </c>
      <c r="E76" s="90" t="s">
        <v>3175</v>
      </c>
      <c r="F76" s="92" t="s">
        <v>3176</v>
      </c>
      <c r="G76" s="90" t="s">
        <v>2774</v>
      </c>
      <c r="H76" s="89"/>
      <c r="I76" s="90" t="s">
        <v>2764</v>
      </c>
      <c r="K76" s="16" t="s">
        <v>235</v>
      </c>
      <c r="L76" s="16" t="s">
        <v>1211</v>
      </c>
      <c r="M76" s="17" t="s">
        <v>3177</v>
      </c>
      <c r="N76" s="17" t="s">
        <v>3178</v>
      </c>
      <c r="O76" s="93" t="s">
        <v>2767</v>
      </c>
      <c r="P76" s="17" t="s">
        <v>2768</v>
      </c>
      <c r="Q76" s="78" t="s">
        <v>3179</v>
      </c>
      <c r="R76" s="16" t="str">
        <f aca="false">IFERROR(INDEX(Scoring!$E$29:$E$361,MATCH("Fentanyl|Lupin",Scoring!$AD$29:$AD$361,0)),"")</f>
        <v>Priority 3</v>
      </c>
      <c r="S76" s="16" t="s">
        <v>3180</v>
      </c>
    </row>
    <row r="77" customFormat="false" ht="68.65" hidden="false" customHeight="false" outlineLevel="0" collapsed="false">
      <c r="A77" s="89" t="s">
        <v>1444</v>
      </c>
      <c r="B77" s="90" t="s">
        <v>1445</v>
      </c>
      <c r="C77" s="90" t="s">
        <v>3181</v>
      </c>
      <c r="D77" s="91" t="s">
        <v>283</v>
      </c>
      <c r="E77" s="90" t="s">
        <v>3182</v>
      </c>
      <c r="F77" s="92" t="s">
        <v>3183</v>
      </c>
      <c r="G77" s="90" t="s">
        <v>2762</v>
      </c>
      <c r="H77" s="89"/>
      <c r="I77" s="90" t="s">
        <v>2764</v>
      </c>
      <c r="K77" s="16" t="s">
        <v>239</v>
      </c>
      <c r="L77" s="16" t="s">
        <v>1211</v>
      </c>
      <c r="M77" s="17" t="s">
        <v>3184</v>
      </c>
      <c r="N77" s="17" t="s">
        <v>3185</v>
      </c>
      <c r="O77" s="93" t="s">
        <v>2767</v>
      </c>
      <c r="P77" s="17" t="s">
        <v>2768</v>
      </c>
      <c r="Q77" s="78" t="s">
        <v>3186</v>
      </c>
      <c r="R77" s="16" t="str">
        <f aca="false">IFERROR(INDEX(Scoring!$E$29:$E$361,MATCH("Fentanyl|Piramal Pharma",Scoring!$AD$29:$AD$361,0)),"")</f>
        <v>Priority 3</v>
      </c>
      <c r="S77" s="16" t="s">
        <v>3187</v>
      </c>
    </row>
    <row r="78" customFormat="false" ht="41.75" hidden="false" customHeight="false" outlineLevel="0" collapsed="false">
      <c r="A78" s="89" t="s">
        <v>466</v>
      </c>
      <c r="B78" s="90" t="s">
        <v>468</v>
      </c>
      <c r="C78" s="90" t="s">
        <v>2771</v>
      </c>
      <c r="D78" s="91" t="s">
        <v>1533</v>
      </c>
      <c r="E78" s="90" t="s">
        <v>3188</v>
      </c>
      <c r="F78" s="92" t="s">
        <v>3189</v>
      </c>
      <c r="G78" s="90" t="s">
        <v>2762</v>
      </c>
      <c r="H78" s="89"/>
      <c r="I78" s="90" t="s">
        <v>2982</v>
      </c>
      <c r="K78" s="16" t="s">
        <v>21</v>
      </c>
      <c r="L78" s="16" t="s">
        <v>433</v>
      </c>
      <c r="M78" s="17" t="s">
        <v>3190</v>
      </c>
      <c r="N78" s="17" t="s">
        <v>3191</v>
      </c>
      <c r="O78" s="93" t="s">
        <v>2767</v>
      </c>
      <c r="P78" s="17" t="s">
        <v>2768</v>
      </c>
      <c r="Q78" s="78" t="s">
        <v>3192</v>
      </c>
      <c r="R78" s="16" t="str">
        <f aca="false">IFERROR(INDEX(Scoring!$E$29:$E$361,MATCH("Flucloxacillin|Intas Pharmaceuticals",Scoring!$AD$29:$AD$361,0)),"")</f>
        <v>Priority 3</v>
      </c>
      <c r="S78" s="16" t="s">
        <v>3193</v>
      </c>
    </row>
    <row r="79" customFormat="false" ht="82.05" hidden="false" customHeight="false" outlineLevel="0" collapsed="false">
      <c r="A79" s="89" t="s">
        <v>1059</v>
      </c>
      <c r="B79" s="90" t="s">
        <v>1061</v>
      </c>
      <c r="C79" s="90" t="s">
        <v>2771</v>
      </c>
      <c r="D79" s="91" t="s">
        <v>1533</v>
      </c>
      <c r="E79" s="90" t="s">
        <v>3194</v>
      </c>
      <c r="F79" s="92" t="s">
        <v>3195</v>
      </c>
      <c r="G79" s="90" t="s">
        <v>2774</v>
      </c>
      <c r="H79" s="92" t="s">
        <v>3196</v>
      </c>
      <c r="I79" s="90" t="s">
        <v>2776</v>
      </c>
      <c r="K79" s="16" t="s">
        <v>229</v>
      </c>
      <c r="L79" s="16" t="s">
        <v>444</v>
      </c>
      <c r="M79" s="17" t="s">
        <v>3197</v>
      </c>
      <c r="N79" s="17" t="s">
        <v>3198</v>
      </c>
      <c r="O79" s="93" t="s">
        <v>2767</v>
      </c>
      <c r="P79" s="17" t="s">
        <v>2768</v>
      </c>
      <c r="Q79" s="78" t="s">
        <v>3108</v>
      </c>
      <c r="R79" s="16" t="str">
        <f aca="false">IFERROR(INDEX(Scoring!$E$29:$E$361,MATCH("Fluphenazine Decanoate|Aurobindo Pharma",Scoring!$AD$29:$AD$361,0)),"")</f>
        <v>Priority 2</v>
      </c>
      <c r="S79" s="16" t="s">
        <v>3199</v>
      </c>
    </row>
    <row r="80" customFormat="false" ht="82.05" hidden="false" customHeight="false" outlineLevel="0" collapsed="false">
      <c r="A80" s="89" t="s">
        <v>1495</v>
      </c>
      <c r="B80" s="90" t="s">
        <v>1496</v>
      </c>
      <c r="C80" s="90" t="s">
        <v>3200</v>
      </c>
      <c r="D80" s="91" t="s">
        <v>283</v>
      </c>
      <c r="E80" s="90" t="s">
        <v>3201</v>
      </c>
      <c r="F80" s="92" t="s">
        <v>3202</v>
      </c>
      <c r="G80" s="90" t="s">
        <v>2762</v>
      </c>
      <c r="H80" s="92" t="s">
        <v>3203</v>
      </c>
      <c r="I80" s="90" t="s">
        <v>2764</v>
      </c>
      <c r="K80" s="16" t="s">
        <v>236</v>
      </c>
      <c r="L80" s="16" t="s">
        <v>444</v>
      </c>
      <c r="M80" s="17" t="s">
        <v>3204</v>
      </c>
      <c r="N80" s="17" t="s">
        <v>3205</v>
      </c>
      <c r="O80" s="93" t="s">
        <v>2767</v>
      </c>
      <c r="P80" s="17" t="s">
        <v>2768</v>
      </c>
      <c r="Q80" s="78" t="s">
        <v>3206</v>
      </c>
      <c r="R80" s="16" t="str">
        <f aca="false">IFERROR(INDEX(Scoring!$E$29:$E$361,MATCH("Fluphenazine Decanoate|MSN Laboratories",Scoring!$AD$29:$AD$361,0)),"")</f>
        <v>Priority 2</v>
      </c>
      <c r="S80" s="16" t="s">
        <v>3207</v>
      </c>
    </row>
    <row r="81" customFormat="false" ht="41.75" hidden="false" customHeight="false" outlineLevel="0" collapsed="false">
      <c r="A81" s="89" t="s">
        <v>1499</v>
      </c>
      <c r="B81" s="90" t="s">
        <v>1501</v>
      </c>
      <c r="C81" s="90" t="s">
        <v>2771</v>
      </c>
      <c r="D81" s="91" t="s">
        <v>1533</v>
      </c>
      <c r="E81" s="90" t="s">
        <v>3208</v>
      </c>
      <c r="F81" s="92" t="s">
        <v>3209</v>
      </c>
      <c r="G81" s="90" t="s">
        <v>2774</v>
      </c>
      <c r="H81" s="89"/>
      <c r="I81" s="90" t="s">
        <v>2982</v>
      </c>
      <c r="K81" s="16" t="s">
        <v>229</v>
      </c>
      <c r="L81" s="16" t="s">
        <v>448</v>
      </c>
      <c r="M81" s="17" t="s">
        <v>3210</v>
      </c>
      <c r="N81" s="17" t="s">
        <v>3211</v>
      </c>
      <c r="O81" s="67" t="s">
        <v>3212</v>
      </c>
      <c r="P81" s="17" t="s">
        <v>2768</v>
      </c>
      <c r="Q81" s="78" t="s">
        <v>3213</v>
      </c>
      <c r="R81" s="16" t="str">
        <f aca="false">IFERROR(INDEX(Scoring!$E$29:$E$361,MATCH("Folinic Acid (Leucovorin)|Aurobindo Pharma",Scoring!$AD$29:$AD$361,0)),"")</f>
        <v>Priority 1</v>
      </c>
      <c r="S81" s="16" t="s">
        <v>3214</v>
      </c>
    </row>
    <row r="82" customFormat="false" ht="41.75" hidden="false" customHeight="false" outlineLevel="0" collapsed="false">
      <c r="A82" s="89" t="s">
        <v>637</v>
      </c>
      <c r="B82" s="90" t="s">
        <v>639</v>
      </c>
      <c r="C82" s="90" t="s">
        <v>2828</v>
      </c>
      <c r="D82" s="91" t="s">
        <v>283</v>
      </c>
      <c r="E82" s="90" t="s">
        <v>3215</v>
      </c>
      <c r="F82" s="92" t="s">
        <v>3216</v>
      </c>
      <c r="G82" s="90" t="s">
        <v>2774</v>
      </c>
      <c r="H82" s="89"/>
      <c r="I82" s="90" t="s">
        <v>2764</v>
      </c>
      <c r="K82" s="16" t="s">
        <v>228</v>
      </c>
      <c r="L82" s="16" t="s">
        <v>295</v>
      </c>
      <c r="M82" s="17" t="s">
        <v>3217</v>
      </c>
      <c r="N82" s="17" t="s">
        <v>3218</v>
      </c>
      <c r="O82" s="93" t="s">
        <v>2767</v>
      </c>
      <c r="P82" s="17" t="s">
        <v>2780</v>
      </c>
      <c r="Q82" s="78" t="s">
        <v>298</v>
      </c>
      <c r="R82" s="16" t="str">
        <f aca="false">IFERROR(INDEX(Scoring!$E$29:$E$361,MATCH("Fulvestrant|Alembic Pharmaceuticals",Scoring!$AD$29:$AD$361,0)),"")</f>
        <v>Priority 1</v>
      </c>
      <c r="S82" s="16" t="s">
        <v>3219</v>
      </c>
    </row>
    <row r="83" customFormat="false" ht="41.75" hidden="false" customHeight="false" outlineLevel="0" collapsed="false">
      <c r="A83" s="89" t="s">
        <v>642</v>
      </c>
      <c r="B83" s="90" t="s">
        <v>644</v>
      </c>
      <c r="C83" s="90" t="s">
        <v>2948</v>
      </c>
      <c r="D83" s="91" t="s">
        <v>283</v>
      </c>
      <c r="E83" s="90" t="s">
        <v>3220</v>
      </c>
      <c r="F83" s="92" t="s">
        <v>3221</v>
      </c>
      <c r="G83" s="90" t="s">
        <v>2774</v>
      </c>
      <c r="H83" s="89"/>
      <c r="I83" s="90" t="s">
        <v>2764</v>
      </c>
      <c r="K83" s="16" t="s">
        <v>229</v>
      </c>
      <c r="L83" s="16" t="s">
        <v>295</v>
      </c>
      <c r="M83" s="17" t="s">
        <v>3217</v>
      </c>
      <c r="N83" s="17" t="s">
        <v>3218</v>
      </c>
      <c r="O83" s="93" t="s">
        <v>2767</v>
      </c>
      <c r="P83" s="17" t="s">
        <v>2780</v>
      </c>
      <c r="Q83" s="78" t="s">
        <v>298</v>
      </c>
      <c r="R83" s="16" t="str">
        <f aca="false">IFERROR(INDEX(Scoring!$E$29:$E$361,MATCH("Fulvestrant|Aurobindo Pharma",Scoring!$AD$29:$AD$361,0)),"")</f>
        <v>Priority 1</v>
      </c>
      <c r="S83" s="16" t="s">
        <v>3222</v>
      </c>
    </row>
    <row r="84" customFormat="false" ht="68.65" hidden="false" customHeight="false" outlineLevel="0" collapsed="false">
      <c r="A84" s="89" t="s">
        <v>1065</v>
      </c>
      <c r="B84" s="90" t="s">
        <v>997</v>
      </c>
      <c r="C84" s="90" t="s">
        <v>3223</v>
      </c>
      <c r="D84" s="91" t="s">
        <v>283</v>
      </c>
      <c r="E84" s="90" t="s">
        <v>3224</v>
      </c>
      <c r="F84" s="92" t="s">
        <v>3225</v>
      </c>
      <c r="G84" s="90" t="s">
        <v>2762</v>
      </c>
      <c r="H84" s="89"/>
      <c r="I84" s="90" t="s">
        <v>2764</v>
      </c>
      <c r="K84" s="16" t="s">
        <v>230</v>
      </c>
      <c r="L84" s="16" t="s">
        <v>295</v>
      </c>
      <c r="M84" s="17" t="s">
        <v>3217</v>
      </c>
      <c r="N84" s="17" t="s">
        <v>3218</v>
      </c>
      <c r="O84" s="93" t="s">
        <v>2767</v>
      </c>
      <c r="P84" s="17" t="s">
        <v>2780</v>
      </c>
      <c r="Q84" s="78" t="s">
        <v>298</v>
      </c>
      <c r="R84" s="16" t="str">
        <f aca="false">IFERROR(INDEX(Scoring!$E$29:$E$361,MATCH("Fulvestrant|Cipla",Scoring!$AD$29:$AD$361,0)),"")</f>
        <v>Priority 1</v>
      </c>
      <c r="S84" s="16" t="s">
        <v>3226</v>
      </c>
    </row>
    <row r="85" customFormat="false" ht="82.05" hidden="false" customHeight="false" outlineLevel="0" collapsed="false">
      <c r="A85" s="89" t="s">
        <v>1266</v>
      </c>
      <c r="B85" s="90" t="s">
        <v>1268</v>
      </c>
      <c r="C85" s="90" t="s">
        <v>2771</v>
      </c>
      <c r="D85" s="91" t="s">
        <v>1533</v>
      </c>
      <c r="E85" s="90" t="s">
        <v>3227</v>
      </c>
      <c r="F85" s="92" t="s">
        <v>3228</v>
      </c>
      <c r="G85" s="90" t="s">
        <v>2774</v>
      </c>
      <c r="H85" s="92" t="s">
        <v>3229</v>
      </c>
      <c r="I85" s="90" t="s">
        <v>2776</v>
      </c>
      <c r="K85" s="16" t="s">
        <v>231</v>
      </c>
      <c r="L85" s="16" t="s">
        <v>295</v>
      </c>
      <c r="M85" s="17" t="s">
        <v>3217</v>
      </c>
      <c r="N85" s="17" t="s">
        <v>3218</v>
      </c>
      <c r="O85" s="93" t="s">
        <v>2767</v>
      </c>
      <c r="P85" s="17" t="s">
        <v>2780</v>
      </c>
      <c r="Q85" s="78" t="s">
        <v>298</v>
      </c>
      <c r="R85" s="16" t="str">
        <f aca="false">IFERROR(INDEX(Scoring!$E$29:$E$361,MATCH("Fulvestrant|Dr. Reddy's Laboratories",Scoring!$AD$29:$AD$361,0)),"")</f>
        <v>Priority 1</v>
      </c>
      <c r="S85" s="16" t="s">
        <v>3230</v>
      </c>
    </row>
    <row r="86" customFormat="false" ht="82.05" hidden="false" customHeight="false" outlineLevel="0" collapsed="false">
      <c r="A86" s="89" t="s">
        <v>894</v>
      </c>
      <c r="B86" s="90" t="s">
        <v>896</v>
      </c>
      <c r="C86" s="90" t="s">
        <v>3231</v>
      </c>
      <c r="D86" s="91" t="s">
        <v>283</v>
      </c>
      <c r="E86" s="90" t="s">
        <v>3232</v>
      </c>
      <c r="F86" s="92" t="s">
        <v>3233</v>
      </c>
      <c r="G86" s="90" t="s">
        <v>2762</v>
      </c>
      <c r="H86" s="92" t="s">
        <v>3234</v>
      </c>
      <c r="I86" s="90" t="s">
        <v>2764</v>
      </c>
      <c r="K86" s="16" t="s">
        <v>233</v>
      </c>
      <c r="L86" s="16" t="s">
        <v>295</v>
      </c>
      <c r="M86" s="17" t="s">
        <v>3217</v>
      </c>
      <c r="N86" s="17" t="s">
        <v>3218</v>
      </c>
      <c r="O86" s="93" t="s">
        <v>2767</v>
      </c>
      <c r="P86" s="17" t="s">
        <v>2780</v>
      </c>
      <c r="Q86" s="78" t="s">
        <v>298</v>
      </c>
      <c r="R86" s="16" t="str">
        <f aca="false">IFERROR(INDEX(Scoring!$E$29:$E$361,MATCH("Fulvestrant|Glenmark Pharmaceuticals",Scoring!$AD$29:$AD$361,0)),"")</f>
        <v>Priority 1</v>
      </c>
      <c r="S86" s="16" t="s">
        <v>3235</v>
      </c>
    </row>
    <row r="87" customFormat="false" ht="41.75" hidden="false" customHeight="false" outlineLevel="0" collapsed="false">
      <c r="A87" s="89" t="s">
        <v>1272</v>
      </c>
      <c r="B87" s="90" t="s">
        <v>1274</v>
      </c>
      <c r="C87" s="90" t="s">
        <v>2759</v>
      </c>
      <c r="D87" s="91" t="s">
        <v>283</v>
      </c>
      <c r="E87" s="90" t="s">
        <v>3236</v>
      </c>
      <c r="F87" s="92" t="s">
        <v>3237</v>
      </c>
      <c r="G87" s="90" t="s">
        <v>2774</v>
      </c>
      <c r="H87" s="89"/>
      <c r="I87" s="90" t="s">
        <v>2764</v>
      </c>
      <c r="K87" s="16" t="s">
        <v>21</v>
      </c>
      <c r="L87" s="16" t="s">
        <v>295</v>
      </c>
      <c r="M87" s="17" t="s">
        <v>3217</v>
      </c>
      <c r="N87" s="17" t="s">
        <v>3218</v>
      </c>
      <c r="O87" s="93" t="s">
        <v>2767</v>
      </c>
      <c r="P87" s="17" t="s">
        <v>2780</v>
      </c>
      <c r="Q87" s="78" t="s">
        <v>298</v>
      </c>
      <c r="R87" s="16" t="str">
        <f aca="false">IFERROR(INDEX(Scoring!$E$29:$E$361,MATCH("Fulvestrant|Intas Pharmaceuticals",Scoring!$AD$29:$AD$361,0)),"")</f>
        <v>Priority 1</v>
      </c>
      <c r="S87" s="16" t="s">
        <v>3238</v>
      </c>
    </row>
    <row r="88" customFormat="false" ht="55.2" hidden="false" customHeight="false" outlineLevel="0" collapsed="false">
      <c r="A88" s="89" t="s">
        <v>899</v>
      </c>
      <c r="B88" s="90" t="s">
        <v>900</v>
      </c>
      <c r="C88" s="90" t="s">
        <v>2759</v>
      </c>
      <c r="D88" s="91" t="s">
        <v>283</v>
      </c>
      <c r="E88" s="90" t="s">
        <v>3239</v>
      </c>
      <c r="F88" s="92" t="s">
        <v>3240</v>
      </c>
      <c r="G88" s="90" t="s">
        <v>2774</v>
      </c>
      <c r="H88" s="89"/>
      <c r="I88" s="90" t="s">
        <v>2764</v>
      </c>
      <c r="K88" s="16" t="s">
        <v>241</v>
      </c>
      <c r="L88" s="16" t="s">
        <v>295</v>
      </c>
      <c r="M88" s="17" t="s">
        <v>3217</v>
      </c>
      <c r="N88" s="17" t="s">
        <v>3218</v>
      </c>
      <c r="O88" s="93" t="s">
        <v>2767</v>
      </c>
      <c r="P88" s="17" t="s">
        <v>2780</v>
      </c>
      <c r="Q88" s="78" t="s">
        <v>298</v>
      </c>
      <c r="R88" s="16" t="str">
        <f aca="false">IFERROR(INDEX(Scoring!$E$29:$E$361,MATCH("Fulvestrant|Sun Pharma",Scoring!$AD$29:$AD$361,0)),"")</f>
        <v>Priority 1</v>
      </c>
      <c r="S88" s="16" t="s">
        <v>3241</v>
      </c>
    </row>
    <row r="89" customFormat="false" ht="55.2" hidden="false" customHeight="false" outlineLevel="0" collapsed="false">
      <c r="A89" s="89" t="s">
        <v>647</v>
      </c>
      <c r="B89" s="90" t="s">
        <v>649</v>
      </c>
      <c r="C89" s="90" t="s">
        <v>3242</v>
      </c>
      <c r="D89" s="91" t="s">
        <v>283</v>
      </c>
      <c r="E89" s="90" t="s">
        <v>3243</v>
      </c>
      <c r="F89" s="92" t="s">
        <v>3244</v>
      </c>
      <c r="G89" s="90" t="s">
        <v>2762</v>
      </c>
      <c r="H89" s="89"/>
      <c r="I89" s="90" t="s">
        <v>2764</v>
      </c>
      <c r="K89" s="16" t="s">
        <v>242</v>
      </c>
      <c r="L89" s="16" t="s">
        <v>295</v>
      </c>
      <c r="M89" s="17" t="s">
        <v>3217</v>
      </c>
      <c r="N89" s="17" t="s">
        <v>3218</v>
      </c>
      <c r="O89" s="93" t="s">
        <v>2767</v>
      </c>
      <c r="P89" s="17" t="s">
        <v>2780</v>
      </c>
      <c r="Q89" s="78" t="s">
        <v>298</v>
      </c>
      <c r="R89" s="16" t="str">
        <f aca="false">IFERROR(INDEX(Scoring!$E$29:$E$361,MATCH("Fulvestrant|Torrent Pharmaceuticals",Scoring!$AD$29:$AD$361,0)),"")</f>
        <v>Priority 1</v>
      </c>
      <c r="S89" s="16" t="s">
        <v>3245</v>
      </c>
    </row>
    <row r="90" customFormat="false" ht="41.75" hidden="false" customHeight="false" outlineLevel="0" collapsed="false">
      <c r="A90" s="89" t="s">
        <v>471</v>
      </c>
      <c r="B90" s="90" t="s">
        <v>472</v>
      </c>
      <c r="C90" s="90" t="s">
        <v>2910</v>
      </c>
      <c r="D90" s="91" t="s">
        <v>283</v>
      </c>
      <c r="E90" s="90" t="s">
        <v>3246</v>
      </c>
      <c r="F90" s="92" t="s">
        <v>3247</v>
      </c>
      <c r="G90" s="90" t="s">
        <v>2774</v>
      </c>
      <c r="H90" s="89"/>
      <c r="I90" s="90" t="s">
        <v>2764</v>
      </c>
      <c r="K90" s="16" t="s">
        <v>245</v>
      </c>
      <c r="L90" s="16" t="s">
        <v>295</v>
      </c>
      <c r="M90" s="17" t="s">
        <v>3217</v>
      </c>
      <c r="N90" s="17" t="s">
        <v>3218</v>
      </c>
      <c r="O90" s="93" t="s">
        <v>2767</v>
      </c>
      <c r="P90" s="17" t="s">
        <v>2780</v>
      </c>
      <c r="Q90" s="78" t="s">
        <v>298</v>
      </c>
      <c r="R90" s="16" t="str">
        <f aca="false">IFERROR(INDEX(Scoring!$E$29:$E$361,MATCH("Fulvestrant|Zydus Lifesciences",Scoring!$AD$29:$AD$361,0)),"")</f>
        <v>Priority 1</v>
      </c>
      <c r="S90" s="16" t="s">
        <v>3248</v>
      </c>
    </row>
    <row r="91" customFormat="false" ht="82.05" hidden="false" customHeight="false" outlineLevel="0" collapsed="false">
      <c r="A91" s="89" t="s">
        <v>476</v>
      </c>
      <c r="B91" s="90" t="s">
        <v>478</v>
      </c>
      <c r="C91" s="90" t="s">
        <v>2771</v>
      </c>
      <c r="D91" s="91" t="s">
        <v>1533</v>
      </c>
      <c r="E91" s="90" t="s">
        <v>3249</v>
      </c>
      <c r="F91" s="92" t="s">
        <v>3250</v>
      </c>
      <c r="G91" s="90" t="s">
        <v>2774</v>
      </c>
      <c r="H91" s="92" t="s">
        <v>3251</v>
      </c>
      <c r="I91" s="90" t="s">
        <v>2776</v>
      </c>
      <c r="K91" s="16" t="s">
        <v>234</v>
      </c>
      <c r="L91" s="16" t="s">
        <v>888</v>
      </c>
      <c r="M91" s="17" t="s">
        <v>3252</v>
      </c>
      <c r="N91" s="17" t="s">
        <v>3253</v>
      </c>
      <c r="O91" s="93" t="s">
        <v>2767</v>
      </c>
      <c r="P91" s="17" t="s">
        <v>2780</v>
      </c>
      <c r="Q91" s="78" t="s">
        <v>3254</v>
      </c>
      <c r="R91" s="16" t="str">
        <f aca="false">IFERROR(INDEX(Scoring!$E$29:$E$361,MATCH("Glycopyrrolate|Hetero Labs",Scoring!$AD$29:$AD$361,0)),"")</f>
        <v>Priority 2</v>
      </c>
      <c r="S91" s="16" t="s">
        <v>3255</v>
      </c>
    </row>
    <row r="92" customFormat="false" ht="68.65" hidden="false" customHeight="false" outlineLevel="0" collapsed="false">
      <c r="A92" s="89" t="s">
        <v>483</v>
      </c>
      <c r="B92" s="90" t="s">
        <v>485</v>
      </c>
      <c r="C92" s="90" t="s">
        <v>2771</v>
      </c>
      <c r="D92" s="91" t="s">
        <v>1533</v>
      </c>
      <c r="E92" s="90" t="s">
        <v>3256</v>
      </c>
      <c r="F92" s="92" t="s">
        <v>3257</v>
      </c>
      <c r="G92" s="90" t="s">
        <v>2774</v>
      </c>
      <c r="H92" s="92" t="s">
        <v>3258</v>
      </c>
      <c r="I92" s="90" t="s">
        <v>3259</v>
      </c>
      <c r="K92" s="16" t="s">
        <v>244</v>
      </c>
      <c r="L92" s="16" t="s">
        <v>1434</v>
      </c>
      <c r="M92" s="17" t="s">
        <v>3260</v>
      </c>
      <c r="N92" s="17" t="s">
        <v>3261</v>
      </c>
      <c r="O92" s="93" t="s">
        <v>2767</v>
      </c>
      <c r="P92" s="17" t="s">
        <v>2768</v>
      </c>
      <c r="Q92" s="78" t="s">
        <v>3262</v>
      </c>
      <c r="R92" s="16" t="str">
        <f aca="false">IFERROR(INDEX(Scoring!$E$29:$E$361,MATCH("Haloperidol|Wockhardt",Scoring!$AD$29:$AD$361,0)),"")</f>
        <v>Priority 2</v>
      </c>
      <c r="S92" s="16" t="s">
        <v>3263</v>
      </c>
    </row>
    <row r="93" customFormat="false" ht="68.65" hidden="false" customHeight="false" outlineLevel="0" collapsed="false">
      <c r="A93" s="89" t="s">
        <v>491</v>
      </c>
      <c r="B93" s="90" t="s">
        <v>492</v>
      </c>
      <c r="C93" s="90" t="s">
        <v>2771</v>
      </c>
      <c r="D93" s="91" t="s">
        <v>1533</v>
      </c>
      <c r="E93" s="90" t="s">
        <v>3264</v>
      </c>
      <c r="F93" s="92" t="s">
        <v>3265</v>
      </c>
      <c r="G93" s="90" t="s">
        <v>2774</v>
      </c>
      <c r="H93" s="92" t="s">
        <v>3266</v>
      </c>
      <c r="I93" s="90" t="s">
        <v>2776</v>
      </c>
      <c r="K93" s="16" t="s">
        <v>245</v>
      </c>
      <c r="L93" s="16" t="s">
        <v>1490</v>
      </c>
      <c r="M93" s="17" t="s">
        <v>3267</v>
      </c>
      <c r="N93" s="17" t="s">
        <v>3268</v>
      </c>
      <c r="O93" s="93" t="s">
        <v>2767</v>
      </c>
      <c r="P93" s="17" t="s">
        <v>2768</v>
      </c>
      <c r="Q93" s="78" t="s">
        <v>3269</v>
      </c>
      <c r="R93" s="16" t="str">
        <f aca="false">IFERROR(INDEX(Scoring!$E$29:$E$361,MATCH("Haloperidol Decanoate|Zydus Lifesciences",Scoring!$AD$29:$AD$361,0)),"")</f>
        <v>Priority 3</v>
      </c>
      <c r="S93" s="16" t="s">
        <v>3270</v>
      </c>
    </row>
    <row r="94" customFormat="false" ht="68.65" hidden="false" customHeight="false" outlineLevel="0" collapsed="false">
      <c r="A94" s="89" t="s">
        <v>1448</v>
      </c>
      <c r="B94" s="90" t="s">
        <v>657</v>
      </c>
      <c r="C94" s="90" t="s">
        <v>2771</v>
      </c>
      <c r="D94" s="91" t="s">
        <v>1533</v>
      </c>
      <c r="E94" s="90" t="s">
        <v>3271</v>
      </c>
      <c r="F94" s="92" t="s">
        <v>3272</v>
      </c>
      <c r="G94" s="90" t="s">
        <v>2762</v>
      </c>
      <c r="H94" s="89"/>
      <c r="I94" s="90" t="s">
        <v>2776</v>
      </c>
      <c r="K94" s="16" t="s">
        <v>244</v>
      </c>
      <c r="L94" s="16" t="s">
        <v>1438</v>
      </c>
      <c r="M94" s="17" t="s">
        <v>3273</v>
      </c>
      <c r="N94" s="17" t="s">
        <v>3274</v>
      </c>
      <c r="O94" s="93" t="s">
        <v>2767</v>
      </c>
      <c r="P94" s="17" t="s">
        <v>2768</v>
      </c>
      <c r="Q94" s="78" t="s">
        <v>1443</v>
      </c>
      <c r="R94" s="16" t="str">
        <f aca="false">IFERROR(INDEX(Scoring!$E$29:$E$361,MATCH("Hyaluronidase|Wockhardt",Scoring!$AD$29:$AD$361,0)),"")</f>
        <v>Priority 2</v>
      </c>
      <c r="S94" s="16" t="s">
        <v>3275</v>
      </c>
    </row>
    <row r="95" customFormat="false" ht="55.2" hidden="false" customHeight="false" outlineLevel="0" collapsed="false">
      <c r="A95" s="89" t="s">
        <v>1285</v>
      </c>
      <c r="B95" s="90" t="s">
        <v>1287</v>
      </c>
      <c r="C95" s="90" t="s">
        <v>2759</v>
      </c>
      <c r="D95" s="91" t="s">
        <v>283</v>
      </c>
      <c r="E95" s="90" t="s">
        <v>3276</v>
      </c>
      <c r="F95" s="92" t="s">
        <v>3277</v>
      </c>
      <c r="G95" s="90" t="s">
        <v>2774</v>
      </c>
      <c r="H95" s="89"/>
      <c r="I95" s="90" t="s">
        <v>2764</v>
      </c>
      <c r="K95" s="16" t="s">
        <v>229</v>
      </c>
      <c r="L95" s="16" t="s">
        <v>459</v>
      </c>
      <c r="M95" s="17" t="s">
        <v>3278</v>
      </c>
      <c r="N95" s="17" t="s">
        <v>3279</v>
      </c>
      <c r="O95" s="93" t="s">
        <v>2767</v>
      </c>
      <c r="P95" s="17" t="s">
        <v>2768</v>
      </c>
      <c r="Q95" s="78" t="s">
        <v>3164</v>
      </c>
      <c r="R95" s="16" t="str">
        <f aca="false">IFERROR(INDEX(Scoring!$E$29:$E$361,MATCH("Hydralazine|Aurobindo Pharma",Scoring!$AD$29:$AD$361,0)),"")</f>
        <v>Priority 3</v>
      </c>
      <c r="S95" s="16" t="s">
        <v>3280</v>
      </c>
    </row>
    <row r="96" customFormat="false" ht="41.75" hidden="false" customHeight="false" outlineLevel="0" collapsed="false">
      <c r="A96" s="89" t="s">
        <v>299</v>
      </c>
      <c r="B96" s="90" t="s">
        <v>301</v>
      </c>
      <c r="C96" s="90" t="s">
        <v>2828</v>
      </c>
      <c r="D96" s="91" t="s">
        <v>283</v>
      </c>
      <c r="E96" s="90" t="s">
        <v>3281</v>
      </c>
      <c r="F96" s="92" t="s">
        <v>3282</v>
      </c>
      <c r="G96" s="90" t="s">
        <v>2774</v>
      </c>
      <c r="H96" s="89"/>
      <c r="I96" s="90" t="s">
        <v>2764</v>
      </c>
      <c r="K96" s="16" t="s">
        <v>230</v>
      </c>
      <c r="L96" s="16" t="s">
        <v>632</v>
      </c>
      <c r="M96" s="17" t="s">
        <v>3283</v>
      </c>
      <c r="N96" s="17" t="s">
        <v>3284</v>
      </c>
      <c r="O96" s="93" t="s">
        <v>2767</v>
      </c>
      <c r="P96" s="17" t="s">
        <v>2768</v>
      </c>
      <c r="Q96" s="78" t="s">
        <v>3170</v>
      </c>
      <c r="R96" s="16" t="str">
        <f aca="false">IFERROR(INDEX(Scoring!$E$29:$E$361,MATCH("Hydrocortisone|Cipla",Scoring!$AD$29:$AD$361,0)),"")</f>
        <v>Priority 2</v>
      </c>
      <c r="S96" s="16" t="s">
        <v>3285</v>
      </c>
    </row>
    <row r="97" customFormat="false" ht="68.65" hidden="false" customHeight="false" outlineLevel="0" collapsed="false">
      <c r="A97" s="89" t="s">
        <v>497</v>
      </c>
      <c r="B97" s="90" t="s">
        <v>498</v>
      </c>
      <c r="C97" s="90" t="s">
        <v>2818</v>
      </c>
      <c r="D97" s="91" t="s">
        <v>283</v>
      </c>
      <c r="E97" s="90" t="s">
        <v>3286</v>
      </c>
      <c r="F97" s="92" t="s">
        <v>3287</v>
      </c>
      <c r="G97" s="90" t="s">
        <v>2774</v>
      </c>
      <c r="H97" s="89"/>
      <c r="I97" s="90" t="s">
        <v>2764</v>
      </c>
      <c r="K97" s="16" t="s">
        <v>240</v>
      </c>
      <c r="L97" s="16" t="s">
        <v>632</v>
      </c>
      <c r="M97" s="17" t="s">
        <v>3288</v>
      </c>
      <c r="N97" s="17" t="s">
        <v>3289</v>
      </c>
      <c r="O97" s="93" t="s">
        <v>2767</v>
      </c>
      <c r="P97" s="17" t="s">
        <v>2780</v>
      </c>
      <c r="Q97" s="78" t="s">
        <v>3170</v>
      </c>
      <c r="R97" s="16" t="str">
        <f aca="false">IFERROR(INDEX(Scoring!$E$29:$E$361,MATCH("Hydrocortisone|Strides Pharma Science",Scoring!$AD$29:$AD$361,0)),"")</f>
        <v>Priority 2</v>
      </c>
      <c r="S97" s="16" t="s">
        <v>3290</v>
      </c>
    </row>
    <row r="98" customFormat="false" ht="41.75" hidden="false" customHeight="false" outlineLevel="0" collapsed="false">
      <c r="A98" s="89" t="s">
        <v>1079</v>
      </c>
      <c r="B98" s="90" t="s">
        <v>1081</v>
      </c>
      <c r="C98" s="90" t="s">
        <v>2759</v>
      </c>
      <c r="D98" s="91" t="s">
        <v>283</v>
      </c>
      <c r="E98" s="90" t="s">
        <v>3291</v>
      </c>
      <c r="F98" s="92" t="s">
        <v>3292</v>
      </c>
      <c r="G98" s="90" t="s">
        <v>2774</v>
      </c>
      <c r="H98" s="89"/>
      <c r="I98" s="90" t="s">
        <v>2764</v>
      </c>
      <c r="K98" s="16" t="s">
        <v>245</v>
      </c>
      <c r="L98" s="16" t="s">
        <v>632</v>
      </c>
      <c r="M98" s="17" t="s">
        <v>3293</v>
      </c>
      <c r="N98" s="17" t="s">
        <v>3294</v>
      </c>
      <c r="O98" s="93" t="s">
        <v>2767</v>
      </c>
      <c r="P98" s="17" t="s">
        <v>2768</v>
      </c>
      <c r="Q98" s="78" t="s">
        <v>3295</v>
      </c>
      <c r="R98" s="16" t="str">
        <f aca="false">IFERROR(INDEX(Scoring!$E$29:$E$361,MATCH("Hydrocortisone|Zydus Lifesciences",Scoring!$AD$29:$AD$361,0)),"")</f>
        <v>Priority 2</v>
      </c>
      <c r="S98" s="16" t="s">
        <v>3296</v>
      </c>
    </row>
    <row r="99" customFormat="false" ht="68.65" hidden="false" customHeight="false" outlineLevel="0" collapsed="false">
      <c r="A99" s="89" t="s">
        <v>819</v>
      </c>
      <c r="B99" s="90" t="s">
        <v>821</v>
      </c>
      <c r="C99" s="90" t="s">
        <v>2771</v>
      </c>
      <c r="D99" s="91" t="s">
        <v>1533</v>
      </c>
      <c r="E99" s="90" t="s">
        <v>3297</v>
      </c>
      <c r="F99" s="92" t="s">
        <v>3298</v>
      </c>
      <c r="G99" s="90" t="s">
        <v>2774</v>
      </c>
      <c r="H99" s="92" t="s">
        <v>3299</v>
      </c>
      <c r="I99" s="90" t="s">
        <v>2776</v>
      </c>
      <c r="K99" s="16" t="s">
        <v>21</v>
      </c>
      <c r="L99" s="16" t="s">
        <v>1051</v>
      </c>
      <c r="M99" s="17" t="s">
        <v>3300</v>
      </c>
      <c r="N99" s="17" t="s">
        <v>3301</v>
      </c>
      <c r="O99" s="93" t="s">
        <v>2767</v>
      </c>
      <c r="P99" s="17" t="s">
        <v>2768</v>
      </c>
      <c r="Q99" s="78" t="s">
        <v>3302</v>
      </c>
      <c r="R99" s="16" t="str">
        <f aca="false">IFERROR(INDEX(Scoring!$E$29:$E$361,MATCH("Hydroxocobalamin|Intas Pharmaceuticals",Scoring!$AD$29:$AD$361,0)),"")</f>
        <v>Priority 3</v>
      </c>
      <c r="S99" s="16" t="s">
        <v>3303</v>
      </c>
    </row>
    <row r="100" customFormat="false" ht="68.65" hidden="false" customHeight="false" outlineLevel="0" collapsed="false">
      <c r="A100" s="89" t="s">
        <v>501</v>
      </c>
      <c r="B100" s="90" t="s">
        <v>503</v>
      </c>
      <c r="C100" s="90" t="s">
        <v>2771</v>
      </c>
      <c r="D100" s="91" t="s">
        <v>1533</v>
      </c>
      <c r="E100" s="90" t="s">
        <v>3304</v>
      </c>
      <c r="F100" s="92" t="s">
        <v>3305</v>
      </c>
      <c r="G100" s="90" t="s">
        <v>2774</v>
      </c>
      <c r="H100" s="92" t="s">
        <v>3306</v>
      </c>
      <c r="I100" s="90" t="s">
        <v>2776</v>
      </c>
      <c r="K100" s="16" t="s">
        <v>244</v>
      </c>
      <c r="L100" s="16" t="s">
        <v>1444</v>
      </c>
      <c r="M100" s="17" t="s">
        <v>3307</v>
      </c>
      <c r="N100" s="17" t="s">
        <v>3308</v>
      </c>
      <c r="O100" s="93" t="s">
        <v>2767</v>
      </c>
      <c r="P100" s="17" t="s">
        <v>2768</v>
      </c>
      <c r="Q100" s="78" t="s">
        <v>1447</v>
      </c>
      <c r="R100" s="16" t="str">
        <f aca="false">IFERROR(INDEX(Scoring!$E$29:$E$361,MATCH("Hyoscine Hydrobromide|Wockhardt",Scoring!$AD$29:$AD$361,0)),"")</f>
        <v>Priority 2</v>
      </c>
      <c r="S100" s="16" t="s">
        <v>3309</v>
      </c>
    </row>
    <row r="101" customFormat="false" ht="82.05" hidden="false" customHeight="false" outlineLevel="0" collapsed="false">
      <c r="A101" s="89" t="s">
        <v>1091</v>
      </c>
      <c r="B101" s="90" t="s">
        <v>1093</v>
      </c>
      <c r="C101" s="90" t="s">
        <v>2771</v>
      </c>
      <c r="D101" s="91" t="s">
        <v>1533</v>
      </c>
      <c r="E101" s="90" t="s">
        <v>3310</v>
      </c>
      <c r="F101" s="92" t="s">
        <v>3311</v>
      </c>
      <c r="G101" s="90" t="s">
        <v>2774</v>
      </c>
      <c r="H101" s="89"/>
      <c r="I101" s="90" t="s">
        <v>2776</v>
      </c>
      <c r="K101" s="16" t="s">
        <v>245</v>
      </c>
      <c r="L101" s="16" t="s">
        <v>1495</v>
      </c>
      <c r="M101" s="17" t="s">
        <v>3312</v>
      </c>
      <c r="N101" s="17" t="s">
        <v>3313</v>
      </c>
      <c r="O101" s="65" t="s">
        <v>2779</v>
      </c>
      <c r="P101" s="17" t="s">
        <v>2768</v>
      </c>
      <c r="Q101" s="78" t="s">
        <v>3314</v>
      </c>
      <c r="R101" s="16" t="str">
        <f aca="false">IFERROR(INDEX(Scoring!$E$29:$E$361,MATCH("Indocyanine Green|Zydus Lifesciences",Scoring!$AD$29:$AD$361,0)),"")</f>
        <v>Excluded – IV only</v>
      </c>
      <c r="S101" s="16" t="s">
        <v>3315</v>
      </c>
    </row>
    <row r="102" customFormat="false" ht="55.2" hidden="false" customHeight="false" outlineLevel="0" collapsed="false">
      <c r="A102" s="89" t="s">
        <v>1454</v>
      </c>
      <c r="B102" s="90" t="s">
        <v>1456</v>
      </c>
      <c r="C102" s="90" t="s">
        <v>2759</v>
      </c>
      <c r="D102" s="91" t="s">
        <v>283</v>
      </c>
      <c r="E102" s="90" t="s">
        <v>3316</v>
      </c>
      <c r="F102" s="92" t="s">
        <v>3317</v>
      </c>
      <c r="G102" s="90" t="s">
        <v>2774</v>
      </c>
      <c r="H102" s="89"/>
      <c r="I102" s="90" t="s">
        <v>2764</v>
      </c>
      <c r="K102" s="16" t="s">
        <v>230</v>
      </c>
      <c r="L102" s="16" t="s">
        <v>637</v>
      </c>
      <c r="M102" s="17" t="s">
        <v>3318</v>
      </c>
      <c r="N102" s="17" t="s">
        <v>3319</v>
      </c>
      <c r="O102" s="93" t="s">
        <v>2767</v>
      </c>
      <c r="P102" s="17" t="s">
        <v>2768</v>
      </c>
      <c r="Q102" s="78" t="s">
        <v>3216</v>
      </c>
      <c r="R102" s="16" t="str">
        <f aca="false">IFERROR(INDEX(Scoring!$E$29:$E$361,MATCH("Isoprenaline (Isoproterenol)|Cipla",Scoring!$AD$29:$AD$361,0)),"")</f>
        <v>Priority 2</v>
      </c>
      <c r="S102" s="16" t="s">
        <v>3320</v>
      </c>
    </row>
    <row r="103" customFormat="false" ht="41.75" hidden="false" customHeight="false" outlineLevel="0" collapsed="false">
      <c r="A103" s="89" t="s">
        <v>507</v>
      </c>
      <c r="B103" s="90" t="s">
        <v>509</v>
      </c>
      <c r="C103" s="90" t="s">
        <v>2759</v>
      </c>
      <c r="D103" s="91" t="s">
        <v>283</v>
      </c>
      <c r="E103" s="90" t="s">
        <v>3321</v>
      </c>
      <c r="F103" s="92" t="s">
        <v>3322</v>
      </c>
      <c r="G103" s="90" t="s">
        <v>2774</v>
      </c>
      <c r="H103" s="89"/>
      <c r="I103" s="90" t="s">
        <v>2764</v>
      </c>
      <c r="K103" s="16" t="s">
        <v>232</v>
      </c>
      <c r="L103" s="16" t="s">
        <v>637</v>
      </c>
      <c r="M103" s="17" t="s">
        <v>3323</v>
      </c>
      <c r="N103" s="17" t="s">
        <v>3324</v>
      </c>
      <c r="O103" s="65" t="s">
        <v>2779</v>
      </c>
      <c r="P103" s="17" t="s">
        <v>2768</v>
      </c>
      <c r="Q103" s="78" t="s">
        <v>3325</v>
      </c>
      <c r="R103" s="16" t="str">
        <f aca="false">IFERROR(INDEX(Scoring!$E$29:$E$361,MATCH("Isoprenaline (Isoproterenol)|Emcure Pharmaceuticals",Scoring!$AD$29:$AD$361,0)),"")</f>
        <v>Excluded – IV only</v>
      </c>
      <c r="S103" s="16" t="s">
        <v>3326</v>
      </c>
    </row>
    <row r="104" customFormat="false" ht="55.2" hidden="false" customHeight="false" outlineLevel="0" collapsed="false">
      <c r="A104" s="89" t="s">
        <v>75</v>
      </c>
      <c r="B104" s="90" t="s">
        <v>513</v>
      </c>
      <c r="C104" s="90" t="s">
        <v>2828</v>
      </c>
      <c r="D104" s="91" t="s">
        <v>283</v>
      </c>
      <c r="E104" s="90" t="s">
        <v>3327</v>
      </c>
      <c r="F104" s="92" t="s">
        <v>3328</v>
      </c>
      <c r="G104" s="90" t="s">
        <v>2774</v>
      </c>
      <c r="H104" s="89"/>
      <c r="I104" s="90" t="s">
        <v>2764</v>
      </c>
      <c r="K104" s="16" t="s">
        <v>234</v>
      </c>
      <c r="L104" s="16" t="s">
        <v>637</v>
      </c>
      <c r="M104" s="17" t="s">
        <v>3329</v>
      </c>
      <c r="N104" s="17" t="s">
        <v>3330</v>
      </c>
      <c r="O104" s="67" t="s">
        <v>2870</v>
      </c>
      <c r="P104" s="17" t="s">
        <v>2780</v>
      </c>
      <c r="Q104" s="78" t="s">
        <v>3331</v>
      </c>
      <c r="R104" s="16" t="str">
        <f aca="false">IFERROR(INDEX(Scoring!$E$29:$E$361,MATCH("Isoprenaline (Isoproterenol)|Hetero Labs",Scoring!$AD$29:$AD$361,0)),"")</f>
        <v>Priority 2</v>
      </c>
      <c r="S104" s="16" t="s">
        <v>3332</v>
      </c>
    </row>
    <row r="105" customFormat="false" ht="82.05" hidden="false" customHeight="false" outlineLevel="0" collapsed="false">
      <c r="A105" s="89" t="s">
        <v>744</v>
      </c>
      <c r="B105" s="90" t="s">
        <v>746</v>
      </c>
      <c r="C105" s="90" t="s">
        <v>3333</v>
      </c>
      <c r="D105" s="91" t="s">
        <v>283</v>
      </c>
      <c r="E105" s="90" t="s">
        <v>3334</v>
      </c>
      <c r="F105" s="92" t="s">
        <v>3335</v>
      </c>
      <c r="G105" s="90" t="s">
        <v>2762</v>
      </c>
      <c r="H105" s="92" t="s">
        <v>3336</v>
      </c>
      <c r="I105" s="90" t="s">
        <v>2764</v>
      </c>
      <c r="K105" s="16" t="s">
        <v>237</v>
      </c>
      <c r="L105" s="16" t="s">
        <v>637</v>
      </c>
      <c r="M105" s="17" t="s">
        <v>3337</v>
      </c>
      <c r="N105" s="17" t="s">
        <v>3338</v>
      </c>
      <c r="O105" s="93" t="s">
        <v>2767</v>
      </c>
      <c r="P105" s="17" t="s">
        <v>2768</v>
      </c>
      <c r="Q105" s="78" t="s">
        <v>3339</v>
      </c>
      <c r="R105" s="16" t="str">
        <f aca="false">IFERROR(INDEX(Scoring!$E$29:$E$361,MATCH("Isoprenaline (Isoproterenol)|Micro Labs",Scoring!$AD$29:$AD$361,0)),"")</f>
        <v>Priority 2</v>
      </c>
      <c r="S105" s="16" t="s">
        <v>3340</v>
      </c>
    </row>
    <row r="106" customFormat="false" ht="55.2" hidden="false" customHeight="false" outlineLevel="0" collapsed="false">
      <c r="A106" s="89" t="s">
        <v>1358</v>
      </c>
      <c r="B106" s="90" t="s">
        <v>1360</v>
      </c>
      <c r="C106" s="90" t="s">
        <v>3341</v>
      </c>
      <c r="D106" s="91" t="s">
        <v>283</v>
      </c>
      <c r="E106" s="90" t="s">
        <v>3342</v>
      </c>
      <c r="F106" s="92" t="s">
        <v>3343</v>
      </c>
      <c r="G106" s="90" t="s">
        <v>2774</v>
      </c>
      <c r="H106" s="89"/>
      <c r="I106" s="90" t="s">
        <v>2764</v>
      </c>
      <c r="K106" s="16" t="s">
        <v>230</v>
      </c>
      <c r="L106" s="16" t="s">
        <v>642</v>
      </c>
      <c r="M106" s="17" t="s">
        <v>3344</v>
      </c>
      <c r="N106" s="17" t="s">
        <v>3345</v>
      </c>
      <c r="O106" s="93" t="s">
        <v>2767</v>
      </c>
      <c r="P106" s="17" t="s">
        <v>2768</v>
      </c>
      <c r="Q106" s="78" t="s">
        <v>3346</v>
      </c>
      <c r="R106" s="16" t="str">
        <f aca="false">IFERROR(INDEX(Scoring!$E$29:$E$361,MATCH("Lanreotide|Cipla",Scoring!$AD$29:$AD$361,0)),"")</f>
        <v>Priority 2</v>
      </c>
      <c r="S106" s="16" t="s">
        <v>3347</v>
      </c>
    </row>
    <row r="107" customFormat="false" ht="41.75" hidden="false" customHeight="false" outlineLevel="0" collapsed="false">
      <c r="A107" s="89" t="s">
        <v>1220</v>
      </c>
      <c r="B107" s="90" t="s">
        <v>1222</v>
      </c>
      <c r="C107" s="90" t="s">
        <v>2818</v>
      </c>
      <c r="D107" s="91" t="s">
        <v>283</v>
      </c>
      <c r="E107" s="90" t="s">
        <v>3348</v>
      </c>
      <c r="F107" s="92" t="s">
        <v>3349</v>
      </c>
      <c r="G107" s="90" t="s">
        <v>2774</v>
      </c>
      <c r="H107" s="89"/>
      <c r="I107" s="90" t="s">
        <v>2764</v>
      </c>
      <c r="K107" s="16" t="s">
        <v>21</v>
      </c>
      <c r="L107" s="16" t="s">
        <v>1065</v>
      </c>
      <c r="M107" s="17" t="s">
        <v>3350</v>
      </c>
      <c r="N107" s="17" t="s">
        <v>3351</v>
      </c>
      <c r="O107" s="93" t="s">
        <v>2767</v>
      </c>
      <c r="P107" s="17" t="s">
        <v>2768</v>
      </c>
      <c r="Q107" s="78" t="s">
        <v>3352</v>
      </c>
      <c r="R107" s="16" t="str">
        <f aca="false">IFERROR(INDEX(Scoring!$E$29:$E$361,MATCH("Leuprorelin|Intas Pharmaceuticals",Scoring!$AD$29:$AD$361,0)),"")</f>
        <v>Priority 2</v>
      </c>
      <c r="S107" s="16" t="s">
        <v>3353</v>
      </c>
    </row>
    <row r="108" customFormat="false" ht="41.75" hidden="false" customHeight="false" outlineLevel="0" collapsed="false">
      <c r="A108" s="89" t="s">
        <v>518</v>
      </c>
      <c r="B108" s="90" t="s">
        <v>520</v>
      </c>
      <c r="C108" s="90" t="s">
        <v>2759</v>
      </c>
      <c r="D108" s="91" t="s">
        <v>283</v>
      </c>
      <c r="E108" s="90" t="s">
        <v>3354</v>
      </c>
      <c r="F108" s="92" t="s">
        <v>3355</v>
      </c>
      <c r="G108" s="90" t="s">
        <v>2774</v>
      </c>
      <c r="H108" s="89"/>
      <c r="I108" s="90" t="s">
        <v>2764</v>
      </c>
      <c r="K108" s="16" t="s">
        <v>237</v>
      </c>
      <c r="L108" s="16" t="s">
        <v>1272</v>
      </c>
      <c r="M108" s="17" t="s">
        <v>3356</v>
      </c>
      <c r="N108" s="17" t="s">
        <v>3357</v>
      </c>
      <c r="O108" s="93" t="s">
        <v>2767</v>
      </c>
      <c r="P108" s="17" t="s">
        <v>2768</v>
      </c>
      <c r="Q108" s="78" t="s">
        <v>3358</v>
      </c>
      <c r="R108" s="16" t="str">
        <f aca="false">IFERROR(INDEX(Scoring!$E$29:$E$361,MATCH("Lincomycin|Micro Labs",Scoring!$AD$29:$AD$361,0)),"")</f>
        <v>Priority 3</v>
      </c>
      <c r="S108" s="16" t="s">
        <v>3359</v>
      </c>
    </row>
    <row r="109" customFormat="false" ht="68.65" hidden="false" customHeight="false" outlineLevel="0" collapsed="false">
      <c r="A109" s="89" t="s">
        <v>526</v>
      </c>
      <c r="B109" s="90" t="s">
        <v>509</v>
      </c>
      <c r="C109" s="90" t="s">
        <v>2759</v>
      </c>
      <c r="D109" s="91" t="s">
        <v>283</v>
      </c>
      <c r="E109" s="90" t="s">
        <v>3360</v>
      </c>
      <c r="F109" s="92" t="s">
        <v>3361</v>
      </c>
      <c r="G109" s="90" t="s">
        <v>2774</v>
      </c>
      <c r="H109" s="89"/>
      <c r="I109" s="90" t="s">
        <v>2764</v>
      </c>
      <c r="K109" s="16" t="s">
        <v>234</v>
      </c>
      <c r="L109" s="16" t="s">
        <v>899</v>
      </c>
      <c r="M109" s="17" t="s">
        <v>3362</v>
      </c>
      <c r="N109" s="17" t="s">
        <v>3363</v>
      </c>
      <c r="O109" s="93" t="s">
        <v>2767</v>
      </c>
      <c r="P109" s="17" t="s">
        <v>2768</v>
      </c>
      <c r="Q109" s="78" t="s">
        <v>3240</v>
      </c>
      <c r="R109" s="16" t="str">
        <f aca="false">IFERROR(INDEX(Scoring!$E$29:$E$361,MATCH("Magnesium Sulfate|Hetero Labs",Scoring!$AD$29:$AD$361,0)),"")</f>
        <v>Priority 3</v>
      </c>
      <c r="S109" s="16" t="s">
        <v>3364</v>
      </c>
    </row>
    <row r="110" customFormat="false" ht="68.65" hidden="false" customHeight="false" outlineLevel="0" collapsed="false">
      <c r="A110" s="89" t="s">
        <v>1225</v>
      </c>
      <c r="B110" s="90" t="s">
        <v>1227</v>
      </c>
      <c r="C110" s="90" t="s">
        <v>2759</v>
      </c>
      <c r="D110" s="91" t="s">
        <v>283</v>
      </c>
      <c r="E110" s="90" t="s">
        <v>3365</v>
      </c>
      <c r="F110" s="92" t="s">
        <v>3366</v>
      </c>
      <c r="G110" s="90" t="s">
        <v>2774</v>
      </c>
      <c r="H110" s="89"/>
      <c r="I110" s="90" t="s">
        <v>2764</v>
      </c>
      <c r="K110" s="16" t="s">
        <v>230</v>
      </c>
      <c r="L110" s="16" t="s">
        <v>647</v>
      </c>
      <c r="M110" s="17" t="s">
        <v>3367</v>
      </c>
      <c r="N110" s="17" t="s">
        <v>3368</v>
      </c>
      <c r="O110" s="93" t="s">
        <v>2767</v>
      </c>
      <c r="P110" s="17" t="s">
        <v>2780</v>
      </c>
      <c r="Q110" s="78" t="s">
        <v>3369</v>
      </c>
      <c r="R110" s="16" t="str">
        <f aca="false">IFERROR(INDEX(Scoring!$E$29:$E$361,MATCH("Measles Vaccine|Cipla",Scoring!$AD$29:$AD$361,0)),"")</f>
        <v>Priority 2</v>
      </c>
      <c r="S110" s="16" t="s">
        <v>3370</v>
      </c>
    </row>
    <row r="111" customFormat="false" ht="82.05" hidden="false" customHeight="false" outlineLevel="0" collapsed="false">
      <c r="A111" s="89" t="s">
        <v>1106</v>
      </c>
      <c r="B111" s="90" t="s">
        <v>1107</v>
      </c>
      <c r="C111" s="90" t="s">
        <v>2771</v>
      </c>
      <c r="D111" s="91" t="s">
        <v>1533</v>
      </c>
      <c r="E111" s="90" t="s">
        <v>3371</v>
      </c>
      <c r="F111" s="92" t="s">
        <v>3372</v>
      </c>
      <c r="G111" s="90" t="s">
        <v>2774</v>
      </c>
      <c r="H111" s="92" t="s">
        <v>3373</v>
      </c>
      <c r="I111" s="90" t="s">
        <v>2982</v>
      </c>
      <c r="K111" s="16" t="s">
        <v>229</v>
      </c>
      <c r="L111" s="16" t="s">
        <v>471</v>
      </c>
      <c r="M111" s="17" t="s">
        <v>3374</v>
      </c>
      <c r="N111" s="17" t="s">
        <v>3375</v>
      </c>
      <c r="O111" s="93" t="s">
        <v>2767</v>
      </c>
      <c r="P111" s="17" t="s">
        <v>2768</v>
      </c>
      <c r="Q111" s="78" t="s">
        <v>3247</v>
      </c>
      <c r="R111" s="16" t="str">
        <f aca="false">IFERROR(INDEX(Scoring!$E$29:$E$361,MATCH("Medroxyprogesterone Acetate|Aurobindo Pharma",Scoring!$AD$29:$AD$361,0)),"")</f>
        <v>Priority 2</v>
      </c>
      <c r="S111" s="16" t="s">
        <v>3376</v>
      </c>
    </row>
    <row r="112" customFormat="false" ht="68.65" hidden="false" customHeight="false" outlineLevel="0" collapsed="false">
      <c r="A112" s="89" t="s">
        <v>1399</v>
      </c>
      <c r="B112" s="90" t="s">
        <v>1401</v>
      </c>
      <c r="C112" s="90" t="s">
        <v>2818</v>
      </c>
      <c r="D112" s="91" t="s">
        <v>283</v>
      </c>
      <c r="E112" s="90" t="s">
        <v>3377</v>
      </c>
      <c r="F112" s="92" t="s">
        <v>3378</v>
      </c>
      <c r="G112" s="90" t="s">
        <v>2774</v>
      </c>
      <c r="H112" s="89"/>
      <c r="I112" s="90" t="s">
        <v>2764</v>
      </c>
      <c r="K112" s="16" t="s">
        <v>230</v>
      </c>
      <c r="L112" s="16" t="s">
        <v>471</v>
      </c>
      <c r="M112" s="17" t="s">
        <v>3379</v>
      </c>
      <c r="N112" s="17" t="s">
        <v>3380</v>
      </c>
      <c r="O112" s="93" t="s">
        <v>2767</v>
      </c>
      <c r="P112" s="17" t="s">
        <v>2780</v>
      </c>
      <c r="Q112" s="78" t="s">
        <v>3247</v>
      </c>
      <c r="R112" s="16" t="str">
        <f aca="false">IFERROR(INDEX(Scoring!$E$29:$E$361,MATCH("Medroxyprogesterone Acetate|Cipla",Scoring!$AD$29:$AD$361,0)),"")</f>
        <v>Priority 3</v>
      </c>
      <c r="S112" s="16" t="s">
        <v>3381</v>
      </c>
    </row>
    <row r="113" customFormat="false" ht="68.65" hidden="false" customHeight="false" outlineLevel="0" collapsed="false">
      <c r="A113" s="89" t="s">
        <v>529</v>
      </c>
      <c r="B113" s="90" t="s">
        <v>531</v>
      </c>
      <c r="C113" s="90" t="s">
        <v>2771</v>
      </c>
      <c r="D113" s="91" t="s">
        <v>1533</v>
      </c>
      <c r="E113" s="90" t="s">
        <v>3382</v>
      </c>
      <c r="F113" s="92" t="s">
        <v>3383</v>
      </c>
      <c r="G113" s="90" t="s">
        <v>2774</v>
      </c>
      <c r="H113" s="92" t="s">
        <v>3384</v>
      </c>
      <c r="I113" s="90" t="s">
        <v>2776</v>
      </c>
      <c r="K113" s="16" t="s">
        <v>238</v>
      </c>
      <c r="L113" s="16" t="s">
        <v>1285</v>
      </c>
      <c r="M113" s="17" t="s">
        <v>3385</v>
      </c>
      <c r="N113" s="17" t="s">
        <v>3386</v>
      </c>
      <c r="O113" s="93" t="s">
        <v>2767</v>
      </c>
      <c r="P113" s="17" t="s">
        <v>2768</v>
      </c>
      <c r="Q113" s="78" t="s">
        <v>3387</v>
      </c>
      <c r="R113" s="16" t="str">
        <f aca="false">IFERROR(INDEX(Scoring!$E$29:$E$361,MATCH("Methohexital|OneSource Specialty Pharma",Scoring!$AD$29:$AD$361,0)),"")</f>
        <v>Priority 2</v>
      </c>
      <c r="S113" s="16" t="s">
        <v>3388</v>
      </c>
    </row>
    <row r="114" customFormat="false" ht="108.95" hidden="false" customHeight="false" outlineLevel="0" collapsed="false">
      <c r="A114" s="89" t="s">
        <v>534</v>
      </c>
      <c r="B114" s="90" t="s">
        <v>535</v>
      </c>
      <c r="C114" s="90" t="s">
        <v>2771</v>
      </c>
      <c r="D114" s="91" t="s">
        <v>1533</v>
      </c>
      <c r="E114" s="90" t="s">
        <v>3389</v>
      </c>
      <c r="F114" s="92" t="s">
        <v>3390</v>
      </c>
      <c r="G114" s="90" t="s">
        <v>2774</v>
      </c>
      <c r="H114" s="92" t="s">
        <v>3391</v>
      </c>
      <c r="I114" s="90" t="s">
        <v>2776</v>
      </c>
      <c r="K114" s="16" t="s">
        <v>228</v>
      </c>
      <c r="L114" s="16" t="s">
        <v>299</v>
      </c>
      <c r="M114" s="17" t="s">
        <v>3392</v>
      </c>
      <c r="N114" s="17" t="s">
        <v>3393</v>
      </c>
      <c r="O114" s="93" t="s">
        <v>2767</v>
      </c>
      <c r="P114" s="17" t="s">
        <v>2768</v>
      </c>
      <c r="Q114" s="78" t="s">
        <v>3394</v>
      </c>
      <c r="R114" s="16" t="str">
        <f aca="false">IFERROR(INDEX(Scoring!$E$29:$E$361,MATCH("Methotrexate|Alembic Pharmaceuticals",Scoring!$AD$29:$AD$361,0)),"")</f>
        <v>Priority 2</v>
      </c>
      <c r="S114" s="16" t="s">
        <v>3395</v>
      </c>
    </row>
    <row r="115" customFormat="false" ht="68.65" hidden="false" customHeight="false" outlineLevel="0" collapsed="false">
      <c r="A115" s="89" t="s">
        <v>1120</v>
      </c>
      <c r="B115" s="90" t="s">
        <v>1121</v>
      </c>
      <c r="C115" s="90" t="s">
        <v>2771</v>
      </c>
      <c r="D115" s="91" t="s">
        <v>1533</v>
      </c>
      <c r="E115" s="90" t="s">
        <v>3396</v>
      </c>
      <c r="F115" s="92" t="s">
        <v>3397</v>
      </c>
      <c r="G115" s="90" t="s">
        <v>2774</v>
      </c>
      <c r="H115" s="92" t="s">
        <v>3398</v>
      </c>
      <c r="I115" s="90" t="s">
        <v>2776</v>
      </c>
      <c r="K115" s="16" t="s">
        <v>229</v>
      </c>
      <c r="L115" s="16" t="s">
        <v>299</v>
      </c>
      <c r="M115" s="17" t="s">
        <v>3399</v>
      </c>
      <c r="N115" s="17" t="s">
        <v>3400</v>
      </c>
      <c r="O115" s="93" t="s">
        <v>2767</v>
      </c>
      <c r="P115" s="17" t="s">
        <v>2768</v>
      </c>
      <c r="Q115" s="78" t="s">
        <v>3401</v>
      </c>
      <c r="R115" s="16" t="str">
        <f aca="false">IFERROR(INDEX(Scoring!$E$29:$E$361,MATCH("Methotrexate|Aurobindo Pharma",Scoring!$AD$29:$AD$361,0)),"")</f>
        <v>Priority 2</v>
      </c>
      <c r="S115" s="16" t="s">
        <v>3402</v>
      </c>
    </row>
    <row r="116" customFormat="false" ht="68.65" hidden="false" customHeight="false" outlineLevel="0" collapsed="false">
      <c r="A116" s="89" t="s">
        <v>1126</v>
      </c>
      <c r="B116" s="90" t="s">
        <v>1128</v>
      </c>
      <c r="C116" s="90" t="s">
        <v>2948</v>
      </c>
      <c r="D116" s="91" t="s">
        <v>283</v>
      </c>
      <c r="E116" s="90" t="s">
        <v>3403</v>
      </c>
      <c r="F116" s="92" t="s">
        <v>3404</v>
      </c>
      <c r="G116" s="90" t="s">
        <v>2774</v>
      </c>
      <c r="H116" s="89"/>
      <c r="I116" s="90" t="s">
        <v>2764</v>
      </c>
      <c r="K116" s="16" t="s">
        <v>234</v>
      </c>
      <c r="L116" s="16" t="s">
        <v>299</v>
      </c>
      <c r="M116" s="17" t="s">
        <v>3405</v>
      </c>
      <c r="N116" s="17" t="s">
        <v>3406</v>
      </c>
      <c r="O116" s="93" t="s">
        <v>2767</v>
      </c>
      <c r="P116" s="17" t="s">
        <v>2780</v>
      </c>
      <c r="Q116" s="78" t="s">
        <v>3407</v>
      </c>
      <c r="R116" s="16" t="str">
        <f aca="false">IFERROR(INDEX(Scoring!$E$29:$E$361,MATCH("Methotrexate|Hetero Labs",Scoring!$AD$29:$AD$361,0)),"")</f>
        <v>Priority 2</v>
      </c>
      <c r="S116" s="16" t="s">
        <v>3408</v>
      </c>
    </row>
    <row r="117" customFormat="false" ht="55.2" hidden="false" customHeight="false" outlineLevel="0" collapsed="false">
      <c r="A117" s="89" t="s">
        <v>829</v>
      </c>
      <c r="B117" s="90" t="s">
        <v>831</v>
      </c>
      <c r="C117" s="90" t="s">
        <v>2759</v>
      </c>
      <c r="D117" s="91" t="s">
        <v>283</v>
      </c>
      <c r="E117" s="90" t="s">
        <v>3409</v>
      </c>
      <c r="F117" s="92" t="s">
        <v>3410</v>
      </c>
      <c r="G117" s="90" t="s">
        <v>2774</v>
      </c>
      <c r="H117" s="89"/>
      <c r="I117" s="90" t="s">
        <v>2764</v>
      </c>
      <c r="K117" s="16" t="s">
        <v>21</v>
      </c>
      <c r="L117" s="16" t="s">
        <v>299</v>
      </c>
      <c r="M117" s="17" t="s">
        <v>3411</v>
      </c>
      <c r="N117" s="17" t="s">
        <v>3412</v>
      </c>
      <c r="O117" s="93" t="s">
        <v>2767</v>
      </c>
      <c r="P117" s="17" t="s">
        <v>2780</v>
      </c>
      <c r="Q117" s="78" t="s">
        <v>303</v>
      </c>
      <c r="R117" s="16" t="str">
        <f aca="false">IFERROR(INDEX(Scoring!$E$29:$E$361,MATCH("Methotrexate|Intas Pharmaceuticals",Scoring!$AD$29:$AD$361,0)),"")</f>
        <v>Priority 1</v>
      </c>
      <c r="S117" s="16" t="s">
        <v>3413</v>
      </c>
    </row>
    <row r="118" customFormat="false" ht="135.8" hidden="false" customHeight="false" outlineLevel="0" collapsed="false">
      <c r="A118" s="89" t="s">
        <v>74</v>
      </c>
      <c r="B118" s="90" t="s">
        <v>657</v>
      </c>
      <c r="C118" s="90" t="s">
        <v>2828</v>
      </c>
      <c r="D118" s="91" t="s">
        <v>283</v>
      </c>
      <c r="E118" s="90" t="s">
        <v>3414</v>
      </c>
      <c r="F118" s="92" t="s">
        <v>3415</v>
      </c>
      <c r="G118" s="90" t="s">
        <v>2762</v>
      </c>
      <c r="H118" s="92" t="s">
        <v>3416</v>
      </c>
      <c r="I118" s="90" t="s">
        <v>3417</v>
      </c>
      <c r="K118" s="16" t="s">
        <v>229</v>
      </c>
      <c r="L118" s="16" t="s">
        <v>497</v>
      </c>
      <c r="M118" s="17" t="s">
        <v>3418</v>
      </c>
      <c r="N118" s="17" t="s">
        <v>3419</v>
      </c>
      <c r="O118" s="93" t="s">
        <v>2767</v>
      </c>
      <c r="P118" s="17" t="s">
        <v>2768</v>
      </c>
      <c r="Q118" s="78" t="s">
        <v>3287</v>
      </c>
      <c r="R118" s="16" t="str">
        <f aca="false">IFERROR(INDEX(Scoring!$E$29:$E$361,MATCH("Methylprednisolone Acetate|Aurobindo Pharma",Scoring!$AD$29:$AD$361,0)),"")</f>
        <v>Priority 3</v>
      </c>
      <c r="S118" s="16" t="s">
        <v>3420</v>
      </c>
    </row>
    <row r="119" customFormat="false" ht="55.2" hidden="false" customHeight="false" outlineLevel="0" collapsed="false">
      <c r="A119" s="89" t="s">
        <v>1133</v>
      </c>
      <c r="B119" s="90" t="s">
        <v>1135</v>
      </c>
      <c r="C119" s="90" t="s">
        <v>2759</v>
      </c>
      <c r="D119" s="91" t="s">
        <v>283</v>
      </c>
      <c r="E119" s="90" t="s">
        <v>3421</v>
      </c>
      <c r="F119" s="92" t="s">
        <v>3422</v>
      </c>
      <c r="G119" s="90" t="s">
        <v>2774</v>
      </c>
      <c r="H119" s="89"/>
      <c r="I119" s="90" t="s">
        <v>2764</v>
      </c>
      <c r="K119" s="16" t="s">
        <v>21</v>
      </c>
      <c r="L119" s="16" t="s">
        <v>1079</v>
      </c>
      <c r="M119" s="17" t="s">
        <v>3423</v>
      </c>
      <c r="N119" s="17" t="s">
        <v>3424</v>
      </c>
      <c r="O119" s="93" t="s">
        <v>2767</v>
      </c>
      <c r="P119" s="17" t="s">
        <v>2768</v>
      </c>
      <c r="Q119" s="78" t="s">
        <v>3425</v>
      </c>
      <c r="R119" s="16" t="str">
        <f aca="false">IFERROR(INDEX(Scoring!$E$29:$E$361,MATCH("Midazolam|Intas Pharmaceuticals",Scoring!$AD$29:$AD$361,0)),"")</f>
        <v>Priority 2</v>
      </c>
      <c r="S119" s="16" t="s">
        <v>3426</v>
      </c>
    </row>
    <row r="120" customFormat="false" ht="55.2" hidden="false" customHeight="false" outlineLevel="0" collapsed="false">
      <c r="A120" s="89" t="s">
        <v>304</v>
      </c>
      <c r="B120" s="90" t="s">
        <v>305</v>
      </c>
      <c r="C120" s="90" t="s">
        <v>2828</v>
      </c>
      <c r="D120" s="91" t="s">
        <v>283</v>
      </c>
      <c r="E120" s="90" t="s">
        <v>3427</v>
      </c>
      <c r="F120" s="92" t="s">
        <v>3428</v>
      </c>
      <c r="G120" s="90" t="s">
        <v>2774</v>
      </c>
      <c r="H120" s="89"/>
      <c r="I120" s="90" t="s">
        <v>2764</v>
      </c>
      <c r="K120" s="16" t="s">
        <v>244</v>
      </c>
      <c r="L120" s="16" t="s">
        <v>1454</v>
      </c>
      <c r="M120" s="17" t="s">
        <v>3429</v>
      </c>
      <c r="N120" s="17" t="s">
        <v>3430</v>
      </c>
      <c r="O120" s="93" t="s">
        <v>2767</v>
      </c>
      <c r="P120" s="17" t="s">
        <v>2768</v>
      </c>
      <c r="Q120" s="78" t="s">
        <v>3431</v>
      </c>
      <c r="R120" s="16" t="str">
        <f aca="false">IFERROR(INDEX(Scoring!$E$29:$E$361,MATCH("Morphine|Wockhardt",Scoring!$AD$29:$AD$361,0)),"")</f>
        <v>Priority 3</v>
      </c>
      <c r="S120" s="16" t="s">
        <v>3432</v>
      </c>
    </row>
    <row r="121" customFormat="false" ht="82.05" hidden="false" customHeight="false" outlineLevel="0" collapsed="false">
      <c r="A121" s="89" t="s">
        <v>1323</v>
      </c>
      <c r="B121" s="90" t="s">
        <v>1325</v>
      </c>
      <c r="C121" s="90" t="s">
        <v>2771</v>
      </c>
      <c r="D121" s="91" t="s">
        <v>1533</v>
      </c>
      <c r="E121" s="90" t="s">
        <v>3433</v>
      </c>
      <c r="F121" s="92" t="s">
        <v>3434</v>
      </c>
      <c r="G121" s="90" t="s">
        <v>2774</v>
      </c>
      <c r="H121" s="92" t="s">
        <v>3435</v>
      </c>
      <c r="I121" s="90" t="s">
        <v>3436</v>
      </c>
      <c r="K121" s="16" t="s">
        <v>229</v>
      </c>
      <c r="L121" s="16" t="s">
        <v>507</v>
      </c>
      <c r="M121" s="17" t="s">
        <v>3437</v>
      </c>
      <c r="N121" s="17" t="s">
        <v>3438</v>
      </c>
      <c r="O121" s="93" t="s">
        <v>2767</v>
      </c>
      <c r="P121" s="17" t="s">
        <v>2768</v>
      </c>
      <c r="Q121" s="78" t="s">
        <v>3439</v>
      </c>
      <c r="R121" s="16" t="str">
        <f aca="false">IFERROR(INDEX(Scoring!$E$29:$E$361,MATCH("Nafcillin|Aurobindo Pharma",Scoring!$AD$29:$AD$361,0)),"")</f>
        <v>Priority 3</v>
      </c>
      <c r="S121" s="16" t="s">
        <v>3440</v>
      </c>
    </row>
    <row r="122" customFormat="false" ht="41.75" hidden="false" customHeight="false" outlineLevel="0" collapsed="false">
      <c r="A122" s="89" t="s">
        <v>541</v>
      </c>
      <c r="B122" s="90" t="s">
        <v>543</v>
      </c>
      <c r="C122" s="90" t="s">
        <v>2948</v>
      </c>
      <c r="D122" s="91" t="s">
        <v>283</v>
      </c>
      <c r="E122" s="90" t="s">
        <v>3441</v>
      </c>
      <c r="F122" s="92" t="s">
        <v>3442</v>
      </c>
      <c r="G122" s="90" t="s">
        <v>2774</v>
      </c>
      <c r="H122" s="89"/>
      <c r="I122" s="90" t="s">
        <v>2764</v>
      </c>
      <c r="K122" s="16" t="s">
        <v>238</v>
      </c>
      <c r="L122" s="16" t="s">
        <v>507</v>
      </c>
      <c r="M122" s="17" t="s">
        <v>3443</v>
      </c>
      <c r="N122" s="17" t="s">
        <v>3444</v>
      </c>
      <c r="O122" s="93" t="s">
        <v>2767</v>
      </c>
      <c r="P122" s="17" t="s">
        <v>2768</v>
      </c>
      <c r="Q122" s="78" t="s">
        <v>3445</v>
      </c>
      <c r="R122" s="16" t="str">
        <f aca="false">IFERROR(INDEX(Scoring!$E$29:$E$361,MATCH("Nafcillin|OneSource Specialty Pharma",Scoring!$AD$29:$AD$361,0)),"")</f>
        <v>Priority 3</v>
      </c>
      <c r="S122" s="16" t="s">
        <v>3446</v>
      </c>
    </row>
    <row r="123" customFormat="false" ht="55.2" hidden="false" customHeight="false" outlineLevel="0" collapsed="false">
      <c r="A123" s="89" t="s">
        <v>548</v>
      </c>
      <c r="B123" s="90" t="s">
        <v>549</v>
      </c>
      <c r="C123" s="90" t="s">
        <v>2818</v>
      </c>
      <c r="D123" s="91" t="s">
        <v>283</v>
      </c>
      <c r="E123" s="90" t="s">
        <v>3447</v>
      </c>
      <c r="F123" s="92" t="s">
        <v>3448</v>
      </c>
      <c r="G123" s="90" t="s">
        <v>2774</v>
      </c>
      <c r="H123" s="89"/>
      <c r="I123" s="90" t="s">
        <v>2764</v>
      </c>
      <c r="K123" s="16" t="s">
        <v>229</v>
      </c>
      <c r="L123" s="16" t="s">
        <v>75</v>
      </c>
      <c r="M123" s="17" t="s">
        <v>3449</v>
      </c>
      <c r="N123" s="17" t="s">
        <v>3450</v>
      </c>
      <c r="O123" s="93" t="s">
        <v>2767</v>
      </c>
      <c r="P123" s="17" t="s">
        <v>2768</v>
      </c>
      <c r="Q123" s="78" t="s">
        <v>3451</v>
      </c>
      <c r="R123" s="16" t="str">
        <f aca="false">IFERROR(INDEX(Scoring!$E$29:$E$361,MATCH("Naloxone|Aurobindo Pharma",Scoring!$AD$29:$AD$361,0)),"")</f>
        <v>Priority 2</v>
      </c>
      <c r="S123" s="16" t="s">
        <v>3452</v>
      </c>
    </row>
    <row r="124" customFormat="false" ht="82.05" hidden="false" customHeight="false" outlineLevel="0" collapsed="false">
      <c r="A124" s="89" t="s">
        <v>839</v>
      </c>
      <c r="B124" s="90" t="s">
        <v>840</v>
      </c>
      <c r="C124" s="90" t="s">
        <v>2771</v>
      </c>
      <c r="D124" s="91" t="s">
        <v>1533</v>
      </c>
      <c r="E124" s="90" t="s">
        <v>3453</v>
      </c>
      <c r="F124" s="92" t="s">
        <v>3454</v>
      </c>
      <c r="G124" s="90" t="s">
        <v>2774</v>
      </c>
      <c r="H124" s="92" t="s">
        <v>3455</v>
      </c>
      <c r="I124" s="90" t="s">
        <v>2776</v>
      </c>
      <c r="K124" s="16" t="s">
        <v>231</v>
      </c>
      <c r="L124" s="16" t="s">
        <v>75</v>
      </c>
      <c r="M124" s="17" t="s">
        <v>3456</v>
      </c>
      <c r="N124" s="17" t="s">
        <v>3457</v>
      </c>
      <c r="O124" s="93" t="s">
        <v>2767</v>
      </c>
      <c r="P124" s="17" t="s">
        <v>2768</v>
      </c>
      <c r="Q124" s="78" t="s">
        <v>3328</v>
      </c>
      <c r="R124" s="16" t="str">
        <f aca="false">IFERROR(INDEX(Scoring!$E$29:$E$361,MATCH("Naloxone|Dr. Reddy's Laboratories",Scoring!$AD$29:$AD$361,0)),"")</f>
        <v>Priority 3</v>
      </c>
      <c r="S124" s="16" t="s">
        <v>3458</v>
      </c>
    </row>
    <row r="125" customFormat="false" ht="55.2" hidden="false" customHeight="false" outlineLevel="0" collapsed="false">
      <c r="A125" s="89" t="s">
        <v>1460</v>
      </c>
      <c r="B125" s="90" t="s">
        <v>1462</v>
      </c>
      <c r="C125" s="90" t="s">
        <v>2771</v>
      </c>
      <c r="D125" s="91" t="s">
        <v>1533</v>
      </c>
      <c r="E125" s="90" t="s">
        <v>3459</v>
      </c>
      <c r="F125" s="92" t="s">
        <v>3460</v>
      </c>
      <c r="G125" s="90" t="s">
        <v>2774</v>
      </c>
      <c r="H125" s="89"/>
      <c r="I125" s="90" t="s">
        <v>3461</v>
      </c>
      <c r="K125" s="16" t="s">
        <v>21</v>
      </c>
      <c r="L125" s="16" t="s">
        <v>75</v>
      </c>
      <c r="M125" s="17" t="s">
        <v>3462</v>
      </c>
      <c r="N125" s="17" t="s">
        <v>3463</v>
      </c>
      <c r="O125" s="93" t="s">
        <v>2767</v>
      </c>
      <c r="P125" s="17" t="s">
        <v>2768</v>
      </c>
      <c r="Q125" s="78" t="s">
        <v>3464</v>
      </c>
      <c r="R125" s="16" t="str">
        <f aca="false">IFERROR(INDEX(Scoring!$E$29:$E$361,MATCH("Naloxone|Intas Pharmaceuticals",Scoring!$AD$29:$AD$361,0)),"")</f>
        <v>Priority 3</v>
      </c>
      <c r="S125" s="16" t="s">
        <v>3465</v>
      </c>
    </row>
    <row r="126" customFormat="false" ht="55.2" hidden="false" customHeight="false" outlineLevel="0" collapsed="false">
      <c r="A126" s="89" t="s">
        <v>1140</v>
      </c>
      <c r="B126" s="90" t="s">
        <v>1142</v>
      </c>
      <c r="C126" s="90" t="s">
        <v>3466</v>
      </c>
      <c r="D126" s="91" t="s">
        <v>1533</v>
      </c>
      <c r="E126" s="90" t="s">
        <v>3467</v>
      </c>
      <c r="F126" s="92" t="s">
        <v>3468</v>
      </c>
      <c r="G126" s="90" t="s">
        <v>2762</v>
      </c>
      <c r="H126" s="89"/>
      <c r="I126" s="90" t="s">
        <v>2776</v>
      </c>
      <c r="K126" s="16" t="s">
        <v>231</v>
      </c>
      <c r="L126" s="16" t="s">
        <v>744</v>
      </c>
      <c r="M126" s="17" t="s">
        <v>3469</v>
      </c>
      <c r="N126" s="17" t="s">
        <v>3470</v>
      </c>
      <c r="O126" s="65" t="s">
        <v>2779</v>
      </c>
      <c r="P126" s="17" t="s">
        <v>2768</v>
      </c>
      <c r="Q126" s="78" t="s">
        <v>3471</v>
      </c>
      <c r="R126" s="16" t="str">
        <f aca="false">IFERROR(INDEX(Scoring!$E$29:$E$361,MATCH("Neostigmine|Dr. Reddy's Laboratories",Scoring!$AD$29:$AD$361,0)),"")</f>
        <v>Excluded – IV only</v>
      </c>
      <c r="S126" s="16" t="s">
        <v>3472</v>
      </c>
    </row>
    <row r="127" customFormat="false" ht="55.2" hidden="false" customHeight="false" outlineLevel="0" collapsed="false">
      <c r="A127" s="89" t="s">
        <v>552</v>
      </c>
      <c r="B127" s="90" t="s">
        <v>553</v>
      </c>
      <c r="C127" s="90" t="s">
        <v>2771</v>
      </c>
      <c r="D127" s="91" t="s">
        <v>1533</v>
      </c>
      <c r="E127" s="90" t="s">
        <v>3473</v>
      </c>
      <c r="F127" s="92" t="s">
        <v>3474</v>
      </c>
      <c r="G127" s="90" t="s">
        <v>2774</v>
      </c>
      <c r="H127" s="89"/>
      <c r="I127" s="90" t="s">
        <v>2776</v>
      </c>
      <c r="K127" s="16" t="s">
        <v>232</v>
      </c>
      <c r="L127" s="16" t="s">
        <v>744</v>
      </c>
      <c r="M127" s="17" t="s">
        <v>3475</v>
      </c>
      <c r="N127" s="17" t="s">
        <v>3476</v>
      </c>
      <c r="O127" s="65" t="s">
        <v>2779</v>
      </c>
      <c r="P127" s="17" t="s">
        <v>2768</v>
      </c>
      <c r="Q127" s="78" t="s">
        <v>3477</v>
      </c>
      <c r="R127" s="16" t="str">
        <f aca="false">IFERROR(INDEX(Scoring!$E$29:$E$361,MATCH("Neostigmine|Emcure Pharmaceuticals",Scoring!$AD$29:$AD$361,0)),"")</f>
        <v>Excluded – IV only</v>
      </c>
      <c r="S127" s="16" t="s">
        <v>3478</v>
      </c>
    </row>
    <row r="128" customFormat="false" ht="82.05" hidden="false" customHeight="false" outlineLevel="0" collapsed="false">
      <c r="A128" s="89" t="s">
        <v>556</v>
      </c>
      <c r="B128" s="90" t="s">
        <v>558</v>
      </c>
      <c r="C128" s="90" t="s">
        <v>2771</v>
      </c>
      <c r="D128" s="91" t="s">
        <v>1533</v>
      </c>
      <c r="E128" s="90" t="s">
        <v>3479</v>
      </c>
      <c r="F128" s="92" t="s">
        <v>3480</v>
      </c>
      <c r="G128" s="90" t="s">
        <v>2774</v>
      </c>
      <c r="H128" s="92" t="s">
        <v>3481</v>
      </c>
      <c r="I128" s="90" t="s">
        <v>2982</v>
      </c>
      <c r="K128" s="16" t="s">
        <v>241</v>
      </c>
      <c r="L128" s="16" t="s">
        <v>1358</v>
      </c>
      <c r="M128" s="17" t="s">
        <v>3482</v>
      </c>
      <c r="N128" s="17" t="s">
        <v>3483</v>
      </c>
      <c r="O128" s="93" t="s">
        <v>2767</v>
      </c>
      <c r="P128" s="17" t="s">
        <v>2768</v>
      </c>
      <c r="Q128" s="78" t="s">
        <v>3484</v>
      </c>
      <c r="R128" s="16" t="str">
        <f aca="false">IFERROR(INDEX(Scoring!$E$29:$E$361,MATCH("Octreotide|Sun Pharma",Scoring!$AD$29:$AD$361,0)),"")</f>
        <v>Priority 2</v>
      </c>
      <c r="S128" s="16" t="s">
        <v>3485</v>
      </c>
    </row>
    <row r="129" customFormat="false" ht="68.65" hidden="false" customHeight="false" outlineLevel="0" collapsed="false">
      <c r="A129" s="89" t="s">
        <v>910</v>
      </c>
      <c r="B129" s="90" t="s">
        <v>596</v>
      </c>
      <c r="C129" s="90" t="s">
        <v>2771</v>
      </c>
      <c r="D129" s="91" t="s">
        <v>1533</v>
      </c>
      <c r="E129" s="90" t="s">
        <v>3486</v>
      </c>
      <c r="F129" s="92" t="s">
        <v>3487</v>
      </c>
      <c r="G129" s="90" t="s">
        <v>2774</v>
      </c>
      <c r="H129" s="92" t="s">
        <v>3488</v>
      </c>
      <c r="I129" s="90" t="s">
        <v>2776</v>
      </c>
      <c r="K129" s="16" t="s">
        <v>235</v>
      </c>
      <c r="L129" s="16" t="s">
        <v>1220</v>
      </c>
      <c r="M129" s="17" t="s">
        <v>3489</v>
      </c>
      <c r="N129" s="17" t="s">
        <v>3490</v>
      </c>
      <c r="O129" s="93" t="s">
        <v>2767</v>
      </c>
      <c r="P129" s="17" t="s">
        <v>2768</v>
      </c>
      <c r="Q129" s="78" t="s">
        <v>3491</v>
      </c>
      <c r="R129" s="16" t="str">
        <f aca="false">IFERROR(INDEX(Scoring!$E$29:$E$361,MATCH("Olanzapine|Lupin",Scoring!$AD$29:$AD$361,0)),"")</f>
        <v>Priority 3</v>
      </c>
      <c r="S129" s="16" t="s">
        <v>3492</v>
      </c>
    </row>
    <row r="130" customFormat="false" ht="68.65" hidden="false" customHeight="false" outlineLevel="0" collapsed="false">
      <c r="A130" s="89" t="s">
        <v>563</v>
      </c>
      <c r="B130" s="90" t="s">
        <v>565</v>
      </c>
      <c r="C130" s="90" t="s">
        <v>3493</v>
      </c>
      <c r="D130" s="91" t="s">
        <v>1533</v>
      </c>
      <c r="E130" s="90" t="s">
        <v>3494</v>
      </c>
      <c r="F130" s="92" t="s">
        <v>3495</v>
      </c>
      <c r="G130" s="90" t="s">
        <v>2762</v>
      </c>
      <c r="H130" s="89"/>
      <c r="I130" s="90" t="s">
        <v>3496</v>
      </c>
      <c r="K130" s="16" t="s">
        <v>229</v>
      </c>
      <c r="L130" s="16" t="s">
        <v>518</v>
      </c>
      <c r="M130" s="17" t="s">
        <v>3497</v>
      </c>
      <c r="N130" s="17" t="s">
        <v>3498</v>
      </c>
      <c r="O130" s="93" t="s">
        <v>2767</v>
      </c>
      <c r="P130" s="17" t="s">
        <v>2768</v>
      </c>
      <c r="Q130" s="78" t="s">
        <v>3499</v>
      </c>
      <c r="R130" s="16" t="str">
        <f aca="false">IFERROR(INDEX(Scoring!$E$29:$E$361,MATCH("Ondansetron|Aurobindo Pharma",Scoring!$AD$29:$AD$361,0)),"")</f>
        <v>Priority 2</v>
      </c>
      <c r="S130" s="16" t="s">
        <v>3500</v>
      </c>
    </row>
    <row r="131" customFormat="false" ht="68.65" hidden="false" customHeight="false" outlineLevel="0" collapsed="false">
      <c r="A131" s="89" t="s">
        <v>568</v>
      </c>
      <c r="B131" s="90" t="s">
        <v>570</v>
      </c>
      <c r="C131" s="90" t="s">
        <v>2771</v>
      </c>
      <c r="D131" s="91" t="s">
        <v>1533</v>
      </c>
      <c r="E131" s="90" t="s">
        <v>3501</v>
      </c>
      <c r="F131" s="92" t="s">
        <v>3502</v>
      </c>
      <c r="G131" s="90" t="s">
        <v>2774</v>
      </c>
      <c r="H131" s="92" t="s">
        <v>3503</v>
      </c>
      <c r="I131" s="90" t="s">
        <v>2776</v>
      </c>
      <c r="K131" s="16" t="s">
        <v>232</v>
      </c>
      <c r="L131" s="16" t="s">
        <v>518</v>
      </c>
      <c r="M131" s="17" t="s">
        <v>3504</v>
      </c>
      <c r="N131" s="17" t="s">
        <v>3505</v>
      </c>
      <c r="O131" s="93" t="s">
        <v>2767</v>
      </c>
      <c r="P131" s="17" t="s">
        <v>2768</v>
      </c>
      <c r="Q131" s="78" t="s">
        <v>3506</v>
      </c>
      <c r="R131" s="16" t="str">
        <f aca="false">IFERROR(INDEX(Scoring!$E$29:$E$361,MATCH("Ondansetron|Emcure Pharmaceuticals",Scoring!$AD$29:$AD$361,0)),"")</f>
        <v>Priority 2</v>
      </c>
      <c r="S131" s="16" t="s">
        <v>3507</v>
      </c>
    </row>
    <row r="132" customFormat="false" ht="82.05" hidden="false" customHeight="false" outlineLevel="0" collapsed="false">
      <c r="A132" s="89" t="s">
        <v>914</v>
      </c>
      <c r="B132" s="90" t="s">
        <v>915</v>
      </c>
      <c r="C132" s="90" t="s">
        <v>2771</v>
      </c>
      <c r="D132" s="91" t="s">
        <v>1533</v>
      </c>
      <c r="E132" s="90" t="s">
        <v>3508</v>
      </c>
      <c r="F132" s="92" t="s">
        <v>3509</v>
      </c>
      <c r="G132" s="90" t="s">
        <v>2774</v>
      </c>
      <c r="H132" s="92" t="s">
        <v>3510</v>
      </c>
      <c r="I132" s="90" t="s">
        <v>3511</v>
      </c>
      <c r="K132" s="16" t="s">
        <v>21</v>
      </c>
      <c r="L132" s="16" t="s">
        <v>518</v>
      </c>
      <c r="M132" s="17" t="s">
        <v>3512</v>
      </c>
      <c r="N132" s="17" t="s">
        <v>3513</v>
      </c>
      <c r="O132" s="93" t="s">
        <v>2767</v>
      </c>
      <c r="P132" s="17" t="s">
        <v>2768</v>
      </c>
      <c r="Q132" s="78" t="s">
        <v>3514</v>
      </c>
      <c r="R132" s="16" t="str">
        <f aca="false">IFERROR(INDEX(Scoring!$E$29:$E$361,MATCH("Ondansetron|Intas Pharmaceuticals",Scoring!$AD$29:$AD$361,0)),"")</f>
        <v>Priority 2</v>
      </c>
      <c r="S132" s="16" t="s">
        <v>3515</v>
      </c>
    </row>
    <row r="133" customFormat="false" ht="55.2" hidden="false" customHeight="false" outlineLevel="0" collapsed="false">
      <c r="A133" s="89" t="s">
        <v>1466</v>
      </c>
      <c r="B133" s="90" t="s">
        <v>1268</v>
      </c>
      <c r="C133" s="90" t="s">
        <v>2771</v>
      </c>
      <c r="D133" s="91" t="s">
        <v>1533</v>
      </c>
      <c r="E133" s="90" t="s">
        <v>3516</v>
      </c>
      <c r="F133" s="92" t="s">
        <v>3517</v>
      </c>
      <c r="G133" s="90" t="s">
        <v>2762</v>
      </c>
      <c r="H133" s="89"/>
      <c r="I133" s="90" t="s">
        <v>2776</v>
      </c>
      <c r="K133" s="16" t="s">
        <v>244</v>
      </c>
      <c r="L133" s="16" t="s">
        <v>518</v>
      </c>
      <c r="M133" s="17" t="s">
        <v>3518</v>
      </c>
      <c r="N133" s="17" t="s">
        <v>3519</v>
      </c>
      <c r="O133" s="93" t="s">
        <v>2767</v>
      </c>
      <c r="P133" s="17" t="s">
        <v>2768</v>
      </c>
      <c r="Q133" s="78" t="s">
        <v>3520</v>
      </c>
      <c r="R133" s="16" t="str">
        <f aca="false">IFERROR(INDEX(Scoring!$E$29:$E$361,MATCH("Ondansetron|Wockhardt",Scoring!$AD$29:$AD$361,0)),"")</f>
        <v>Priority 2</v>
      </c>
      <c r="S133" s="16" t="s">
        <v>3521</v>
      </c>
    </row>
    <row r="134" customFormat="false" ht="55.2" hidden="false" customHeight="false" outlineLevel="0" collapsed="false">
      <c r="A134" s="89" t="s">
        <v>660</v>
      </c>
      <c r="B134" s="90" t="s">
        <v>662</v>
      </c>
      <c r="C134" s="90" t="s">
        <v>3522</v>
      </c>
      <c r="D134" s="91" t="s">
        <v>1533</v>
      </c>
      <c r="E134" s="90" t="s">
        <v>3523</v>
      </c>
      <c r="F134" s="92" t="s">
        <v>3524</v>
      </c>
      <c r="G134" s="90" t="s">
        <v>3525</v>
      </c>
      <c r="H134" s="89"/>
      <c r="I134" s="90" t="s">
        <v>2776</v>
      </c>
      <c r="K134" s="16" t="s">
        <v>245</v>
      </c>
      <c r="L134" s="16" t="s">
        <v>518</v>
      </c>
      <c r="M134" s="17" t="s">
        <v>3526</v>
      </c>
      <c r="N134" s="17" t="s">
        <v>3527</v>
      </c>
      <c r="O134" s="67" t="s">
        <v>2870</v>
      </c>
      <c r="P134" s="17" t="s">
        <v>2780</v>
      </c>
      <c r="Q134" s="78" t="s">
        <v>3528</v>
      </c>
      <c r="R134" s="16" t="str">
        <f aca="false">IFERROR(INDEX(Scoring!$E$29:$E$361,MATCH("Ondansetron|Zydus Lifesciences",Scoring!$AD$29:$AD$361,0)),"")</f>
        <v>Priority 2</v>
      </c>
      <c r="S134" s="16" t="s">
        <v>3529</v>
      </c>
    </row>
    <row r="135" customFormat="false" ht="55.2" hidden="false" customHeight="false" outlineLevel="0" collapsed="false">
      <c r="A135" s="89" t="s">
        <v>754</v>
      </c>
      <c r="B135" s="90" t="s">
        <v>756</v>
      </c>
      <c r="C135" s="90" t="s">
        <v>2759</v>
      </c>
      <c r="D135" s="91" t="s">
        <v>283</v>
      </c>
      <c r="E135" s="90" t="s">
        <v>3530</v>
      </c>
      <c r="F135" s="92" t="s">
        <v>3531</v>
      </c>
      <c r="G135" s="90" t="s">
        <v>2774</v>
      </c>
      <c r="H135" s="89"/>
      <c r="I135" s="90" t="s">
        <v>2764</v>
      </c>
      <c r="K135" s="16" t="s">
        <v>229</v>
      </c>
      <c r="L135" s="16" t="s">
        <v>526</v>
      </c>
      <c r="M135" s="17" t="s">
        <v>3532</v>
      </c>
      <c r="N135" s="17" t="s">
        <v>3533</v>
      </c>
      <c r="O135" s="93" t="s">
        <v>2767</v>
      </c>
      <c r="P135" s="17" t="s">
        <v>2768</v>
      </c>
      <c r="Q135" s="78" t="s">
        <v>3361</v>
      </c>
      <c r="R135" s="16" t="str">
        <f aca="false">IFERROR(INDEX(Scoring!$E$29:$E$361,MATCH("Oxacillin|Aurobindo Pharma",Scoring!$AD$29:$AD$361,0)),"")</f>
        <v>Priority 3</v>
      </c>
      <c r="S135" s="16" t="s">
        <v>3534</v>
      </c>
    </row>
    <row r="136" customFormat="false" ht="68.65" hidden="false" customHeight="false" outlineLevel="0" collapsed="false">
      <c r="A136" s="89" t="s">
        <v>665</v>
      </c>
      <c r="B136" s="90" t="s">
        <v>667</v>
      </c>
      <c r="C136" s="90" t="s">
        <v>2771</v>
      </c>
      <c r="D136" s="91" t="s">
        <v>1533</v>
      </c>
      <c r="E136" s="90" t="s">
        <v>3535</v>
      </c>
      <c r="F136" s="92" t="s">
        <v>3536</v>
      </c>
      <c r="G136" s="90" t="s">
        <v>2774</v>
      </c>
      <c r="H136" s="92" t="s">
        <v>3537</v>
      </c>
      <c r="I136" s="90" t="s">
        <v>2776</v>
      </c>
      <c r="K136" s="16" t="s">
        <v>244</v>
      </c>
      <c r="L136" s="16" t="s">
        <v>526</v>
      </c>
      <c r="M136" s="17" t="s">
        <v>3538</v>
      </c>
      <c r="N136" s="17" t="s">
        <v>3539</v>
      </c>
      <c r="O136" s="93" t="s">
        <v>2767</v>
      </c>
      <c r="P136" s="17" t="s">
        <v>2768</v>
      </c>
      <c r="Q136" s="78" t="s">
        <v>3540</v>
      </c>
      <c r="R136" s="16" t="str">
        <f aca="false">IFERROR(INDEX(Scoring!$E$29:$E$361,MATCH("Oxacillin|Wockhardt",Scoring!$AD$29:$AD$361,0)),"")</f>
        <v>Priority 3</v>
      </c>
      <c r="S136" s="16" t="s">
        <v>3541</v>
      </c>
    </row>
    <row r="137" customFormat="false" ht="68.65" hidden="false" customHeight="false" outlineLevel="0" collapsed="false">
      <c r="A137" s="89" t="s">
        <v>671</v>
      </c>
      <c r="B137" s="90" t="s">
        <v>673</v>
      </c>
      <c r="C137" s="90" t="s">
        <v>2759</v>
      </c>
      <c r="D137" s="91" t="s">
        <v>283</v>
      </c>
      <c r="E137" s="90" t="s">
        <v>3542</v>
      </c>
      <c r="F137" s="92" t="s">
        <v>675</v>
      </c>
      <c r="G137" s="90" t="s">
        <v>2762</v>
      </c>
      <c r="H137" s="89"/>
      <c r="I137" s="90" t="s">
        <v>2764</v>
      </c>
      <c r="K137" s="16" t="s">
        <v>235</v>
      </c>
      <c r="L137" s="16" t="s">
        <v>1225</v>
      </c>
      <c r="M137" s="17" t="s">
        <v>3543</v>
      </c>
      <c r="N137" s="17" t="s">
        <v>3544</v>
      </c>
      <c r="O137" s="93" t="s">
        <v>2767</v>
      </c>
      <c r="P137" s="17" t="s">
        <v>2768</v>
      </c>
      <c r="Q137" s="78" t="s">
        <v>3545</v>
      </c>
      <c r="R137" s="16" t="str">
        <f aca="false">IFERROR(INDEX(Scoring!$E$29:$E$361,MATCH("Oxytocin|Lupin",Scoring!$AD$29:$AD$361,0)),"")</f>
        <v>Priority 2</v>
      </c>
      <c r="S137" s="16" t="s">
        <v>3546</v>
      </c>
    </row>
    <row r="138" customFormat="false" ht="68.65" hidden="false" customHeight="false" outlineLevel="0" collapsed="false">
      <c r="A138" s="89" t="s">
        <v>1376</v>
      </c>
      <c r="B138" s="90" t="s">
        <v>1378</v>
      </c>
      <c r="C138" s="90" t="s">
        <v>2771</v>
      </c>
      <c r="D138" s="91" t="s">
        <v>1533</v>
      </c>
      <c r="E138" s="90" t="s">
        <v>3547</v>
      </c>
      <c r="F138" s="92" t="s">
        <v>3548</v>
      </c>
      <c r="G138" s="90" t="s">
        <v>2774</v>
      </c>
      <c r="H138" s="92" t="s">
        <v>3549</v>
      </c>
      <c r="I138" s="90" t="s">
        <v>2776</v>
      </c>
      <c r="K138" s="16" t="s">
        <v>242</v>
      </c>
      <c r="L138" s="16" t="s">
        <v>1399</v>
      </c>
      <c r="M138" s="17" t="s">
        <v>3550</v>
      </c>
      <c r="N138" s="17" t="s">
        <v>3551</v>
      </c>
      <c r="O138" s="93" t="s">
        <v>2767</v>
      </c>
      <c r="P138" s="17" t="s">
        <v>2780</v>
      </c>
      <c r="Q138" s="78" t="s">
        <v>3552</v>
      </c>
      <c r="R138" s="16" t="str">
        <f aca="false">IFERROR(INDEX(Scoring!$E$29:$E$361,MATCH("Paliperidone|Torrent Pharmaceuticals",Scoring!$AD$29:$AD$361,0)),"")</f>
        <v>Priority 2</v>
      </c>
      <c r="S138" s="16" t="s">
        <v>3553</v>
      </c>
    </row>
    <row r="139" customFormat="false" ht="41.75" hidden="false" customHeight="false" outlineLevel="0" collapsed="false">
      <c r="A139" s="89" t="s">
        <v>573</v>
      </c>
      <c r="B139" s="90" t="s">
        <v>574</v>
      </c>
      <c r="C139" s="90" t="s">
        <v>2818</v>
      </c>
      <c r="D139" s="91" t="s">
        <v>283</v>
      </c>
      <c r="E139" s="90" t="s">
        <v>3554</v>
      </c>
      <c r="F139" s="92" t="s">
        <v>3555</v>
      </c>
      <c r="G139" s="90" t="s">
        <v>2774</v>
      </c>
      <c r="H139" s="89"/>
      <c r="I139" s="90" t="s">
        <v>2764</v>
      </c>
      <c r="K139" s="16" t="s">
        <v>21</v>
      </c>
      <c r="L139" s="16" t="s">
        <v>1126</v>
      </c>
      <c r="M139" s="17" t="s">
        <v>3556</v>
      </c>
      <c r="N139" s="17" t="s">
        <v>3557</v>
      </c>
      <c r="O139" s="93" t="s">
        <v>2767</v>
      </c>
      <c r="P139" s="17" t="s">
        <v>2780</v>
      </c>
      <c r="Q139" s="78" t="s">
        <v>3558</v>
      </c>
      <c r="R139" s="16" t="str">
        <f aca="false">IFERROR(INDEX(Scoring!$E$29:$E$361,MATCH("Pegfilgrastim|Intas Pharmaceuticals",Scoring!$AD$29:$AD$361,0)),"")</f>
        <v>Priority 1</v>
      </c>
      <c r="S139" s="16" t="s">
        <v>3559</v>
      </c>
    </row>
    <row r="140" customFormat="false" ht="55.2" hidden="false" customHeight="false" outlineLevel="0" collapsed="false">
      <c r="A140" s="89" t="s">
        <v>577</v>
      </c>
      <c r="B140" s="90" t="s">
        <v>578</v>
      </c>
      <c r="C140" s="90" t="s">
        <v>2910</v>
      </c>
      <c r="D140" s="91" t="s">
        <v>283</v>
      </c>
      <c r="E140" s="90" t="s">
        <v>3560</v>
      </c>
      <c r="F140" s="92" t="s">
        <v>3561</v>
      </c>
      <c r="G140" s="90" t="s">
        <v>2774</v>
      </c>
      <c r="H140" s="89"/>
      <c r="I140" s="90" t="s">
        <v>2764</v>
      </c>
      <c r="K140" s="16" t="s">
        <v>232</v>
      </c>
      <c r="L140" s="16" t="s">
        <v>829</v>
      </c>
      <c r="M140" s="17" t="s">
        <v>3562</v>
      </c>
      <c r="N140" s="17" t="s">
        <v>3563</v>
      </c>
      <c r="O140" s="93" t="s">
        <v>2767</v>
      </c>
      <c r="P140" s="17" t="s">
        <v>2768</v>
      </c>
      <c r="Q140" s="78" t="s">
        <v>3564</v>
      </c>
      <c r="R140" s="16" t="str">
        <f aca="false">IFERROR(INDEX(Scoring!$E$29:$E$361,MATCH("Pentamidine|Emcure Pharmaceuticals",Scoring!$AD$29:$AD$361,0)),"")</f>
        <v>Priority 2</v>
      </c>
      <c r="S140" s="16" t="s">
        <v>3565</v>
      </c>
    </row>
    <row r="141" customFormat="false" ht="28.35" hidden="false" customHeight="false" outlineLevel="0" collapsed="false">
      <c r="A141" s="89" t="s">
        <v>676</v>
      </c>
      <c r="B141" s="90" t="s">
        <v>678</v>
      </c>
      <c r="C141" s="90" t="s">
        <v>2818</v>
      </c>
      <c r="D141" s="91" t="s">
        <v>283</v>
      </c>
      <c r="E141" s="90" t="s">
        <v>3566</v>
      </c>
      <c r="F141" s="92" t="s">
        <v>3567</v>
      </c>
      <c r="G141" s="90" t="s">
        <v>2774</v>
      </c>
      <c r="H141" s="89"/>
      <c r="I141" s="90" t="s">
        <v>2764</v>
      </c>
      <c r="K141" s="16" t="s">
        <v>21</v>
      </c>
      <c r="L141" s="16" t="s">
        <v>74</v>
      </c>
      <c r="M141" s="17" t="s">
        <v>3568</v>
      </c>
      <c r="N141" s="17" t="s">
        <v>3569</v>
      </c>
      <c r="O141" s="93" t="s">
        <v>2767</v>
      </c>
      <c r="P141" s="17" t="s">
        <v>2768</v>
      </c>
      <c r="Q141" s="78" t="s">
        <v>3570</v>
      </c>
      <c r="R141" s="16" t="str">
        <f aca="false">IFERROR(INDEX(Scoring!$E$29:$E$361,MATCH("Phenylephrine|Intas Pharmaceuticals",Scoring!$AD$29:$AD$361,0)),"")</f>
        <v>Priority 1</v>
      </c>
      <c r="S141" s="16" t="s">
        <v>3571</v>
      </c>
    </row>
    <row r="142" customFormat="false" ht="68.65" hidden="false" customHeight="false" outlineLevel="0" collapsed="false">
      <c r="A142" s="89" t="s">
        <v>763</v>
      </c>
      <c r="B142" s="90" t="s">
        <v>764</v>
      </c>
      <c r="C142" s="90" t="s">
        <v>2771</v>
      </c>
      <c r="D142" s="91" t="s">
        <v>1533</v>
      </c>
      <c r="E142" s="90" t="s">
        <v>3572</v>
      </c>
      <c r="F142" s="92" t="s">
        <v>3573</v>
      </c>
      <c r="G142" s="90" t="s">
        <v>2774</v>
      </c>
      <c r="H142" s="92" t="s">
        <v>3574</v>
      </c>
      <c r="I142" s="90" t="s">
        <v>2982</v>
      </c>
      <c r="K142" s="16" t="s">
        <v>230</v>
      </c>
      <c r="L142" s="16" t="s">
        <v>304</v>
      </c>
      <c r="M142" s="17" t="s">
        <v>3575</v>
      </c>
      <c r="N142" s="17" t="s">
        <v>3576</v>
      </c>
      <c r="O142" s="93" t="s">
        <v>2767</v>
      </c>
      <c r="P142" s="17" t="s">
        <v>2768</v>
      </c>
      <c r="Q142" s="78" t="s">
        <v>3577</v>
      </c>
      <c r="R142" s="16" t="str">
        <f aca="false">IFERROR(INDEX(Scoring!$E$29:$E$361,MATCH("Phytonadione|Cipla",Scoring!$AD$29:$AD$361,0)),"")</f>
        <v>Priority 2</v>
      </c>
      <c r="S142" s="16" t="s">
        <v>3578</v>
      </c>
    </row>
    <row r="143" customFormat="false" ht="68.65" hidden="false" customHeight="false" outlineLevel="0" collapsed="false">
      <c r="A143" s="89" t="s">
        <v>1159</v>
      </c>
      <c r="B143" s="90" t="s">
        <v>1161</v>
      </c>
      <c r="C143" s="90" t="s">
        <v>2771</v>
      </c>
      <c r="D143" s="91" t="s">
        <v>1533</v>
      </c>
      <c r="E143" s="90" t="s">
        <v>3579</v>
      </c>
      <c r="F143" s="92" t="s">
        <v>3580</v>
      </c>
      <c r="G143" s="90" t="s">
        <v>2774</v>
      </c>
      <c r="H143" s="92" t="s">
        <v>3581</v>
      </c>
      <c r="I143" s="90" t="s">
        <v>2776</v>
      </c>
      <c r="K143" s="16" t="s">
        <v>231</v>
      </c>
      <c r="L143" s="16" t="s">
        <v>304</v>
      </c>
      <c r="M143" s="17" t="s">
        <v>3582</v>
      </c>
      <c r="N143" s="17" t="s">
        <v>3583</v>
      </c>
      <c r="O143" s="93" t="s">
        <v>2767</v>
      </c>
      <c r="P143" s="17" t="s">
        <v>2768</v>
      </c>
      <c r="Q143" s="78" t="s">
        <v>3584</v>
      </c>
      <c r="R143" s="16" t="str">
        <f aca="false">IFERROR(INDEX(Scoring!$E$29:$E$361,MATCH("Phytonadione|Dr. Reddy's Laboratories",Scoring!$AD$29:$AD$361,0)),"")</f>
        <v>Priority 3</v>
      </c>
      <c r="S143" s="16" t="s">
        <v>3585</v>
      </c>
    </row>
    <row r="144" customFormat="false" ht="68.65" hidden="false" customHeight="false" outlineLevel="0" collapsed="false">
      <c r="A144" s="89" t="s">
        <v>581</v>
      </c>
      <c r="B144" s="90" t="s">
        <v>583</v>
      </c>
      <c r="C144" s="90" t="s">
        <v>2771</v>
      </c>
      <c r="D144" s="91" t="s">
        <v>1533</v>
      </c>
      <c r="E144" s="90" t="s">
        <v>3586</v>
      </c>
      <c r="F144" s="92" t="s">
        <v>3587</v>
      </c>
      <c r="G144" s="90" t="s">
        <v>2774</v>
      </c>
      <c r="H144" s="92" t="s">
        <v>3588</v>
      </c>
      <c r="I144" s="90" t="s">
        <v>2776</v>
      </c>
      <c r="K144" s="16" t="s">
        <v>229</v>
      </c>
      <c r="L144" s="16" t="s">
        <v>541</v>
      </c>
      <c r="M144" s="17" t="s">
        <v>3589</v>
      </c>
      <c r="N144" s="17" t="s">
        <v>3590</v>
      </c>
      <c r="O144" s="93" t="s">
        <v>2767</v>
      </c>
      <c r="P144" s="17" t="s">
        <v>2768</v>
      </c>
      <c r="Q144" s="78" t="s">
        <v>3591</v>
      </c>
      <c r="R144" s="16" t="str">
        <f aca="false">IFERROR(INDEX(Scoring!$E$29:$E$361,MATCH("Plerixafor|Aurobindo Pharma",Scoring!$AD$29:$AD$361,0)),"")</f>
        <v>Priority 2</v>
      </c>
      <c r="S144" s="16" t="s">
        <v>3592</v>
      </c>
    </row>
    <row r="145" customFormat="false" ht="82.05" hidden="false" customHeight="false" outlineLevel="0" collapsed="false">
      <c r="A145" s="89" t="s">
        <v>588</v>
      </c>
      <c r="B145" s="90" t="s">
        <v>589</v>
      </c>
      <c r="C145" s="90" t="s">
        <v>2771</v>
      </c>
      <c r="D145" s="91" t="s">
        <v>1533</v>
      </c>
      <c r="E145" s="90" t="s">
        <v>3593</v>
      </c>
      <c r="F145" s="92" t="s">
        <v>3594</v>
      </c>
      <c r="G145" s="90" t="s">
        <v>2774</v>
      </c>
      <c r="H145" s="92" t="s">
        <v>3595</v>
      </c>
      <c r="I145" s="90" t="s">
        <v>2776</v>
      </c>
      <c r="K145" s="16" t="s">
        <v>231</v>
      </c>
      <c r="L145" s="16" t="s">
        <v>541</v>
      </c>
      <c r="M145" s="17" t="s">
        <v>3596</v>
      </c>
      <c r="N145" s="17" t="s">
        <v>3597</v>
      </c>
      <c r="O145" s="93" t="s">
        <v>2767</v>
      </c>
      <c r="P145" s="17" t="s">
        <v>2768</v>
      </c>
      <c r="Q145" s="78" t="s">
        <v>3598</v>
      </c>
      <c r="R145" s="16" t="str">
        <f aca="false">IFERROR(INDEX(Scoring!$E$29:$E$361,MATCH("Plerixafor|Dr. Reddy's Laboratories",Scoring!$AD$29:$AD$361,0)),"")</f>
        <v>Priority 2</v>
      </c>
      <c r="S145" s="16" t="s">
        <v>3599</v>
      </c>
    </row>
    <row r="146" customFormat="false" ht="82.05" hidden="false" customHeight="false" outlineLevel="0" collapsed="false">
      <c r="A146" s="89" t="s">
        <v>681</v>
      </c>
      <c r="B146" s="90" t="s">
        <v>683</v>
      </c>
      <c r="C146" s="90" t="s">
        <v>2771</v>
      </c>
      <c r="D146" s="91" t="s">
        <v>1533</v>
      </c>
      <c r="E146" s="90" t="s">
        <v>3600</v>
      </c>
      <c r="F146" s="92" t="s">
        <v>3601</v>
      </c>
      <c r="G146" s="90" t="s">
        <v>2774</v>
      </c>
      <c r="H146" s="92" t="s">
        <v>3602</v>
      </c>
      <c r="I146" s="90" t="s">
        <v>3603</v>
      </c>
      <c r="K146" s="16" t="s">
        <v>232</v>
      </c>
      <c r="L146" s="16" t="s">
        <v>541</v>
      </c>
      <c r="M146" s="17" t="s">
        <v>3604</v>
      </c>
      <c r="N146" s="17" t="s">
        <v>3605</v>
      </c>
      <c r="O146" s="93" t="s">
        <v>2767</v>
      </c>
      <c r="P146" s="17" t="s">
        <v>2768</v>
      </c>
      <c r="Q146" s="78" t="s">
        <v>3606</v>
      </c>
      <c r="R146" s="16" t="str">
        <f aca="false">IFERROR(INDEX(Scoring!$E$29:$E$361,MATCH("Plerixafor|Emcure Pharmaceuticals",Scoring!$AD$29:$AD$361,0)),"")</f>
        <v>Priority 2</v>
      </c>
      <c r="S146" s="16" t="s">
        <v>3607</v>
      </c>
    </row>
    <row r="147" customFormat="false" ht="41.75" hidden="false" customHeight="false" outlineLevel="0" collapsed="false">
      <c r="A147" s="89" t="s">
        <v>308</v>
      </c>
      <c r="B147" s="90" t="s">
        <v>309</v>
      </c>
      <c r="C147" s="90" t="s">
        <v>2818</v>
      </c>
      <c r="D147" s="91" t="s">
        <v>283</v>
      </c>
      <c r="E147" s="90" t="s">
        <v>3608</v>
      </c>
      <c r="F147" s="92" t="s">
        <v>3609</v>
      </c>
      <c r="G147" s="90" t="s">
        <v>2774</v>
      </c>
      <c r="H147" s="89"/>
      <c r="I147" s="90" t="s">
        <v>2764</v>
      </c>
      <c r="K147" s="16" t="s">
        <v>233</v>
      </c>
      <c r="L147" s="16" t="s">
        <v>541</v>
      </c>
      <c r="M147" s="17" t="s">
        <v>3610</v>
      </c>
      <c r="N147" s="17" t="s">
        <v>3611</v>
      </c>
      <c r="O147" s="93" t="s">
        <v>2767</v>
      </c>
      <c r="P147" s="17" t="s">
        <v>2768</v>
      </c>
      <c r="Q147" s="78" t="s">
        <v>3612</v>
      </c>
      <c r="R147" s="16" t="str">
        <f aca="false">IFERROR(INDEX(Scoring!$E$29:$E$361,MATCH("Plerixafor|Glenmark Pharmaceuticals",Scoring!$AD$29:$AD$361,0)),"")</f>
        <v>Priority 2</v>
      </c>
      <c r="S147" s="16" t="s">
        <v>3613</v>
      </c>
    </row>
    <row r="148" customFormat="false" ht="41.75" hidden="false" customHeight="false" outlineLevel="0" collapsed="false">
      <c r="A148" s="89" t="s">
        <v>1165</v>
      </c>
      <c r="B148" s="90" t="s">
        <v>1167</v>
      </c>
      <c r="C148" s="90" t="s">
        <v>2831</v>
      </c>
      <c r="D148" s="91" t="s">
        <v>283</v>
      </c>
      <c r="E148" s="90" t="s">
        <v>3614</v>
      </c>
      <c r="F148" s="92" t="s">
        <v>3615</v>
      </c>
      <c r="G148" s="90" t="s">
        <v>2774</v>
      </c>
      <c r="H148" s="89"/>
      <c r="I148" s="90" t="s">
        <v>2764</v>
      </c>
      <c r="K148" s="16" t="s">
        <v>234</v>
      </c>
      <c r="L148" s="16" t="s">
        <v>541</v>
      </c>
      <c r="M148" s="17" t="s">
        <v>3616</v>
      </c>
      <c r="N148" s="17" t="s">
        <v>3617</v>
      </c>
      <c r="O148" s="93" t="s">
        <v>2767</v>
      </c>
      <c r="P148" s="17" t="s">
        <v>2768</v>
      </c>
      <c r="Q148" s="78" t="s">
        <v>3442</v>
      </c>
      <c r="R148" s="16" t="str">
        <f aca="false">IFERROR(INDEX(Scoring!$E$29:$E$361,MATCH("Plerixafor|Hetero Labs",Scoring!$AD$29:$AD$361,0)),"")</f>
        <v>Priority 2</v>
      </c>
      <c r="S148" s="16" t="s">
        <v>3618</v>
      </c>
    </row>
    <row r="149" customFormat="false" ht="82.05" hidden="false" customHeight="false" outlineLevel="0" collapsed="false">
      <c r="A149" s="89" t="s">
        <v>1471</v>
      </c>
      <c r="B149" s="90" t="s">
        <v>673</v>
      </c>
      <c r="C149" s="90" t="s">
        <v>2771</v>
      </c>
      <c r="D149" s="91" t="s">
        <v>1533</v>
      </c>
      <c r="E149" s="90" t="s">
        <v>3619</v>
      </c>
      <c r="F149" s="92" t="s">
        <v>3620</v>
      </c>
      <c r="G149" s="90" t="s">
        <v>2774</v>
      </c>
      <c r="H149" s="92" t="s">
        <v>3621</v>
      </c>
      <c r="I149" s="90" t="s">
        <v>2776</v>
      </c>
      <c r="K149" s="16" t="s">
        <v>21</v>
      </c>
      <c r="L149" s="16" t="s">
        <v>541</v>
      </c>
      <c r="M149" s="17" t="s">
        <v>3622</v>
      </c>
      <c r="N149" s="17" t="s">
        <v>3623</v>
      </c>
      <c r="O149" s="93" t="s">
        <v>2767</v>
      </c>
      <c r="P149" s="17" t="s">
        <v>2768</v>
      </c>
      <c r="Q149" s="78" t="s">
        <v>3624</v>
      </c>
      <c r="R149" s="16" t="str">
        <f aca="false">IFERROR(INDEX(Scoring!$E$29:$E$361,MATCH("Plerixafor|Intas Pharmaceuticals",Scoring!$AD$29:$AD$361,0)),"")</f>
        <v>Priority 2</v>
      </c>
      <c r="S149" s="16" t="s">
        <v>3625</v>
      </c>
    </row>
    <row r="150" customFormat="false" ht="68.65" hidden="false" customHeight="false" outlineLevel="0" collapsed="false">
      <c r="A150" s="89" t="s">
        <v>594</v>
      </c>
      <c r="B150" s="90" t="s">
        <v>596</v>
      </c>
      <c r="C150" s="90" t="s">
        <v>2771</v>
      </c>
      <c r="D150" s="91" t="s">
        <v>1533</v>
      </c>
      <c r="E150" s="90" t="s">
        <v>3626</v>
      </c>
      <c r="F150" s="92" t="s">
        <v>3627</v>
      </c>
      <c r="G150" s="90" t="s">
        <v>2774</v>
      </c>
      <c r="H150" s="92" t="s">
        <v>3628</v>
      </c>
      <c r="I150" s="90" t="s">
        <v>2776</v>
      </c>
      <c r="K150" s="16" t="s">
        <v>236</v>
      </c>
      <c r="L150" s="16" t="s">
        <v>541</v>
      </c>
      <c r="M150" s="17" t="s">
        <v>3629</v>
      </c>
      <c r="N150" s="17" t="s">
        <v>3597</v>
      </c>
      <c r="O150" s="93" t="s">
        <v>2767</v>
      </c>
      <c r="P150" s="17" t="s">
        <v>2768</v>
      </c>
      <c r="Q150" s="78" t="s">
        <v>3630</v>
      </c>
      <c r="R150" s="16" t="str">
        <f aca="false">IFERROR(INDEX(Scoring!$E$29:$E$361,MATCH("Plerixafor|MSN Laboratories",Scoring!$AD$29:$AD$361,0)),"")</f>
        <v>Priority 2</v>
      </c>
      <c r="S150" s="16" t="s">
        <v>3631</v>
      </c>
    </row>
    <row r="151" customFormat="false" ht="82.05" hidden="false" customHeight="false" outlineLevel="0" collapsed="false">
      <c r="A151" s="89" t="s">
        <v>599</v>
      </c>
      <c r="B151" s="90" t="s">
        <v>601</v>
      </c>
      <c r="C151" s="90" t="s">
        <v>2771</v>
      </c>
      <c r="D151" s="91" t="s">
        <v>1533</v>
      </c>
      <c r="E151" s="90" t="s">
        <v>3632</v>
      </c>
      <c r="F151" s="92" t="s">
        <v>3633</v>
      </c>
      <c r="G151" s="90" t="s">
        <v>2774</v>
      </c>
      <c r="H151" s="92" t="s">
        <v>3634</v>
      </c>
      <c r="I151" s="90" t="s">
        <v>2776</v>
      </c>
      <c r="K151" s="16" t="s">
        <v>229</v>
      </c>
      <c r="L151" s="16" t="s">
        <v>548</v>
      </c>
      <c r="M151" s="17" t="s">
        <v>3635</v>
      </c>
      <c r="N151" s="17" t="s">
        <v>3636</v>
      </c>
      <c r="O151" s="93" t="s">
        <v>2767</v>
      </c>
      <c r="P151" s="17" t="s">
        <v>2768</v>
      </c>
      <c r="Q151" s="78" t="s">
        <v>3448</v>
      </c>
      <c r="R151" s="16" t="str">
        <f aca="false">IFERROR(INDEX(Scoring!$E$29:$E$361,MATCH("Progesterone|Aurobindo Pharma",Scoring!$AD$29:$AD$361,0)),"")</f>
        <v>Priority 3</v>
      </c>
      <c r="S151" s="16" t="s">
        <v>3637</v>
      </c>
    </row>
    <row r="152" customFormat="false" ht="68.65" hidden="false" customHeight="false" outlineLevel="0" collapsed="false">
      <c r="A152" s="89" t="s">
        <v>686</v>
      </c>
      <c r="B152" s="90" t="s">
        <v>688</v>
      </c>
      <c r="C152" s="90" t="s">
        <v>2771</v>
      </c>
      <c r="D152" s="91" t="s">
        <v>1533</v>
      </c>
      <c r="E152" s="90" t="s">
        <v>3638</v>
      </c>
      <c r="F152" s="92" t="s">
        <v>3639</v>
      </c>
      <c r="G152" s="90" t="s">
        <v>2774</v>
      </c>
      <c r="H152" s="89"/>
      <c r="I152" s="90" t="s">
        <v>2982</v>
      </c>
      <c r="K152" s="16" t="s">
        <v>21</v>
      </c>
      <c r="L152" s="16" t="s">
        <v>548</v>
      </c>
      <c r="M152" s="17" t="s">
        <v>3640</v>
      </c>
      <c r="N152" s="17" t="s">
        <v>3641</v>
      </c>
      <c r="O152" s="93" t="s">
        <v>2767</v>
      </c>
      <c r="P152" s="17" t="s">
        <v>2780</v>
      </c>
      <c r="Q152" s="78" t="s">
        <v>3448</v>
      </c>
      <c r="R152" s="16" t="str">
        <f aca="false">IFERROR(INDEX(Scoring!$E$29:$E$361,MATCH("Progesterone|Intas Pharmaceuticals",Scoring!$AD$29:$AD$361,0)),"")</f>
        <v>Priority 3</v>
      </c>
      <c r="S152" s="16" t="s">
        <v>3642</v>
      </c>
    </row>
    <row r="153" customFormat="false" ht="55.2" hidden="false" customHeight="false" outlineLevel="0" collapsed="false">
      <c r="A153" s="89" t="s">
        <v>1172</v>
      </c>
      <c r="B153" s="90" t="s">
        <v>1174</v>
      </c>
      <c r="C153" s="90" t="s">
        <v>2771</v>
      </c>
      <c r="D153" s="91" t="s">
        <v>1533</v>
      </c>
      <c r="E153" s="90" t="s">
        <v>3643</v>
      </c>
      <c r="F153" s="92" t="s">
        <v>3644</v>
      </c>
      <c r="G153" s="90" t="s">
        <v>2774</v>
      </c>
      <c r="H153" s="89"/>
      <c r="I153" s="90" t="s">
        <v>2982</v>
      </c>
      <c r="K153" s="16" t="s">
        <v>231</v>
      </c>
      <c r="L153" s="16" t="s">
        <v>754</v>
      </c>
      <c r="M153" s="17" t="s">
        <v>3645</v>
      </c>
      <c r="N153" s="17" t="s">
        <v>3646</v>
      </c>
      <c r="O153" s="93" t="s">
        <v>2767</v>
      </c>
      <c r="P153" s="17" t="s">
        <v>2768</v>
      </c>
      <c r="Q153" s="78" t="s">
        <v>3647</v>
      </c>
      <c r="R153" s="16" t="str">
        <f aca="false">IFERROR(INDEX(Scoring!$E$29:$E$361,MATCH("Succinylcholine (Suxamethonium)|Dr. Reddy's Laboratories",Scoring!$AD$29:$AD$361,0)),"")</f>
        <v>Priority 2</v>
      </c>
      <c r="S153" s="16" t="s">
        <v>3648</v>
      </c>
    </row>
    <row r="154" customFormat="false" ht="68.65" hidden="false" customHeight="false" outlineLevel="0" collapsed="false">
      <c r="A154" s="89" t="s">
        <v>604</v>
      </c>
      <c r="B154" s="90" t="s">
        <v>606</v>
      </c>
      <c r="C154" s="90" t="s">
        <v>2771</v>
      </c>
      <c r="D154" s="91" t="s">
        <v>1533</v>
      </c>
      <c r="E154" s="90" t="s">
        <v>3649</v>
      </c>
      <c r="F154" s="92" t="s">
        <v>3650</v>
      </c>
      <c r="G154" s="90" t="s">
        <v>2774</v>
      </c>
      <c r="H154" s="92" t="s">
        <v>3651</v>
      </c>
      <c r="I154" s="90" t="s">
        <v>2982</v>
      </c>
      <c r="K154" s="16" t="s">
        <v>234</v>
      </c>
      <c r="L154" s="16" t="s">
        <v>754</v>
      </c>
      <c r="M154" s="17" t="s">
        <v>3652</v>
      </c>
      <c r="N154" s="17" t="s">
        <v>3653</v>
      </c>
      <c r="O154" s="93" t="s">
        <v>2767</v>
      </c>
      <c r="P154" s="17" t="s">
        <v>2768</v>
      </c>
      <c r="Q154" s="78" t="s">
        <v>3531</v>
      </c>
      <c r="R154" s="16" t="str">
        <f aca="false">IFERROR(INDEX(Scoring!$E$29:$E$361,MATCH("Succinylcholine (Suxamethonium)|Hetero Labs",Scoring!$AD$29:$AD$361,0)),"")</f>
        <v>Priority 2</v>
      </c>
      <c r="S154" s="16" t="s">
        <v>3654</v>
      </c>
    </row>
    <row r="155" customFormat="false" ht="82.05" hidden="false" customHeight="false" outlineLevel="0" collapsed="false">
      <c r="A155" s="89" t="s">
        <v>1406</v>
      </c>
      <c r="B155" s="90" t="s">
        <v>1408</v>
      </c>
      <c r="C155" s="90" t="s">
        <v>2771</v>
      </c>
      <c r="D155" s="91" t="s">
        <v>1533</v>
      </c>
      <c r="E155" s="90" t="s">
        <v>3655</v>
      </c>
      <c r="F155" s="92" t="s">
        <v>3656</v>
      </c>
      <c r="G155" s="90" t="s">
        <v>2774</v>
      </c>
      <c r="H155" s="92" t="s">
        <v>3657</v>
      </c>
      <c r="I155" s="90" t="s">
        <v>2776</v>
      </c>
      <c r="K155" s="16" t="s">
        <v>21</v>
      </c>
      <c r="L155" s="16" t="s">
        <v>754</v>
      </c>
      <c r="M155" s="17" t="s">
        <v>3658</v>
      </c>
      <c r="N155" s="17" t="s">
        <v>3659</v>
      </c>
      <c r="O155" s="93" t="s">
        <v>2767</v>
      </c>
      <c r="P155" s="17" t="s">
        <v>2768</v>
      </c>
      <c r="Q155" s="78" t="s">
        <v>3660</v>
      </c>
      <c r="R155" s="16" t="str">
        <f aca="false">IFERROR(INDEX(Scoring!$E$29:$E$361,MATCH("Succinylcholine (Suxamethonium)|Intas Pharmaceuticals",Scoring!$AD$29:$AD$361,0)),"")</f>
        <v>Priority 2</v>
      </c>
      <c r="S155" s="16" t="s">
        <v>3661</v>
      </c>
    </row>
    <row r="156" customFormat="false" ht="28.35" hidden="false" customHeight="false" outlineLevel="0" collapsed="false">
      <c r="K156" s="16" t="s">
        <v>237</v>
      </c>
      <c r="L156" s="16" t="s">
        <v>754</v>
      </c>
      <c r="M156" s="17" t="s">
        <v>3662</v>
      </c>
      <c r="N156" s="17" t="s">
        <v>3653</v>
      </c>
      <c r="O156" s="93" t="s">
        <v>2767</v>
      </c>
      <c r="P156" s="17" t="s">
        <v>2768</v>
      </c>
      <c r="Q156" s="78" t="s">
        <v>3663</v>
      </c>
      <c r="R156" s="16" t="str">
        <f aca="false">IFERROR(INDEX(Scoring!$E$29:$E$361,MATCH("Succinylcholine (Suxamethonium)|Micro Labs",Scoring!$AD$29:$AD$361,0)),"")</f>
        <v>Priority 2</v>
      </c>
      <c r="S156" s="16" t="s">
        <v>3664</v>
      </c>
    </row>
    <row r="157" customFormat="false" ht="41.75" hidden="false" customHeight="false" outlineLevel="0" collapsed="false">
      <c r="K157" s="16" t="s">
        <v>245</v>
      </c>
      <c r="L157" s="16" t="s">
        <v>754</v>
      </c>
      <c r="M157" s="17" t="s">
        <v>3665</v>
      </c>
      <c r="N157" s="17" t="s">
        <v>3666</v>
      </c>
      <c r="O157" s="93" t="s">
        <v>2767</v>
      </c>
      <c r="P157" s="17" t="s">
        <v>2768</v>
      </c>
      <c r="Q157" s="78" t="s">
        <v>3667</v>
      </c>
      <c r="R157" s="16" t="str">
        <f aca="false">IFERROR(INDEX(Scoring!$E$29:$E$361,MATCH("Succinylcholine (Suxamethonium)|Zydus Lifesciences",Scoring!$AD$29:$AD$361,0)),"")</f>
        <v>Priority 2</v>
      </c>
      <c r="S157" s="16" t="s">
        <v>3668</v>
      </c>
    </row>
    <row r="158" customFormat="false" ht="55.2" hidden="false" customHeight="false" outlineLevel="0" collapsed="false">
      <c r="K158" s="16" t="s">
        <v>230</v>
      </c>
      <c r="L158" s="16" t="s">
        <v>671</v>
      </c>
      <c r="M158" s="17" t="s">
        <v>3669</v>
      </c>
      <c r="N158" s="17" t="s">
        <v>3670</v>
      </c>
      <c r="O158" s="93" t="s">
        <v>2767</v>
      </c>
      <c r="P158" s="17" t="s">
        <v>2780</v>
      </c>
      <c r="Q158" s="78" t="s">
        <v>3671</v>
      </c>
      <c r="R158" s="16" t="str">
        <f aca="false">IFERROR(INDEX(Scoring!$E$29:$E$361,MATCH("Teicoplanin|Cipla",Scoring!$AD$29:$AD$361,0)),"")</f>
        <v>Priority 3</v>
      </c>
      <c r="S158" s="16" t="s">
        <v>3672</v>
      </c>
    </row>
    <row r="159" customFormat="false" ht="41.75" hidden="false" customHeight="false" outlineLevel="0" collapsed="false">
      <c r="K159" s="16" t="s">
        <v>234</v>
      </c>
      <c r="L159" s="16" t="s">
        <v>671</v>
      </c>
      <c r="M159" s="17" t="s">
        <v>3673</v>
      </c>
      <c r="N159" s="17" t="s">
        <v>3674</v>
      </c>
      <c r="O159" s="93" t="s">
        <v>2767</v>
      </c>
      <c r="P159" s="17" t="s">
        <v>2768</v>
      </c>
      <c r="Q159" s="78" t="s">
        <v>3675</v>
      </c>
      <c r="R159" s="16" t="str">
        <f aca="false">IFERROR(INDEX(Scoring!$E$29:$E$361,MATCH("Teicoplanin|Hetero Labs",Scoring!$AD$29:$AD$361,0)),"")</f>
        <v>Priority 2</v>
      </c>
      <c r="S159" s="16" t="s">
        <v>3676</v>
      </c>
    </row>
    <row r="160" customFormat="false" ht="41.75" hidden="false" customHeight="false" outlineLevel="0" collapsed="false">
      <c r="K160" s="16" t="s">
        <v>21</v>
      </c>
      <c r="L160" s="16" t="s">
        <v>671</v>
      </c>
      <c r="M160" s="17" t="s">
        <v>3677</v>
      </c>
      <c r="N160" s="17" t="s">
        <v>3678</v>
      </c>
      <c r="O160" s="93" t="s">
        <v>2767</v>
      </c>
      <c r="P160" s="17" t="s">
        <v>2768</v>
      </c>
      <c r="Q160" s="78" t="s">
        <v>3679</v>
      </c>
      <c r="R160" s="16" t="str">
        <f aca="false">IFERROR(INDEX(Scoring!$E$29:$E$361,MATCH("Teicoplanin|Intas Pharmaceuticals",Scoring!$AD$29:$AD$361,0)),"")</f>
        <v>Priority 2</v>
      </c>
      <c r="S160" s="16" t="s">
        <v>3680</v>
      </c>
    </row>
    <row r="161" customFormat="false" ht="68.65" hidden="false" customHeight="false" outlineLevel="0" collapsed="false">
      <c r="K161" s="16" t="s">
        <v>235</v>
      </c>
      <c r="L161" s="16" t="s">
        <v>671</v>
      </c>
      <c r="M161" s="17" t="s">
        <v>3681</v>
      </c>
      <c r="N161" s="17" t="s">
        <v>3682</v>
      </c>
      <c r="O161" s="93" t="s">
        <v>2767</v>
      </c>
      <c r="P161" s="17" t="s">
        <v>2780</v>
      </c>
      <c r="Q161" s="78" t="s">
        <v>3671</v>
      </c>
      <c r="R161" s="16" t="str">
        <f aca="false">IFERROR(INDEX(Scoring!$E$29:$E$361,MATCH("Teicoplanin|Lupin",Scoring!$AD$29:$AD$361,0)),"")</f>
        <v>Priority 2</v>
      </c>
      <c r="S161" s="16" t="s">
        <v>3683</v>
      </c>
    </row>
    <row r="162" customFormat="false" ht="41.75" hidden="false" customHeight="false" outlineLevel="0" collapsed="false">
      <c r="K162" s="16" t="s">
        <v>241</v>
      </c>
      <c r="L162" s="16" t="s">
        <v>671</v>
      </c>
      <c r="M162" s="17" t="s">
        <v>3684</v>
      </c>
      <c r="N162" s="17" t="s">
        <v>3685</v>
      </c>
      <c r="O162" s="93" t="s">
        <v>2767</v>
      </c>
      <c r="P162" s="17" t="s">
        <v>2768</v>
      </c>
      <c r="Q162" s="78" t="s">
        <v>3686</v>
      </c>
      <c r="R162" s="16" t="str">
        <f aca="false">IFERROR(INDEX(Scoring!$E$29:$E$361,MATCH("Teicoplanin|Sun Pharma",Scoring!$AD$29:$AD$361,0)),"")</f>
        <v>Priority 2</v>
      </c>
      <c r="S162" s="16" t="s">
        <v>3687</v>
      </c>
    </row>
    <row r="163" customFormat="false" ht="41.75" hidden="false" customHeight="false" outlineLevel="0" collapsed="false">
      <c r="K163" s="16" t="s">
        <v>229</v>
      </c>
      <c r="L163" s="16" t="s">
        <v>573</v>
      </c>
      <c r="M163" s="17" t="s">
        <v>3688</v>
      </c>
      <c r="N163" s="17" t="s">
        <v>2919</v>
      </c>
      <c r="O163" s="93" t="s">
        <v>2767</v>
      </c>
      <c r="P163" s="17" t="s">
        <v>2768</v>
      </c>
      <c r="Q163" s="78" t="s">
        <v>3689</v>
      </c>
      <c r="R163" s="16" t="str">
        <f aca="false">IFERROR(INDEX(Scoring!$E$29:$E$361,MATCH("Testosterone Cypionate|Aurobindo Pharma",Scoring!$AD$29:$AD$361,0)),"")</f>
        <v>Priority 2</v>
      </c>
      <c r="S163" s="16" t="s">
        <v>3690</v>
      </c>
    </row>
    <row r="164" customFormat="false" ht="41.75" hidden="false" customHeight="false" outlineLevel="0" collapsed="false">
      <c r="K164" s="16" t="s">
        <v>230</v>
      </c>
      <c r="L164" s="16" t="s">
        <v>573</v>
      </c>
      <c r="M164" s="17" t="s">
        <v>3691</v>
      </c>
      <c r="N164" s="17" t="s">
        <v>3692</v>
      </c>
      <c r="O164" s="93" t="s">
        <v>2767</v>
      </c>
      <c r="P164" s="17" t="s">
        <v>2768</v>
      </c>
      <c r="Q164" s="78" t="s">
        <v>3693</v>
      </c>
      <c r="R164" s="16" t="str">
        <f aca="false">IFERROR(INDEX(Scoring!$E$29:$E$361,MATCH("Testosterone Cypionate|Cipla",Scoring!$AD$29:$AD$361,0)),"")</f>
        <v>Priority 2</v>
      </c>
      <c r="S164" s="16" t="s">
        <v>3694</v>
      </c>
    </row>
    <row r="165" customFormat="false" ht="55.2" hidden="false" customHeight="false" outlineLevel="0" collapsed="false">
      <c r="K165" s="16" t="s">
        <v>241</v>
      </c>
      <c r="L165" s="16" t="s">
        <v>573</v>
      </c>
      <c r="M165" s="17" t="s">
        <v>3695</v>
      </c>
      <c r="N165" s="17" t="s">
        <v>3696</v>
      </c>
      <c r="O165" s="93" t="s">
        <v>2767</v>
      </c>
      <c r="P165" s="17" t="s">
        <v>2768</v>
      </c>
      <c r="Q165" s="78" t="s">
        <v>3697</v>
      </c>
      <c r="R165" s="16" t="str">
        <f aca="false">IFERROR(INDEX(Scoring!$E$29:$E$361,MATCH("Testosterone Cypionate|Sun Pharma",Scoring!$AD$29:$AD$361,0)),"")</f>
        <v>Priority 2</v>
      </c>
      <c r="S165" s="16" t="s">
        <v>3698</v>
      </c>
    </row>
    <row r="166" customFormat="false" ht="28.35" hidden="false" customHeight="false" outlineLevel="0" collapsed="false">
      <c r="K166" s="16" t="s">
        <v>229</v>
      </c>
      <c r="L166" s="16" t="s">
        <v>577</v>
      </c>
      <c r="M166" s="17" t="s">
        <v>3699</v>
      </c>
      <c r="N166" s="17" t="s">
        <v>3700</v>
      </c>
      <c r="O166" s="93" t="s">
        <v>2767</v>
      </c>
      <c r="P166" s="17" t="s">
        <v>2780</v>
      </c>
      <c r="Q166" s="78" t="s">
        <v>580</v>
      </c>
      <c r="R166" s="16" t="str">
        <f aca="false">IFERROR(INDEX(Scoring!$E$29:$E$361,MATCH("Testosterone Enanthate|Aurobindo Pharma",Scoring!$AD$29:$AD$361,0)),"")</f>
        <v>Priority 1</v>
      </c>
      <c r="S166" s="16" t="s">
        <v>3701</v>
      </c>
    </row>
    <row r="167" customFormat="false" ht="55.2" hidden="false" customHeight="false" outlineLevel="0" collapsed="false">
      <c r="K167" s="16" t="s">
        <v>230</v>
      </c>
      <c r="L167" s="16" t="s">
        <v>676</v>
      </c>
      <c r="M167" s="17" t="s">
        <v>3702</v>
      </c>
      <c r="N167" s="17" t="s">
        <v>3703</v>
      </c>
      <c r="O167" s="93" t="s">
        <v>2767</v>
      </c>
      <c r="P167" s="17" t="s">
        <v>2780</v>
      </c>
      <c r="Q167" s="78" t="s">
        <v>3704</v>
      </c>
      <c r="R167" s="16" t="str">
        <f aca="false">IFERROR(INDEX(Scoring!$E$29:$E$361,MATCH("Testosterone Undecanoate|Cipla",Scoring!$AD$29:$AD$361,0)),"")</f>
        <v>Priority 2</v>
      </c>
      <c r="S167" s="16" t="s">
        <v>3705</v>
      </c>
    </row>
    <row r="168" customFormat="false" ht="55.2" hidden="false" customHeight="false" outlineLevel="0" collapsed="false">
      <c r="K168" s="16" t="s">
        <v>235</v>
      </c>
      <c r="L168" s="16" t="s">
        <v>676</v>
      </c>
      <c r="M168" s="17" t="s">
        <v>3706</v>
      </c>
      <c r="N168" s="17" t="s">
        <v>3707</v>
      </c>
      <c r="O168" s="93" t="s">
        <v>2767</v>
      </c>
      <c r="P168" s="17" t="s">
        <v>2780</v>
      </c>
      <c r="Q168" s="78" t="s">
        <v>3704</v>
      </c>
      <c r="R168" s="16" t="str">
        <f aca="false">IFERROR(INDEX(Scoring!$E$29:$E$361,MATCH("Testosterone Undecanoate|Lupin",Scoring!$AD$29:$AD$361,0)),"")</f>
        <v>Priority 2</v>
      </c>
      <c r="S168" s="16" t="s">
        <v>3708</v>
      </c>
    </row>
    <row r="169" customFormat="false" ht="55.2" hidden="false" customHeight="false" outlineLevel="0" collapsed="false">
      <c r="K169" s="16" t="s">
        <v>241</v>
      </c>
      <c r="L169" s="16" t="s">
        <v>676</v>
      </c>
      <c r="M169" s="17" t="s">
        <v>3709</v>
      </c>
      <c r="N169" s="17" t="s">
        <v>3710</v>
      </c>
      <c r="O169" s="93" t="s">
        <v>2767</v>
      </c>
      <c r="P169" s="17" t="s">
        <v>2768</v>
      </c>
      <c r="Q169" s="78" t="s">
        <v>3711</v>
      </c>
      <c r="R169" s="16" t="str">
        <f aca="false">IFERROR(INDEX(Scoring!$E$29:$E$361,MATCH("Testosterone Undecanoate|Sun Pharma",Scoring!$AD$29:$AD$361,0)),"")</f>
        <v>Priority 2</v>
      </c>
      <c r="S169" s="16" t="s">
        <v>3712</v>
      </c>
    </row>
    <row r="170" customFormat="false" ht="68.65" hidden="false" customHeight="false" outlineLevel="0" collapsed="false">
      <c r="K170" s="16" t="s">
        <v>21</v>
      </c>
      <c r="L170" s="16" t="s">
        <v>1165</v>
      </c>
      <c r="M170" s="17" t="s">
        <v>3713</v>
      </c>
      <c r="N170" s="17" t="s">
        <v>3714</v>
      </c>
      <c r="O170" s="93" t="s">
        <v>2767</v>
      </c>
      <c r="P170" s="17" t="s">
        <v>2768</v>
      </c>
      <c r="Q170" s="78" t="s">
        <v>3615</v>
      </c>
      <c r="R170" s="16" t="str">
        <f aca="false">IFERROR(INDEX(Scoring!$E$29:$E$361,MATCH("Ustekinumab|Intas Pharmaceuticals",Scoring!$AD$29:$AD$361,0)),"")</f>
        <v>Priority 2</v>
      </c>
      <c r="S170" s="16" t="s">
        <v>3715</v>
      </c>
    </row>
    <row r="172" customFormat="false" ht="48" hidden="false" customHeight="true" outlineLevel="0" collapsed="false">
      <c r="K172" s="94" t="s">
        <v>3716</v>
      </c>
      <c r="L172" s="94"/>
      <c r="M172" s="94"/>
      <c r="N172" s="94"/>
      <c r="O172" s="94"/>
      <c r="P172" s="94"/>
      <c r="Q172" s="94"/>
      <c r="R172" s="94"/>
    </row>
  </sheetData>
  <mergeCells count="3">
    <mergeCell ref="A3:I3"/>
    <mergeCell ref="K3:R3"/>
    <mergeCell ref="K172:R172"/>
  </mergeCells>
  <hyperlinks>
    <hyperlink ref="F5" r:id="rId1" display="https://mhraproducts4853.blob.core.windows.net/docs/8e489e2a01676dd3c6dd0b4247f5687d5a33a616"/>
    <hyperlink ref="H5" r:id="rId2" display="https://dailymed.nlm.nih.gov/dailymed/drugInfo.cfm?setid=2b9fb0dd-e42e-4f9b-bf24-98b268d877e5"/>
    <hyperlink ref="Q5" r:id="rId3" display="https://mhraproducts4853.blob.core.windows.net/docs/d83e904f4609a9208d270bbb39829b778f6f0825"/>
    <hyperlink ref="F6" r:id="rId4" display="https://dailymed.nlm.nih.gov/dailymed/drugInfo.cfm?setid=61d9b8f6-f93f-46ee-bec2-db8d46999792"/>
    <hyperlink ref="H6" r:id="rId5" display="https://mhraproducts4853.blob.core.windows.net/docs/4d30849abb087d68fb87b3d040af01db85eeea0c"/>
    <hyperlink ref="Q6" r:id="rId6" display="https://hellopharmacist.com/ndc/70771-1490-01"/>
    <hyperlink ref="F7" r:id="rId7" display="https://mhraproducts4853.blob.core.windows.net/docs/643a51399a50b9e99afd935c92f31c50fff13070"/>
    <hyperlink ref="Q7" r:id="rId8" display="https://dailymed.nlm.nih.gov/dailymed/search.cfm?labeltype=all&amp;query=amikacin"/>
    <hyperlink ref="F8" r:id="rId9" display="https://dailymed.nlm.nih.gov/dailymed/drugInfo.cfm?setid=7791d3e1-9287-4f75-b4f0-e5d35cacfd6e"/>
    <hyperlink ref="Q8" r:id="rId10" display="https://dailymed.nlm.nih.gov/dailymed/drugInfo.cfm?setid=b7bf2897-8272-4c7d-84e9-6fbba0ea63fa"/>
    <hyperlink ref="F9" r:id="rId11" display="https://dailymed.nlm.nih.gov/dailymed/drugInfo.cfm?setid=1f00c333-9667-4ebc-8849-009a3779c0c9"/>
    <hyperlink ref="H9" r:id="rId12" display="https://mhraproducts4853.blob.core.windows.net/docs/5a2e115532e171705b28998071f74799e829e4f9"/>
    <hyperlink ref="Q9" r:id="rId13" display="https://dailymed.nlm.nih.gov/dailymed/drugInfo.cfm?setid=302e6df7-37c5-4625-8a61-3e2f302addf2"/>
    <hyperlink ref="F10" r:id="rId14" display="https://mhraproducts4853.blob.core.windows.net/docs/dd5428de28a35789b58d7a7229157959b1e135fb"/>
    <hyperlink ref="Q10" r:id="rId15" display="https://www.ebs.tga.gov.au/ebs/picmi/picmirepository.nsf/pdf?OpenAgent&amp;id=CP-2025-PI-01168-1"/>
    <hyperlink ref="F11" r:id="rId16" display="https://dailymed.nlm.nih.gov/dailymed/drugInfo.cfm?setid=b7bf2897-8272-4c7d-84e9-6fbba0ea63fa"/>
    <hyperlink ref="Q11" r:id="rId17" display="https://dailymed.nlm.nih.gov/dailymed/drugInfo.cfm?setid=f3cb74e9-b4ac-4efe-bd8e-8a71970ee7c7"/>
    <hyperlink ref="F12" r:id="rId18" display="https://dailymed.nlm.nih.gov/dailymed/drugInfo.cfm?setid=46cdf9e6-839c-49c8-9ee1-c30cfdd9368d"/>
    <hyperlink ref="H12" r:id="rId19" display="https://mhraproducts4853.blob.core.windows.net/docs/247aff47b4c3ceb1b47b5c6aee30a185233aad14"/>
    <hyperlink ref="Q12" r:id="rId20" display="https://www.ema.europa.eu/en/medicines/human/EPAR/azacitidine-accord"/>
    <hyperlink ref="F13" r:id="rId21" display="https://dailymed.nlm.nih.gov/dailymed/drugInfo.cfm?setid=da4c07fd-1130-4341-bb44-63acfa4162be"/>
    <hyperlink ref="Q13" r:id="rId22" display="https://www.ebs.tga.gov.au/ebs/picmi/picmirepository.nsf/pdf?OpenAgent&amp;id=CP-2019-CMI-02124-1"/>
    <hyperlink ref="F14" r:id="rId23" display="https://dailymed.nlm.nih.gov/dailymed/drugInfo.cfm?setid=71d4bc78-57df-474b-8b19-811a959f1fce"/>
    <hyperlink ref="H14" r:id="rId24" display="https://mhraproducts4853.blob.core.windows.net/docs/924d70784a8c922753ed49a78a38c605f536521c"/>
    <hyperlink ref="Q14" r:id="rId25" display="https://www.ema.europa.eu/en/medicines/human/EPAR/azacitidine-accord"/>
    <hyperlink ref="F15" r:id="rId26" display="https://dailymed.nlm.nih.gov/dailymed/drugInfo.cfm?setid=f3cb74e9-b4ac-4efe-bd8e-8a71970ee7c7"/>
    <hyperlink ref="Q15" r:id="rId27" display="https://www.ema.europa.eu/en/medicines/human/EPAR/azacitidine-accord"/>
    <hyperlink ref="F16" r:id="rId28" display="https://dailymed.nlm.nih.gov/dailymed/drugInfo.cfm?setid=70140e11-33f1-2240-e053-2991aa0a0480"/>
    <hyperlink ref="Q16" r:id="rId29" display="https://www.ema.europa.eu/en/medicines/human/EPAR/azacitidine-accord"/>
    <hyperlink ref="F17" r:id="rId30" display="https://mhraproducts4853.blob.core.windows.net/docs/38cffb86d463a85be1de8ce8a70b2775c027a0cb"/>
    <hyperlink ref="Q17" r:id="rId31" display="https://www.ema.europa.eu/en/medicines/human/EPAR/azacitidine-accord"/>
    <hyperlink ref="F18" r:id="rId32" display="https://dailymed.nlm.nih.gov/dailymed/drugInfo.cfm?setid=c20969cb-72d4-469b-9bd8-332250d896c3"/>
    <hyperlink ref="Q18" r:id="rId33" display="https://www.ema.europa.eu/en/medicines/human/EPAR/azacitidine-accord"/>
    <hyperlink ref="F19" r:id="rId34" display="https://dailymed.nlm.nih.gov/dailymed/drugInfo.cfm?setid=b5806c40-12ce-48e3-8abd-9f8997ef4428"/>
    <hyperlink ref="Q19" r:id="rId35" display="https://mhraproducts4853.blob.core.windows.net/docs/bb8555ee31d8ac21ce7ea2481563ab908752699c"/>
    <hyperlink ref="F20" r:id="rId36" display="https://dailymed.nlm.nih.gov/dailymed/drugInfo.cfm?setid=04aafa6a-a50d-4a47-a831-be8e8bb992ac"/>
    <hyperlink ref="Q20" r:id="rId37" display="https://mhraproducts4853.blob.core.windows.net/docs/bb8555ee31d8ac21ce7ea2481563ab908752699c"/>
    <hyperlink ref="F21" r:id="rId38" display="https://dailymed.nlm.nih.gov/dailymed/drugInfo.cfm?setid=c054a1c9-2aa7-473b-a04b-622596f36c95"/>
    <hyperlink ref="H21" r:id="rId39" display="https://mhraproducts4853.blob.core.windows.net/docs/da6e39cbeb26faea8c72a05b7312c32134b623cd"/>
    <hyperlink ref="Q21" r:id="rId40" display="https://mhraproducts4853.blob.core.windows.net/docs/bb8555ee31d8ac21ce7ea2481563ab908752699c"/>
    <hyperlink ref="F22" r:id="rId41" display="https://mhraproducts4853.blob.core.windows.net/docs/a9d1ffc9d457cfc0e43514aa459052215983758a"/>
    <hyperlink ref="Q22" r:id="rId42" display="https://www.geneesmiddeleninformatiebank.nl/smpc/h115403_smpc_en.pdf"/>
    <hyperlink ref="F23" r:id="rId43" display="https://dailymed.nlm.nih.gov/dailymed/drugInfo.cfm?setid=21489401-f2a7-47d3-897a-4b7efa04dd7a"/>
    <hyperlink ref="H23" r:id="rId44" display="https://mhraproducts4853.blob.core.windows.net/docs/5f7fabf03215a8e9cbd05bcdca2305b6839d7d56"/>
    <hyperlink ref="Q23" r:id="rId45" display="https://pi-pil-repository.sahpra.org.za/wp-content/uploads/2025/08/Final_PI-_ONBORT.pdf"/>
    <hyperlink ref="F24" r:id="rId46" display="https://dailymed.nlm.nih.gov/dailymed/drugInfo.cfm?setid=c1cde9c7-b005-484f-8497-343c5ecd4f0a"/>
    <hyperlink ref="Q24" r:id="rId47" display="https://www.geneesmiddeleninformatiebank.nl/smpc/h115403_smpc_en.pdf"/>
    <hyperlink ref="F25" r:id="rId48" display="https://dailymed.nlm.nih.gov/dailymed/drugInfo.cfm?setid=8a772acc-726d-40e6-88ee-b6075cbf9b28"/>
    <hyperlink ref="Q25" r:id="rId49" display="https://www.geneesmiddeleninformatiebank.nl/smpc/h115403_smpc_en.pdf"/>
    <hyperlink ref="F26" r:id="rId50" display="https://dailymed.nlm.nih.gov/dailymed/drugInfo.cfm?setid=02aa374f-37b4-456a-b5de-cfd3bbb6ce6e"/>
    <hyperlink ref="Q26" r:id="rId51" display="https://www.geneesmiddeleninformatiebank.nl/smpc/h115403_smpc_en.pdf"/>
    <hyperlink ref="F27" r:id="rId52" display="https://dailymed.nlm.nih.gov/dailymed/drugInfo.cfm?setid=40d48c5d-650e-461b-a67b-7e65772d1b92"/>
    <hyperlink ref="Q27" r:id="rId53" display="https://www.geneesmiddeleninformatiebank.nl/smpc/h115403_smpc_en.pdf"/>
    <hyperlink ref="F28" r:id="rId54" display="https://dailymed.nlm.nih.gov/dailymed/drugInfo.cfm?setid=1aa0a4ee-1b39-4c3d-a7a3-33dded6fe28c"/>
    <hyperlink ref="Q28" r:id="rId55" display="https://www.geneesmiddeleninformatiebank.nl/smpc/h115403_smpc_en.pdf"/>
    <hyperlink ref="F29" r:id="rId56" display="https://dailymed.nlm.nih.gov/dailymed/drugInfo.cfm?setid=bf921935-9740-458e-b786-69f76d8ad139"/>
    <hyperlink ref="Q29" r:id="rId57" display="https://www.geneesmiddeleninformatiebank.nl/smpc/h115403_smpc_en.pdf"/>
    <hyperlink ref="F30" r:id="rId58" display="https://mhraproducts4853.blob.core.windows.net/docs/468e5b0a68665f15d3d30982865bab14c0c28588"/>
    <hyperlink ref="Q30" r:id="rId59" display="https://www.geneesmiddeleninformatiebank.nl/smpc/h115403_smpc_en.pdf"/>
    <hyperlink ref="F31" r:id="rId60" display="https://dailymed.nlm.nih.gov/dailymed/drugInfo.cfm?setid=6564346c-661c-41cf-9cef-db6aa15710cd"/>
    <hyperlink ref="Q31" r:id="rId61" display="https://www.geneesmiddeleninformatiebank.nl/smpc/h115403_smpc_en.pdf"/>
    <hyperlink ref="F32" r:id="rId62" display="https://dailymed.nlm.nih.gov/dailymed/drugInfo.cfm?setid=d8b5eb77-b393-4cd7-86c5-d2a9d131f96d"/>
    <hyperlink ref="H32" r:id="rId63" display="https://mhraproducts4853.blob.core.windows.net/docs/d0f3c58f2a4c68c9ea1ecb8d0bc40104cd51541d"/>
    <hyperlink ref="Q32" r:id="rId64" display="https://dailymed.nlm.nih.gov/dailymed/drugInfo.cfm?setid=ffecf450-1f01-4721-8e10-251385852612"/>
    <hyperlink ref="F33" r:id="rId65" display="https://dailymed.nlm.nih.gov/dailymed/drugInfo.cfm?setid=6a335659-03b0-4a2d-9cd4-7dcf7da96fe6"/>
    <hyperlink ref="Q33" r:id="rId66" display="https://dailymed.nlm.nih.gov/dailymed/drugInfo.cfm?setid=5c10e3a1-7806-40c7-afd2-4c420e141823"/>
    <hyperlink ref="F34" r:id="rId67" display="https://dailymed.nlm.nih.gov/dailymed/drugInfo.cfm?setid=cd8d188a-fa5d-4580-bcb1-ac8617118cbb"/>
    <hyperlink ref="Q34" r:id="rId68" display="https://dailymed.nlm.nih.gov/dailymed/drugInfo.cfm?setid=d74a448c-ba91-4490-8550-9e675c39b427"/>
    <hyperlink ref="F35" r:id="rId69" display="https://mhraproducts4853.blob.core.windows.net/docs/925bc4c8a8d4a507b955b633951acf444692f0ea"/>
    <hyperlink ref="Q35" r:id="rId70" display="https://dailymed.nlm.nih.gov/dailymed/drugInfo.cfm?setid=a4c3b724-8c36-4d18-86b1-5ecee40cfbf4"/>
    <hyperlink ref="F36" r:id="rId71" display="https://dailymed.nlm.nih.gov/dailymed/drugInfo.cfm?setid=a5818647-d840-e9d7-c7b8-6541b485e44e"/>
    <hyperlink ref="H36" r:id="rId72" display="https://mhraproducts4853.blob.core.windows.net/docs/4b78838f8f40ca9a987ad8fa476d2a1fdd3a37ff"/>
    <hyperlink ref="Q36" r:id="rId73" display="https://dailymed.nlm.nih.gov/dailymed/drugInfo.cfm?setid=ce9f0ea6-69f9-6b68-2811-3b51e34acea6"/>
    <hyperlink ref="F37" r:id="rId74" display="https://dailymed.nlm.nih.gov/dailymed/drugInfo.cfm?setid=7ab50348-ca78-46a5-aba6-c35b6b21fbfe"/>
    <hyperlink ref="Q37" r:id="rId75" display="https://dailymed.nlm.nih.gov/dailymed/drugInfo.cfm?setid=a8a6acbf-81db-4fe3-aec8-ee7aa7af4d32"/>
    <hyperlink ref="F38" r:id="rId76" display="https://dailymed.nlm.nih.gov/dailymed/drugInfo.cfm?setid=5da55538-2602-4704-a9da-603c9f7ff7dc"/>
    <hyperlink ref="Q38" r:id="rId77" display="https://dailymed.nlm.nih.gov/dailymed/drugInfo.cfm?setid=461f80d0-b66c-f093-e063-6294a90a8893"/>
    <hyperlink ref="F39" r:id="rId78" display="https://dailymed.nlm.nih.gov/dailymed/drugInfo.cfm?setid=956b068f-5958-49eb-9c9f-3b6e324e77d2"/>
    <hyperlink ref="H39" r:id="rId79" display="https://mhraproducts4853.blob.core.windows.net/docs/455258e3132909d570c60c827b6b3eba6db4e889"/>
    <hyperlink ref="Q39" r:id="rId80" display="https://www.ebs.tga.gov.au/servlet/xmlmillr6?dbid=ebs/PublicHTML/pdfStore.nsf&amp;docid=156640&amp;agid=(PrintDetailsPublic)&amp;actionid=1"/>
    <hyperlink ref="F40" r:id="rId81" display="https://mhraproducts4853.blob.core.windows.net/docs/dd69aaa9ebc36b426539f90970d2d38630d8622a"/>
    <hyperlink ref="Q40" r:id="rId82" display="https://www.rxreasoner.com/drugs/cefect"/>
    <hyperlink ref="F41" r:id="rId83" display="https://dailymed.nlm.nih.gov/dailymed/drugInfo.cfm?setid=5f3be096-5100-4d0e-b765-481bbb2672e1"/>
    <hyperlink ref="Q41" r:id="rId84" display="https://cima.aemps.es/cima/dochtml/ft/75148/FT_75148.html"/>
    <hyperlink ref="F42" r:id="rId85" display="https://dailymed.nlm.nih.gov/dailymed/drugInfo.cfm?setid=60dd8694-58d8-d88e-26f2-f28baa53787e"/>
    <hyperlink ref="Q42" r:id="rId86" display="https://www.ebs.tga.gov.au/servlet/xmlmillr6?dbid=ebs/PublicHTML/pdfStore.nsf&amp;docid=170374&amp;agid=(PrintDetailsPublic)&amp;actionid=1"/>
    <hyperlink ref="F43" r:id="rId87" display="https://dailymed.nlm.nih.gov/dailymed/drugInfo.cfm?setid=6b6ca65b-4ede-47b9-bbf3-05bb67c0c71d"/>
    <hyperlink ref="Q43" r:id="rId88" display="https://base-donnees-publique.medicaments.gouv.fr/affichageDoc.php?typedoc=R&amp;specid=64318859"/>
    <hyperlink ref="F44" r:id="rId89" display="https://dailymed.nlm.nih.gov/dailymed/drugInfo.cfm?setid=eeb70724-065c-4a73-8e2e-d6b2a625e8d4"/>
    <hyperlink ref="Q44" r:id="rId90" display="https://www.ebs.tga.gov.au/servlet/xmlmillr6?dbid=ebs/PublicHTML/pdfStore.nsf&amp;docid=170892&amp;agid=(PrintDetailsPublic)&amp;actionid=1"/>
    <hyperlink ref="F45" r:id="rId91" display="https://dailymed.nlm.nih.gov/dailymed/drugInfo.cfm?setid=f8e001f5-441c-47cd-86f6-5d5e3de16bc0"/>
    <hyperlink ref="H45" r:id="rId92" display="https://mhraproducts4853.blob.core.windows.net/docs/8472f5b9e8869716ad12ef052d8bedebf43a4b5a"/>
    <hyperlink ref="Q45" r:id="rId93" display="https://mhraproducts4853.blob.core.windows.net/docs/7018eab6739c49237637d2451247cd04b8f31f20"/>
    <hyperlink ref="F46" r:id="rId94" display="https://dailymed.nlm.nih.gov/dailymed/drugInfo.cfm?setid=147e033d-d997-4ef6-8bb5-a9ba372590b2"/>
    <hyperlink ref="Q46" r:id="rId95" display="https://mhraproducts4853.blob.core.windows.net/docs/e7eea076320f36d06f5583a2e7c147a08f1773c6"/>
    <hyperlink ref="F47" r:id="rId96" display="https://mhraproducts4853.blob.core.windows.net/docs/1dd806a3b43b1cb3206cd238b17c784533bc42fe"/>
    <hyperlink ref="Q47" r:id="rId97" display="https://base-donnees-publique.medicaments.gouv.fr/affichageDoc.php?typedoc=R&amp;specid=62676989"/>
    <hyperlink ref="F48" r:id="rId98" display="https://health-products.canada.ca/dpd-bdpp/info?lang=eng&amp;code=11096"/>
    <hyperlink ref="H48" r:id="rId99" display="https://labeling.pfizer.com/ShowLabeling.aspx?id=7153"/>
    <hyperlink ref="Q48" r:id="rId100" display="https://drive.aifa.gov.it/farmaci/confezioni.csv"/>
    <hyperlink ref="F49" r:id="rId101" display="https://dailymed.nlm.nih.gov/dailymed/drugInfo.cfm?setid=01fd19cd-190c-4989-b733-60ba95941297"/>
    <hyperlink ref="Q49" r:id="rId102" display="https://mhraproducts4853.blob.core.windows.net/docs/620992012871d9e5a72bdb1e861678d5901cf630"/>
    <hyperlink ref="F50" r:id="rId103" display="https://dailymed.nlm.nih.gov/dailymed/drugInfo.cfm?setid=0a03c798-a652-4895-b29c-3b521a89ba42"/>
    <hyperlink ref="H50" r:id="rId104" display="https://mhraproducts4853.blob.core.windows.net/docs/8aeba99a8f543f374d08351b5b996fa2b4d7f66c"/>
    <hyperlink ref="Q50" r:id="rId105" display="https://dailymed.nlm.nih.gov/dailymed/drugInfo.cfm?setid=3b36beb7-db94-4b07-8c81-bd2b601a6601"/>
    <hyperlink ref="F51" r:id="rId106" display="https://dailymed.nlm.nih.gov/dailymed/drugInfo.cfm?setid=00ad7bbe-cadd-4647-b74b-adfc9f2b5e94"/>
    <hyperlink ref="Q51" r:id="rId107" display="https://base-donnees-publique.medicaments.gouv.fr/affichageDoc.php?typedoc=R&amp;specid=66127233"/>
    <hyperlink ref="F52" r:id="rId108" display="https://dailymed.nlm.nih.gov/dailymed/drugInfo.cfm?setid=1038e984-3bf7-5bbf-f1ec-ce15ae330efc"/>
    <hyperlink ref="H52" r:id="rId109" display="https://mhraproducts4853.blob.core.windows.net/docs/95551de6e371d1b1bed01d2b0a696de15b3e865e"/>
    <hyperlink ref="Q52" r:id="rId110" display="https://mhraproducts4853.blob.core.windows.net/docs/f4594f4c3cc23114acb072e65ac513664e1ab8d4"/>
    <hyperlink ref="F53" r:id="rId111" display="https://dailymed.nlm.nih.gov/dailymed/drugInfo.cfm?setid=32d9f095-ca39-7e22-6264-b54f2daaee57"/>
    <hyperlink ref="Q53" r:id="rId112" display="https://dailymed.nlm.nih.gov/dailymed/drugInfo.cfm?setid=07e6144a-b460-4887-b8e2-dd371c14a55c"/>
    <hyperlink ref="F54" r:id="rId113" display="https://dailymed.nlm.nih.gov/dailymed/drugInfo.cfm?setid=017023a9-00f0-4284-861f-a3634d4fdb17"/>
    <hyperlink ref="H54" r:id="rId114" display="https://mhraproducts4853.blob.core.windows.net/docs/1e3efe74f99ebfa44e3ae295aff22c617a4e3f30"/>
    <hyperlink ref="Q54" r:id="rId115" display="https://dailymed.nlm.nih.gov/dailymed/drugInfo.cfm?setid=6564346c-661c-41cf-9cef-db6aa15710cd"/>
    <hyperlink ref="F55" r:id="rId116" display="https://dailymed.nlm.nih.gov/dailymed/drugInfo.cfm?setid=45a15ba2-2aae-4edc-beaa-4a2357d87f32"/>
    <hyperlink ref="H55" r:id="rId117" display="https://mhraproducts4853.blob.core.windows.net/docs/4113c6c3738a47332b81c6a02b324e142668494a"/>
    <hyperlink ref="Q55" r:id="rId118" display="https://dailymed.nlm.nih.gov/dailymed/drugInfo.cfm?setid=c0c5f94c-5f4d-43db-8cc2-ffc8a45b64cf"/>
    <hyperlink ref="F56" r:id="rId119" display="https://dailymed.nlm.nih.gov/dailymed/drugInfo.cfm?setid=e24e7440-a958-6fd0-6bfe-1bd29e638657"/>
    <hyperlink ref="Q56" r:id="rId120" display="https://dailymed.nlm.nih.gov/dailymed/drugInfo.cfm?setid=7cd6dc0d-e98d-40ae-80d4-c15f63056abf"/>
    <hyperlink ref="F57" r:id="rId121" display="https://dailymed.nlm.nih.gov/dailymed/drugInfo.cfm?setid=0820f15a-046b-4185-a2b3-2e4051ee3d82"/>
    <hyperlink ref="H57" r:id="rId122" display="https://mhraproducts4853.blob.core.windows.net/docs/82a8e8a12348001cf20937cfdc9b77351ca8477f"/>
    <hyperlink ref="Q57" r:id="rId123" display="https://dailymed.nlm.nih.gov/dailymed/drugInfo.cfm?setid=6a335659-03b0-4a2d-9cd4-7dcf7da96fe6"/>
    <hyperlink ref="F58" r:id="rId124" display="https://dailymed.nlm.nih.gov/dailymed/drugInfo.cfm?setid=97c33213-f415-4718-8466-9aa50371af70"/>
    <hyperlink ref="Q58" r:id="rId125" display="https://cima.aemps.es/cima/dochtml/ft/80899/FT_80899.html"/>
    <hyperlink ref="F59" r:id="rId126" display="https://dailymed.nlm.nih.gov/dailymed/drugInfo.cfm?setid=aacf276b-e133-4199-ad3f-67b894744c04"/>
    <hyperlink ref="Q59" r:id="rId127" display="https://dailymed.nlm.nih.gov/dailymed/drugInfo.cfm?setid=e6712877-ace0-441c-99a9-adf567c0b9a2"/>
    <hyperlink ref="F60" r:id="rId128" display="https://dailymed.nlm.nih.gov/dailymed/drugInfo.cfm?setid=7f05ab1e-aed4-4f87-b939-2dc9719aa34c"/>
    <hyperlink ref="Q60" r:id="rId129" display="https://mhraproducts4853.blob.core.windows.net/docs/e49904d5d2051c33d8104eab6cfc6a2fa8c43e61"/>
    <hyperlink ref="F61" r:id="rId130" display="https://mhraproducts4853.blob.core.windows.net/docs/4daaeae927ce26807b7140b5958b51d0a2647d2e"/>
    <hyperlink ref="Q61" r:id="rId131" display="https://mhraproducts4853.blob.core.windows.net/docs/85397c6153545a566a96de5d7a5a7bcfbce50c3e"/>
    <hyperlink ref="F62" r:id="rId132" display="https://dailymed.nlm.nih.gov/dailymed/drugInfo.cfm?setid=3adca34b-4f65-4e21-8058-3c01fc7fc9bb"/>
    <hyperlink ref="Q62" r:id="rId133" display="https://www.ema.europa.eu/en/documents/product-information/degarelix-accord-epar-product-information_en.pdf"/>
    <hyperlink ref="F63" r:id="rId134" display="https://mhraproducts4853.blob.core.windows.net/docs/06788ea06546464bce35c66ad15e26a8abc06138"/>
    <hyperlink ref="Q63" r:id="rId135" display="https://www.ema.europa.eu/en/medicines/human/EPAR/xgeva"/>
    <hyperlink ref="F64" r:id="rId136" display="https://dailymed.nlm.nih.gov/dailymed/drugInfo.cfm?setid=66d451fe-2436-494c-80c5-4528c8e34369"/>
    <hyperlink ref="H64" r:id="rId137" display="https://mhraproducts4853.blob.core.windows.net/docs/34e104c5c0cb13b29bac10c994d30a1b4eac42e2"/>
    <hyperlink ref="Q64" r:id="rId138" display="https://dailymed.nlm.nih.gov/dailymed/drugInfo.cfm?setid=60dd8694-58d8-d88e-26f2-f28baa53787e"/>
    <hyperlink ref="F65" r:id="rId139" display="https://dailymed.nlm.nih.gov/dailymed/drugInfo.cfm?setid=1f532edc-1a2c-4221-80dd-1ac158dd3a72"/>
    <hyperlink ref="Q65" r:id="rId140" display="https://dailymed.nlm.nih.gov/dailymed/drugInfo.cfm?setid=6b6ca65b-4ede-47b9-bbf3-05bb67c0c71d"/>
    <hyperlink ref="F66" r:id="rId141" display="https://dailymed.nlm.nih.gov/dailymed/drugInfo.cfm?setid=79d023ab-7d77-48c1-8f47-ea322fd58c2b"/>
    <hyperlink ref="Q66" r:id="rId142" display="https://dailymed.nlm.nih.gov/dailymed/drugInfo.cfm?setid=2a633cef-6dfc-4186-b595-174db2d8330e"/>
    <hyperlink ref="F67" r:id="rId143" display="https://dailymed.nlm.nih.gov/dailymed/drugInfo.cfm?setid=b471eb51-488e-5312-e053-2a95a90a8116"/>
    <hyperlink ref="Q67" r:id="rId144" display="https://medicaldialogues.in/amp/news/industry/pharma/lupin-secures-usfda-approval-for-diazepam-injection-usp-in-prefilled-syringes-176252"/>
    <hyperlink ref="F68" r:id="rId145" display="https://dailymed.nlm.nih.gov/dailymed/drugInfo.cfm?setid=4ea8ae43-22ca-40c0-be72-c91a321cafd1"/>
    <hyperlink ref="H68" r:id="rId146" display="https://mhraproducts4853.blob.core.windows.net/docs/c43283f4f5fe3bb7b26cf8988a8af88d32c13c93"/>
    <hyperlink ref="Q68" r:id="rId147" display="https://dailymed.nlm.nih.gov/dailymed/drugInfo.cfm?setid=c2981222-1671-4ecd-a5a2-286f0663f1ae"/>
    <hyperlink ref="F69" r:id="rId148" display="https://dailymed.nlm.nih.gov/dailymed/drugInfo.cfm?setid=871797f0-697a-4a29-a37b-d06219e8f266"/>
    <hyperlink ref="Q69" r:id="rId149" display="https://www.ebs.tga.gov.au/ebs/picmi/picmirepository.nsf/pdf?OpenAgent&amp;id=CP-2017-PI-01601-1"/>
    <hyperlink ref="F70" r:id="rId150" display="https://dailymed.nlm.nih.gov/dailymed/drugInfo.cfm?setid=783e9d68-2371-4fd4-8d7a-a5e36f8718d0"/>
    <hyperlink ref="H70" r:id="rId151" display="https://mhraproducts4853.blob.core.windows.net/docs/6d5a76e0c14be3696eb7d7a5c38ab7fba2abf796"/>
    <hyperlink ref="Q70" r:id="rId152" display="https://health-products.canada.ca/dpd-bdpp/info?lang=eng&amp;code=101908"/>
    <hyperlink ref="F71" r:id="rId153" display="https://dailymed.nlm.nih.gov/dailymed/drugInfo.cfm?setid=65df5d2d-79aa-41d4-866a-566e520320f7"/>
    <hyperlink ref="Q71" r:id="rId154" display="https://dailymed.nlm.nih.gov/dailymed/drugInfo.cfm?setid=1d1c41c1-8f5f-ee76-c890-4f1f2a3b2e96"/>
    <hyperlink ref="F72" r:id="rId155" display="https://dailymed.nlm.nih.gov/dailymed/drugInfo.cfm?setid=1a0e38cb-fd9f-4962-9f81-5c0023ca6b4c"/>
    <hyperlink ref="Q72" r:id="rId156" display="https://www.geneesmiddeleninformatiebank.nl/bijsluiters/h132671_piluk.pdf"/>
    <hyperlink ref="F73" r:id="rId157" display="https://dailymed.nlm.nih.gov/dailymed/drugInfo.cfm?setid=8396ea96-7cb5-4e26-87a4-90bca9c3c6dd"/>
    <hyperlink ref="Q73" r:id="rId158" display="https://health-products.canada.ca/dpd-bdpp/info?lang=eng&amp;code=98213"/>
    <hyperlink ref="F74" r:id="rId159" display="https://dailymed.nlm.nih.gov/dailymed/drugInfo.cfm?setid=e08d8b6c-a184-4dd5-84ef-bac90e4b1c33"/>
    <hyperlink ref="Q74" r:id="rId160" display="https://health-products.canada.ca/dpd-bdpp/info?lang=eng&amp;code=100038"/>
    <hyperlink ref="F75" r:id="rId161" display="https://dailymed.nlm.nih.gov/dailymed/drugInfo.cfm?setid=451d6d04-b7d9-47d9-ba71-43cc5b9b3054"/>
    <hyperlink ref="Q75" r:id="rId162" display="https://www.mydynamics.co.za/wp-content/uploads/2022/09/Invabex-B4082.pdf"/>
    <hyperlink ref="F76" r:id="rId163" display="https://dailymed.nlm.nih.gov/dailymed/drugInfo.cfm?setid=a3087a39-f218-4f16-a1e7-17c39bb2eb69"/>
    <hyperlink ref="Q76" r:id="rId164" display="https://www.ebs.tga.gov.au/ebs/picmi/picmirepository.nsf/pdf?OpenAgent&amp;id=CP-2020-PI-01039-1"/>
    <hyperlink ref="F77" r:id="rId165" display="https://mhraproducts4853.blob.core.windows.net/docs/51e482dd059a807e5b4653144bcf38d462300c8b"/>
    <hyperlink ref="Q77" r:id="rId166" display="https://mhraproducts4853.blob.core.windows.net/docs/8d4d9e19ffaeb852dc6209267771c728a730e3f3"/>
    <hyperlink ref="F78" r:id="rId167" display="https://mhraproducts4853.blob.core.windows.net/docs/13be69adbff91eaa9def74b5879135500983c712"/>
    <hyperlink ref="Q78" r:id="rId168" display="https://mhraproducts4853.blob.core.windows.net/docs/ee3f61b3404bdcfddf370e87a4fe2c5fd1bed0b9"/>
    <hyperlink ref="F79" r:id="rId169" display="https://dailymed.nlm.nih.gov/dailymed/drugInfo.cfm?setid=7c20b574-285b-49eb-a98e-6752e4bb481d"/>
    <hyperlink ref="H79" r:id="rId170" display="https://mhraproducts4853.blob.core.windows.net/docs/201d2a0d9aa57a3569065fb673031d38f685075d"/>
    <hyperlink ref="Q79" r:id="rId171" display="https://dailymed.nlm.nih.gov/dailymed/drugInfo.cfm?setid=1f532edc-1a2c-4221-80dd-1ac158dd3a72"/>
    <hyperlink ref="F80" r:id="rId172" display="https://mhraproducts4853.blob.core.windows.net/docs/1ed164cb6fbb995109a5ba6e7b3165176762216e"/>
    <hyperlink ref="H80" r:id="rId173" display="https://dailymed.nlm.nih.gov/dailymed/drugInfo.cfm?setid=b2de0c9a-0065-4f2c-9983-add39525f3a3"/>
    <hyperlink ref="Q80" r:id="rId174" display="https://dailymed.nlm.nih.gov/dailymed/drugInfo.cfm?setid=8d7ba627-cf3f-4b94-aee8-8b44cc9400be"/>
    <hyperlink ref="F81" r:id="rId175" display="https://dailymed.nlm.nih.gov/dailymed/drugInfo.cfm?setid=626dc9e5-c6b4-4f9c-9bf4-774fd3ae619a"/>
    <hyperlink ref="Q81" r:id="rId176" display="https://www.patienteninfo-service.de/gi/20466/html"/>
    <hyperlink ref="F82" r:id="rId177" display="https://dailymed.nlm.nih.gov/dailymed/drugInfo.cfm?setid=f724120d-da28-4065-9e05-d7dd6afbb546"/>
    <hyperlink ref="Q82" r:id="rId178" display="https://dailymed.nlm.nih.gov/dailymed/search.cfm?labeltype=all&amp;query=fulvestrant"/>
    <hyperlink ref="F83" r:id="rId179" display="https://dailymed.nlm.nih.gov/dailymed/drugInfo.cfm?setid=11da176a-99bc-4ada-8b3f-6bd2b37a6313"/>
    <hyperlink ref="Q83" r:id="rId180" display="https://dailymed.nlm.nih.gov/dailymed/search.cfm?labeltype=all&amp;query=fulvestrant"/>
    <hyperlink ref="F84" r:id="rId181" display="https://mhraproducts4853.blob.core.windows.net/docs/2570307a3085ad81ffb51a26c670a4968681f7e9"/>
    <hyperlink ref="Q84" r:id="rId182" display="https://dailymed.nlm.nih.gov/dailymed/search.cfm?labeltype=all&amp;query=fulvestrant"/>
    <hyperlink ref="F85" r:id="rId183" display="https://dailymed.nlm.nih.gov/dailymed/drugInfo.cfm?setid=0a9234b7-46b1-8e6c-a992-90f86cfb6e00"/>
    <hyperlink ref="H85" r:id="rId184" display="https://mhraproducts4853.blob.core.windows.net/docs/7a8fe1e86f394f14dd27119a87ad9196daa418be"/>
    <hyperlink ref="Q85" r:id="rId185" display="https://dailymed.nlm.nih.gov/dailymed/search.cfm?labeltype=all&amp;query=fulvestrant"/>
    <hyperlink ref="F86" r:id="rId186" display="https://mhraproducts4853.blob.core.windows.net/docs/4d6a2b8a7eed24427d497672070733ad0dc2f1aa"/>
    <hyperlink ref="H86" r:id="rId187" display="https://dailymed.nlm.nih.gov/dailymed/drugInfo.cfm?setid=2177b6fe-aa37-6f6b-e063-6294a90af09a"/>
    <hyperlink ref="Q86" r:id="rId188" display="https://dailymed.nlm.nih.gov/dailymed/search.cfm?labeltype=all&amp;query=fulvestrant"/>
    <hyperlink ref="F87" r:id="rId189" display="https://dailymed.nlm.nih.gov/dailymed/drugInfo.cfm?setid=c2b5be20-cc6f-4221-9d3e-3f8b5886cd05"/>
    <hyperlink ref="Q87" r:id="rId190" display="https://dailymed.nlm.nih.gov/dailymed/search.cfm?labeltype=all&amp;query=fulvestrant"/>
    <hyperlink ref="F88" r:id="rId191" display="https://dailymed.nlm.nih.gov/dailymed/drugInfo.cfm?setid=647ca293-9e68-4773-947a-0fb064aa6fd1"/>
    <hyperlink ref="Q88" r:id="rId192" display="https://dailymed.nlm.nih.gov/dailymed/search.cfm?labeltype=all&amp;query=fulvestrant"/>
    <hyperlink ref="F89" r:id="rId193" display="https://mhraproducts4853.blob.core.windows.net/docs/6137d0826ea9251c4cd7449204eef9e37c09728b"/>
    <hyperlink ref="Q89" r:id="rId194" display="https://dailymed.nlm.nih.gov/dailymed/search.cfm?labeltype=all&amp;query=fulvestrant"/>
    <hyperlink ref="F90" r:id="rId195" display="https://dailymed.nlm.nih.gov/dailymed/drugInfo.cfm?setid=0655670a-d127-4e08-8a23-ace64b2503b2"/>
    <hyperlink ref="Q90" r:id="rId196" display="https://dailymed.nlm.nih.gov/dailymed/search.cfm?labeltype=all&amp;query=fulvestrant"/>
    <hyperlink ref="F91" r:id="rId197" display="https://dailymed.nlm.nih.gov/dailymed/drugInfo.cfm?setid=bd5e4db5-8787-4428-2cb6-ef6f8a5e08af"/>
    <hyperlink ref="H91" r:id="rId198" display="https://mhraproducts4853.blob.core.windows.net/docs/b72d32face7ce61d71696787ed3106ac25618280"/>
    <hyperlink ref="Q91" r:id="rId199" display="https://dailymed.nlm.nih.gov/dailymed/drugInfo.cfm?setid=eaebb511-1738-4d11-b9bb-317a8d41316a"/>
    <hyperlink ref="F92" r:id="rId200" display="https://dailymed.nlm.nih.gov/dailymed/drugInfo.cfm?setid=bf1d3433-9e3f-40a0-8bff-c8ceaa8bab7c"/>
    <hyperlink ref="H92" r:id="rId201" display="https://mhraproducts4853.blob.core.windows.net/docs/9ae7aeea49bf816c85c6e16440c212622827183e"/>
    <hyperlink ref="Q92" r:id="rId202" display="https://mhraproducts4853.blob.core.windows.net/docs/c39d08ff0acc6dc6d5b1523ab09699a21e4f0137"/>
    <hyperlink ref="F93" r:id="rId203" display="https://dailymed.nlm.nih.gov/dailymed/drugInfo.cfm?setid=49e9c804-9e88-4774-8faf-35bd61b3a8e9"/>
    <hyperlink ref="H93" r:id="rId204" display="https://mhraproducts4853.blob.core.windows.net/docs/23dcd067131a54c6fa73c5557a0dab034764ccf5"/>
    <hyperlink ref="Q93" r:id="rId205" display="https://dailymed.nlm.nih.gov/dailymed/drugInfo.cfm?setid=6d2d7612-ad47-4ee7-a42c-945c976d947b"/>
    <hyperlink ref="F94" r:id="rId206" display="https://mhraproducts4853.blob.core.windows.net/docs/6bf77bfee94fc37f9ea2cc41e9601b5d4e59322f"/>
    <hyperlink ref="Q94" r:id="rId207" display="https://mhraproducts4853.blob.core.windows.net/docs/04229266643a571563250bd73f7732fba1560cbb"/>
    <hyperlink ref="F95" r:id="rId208" display="https://dailymed.nlm.nih.gov/dailymed/drugInfo.cfm?setid=f76d4ab9-2f6c-420b-afec-b9cdfdc083ce"/>
    <hyperlink ref="Q95" r:id="rId209" display="https://dailymed.nlm.nih.gov/dailymed/drugInfo.cfm?setid=e08d8b6c-a184-4dd5-84ef-bac90e4b1c33"/>
    <hyperlink ref="F96" r:id="rId210" display="https://dailymed.nlm.nih.gov/dailymed/drugInfo.cfm?setid=dd035a9f-cd40-4314-b9d8-2294b8a924e2"/>
    <hyperlink ref="Q96" r:id="rId211" display="https://dailymed.nlm.nih.gov/dailymed/drugInfo.cfm?setid=451d6d04-b7d9-47d9-ba71-43cc5b9b3054"/>
    <hyperlink ref="F97" r:id="rId212" display="https://dailymed.nlm.nih.gov/dailymed/drugInfo.cfm?setid=a0cbcdb5-f657-49f7-8f86-cc5959d69db0"/>
    <hyperlink ref="Q97" r:id="rId213" display="https://dailymed.nlm.nih.gov/dailymed/drugInfo.cfm?setid=451d6d04-b7d9-47d9-ba71-43cc5b9b3054"/>
    <hyperlink ref="F98" r:id="rId214" display="https://dailymed.nlm.nih.gov/dailymed/drugInfo.cfm?setid=23f4df96-1151-4815-8f01-4d79e5aa2145"/>
    <hyperlink ref="Q98" r:id="rId215" display="https://dailymed.nlm.nih.gov/dailymed/drugInfo.cfm?setid=37534164-9de5-4bb3-9f87-341dfcf90883"/>
    <hyperlink ref="F99" r:id="rId216" display="https://dailymed.nlm.nih.gov/dailymed/drugInfo.cfm?setid=4e489fab-75bc-4514-9bf2-85b8ed08a1b0"/>
    <hyperlink ref="H99" r:id="rId217" display="https://mhraproducts4853.blob.core.windows.net/docs/d43a7f71f48565822fee9785a9f23d1c36290a30"/>
    <hyperlink ref="Q99" r:id="rId218" display="https://mhraproducts4853.blob.core.windows.net/docs/bee3b79e5009a9c90b9c1e2b44a7588befda1f1b"/>
    <hyperlink ref="F100" r:id="rId219" display="https://dailymed.nlm.nih.gov/dailymed/drugInfo.cfm?setid=cbf0f6ba-3a53-4791-9a85-5c6b271eeb8e"/>
    <hyperlink ref="H100" r:id="rId220" display="https://mhraproducts4853.blob.core.windows.net/docs/deb4340f48c538ddac710a914581a07ba8ad754b"/>
    <hyperlink ref="Q100" r:id="rId221" display="https://mhraproducts4853.blob.core.windows.net/docs/a59d41ba1edb90eeb695d447eeb35327147df3f6"/>
    <hyperlink ref="F101" r:id="rId222" display="https://dailymed.nlm.nih.gov/dailymed/drugInfo.cfm?setid=fcb8ef8a-f770-4416-8fc5-fa01d98c8eee"/>
    <hyperlink ref="Q101" r:id="rId223" display="https://dailymed.nlm.nih.gov/dailymed/drugInfo.cfm?setid=edf5b8f3-8542-42f7-bc08-f71843c1be4c"/>
    <hyperlink ref="F102" r:id="rId224" display="https://dailymed.nlm.nih.gov/dailymed/drugInfo.cfm?setid=582f42e5-444e-4246-af8c-e7e28097c69a"/>
    <hyperlink ref="Q102" r:id="rId225" display="https://dailymed.nlm.nih.gov/dailymed/drugInfo.cfm?setid=f724120d-da28-4065-9e05-d7dd6afbb546"/>
    <hyperlink ref="F103" r:id="rId226" display="https://dailymed.nlm.nih.gov/dailymed/drugInfo.cfm?setid=34821770-929c-40ea-a9e4-d4405dc869e1"/>
    <hyperlink ref="Q103" r:id="rId227" display="https://dailymed.nlm.nih.gov/dailymed/drugInfo.cfm?setid=d140b27a-3bf7-4e0f-bb91-02b588184f52"/>
    <hyperlink ref="F104" r:id="rId228" display="https://dailymed.nlm.nih.gov/dailymed/drugInfo.cfm?setid=b1303f15-c48b-a44d-b28a-72f370094e02"/>
    <hyperlink ref="Q104" r:id="rId229" display="https://dailymed.nlm.nih.gov/dailymed/services/v2/spls.json?drug_name=isoproterenol&amp;pagesize=100"/>
    <hyperlink ref="F105" r:id="rId230" display="https://mhraproducts4853.blob.core.windows.net/docs/c1a527395c406fbf88130971c80a4e1c80383b39"/>
    <hyperlink ref="H105" r:id="rId231" display="https://dailymed.nlm.nih.gov/dailymed/drugInfo.cfm?setid=088f96eb-20b8-48f8-ac83-329f75a44ce1"/>
    <hyperlink ref="Q105" r:id="rId232" display="https://www.ebs.tga.gov.au/servlet/xmlmillr6?dbid=ebs/PublicHTML/pdfStore.nsf&amp;docid=358314&amp;agid=(PrintDetailsPublic)&amp;actionid=1"/>
    <hyperlink ref="F106" r:id="rId233" display="https://dailymed.nlm.nih.gov/dailymed/drugInfo.cfm?setid=387d7f8d-9762-4f6b-99e1-bdc50b8a1633"/>
    <hyperlink ref="Q106" r:id="rId234" display="https://dailymed.nlm.nih.gov/dailymed/drugInfo.cfm?setid=2892b4c3-0329-4d29-97ff-3b45283bbab1"/>
    <hyperlink ref="F107" r:id="rId235" display="https://dailymed.nlm.nih.gov/dailymed/drugInfo.cfm?setid=c1387008-6dc4-4f1e-ae29-fa7a0f0be684"/>
    <hyperlink ref="Q107" r:id="rId236" display="https://www.ema.europa.eu/en/documents/product-information/camcevi-epar-product-information_en.pdf"/>
    <hyperlink ref="F108" r:id="rId237" display="https://dailymed.nlm.nih.gov/dailymed/drugInfo.cfm?setid=35e0d160-813f-41d7-a382-d2cab6485d9c"/>
    <hyperlink ref="Q108" r:id="rId238" display="https://dailymed.nlm.nih.gov/dailymed/drugInfo.cfm?setid=20c0e8af-a78f-47f8-ace4-06b80def7003"/>
    <hyperlink ref="F109" r:id="rId239" display="https://dailymed.nlm.nih.gov/dailymed/drugInfo.cfm?setid=81e90279-9889-47bd-974b-334c181f295c"/>
    <hyperlink ref="Q109" r:id="rId240" display="https://dailymed.nlm.nih.gov/dailymed/drugInfo.cfm?setid=647ca293-9e68-4773-947a-0fb064aa6fd1"/>
    <hyperlink ref="F110" r:id="rId241" display="https://dailymed.nlm.nih.gov/dailymed/drugInfo.cfm?setid=18fe8365-86e3-414e-84dc-c98e097a2f36"/>
    <hyperlink ref="Q110" r:id="rId242" display="https://www.seruminstitute.com/product_viral_measles.php"/>
    <hyperlink ref="F111" r:id="rId243" display="https://dailymed.nlm.nih.gov/dailymed/drugInfo.cfm?setid=0c12c77c-5fd4-48dc-a318-e96892233992"/>
    <hyperlink ref="H111" r:id="rId244" display="https://mhraproducts4853.blob.core.windows.net/docs/83e81cb065e8691917e531d50b1da4f1dae928b6"/>
    <hyperlink ref="Q111" r:id="rId245" display="https://dailymed.nlm.nih.gov/dailymed/drugInfo.cfm?setid=0655670a-d127-4e08-8a23-ace64b2503b2"/>
    <hyperlink ref="F112" r:id="rId246" display="https://dailymed.nlm.nih.gov/dailymed/drugInfo.cfm?setid=6cd61892-d2cb-434d-83ed-5c1b2c4e7a0b"/>
    <hyperlink ref="Q112" r:id="rId247" display="https://dailymed.nlm.nih.gov/dailymed/drugInfo.cfm?setid=0655670a-d127-4e08-8a23-ace64b2503b2"/>
    <hyperlink ref="F113" r:id="rId248" display="https://dailymed.nlm.nih.gov/dailymed/drugInfo.cfm?setid=37e7ef89-fd77-44e0-9271-ae91f8822603"/>
    <hyperlink ref="H113" r:id="rId249" display="https://mhraproducts4853.blob.core.windows.net/docs/f22c15840604c663970f7da2a79614ac40bca62c"/>
    <hyperlink ref="Q113" r:id="rId250" display="https://dailymed.nlm.nih.gov/dailymed/drugInfo.cfm?setid=6fb09acf-4937-47a0-a9da-084ec062da6f"/>
    <hyperlink ref="F114" r:id="rId251" display="https://dailymed.nlm.nih.gov/dailymed/drugInfo.cfm?setid=a9e5fac6-2db6-4311-a98b-eb3f0dde19d6"/>
    <hyperlink ref="H114" r:id="rId252" display="https://mhraproducts4853.blob.core.windows.net/docs/9fc4a882e1f84fc1af4503edf9a3e048a47e9f53"/>
    <hyperlink ref="Q114" r:id="rId253" display="https://dailymed.nlm.nih.gov/dailymed/drugInfo.cfm?setid=a63364d5-4dfa-49d7-8a5e-c8959ae1d37a"/>
    <hyperlink ref="F115" r:id="rId254" display="https://dailymed.nlm.nih.gov/dailymed/drugInfo.cfm?setid=2b7c7587-2042-0d9c-e054-00144ff88e88"/>
    <hyperlink ref="H115" r:id="rId255" display="https://mhraproducts4853.blob.core.windows.net/docs/5c26c6a145bca6fbb3eda47073599ced86713a2f"/>
    <hyperlink ref="Q115" r:id="rId256" display="https://dailymed.nlm.nih.gov/dailymed/drugInfo.cfm?setid=63bb6fbf-dd59-4edc-af8f-d0c397ca1262"/>
    <hyperlink ref="F116" r:id="rId257" display="https://dailymed.nlm.nih.gov/dailymed/drugInfo.cfm?setid=77a8576f-b91e-42ce-b613-2fa3c3d4a571"/>
    <hyperlink ref="Q116" r:id="rId258" display="https://www.vademecum.es/mexico/equivalencias/1631576/metogist-solucion-inyectable-50-mg-2-ml"/>
    <hyperlink ref="F117" r:id="rId259" display="https://dailymed.nlm.nih.gov/dailymed/drugInfo.cfm?setid=5c14fbf2-e21f-44b3-b35c-06919d40d7e0"/>
    <hyperlink ref="Q117" r:id="rId260" display="https://dailymed.nlm.nih.gov/dailymed/search.cfm?labeltype=all&amp;query=methotrexate+injection"/>
    <hyperlink ref="F118" r:id="rId261" display="https://mhraproducts4853.blob.core.windows.net/docs/55fa24b0655197623f40fdf9c0e1d849154bfa80"/>
    <hyperlink ref="H118" r:id="rId262" display="https://health-products.canada.ca/dpd-bdpp/info?lang=eng&amp;code=12889"/>
    <hyperlink ref="Q118" r:id="rId263" display="https://dailymed.nlm.nih.gov/dailymed/drugInfo.cfm?setid=a0cbcdb5-f657-49f7-8f86-cc5959d69db0"/>
    <hyperlink ref="F119" r:id="rId264" display="https://dailymed.nlm.nih.gov/dailymed/drugInfo.cfm?setid=6922f32f-8bed-4c09-8103-27987bcbd104"/>
    <hyperlink ref="Q119" r:id="rId265" display="https://mhraproducts4853.blob.core.windows.net/docs/68c2c150f8fa51582b721bd46359383772e1a5c8"/>
    <hyperlink ref="F120" r:id="rId266" display="https://dailymed.nlm.nih.gov/dailymed/drugInfo.cfm?setid=b1e53422-c85d-4bb6-af4f-24934cc319b0"/>
    <hyperlink ref="Q120" r:id="rId267" display="https://mhraproducts4853.blob.core.windows.net/docs/5ea04071d3531da100fbf0a3a5f2e5930568f9a5"/>
    <hyperlink ref="F121" r:id="rId268" display="https://dailymed.nlm.nih.gov/dailymed/drugInfo.cfm?setid=28258745-12e4-4f0f-b318-4a1a1bebc928"/>
    <hyperlink ref="H121" r:id="rId269" display="https://mhraproducts4853.blob.core.windows.net/docs/fb177071badddaa7979eeae36ea28ab48a60b768"/>
    <hyperlink ref="Q121" r:id="rId270" display="https://dailymed.nlm.nih.gov/dailymed/drugInfo.cfm?setid=90717878-64cb-4ffc-90bc-7b4e81e3d1cd"/>
    <hyperlink ref="F122" r:id="rId271" display="https://dailymed.nlm.nih.gov/dailymed/drugInfo.cfm?setid=bb8e1167-8378-4e73-9bcb-d69093ec829b"/>
    <hyperlink ref="Q122" r:id="rId272" display="https://dailymed.nlm.nih.gov/dailymed/drugInfo.cfm?setid=4b3b8e52-df96-4886-e063-6294a90ac63f"/>
    <hyperlink ref="F123" r:id="rId273" display="https://dailymed.nlm.nih.gov/dailymed/drugInfo.cfm?setid=7d19df3b-94ed-4681-beae-9caaf137d014"/>
    <hyperlink ref="Q123" r:id="rId274" display="https://dailymed.nlm.nih.gov/dailymed/drugInfo.cfm?setid=8bcf426a-b4fc-4f24-9ad0-fb26168a0b56"/>
    <hyperlink ref="F124" r:id="rId275" display="https://dailymed.nlm.nih.gov/dailymed/drugInfo.cfm?setid=800646b8-83a8-01d9-3dc8-bb2ddcb8570c"/>
    <hyperlink ref="H124" r:id="rId276" display="https://mhraproducts4853.blob.core.windows.net/docs/20e325341d4d11f3fa15c459435ae46791d8ba4f"/>
    <hyperlink ref="Q124" r:id="rId277" display="https://dailymed.nlm.nih.gov/dailymed/drugInfo.cfm?setid=b1303f15-c48b-a44d-b28a-72f370094e02"/>
    <hyperlink ref="F125" r:id="rId278" display="https://dailymed.nlm.nih.gov/dailymed/drugInfo.cfm?setid=7a31fc4c-579f-45cc-9559-39cfad9a57b3"/>
    <hyperlink ref="Q125" r:id="rId279" display="https://mhraproducts4853.blob.core.windows.net/docs/1b85c921ff22e65de2c4cb817669b364513ade84"/>
    <hyperlink ref="F126" r:id="rId280" display="https://mhraproducts4853.blob.core.windows.net/docs/832a62b9cb979c15814e955526cafbf58d1a120a"/>
    <hyperlink ref="Q126" r:id="rId281" display="https://dailymed.nlm.nih.gov/dailymed/drugInfo.cfm?setid=12575d1a-a2c2-37b2-0dcf-31e58bbc2a10"/>
    <hyperlink ref="F127" r:id="rId282" display="https://dailymed.nlm.nih.gov/dailymed/drugInfo.cfm?setid=03ef6420-8190-a404-f7f6-def1864a77de"/>
    <hyperlink ref="Q127" r:id="rId283" display="https://dailymed.nlm.nih.gov/dailymed/drugInfo.cfm?setid=9cc2bfa1-c968-4d01-8162-2ef188974164"/>
    <hyperlink ref="F128" r:id="rId284" display="https://dailymed.nlm.nih.gov/dailymed/drugInfo.cfm?setid=5b8025d2-3424-477b-9cff-3990a98c2a65"/>
    <hyperlink ref="H128" r:id="rId285" display="https://mhraproducts4853.blob.core.windows.net/docs/30aabc766650f3de9340032eb4a1823e8a92d0ac"/>
    <hyperlink ref="Q128" r:id="rId286" display="https://docetp.mpa.se/LMF/Oktreotid%20SUN%20solution%20for%20injection%20SmPC_09001bee807a5102.pdf"/>
    <hyperlink ref="F129" r:id="rId287" display="https://dailymed.nlm.nih.gov/dailymed/drugInfo.cfm?setid=116385ea-69fc-4f44-b463-6210291032df"/>
    <hyperlink ref="H129" r:id="rId288" display="https://mhraproducts4853.blob.core.windows.net/docs/2db067f28b4a5cee9ffbcda6966ba8e62c165c64"/>
    <hyperlink ref="Q129" r:id="rId289" display="https://www.ebs.tga.gov.au/ebs/picmi/picmirepository.nsf/pdf?OpenAgent&amp;id=CP-2026-PI-01223-1"/>
    <hyperlink ref="F130" r:id="rId290" display="https://mhraproducts4853.blob.core.windows.net/docs/e2acf7eb6316bc8cbbaaf53631abd625c75878c8"/>
    <hyperlink ref="Q130" r:id="rId291" display="https://dailymed.nlm.nih.gov/dailymed/drugInfo.cfm?setid=1cc94c7a-617c-4238-8248-e3fabc9612c7"/>
    <hyperlink ref="F131" r:id="rId292" display="https://dailymed.nlm.nih.gov/dailymed/drugInfo.cfm?setid=bb92d686-a81e-4b91-8048-693af0534cb3"/>
    <hyperlink ref="H131" r:id="rId293" display="https://mhraproducts4853.blob.core.windows.net/docs/02230fedf0f6e67657137dc1b732971ab3782ab2"/>
    <hyperlink ref="Q131" r:id="rId294" display="https://dailymed.nlm.nih.gov/dailymed/drugInfo.cfm?setid=b746d4db-43e6-4219-9e6b-f53e59581305"/>
    <hyperlink ref="F132" r:id="rId295" display="https://dailymed.nlm.nih.gov/dailymed/drugInfo.cfm?setid=f38d0dfc-9bcc-4224-a202-885c9ad0beae"/>
    <hyperlink ref="H132" r:id="rId296" display="https://mhraproducts4853.blob.core.windows.net/docs/acf0dbbc5df81cd92e3a113a48e28dc68e8a0cf5"/>
    <hyperlink ref="Q132" r:id="rId297" display="https://mhraproducts4853.blob.core.windows.net/docs/4afca553cf5d6e39fdc331fc8f6280e7afa3b50f"/>
    <hyperlink ref="F133" r:id="rId298" display="https://mhraproducts4853.blob.core.windows.net/docs/0abd36d989a97b306126883cf229d48c54e4d739"/>
    <hyperlink ref="Q133" r:id="rId299" display="https://mhraproducts4853.blob.core.windows.net/docs/3300dafbb7b5e5b22a969cdd7ff2d2dfcc5cb3dc"/>
    <hyperlink ref="F134" r:id="rId300" display="https://pdf.hres.ca/dpd_pm/00003639.PDF"/>
    <hyperlink ref="Q134" r:id="rId301" display="https://health-products.canada.ca/dpd-bdpp/info?lang=eng&amp;code=43137"/>
    <hyperlink ref="F135" r:id="rId302" display="https://dailymed.nlm.nih.gov/dailymed/drugInfo.cfm?setid=3deac02b-392c-4ee4-9abf-7fe5b8975147"/>
    <hyperlink ref="Q135" r:id="rId303" display="https://dailymed.nlm.nih.gov/dailymed/drugInfo.cfm?setid=81e90279-9889-47bd-974b-334c181f295c"/>
    <hyperlink ref="F136" r:id="rId304" display="https://dailymed.nlm.nih.gov/dailymed/drugInfo.cfm?setid=57bf9b96-0550-b8e4-e063-6294a90a317b"/>
    <hyperlink ref="H136" r:id="rId305" display="https://mhraproducts4853.blob.core.windows.net/docs/3489692807cabc9ee757ad292940e8a021f68d01"/>
    <hyperlink ref="Q136" r:id="rId306" display="https://dailymed.nlm.nih.gov/dailymed/drugInfo.cfm?setid=195c2054-0746-421d-8b20-8c751bdd772b"/>
    <hyperlink ref="F137" r:id="rId307" display="https://mhraproducts4853.blob.core.windows.net/docs/45a310f5c66d09f20d9d1eb3a5d48c17c486ac7b"/>
    <hyperlink ref="Q137" r:id="rId308" display="https://mydr.com.au/medicines/oxytocin-gh/"/>
    <hyperlink ref="F138" r:id="rId309" display="https://dailymed.nlm.nih.gov/dailymed/drugInfo.cfm?setid=3a35b86c-f451-4fac-8499-43019e4da354"/>
    <hyperlink ref="H138" r:id="rId310" display="https://mhraproducts4853.blob.core.windows.net/docs/87e83833753716c061280fd48b95d5801f88bfa9"/>
    <hyperlink ref="Q138" r:id="rId311" display="https://fachinfo.de/fi/pdf/023946/paliperidon-ratiopharm-r-depot-injektionssuspension"/>
    <hyperlink ref="F139" r:id="rId312" display="https://dailymed.nlm.nih.gov/dailymed/drugInfo.cfm?setid=78d55bad-4a5b-4e21-aeb8-a4c6346208be"/>
    <hyperlink ref="Q139" r:id="rId313" display="https://www.ema.europa.eu/en/medicines/human/EPAR/pelgraz"/>
    <hyperlink ref="F140" r:id="rId314" display="https://dailymed.nlm.nih.gov/dailymed/drugInfo.cfm?setid=82a98132-9d5f-40a5-8c4f-f52f2a5de60e"/>
    <hyperlink ref="Q140" r:id="rId315" display="https://base-donnees-publique.medicaments.gouv.fr/affichageDoc.php?typedoc=R&amp;specid=61094142"/>
    <hyperlink ref="F141" r:id="rId316" display="https://dailymed.nlm.nih.gov/dailymed/drugInfo.cfm?setid=f80f025b-17d8-40af-8739-20ce07902045"/>
    <hyperlink ref="Q141" r:id="rId317" display="https://adpha.au/publicassets/245c2e89-4042-ee11-912c-00505696223b/Phenylephrine-v9-1.pdf"/>
    <hyperlink ref="F142" r:id="rId318" display="https://dailymed.nlm.nih.gov/dailymed/drugInfo.cfm?setid=0def6a5e-4bf5-b1fd-47b7-0f17ecfd9bc2"/>
    <hyperlink ref="H142" r:id="rId319" display="https://mhraproducts4853.blob.core.windows.net/docs/e04df231228d42c83cc4a6259d7c5c571353c022"/>
    <hyperlink ref="Q142" r:id="rId320" display="https://dailymed.nlm.nih.gov/dailymed/drugInfo.cfm?setid=1add4de5-0f9c-453e-9dd5-abb8077b566a"/>
    <hyperlink ref="F143" r:id="rId321" display="https://dailymed.nlm.nih.gov/dailymed/drugInfo.cfm?setid=dd58e0c3-d8a8-4cf2-96f8-9dd08f309579"/>
    <hyperlink ref="H143" r:id="rId322" display="https://mhraproducts4853.blob.core.windows.net/docs/42d7e79466d433c5192ed2f92d3a915eca41853d"/>
    <hyperlink ref="Q143" r:id="rId323" display="https://dailymed.nlm.nih.gov/dailymed/drugInfo.cfm?setid=02445c07-7b4b-cd70-54e8-ebefc814f547"/>
    <hyperlink ref="F144" r:id="rId324" display="https://dailymed.nlm.nih.gov/dailymed/drugInfo.cfm?setid=d554acff-22e9-4f28-b826-ee1b91daa2df"/>
    <hyperlink ref="H144" r:id="rId325" display="https://mhraproducts4853.blob.core.windows.net/docs/e43f2440514458537140b935827096caf459e80d"/>
    <hyperlink ref="Q144" r:id="rId326" display="https://dailymed.nlm.nih.gov/dailymed/drugInfo.cfm?setid=30e0d15f-46dd-4a25-9936-34db421e4076"/>
    <hyperlink ref="F145" r:id="rId327" display="https://dailymed.nlm.nih.gov/dailymed/drugInfo.cfm?setid=ceea739a-21dd-4c3a-9ef6-2b7ab2bdd95a"/>
    <hyperlink ref="H145" r:id="rId328" display="https://mhraproducts4853.blob.core.windows.net/docs/65edc2e1545faa366d2c4975093e7970d753f777"/>
    <hyperlink ref="Q145" r:id="rId329" display="https://dailymed.nlm.nih.gov/dailymed/drugInfo.cfm?setid=58c9fa02-3701-d411-f946-790a62ddc064"/>
    <hyperlink ref="F146" r:id="rId330" display="https://dailymed.nlm.nih.gov/dailymed/drugInfo.cfm?setid=ae71c003-883a-4cd8-ad50-e8cc9a54e971"/>
    <hyperlink ref="H146" r:id="rId331" display="https://mhraproducts4853.blob.core.windows.net/docs/493d4bfda677fb5e534ce5b3f4ea9f88534240a7"/>
    <hyperlink ref="Q146" r:id="rId332" display="https://mhraproducts4853.blob.core.windows.net/docs/bfb29ad59eb2d15fa7068c2753e106465ce6e0b4"/>
    <hyperlink ref="F147" r:id="rId333" display="https://dailymed.nlm.nih.gov/dailymed/drugInfo.cfm?setid=05c2a9cf-a018-48c0-9c73-2d59d52211d2"/>
    <hyperlink ref="Q147" r:id="rId334" display="https://cima.aemps.es/cima/pdfs/ft/88904/FT_88904.pdf"/>
    <hyperlink ref="F148" r:id="rId335" display="https://dailymed.nlm.nih.gov/dailymed/drugInfo.cfm?setid=2539a6cf-0fe5-1565-e063-6294a90a3618"/>
    <hyperlink ref="Q148" r:id="rId336" display="https://dailymed.nlm.nih.gov/dailymed/drugInfo.cfm?setid=bb8e1167-8378-4e73-9bcb-d69093ec829b"/>
    <hyperlink ref="F149" r:id="rId337" display="https://dailymed.nlm.nih.gov/dailymed/drugInfo.cfm?setid=3f5dacea-af40-4103-b128-c5e0c0c52fa1"/>
    <hyperlink ref="H149" r:id="rId338" display="https://mhraproducts4853.blob.core.windows.net/docs/0605730a38f8b988fbfaf3fc09d20f3c7376c587"/>
    <hyperlink ref="Q149" r:id="rId339" display="https://www.ema.europa.eu/en/documents/product-information/plerixafor-accord-epar-product-information_en.pdf"/>
    <hyperlink ref="F150" r:id="rId340" display="https://dailymed.nlm.nih.gov/dailymed/drugInfo.cfm?setid=387b57ce-e50e-4e03-86d9-12638242bd36"/>
    <hyperlink ref="H150" r:id="rId341" display="https://mhraproducts4853.blob.core.windows.net/docs/1e3206a2f7a9a0bc0b5e1387ff816310bd3a6274"/>
    <hyperlink ref="Q150" r:id="rId342" display="https://dailymed.nlm.nih.gov/dailymed/drugInfo.cfm?setid=f26effc5-2a22-441f-91ac-e131ee1c9886"/>
    <hyperlink ref="F151" r:id="rId343" display="https://dailymed.nlm.nih.gov/dailymed/drugInfo.cfm?setid=def3b9ba-523d-4b83-a80d-fa6f362e111c"/>
    <hyperlink ref="H151" r:id="rId344" display="https://mhraproducts4853.blob.core.windows.net/docs/2b86e6e4cadbc2aee6c9bef4810ef2d6c504c961"/>
    <hyperlink ref="Q151" r:id="rId345" display="https://dailymed.nlm.nih.gov/dailymed/drugInfo.cfm?setid=7d19df3b-94ed-4681-beae-9caaf137d014"/>
    <hyperlink ref="F152" r:id="rId346" display="https://dailymed.nlm.nih.gov/dailymed/drugInfo.cfm?setid=f073b58e-56d6-4c8d-a2ce-b37719402d77"/>
    <hyperlink ref="Q152" r:id="rId347" display="https://dailymed.nlm.nih.gov/dailymed/drugInfo.cfm?setid=7d19df3b-94ed-4681-beae-9caaf137d014"/>
    <hyperlink ref="F153" r:id="rId348" display="https://dailymed.nlm.nih.gov/dailymed/drugInfo.cfm?setid=49596de6-ab18-49d1-9e5b-30968fc21c36"/>
    <hyperlink ref="Q153" r:id="rId349" display="https://dailymed.nlm.nih.gov/dailymed/drugInfo.cfm?setid=f55dd1c0-c259-219a-5bca-f139e9515d07"/>
    <hyperlink ref="F154" r:id="rId350" display="https://dailymed.nlm.nih.gov/dailymed/drugInfo.cfm?setid=dd3dcc9a-e40c-4677-9ee6-f318e7c7d835"/>
    <hyperlink ref="H154" r:id="rId351" display="https://mhraproducts4853.blob.core.windows.net/docs/3d797cdc3f406c382dd7a59f87e1c4e1c4dd3b8b"/>
    <hyperlink ref="Q154" r:id="rId352" display="https://dailymed.nlm.nih.gov/dailymed/drugInfo.cfm?setid=3deac02b-392c-4ee4-9abf-7fe5b8975147"/>
    <hyperlink ref="F155" r:id="rId353" display="https://dailymed.nlm.nih.gov/dailymed/drugInfo.cfm?setid=fff10d69-e334-42bd-baed-7d9d5feef6aa"/>
    <hyperlink ref="H155" r:id="rId354" display="https://mhraproducts4853.blob.core.windows.net/docs/e80e715a9abfb407b9d6e8113150fe6a6bc5aea8"/>
    <hyperlink ref="Q155" r:id="rId355" display="https://www.ebs.tga.gov.au/ebs/picmi/picmirepository.nsf/pdf?OpenAgent&amp;id=CP-2021-PI-02045-1"/>
    <hyperlink ref="Q156" r:id="rId356" display="https://dailymed.nlm.nih.gov/dailymed/drugInfo.cfm?setid=204f1c24-4bf6-40d5-95f3-a732db28e033"/>
    <hyperlink ref="Q157" r:id="rId357" display="https://dailymed.nlm.nih.gov/dailymed/drugInfo.cfm?setid=017e5ad4-028e-4e34-ac09-d0c8d64c880a"/>
    <hyperlink ref="Q158" r:id="rId358" display="https://mhraproducts4853.blob.core.windows.net/docs/3c889867faa22c3b1685618ccad37b31982cc60e"/>
    <hyperlink ref="Q159" r:id="rId359" display="https://mhraproducts4853.blob.core.windows.net/docs/cdd932519ea5620f679cbc05a39d576016396f04"/>
    <hyperlink ref="Q160" r:id="rId360" display="https://cima.aemps.es/cima/dochtml/ft/78613/FT_78613.html"/>
    <hyperlink ref="Q161" r:id="rId361" display="https://mhraproducts4853.blob.core.windows.net/docs/3c889867faa22c3b1685618ccad37b31982cc60e"/>
    <hyperlink ref="Q162" r:id="rId362" display="https://mhraproducts4853.blob.core.windows.net/docs/bb7e0f317f1d83fcc56a50c2ee7913094c687d19"/>
    <hyperlink ref="Q163" r:id="rId363" display="https://dailymed.nlm.nih.gov/dailymed/drugInfo.cfm?setid=f901e2b2-f143-4237-8e95-0d134585490b"/>
    <hyperlink ref="Q164" r:id="rId364" display="https://dailymed.nlm.nih.gov/dailymed/drugInfo.cfm?setid=b8ac5e07-b7e3-4a60-b0d1-8b1f3ad0c478"/>
    <hyperlink ref="Q165" r:id="rId365" display="https://health-products.canada.ca/dpd-bdpp/info?lang=eng&amp;code=98589"/>
    <hyperlink ref="Q166" r:id="rId366" display="https://dailymed.nlm.nih.gov/dailymed/search.cfm?labeltype=all&amp;query=testosterone+enanthate"/>
    <hyperlink ref="Q167" r:id="rId367" display="https://www.medicines.org.uk/emc/product/100812/smpc/print"/>
    <hyperlink ref="Q168" r:id="rId368" display="https://www.medicines.org.uk/emc/product/100812/smpc/print"/>
    <hyperlink ref="Q169" r:id="rId369" display="https://www.medpex.de/testosteron-basics-1000-mg-4-ml-inj-lsg-dsfl/19897760"/>
    <hyperlink ref="Q170" r:id="rId370" display="https://dailymed.nlm.nih.gov/dailymed/drugInfo.cfm?setid=2539a6cf-0fe5-1565-e063-6294a90a361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C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4"/>
    <col collapsed="false" customWidth="true" hidden="false" outlineLevel="0" max="29" min="28" style="0" width="13"/>
  </cols>
  <sheetData>
    <row r="1" customFormat="false" ht="18.55" hidden="false" customHeight="false" outlineLevel="0" collapsed="false">
      <c r="A1" s="84" t="s">
        <v>3717</v>
      </c>
    </row>
    <row r="2" customFormat="false" ht="15" hidden="false" customHeight="false" outlineLevel="0" collapsed="false">
      <c r="A2" s="63" t="s">
        <v>3718</v>
      </c>
    </row>
    <row r="3" customFormat="false" ht="15" hidden="false" customHeight="false" outlineLevel="0" collapsed="false">
      <c r="A3" s="11" t="s">
        <v>3719</v>
      </c>
      <c r="C3" s="95" t="n">
        <v>3</v>
      </c>
    </row>
    <row r="5" customFormat="false" ht="15" hidden="false" customHeight="false" outlineLevel="0" collapsed="false">
      <c r="A5" s="71" t="s">
        <v>3720</v>
      </c>
    </row>
    <row r="6" customFormat="false" ht="33" hidden="false" customHeight="true" outlineLevel="0" collapsed="false">
      <c r="A6" s="96" t="s">
        <v>3721</v>
      </c>
      <c r="B6" s="90" t="s">
        <v>3722</v>
      </c>
      <c r="C6" s="90"/>
      <c r="D6" s="90"/>
      <c r="E6" s="90"/>
      <c r="F6" s="90"/>
      <c r="G6" s="90"/>
      <c r="H6" s="90"/>
      <c r="I6" s="90"/>
      <c r="J6" s="90"/>
      <c r="K6" s="90"/>
      <c r="L6" s="90"/>
      <c r="M6" s="90"/>
      <c r="N6" s="90"/>
      <c r="O6" s="90"/>
      <c r="P6" s="90"/>
      <c r="Q6" s="90"/>
      <c r="R6" s="90"/>
      <c r="S6" s="90"/>
      <c r="T6" s="90"/>
      <c r="U6" s="90"/>
      <c r="V6" s="90"/>
      <c r="W6" s="90"/>
      <c r="X6" s="90"/>
      <c r="Y6" s="90"/>
      <c r="Z6" s="90"/>
      <c r="AA6" s="90"/>
    </row>
    <row r="7" customFormat="false" ht="33" hidden="false" customHeight="true" outlineLevel="0" collapsed="false">
      <c r="A7" s="96" t="s">
        <v>3723</v>
      </c>
      <c r="B7" s="90" t="s">
        <v>3724</v>
      </c>
      <c r="C7" s="90"/>
      <c r="D7" s="90"/>
      <c r="E7" s="90"/>
      <c r="F7" s="90"/>
      <c r="G7" s="90"/>
      <c r="H7" s="90"/>
      <c r="I7" s="90"/>
      <c r="J7" s="90"/>
      <c r="K7" s="90"/>
      <c r="L7" s="90"/>
      <c r="M7" s="90"/>
      <c r="N7" s="90"/>
      <c r="O7" s="90"/>
      <c r="P7" s="90"/>
      <c r="Q7" s="90"/>
      <c r="R7" s="90"/>
      <c r="S7" s="90"/>
      <c r="T7" s="90"/>
      <c r="U7" s="90"/>
      <c r="V7" s="90"/>
      <c r="W7" s="90"/>
      <c r="X7" s="90"/>
      <c r="Y7" s="90"/>
      <c r="Z7" s="90"/>
      <c r="AA7" s="90"/>
    </row>
    <row r="8" customFormat="false" ht="17.25" hidden="false" customHeight="true" outlineLevel="0" collapsed="false">
      <c r="A8" s="96" t="s">
        <v>3725</v>
      </c>
      <c r="B8" s="90" t="s">
        <v>3726</v>
      </c>
      <c r="C8" s="90"/>
      <c r="D8" s="90"/>
      <c r="E8" s="90"/>
      <c r="F8" s="90"/>
      <c r="G8" s="90"/>
      <c r="H8" s="90"/>
      <c r="I8" s="90"/>
      <c r="J8" s="90"/>
      <c r="K8" s="90"/>
      <c r="L8" s="90"/>
      <c r="M8" s="90"/>
      <c r="N8" s="90"/>
      <c r="O8" s="90"/>
      <c r="P8" s="90"/>
      <c r="Q8" s="90"/>
      <c r="R8" s="90"/>
      <c r="S8" s="90"/>
      <c r="T8" s="90"/>
      <c r="U8" s="90"/>
      <c r="V8" s="90"/>
      <c r="W8" s="90"/>
      <c r="X8" s="90"/>
      <c r="Y8" s="90"/>
      <c r="Z8" s="90"/>
      <c r="AA8" s="90"/>
    </row>
    <row r="9" customFormat="false" ht="17.25" hidden="false" customHeight="true" outlineLevel="0" collapsed="false">
      <c r="A9" s="96" t="s">
        <v>3727</v>
      </c>
      <c r="B9" s="90" t="s">
        <v>3728</v>
      </c>
      <c r="C9" s="90"/>
      <c r="D9" s="90"/>
      <c r="E9" s="90"/>
      <c r="F9" s="90"/>
      <c r="G9" s="90"/>
      <c r="H9" s="90"/>
      <c r="I9" s="90"/>
      <c r="J9" s="90"/>
      <c r="K9" s="90"/>
      <c r="L9" s="90"/>
      <c r="M9" s="90"/>
      <c r="N9" s="90"/>
      <c r="O9" s="90"/>
      <c r="P9" s="90"/>
      <c r="Q9" s="90"/>
      <c r="R9" s="90"/>
      <c r="S9" s="90"/>
      <c r="T9" s="90"/>
      <c r="U9" s="90"/>
      <c r="V9" s="90"/>
      <c r="W9" s="90"/>
      <c r="X9" s="90"/>
      <c r="Y9" s="90"/>
      <c r="Z9" s="90"/>
      <c r="AA9" s="90"/>
    </row>
    <row r="10" customFormat="false" ht="17.25" hidden="false" customHeight="true" outlineLevel="0" collapsed="false">
      <c r="A10" s="96" t="s">
        <v>3729</v>
      </c>
      <c r="B10" s="90" t="s">
        <v>3730</v>
      </c>
      <c r="C10" s="90"/>
      <c r="D10" s="90"/>
      <c r="E10" s="90"/>
      <c r="F10" s="90"/>
      <c r="G10" s="90"/>
      <c r="H10" s="90"/>
      <c r="I10" s="90"/>
      <c r="J10" s="90"/>
      <c r="K10" s="90"/>
      <c r="L10" s="90"/>
      <c r="M10" s="90"/>
      <c r="N10" s="90"/>
      <c r="O10" s="90"/>
      <c r="P10" s="90"/>
      <c r="Q10" s="90"/>
      <c r="R10" s="90"/>
      <c r="S10" s="90"/>
      <c r="T10" s="90"/>
      <c r="U10" s="90"/>
      <c r="V10" s="90"/>
      <c r="W10" s="90"/>
      <c r="X10" s="90"/>
      <c r="Y10" s="90"/>
      <c r="Z10" s="90"/>
      <c r="AA10" s="90"/>
    </row>
    <row r="11" customFormat="false" ht="33" hidden="false" customHeight="true" outlineLevel="0" collapsed="false">
      <c r="A11" s="96" t="s">
        <v>3731</v>
      </c>
      <c r="B11" s="90" t="s">
        <v>3732</v>
      </c>
      <c r="C11" s="90"/>
      <c r="D11" s="90"/>
      <c r="E11" s="90"/>
      <c r="F11" s="90"/>
      <c r="G11" s="90"/>
      <c r="H11" s="90"/>
      <c r="I11" s="90"/>
      <c r="J11" s="90"/>
      <c r="K11" s="90"/>
      <c r="L11" s="90"/>
      <c r="M11" s="90"/>
      <c r="N11" s="90"/>
      <c r="O11" s="90"/>
      <c r="P11" s="90"/>
      <c r="Q11" s="90"/>
      <c r="R11" s="90"/>
      <c r="S11" s="90"/>
      <c r="T11" s="90"/>
      <c r="U11" s="90"/>
      <c r="V11" s="90"/>
      <c r="W11" s="90"/>
      <c r="X11" s="90"/>
      <c r="Y11" s="90"/>
      <c r="Z11" s="90"/>
      <c r="AA11" s="90"/>
    </row>
    <row r="12" customFormat="false" ht="33" hidden="false" customHeight="true" outlineLevel="0" collapsed="false">
      <c r="A12" s="96" t="s">
        <v>3733</v>
      </c>
      <c r="B12" s="90" t="s">
        <v>3734</v>
      </c>
      <c r="C12" s="90"/>
      <c r="D12" s="90"/>
      <c r="E12" s="90"/>
      <c r="F12" s="90"/>
      <c r="G12" s="90"/>
      <c r="H12" s="90"/>
      <c r="I12" s="90"/>
      <c r="J12" s="90"/>
      <c r="K12" s="90"/>
      <c r="L12" s="90"/>
      <c r="M12" s="90"/>
      <c r="N12" s="90"/>
      <c r="O12" s="90"/>
      <c r="P12" s="90"/>
      <c r="Q12" s="90"/>
      <c r="R12" s="90"/>
      <c r="S12" s="90"/>
      <c r="T12" s="90"/>
      <c r="U12" s="90"/>
      <c r="V12" s="90"/>
      <c r="W12" s="90"/>
      <c r="X12" s="90"/>
      <c r="Y12" s="90"/>
      <c r="Z12" s="90"/>
      <c r="AA12" s="90"/>
    </row>
    <row r="13" customFormat="false" ht="33" hidden="false" customHeight="true" outlineLevel="0" collapsed="false">
      <c r="A13" s="96" t="s">
        <v>3735</v>
      </c>
      <c r="B13" s="90" t="s">
        <v>3736</v>
      </c>
      <c r="C13" s="90"/>
      <c r="D13" s="90"/>
      <c r="E13" s="90"/>
      <c r="F13" s="90"/>
      <c r="G13" s="90"/>
      <c r="H13" s="90"/>
      <c r="I13" s="90"/>
      <c r="J13" s="90"/>
      <c r="K13" s="90"/>
      <c r="L13" s="90"/>
      <c r="M13" s="90"/>
      <c r="N13" s="90"/>
      <c r="O13" s="90"/>
      <c r="P13" s="90"/>
      <c r="Q13" s="90"/>
      <c r="R13" s="90"/>
      <c r="S13" s="90"/>
      <c r="T13" s="90"/>
      <c r="U13" s="90"/>
      <c r="V13" s="90"/>
      <c r="W13" s="90"/>
      <c r="X13" s="90"/>
      <c r="Y13" s="90"/>
      <c r="Z13" s="90"/>
      <c r="AA13" s="90"/>
    </row>
    <row r="15" customFormat="false" ht="15" hidden="false" customHeight="false" outlineLevel="0" collapsed="false">
      <c r="A15" s="71" t="s">
        <v>3737</v>
      </c>
    </row>
    <row r="16" customFormat="false" ht="15" hidden="false" customHeight="false" outlineLevel="0" collapsed="false">
      <c r="A16" s="97" t="s">
        <v>3738</v>
      </c>
      <c r="B16" s="98" t="s">
        <v>3739</v>
      </c>
      <c r="C16" s="98"/>
      <c r="D16" s="98"/>
      <c r="E16" s="98" t="s">
        <v>3740</v>
      </c>
      <c r="F16" s="98"/>
      <c r="G16" s="98"/>
      <c r="H16" s="98"/>
      <c r="I16" s="98"/>
      <c r="J16" s="98" t="s">
        <v>2750</v>
      </c>
      <c r="K16" s="98"/>
      <c r="L16" s="98"/>
      <c r="M16" s="98"/>
      <c r="N16" s="98"/>
      <c r="O16" s="98"/>
      <c r="P16" s="98"/>
      <c r="Q16" s="98"/>
      <c r="R16" s="98"/>
      <c r="S16" s="98" t="s">
        <v>3741</v>
      </c>
      <c r="T16" s="98"/>
      <c r="U16" s="98"/>
      <c r="V16" s="98"/>
      <c r="W16" s="98"/>
      <c r="X16" s="98"/>
      <c r="Y16" s="98"/>
      <c r="Z16" s="98"/>
      <c r="AA16" s="98"/>
    </row>
    <row r="17" customFormat="false" ht="33" hidden="false" customHeight="true" outlineLevel="0" collapsed="false">
      <c r="A17" s="99" t="s">
        <v>3742</v>
      </c>
      <c r="B17" s="90" t="s">
        <v>3743</v>
      </c>
      <c r="C17" s="90"/>
      <c r="D17" s="90"/>
      <c r="E17" s="90" t="s">
        <v>3744</v>
      </c>
      <c r="F17" s="90"/>
      <c r="G17" s="90"/>
      <c r="H17" s="90"/>
      <c r="I17" s="90"/>
      <c r="J17" s="90" t="s">
        <v>3745</v>
      </c>
      <c r="K17" s="90"/>
      <c r="L17" s="90"/>
      <c r="M17" s="90"/>
      <c r="N17" s="90"/>
      <c r="O17" s="90"/>
      <c r="P17" s="90"/>
      <c r="Q17" s="90"/>
      <c r="R17" s="90"/>
      <c r="S17" s="100" t="s">
        <v>3746</v>
      </c>
      <c r="T17" s="100"/>
      <c r="U17" s="100"/>
      <c r="V17" s="100"/>
      <c r="W17" s="100"/>
      <c r="X17" s="100"/>
      <c r="Y17" s="100"/>
      <c r="Z17" s="100"/>
      <c r="AA17" s="100"/>
    </row>
    <row r="18" customFormat="false" ht="33" hidden="false" customHeight="true" outlineLevel="0" collapsed="false">
      <c r="A18" s="99" t="s">
        <v>3747</v>
      </c>
      <c r="B18" s="90" t="s">
        <v>3748</v>
      </c>
      <c r="C18" s="90"/>
      <c r="D18" s="90"/>
      <c r="E18" s="90" t="s">
        <v>3749</v>
      </c>
      <c r="F18" s="90"/>
      <c r="G18" s="90"/>
      <c r="H18" s="90"/>
      <c r="I18" s="90"/>
      <c r="J18" s="90" t="s">
        <v>3750</v>
      </c>
      <c r="K18" s="90"/>
      <c r="L18" s="90"/>
      <c r="M18" s="90"/>
      <c r="N18" s="90"/>
      <c r="O18" s="90"/>
      <c r="P18" s="90"/>
      <c r="Q18" s="90"/>
      <c r="R18" s="90"/>
      <c r="S18" s="101" t="s">
        <v>3751</v>
      </c>
      <c r="T18" s="101"/>
      <c r="U18" s="101"/>
      <c r="V18" s="101"/>
      <c r="W18" s="101"/>
      <c r="X18" s="101"/>
      <c r="Y18" s="101"/>
      <c r="Z18" s="101"/>
      <c r="AA18" s="101"/>
    </row>
    <row r="19" customFormat="false" ht="33" hidden="false" customHeight="true" outlineLevel="0" collapsed="false">
      <c r="A19" s="99" t="s">
        <v>1144</v>
      </c>
      <c r="B19" s="90" t="s">
        <v>3752</v>
      </c>
      <c r="C19" s="90"/>
      <c r="D19" s="90"/>
      <c r="E19" s="90" t="s">
        <v>3753</v>
      </c>
      <c r="F19" s="90"/>
      <c r="G19" s="90"/>
      <c r="H19" s="90"/>
      <c r="I19" s="90"/>
      <c r="J19" s="90" t="s">
        <v>3754</v>
      </c>
      <c r="K19" s="90"/>
      <c r="L19" s="90"/>
      <c r="M19" s="90"/>
      <c r="N19" s="90"/>
      <c r="O19" s="90"/>
      <c r="P19" s="90"/>
      <c r="Q19" s="90"/>
      <c r="R19" s="90"/>
      <c r="S19" s="101" t="s">
        <v>3755</v>
      </c>
      <c r="T19" s="101"/>
      <c r="U19" s="101"/>
      <c r="V19" s="101"/>
      <c r="W19" s="101"/>
      <c r="X19" s="101"/>
      <c r="Y19" s="101"/>
      <c r="Z19" s="101"/>
      <c r="AA19" s="101"/>
    </row>
    <row r="20" customFormat="false" ht="33" hidden="false" customHeight="true" outlineLevel="0" collapsed="false">
      <c r="A20" s="99" t="s">
        <v>464</v>
      </c>
      <c r="B20" s="90" t="s">
        <v>3756</v>
      </c>
      <c r="C20" s="90"/>
      <c r="D20" s="90"/>
      <c r="E20" s="90" t="s">
        <v>3757</v>
      </c>
      <c r="F20" s="90"/>
      <c r="G20" s="90"/>
      <c r="H20" s="90"/>
      <c r="I20" s="90"/>
      <c r="J20" s="90" t="s">
        <v>3758</v>
      </c>
      <c r="K20" s="90"/>
      <c r="L20" s="90"/>
      <c r="M20" s="90"/>
      <c r="N20" s="90"/>
      <c r="O20" s="90"/>
      <c r="P20" s="90"/>
      <c r="Q20" s="90"/>
      <c r="R20" s="90"/>
      <c r="S20" s="101" t="s">
        <v>3759</v>
      </c>
      <c r="T20" s="101"/>
      <c r="U20" s="101"/>
      <c r="V20" s="101"/>
      <c r="W20" s="101"/>
      <c r="X20" s="101"/>
      <c r="Y20" s="101"/>
      <c r="Z20" s="101"/>
      <c r="AA20" s="101"/>
    </row>
    <row r="21" customFormat="false" ht="33" hidden="false" customHeight="true" outlineLevel="0" collapsed="false">
      <c r="A21" s="99" t="s">
        <v>614</v>
      </c>
      <c r="B21" s="90" t="s">
        <v>3760</v>
      </c>
      <c r="C21" s="90"/>
      <c r="D21" s="90"/>
      <c r="E21" s="90" t="s">
        <v>3761</v>
      </c>
      <c r="F21" s="90"/>
      <c r="G21" s="90"/>
      <c r="H21" s="90"/>
      <c r="I21" s="90"/>
      <c r="J21" s="90" t="s">
        <v>3762</v>
      </c>
      <c r="K21" s="90"/>
      <c r="L21" s="90"/>
      <c r="M21" s="90"/>
      <c r="N21" s="90"/>
      <c r="O21" s="90"/>
      <c r="P21" s="90"/>
      <c r="Q21" s="90"/>
      <c r="R21" s="90"/>
      <c r="S21" s="101" t="s">
        <v>3763</v>
      </c>
      <c r="T21" s="101"/>
      <c r="U21" s="101"/>
      <c r="V21" s="101"/>
      <c r="W21" s="101"/>
      <c r="X21" s="101"/>
      <c r="Y21" s="101"/>
      <c r="Z21" s="101"/>
      <c r="AA21" s="101"/>
    </row>
    <row r="22" customFormat="false" ht="33" hidden="false" customHeight="true" outlineLevel="0" collapsed="false">
      <c r="A22" s="99" t="s">
        <v>360</v>
      </c>
      <c r="B22" s="90" t="s">
        <v>3764</v>
      </c>
      <c r="C22" s="90"/>
      <c r="D22" s="90"/>
      <c r="E22" s="90" t="s">
        <v>3765</v>
      </c>
      <c r="F22" s="90"/>
      <c r="G22" s="90"/>
      <c r="H22" s="90"/>
      <c r="I22" s="90"/>
      <c r="J22" s="90" t="s">
        <v>3766</v>
      </c>
      <c r="K22" s="90"/>
      <c r="L22" s="90"/>
      <c r="M22" s="90"/>
      <c r="N22" s="90"/>
      <c r="O22" s="90"/>
      <c r="P22" s="90"/>
      <c r="Q22" s="90"/>
      <c r="R22" s="90"/>
      <c r="S22" s="101" t="s">
        <v>3767</v>
      </c>
      <c r="T22" s="101"/>
      <c r="U22" s="101"/>
      <c r="V22" s="101"/>
      <c r="W22" s="101"/>
      <c r="X22" s="101"/>
      <c r="Y22" s="101"/>
      <c r="Z22" s="101"/>
      <c r="AA22" s="101"/>
    </row>
    <row r="23" customFormat="false" ht="33" hidden="false" customHeight="true" outlineLevel="0" collapsed="false">
      <c r="A23" s="99" t="s">
        <v>3768</v>
      </c>
      <c r="B23" s="90" t="s">
        <v>3769</v>
      </c>
      <c r="C23" s="90"/>
      <c r="D23" s="90"/>
      <c r="E23" s="90" t="s">
        <v>3770</v>
      </c>
      <c r="F23" s="90"/>
      <c r="G23" s="90"/>
      <c r="H23" s="90"/>
      <c r="I23" s="90"/>
      <c r="J23" s="90" t="s">
        <v>3771</v>
      </c>
      <c r="K23" s="90"/>
      <c r="L23" s="90"/>
      <c r="M23" s="90"/>
      <c r="N23" s="90"/>
      <c r="O23" s="90"/>
      <c r="P23" s="90"/>
      <c r="Q23" s="90"/>
      <c r="R23" s="90"/>
      <c r="S23" s="100" t="s">
        <v>3772</v>
      </c>
      <c r="T23" s="100"/>
      <c r="U23" s="100"/>
      <c r="V23" s="100"/>
      <c r="W23" s="100"/>
      <c r="X23" s="100"/>
      <c r="Y23" s="100"/>
      <c r="Z23" s="100"/>
      <c r="AA23" s="100"/>
    </row>
    <row r="24" customFormat="false" ht="33" hidden="false" customHeight="true" outlineLevel="0" collapsed="false">
      <c r="A24" s="99" t="s">
        <v>3773</v>
      </c>
      <c r="B24" s="90" t="s">
        <v>3774</v>
      </c>
      <c r="C24" s="90"/>
      <c r="D24" s="90"/>
      <c r="E24" s="90" t="s">
        <v>3775</v>
      </c>
      <c r="F24" s="90"/>
      <c r="G24" s="90"/>
      <c r="H24" s="90"/>
      <c r="I24" s="90"/>
      <c r="J24" s="90" t="s">
        <v>3776</v>
      </c>
      <c r="K24" s="90"/>
      <c r="L24" s="90"/>
      <c r="M24" s="90"/>
      <c r="N24" s="90"/>
      <c r="O24" s="90"/>
      <c r="P24" s="90"/>
      <c r="Q24" s="90"/>
      <c r="R24" s="90"/>
      <c r="S24" s="101" t="s">
        <v>3777</v>
      </c>
      <c r="T24" s="101"/>
      <c r="U24" s="101"/>
      <c r="V24" s="101"/>
      <c r="W24" s="101"/>
      <c r="X24" s="101"/>
      <c r="Y24" s="101"/>
      <c r="Z24" s="101"/>
      <c r="AA24" s="101"/>
    </row>
    <row r="25" customFormat="false" ht="15" hidden="false" customHeight="false" outlineLevel="0" collapsed="false">
      <c r="A25" s="71" t="s">
        <v>3778</v>
      </c>
    </row>
    <row r="26" customFormat="false" ht="15" hidden="false" customHeight="false" outlineLevel="0" collapsed="false">
      <c r="D26" s="102" t="s">
        <v>3747</v>
      </c>
      <c r="E26" s="102"/>
      <c r="F26" s="102"/>
      <c r="G26" s="102" t="s">
        <v>1144</v>
      </c>
      <c r="H26" s="102"/>
      <c r="I26" s="102"/>
      <c r="J26" s="102" t="s">
        <v>464</v>
      </c>
      <c r="K26" s="102"/>
      <c r="L26" s="102"/>
      <c r="M26" s="102" t="s">
        <v>614</v>
      </c>
      <c r="N26" s="102"/>
      <c r="O26" s="102"/>
      <c r="P26" s="102" t="s">
        <v>360</v>
      </c>
      <c r="Q26" s="102"/>
      <c r="R26" s="102"/>
      <c r="S26" s="102" t="s">
        <v>3768</v>
      </c>
      <c r="T26" s="102"/>
      <c r="U26" s="102"/>
      <c r="V26" s="102" t="s">
        <v>3773</v>
      </c>
      <c r="W26" s="102"/>
      <c r="X26" s="102"/>
      <c r="Y26" s="102" t="s">
        <v>3779</v>
      </c>
      <c r="Z26" s="102"/>
      <c r="AA26" s="102"/>
      <c r="AB26" s="102"/>
      <c r="AC26" s="102"/>
    </row>
    <row r="27" customFormat="false" ht="45.75" hidden="false" customHeight="true" outlineLevel="0" collapsed="false">
      <c r="A27" s="87" t="s">
        <v>8</v>
      </c>
      <c r="B27" s="87" t="s">
        <v>2746</v>
      </c>
      <c r="C27" s="87" t="s">
        <v>3780</v>
      </c>
      <c r="D27" s="87" t="s">
        <v>3781</v>
      </c>
      <c r="E27" s="87" t="s">
        <v>3782</v>
      </c>
      <c r="F27" s="87" t="s">
        <v>3783</v>
      </c>
      <c r="G27" s="87" t="s">
        <v>3781</v>
      </c>
      <c r="H27" s="87" t="s">
        <v>3782</v>
      </c>
      <c r="I27" s="87" t="s">
        <v>3783</v>
      </c>
      <c r="J27" s="87" t="s">
        <v>3781</v>
      </c>
      <c r="K27" s="87" t="s">
        <v>3782</v>
      </c>
      <c r="L27" s="87" t="s">
        <v>3783</v>
      </c>
      <c r="M27" s="87" t="s">
        <v>3781</v>
      </c>
      <c r="N27" s="87" t="s">
        <v>3782</v>
      </c>
      <c r="O27" s="87" t="s">
        <v>3783</v>
      </c>
      <c r="P27" s="87" t="s">
        <v>3781</v>
      </c>
      <c r="Q27" s="87" t="s">
        <v>3782</v>
      </c>
      <c r="R27" s="87" t="s">
        <v>3783</v>
      </c>
      <c r="S27" s="87" t="s">
        <v>3781</v>
      </c>
      <c r="T27" s="87" t="s">
        <v>3782</v>
      </c>
      <c r="U27" s="87" t="s">
        <v>3783</v>
      </c>
      <c r="V27" s="87" t="s">
        <v>3781</v>
      </c>
      <c r="W27" s="87" t="s">
        <v>3782</v>
      </c>
      <c r="X27" s="87" t="s">
        <v>3783</v>
      </c>
      <c r="Y27" s="87" t="s">
        <v>3784</v>
      </c>
      <c r="Z27" s="87" t="s">
        <v>3785</v>
      </c>
      <c r="AA27" s="87" t="s">
        <v>3786</v>
      </c>
      <c r="AB27" s="87" t="s">
        <v>3787</v>
      </c>
      <c r="AC27" s="87" t="s">
        <v>3788</v>
      </c>
    </row>
    <row r="28" customFormat="false" ht="15" hidden="false" customHeight="false" outlineLevel="0" collapsed="false">
      <c r="A28" s="89" t="s">
        <v>768</v>
      </c>
      <c r="B28" s="90" t="s">
        <v>3789</v>
      </c>
      <c r="C28" s="103" t="n">
        <v>8995.42</v>
      </c>
      <c r="D28" s="104" t="n">
        <v>46</v>
      </c>
      <c r="E28" s="104" t="n">
        <v>11</v>
      </c>
      <c r="F28" s="105" t="n">
        <f aca="false">IF(D28&gt;=$C$3,E28/D28,"")</f>
        <v>0.239130434782609</v>
      </c>
      <c r="G28" s="104" t="n">
        <v>14</v>
      </c>
      <c r="H28" s="104" t="n">
        <v>3</v>
      </c>
      <c r="I28" s="105" t="n">
        <f aca="false">IF(G28&gt;=$C$3,H28/G28,"")</f>
        <v>0.214285714285714</v>
      </c>
      <c r="J28" s="104" t="n">
        <v>2</v>
      </c>
      <c r="K28" s="104" t="n">
        <v>1</v>
      </c>
      <c r="L28" s="105" t="str">
        <f aca="false">IF(J28&gt;=$C$3,K28/J28,"")</f>
        <v/>
      </c>
      <c r="M28" s="104" t="n">
        <v>2</v>
      </c>
      <c r="N28" s="104" t="n">
        <v>1</v>
      </c>
      <c r="O28" s="105" t="str">
        <f aca="false">IF(M28&gt;=$C$3,N28/M28,"")</f>
        <v/>
      </c>
      <c r="P28" s="104" t="n">
        <v>1</v>
      </c>
      <c r="Q28" s="104" t="n">
        <v>0</v>
      </c>
      <c r="R28" s="105" t="str">
        <f aca="false">IF(P28&gt;=$C$3,Q28/P28,"")</f>
        <v/>
      </c>
      <c r="S28" s="104" t="n">
        <v>3</v>
      </c>
      <c r="T28" s="104" t="n">
        <v>0</v>
      </c>
      <c r="U28" s="105" t="n">
        <f aca="false">IF(S28&gt;=$C$3,T28/S28,"")</f>
        <v>0</v>
      </c>
      <c r="V28" s="104" t="n">
        <v>35</v>
      </c>
      <c r="W28" s="104" t="n">
        <v>6</v>
      </c>
      <c r="X28" s="105" t="n">
        <f aca="false">IF(V28&gt;=$C$3,W28/V28,"")</f>
        <v>0.171428571428571</v>
      </c>
      <c r="Y28" s="106" t="n">
        <f aca="false">COUNT(F28,I28,L28,O28,R28,U28,X28)</f>
        <v>4</v>
      </c>
      <c r="Z28" s="107" t="n">
        <f aca="false">IF(Y28=0,"",AVERAGE(F28,I28,L28,O28,R28,U28,X28))</f>
        <v>0.156211180124224</v>
      </c>
      <c r="AA28" s="108" t="n">
        <f aca="false">IF(ISNUMBER(Z28),C28*Z28,"")</f>
        <v>1405.18517391304</v>
      </c>
      <c r="AB28" s="108" t="n">
        <f aca="false">IFERROR(INDEX('Shortlisted Drugs X Company (7)'!$K$3:$K$698,MATCH($A28,'Shortlisted Drugs X Company (7)'!$C$3:$C$698,0)),"")</f>
        <v>310</v>
      </c>
      <c r="AC28" s="108" t="n">
        <f aca="false">IF(AND(ISNUMBER(AB28),ISNUMBER(Z28)),ROUND(AB28*Z28,0),"")</f>
        <v>48</v>
      </c>
    </row>
    <row r="29" customFormat="false" ht="15" hidden="false" customHeight="false" outlineLevel="0" collapsed="false">
      <c r="A29" s="89" t="s">
        <v>1417</v>
      </c>
      <c r="B29" s="90" t="s">
        <v>3790</v>
      </c>
      <c r="C29" s="103" t="n">
        <v>4229.67</v>
      </c>
      <c r="D29" s="104" t="n">
        <v>67</v>
      </c>
      <c r="E29" s="104" t="n">
        <v>64</v>
      </c>
      <c r="F29" s="105" t="n">
        <f aca="false">IF(D29&gt;=$C$3,E29/D29,"")</f>
        <v>0.955223880597015</v>
      </c>
      <c r="G29" s="104" t="n">
        <v>10</v>
      </c>
      <c r="H29" s="104" t="n">
        <v>10</v>
      </c>
      <c r="I29" s="105" t="n">
        <f aca="false">IF(G29&gt;=$C$3,H29/G29,"")</f>
        <v>1</v>
      </c>
      <c r="J29" s="104" t="n">
        <v>3</v>
      </c>
      <c r="K29" s="104" t="n">
        <v>3</v>
      </c>
      <c r="L29" s="105" t="n">
        <f aca="false">IF(J29&gt;=$C$3,K29/J29,"")</f>
        <v>1</v>
      </c>
      <c r="M29" s="104" t="n">
        <v>11</v>
      </c>
      <c r="N29" s="104" t="n">
        <v>10</v>
      </c>
      <c r="O29" s="105" t="n">
        <f aca="false">IF(M29&gt;=$C$3,N29/M29,"")</f>
        <v>0.909090909090909</v>
      </c>
      <c r="P29" s="104" t="n">
        <v>2</v>
      </c>
      <c r="Q29" s="104" t="n">
        <v>2</v>
      </c>
      <c r="R29" s="105" t="str">
        <f aca="false">IF(P29&gt;=$C$3,Q29/P29,"")</f>
        <v/>
      </c>
      <c r="S29" s="104" t="n">
        <v>27</v>
      </c>
      <c r="T29" s="104" t="n">
        <v>2</v>
      </c>
      <c r="U29" s="105" t="n">
        <f aca="false">IF(S29&gt;=$C$3,T29/S29,"")</f>
        <v>0.0740740740740741</v>
      </c>
      <c r="V29" s="104" t="n">
        <v>86</v>
      </c>
      <c r="W29" s="104" t="n">
        <v>12</v>
      </c>
      <c r="X29" s="105" t="n">
        <f aca="false">IF(V29&gt;=$C$3,W29/V29,"")</f>
        <v>0.13953488372093</v>
      </c>
      <c r="Y29" s="106" t="n">
        <f aca="false">COUNT(F29,I29,L29,O29,R29,U29,X29)</f>
        <v>6</v>
      </c>
      <c r="Z29" s="107" t="n">
        <f aca="false">IF(Y29=0,"",AVERAGE(F29,I29,L29,O29,R29,U29,X29))</f>
        <v>0.679653957913821</v>
      </c>
      <c r="AA29" s="108" t="n">
        <f aca="false">IF(ISNUMBER(Z29),C29*Z29,"")</f>
        <v>2874.71195616935</v>
      </c>
      <c r="AB29" s="108" t="n">
        <f aca="false">IFERROR(INDEX('Shortlisted Drugs X Company (7)'!$K$3:$K$698,MATCH($A29,'Shortlisted Drugs X Company (7)'!$C$3:$C$698,0)),"")</f>
        <v>251</v>
      </c>
      <c r="AC29" s="108" t="n">
        <f aca="false">IF(AND(ISNUMBER(AB29),ISNUMBER(Z29)),ROUND(AB29*Z29,0),"")</f>
        <v>171</v>
      </c>
    </row>
    <row r="30" customFormat="false" ht="15" hidden="false" customHeight="false" outlineLevel="0" collapsed="false">
      <c r="A30" s="89" t="s">
        <v>1180</v>
      </c>
      <c r="B30" s="90" t="s">
        <v>3791</v>
      </c>
      <c r="C30" s="103" t="n">
        <v>15.02</v>
      </c>
      <c r="D30" s="104" t="n">
        <v>40</v>
      </c>
      <c r="E30" s="104" t="n">
        <v>40</v>
      </c>
      <c r="F30" s="105" t="n">
        <f aca="false">IF(D30&gt;=$C$3,E30/D30,"")</f>
        <v>1</v>
      </c>
      <c r="G30" s="104" t="n">
        <v>7</v>
      </c>
      <c r="H30" s="104" t="n">
        <v>6</v>
      </c>
      <c r="I30" s="105" t="n">
        <f aca="false">IF(G30&gt;=$C$3,H30/G30,"")</f>
        <v>0.857142857142857</v>
      </c>
      <c r="J30" s="104" t="n">
        <v>0</v>
      </c>
      <c r="K30" s="104" t="n">
        <v>0</v>
      </c>
      <c r="L30" s="105" t="str">
        <f aca="false">IF(J30&gt;=$C$3,K30/J30,"")</f>
        <v/>
      </c>
      <c r="M30" s="104" t="n">
        <v>10</v>
      </c>
      <c r="N30" s="104" t="n">
        <v>10</v>
      </c>
      <c r="O30" s="105" t="n">
        <f aca="false">IF(M30&gt;=$C$3,N30/M30,"")</f>
        <v>1</v>
      </c>
      <c r="P30" s="104" t="n">
        <v>1</v>
      </c>
      <c r="Q30" s="104" t="n">
        <v>1</v>
      </c>
      <c r="R30" s="105" t="str">
        <f aca="false">IF(P30&gt;=$C$3,Q30/P30,"")</f>
        <v/>
      </c>
      <c r="S30" s="104" t="n">
        <v>2</v>
      </c>
      <c r="T30" s="104" t="n">
        <v>2</v>
      </c>
      <c r="U30" s="105" t="str">
        <f aca="false">IF(S30&gt;=$C$3,T30/S30,"")</f>
        <v/>
      </c>
      <c r="V30" s="104" t="n">
        <v>0</v>
      </c>
      <c r="W30" s="104" t="n">
        <v>0</v>
      </c>
      <c r="X30" s="105" t="str">
        <f aca="false">IF(V30&gt;=$C$3,W30/V30,"")</f>
        <v/>
      </c>
      <c r="Y30" s="106" t="n">
        <f aca="false">COUNT(F30,I30,L30,O30,R30,U30,X30)</f>
        <v>3</v>
      </c>
      <c r="Z30" s="107" t="n">
        <f aca="false">IF(Y30=0,"",AVERAGE(F30,I30,L30,O30,R30,U30,X30))</f>
        <v>0.952380952380952</v>
      </c>
      <c r="AA30" s="108" t="n">
        <f aca="false">IF(ISNUMBER(Z30),C30*Z30,"")</f>
        <v>14.3047619047619</v>
      </c>
      <c r="AB30" s="108" t="n">
        <f aca="false">IFERROR(INDEX('Shortlisted Drugs X Company (7)'!$K$3:$K$698,MATCH($A30,'Shortlisted Drugs X Company (7)'!$C$3:$C$698,0)),"")</f>
        <v>1</v>
      </c>
      <c r="AC30" s="108" t="n">
        <f aca="false">IF(AND(ISNUMBER(AB30),ISNUMBER(Z30)),ROUND(AB30*Z30,0),"")</f>
        <v>1</v>
      </c>
    </row>
    <row r="31" customFormat="false" ht="15" hidden="false" customHeight="false" outlineLevel="0" collapsed="false">
      <c r="A31" s="89" t="s">
        <v>775</v>
      </c>
      <c r="B31" s="90" t="s">
        <v>3792</v>
      </c>
      <c r="C31" s="103" t="n">
        <v>8785.35</v>
      </c>
      <c r="D31" s="104" t="n">
        <v>115</v>
      </c>
      <c r="E31" s="104" t="n">
        <v>106</v>
      </c>
      <c r="F31" s="105" t="n">
        <f aca="false">IF(D31&gt;=$C$3,E31/D31,"")</f>
        <v>0.921739130434783</v>
      </c>
      <c r="G31" s="104" t="n">
        <v>11</v>
      </c>
      <c r="H31" s="104" t="n">
        <v>10</v>
      </c>
      <c r="I31" s="105" t="n">
        <f aca="false">IF(G31&gt;=$C$3,H31/G31,"")</f>
        <v>0.909090909090909</v>
      </c>
      <c r="J31" s="104" t="n">
        <v>4</v>
      </c>
      <c r="K31" s="104" t="n">
        <v>4</v>
      </c>
      <c r="L31" s="105" t="n">
        <f aca="false">IF(J31&gt;=$C$3,K31/J31,"")</f>
        <v>1</v>
      </c>
      <c r="M31" s="104" t="n">
        <v>15</v>
      </c>
      <c r="N31" s="104" t="n">
        <v>15</v>
      </c>
      <c r="O31" s="105" t="n">
        <f aca="false">IF(M31&gt;=$C$3,N31/M31,"")</f>
        <v>1</v>
      </c>
      <c r="P31" s="104" t="n">
        <v>7</v>
      </c>
      <c r="Q31" s="104" t="n">
        <v>7</v>
      </c>
      <c r="R31" s="105" t="n">
        <f aca="false">IF(P31&gt;=$C$3,Q31/P31,"")</f>
        <v>1</v>
      </c>
      <c r="S31" s="104" t="n">
        <v>4</v>
      </c>
      <c r="T31" s="104" t="n">
        <v>4</v>
      </c>
      <c r="U31" s="105" t="n">
        <f aca="false">IF(S31&gt;=$C$3,T31/S31,"")</f>
        <v>1</v>
      </c>
      <c r="V31" s="104" t="n">
        <v>9</v>
      </c>
      <c r="W31" s="104" t="n">
        <v>8</v>
      </c>
      <c r="X31" s="105" t="n">
        <f aca="false">IF(V31&gt;=$C$3,W31/V31,"")</f>
        <v>0.888888888888889</v>
      </c>
      <c r="Y31" s="106" t="n">
        <f aca="false">COUNT(F31,I31,L31,O31,R31,U31,X31)</f>
        <v>7</v>
      </c>
      <c r="Z31" s="107" t="n">
        <f aca="false">IF(Y31=0,"",AVERAGE(F31,I31,L31,O31,R31,U31,X31))</f>
        <v>0.959959846916369</v>
      </c>
      <c r="AA31" s="108" t="n">
        <f aca="false">IF(ISNUMBER(Z31),C31*Z31,"")</f>
        <v>8433.58324110672</v>
      </c>
      <c r="AB31" s="108" t="n">
        <f aca="false">IFERROR(INDEX('Shortlisted Drugs X Company (7)'!$K$3:$K$698,MATCH($A31,'Shortlisted Drugs X Company (7)'!$C$3:$C$698,0)),"")</f>
        <v>684</v>
      </c>
      <c r="AC31" s="108" t="n">
        <f aca="false">IF(AND(ISNUMBER(AB31),ISNUMBER(Z31)),ROUND(AB31*Z31,0),"")</f>
        <v>657</v>
      </c>
    </row>
    <row r="32" customFormat="false" ht="15" hidden="false" customHeight="false" outlineLevel="0" collapsed="false">
      <c r="A32" s="89" t="s">
        <v>922</v>
      </c>
      <c r="B32" s="90" t="s">
        <v>3790</v>
      </c>
      <c r="C32" s="103" t="n">
        <v>19089.13</v>
      </c>
      <c r="D32" s="104" t="n">
        <v>139</v>
      </c>
      <c r="E32" s="104" t="n">
        <v>52</v>
      </c>
      <c r="F32" s="105" t="n">
        <f aca="false">IF(D32&gt;=$C$3,E32/D32,"")</f>
        <v>0.37410071942446</v>
      </c>
      <c r="G32" s="104" t="n">
        <v>27</v>
      </c>
      <c r="H32" s="104" t="n">
        <v>5</v>
      </c>
      <c r="I32" s="105" t="n">
        <f aca="false">IF(G32&gt;=$C$3,H32/G32,"")</f>
        <v>0.185185185185185</v>
      </c>
      <c r="J32" s="104" t="n">
        <v>12</v>
      </c>
      <c r="K32" s="104" t="n">
        <v>2</v>
      </c>
      <c r="L32" s="105" t="n">
        <f aca="false">IF(J32&gt;=$C$3,K32/J32,"")</f>
        <v>0.166666666666667</v>
      </c>
      <c r="M32" s="104" t="n">
        <v>8</v>
      </c>
      <c r="N32" s="104" t="n">
        <v>2</v>
      </c>
      <c r="O32" s="105" t="n">
        <f aca="false">IF(M32&gt;=$C$3,N32/M32,"")</f>
        <v>0.25</v>
      </c>
      <c r="P32" s="104" t="n">
        <v>13</v>
      </c>
      <c r="Q32" s="104" t="n">
        <v>6</v>
      </c>
      <c r="R32" s="105" t="n">
        <f aca="false">IF(P32&gt;=$C$3,Q32/P32,"")</f>
        <v>0.461538461538462</v>
      </c>
      <c r="S32" s="104" t="n">
        <v>2</v>
      </c>
      <c r="T32" s="104" t="n">
        <v>1</v>
      </c>
      <c r="U32" s="105" t="str">
        <f aca="false">IF(S32&gt;=$C$3,T32/S32,"")</f>
        <v/>
      </c>
      <c r="V32" s="104" t="n">
        <v>30</v>
      </c>
      <c r="W32" s="104" t="n">
        <v>10</v>
      </c>
      <c r="X32" s="105" t="n">
        <f aca="false">IF(V32&gt;=$C$3,W32/V32,"")</f>
        <v>0.333333333333333</v>
      </c>
      <c r="Y32" s="106" t="n">
        <f aca="false">COUNT(F32,I32,L32,O32,R32,U32,X32)</f>
        <v>6</v>
      </c>
      <c r="Z32" s="107" t="n">
        <f aca="false">IF(Y32=0,"",AVERAGE(F32,I32,L32,O32,R32,U32,X32))</f>
        <v>0.295137394358018</v>
      </c>
      <c r="AA32" s="108" t="n">
        <f aca="false">IF(ISNUMBER(Z32),C32*Z32,"")</f>
        <v>5633.91608876147</v>
      </c>
      <c r="AB32" s="108" t="n">
        <f aca="false">IFERROR(INDEX('Shortlisted Drugs X Company (7)'!$K$3:$K$698,MATCH($A32,'Shortlisted Drugs X Company (7)'!$C$3:$C$698,0)),"")</f>
        <v>646</v>
      </c>
      <c r="AC32" s="108" t="n">
        <f aca="false">IF(AND(ISNUMBER(AB32),ISNUMBER(Z32)),ROUND(AB32*Z32,0),"")</f>
        <v>191</v>
      </c>
    </row>
    <row r="33" customFormat="false" ht="15" hidden="false" customHeight="false" outlineLevel="0" collapsed="false">
      <c r="A33" s="89" t="s">
        <v>929</v>
      </c>
      <c r="B33" s="90" t="s">
        <v>3792</v>
      </c>
      <c r="C33" s="103" t="n">
        <v>433588.09</v>
      </c>
      <c r="D33" s="104" t="n">
        <v>876</v>
      </c>
      <c r="E33" s="104" t="n">
        <v>133</v>
      </c>
      <c r="F33" s="105" t="n">
        <f aca="false">IF(D33&gt;=$C$3,E33/D33,"")</f>
        <v>0.151826484018265</v>
      </c>
      <c r="G33" s="104" t="n">
        <v>150</v>
      </c>
      <c r="H33" s="104" t="n">
        <v>22</v>
      </c>
      <c r="I33" s="105" t="n">
        <f aca="false">IF(G33&gt;=$C$3,H33/G33,"")</f>
        <v>0.146666666666667</v>
      </c>
      <c r="J33" s="104" t="n">
        <v>60</v>
      </c>
      <c r="K33" s="104" t="n">
        <v>3</v>
      </c>
      <c r="L33" s="105" t="n">
        <f aca="false">IF(J33&gt;=$C$3,K33/J33,"")</f>
        <v>0.05</v>
      </c>
      <c r="M33" s="104" t="n">
        <v>117</v>
      </c>
      <c r="N33" s="104" t="n">
        <v>9</v>
      </c>
      <c r="O33" s="105" t="n">
        <f aca="false">IF(M33&gt;=$C$3,N33/M33,"")</f>
        <v>0.0769230769230769</v>
      </c>
      <c r="P33" s="104" t="n">
        <v>126</v>
      </c>
      <c r="Q33" s="104" t="n">
        <v>10</v>
      </c>
      <c r="R33" s="105" t="n">
        <f aca="false">IF(P33&gt;=$C$3,Q33/P33,"")</f>
        <v>0.0793650793650794</v>
      </c>
      <c r="S33" s="104" t="n">
        <v>98</v>
      </c>
      <c r="T33" s="104" t="n">
        <v>4</v>
      </c>
      <c r="U33" s="105" t="n">
        <f aca="false">IF(S33&gt;=$C$3,T33/S33,"")</f>
        <v>0.0408163265306122</v>
      </c>
      <c r="V33" s="104" t="n">
        <v>95</v>
      </c>
      <c r="W33" s="104" t="n">
        <v>0</v>
      </c>
      <c r="X33" s="105" t="n">
        <f aca="false">IF(V33&gt;=$C$3,W33/V33,"")</f>
        <v>0</v>
      </c>
      <c r="Y33" s="106" t="n">
        <f aca="false">COUNT(F33,I33,L33,O33,R33,U33,X33)</f>
        <v>7</v>
      </c>
      <c r="Z33" s="107" t="n">
        <f aca="false">IF(Y33=0,"",AVERAGE(F33,I33,L33,O33,R33,U33,X33))</f>
        <v>0.0779425190719572</v>
      </c>
      <c r="AA33" s="108" t="n">
        <f aca="false">IF(ISNUMBER(Z33),C33*Z33,"")</f>
        <v>33794.9479741985</v>
      </c>
      <c r="AB33" s="108" t="n">
        <f aca="false">IFERROR(INDEX('Shortlisted Drugs X Company (7)'!$K$3:$K$698,MATCH($A33,'Shortlisted Drugs X Company (7)'!$C$3:$C$698,0)),"")</f>
        <v>9172</v>
      </c>
      <c r="AC33" s="108" t="n">
        <f aca="false">IF(AND(ISNUMBER(AB33),ISNUMBER(Z33)),ROUND(AB33*Z33,0),"")</f>
        <v>715</v>
      </c>
    </row>
    <row r="34" customFormat="false" ht="15" hidden="false" customHeight="false" outlineLevel="0" collapsed="false">
      <c r="A34" s="89" t="s">
        <v>314</v>
      </c>
      <c r="B34" s="90" t="s">
        <v>3792</v>
      </c>
      <c r="C34" s="103" t="n">
        <v>52401.4</v>
      </c>
      <c r="D34" s="104" t="n">
        <v>124</v>
      </c>
      <c r="E34" s="104" t="n">
        <v>110</v>
      </c>
      <c r="F34" s="105" t="n">
        <f aca="false">IF(D34&gt;=$C$3,E34/D34,"")</f>
        <v>0.887096774193548</v>
      </c>
      <c r="G34" s="104" t="n">
        <v>25</v>
      </c>
      <c r="H34" s="104" t="n">
        <v>1</v>
      </c>
      <c r="I34" s="105" t="n">
        <f aca="false">IF(G34&gt;=$C$3,H34/G34,"")</f>
        <v>0.04</v>
      </c>
      <c r="J34" s="104" t="n">
        <v>17</v>
      </c>
      <c r="K34" s="104" t="n">
        <v>15</v>
      </c>
      <c r="L34" s="105" t="n">
        <f aca="false">IF(J34&gt;=$C$3,K34/J34,"")</f>
        <v>0.882352941176471</v>
      </c>
      <c r="M34" s="104" t="n">
        <v>3</v>
      </c>
      <c r="N34" s="104" t="n">
        <v>3</v>
      </c>
      <c r="O34" s="105" t="n">
        <f aca="false">IF(M34&gt;=$C$3,N34/M34,"")</f>
        <v>1</v>
      </c>
      <c r="P34" s="104" t="n">
        <v>30</v>
      </c>
      <c r="Q34" s="104" t="n">
        <v>13</v>
      </c>
      <c r="R34" s="105" t="n">
        <f aca="false">IF(P34&gt;=$C$3,Q34/P34,"")</f>
        <v>0.433333333333333</v>
      </c>
      <c r="S34" s="104" t="n">
        <v>6</v>
      </c>
      <c r="T34" s="104" t="n">
        <v>3</v>
      </c>
      <c r="U34" s="105" t="n">
        <f aca="false">IF(S34&gt;=$C$3,T34/S34,"")</f>
        <v>0.5</v>
      </c>
      <c r="V34" s="104" t="n">
        <v>60</v>
      </c>
      <c r="W34" s="104" t="n">
        <v>57</v>
      </c>
      <c r="X34" s="105" t="n">
        <f aca="false">IF(V34&gt;=$C$3,W34/V34,"")</f>
        <v>0.95</v>
      </c>
      <c r="Y34" s="106" t="n">
        <f aca="false">COUNT(F34,I34,L34,O34,R34,U34,X34)</f>
        <v>7</v>
      </c>
      <c r="Z34" s="107" t="n">
        <f aca="false">IF(Y34=0,"",AVERAGE(F34,I34,L34,O34,R34,U34,X34))</f>
        <v>0.670397578386193</v>
      </c>
      <c r="AA34" s="108" t="n">
        <f aca="false">IF(ISNUMBER(Z34),C34*Z34,"")</f>
        <v>35129.7716640463</v>
      </c>
      <c r="AB34" s="108" t="n">
        <f aca="false">IFERROR(INDEX('Shortlisted Drugs X Company (7)'!$K$3:$K$698,MATCH($A34,'Shortlisted Drugs X Company (7)'!$C$3:$C$698,0)),"")</f>
        <v>1393</v>
      </c>
      <c r="AC34" s="108" t="n">
        <f aca="false">IF(AND(ISNUMBER(AB34),ISNUMBER(Z34)),ROUND(AB34*Z34,0),"")</f>
        <v>934</v>
      </c>
    </row>
    <row r="35" customFormat="false" ht="15" hidden="false" customHeight="false" outlineLevel="0" collapsed="false">
      <c r="A35" s="89" t="s">
        <v>324</v>
      </c>
      <c r="B35" s="90" t="s">
        <v>3793</v>
      </c>
      <c r="C35" s="103" t="n">
        <v>2127.31</v>
      </c>
      <c r="D35" s="104" t="n">
        <v>19</v>
      </c>
      <c r="E35" s="104" t="n">
        <v>19</v>
      </c>
      <c r="F35" s="105" t="n">
        <f aca="false">IF(D35&gt;=$C$3,E35/D35,"")</f>
        <v>1</v>
      </c>
      <c r="G35" s="104" t="n">
        <v>3</v>
      </c>
      <c r="H35" s="104" t="n">
        <v>3</v>
      </c>
      <c r="I35" s="105" t="n">
        <f aca="false">IF(G35&gt;=$C$3,H35/G35,"")</f>
        <v>1</v>
      </c>
      <c r="J35" s="104" t="n">
        <v>2</v>
      </c>
      <c r="K35" s="104" t="n">
        <v>2</v>
      </c>
      <c r="L35" s="105" t="str">
        <f aca="false">IF(J35&gt;=$C$3,K35/J35,"")</f>
        <v/>
      </c>
      <c r="M35" s="104" t="n">
        <v>0</v>
      </c>
      <c r="N35" s="104" t="n">
        <v>0</v>
      </c>
      <c r="O35" s="105" t="str">
        <f aca="false">IF(M35&gt;=$C$3,N35/M35,"")</f>
        <v/>
      </c>
      <c r="P35" s="104" t="n">
        <v>0</v>
      </c>
      <c r="Q35" s="104" t="n">
        <v>0</v>
      </c>
      <c r="R35" s="105" t="str">
        <f aca="false">IF(P35&gt;=$C$3,Q35/P35,"")</f>
        <v/>
      </c>
      <c r="S35" s="104" t="n">
        <v>0</v>
      </c>
      <c r="T35" s="104" t="n">
        <v>0</v>
      </c>
      <c r="U35" s="105" t="str">
        <f aca="false">IF(S35&gt;=$C$3,T35/S35,"")</f>
        <v/>
      </c>
      <c r="V35" s="104" t="n">
        <v>13</v>
      </c>
      <c r="W35" s="104" t="n">
        <v>13</v>
      </c>
      <c r="X35" s="105" t="n">
        <f aca="false">IF(V35&gt;=$C$3,W35/V35,"")</f>
        <v>1</v>
      </c>
      <c r="Y35" s="106" t="n">
        <f aca="false">COUNT(F35,I35,L35,O35,R35,U35,X35)</f>
        <v>3</v>
      </c>
      <c r="Z35" s="107" t="n">
        <f aca="false">IF(Y35=0,"",AVERAGE(F35,I35,L35,O35,R35,U35,X35))</f>
        <v>1</v>
      </c>
      <c r="AA35" s="108" t="n">
        <f aca="false">IF(ISNUMBER(Z35),C35*Z35,"")</f>
        <v>2127.31</v>
      </c>
      <c r="AB35" s="108" t="n">
        <f aca="false">IFERROR(INDEX('Shortlisted Drugs X Company (7)'!$K$3:$K$698,MATCH($A35,'Shortlisted Drugs X Company (7)'!$C$3:$C$698,0)),"")</f>
        <v>22</v>
      </c>
      <c r="AC35" s="108" t="n">
        <f aca="false">IF(AND(ISNUMBER(AB35),ISNUMBER(Z35)),ROUND(AB35*Z35,0),"")</f>
        <v>22</v>
      </c>
    </row>
    <row r="36" customFormat="false" ht="15" hidden="false" customHeight="false" outlineLevel="0" collapsed="false">
      <c r="A36" s="89" t="s">
        <v>73</v>
      </c>
      <c r="B36" s="90" t="s">
        <v>3794</v>
      </c>
      <c r="C36" s="103" t="n">
        <v>23317.34</v>
      </c>
      <c r="D36" s="104" t="n">
        <v>363</v>
      </c>
      <c r="E36" s="104" t="n">
        <v>51</v>
      </c>
      <c r="F36" s="105" t="n">
        <f aca="false">IF(D36&gt;=$C$3,E36/D36,"")</f>
        <v>0.140495867768595</v>
      </c>
      <c r="G36" s="104" t="n">
        <v>142</v>
      </c>
      <c r="H36" s="104" t="n">
        <v>11</v>
      </c>
      <c r="I36" s="105" t="n">
        <f aca="false">IF(G36&gt;=$C$3,H36/G36,"")</f>
        <v>0.0774647887323944</v>
      </c>
      <c r="J36" s="104" t="n">
        <v>84</v>
      </c>
      <c r="K36" s="104" t="n">
        <v>4</v>
      </c>
      <c r="L36" s="105" t="n">
        <f aca="false">IF(J36&gt;=$C$3,K36/J36,"")</f>
        <v>0.0476190476190476</v>
      </c>
      <c r="M36" s="104" t="n">
        <v>107</v>
      </c>
      <c r="N36" s="104" t="n">
        <v>14</v>
      </c>
      <c r="O36" s="105" t="n">
        <f aca="false">IF(M36&gt;=$C$3,N36/M36,"")</f>
        <v>0.130841121495327</v>
      </c>
      <c r="P36" s="104" t="n">
        <v>45</v>
      </c>
      <c r="Q36" s="104" t="n">
        <v>3</v>
      </c>
      <c r="R36" s="105" t="n">
        <f aca="false">IF(P36&gt;=$C$3,Q36/P36,"")</f>
        <v>0.0666666666666667</v>
      </c>
      <c r="S36" s="104" t="n">
        <v>30</v>
      </c>
      <c r="T36" s="104" t="n">
        <v>2</v>
      </c>
      <c r="U36" s="105" t="n">
        <f aca="false">IF(S36&gt;=$C$3,T36/S36,"")</f>
        <v>0.0666666666666667</v>
      </c>
      <c r="V36" s="104" t="n">
        <v>110</v>
      </c>
      <c r="W36" s="104" t="n">
        <v>7</v>
      </c>
      <c r="X36" s="105" t="n">
        <f aca="false">IF(V36&gt;=$C$3,W36/V36,"")</f>
        <v>0.0636363636363636</v>
      </c>
      <c r="Y36" s="106" t="n">
        <f aca="false">COUNT(F36,I36,L36,O36,R36,U36,X36)</f>
        <v>7</v>
      </c>
      <c r="Z36" s="107" t="n">
        <f aca="false">IF(Y36=0,"",AVERAGE(F36,I36,L36,O36,R36,U36,X36))</f>
        <v>0.0847700746550087</v>
      </c>
      <c r="AA36" s="108" t="n">
        <f aca="false">IF(ISNUMBER(Z36),C36*Z36,"")</f>
        <v>1976.61265255622</v>
      </c>
      <c r="AB36" s="108" t="n">
        <f aca="false">IFERROR(INDEX('Shortlisted Drugs X Company (7)'!$K$3:$K$698,MATCH($A36,'Shortlisted Drugs X Company (7)'!$C$3:$C$698,0)),"")</f>
        <v>1331</v>
      </c>
      <c r="AC36" s="108" t="n">
        <f aca="false">IF(AND(ISNUMBER(AB36),ISNUMBER(Z36)),ROUND(AB36*Z36,0),"")</f>
        <v>113</v>
      </c>
    </row>
    <row r="37" customFormat="false" ht="15" hidden="false" customHeight="false" outlineLevel="0" collapsed="false">
      <c r="A37" s="89" t="s">
        <v>937</v>
      </c>
      <c r="B37" s="90" t="s">
        <v>3791</v>
      </c>
      <c r="C37" s="103" t="n">
        <v>3257.58</v>
      </c>
      <c r="D37" s="104" t="n">
        <v>48</v>
      </c>
      <c r="E37" s="104" t="n">
        <v>48</v>
      </c>
      <c r="F37" s="105" t="n">
        <f aca="false">IF(D37&gt;=$C$3,E37/D37,"")</f>
        <v>1</v>
      </c>
      <c r="G37" s="104" t="n">
        <v>7</v>
      </c>
      <c r="H37" s="104" t="n">
        <v>7</v>
      </c>
      <c r="I37" s="105" t="n">
        <f aca="false">IF(G37&gt;=$C$3,H37/G37,"")</f>
        <v>1</v>
      </c>
      <c r="J37" s="104" t="n">
        <v>0</v>
      </c>
      <c r="K37" s="104" t="n">
        <v>0</v>
      </c>
      <c r="L37" s="105" t="str">
        <f aca="false">IF(J37&gt;=$C$3,K37/J37,"")</f>
        <v/>
      </c>
      <c r="M37" s="104" t="n">
        <v>6</v>
      </c>
      <c r="N37" s="104" t="n">
        <v>6</v>
      </c>
      <c r="O37" s="105" t="n">
        <f aca="false">IF(M37&gt;=$C$3,N37/M37,"")</f>
        <v>1</v>
      </c>
      <c r="P37" s="104" t="n">
        <v>2</v>
      </c>
      <c r="Q37" s="104" t="n">
        <v>2</v>
      </c>
      <c r="R37" s="105" t="str">
        <f aca="false">IF(P37&gt;=$C$3,Q37/P37,"")</f>
        <v/>
      </c>
      <c r="S37" s="104" t="n">
        <v>0</v>
      </c>
      <c r="T37" s="104" t="n">
        <v>0</v>
      </c>
      <c r="U37" s="105" t="str">
        <f aca="false">IF(S37&gt;=$C$3,T37/S37,"")</f>
        <v/>
      </c>
      <c r="V37" s="104" t="n">
        <v>6</v>
      </c>
      <c r="W37" s="104" t="n">
        <v>6</v>
      </c>
      <c r="X37" s="105" t="n">
        <f aca="false">IF(V37&gt;=$C$3,W37/V37,"")</f>
        <v>1</v>
      </c>
      <c r="Y37" s="106" t="n">
        <f aca="false">COUNT(F37,I37,L37,O37,R37,U37,X37)</f>
        <v>4</v>
      </c>
      <c r="Z37" s="107" t="n">
        <f aca="false">IF(Y37=0,"",AVERAGE(F37,I37,L37,O37,R37,U37,X37))</f>
        <v>1</v>
      </c>
      <c r="AA37" s="108" t="n">
        <f aca="false">IF(ISNUMBER(Z37),C37*Z37,"")</f>
        <v>3257.58</v>
      </c>
      <c r="AB37" s="108" t="n">
        <f aca="false">IFERROR(INDEX('Shortlisted Drugs X Company (7)'!$K$3:$K$698,MATCH($A37,'Shortlisted Drugs X Company (7)'!$C$3:$C$698,0)),"")</f>
        <v>252</v>
      </c>
      <c r="AC37" s="108" t="n">
        <f aca="false">IF(AND(ISNUMBER(AB37),ISNUMBER(Z37)),ROUND(AB37*Z37,0),"")</f>
        <v>252</v>
      </c>
    </row>
    <row r="38" customFormat="false" ht="15" hidden="false" customHeight="false" outlineLevel="0" collapsed="false">
      <c r="A38" s="89" t="s">
        <v>940</v>
      </c>
      <c r="B38" s="90" t="s">
        <v>3795</v>
      </c>
      <c r="C38" s="103" t="n">
        <v>9295.14</v>
      </c>
      <c r="D38" s="104" t="n">
        <v>302</v>
      </c>
      <c r="E38" s="104" t="n">
        <v>235</v>
      </c>
      <c r="F38" s="105" t="n">
        <f aca="false">IF(D38&gt;=$C$3,E38/D38,"")</f>
        <v>0.778145695364238</v>
      </c>
      <c r="G38" s="104" t="n">
        <v>58</v>
      </c>
      <c r="H38" s="104" t="n">
        <v>41</v>
      </c>
      <c r="I38" s="105" t="n">
        <f aca="false">IF(G38&gt;=$C$3,H38/G38,"")</f>
        <v>0.706896551724138</v>
      </c>
      <c r="J38" s="104" t="n">
        <v>32</v>
      </c>
      <c r="K38" s="104" t="n">
        <v>28</v>
      </c>
      <c r="L38" s="105" t="n">
        <f aca="false">IF(J38&gt;=$C$3,K38/J38,"")</f>
        <v>0.875</v>
      </c>
      <c r="M38" s="104" t="n">
        <v>61</v>
      </c>
      <c r="N38" s="104" t="n">
        <v>46</v>
      </c>
      <c r="O38" s="105" t="n">
        <f aca="false">IF(M38&gt;=$C$3,N38/M38,"")</f>
        <v>0.754098360655738</v>
      </c>
      <c r="P38" s="104" t="n">
        <v>24</v>
      </c>
      <c r="Q38" s="104" t="n">
        <v>13</v>
      </c>
      <c r="R38" s="105" t="n">
        <f aca="false">IF(P38&gt;=$C$3,Q38/P38,"")</f>
        <v>0.541666666666667</v>
      </c>
      <c r="S38" s="104" t="n">
        <v>15</v>
      </c>
      <c r="T38" s="104" t="n">
        <v>13</v>
      </c>
      <c r="U38" s="105" t="n">
        <f aca="false">IF(S38&gt;=$C$3,T38/S38,"")</f>
        <v>0.866666666666667</v>
      </c>
      <c r="V38" s="104" t="n">
        <v>88</v>
      </c>
      <c r="W38" s="104" t="n">
        <v>53</v>
      </c>
      <c r="X38" s="105" t="n">
        <f aca="false">IF(V38&gt;=$C$3,W38/V38,"")</f>
        <v>0.602272727272727</v>
      </c>
      <c r="Y38" s="106" t="n">
        <f aca="false">COUNT(F38,I38,L38,O38,R38,U38,X38)</f>
        <v>7</v>
      </c>
      <c r="Z38" s="107" t="n">
        <f aca="false">IF(Y38=0,"",AVERAGE(F38,I38,L38,O38,R38,U38,X38))</f>
        <v>0.732106666907168</v>
      </c>
      <c r="AA38" s="108" t="n">
        <f aca="false">IF(ISNUMBER(Z38),C38*Z38,"")</f>
        <v>6805.03396383549</v>
      </c>
      <c r="AB38" s="108" t="n">
        <f aca="false">IFERROR(INDEX('Shortlisted Drugs X Company (7)'!$K$3:$K$698,MATCH($A38,'Shortlisted Drugs X Company (7)'!$C$3:$C$698,0)),"")</f>
        <v>976</v>
      </c>
      <c r="AC38" s="108" t="n">
        <f aca="false">IF(AND(ISNUMBER(AB38),ISNUMBER(Z38)),ROUND(AB38*Z38,0),"")</f>
        <v>715</v>
      </c>
    </row>
    <row r="39" customFormat="false" ht="15" hidden="false" customHeight="false" outlineLevel="0" collapsed="false">
      <c r="A39" s="89" t="s">
        <v>329</v>
      </c>
      <c r="B39" s="90" t="s">
        <v>3796</v>
      </c>
      <c r="C39" s="103" t="n">
        <v>50865.56</v>
      </c>
      <c r="D39" s="104" t="n">
        <v>218</v>
      </c>
      <c r="E39" s="104" t="n">
        <v>194</v>
      </c>
      <c r="F39" s="105" t="n">
        <f aca="false">IF(D39&gt;=$C$3,E39/D39,"")</f>
        <v>0.889908256880734</v>
      </c>
      <c r="G39" s="104" t="n">
        <v>24</v>
      </c>
      <c r="H39" s="104" t="n">
        <v>16</v>
      </c>
      <c r="I39" s="105" t="n">
        <f aca="false">IF(G39&gt;=$C$3,H39/G39,"")</f>
        <v>0.666666666666667</v>
      </c>
      <c r="J39" s="104" t="n">
        <v>7</v>
      </c>
      <c r="K39" s="104" t="n">
        <v>5</v>
      </c>
      <c r="L39" s="105" t="n">
        <f aca="false">IF(J39&gt;=$C$3,K39/J39,"")</f>
        <v>0.714285714285714</v>
      </c>
      <c r="M39" s="104" t="n">
        <v>22</v>
      </c>
      <c r="N39" s="104" t="n">
        <v>20</v>
      </c>
      <c r="O39" s="105" t="n">
        <f aca="false">IF(M39&gt;=$C$3,N39/M39,"")</f>
        <v>0.909090909090909</v>
      </c>
      <c r="P39" s="104" t="n">
        <v>4</v>
      </c>
      <c r="Q39" s="104" t="n">
        <v>3</v>
      </c>
      <c r="R39" s="105" t="n">
        <f aca="false">IF(P39&gt;=$C$3,Q39/P39,"")</f>
        <v>0.75</v>
      </c>
      <c r="S39" s="104" t="n">
        <v>4</v>
      </c>
      <c r="T39" s="104" t="n">
        <v>4</v>
      </c>
      <c r="U39" s="105" t="n">
        <f aca="false">IF(S39&gt;=$C$3,T39/S39,"")</f>
        <v>1</v>
      </c>
      <c r="V39" s="104" t="n">
        <v>16</v>
      </c>
      <c r="W39" s="104" t="n">
        <v>14</v>
      </c>
      <c r="X39" s="105" t="n">
        <f aca="false">IF(V39&gt;=$C$3,W39/V39,"")</f>
        <v>0.875</v>
      </c>
      <c r="Y39" s="106" t="n">
        <f aca="false">COUNT(F39,I39,L39,O39,R39,U39,X39)</f>
        <v>7</v>
      </c>
      <c r="Z39" s="107" t="n">
        <f aca="false">IF(Y39=0,"",AVERAGE(F39,I39,L39,O39,R39,U39,X39))</f>
        <v>0.829278792417718</v>
      </c>
      <c r="AA39" s="108" t="n">
        <f aca="false">IF(ISNUMBER(Z39),C39*Z39,"")</f>
        <v>42181.730172451</v>
      </c>
      <c r="AB39" s="108" t="n">
        <f aca="false">IFERROR(INDEX('Shortlisted Drugs X Company (7)'!$K$3:$K$698,MATCH($A39,'Shortlisted Drugs X Company (7)'!$C$3:$C$698,0)),"")</f>
        <v>762</v>
      </c>
      <c r="AC39" s="108" t="n">
        <f aca="false">IF(AND(ISNUMBER(AB39),ISNUMBER(Z39)),ROUND(AB39*Z39,0),"")</f>
        <v>632</v>
      </c>
    </row>
    <row r="40" customFormat="false" ht="15" hidden="false" customHeight="false" outlineLevel="0" collapsed="false">
      <c r="A40" s="89" t="s">
        <v>1295</v>
      </c>
      <c r="B40" s="90" t="s">
        <v>3797</v>
      </c>
      <c r="C40" s="103" t="n">
        <v>13738.53</v>
      </c>
      <c r="D40" s="104" t="n">
        <v>147</v>
      </c>
      <c r="E40" s="104" t="n">
        <v>52</v>
      </c>
      <c r="F40" s="105" t="n">
        <f aca="false">IF(D40&gt;=$C$3,E40/D40,"")</f>
        <v>0.353741496598639</v>
      </c>
      <c r="G40" s="104" t="n">
        <v>50</v>
      </c>
      <c r="H40" s="104" t="n">
        <v>17</v>
      </c>
      <c r="I40" s="105" t="n">
        <f aca="false">IF(G40&gt;=$C$3,H40/G40,"")</f>
        <v>0.34</v>
      </c>
      <c r="J40" s="104" t="n">
        <v>23</v>
      </c>
      <c r="K40" s="104" t="n">
        <v>7</v>
      </c>
      <c r="L40" s="105" t="n">
        <f aca="false">IF(J40&gt;=$C$3,K40/J40,"")</f>
        <v>0.304347826086957</v>
      </c>
      <c r="M40" s="104" t="n">
        <v>25</v>
      </c>
      <c r="N40" s="104" t="n">
        <v>10</v>
      </c>
      <c r="O40" s="105" t="n">
        <f aca="false">IF(M40&gt;=$C$3,N40/M40,"")</f>
        <v>0.4</v>
      </c>
      <c r="P40" s="104" t="n">
        <v>13</v>
      </c>
      <c r="Q40" s="104" t="n">
        <v>4</v>
      </c>
      <c r="R40" s="105" t="n">
        <f aca="false">IF(P40&gt;=$C$3,Q40/P40,"")</f>
        <v>0.307692307692308</v>
      </c>
      <c r="S40" s="104" t="n">
        <v>11</v>
      </c>
      <c r="T40" s="104" t="n">
        <v>7</v>
      </c>
      <c r="U40" s="105" t="n">
        <f aca="false">IF(S40&gt;=$C$3,T40/S40,"")</f>
        <v>0.636363636363636</v>
      </c>
      <c r="V40" s="104" t="n">
        <v>64</v>
      </c>
      <c r="W40" s="104" t="n">
        <v>17</v>
      </c>
      <c r="X40" s="105" t="n">
        <f aca="false">IF(V40&gt;=$C$3,W40/V40,"")</f>
        <v>0.265625</v>
      </c>
      <c r="Y40" s="106" t="n">
        <f aca="false">COUNT(F40,I40,L40,O40,R40,U40,X40)</f>
        <v>7</v>
      </c>
      <c r="Z40" s="107" t="n">
        <f aca="false">IF(Y40=0,"",AVERAGE(F40,I40,L40,O40,R40,U40,X40))</f>
        <v>0.372538609534506</v>
      </c>
      <c r="AA40" s="108" t="n">
        <f aca="false">IF(ISNUMBER(Z40),C40*Z40,"")</f>
        <v>5118.13286324809</v>
      </c>
      <c r="AB40" s="108" t="n">
        <f aca="false">IFERROR(INDEX('Shortlisted Drugs X Company (7)'!$K$3:$K$698,MATCH($A40,'Shortlisted Drugs X Company (7)'!$C$3:$C$698,0)),"")</f>
        <v>858</v>
      </c>
      <c r="AC40" s="108" t="n">
        <f aca="false">IF(AND(ISNUMBER(AB40),ISNUMBER(Z40)),ROUND(AB40*Z40,0),"")</f>
        <v>320</v>
      </c>
    </row>
    <row r="41" customFormat="false" ht="15" hidden="false" customHeight="false" outlineLevel="0" collapsed="false">
      <c r="A41" s="89" t="s">
        <v>699</v>
      </c>
      <c r="B41" s="90" t="s">
        <v>3790</v>
      </c>
      <c r="C41" s="103" t="n">
        <v>806.34</v>
      </c>
      <c r="D41" s="104" t="n">
        <v>22</v>
      </c>
      <c r="E41" s="104" t="n">
        <v>22</v>
      </c>
      <c r="F41" s="105" t="n">
        <f aca="false">IF(D41&gt;=$C$3,E41/D41,"")</f>
        <v>1</v>
      </c>
      <c r="G41" s="104" t="n">
        <v>3</v>
      </c>
      <c r="H41" s="104" t="n">
        <v>3</v>
      </c>
      <c r="I41" s="105" t="n">
        <f aca="false">IF(G41&gt;=$C$3,H41/G41,"")</f>
        <v>1</v>
      </c>
      <c r="J41" s="104" t="n">
        <v>5</v>
      </c>
      <c r="K41" s="104" t="n">
        <v>5</v>
      </c>
      <c r="L41" s="105" t="n">
        <f aca="false">IF(J41&gt;=$C$3,K41/J41,"")</f>
        <v>1</v>
      </c>
      <c r="M41" s="104" t="n">
        <v>10</v>
      </c>
      <c r="N41" s="104" t="n">
        <v>10</v>
      </c>
      <c r="O41" s="105" t="n">
        <f aca="false">IF(M41&gt;=$C$3,N41/M41,"")</f>
        <v>1</v>
      </c>
      <c r="P41" s="104" t="n">
        <v>0</v>
      </c>
      <c r="Q41" s="104" t="n">
        <v>0</v>
      </c>
      <c r="R41" s="105" t="str">
        <f aca="false">IF(P41&gt;=$C$3,Q41/P41,"")</f>
        <v/>
      </c>
      <c r="S41" s="104" t="n">
        <v>1</v>
      </c>
      <c r="T41" s="104" t="n">
        <v>1</v>
      </c>
      <c r="U41" s="105" t="str">
        <f aca="false">IF(S41&gt;=$C$3,T41/S41,"")</f>
        <v/>
      </c>
      <c r="V41" s="104" t="n">
        <v>10</v>
      </c>
      <c r="W41" s="104" t="n">
        <v>10</v>
      </c>
      <c r="X41" s="105" t="n">
        <f aca="false">IF(V41&gt;=$C$3,W41/V41,"")</f>
        <v>1</v>
      </c>
      <c r="Y41" s="106" t="n">
        <f aca="false">COUNT(F41,I41,L41,O41,R41,U41,X41)</f>
        <v>5</v>
      </c>
      <c r="Z41" s="107" t="n">
        <f aca="false">IF(Y41=0,"",AVERAGE(F41,I41,L41,O41,R41,U41,X41))</f>
        <v>1</v>
      </c>
      <c r="AA41" s="108" t="n">
        <f aca="false">IF(ISNUMBER(Z41),C41*Z41,"")</f>
        <v>806.34</v>
      </c>
      <c r="AB41" s="108" t="n">
        <f aca="false">IFERROR(INDEX('Shortlisted Drugs X Company (7)'!$K$3:$K$698,MATCH($A41,'Shortlisted Drugs X Company (7)'!$C$3:$C$698,0)),"")</f>
        <v>5</v>
      </c>
      <c r="AC41" s="108" t="n">
        <f aca="false">IF(AND(ISNUMBER(AB41),ISNUMBER(Z41)),ROUND(AB41*Z41,0),"")</f>
        <v>5</v>
      </c>
    </row>
    <row r="42" customFormat="false" ht="15" hidden="false" customHeight="false" outlineLevel="0" collapsed="false">
      <c r="A42" s="89" t="s">
        <v>615</v>
      </c>
      <c r="B42" s="90" t="s">
        <v>3796</v>
      </c>
      <c r="C42" s="103" t="n">
        <v>3973.65</v>
      </c>
      <c r="D42" s="104" t="n">
        <v>39</v>
      </c>
      <c r="E42" s="104" t="n">
        <v>39</v>
      </c>
      <c r="F42" s="105" t="n">
        <f aca="false">IF(D42&gt;=$C$3,E42/D42,"")</f>
        <v>1</v>
      </c>
      <c r="G42" s="104" t="n">
        <v>3</v>
      </c>
      <c r="H42" s="104" t="n">
        <v>3</v>
      </c>
      <c r="I42" s="105" t="n">
        <f aca="false">IF(G42&gt;=$C$3,H42/G42,"")</f>
        <v>1</v>
      </c>
      <c r="J42" s="104" t="n">
        <v>2</v>
      </c>
      <c r="K42" s="104" t="n">
        <v>2</v>
      </c>
      <c r="L42" s="105" t="str">
        <f aca="false">IF(J42&gt;=$C$3,K42/J42,"")</f>
        <v/>
      </c>
      <c r="M42" s="104" t="n">
        <v>5</v>
      </c>
      <c r="N42" s="104" t="n">
        <v>5</v>
      </c>
      <c r="O42" s="105" t="n">
        <f aca="false">IF(M42&gt;=$C$3,N42/M42,"")</f>
        <v>1</v>
      </c>
      <c r="P42" s="104" t="n">
        <v>3</v>
      </c>
      <c r="Q42" s="104" t="n">
        <v>3</v>
      </c>
      <c r="R42" s="105" t="n">
        <f aca="false">IF(P42&gt;=$C$3,Q42/P42,"")</f>
        <v>1</v>
      </c>
      <c r="S42" s="104" t="n">
        <v>0</v>
      </c>
      <c r="T42" s="104" t="n">
        <v>0</v>
      </c>
      <c r="U42" s="105" t="str">
        <f aca="false">IF(S42&gt;=$C$3,T42/S42,"")</f>
        <v/>
      </c>
      <c r="V42" s="104" t="n">
        <v>8</v>
      </c>
      <c r="W42" s="104" t="n">
        <v>8</v>
      </c>
      <c r="X42" s="105" t="n">
        <f aca="false">IF(V42&gt;=$C$3,W42/V42,"")</f>
        <v>1</v>
      </c>
      <c r="Y42" s="106" t="n">
        <f aca="false">COUNT(F42,I42,L42,O42,R42,U42,X42)</f>
        <v>5</v>
      </c>
      <c r="Z42" s="107" t="n">
        <f aca="false">IF(Y42=0,"",AVERAGE(F42,I42,L42,O42,R42,U42,X42))</f>
        <v>1</v>
      </c>
      <c r="AA42" s="108" t="n">
        <f aca="false">IF(ISNUMBER(Z42),C42*Z42,"")</f>
        <v>3973.65</v>
      </c>
      <c r="AB42" s="108" t="n">
        <f aca="false">IFERROR(INDEX('Shortlisted Drugs X Company (7)'!$K$3:$K$698,MATCH($A42,'Shortlisted Drugs X Company (7)'!$C$3:$C$698,0)),"")</f>
        <v>441</v>
      </c>
      <c r="AC42" s="108" t="n">
        <f aca="false">IF(AND(ISNUMBER(AB42),ISNUMBER(Z42)),ROUND(AB42*Z42,0),"")</f>
        <v>441</v>
      </c>
    </row>
    <row r="43" customFormat="false" ht="15" hidden="false" customHeight="false" outlineLevel="0" collapsed="false">
      <c r="A43" s="89" t="s">
        <v>338</v>
      </c>
      <c r="B43" s="90" t="s">
        <v>3796</v>
      </c>
      <c r="C43" s="103" t="n">
        <v>28093.38</v>
      </c>
      <c r="D43" s="104" t="n">
        <v>228</v>
      </c>
      <c r="E43" s="104" t="n">
        <v>228</v>
      </c>
      <c r="F43" s="105" t="n">
        <f aca="false">IF(D43&gt;=$C$3,E43/D43,"")</f>
        <v>1</v>
      </c>
      <c r="G43" s="104" t="n">
        <v>35</v>
      </c>
      <c r="H43" s="104" t="n">
        <v>35</v>
      </c>
      <c r="I43" s="105" t="n">
        <f aca="false">IF(G43&gt;=$C$3,H43/G43,"")</f>
        <v>1</v>
      </c>
      <c r="J43" s="104" t="n">
        <v>12</v>
      </c>
      <c r="K43" s="104" t="n">
        <v>12</v>
      </c>
      <c r="L43" s="105" t="n">
        <f aca="false">IF(J43&gt;=$C$3,K43/J43,"")</f>
        <v>1</v>
      </c>
      <c r="M43" s="104" t="n">
        <v>41</v>
      </c>
      <c r="N43" s="104" t="n">
        <v>41</v>
      </c>
      <c r="O43" s="105" t="n">
        <f aca="false">IF(M43&gt;=$C$3,N43/M43,"")</f>
        <v>1</v>
      </c>
      <c r="P43" s="104" t="n">
        <v>23</v>
      </c>
      <c r="Q43" s="104" t="n">
        <v>23</v>
      </c>
      <c r="R43" s="105" t="n">
        <f aca="false">IF(P43&gt;=$C$3,Q43/P43,"")</f>
        <v>1</v>
      </c>
      <c r="S43" s="104" t="n">
        <v>9</v>
      </c>
      <c r="T43" s="104" t="n">
        <v>9</v>
      </c>
      <c r="U43" s="105" t="n">
        <f aca="false">IF(S43&gt;=$C$3,T43/S43,"")</f>
        <v>1</v>
      </c>
      <c r="V43" s="104" t="n">
        <v>22</v>
      </c>
      <c r="W43" s="104" t="n">
        <v>22</v>
      </c>
      <c r="X43" s="105" t="n">
        <f aca="false">IF(V43&gt;=$C$3,W43/V43,"")</f>
        <v>1</v>
      </c>
      <c r="Y43" s="106" t="n">
        <f aca="false">COUNT(F43,I43,L43,O43,R43,U43,X43)</f>
        <v>7</v>
      </c>
      <c r="Z43" s="107" t="n">
        <f aca="false">IF(Y43=0,"",AVERAGE(F43,I43,L43,O43,R43,U43,X43))</f>
        <v>1</v>
      </c>
      <c r="AA43" s="108" t="n">
        <f aca="false">IF(ISNUMBER(Z43),C43*Z43,"")</f>
        <v>28093.38</v>
      </c>
      <c r="AB43" s="108" t="n">
        <f aca="false">IFERROR(INDEX('Shortlisted Drugs X Company (7)'!$K$3:$K$698,MATCH($A43,'Shortlisted Drugs X Company (7)'!$C$3:$C$698,0)),"")</f>
        <v>905</v>
      </c>
      <c r="AC43" s="108" t="n">
        <f aca="false">IF(AND(ISNUMBER(AB43),ISNUMBER(Z43)),ROUND(AB43*Z43,0),"")</f>
        <v>905</v>
      </c>
    </row>
    <row r="44" customFormat="false" ht="15" hidden="false" customHeight="false" outlineLevel="0" collapsed="false">
      <c r="A44" s="89" t="s">
        <v>874</v>
      </c>
      <c r="B44" s="90" t="s">
        <v>3797</v>
      </c>
      <c r="C44" s="103" t="n">
        <v>263.65</v>
      </c>
      <c r="D44" s="104" t="n">
        <v>184</v>
      </c>
      <c r="E44" s="104" t="n">
        <v>12</v>
      </c>
      <c r="F44" s="105" t="n">
        <f aca="false">IF(D44&gt;=$C$3,E44/D44,"")</f>
        <v>0.0652173913043478</v>
      </c>
      <c r="G44" s="104" t="n">
        <v>77</v>
      </c>
      <c r="H44" s="104" t="n">
        <v>2</v>
      </c>
      <c r="I44" s="105" t="n">
        <f aca="false">IF(G44&gt;=$C$3,H44/G44,"")</f>
        <v>0.025974025974026</v>
      </c>
      <c r="J44" s="104" t="n">
        <v>14</v>
      </c>
      <c r="K44" s="104" t="n">
        <v>1</v>
      </c>
      <c r="L44" s="105" t="n">
        <f aca="false">IF(J44&gt;=$C$3,K44/J44,"")</f>
        <v>0.0714285714285714</v>
      </c>
      <c r="M44" s="104" t="n">
        <v>21</v>
      </c>
      <c r="N44" s="104" t="n">
        <v>1</v>
      </c>
      <c r="O44" s="105" t="n">
        <f aca="false">IF(M44&gt;=$C$3,N44/M44,"")</f>
        <v>0.0476190476190476</v>
      </c>
      <c r="P44" s="104" t="n">
        <v>0</v>
      </c>
      <c r="Q44" s="104" t="n">
        <v>0</v>
      </c>
      <c r="R44" s="105" t="str">
        <f aca="false">IF(P44&gt;=$C$3,Q44/P44,"")</f>
        <v/>
      </c>
      <c r="S44" s="104" t="n">
        <v>5</v>
      </c>
      <c r="T44" s="104" t="n">
        <v>1</v>
      </c>
      <c r="U44" s="105" t="n">
        <f aca="false">IF(S44&gt;=$C$3,T44/S44,"")</f>
        <v>0.2</v>
      </c>
      <c r="V44" s="104" t="n">
        <v>46</v>
      </c>
      <c r="W44" s="104" t="n">
        <v>4</v>
      </c>
      <c r="X44" s="105" t="n">
        <f aca="false">IF(V44&gt;=$C$3,W44/V44,"")</f>
        <v>0.0869565217391304</v>
      </c>
      <c r="Y44" s="106" t="n">
        <f aca="false">COUNT(F44,I44,L44,O44,R44,U44,X44)</f>
        <v>6</v>
      </c>
      <c r="Z44" s="107" t="n">
        <f aca="false">IF(Y44=0,"",AVERAGE(F44,I44,L44,O44,R44,U44,X44))</f>
        <v>0.0828659263441872</v>
      </c>
      <c r="AA44" s="108" t="n">
        <f aca="false">IF(ISNUMBER(Z44),C44*Z44,"")</f>
        <v>21.847601480645</v>
      </c>
      <c r="AB44" s="108" t="n">
        <f aca="false">IFERROR(INDEX('Shortlisted Drugs X Company (7)'!$K$3:$K$698,MATCH($A44,'Shortlisted Drugs X Company (7)'!$C$3:$C$698,0)),"")</f>
        <v>45</v>
      </c>
      <c r="AC44" s="108" t="n">
        <f aca="false">IF(AND(ISNUMBER(AB44),ISNUMBER(Z44)),ROUND(AB44*Z44,0),"")</f>
        <v>4</v>
      </c>
    </row>
    <row r="45" customFormat="false" ht="15" hidden="false" customHeight="false" outlineLevel="0" collapsed="false">
      <c r="A45" s="89" t="s">
        <v>346</v>
      </c>
      <c r="B45" s="90" t="s">
        <v>3791</v>
      </c>
      <c r="C45" s="103" t="n">
        <v>16840.43</v>
      </c>
      <c r="D45" s="104" t="n">
        <v>216</v>
      </c>
      <c r="E45" s="104" t="n">
        <v>216</v>
      </c>
      <c r="F45" s="105" t="n">
        <f aca="false">IF(D45&gt;=$C$3,E45/D45,"")</f>
        <v>1</v>
      </c>
      <c r="G45" s="104" t="n">
        <v>28</v>
      </c>
      <c r="H45" s="104" t="n">
        <v>28</v>
      </c>
      <c r="I45" s="105" t="n">
        <f aca="false">IF(G45&gt;=$C$3,H45/G45,"")</f>
        <v>1</v>
      </c>
      <c r="J45" s="104" t="n">
        <v>15</v>
      </c>
      <c r="K45" s="104" t="n">
        <v>12</v>
      </c>
      <c r="L45" s="105" t="n">
        <f aca="false">IF(J45&gt;=$C$3,K45/J45,"")</f>
        <v>0.8</v>
      </c>
      <c r="M45" s="104" t="n">
        <v>28</v>
      </c>
      <c r="N45" s="104" t="n">
        <v>28</v>
      </c>
      <c r="O45" s="105" t="n">
        <f aca="false">IF(M45&gt;=$C$3,N45/M45,"")</f>
        <v>1</v>
      </c>
      <c r="P45" s="104" t="n">
        <v>10</v>
      </c>
      <c r="Q45" s="104" t="n">
        <v>10</v>
      </c>
      <c r="R45" s="105" t="n">
        <f aca="false">IF(P45&gt;=$C$3,Q45/P45,"")</f>
        <v>1</v>
      </c>
      <c r="S45" s="104" t="n">
        <v>6</v>
      </c>
      <c r="T45" s="104" t="n">
        <v>6</v>
      </c>
      <c r="U45" s="105" t="n">
        <f aca="false">IF(S45&gt;=$C$3,T45/S45,"")</f>
        <v>1</v>
      </c>
      <c r="V45" s="104" t="n">
        <v>83</v>
      </c>
      <c r="W45" s="104" t="n">
        <v>83</v>
      </c>
      <c r="X45" s="105" t="n">
        <f aca="false">IF(V45&gt;=$C$3,W45/V45,"")</f>
        <v>1</v>
      </c>
      <c r="Y45" s="106" t="n">
        <f aca="false">COUNT(F45,I45,L45,O45,R45,U45,X45)</f>
        <v>7</v>
      </c>
      <c r="Z45" s="107" t="n">
        <f aca="false">IF(Y45=0,"",AVERAGE(F45,I45,L45,O45,R45,U45,X45))</f>
        <v>0.971428571428571</v>
      </c>
      <c r="AA45" s="108" t="n">
        <f aca="false">IF(ISNUMBER(Z45),C45*Z45,"")</f>
        <v>16359.2748571429</v>
      </c>
      <c r="AB45" s="108" t="n">
        <f aca="false">IFERROR(INDEX('Shortlisted Drugs X Company (7)'!$K$3:$K$698,MATCH($A45,'Shortlisted Drugs X Company (7)'!$C$3:$C$698,0)),"")</f>
        <v>598</v>
      </c>
      <c r="AC45" s="108" t="n">
        <f aca="false">IF(AND(ISNUMBER(AB45),ISNUMBER(Z45)),ROUND(AB45*Z45,0),"")</f>
        <v>581</v>
      </c>
    </row>
    <row r="46" customFormat="false" ht="15" hidden="false" customHeight="false" outlineLevel="0" collapsed="false">
      <c r="A46" s="89" t="s">
        <v>1250</v>
      </c>
      <c r="B46" s="90" t="s">
        <v>3798</v>
      </c>
      <c r="C46" s="103" t="n">
        <v>49989.33</v>
      </c>
      <c r="D46" s="104" t="n">
        <v>623</v>
      </c>
      <c r="E46" s="104" t="n">
        <v>14</v>
      </c>
      <c r="F46" s="105" t="n">
        <f aca="false">IF(D46&gt;=$C$3,E46/D46,"")</f>
        <v>0.0224719101123596</v>
      </c>
      <c r="G46" s="104" t="n">
        <v>205</v>
      </c>
      <c r="H46" s="104" t="n">
        <v>6</v>
      </c>
      <c r="I46" s="105" t="n">
        <f aca="false">IF(G46&gt;=$C$3,H46/G46,"")</f>
        <v>0.0292682926829268</v>
      </c>
      <c r="J46" s="104" t="n">
        <v>23</v>
      </c>
      <c r="K46" s="104" t="n">
        <v>2</v>
      </c>
      <c r="L46" s="105" t="n">
        <f aca="false">IF(J46&gt;=$C$3,K46/J46,"")</f>
        <v>0.0869565217391304</v>
      </c>
      <c r="M46" s="104" t="n">
        <v>354</v>
      </c>
      <c r="N46" s="104" t="n">
        <v>1</v>
      </c>
      <c r="O46" s="105" t="n">
        <f aca="false">IF(M46&gt;=$C$3,N46/M46,"")</f>
        <v>0.00282485875706215</v>
      </c>
      <c r="P46" s="104" t="n">
        <v>122</v>
      </c>
      <c r="Q46" s="104" t="n">
        <v>4</v>
      </c>
      <c r="R46" s="105" t="n">
        <f aca="false">IF(P46&gt;=$C$3,Q46/P46,"")</f>
        <v>0.0327868852459016</v>
      </c>
      <c r="S46" s="104" t="n">
        <v>39</v>
      </c>
      <c r="T46" s="104" t="n">
        <v>5</v>
      </c>
      <c r="U46" s="105" t="n">
        <f aca="false">IF(S46&gt;=$C$3,T46/S46,"")</f>
        <v>0.128205128205128</v>
      </c>
      <c r="V46" s="104" t="n">
        <v>139</v>
      </c>
      <c r="W46" s="104" t="n">
        <v>9</v>
      </c>
      <c r="X46" s="105" t="n">
        <f aca="false">IF(V46&gt;=$C$3,W46/V46,"")</f>
        <v>0.0647482014388489</v>
      </c>
      <c r="Y46" s="106" t="n">
        <f aca="false">COUNT(F46,I46,L46,O46,R46,U46,X46)</f>
        <v>7</v>
      </c>
      <c r="Z46" s="107" t="n">
        <f aca="false">IF(Y46=0,"",AVERAGE(F46,I46,L46,O46,R46,U46,X46))</f>
        <v>0.0524659711687654</v>
      </c>
      <c r="AA46" s="108" t="n">
        <f aca="false">IF(ISNUMBER(Z46),C46*Z46,"")</f>
        <v>2622.7387465259</v>
      </c>
      <c r="AB46" s="108" t="n">
        <f aca="false">IFERROR(INDEX('Shortlisted Drugs X Company (7)'!$K$3:$K$698,MATCH($A46,'Shortlisted Drugs X Company (7)'!$C$3:$C$698,0)),"")</f>
        <v>2221</v>
      </c>
      <c r="AC46" s="108" t="n">
        <f aca="false">IF(AND(ISNUMBER(AB46),ISNUMBER(Z46)),ROUND(AB46*Z46,0),"")</f>
        <v>117</v>
      </c>
    </row>
    <row r="47" customFormat="false" ht="15" hidden="false" customHeight="false" outlineLevel="0" collapsed="false">
      <c r="A47" s="89" t="s">
        <v>278</v>
      </c>
      <c r="B47" s="90" t="s">
        <v>3799</v>
      </c>
      <c r="C47" s="103" t="n">
        <v>3954.83</v>
      </c>
      <c r="D47" s="104" t="n">
        <v>13</v>
      </c>
      <c r="E47" s="104" t="n">
        <v>13</v>
      </c>
      <c r="F47" s="105" t="n">
        <f aca="false">IF(D47&gt;=$C$3,E47/D47,"")</f>
        <v>1</v>
      </c>
      <c r="G47" s="104" t="n">
        <v>3</v>
      </c>
      <c r="H47" s="104" t="n">
        <v>2</v>
      </c>
      <c r="I47" s="105" t="n">
        <f aca="false">IF(G47&gt;=$C$3,H47/G47,"")</f>
        <v>0.666666666666667</v>
      </c>
      <c r="J47" s="104" t="n">
        <v>4</v>
      </c>
      <c r="K47" s="104" t="n">
        <v>4</v>
      </c>
      <c r="L47" s="105" t="n">
        <f aca="false">IF(J47&gt;=$C$3,K47/J47,"")</f>
        <v>1</v>
      </c>
      <c r="M47" s="104" t="n">
        <v>2</v>
      </c>
      <c r="N47" s="104" t="n">
        <v>2</v>
      </c>
      <c r="O47" s="105" t="str">
        <f aca="false">IF(M47&gt;=$C$3,N47/M47,"")</f>
        <v/>
      </c>
      <c r="P47" s="104" t="n">
        <v>0</v>
      </c>
      <c r="Q47" s="104" t="n">
        <v>0</v>
      </c>
      <c r="R47" s="105" t="str">
        <f aca="false">IF(P47&gt;=$C$3,Q47/P47,"")</f>
        <v/>
      </c>
      <c r="S47" s="104" t="n">
        <v>1</v>
      </c>
      <c r="T47" s="104" t="n">
        <v>1</v>
      </c>
      <c r="U47" s="105" t="str">
        <f aca="false">IF(S47&gt;=$C$3,T47/S47,"")</f>
        <v/>
      </c>
      <c r="V47" s="104" t="n">
        <v>15</v>
      </c>
      <c r="W47" s="104" t="n">
        <v>15</v>
      </c>
      <c r="X47" s="105" t="n">
        <f aca="false">IF(V47&gt;=$C$3,W47/V47,"")</f>
        <v>1</v>
      </c>
      <c r="Y47" s="106" t="n">
        <f aca="false">COUNT(F47,I47,L47,O47,R47,U47,X47)</f>
        <v>4</v>
      </c>
      <c r="Z47" s="107" t="n">
        <f aca="false">IF(Y47=0,"",AVERAGE(F47,I47,L47,O47,R47,U47,X47))</f>
        <v>0.916666666666667</v>
      </c>
      <c r="AA47" s="108" t="n">
        <f aca="false">IF(ISNUMBER(Z47),C47*Z47,"")</f>
        <v>3625.26083333333</v>
      </c>
      <c r="AB47" s="108" t="n">
        <f aca="false">IFERROR(INDEX('Shortlisted Drugs X Company (7)'!$K$3:$K$698,MATCH($A47,'Shortlisted Drugs X Company (7)'!$C$3:$C$698,0)),"")</f>
        <v>156</v>
      </c>
      <c r="AC47" s="108" t="n">
        <f aca="false">IF(AND(ISNUMBER(AB47),ISNUMBER(Z47)),ROUND(AB47*Z47,0),"")</f>
        <v>143</v>
      </c>
    </row>
    <row r="48" customFormat="false" ht="15" hidden="false" customHeight="false" outlineLevel="0" collapsed="false">
      <c r="A48" s="89" t="s">
        <v>1185</v>
      </c>
      <c r="B48" s="90" t="s">
        <v>3792</v>
      </c>
      <c r="C48" s="103" t="n">
        <v>1929.98</v>
      </c>
      <c r="D48" s="104" t="n">
        <v>129</v>
      </c>
      <c r="E48" s="104" t="n">
        <v>129</v>
      </c>
      <c r="F48" s="105" t="n">
        <f aca="false">IF(D48&gt;=$C$3,E48/D48,"")</f>
        <v>1</v>
      </c>
      <c r="G48" s="104" t="n">
        <v>4</v>
      </c>
      <c r="H48" s="104" t="n">
        <v>4</v>
      </c>
      <c r="I48" s="105" t="n">
        <f aca="false">IF(G48&gt;=$C$3,H48/G48,"")</f>
        <v>1</v>
      </c>
      <c r="J48" s="104" t="n">
        <v>15</v>
      </c>
      <c r="K48" s="104" t="n">
        <v>15</v>
      </c>
      <c r="L48" s="105" t="n">
        <f aca="false">IF(J48&gt;=$C$3,K48/J48,"")</f>
        <v>1</v>
      </c>
      <c r="M48" s="104" t="n">
        <v>19</v>
      </c>
      <c r="N48" s="104" t="n">
        <v>19</v>
      </c>
      <c r="O48" s="105" t="n">
        <f aca="false">IF(M48&gt;=$C$3,N48/M48,"")</f>
        <v>1</v>
      </c>
      <c r="P48" s="104" t="n">
        <v>16</v>
      </c>
      <c r="Q48" s="104" t="n">
        <v>16</v>
      </c>
      <c r="R48" s="105" t="n">
        <f aca="false">IF(P48&gt;=$C$3,Q48/P48,"")</f>
        <v>1</v>
      </c>
      <c r="S48" s="104" t="n">
        <v>3</v>
      </c>
      <c r="T48" s="104" t="n">
        <v>3</v>
      </c>
      <c r="U48" s="105" t="n">
        <f aca="false">IF(S48&gt;=$C$3,T48/S48,"")</f>
        <v>1</v>
      </c>
      <c r="V48" s="104" t="n">
        <v>30</v>
      </c>
      <c r="W48" s="104" t="n">
        <v>30</v>
      </c>
      <c r="X48" s="105" t="n">
        <f aca="false">IF(V48&gt;=$C$3,W48/V48,"")</f>
        <v>1</v>
      </c>
      <c r="Y48" s="106" t="n">
        <f aca="false">COUNT(F48,I48,L48,O48,R48,U48,X48)</f>
        <v>7</v>
      </c>
      <c r="Z48" s="107" t="n">
        <f aca="false">IF(Y48=0,"",AVERAGE(F48,I48,L48,O48,R48,U48,X48))</f>
        <v>1</v>
      </c>
      <c r="AA48" s="108" t="n">
        <f aca="false">IF(ISNUMBER(Z48),C48*Z48,"")</f>
        <v>1929.98</v>
      </c>
      <c r="AB48" s="108" t="n">
        <f aca="false">IFERROR(INDEX('Shortlisted Drugs X Company (7)'!$K$3:$K$698,MATCH($A48,'Shortlisted Drugs X Company (7)'!$C$3:$C$698,0)),"")</f>
        <v>93</v>
      </c>
      <c r="AC48" s="108" t="n">
        <f aca="false">IF(AND(ISNUMBER(AB48),ISNUMBER(Z48)),ROUND(AB48*Z48,0),"")</f>
        <v>93</v>
      </c>
    </row>
    <row r="49" customFormat="false" ht="15" hidden="false" customHeight="false" outlineLevel="0" collapsed="false">
      <c r="A49" s="89" t="s">
        <v>355</v>
      </c>
      <c r="B49" s="90" t="s">
        <v>3792</v>
      </c>
      <c r="C49" s="103" t="n">
        <v>6348.25</v>
      </c>
      <c r="D49" s="104" t="n">
        <v>97</v>
      </c>
      <c r="E49" s="104" t="n">
        <v>97</v>
      </c>
      <c r="F49" s="105" t="n">
        <f aca="false">IF(D49&gt;=$C$3,E49/D49,"")</f>
        <v>1</v>
      </c>
      <c r="G49" s="104" t="n">
        <v>3</v>
      </c>
      <c r="H49" s="104" t="n">
        <v>3</v>
      </c>
      <c r="I49" s="105" t="n">
        <f aca="false">IF(G49&gt;=$C$3,H49/G49,"")</f>
        <v>1</v>
      </c>
      <c r="J49" s="104" t="n">
        <v>3</v>
      </c>
      <c r="K49" s="104" t="n">
        <v>3</v>
      </c>
      <c r="L49" s="105" t="n">
        <f aca="false">IF(J49&gt;=$C$3,K49/J49,"")</f>
        <v>1</v>
      </c>
      <c r="M49" s="104" t="n">
        <v>11</v>
      </c>
      <c r="N49" s="104" t="n">
        <v>11</v>
      </c>
      <c r="O49" s="105" t="n">
        <f aca="false">IF(M49&gt;=$C$3,N49/M49,"")</f>
        <v>1</v>
      </c>
      <c r="P49" s="104" t="n">
        <v>17</v>
      </c>
      <c r="Q49" s="104" t="n">
        <v>16</v>
      </c>
      <c r="R49" s="105" t="n">
        <f aca="false">IF(P49&gt;=$C$3,Q49/P49,"")</f>
        <v>0.941176470588235</v>
      </c>
      <c r="S49" s="104" t="n">
        <v>9</v>
      </c>
      <c r="T49" s="104" t="n">
        <v>9</v>
      </c>
      <c r="U49" s="105" t="n">
        <f aca="false">IF(S49&gt;=$C$3,T49/S49,"")</f>
        <v>1</v>
      </c>
      <c r="V49" s="104" t="n">
        <v>12</v>
      </c>
      <c r="W49" s="104" t="n">
        <v>12</v>
      </c>
      <c r="X49" s="105" t="n">
        <f aca="false">IF(V49&gt;=$C$3,W49/V49,"")</f>
        <v>1</v>
      </c>
      <c r="Y49" s="106" t="n">
        <f aca="false">COUNT(F49,I49,L49,O49,R49,U49,X49)</f>
        <v>7</v>
      </c>
      <c r="Z49" s="107" t="n">
        <f aca="false">IF(Y49=0,"",AVERAGE(F49,I49,L49,O49,R49,U49,X49))</f>
        <v>0.991596638655462</v>
      </c>
      <c r="AA49" s="108" t="n">
        <f aca="false">IF(ISNUMBER(Z49),C49*Z49,"")</f>
        <v>6294.90336134454</v>
      </c>
      <c r="AB49" s="108" t="n">
        <f aca="false">IFERROR(INDEX('Shortlisted Drugs X Company (7)'!$K$3:$K$698,MATCH($A49,'Shortlisted Drugs X Company (7)'!$C$3:$C$698,0)),"")</f>
        <v>290</v>
      </c>
      <c r="AC49" s="108" t="n">
        <f aca="false">IF(AND(ISNUMBER(AB49),ISNUMBER(Z49)),ROUND(AB49*Z49,0),"")</f>
        <v>288</v>
      </c>
    </row>
    <row r="50" customFormat="false" ht="15" hidden="false" customHeight="false" outlineLevel="0" collapsed="false">
      <c r="A50" s="89" t="s">
        <v>362</v>
      </c>
      <c r="B50" s="90" t="s">
        <v>3792</v>
      </c>
      <c r="C50" s="103" t="n">
        <v>5713.56</v>
      </c>
      <c r="D50" s="104" t="n">
        <v>174</v>
      </c>
      <c r="E50" s="104" t="n">
        <v>174</v>
      </c>
      <c r="F50" s="105" t="n">
        <f aca="false">IF(D50&gt;=$C$3,E50/D50,"")</f>
        <v>1</v>
      </c>
      <c r="G50" s="104" t="n">
        <v>30</v>
      </c>
      <c r="H50" s="104" t="n">
        <v>30</v>
      </c>
      <c r="I50" s="105" t="n">
        <f aca="false">IF(G50&gt;=$C$3,H50/G50,"")</f>
        <v>1</v>
      </c>
      <c r="J50" s="104" t="n">
        <v>6</v>
      </c>
      <c r="K50" s="104" t="n">
        <v>6</v>
      </c>
      <c r="L50" s="105" t="n">
        <f aca="false">IF(J50&gt;=$C$3,K50/J50,"")</f>
        <v>1</v>
      </c>
      <c r="M50" s="104" t="n">
        <v>18</v>
      </c>
      <c r="N50" s="104" t="n">
        <v>18</v>
      </c>
      <c r="O50" s="105" t="n">
        <f aca="false">IF(M50&gt;=$C$3,N50/M50,"")</f>
        <v>1</v>
      </c>
      <c r="P50" s="104" t="n">
        <v>16</v>
      </c>
      <c r="Q50" s="104" t="n">
        <v>16</v>
      </c>
      <c r="R50" s="105" t="n">
        <f aca="false">IF(P50&gt;=$C$3,Q50/P50,"")</f>
        <v>1</v>
      </c>
      <c r="S50" s="104" t="n">
        <v>11</v>
      </c>
      <c r="T50" s="104" t="n">
        <v>11</v>
      </c>
      <c r="U50" s="105" t="n">
        <f aca="false">IF(S50&gt;=$C$3,T50/S50,"")</f>
        <v>1</v>
      </c>
      <c r="V50" s="104" t="n">
        <v>7</v>
      </c>
      <c r="W50" s="104" t="n">
        <v>7</v>
      </c>
      <c r="X50" s="105" t="n">
        <f aca="false">IF(V50&gt;=$C$3,W50/V50,"")</f>
        <v>1</v>
      </c>
      <c r="Y50" s="106" t="n">
        <f aca="false">COUNT(F50,I50,L50,O50,R50,U50,X50)</f>
        <v>7</v>
      </c>
      <c r="Z50" s="107" t="n">
        <f aca="false">IF(Y50=0,"",AVERAGE(F50,I50,L50,O50,R50,U50,X50))</f>
        <v>1</v>
      </c>
      <c r="AA50" s="108" t="n">
        <f aca="false">IF(ISNUMBER(Z50),C50*Z50,"")</f>
        <v>5713.56</v>
      </c>
      <c r="AB50" s="108" t="n">
        <f aca="false">IFERROR(INDEX('Shortlisted Drugs X Company (7)'!$K$3:$K$698,MATCH($A50,'Shortlisted Drugs X Company (7)'!$C$3:$C$698,0)),"")</f>
        <v>335</v>
      </c>
      <c r="AC50" s="108" t="n">
        <f aca="false">IF(AND(ISNUMBER(AB50),ISNUMBER(Z50)),ROUND(AB50*Z50,0),"")</f>
        <v>335</v>
      </c>
    </row>
    <row r="51" customFormat="false" ht="15" hidden="false" customHeight="false" outlineLevel="0" collapsed="false">
      <c r="A51" s="89" t="s">
        <v>76</v>
      </c>
      <c r="B51" s="90" t="s">
        <v>3792</v>
      </c>
      <c r="C51" s="103" t="n">
        <v>93119.22</v>
      </c>
      <c r="D51" s="104" t="n">
        <v>277</v>
      </c>
      <c r="E51" s="104" t="n">
        <v>277</v>
      </c>
      <c r="F51" s="105" t="n">
        <f aca="false">IF(D51&gt;=$C$3,E51/D51,"")</f>
        <v>1</v>
      </c>
      <c r="G51" s="104" t="n">
        <v>35</v>
      </c>
      <c r="H51" s="104" t="n">
        <v>35</v>
      </c>
      <c r="I51" s="105" t="n">
        <f aca="false">IF(G51&gt;=$C$3,H51/G51,"")</f>
        <v>1</v>
      </c>
      <c r="J51" s="104" t="n">
        <v>13</v>
      </c>
      <c r="K51" s="104" t="n">
        <v>13</v>
      </c>
      <c r="L51" s="105" t="n">
        <f aca="false">IF(J51&gt;=$C$3,K51/J51,"")</f>
        <v>1</v>
      </c>
      <c r="M51" s="104" t="n">
        <v>18</v>
      </c>
      <c r="N51" s="104" t="n">
        <v>18</v>
      </c>
      <c r="O51" s="105" t="n">
        <f aca="false">IF(M51&gt;=$C$3,N51/M51,"")</f>
        <v>1</v>
      </c>
      <c r="P51" s="104" t="n">
        <v>59</v>
      </c>
      <c r="Q51" s="104" t="n">
        <v>59</v>
      </c>
      <c r="R51" s="105" t="n">
        <f aca="false">IF(P51&gt;=$C$3,Q51/P51,"")</f>
        <v>1</v>
      </c>
      <c r="S51" s="104" t="n">
        <v>37</v>
      </c>
      <c r="T51" s="104" t="n">
        <v>37</v>
      </c>
      <c r="U51" s="105" t="n">
        <f aca="false">IF(S51&gt;=$C$3,T51/S51,"")</f>
        <v>1</v>
      </c>
      <c r="V51" s="104" t="n">
        <v>26</v>
      </c>
      <c r="W51" s="104" t="n">
        <v>26</v>
      </c>
      <c r="X51" s="105" t="n">
        <f aca="false">IF(V51&gt;=$C$3,W51/V51,"")</f>
        <v>1</v>
      </c>
      <c r="Y51" s="106" t="n">
        <f aca="false">COUNT(F51,I51,L51,O51,R51,U51,X51)</f>
        <v>7</v>
      </c>
      <c r="Z51" s="107" t="n">
        <f aca="false">IF(Y51=0,"",AVERAGE(F51,I51,L51,O51,R51,U51,X51))</f>
        <v>1</v>
      </c>
      <c r="AA51" s="108" t="n">
        <f aca="false">IF(ISNUMBER(Z51),C51*Z51,"")</f>
        <v>93119.22</v>
      </c>
      <c r="AB51" s="108" t="n">
        <f aca="false">IFERROR(INDEX('Shortlisted Drugs X Company (7)'!$K$3:$K$698,MATCH($A51,'Shortlisted Drugs X Company (7)'!$C$3:$C$698,0)),"")</f>
        <v>3110</v>
      </c>
      <c r="AC51" s="108" t="n">
        <f aca="false">IF(AND(ISNUMBER(AB51),ISNUMBER(Z51)),ROUND(AB51*Z51,0),"")</f>
        <v>3110</v>
      </c>
    </row>
    <row r="52" customFormat="false" ht="15" hidden="false" customHeight="false" outlineLevel="0" collapsed="false">
      <c r="A52" s="89" t="s">
        <v>1337</v>
      </c>
      <c r="B52" s="90" t="s">
        <v>3800</v>
      </c>
      <c r="C52" s="103" t="n">
        <v>3589.61</v>
      </c>
      <c r="D52" s="104" t="n">
        <v>0</v>
      </c>
      <c r="E52" s="104" t="n">
        <v>0</v>
      </c>
      <c r="F52" s="105" t="str">
        <f aca="false">IF(D52&gt;=$C$3,E52/D52,"")</f>
        <v/>
      </c>
      <c r="G52" s="104" t="n">
        <v>0</v>
      </c>
      <c r="H52" s="104" t="n">
        <v>0</v>
      </c>
      <c r="I52" s="105" t="str">
        <f aca="false">IF(G52&gt;=$C$3,H52/G52,"")</f>
        <v/>
      </c>
      <c r="J52" s="104" t="n">
        <v>0</v>
      </c>
      <c r="K52" s="104" t="n">
        <v>0</v>
      </c>
      <c r="L52" s="105" t="str">
        <f aca="false">IF(J52&gt;=$C$3,K52/J52,"")</f>
        <v/>
      </c>
      <c r="M52" s="104" t="n">
        <v>0</v>
      </c>
      <c r="N52" s="104" t="n">
        <v>0</v>
      </c>
      <c r="O52" s="105" t="str">
        <f aca="false">IF(M52&gt;=$C$3,N52/M52,"")</f>
        <v/>
      </c>
      <c r="P52" s="104" t="n">
        <v>0</v>
      </c>
      <c r="Q52" s="104" t="n">
        <v>0</v>
      </c>
      <c r="R52" s="105" t="str">
        <f aca="false">IF(P52&gt;=$C$3,Q52/P52,"")</f>
        <v/>
      </c>
      <c r="S52" s="104" t="n">
        <v>0</v>
      </c>
      <c r="T52" s="104" t="n">
        <v>0</v>
      </c>
      <c r="U52" s="105" t="str">
        <f aca="false">IF(S52&gt;=$C$3,T52/S52,"")</f>
        <v/>
      </c>
      <c r="V52" s="104" t="n">
        <v>6</v>
      </c>
      <c r="W52" s="104" t="n">
        <v>5</v>
      </c>
      <c r="X52" s="105" t="n">
        <f aca="false">IF(V52&gt;=$C$3,W52/V52,"")</f>
        <v>0.833333333333333</v>
      </c>
      <c r="Y52" s="106" t="n">
        <f aca="false">COUNT(F52,I52,L52,O52,R52,U52,X52)</f>
        <v>1</v>
      </c>
      <c r="Z52" s="107" t="n">
        <f aca="false">IF(Y52=0,"",AVERAGE(F52,I52,L52,O52,R52,U52,X52))</f>
        <v>0.833333333333333</v>
      </c>
      <c r="AA52" s="108" t="n">
        <f aca="false">IF(ISNUMBER(Z52),C52*Z52,"")</f>
        <v>2991.34166666667</v>
      </c>
      <c r="AB52" s="108" t="n">
        <f aca="false">IFERROR(INDEX('Shortlisted Drugs X Company (7)'!$K$3:$K$698,MATCH($A52,'Shortlisted Drugs X Company (7)'!$C$3:$C$698,0)),"")</f>
        <v>15</v>
      </c>
      <c r="AC52" s="108" t="n">
        <f aca="false">IF(AND(ISNUMBER(AB52),ISNUMBER(Z52)),ROUND(AB52*Z52,0),"")</f>
        <v>13</v>
      </c>
    </row>
    <row r="53" customFormat="false" ht="15" hidden="false" customHeight="false" outlineLevel="0" collapsed="false">
      <c r="A53" s="89" t="s">
        <v>1428</v>
      </c>
      <c r="B53" s="90" t="s">
        <v>3801</v>
      </c>
      <c r="C53" s="103" t="n">
        <v>7691.34</v>
      </c>
      <c r="D53" s="104" t="n">
        <v>201</v>
      </c>
      <c r="E53" s="104" t="n">
        <v>6</v>
      </c>
      <c r="F53" s="105" t="n">
        <f aca="false">IF(D53&gt;=$C$3,E53/D53,"")</f>
        <v>0.0298507462686567</v>
      </c>
      <c r="G53" s="104" t="n">
        <v>36</v>
      </c>
      <c r="H53" s="104" t="n">
        <v>4</v>
      </c>
      <c r="I53" s="105" t="n">
        <f aca="false">IF(G53&gt;=$C$3,H53/G53,"")</f>
        <v>0.111111111111111</v>
      </c>
      <c r="J53" s="104" t="n">
        <v>38</v>
      </c>
      <c r="K53" s="104" t="n">
        <v>0</v>
      </c>
      <c r="L53" s="105" t="n">
        <f aca="false">IF(J53&gt;=$C$3,K53/J53,"")</f>
        <v>0</v>
      </c>
      <c r="M53" s="104" t="n">
        <v>101</v>
      </c>
      <c r="N53" s="104" t="n">
        <v>0</v>
      </c>
      <c r="O53" s="105" t="n">
        <f aca="false">IF(M53&gt;=$C$3,N53/M53,"")</f>
        <v>0</v>
      </c>
      <c r="P53" s="104" t="n">
        <v>72</v>
      </c>
      <c r="Q53" s="104" t="n">
        <v>0</v>
      </c>
      <c r="R53" s="105" t="n">
        <f aca="false">IF(P53&gt;=$C$3,Q53/P53,"")</f>
        <v>0</v>
      </c>
      <c r="S53" s="104" t="n">
        <v>14</v>
      </c>
      <c r="T53" s="104" t="n">
        <v>0</v>
      </c>
      <c r="U53" s="105" t="n">
        <f aca="false">IF(S53&gt;=$C$3,T53/S53,"")</f>
        <v>0</v>
      </c>
      <c r="V53" s="104" t="n">
        <v>118</v>
      </c>
      <c r="W53" s="104" t="n">
        <v>0</v>
      </c>
      <c r="X53" s="105" t="n">
        <f aca="false">IF(V53&gt;=$C$3,W53/V53,"")</f>
        <v>0</v>
      </c>
      <c r="Y53" s="106" t="n">
        <f aca="false">COUNT(F53,I53,L53,O53,R53,U53,X53)</f>
        <v>7</v>
      </c>
      <c r="Z53" s="107" t="n">
        <f aca="false">IF(Y53=0,"",AVERAGE(F53,I53,L53,O53,R53,U53,X53))</f>
        <v>0.0201374081971097</v>
      </c>
      <c r="AA53" s="108" t="n">
        <f aca="false">IF(ISNUMBER(Z53),C53*Z53,"")</f>
        <v>154.883653162758</v>
      </c>
      <c r="AB53" s="108" t="n">
        <f aca="false">IFERROR(INDEX('Shortlisted Drugs X Company (7)'!$K$3:$K$698,MATCH($A53,'Shortlisted Drugs X Company (7)'!$C$3:$C$698,0)),"")</f>
        <v>435</v>
      </c>
      <c r="AC53" s="108" t="n">
        <f aca="false">IF(AND(ISNUMBER(AB53),ISNUMBER(Z53)),ROUND(AB53*Z53,0),"")</f>
        <v>9</v>
      </c>
    </row>
    <row r="54" customFormat="false" ht="15" hidden="false" customHeight="false" outlineLevel="0" collapsed="false">
      <c r="A54" s="89" t="s">
        <v>375</v>
      </c>
      <c r="B54" s="90" t="s">
        <v>3794</v>
      </c>
      <c r="C54" s="103" t="n">
        <v>7831.08</v>
      </c>
      <c r="D54" s="104" t="n">
        <v>24</v>
      </c>
      <c r="E54" s="104" t="n">
        <v>6</v>
      </c>
      <c r="F54" s="105" t="n">
        <f aca="false">IF(D54&gt;=$C$3,E54/D54,"")</f>
        <v>0.25</v>
      </c>
      <c r="G54" s="104" t="n">
        <v>21</v>
      </c>
      <c r="H54" s="104" t="n">
        <v>0</v>
      </c>
      <c r="I54" s="105" t="n">
        <f aca="false">IF(G54&gt;=$C$3,H54/G54,"")</f>
        <v>0</v>
      </c>
      <c r="J54" s="104" t="n">
        <v>3</v>
      </c>
      <c r="K54" s="104" t="n">
        <v>0</v>
      </c>
      <c r="L54" s="105" t="n">
        <f aca="false">IF(J54&gt;=$C$3,K54/J54,"")</f>
        <v>0</v>
      </c>
      <c r="M54" s="104" t="n">
        <v>4</v>
      </c>
      <c r="N54" s="104" t="n">
        <v>1</v>
      </c>
      <c r="O54" s="105" t="n">
        <f aca="false">IF(M54&gt;=$C$3,N54/M54,"")</f>
        <v>0.25</v>
      </c>
      <c r="P54" s="104" t="n">
        <v>5</v>
      </c>
      <c r="Q54" s="104" t="n">
        <v>2</v>
      </c>
      <c r="R54" s="105" t="n">
        <f aca="false">IF(P54&gt;=$C$3,Q54/P54,"")</f>
        <v>0.4</v>
      </c>
      <c r="S54" s="104" t="n">
        <v>0</v>
      </c>
      <c r="T54" s="104" t="n">
        <v>0</v>
      </c>
      <c r="U54" s="105" t="str">
        <f aca="false">IF(S54&gt;=$C$3,T54/S54,"")</f>
        <v/>
      </c>
      <c r="V54" s="104" t="n">
        <v>64</v>
      </c>
      <c r="W54" s="104" t="n">
        <v>9</v>
      </c>
      <c r="X54" s="105" t="n">
        <f aca="false">IF(V54&gt;=$C$3,W54/V54,"")</f>
        <v>0.140625</v>
      </c>
      <c r="Y54" s="106" t="n">
        <f aca="false">COUNT(F54,I54,L54,O54,R54,U54,X54)</f>
        <v>6</v>
      </c>
      <c r="Z54" s="107" t="n">
        <f aca="false">IF(Y54=0,"",AVERAGE(F54,I54,L54,O54,R54,U54,X54))</f>
        <v>0.1734375</v>
      </c>
      <c r="AA54" s="108" t="n">
        <f aca="false">IF(ISNUMBER(Z54),C54*Z54,"")</f>
        <v>1358.2029375</v>
      </c>
      <c r="AB54" s="108" t="n">
        <f aca="false">IFERROR(INDEX('Shortlisted Drugs X Company (7)'!$K$3:$K$698,MATCH($A54,'Shortlisted Drugs X Company (7)'!$C$3:$C$698,0)),"")</f>
        <v>472</v>
      </c>
      <c r="AC54" s="108" t="n">
        <f aca="false">IF(AND(ISNUMBER(AB54),ISNUMBER(Z54)),ROUND(AB54*Z54,0),"")</f>
        <v>82</v>
      </c>
    </row>
    <row r="55" customFormat="false" ht="15" hidden="false" customHeight="false" outlineLevel="0" collapsed="false">
      <c r="A55" s="89" t="s">
        <v>967</v>
      </c>
      <c r="B55" s="90" t="s">
        <v>3791</v>
      </c>
      <c r="C55" s="103" t="n">
        <v>2508.09</v>
      </c>
      <c r="D55" s="104" t="n">
        <v>96</v>
      </c>
      <c r="E55" s="104" t="n">
        <v>96</v>
      </c>
      <c r="F55" s="105" t="n">
        <f aca="false">IF(D55&gt;=$C$3,E55/D55,"")</f>
        <v>1</v>
      </c>
      <c r="G55" s="104" t="n">
        <v>15</v>
      </c>
      <c r="H55" s="104" t="n">
        <v>15</v>
      </c>
      <c r="I55" s="105" t="n">
        <f aca="false">IF(G55&gt;=$C$3,H55/G55,"")</f>
        <v>1</v>
      </c>
      <c r="J55" s="104" t="n">
        <v>2</v>
      </c>
      <c r="K55" s="104" t="n">
        <v>2</v>
      </c>
      <c r="L55" s="105" t="str">
        <f aca="false">IF(J55&gt;=$C$3,K55/J55,"")</f>
        <v/>
      </c>
      <c r="M55" s="104" t="n">
        <v>35</v>
      </c>
      <c r="N55" s="104" t="n">
        <v>35</v>
      </c>
      <c r="O55" s="105" t="n">
        <f aca="false">IF(M55&gt;=$C$3,N55/M55,"")</f>
        <v>1</v>
      </c>
      <c r="P55" s="104" t="n">
        <v>11</v>
      </c>
      <c r="Q55" s="104" t="n">
        <v>11</v>
      </c>
      <c r="R55" s="105" t="n">
        <f aca="false">IF(P55&gt;=$C$3,Q55/P55,"")</f>
        <v>1</v>
      </c>
      <c r="S55" s="104" t="n">
        <v>7</v>
      </c>
      <c r="T55" s="104" t="n">
        <v>7</v>
      </c>
      <c r="U55" s="105" t="n">
        <f aca="false">IF(S55&gt;=$C$3,T55/S55,"")</f>
        <v>1</v>
      </c>
      <c r="V55" s="104" t="n">
        <v>33</v>
      </c>
      <c r="W55" s="104" t="n">
        <v>33</v>
      </c>
      <c r="X55" s="105" t="n">
        <f aca="false">IF(V55&gt;=$C$3,W55/V55,"")</f>
        <v>1</v>
      </c>
      <c r="Y55" s="106" t="n">
        <f aca="false">COUNT(F55,I55,L55,O55,R55,U55,X55)</f>
        <v>6</v>
      </c>
      <c r="Z55" s="107" t="n">
        <f aca="false">IF(Y55=0,"",AVERAGE(F55,I55,L55,O55,R55,U55,X55))</f>
        <v>1</v>
      </c>
      <c r="AA55" s="108" t="n">
        <f aca="false">IF(ISNUMBER(Z55),C55*Z55,"")</f>
        <v>2508.09</v>
      </c>
      <c r="AB55" s="108" t="n">
        <f aca="false">IFERROR(INDEX('Shortlisted Drugs X Company (7)'!$K$3:$K$698,MATCH($A55,'Shortlisted Drugs X Company (7)'!$C$3:$C$698,0)),"")</f>
        <v>117</v>
      </c>
      <c r="AC55" s="108" t="n">
        <f aca="false">IF(AND(ISNUMBER(AB55),ISNUMBER(Z55)),ROUND(AB55*Z55,0),"")</f>
        <v>117</v>
      </c>
    </row>
    <row r="56" customFormat="false" ht="15" hidden="false" customHeight="false" outlineLevel="0" collapsed="false">
      <c r="A56" s="89" t="s">
        <v>790</v>
      </c>
      <c r="B56" s="90" t="s">
        <v>3792</v>
      </c>
      <c r="C56" s="103" t="n">
        <v>3010.2</v>
      </c>
      <c r="D56" s="104" t="n">
        <v>131</v>
      </c>
      <c r="E56" s="104" t="n">
        <v>101</v>
      </c>
      <c r="F56" s="105" t="n">
        <f aca="false">IF(D56&gt;=$C$3,E56/D56,"")</f>
        <v>0.770992366412214</v>
      </c>
      <c r="G56" s="104" t="n">
        <v>19</v>
      </c>
      <c r="H56" s="104" t="n">
        <v>9</v>
      </c>
      <c r="I56" s="105" t="n">
        <f aca="false">IF(G56&gt;=$C$3,H56/G56,"")</f>
        <v>0.473684210526316</v>
      </c>
      <c r="J56" s="104" t="n">
        <v>4</v>
      </c>
      <c r="K56" s="104" t="n">
        <v>4</v>
      </c>
      <c r="L56" s="105" t="n">
        <f aca="false">IF(J56&gt;=$C$3,K56/J56,"")</f>
        <v>1</v>
      </c>
      <c r="M56" s="104" t="n">
        <v>3</v>
      </c>
      <c r="N56" s="104" t="n">
        <v>1</v>
      </c>
      <c r="O56" s="105" t="n">
        <f aca="false">IF(M56&gt;=$C$3,N56/M56,"")</f>
        <v>0.333333333333333</v>
      </c>
      <c r="P56" s="104" t="n">
        <v>0</v>
      </c>
      <c r="Q56" s="104" t="n">
        <v>0</v>
      </c>
      <c r="R56" s="105" t="str">
        <f aca="false">IF(P56&gt;=$C$3,Q56/P56,"")</f>
        <v/>
      </c>
      <c r="S56" s="104" t="n">
        <v>2</v>
      </c>
      <c r="T56" s="104" t="n">
        <v>2</v>
      </c>
      <c r="U56" s="105" t="str">
        <f aca="false">IF(S56&gt;=$C$3,T56/S56,"")</f>
        <v/>
      </c>
      <c r="V56" s="104" t="n">
        <v>5</v>
      </c>
      <c r="W56" s="104" t="n">
        <v>4</v>
      </c>
      <c r="X56" s="105" t="n">
        <f aca="false">IF(V56&gt;=$C$3,W56/V56,"")</f>
        <v>0.8</v>
      </c>
      <c r="Y56" s="106" t="n">
        <f aca="false">COUNT(F56,I56,L56,O56,R56,U56,X56)</f>
        <v>5</v>
      </c>
      <c r="Z56" s="107" t="n">
        <f aca="false">IF(Y56=0,"",AVERAGE(F56,I56,L56,O56,R56,U56,X56))</f>
        <v>0.675601982054373</v>
      </c>
      <c r="AA56" s="108" t="n">
        <f aca="false">IF(ISNUMBER(Z56),C56*Z56,"")</f>
        <v>2033.69708638007</v>
      </c>
      <c r="AB56" s="108" t="n">
        <f aca="false">IFERROR(INDEX('Shortlisted Drugs X Company (7)'!$K$3:$K$698,MATCH($A56,'Shortlisted Drugs X Company (7)'!$C$3:$C$698,0)),"")</f>
        <v>123</v>
      </c>
      <c r="AC56" s="108" t="n">
        <f aca="false">IF(AND(ISNUMBER(AB56),ISNUMBER(Z56)),ROUND(AB56*Z56,0),"")</f>
        <v>83</v>
      </c>
    </row>
    <row r="57" customFormat="false" ht="15" hidden="false" customHeight="false" outlineLevel="0" collapsed="false">
      <c r="A57" s="89" t="s">
        <v>881</v>
      </c>
      <c r="B57" s="90" t="s">
        <v>3793</v>
      </c>
      <c r="C57" s="103" t="n">
        <v>8796.85</v>
      </c>
      <c r="D57" s="104" t="n">
        <v>356</v>
      </c>
      <c r="E57" s="104" t="n">
        <v>166</v>
      </c>
      <c r="F57" s="105" t="n">
        <f aca="false">IF(D57&gt;=$C$3,E57/D57,"")</f>
        <v>0.466292134831461</v>
      </c>
      <c r="G57" s="104" t="n">
        <v>16</v>
      </c>
      <c r="H57" s="104" t="n">
        <v>5</v>
      </c>
      <c r="I57" s="105" t="n">
        <f aca="false">IF(G57&gt;=$C$3,H57/G57,"")</f>
        <v>0.3125</v>
      </c>
      <c r="J57" s="104" t="n">
        <v>4</v>
      </c>
      <c r="K57" s="104" t="n">
        <v>1</v>
      </c>
      <c r="L57" s="105" t="n">
        <f aca="false">IF(J57&gt;=$C$3,K57/J57,"")</f>
        <v>0.25</v>
      </c>
      <c r="M57" s="104" t="n">
        <v>868</v>
      </c>
      <c r="N57" s="104" t="n">
        <v>12</v>
      </c>
      <c r="O57" s="105" t="n">
        <f aca="false">IF(M57&gt;=$C$3,N57/M57,"")</f>
        <v>0.0138248847926267</v>
      </c>
      <c r="P57" s="104" t="n">
        <v>32</v>
      </c>
      <c r="Q57" s="104" t="n">
        <v>22</v>
      </c>
      <c r="R57" s="105" t="n">
        <f aca="false">IF(P57&gt;=$C$3,Q57/P57,"")</f>
        <v>0.6875</v>
      </c>
      <c r="S57" s="104" t="n">
        <v>276</v>
      </c>
      <c r="T57" s="104" t="n">
        <v>12</v>
      </c>
      <c r="U57" s="105" t="n">
        <f aca="false">IF(S57&gt;=$C$3,T57/S57,"")</f>
        <v>0.0434782608695652</v>
      </c>
      <c r="V57" s="104" t="n">
        <v>116</v>
      </c>
      <c r="W57" s="104" t="n">
        <v>17</v>
      </c>
      <c r="X57" s="105" t="n">
        <f aca="false">IF(V57&gt;=$C$3,W57/V57,"")</f>
        <v>0.146551724137931</v>
      </c>
      <c r="Y57" s="106" t="n">
        <f aca="false">COUNT(F57,I57,L57,O57,R57,U57,X57)</f>
        <v>7</v>
      </c>
      <c r="Z57" s="107" t="n">
        <f aca="false">IF(Y57=0,"",AVERAGE(F57,I57,L57,O57,R57,U57,X57))</f>
        <v>0.274306714947369</v>
      </c>
      <c r="AA57" s="108" t="n">
        <f aca="false">IF(ISNUMBER(Z57),C57*Z57,"")</f>
        <v>2413.03502538476</v>
      </c>
      <c r="AB57" s="108" t="n">
        <f aca="false">IFERROR(INDEX('Shortlisted Drugs X Company (7)'!$K$3:$K$698,MATCH($A57,'Shortlisted Drugs X Company (7)'!$C$3:$C$698,0)),"")</f>
        <v>445</v>
      </c>
      <c r="AC57" s="108" t="n">
        <f aca="false">IF(AND(ISNUMBER(AB57),ISNUMBER(Z57)),ROUND(AB57*Z57,0),"")</f>
        <v>122</v>
      </c>
    </row>
    <row r="58" customFormat="false" ht="15" hidden="false" customHeight="false" outlineLevel="0" collapsed="false">
      <c r="A58" s="89" t="s">
        <v>1255</v>
      </c>
      <c r="B58" s="90" t="s">
        <v>3802</v>
      </c>
      <c r="C58" s="103" t="n">
        <v>2375.17</v>
      </c>
      <c r="D58" s="104" t="n">
        <v>28</v>
      </c>
      <c r="E58" s="104" t="n">
        <v>16</v>
      </c>
      <c r="F58" s="105" t="n">
        <f aca="false">IF(D58&gt;=$C$3,E58/D58,"")</f>
        <v>0.571428571428571</v>
      </c>
      <c r="G58" s="104" t="n">
        <v>26</v>
      </c>
      <c r="H58" s="104" t="n">
        <v>16</v>
      </c>
      <c r="I58" s="105" t="n">
        <f aca="false">IF(G58&gt;=$C$3,H58/G58,"")</f>
        <v>0.615384615384615</v>
      </c>
      <c r="J58" s="104" t="n">
        <v>0</v>
      </c>
      <c r="K58" s="104" t="n">
        <v>0</v>
      </c>
      <c r="L58" s="105" t="str">
        <f aca="false">IF(J58&gt;=$C$3,K58/J58,"")</f>
        <v/>
      </c>
      <c r="M58" s="104" t="n">
        <v>13</v>
      </c>
      <c r="N58" s="104" t="n">
        <v>12</v>
      </c>
      <c r="O58" s="105" t="n">
        <f aca="false">IF(M58&gt;=$C$3,N58/M58,"")</f>
        <v>0.923076923076923</v>
      </c>
      <c r="P58" s="104" t="n">
        <v>27</v>
      </c>
      <c r="Q58" s="104" t="n">
        <v>2</v>
      </c>
      <c r="R58" s="105" t="n">
        <f aca="false">IF(P58&gt;=$C$3,Q58/P58,"")</f>
        <v>0.0740740740740741</v>
      </c>
      <c r="S58" s="104" t="n">
        <v>0</v>
      </c>
      <c r="T58" s="104" t="n">
        <v>0</v>
      </c>
      <c r="U58" s="105" t="str">
        <f aca="false">IF(S58&gt;=$C$3,T58/S58,"")</f>
        <v/>
      </c>
      <c r="V58" s="104" t="n">
        <v>0</v>
      </c>
      <c r="W58" s="104" t="n">
        <v>0</v>
      </c>
      <c r="X58" s="105" t="str">
        <f aca="false">IF(V58&gt;=$C$3,W58/V58,"")</f>
        <v/>
      </c>
      <c r="Y58" s="106" t="n">
        <f aca="false">COUNT(F58,I58,L58,O58,R58,U58,X58)</f>
        <v>4</v>
      </c>
      <c r="Z58" s="107" t="n">
        <f aca="false">IF(Y58=0,"",AVERAGE(F58,I58,L58,O58,R58,U58,X58))</f>
        <v>0.545991045991046</v>
      </c>
      <c r="AA58" s="108" t="n">
        <f aca="false">IF(ISNUMBER(Z58),C58*Z58,"")</f>
        <v>1296.82155270655</v>
      </c>
      <c r="AB58" s="108" t="n">
        <f aca="false">IFERROR(INDEX('Shortlisted Drugs X Company (7)'!$K$3:$K$698,MATCH($A58,'Shortlisted Drugs X Company (7)'!$C$3:$C$698,0)),"")</f>
        <v>44</v>
      </c>
      <c r="AC58" s="108" t="n">
        <f aca="false">IF(AND(ISNUMBER(AB58),ISNUMBER(Z58)),ROUND(AB58*Z58,0),"")</f>
        <v>24</v>
      </c>
    </row>
    <row r="59" customFormat="false" ht="15" hidden="false" customHeight="false" outlineLevel="0" collapsed="false">
      <c r="A59" s="89" t="s">
        <v>380</v>
      </c>
      <c r="B59" s="90" t="s">
        <v>3796</v>
      </c>
      <c r="C59" s="103" t="n">
        <v>4508</v>
      </c>
      <c r="D59" s="104" t="n">
        <v>83</v>
      </c>
      <c r="E59" s="104" t="n">
        <v>81</v>
      </c>
      <c r="F59" s="105" t="n">
        <f aca="false">IF(D59&gt;=$C$3,E59/D59,"")</f>
        <v>0.975903614457831</v>
      </c>
      <c r="G59" s="104" t="n">
        <v>11</v>
      </c>
      <c r="H59" s="104" t="n">
        <v>10</v>
      </c>
      <c r="I59" s="105" t="n">
        <f aca="false">IF(G59&gt;=$C$3,H59/G59,"")</f>
        <v>0.909090909090909</v>
      </c>
      <c r="J59" s="104" t="n">
        <v>12</v>
      </c>
      <c r="K59" s="104" t="n">
        <v>10</v>
      </c>
      <c r="L59" s="105" t="n">
        <f aca="false">IF(J59&gt;=$C$3,K59/J59,"")</f>
        <v>0.833333333333333</v>
      </c>
      <c r="M59" s="104" t="n">
        <v>12</v>
      </c>
      <c r="N59" s="104" t="n">
        <v>11</v>
      </c>
      <c r="O59" s="105" t="n">
        <f aca="false">IF(M59&gt;=$C$3,N59/M59,"")</f>
        <v>0.916666666666667</v>
      </c>
      <c r="P59" s="104" t="n">
        <v>4</v>
      </c>
      <c r="Q59" s="104" t="n">
        <v>3</v>
      </c>
      <c r="R59" s="105" t="n">
        <f aca="false">IF(P59&gt;=$C$3,Q59/P59,"")</f>
        <v>0.75</v>
      </c>
      <c r="S59" s="104" t="n">
        <v>0</v>
      </c>
      <c r="T59" s="104" t="n">
        <v>0</v>
      </c>
      <c r="U59" s="105" t="str">
        <f aca="false">IF(S59&gt;=$C$3,T59/S59,"")</f>
        <v/>
      </c>
      <c r="V59" s="104" t="n">
        <v>43</v>
      </c>
      <c r="W59" s="104" t="n">
        <v>33</v>
      </c>
      <c r="X59" s="105" t="n">
        <f aca="false">IF(V59&gt;=$C$3,W59/V59,"")</f>
        <v>0.767441860465116</v>
      </c>
      <c r="Y59" s="106" t="n">
        <f aca="false">COUNT(F59,I59,L59,O59,R59,U59,X59)</f>
        <v>6</v>
      </c>
      <c r="Z59" s="107" t="n">
        <f aca="false">IF(Y59=0,"",AVERAGE(F59,I59,L59,O59,R59,U59,X59))</f>
        <v>0.858739397335643</v>
      </c>
      <c r="AA59" s="108" t="n">
        <f aca="false">IF(ISNUMBER(Z59),C59*Z59,"")</f>
        <v>3871.19720318908</v>
      </c>
      <c r="AB59" s="108" t="n">
        <f aca="false">IFERROR(INDEX('Shortlisted Drugs X Company (7)'!$K$3:$K$698,MATCH($A59,'Shortlisted Drugs X Company (7)'!$C$3:$C$698,0)),"")</f>
        <v>843</v>
      </c>
      <c r="AC59" s="108" t="n">
        <f aca="false">IF(AND(ISNUMBER(AB59),ISNUMBER(Z59)),ROUND(AB59*Z59,0),"")</f>
        <v>724</v>
      </c>
    </row>
    <row r="60" customFormat="false" ht="15" hidden="false" customHeight="false" outlineLevel="0" collapsed="false">
      <c r="A60" s="89" t="s">
        <v>984</v>
      </c>
      <c r="B60" s="90" t="s">
        <v>3796</v>
      </c>
      <c r="C60" s="103" t="n">
        <v>7738.99</v>
      </c>
      <c r="D60" s="104" t="n">
        <v>77</v>
      </c>
      <c r="E60" s="104" t="n">
        <v>77</v>
      </c>
      <c r="F60" s="105" t="n">
        <f aca="false">IF(D60&gt;=$C$3,E60/D60,"")</f>
        <v>1</v>
      </c>
      <c r="G60" s="104" t="n">
        <v>6</v>
      </c>
      <c r="H60" s="104" t="n">
        <v>6</v>
      </c>
      <c r="I60" s="105" t="n">
        <f aca="false">IF(G60&gt;=$C$3,H60/G60,"")</f>
        <v>1</v>
      </c>
      <c r="J60" s="104" t="n">
        <v>4</v>
      </c>
      <c r="K60" s="104" t="n">
        <v>4</v>
      </c>
      <c r="L60" s="105" t="n">
        <f aca="false">IF(J60&gt;=$C$3,K60/J60,"")</f>
        <v>1</v>
      </c>
      <c r="M60" s="104" t="n">
        <v>19</v>
      </c>
      <c r="N60" s="104" t="n">
        <v>19</v>
      </c>
      <c r="O60" s="105" t="n">
        <f aca="false">IF(M60&gt;=$C$3,N60/M60,"")</f>
        <v>1</v>
      </c>
      <c r="P60" s="104" t="n">
        <v>8</v>
      </c>
      <c r="Q60" s="104" t="n">
        <v>8</v>
      </c>
      <c r="R60" s="105" t="n">
        <f aca="false">IF(P60&gt;=$C$3,Q60/P60,"")</f>
        <v>1</v>
      </c>
      <c r="S60" s="104" t="n">
        <v>1</v>
      </c>
      <c r="T60" s="104" t="n">
        <v>1</v>
      </c>
      <c r="U60" s="105" t="str">
        <f aca="false">IF(S60&gt;=$C$3,T60/S60,"")</f>
        <v/>
      </c>
      <c r="V60" s="104" t="n">
        <v>12</v>
      </c>
      <c r="W60" s="104" t="n">
        <v>12</v>
      </c>
      <c r="X60" s="105" t="n">
        <f aca="false">IF(V60&gt;=$C$3,W60/V60,"")</f>
        <v>1</v>
      </c>
      <c r="Y60" s="106" t="n">
        <f aca="false">COUNT(F60,I60,L60,O60,R60,U60,X60)</f>
        <v>6</v>
      </c>
      <c r="Z60" s="107" t="n">
        <f aca="false">IF(Y60=0,"",AVERAGE(F60,I60,L60,O60,R60,U60,X60))</f>
        <v>1</v>
      </c>
      <c r="AA60" s="108" t="n">
        <f aca="false">IF(ISNUMBER(Z60),C60*Z60,"")</f>
        <v>7738.99</v>
      </c>
      <c r="AB60" s="108" t="n">
        <f aca="false">IFERROR(INDEX('Shortlisted Drugs X Company (7)'!$K$3:$K$698,MATCH($A60,'Shortlisted Drugs X Company (7)'!$C$3:$C$698,0)),"")</f>
        <v>799</v>
      </c>
      <c r="AC60" s="108" t="n">
        <f aca="false">IF(AND(ISNUMBER(AB60),ISNUMBER(Z60)),ROUND(AB60*Z60,0),"")</f>
        <v>799</v>
      </c>
    </row>
    <row r="61" customFormat="false" ht="15" hidden="false" customHeight="false" outlineLevel="0" collapsed="false">
      <c r="A61" s="89" t="s">
        <v>384</v>
      </c>
      <c r="B61" s="90" t="s">
        <v>3796</v>
      </c>
      <c r="C61" s="103" t="n">
        <v>2151.51</v>
      </c>
      <c r="D61" s="104" t="n">
        <v>3</v>
      </c>
      <c r="E61" s="104" t="n">
        <v>3</v>
      </c>
      <c r="F61" s="105" t="n">
        <f aca="false">IF(D61&gt;=$C$3,E61/D61,"")</f>
        <v>1</v>
      </c>
      <c r="G61" s="104" t="n">
        <v>1</v>
      </c>
      <c r="H61" s="104" t="n">
        <v>1</v>
      </c>
      <c r="I61" s="105" t="str">
        <f aca="false">IF(G61&gt;=$C$3,H61/G61,"")</f>
        <v/>
      </c>
      <c r="J61" s="104" t="n">
        <v>1</v>
      </c>
      <c r="K61" s="104" t="n">
        <v>1</v>
      </c>
      <c r="L61" s="105" t="str">
        <f aca="false">IF(J61&gt;=$C$3,K61/J61,"")</f>
        <v/>
      </c>
      <c r="M61" s="104" t="n">
        <v>1</v>
      </c>
      <c r="N61" s="104" t="n">
        <v>1</v>
      </c>
      <c r="O61" s="105" t="str">
        <f aca="false">IF(M61&gt;=$C$3,N61/M61,"")</f>
        <v/>
      </c>
      <c r="P61" s="104" t="n">
        <v>1</v>
      </c>
      <c r="Q61" s="104" t="n">
        <v>1</v>
      </c>
      <c r="R61" s="105" t="str">
        <f aca="false">IF(P61&gt;=$C$3,Q61/P61,"")</f>
        <v/>
      </c>
      <c r="S61" s="104" t="n">
        <v>1</v>
      </c>
      <c r="T61" s="104" t="n">
        <v>1</v>
      </c>
      <c r="U61" s="105" t="str">
        <f aca="false">IF(S61&gt;=$C$3,T61/S61,"")</f>
        <v/>
      </c>
      <c r="V61" s="104" t="n">
        <v>4</v>
      </c>
      <c r="W61" s="104" t="n">
        <v>4</v>
      </c>
      <c r="X61" s="105" t="n">
        <f aca="false">IF(V61&gt;=$C$3,W61/V61,"")</f>
        <v>1</v>
      </c>
      <c r="Y61" s="106" t="n">
        <f aca="false">COUNT(F61,I61,L61,O61,R61,U61,X61)</f>
        <v>2</v>
      </c>
      <c r="Z61" s="107" t="n">
        <f aca="false">IF(Y61=0,"",AVERAGE(F61,I61,L61,O61,R61,U61,X61))</f>
        <v>1</v>
      </c>
      <c r="AA61" s="108" t="n">
        <f aca="false">IF(ISNUMBER(Z61),C61*Z61,"")</f>
        <v>2151.51</v>
      </c>
      <c r="AB61" s="108" t="n">
        <f aca="false">IFERROR(INDEX('Shortlisted Drugs X Company (7)'!$K$3:$K$698,MATCH($A61,'Shortlisted Drugs X Company (7)'!$C$3:$C$698,0)),"")</f>
        <v>411</v>
      </c>
      <c r="AC61" s="108" t="n">
        <f aca="false">IF(AND(ISNUMBER(AB61),ISNUMBER(Z61)),ROUND(AB61*Z61,0),"")</f>
        <v>411</v>
      </c>
    </row>
    <row r="62" customFormat="false" ht="15" hidden="false" customHeight="false" outlineLevel="0" collapsed="false">
      <c r="A62" s="89" t="s">
        <v>388</v>
      </c>
      <c r="B62" s="90" t="s">
        <v>3792</v>
      </c>
      <c r="C62" s="103" t="n">
        <v>59827.18</v>
      </c>
      <c r="D62" s="104" t="n">
        <v>175</v>
      </c>
      <c r="E62" s="104" t="n">
        <v>175</v>
      </c>
      <c r="F62" s="105" t="n">
        <f aca="false">IF(D62&gt;=$C$3,E62/D62,"")</f>
        <v>1</v>
      </c>
      <c r="G62" s="104" t="n">
        <v>42</v>
      </c>
      <c r="H62" s="104" t="n">
        <v>42</v>
      </c>
      <c r="I62" s="105" t="n">
        <f aca="false">IF(G62&gt;=$C$3,H62/G62,"")</f>
        <v>1</v>
      </c>
      <c r="J62" s="104" t="n">
        <v>3</v>
      </c>
      <c r="K62" s="104" t="n">
        <v>3</v>
      </c>
      <c r="L62" s="105" t="n">
        <f aca="false">IF(J62&gt;=$C$3,K62/J62,"")</f>
        <v>1</v>
      </c>
      <c r="M62" s="104" t="n">
        <v>29</v>
      </c>
      <c r="N62" s="104" t="n">
        <v>29</v>
      </c>
      <c r="O62" s="105" t="n">
        <f aca="false">IF(M62&gt;=$C$3,N62/M62,"")</f>
        <v>1</v>
      </c>
      <c r="P62" s="104" t="n">
        <v>8</v>
      </c>
      <c r="Q62" s="104" t="n">
        <v>8</v>
      </c>
      <c r="R62" s="105" t="n">
        <f aca="false">IF(P62&gt;=$C$3,Q62/P62,"")</f>
        <v>1</v>
      </c>
      <c r="S62" s="104" t="n">
        <v>6</v>
      </c>
      <c r="T62" s="104" t="n">
        <v>6</v>
      </c>
      <c r="U62" s="105" t="n">
        <f aca="false">IF(S62&gt;=$C$3,T62/S62,"")</f>
        <v>1</v>
      </c>
      <c r="V62" s="104" t="n">
        <v>31</v>
      </c>
      <c r="W62" s="104" t="n">
        <v>31</v>
      </c>
      <c r="X62" s="105" t="n">
        <f aca="false">IF(V62&gt;=$C$3,W62/V62,"")</f>
        <v>1</v>
      </c>
      <c r="Y62" s="106" t="n">
        <f aca="false">COUNT(F62,I62,L62,O62,R62,U62,X62)</f>
        <v>7</v>
      </c>
      <c r="Z62" s="107" t="n">
        <f aca="false">IF(Y62=0,"",AVERAGE(F62,I62,L62,O62,R62,U62,X62))</f>
        <v>1</v>
      </c>
      <c r="AA62" s="108" t="n">
        <f aca="false">IF(ISNUMBER(Z62),C62*Z62,"")</f>
        <v>59827.18</v>
      </c>
      <c r="AB62" s="108" t="n">
        <f aca="false">IFERROR(INDEX('Shortlisted Drugs X Company (7)'!$K$3:$K$698,MATCH($A62,'Shortlisted Drugs X Company (7)'!$C$3:$C$698,0)),"")</f>
        <v>312</v>
      </c>
      <c r="AC62" s="108" t="n">
        <f aca="false">IF(AND(ISNUMBER(AB62),ISNUMBER(Z62)),ROUND(AB62*Z62,0),"")</f>
        <v>312</v>
      </c>
    </row>
    <row r="63" customFormat="false" ht="15" hidden="false" customHeight="false" outlineLevel="0" collapsed="false">
      <c r="A63" s="89" t="s">
        <v>995</v>
      </c>
      <c r="B63" s="90" t="s">
        <v>3796</v>
      </c>
      <c r="C63" s="103" t="n">
        <v>140.86</v>
      </c>
      <c r="D63" s="104" t="n">
        <v>8</v>
      </c>
      <c r="E63" s="104" t="n">
        <v>8</v>
      </c>
      <c r="F63" s="105" t="n">
        <f aca="false">IF(D63&gt;=$C$3,E63/D63,"")</f>
        <v>1</v>
      </c>
      <c r="G63" s="104" t="n">
        <v>8</v>
      </c>
      <c r="H63" s="104" t="n">
        <v>8</v>
      </c>
      <c r="I63" s="105" t="n">
        <f aca="false">IF(G63&gt;=$C$3,H63/G63,"")</f>
        <v>1</v>
      </c>
      <c r="J63" s="104" t="n">
        <v>2</v>
      </c>
      <c r="K63" s="104" t="n">
        <v>2</v>
      </c>
      <c r="L63" s="105" t="str">
        <f aca="false">IF(J63&gt;=$C$3,K63/J63,"")</f>
        <v/>
      </c>
      <c r="M63" s="104" t="n">
        <v>2</v>
      </c>
      <c r="N63" s="104" t="n">
        <v>2</v>
      </c>
      <c r="O63" s="105" t="str">
        <f aca="false">IF(M63&gt;=$C$3,N63/M63,"")</f>
        <v/>
      </c>
      <c r="P63" s="104" t="n">
        <v>2</v>
      </c>
      <c r="Q63" s="104" t="n">
        <v>2</v>
      </c>
      <c r="R63" s="105" t="str">
        <f aca="false">IF(P63&gt;=$C$3,Q63/P63,"")</f>
        <v/>
      </c>
      <c r="S63" s="104" t="n">
        <v>2</v>
      </c>
      <c r="T63" s="104" t="n">
        <v>2</v>
      </c>
      <c r="U63" s="105" t="str">
        <f aca="false">IF(S63&gt;=$C$3,T63/S63,"")</f>
        <v/>
      </c>
      <c r="V63" s="104" t="n">
        <v>1</v>
      </c>
      <c r="W63" s="104" t="n">
        <v>0</v>
      </c>
      <c r="X63" s="105" t="str">
        <f aca="false">IF(V63&gt;=$C$3,W63/V63,"")</f>
        <v/>
      </c>
      <c r="Y63" s="106" t="n">
        <f aca="false">COUNT(F63,I63,L63,O63,R63,U63,X63)</f>
        <v>2</v>
      </c>
      <c r="Z63" s="107" t="n">
        <f aca="false">IF(Y63=0,"",AVERAGE(F63,I63,L63,O63,R63,U63,X63))</f>
        <v>1</v>
      </c>
      <c r="AA63" s="108" t="n">
        <f aca="false">IF(ISNUMBER(Z63),C63*Z63,"")</f>
        <v>140.86</v>
      </c>
      <c r="AB63" s="108" t="n">
        <f aca="false">IFERROR(INDEX('Shortlisted Drugs X Company (7)'!$K$3:$K$698,MATCH($A63,'Shortlisted Drugs X Company (7)'!$C$3:$C$698,0)),"")</f>
        <v>26</v>
      </c>
      <c r="AC63" s="108" t="n">
        <f aca="false">IF(AND(ISNUMBER(AB63),ISNUMBER(Z63)),ROUND(AB63*Z63,0),"")</f>
        <v>26</v>
      </c>
    </row>
    <row r="64" customFormat="false" ht="15" hidden="false" customHeight="false" outlineLevel="0" collapsed="false">
      <c r="A64" s="89" t="s">
        <v>1002</v>
      </c>
      <c r="B64" s="90" t="s">
        <v>3803</v>
      </c>
      <c r="C64" s="103" t="n">
        <v>3429.51</v>
      </c>
      <c r="D64" s="104" t="n">
        <v>114</v>
      </c>
      <c r="E64" s="104" t="n">
        <v>114</v>
      </c>
      <c r="F64" s="105" t="n">
        <f aca="false">IF(D64&gt;=$C$3,E64/D64,"")</f>
        <v>1</v>
      </c>
      <c r="G64" s="104" t="n">
        <v>29</v>
      </c>
      <c r="H64" s="104" t="n">
        <v>29</v>
      </c>
      <c r="I64" s="105" t="n">
        <f aca="false">IF(G64&gt;=$C$3,H64/G64,"")</f>
        <v>1</v>
      </c>
      <c r="J64" s="104" t="n">
        <v>9</v>
      </c>
      <c r="K64" s="104" t="n">
        <v>9</v>
      </c>
      <c r="L64" s="105" t="n">
        <f aca="false">IF(J64&gt;=$C$3,K64/J64,"")</f>
        <v>1</v>
      </c>
      <c r="M64" s="104" t="n">
        <v>19</v>
      </c>
      <c r="N64" s="104" t="n">
        <v>19</v>
      </c>
      <c r="O64" s="105" t="n">
        <f aca="false">IF(M64&gt;=$C$3,N64/M64,"")</f>
        <v>1</v>
      </c>
      <c r="P64" s="104" t="n">
        <v>1</v>
      </c>
      <c r="Q64" s="104" t="n">
        <v>1</v>
      </c>
      <c r="R64" s="105" t="str">
        <f aca="false">IF(P64&gt;=$C$3,Q64/P64,"")</f>
        <v/>
      </c>
      <c r="S64" s="104" t="n">
        <v>8</v>
      </c>
      <c r="T64" s="104" t="n">
        <v>8</v>
      </c>
      <c r="U64" s="105" t="n">
        <f aca="false">IF(S64&gt;=$C$3,T64/S64,"")</f>
        <v>1</v>
      </c>
      <c r="V64" s="104" t="n">
        <v>19</v>
      </c>
      <c r="W64" s="104" t="n">
        <v>19</v>
      </c>
      <c r="X64" s="105" t="n">
        <f aca="false">IF(V64&gt;=$C$3,W64/V64,"")</f>
        <v>1</v>
      </c>
      <c r="Y64" s="106" t="n">
        <f aca="false">COUNT(F64,I64,L64,O64,R64,U64,X64)</f>
        <v>6</v>
      </c>
      <c r="Z64" s="107" t="n">
        <f aca="false">IF(Y64=0,"",AVERAGE(F64,I64,L64,O64,R64,U64,X64))</f>
        <v>1</v>
      </c>
      <c r="AA64" s="108" t="n">
        <f aca="false">IF(ISNUMBER(Z64),C64*Z64,"")</f>
        <v>3429.51</v>
      </c>
      <c r="AB64" s="108" t="n">
        <f aca="false">IFERROR(INDEX('Shortlisted Drugs X Company (7)'!$K$3:$K$698,MATCH($A64,'Shortlisted Drugs X Company (7)'!$C$3:$C$698,0)),"")</f>
        <v>314</v>
      </c>
      <c r="AC64" s="108" t="n">
        <f aca="false">IF(AND(ISNUMBER(AB64),ISNUMBER(Z64)),ROUND(AB64*Z64,0),"")</f>
        <v>314</v>
      </c>
    </row>
    <row r="65" customFormat="false" ht="15" hidden="false" customHeight="false" outlineLevel="0" collapsed="false">
      <c r="A65" s="89" t="s">
        <v>719</v>
      </c>
      <c r="B65" s="90" t="s">
        <v>3804</v>
      </c>
      <c r="C65" s="103" t="n">
        <v>2827.35</v>
      </c>
      <c r="D65" s="104" t="n">
        <v>228</v>
      </c>
      <c r="E65" s="104" t="n">
        <v>26</v>
      </c>
      <c r="F65" s="105" t="n">
        <f aca="false">IF(D65&gt;=$C$3,E65/D65,"")</f>
        <v>0.114035087719298</v>
      </c>
      <c r="G65" s="104" t="n">
        <v>48</v>
      </c>
      <c r="H65" s="104" t="n">
        <v>2</v>
      </c>
      <c r="I65" s="105" t="n">
        <f aca="false">IF(G65&gt;=$C$3,H65/G65,"")</f>
        <v>0.0416666666666667</v>
      </c>
      <c r="J65" s="104" t="n">
        <v>10</v>
      </c>
      <c r="K65" s="104" t="n">
        <v>3</v>
      </c>
      <c r="L65" s="105" t="n">
        <f aca="false">IF(J65&gt;=$C$3,K65/J65,"")</f>
        <v>0.3</v>
      </c>
      <c r="M65" s="104" t="n">
        <v>21</v>
      </c>
      <c r="N65" s="104" t="n">
        <v>2</v>
      </c>
      <c r="O65" s="105" t="n">
        <f aca="false">IF(M65&gt;=$C$3,N65/M65,"")</f>
        <v>0.0952380952380952</v>
      </c>
      <c r="P65" s="104" t="n">
        <v>7</v>
      </c>
      <c r="Q65" s="104" t="n">
        <v>1</v>
      </c>
      <c r="R65" s="105" t="n">
        <f aca="false">IF(P65&gt;=$C$3,Q65/P65,"")</f>
        <v>0.142857142857143</v>
      </c>
      <c r="S65" s="104" t="n">
        <v>6</v>
      </c>
      <c r="T65" s="104" t="n">
        <v>1</v>
      </c>
      <c r="U65" s="105" t="n">
        <f aca="false">IF(S65&gt;=$C$3,T65/S65,"")</f>
        <v>0.166666666666667</v>
      </c>
      <c r="V65" s="104" t="n">
        <v>31</v>
      </c>
      <c r="W65" s="104" t="n">
        <v>15</v>
      </c>
      <c r="X65" s="105" t="n">
        <f aca="false">IF(V65&gt;=$C$3,W65/V65,"")</f>
        <v>0.483870967741936</v>
      </c>
      <c r="Y65" s="106" t="n">
        <f aca="false">COUNT(F65,I65,L65,O65,R65,U65,X65)</f>
        <v>7</v>
      </c>
      <c r="Z65" s="107" t="n">
        <f aca="false">IF(Y65=0,"",AVERAGE(F65,I65,L65,O65,R65,U65,X65))</f>
        <v>0.192047803841401</v>
      </c>
      <c r="AA65" s="108" t="n">
        <f aca="false">IF(ISNUMBER(Z65),C65*Z65,"")</f>
        <v>542.986358190984</v>
      </c>
      <c r="AB65" s="108" t="n">
        <f aca="false">IFERROR(INDEX('Shortlisted Drugs X Company (7)'!$K$3:$K$698,MATCH($A65,'Shortlisted Drugs X Company (7)'!$C$3:$C$698,0)),"")</f>
        <v>209</v>
      </c>
      <c r="AC65" s="108" t="n">
        <f aca="false">IF(AND(ISNUMBER(AB65),ISNUMBER(Z65)),ROUND(AB65*Z65,0),"")</f>
        <v>40</v>
      </c>
    </row>
    <row r="66" customFormat="false" ht="15" hidden="false" customHeight="false" outlineLevel="0" collapsed="false">
      <c r="A66" s="89" t="s">
        <v>289</v>
      </c>
      <c r="B66" s="90" t="s">
        <v>3797</v>
      </c>
      <c r="C66" s="103" t="n">
        <v>5403.25</v>
      </c>
      <c r="D66" s="104" t="n">
        <v>187</v>
      </c>
      <c r="E66" s="104" t="n">
        <v>57</v>
      </c>
      <c r="F66" s="105" t="n">
        <f aca="false">IF(D66&gt;=$C$3,E66/D66,"")</f>
        <v>0.304812834224599</v>
      </c>
      <c r="G66" s="104" t="n">
        <v>52</v>
      </c>
      <c r="H66" s="104" t="n">
        <v>5</v>
      </c>
      <c r="I66" s="105" t="n">
        <f aca="false">IF(G66&gt;=$C$3,H66/G66,"")</f>
        <v>0.0961538461538462</v>
      </c>
      <c r="J66" s="104" t="n">
        <v>8</v>
      </c>
      <c r="K66" s="104" t="n">
        <v>1</v>
      </c>
      <c r="L66" s="105" t="n">
        <f aca="false">IF(J66&gt;=$C$3,K66/J66,"")</f>
        <v>0.125</v>
      </c>
      <c r="M66" s="104" t="n">
        <v>26</v>
      </c>
      <c r="N66" s="104" t="n">
        <v>1</v>
      </c>
      <c r="O66" s="105" t="n">
        <f aca="false">IF(M66&gt;=$C$3,N66/M66,"")</f>
        <v>0.0384615384615385</v>
      </c>
      <c r="P66" s="104" t="n">
        <v>13</v>
      </c>
      <c r="Q66" s="104" t="n">
        <v>4</v>
      </c>
      <c r="R66" s="105" t="n">
        <f aca="false">IF(P66&gt;=$C$3,Q66/P66,"")</f>
        <v>0.307692307692308</v>
      </c>
      <c r="S66" s="104" t="n">
        <v>1</v>
      </c>
      <c r="T66" s="104" t="n">
        <v>0</v>
      </c>
      <c r="U66" s="105" t="str">
        <f aca="false">IF(S66&gt;=$C$3,T66/S66,"")</f>
        <v/>
      </c>
      <c r="V66" s="104" t="n">
        <v>47</v>
      </c>
      <c r="W66" s="104" t="n">
        <v>14</v>
      </c>
      <c r="X66" s="105" t="n">
        <f aca="false">IF(V66&gt;=$C$3,W66/V66,"")</f>
        <v>0.297872340425532</v>
      </c>
      <c r="Y66" s="106" t="n">
        <f aca="false">COUNT(F66,I66,L66,O66,R66,U66,X66)</f>
        <v>6</v>
      </c>
      <c r="Z66" s="107" t="n">
        <f aca="false">IF(Y66=0,"",AVERAGE(F66,I66,L66,O66,R66,U66,X66))</f>
        <v>0.194998811159637</v>
      </c>
      <c r="AA66" s="108" t="n">
        <f aca="false">IF(ISNUMBER(Z66),C66*Z66,"")</f>
        <v>1053.62732639831</v>
      </c>
      <c r="AB66" s="108" t="n">
        <f aca="false">IFERROR(INDEX('Shortlisted Drugs X Company (7)'!$K$3:$K$698,MATCH($A66,'Shortlisted Drugs X Company (7)'!$C$3:$C$698,0)),"")</f>
        <v>180</v>
      </c>
      <c r="AC66" s="108" t="n">
        <f aca="false">IF(AND(ISNUMBER(AB66),ISNUMBER(Z66)),ROUND(AB66*Z66,0),"")</f>
        <v>35</v>
      </c>
    </row>
    <row r="67" customFormat="false" ht="15" hidden="false" customHeight="false" outlineLevel="0" collapsed="false">
      <c r="A67" s="89" t="s">
        <v>1261</v>
      </c>
      <c r="B67" s="90" t="s">
        <v>3801</v>
      </c>
      <c r="C67" s="103" t="n">
        <v>21989.37</v>
      </c>
      <c r="D67" s="104" t="n">
        <v>153</v>
      </c>
      <c r="E67" s="104" t="n">
        <v>3</v>
      </c>
      <c r="F67" s="105" t="n">
        <f aca="false">IF(D67&gt;=$C$3,E67/D67,"")</f>
        <v>0.0196078431372549</v>
      </c>
      <c r="G67" s="104" t="n">
        <v>65</v>
      </c>
      <c r="H67" s="104" t="n">
        <v>0</v>
      </c>
      <c r="I67" s="105" t="n">
        <f aca="false">IF(G67&gt;=$C$3,H67/G67,"")</f>
        <v>0</v>
      </c>
      <c r="J67" s="104" t="n">
        <v>85</v>
      </c>
      <c r="K67" s="104" t="n">
        <v>3</v>
      </c>
      <c r="L67" s="105" t="n">
        <f aca="false">IF(J67&gt;=$C$3,K67/J67,"")</f>
        <v>0.0352941176470588</v>
      </c>
      <c r="M67" s="104" t="n">
        <v>17</v>
      </c>
      <c r="N67" s="104" t="n">
        <v>0</v>
      </c>
      <c r="O67" s="105" t="n">
        <f aca="false">IF(M67&gt;=$C$3,N67/M67,"")</f>
        <v>0</v>
      </c>
      <c r="P67" s="104" t="n">
        <v>75</v>
      </c>
      <c r="Q67" s="104" t="n">
        <v>1</v>
      </c>
      <c r="R67" s="105" t="n">
        <f aca="false">IF(P67&gt;=$C$3,Q67/P67,"")</f>
        <v>0.0133333333333333</v>
      </c>
      <c r="S67" s="104" t="n">
        <v>24</v>
      </c>
      <c r="T67" s="104" t="n">
        <v>1</v>
      </c>
      <c r="U67" s="105" t="n">
        <f aca="false">IF(S67&gt;=$C$3,T67/S67,"")</f>
        <v>0.0416666666666667</v>
      </c>
      <c r="V67" s="104" t="n">
        <v>187</v>
      </c>
      <c r="W67" s="104" t="n">
        <v>10</v>
      </c>
      <c r="X67" s="105" t="n">
        <f aca="false">IF(V67&gt;=$C$3,W67/V67,"")</f>
        <v>0.053475935828877</v>
      </c>
      <c r="Y67" s="106" t="n">
        <f aca="false">COUNT(F67,I67,L67,O67,R67,U67,X67)</f>
        <v>7</v>
      </c>
      <c r="Z67" s="107" t="n">
        <f aca="false">IF(Y67=0,"",AVERAGE(F67,I67,L67,O67,R67,U67,X67))</f>
        <v>0.0233396995161701</v>
      </c>
      <c r="AA67" s="108" t="n">
        <f aca="false">IF(ISNUMBER(Z67),C67*Z67,"")</f>
        <v>513.225288349885</v>
      </c>
      <c r="AB67" s="108" t="n">
        <f aca="false">IFERROR(INDEX('Shortlisted Drugs X Company (7)'!$K$3:$K$698,MATCH($A67,'Shortlisted Drugs X Company (7)'!$C$3:$C$698,0)),"")</f>
        <v>582</v>
      </c>
      <c r="AC67" s="108" t="n">
        <f aca="false">IF(AND(ISNUMBER(AB67),ISNUMBER(Z67)),ROUND(AB67*Z67,0),"")</f>
        <v>14</v>
      </c>
    </row>
    <row r="68" customFormat="false" ht="15" hidden="false" customHeight="false" outlineLevel="0" collapsed="false">
      <c r="A68" s="89" t="s">
        <v>394</v>
      </c>
      <c r="B68" s="90" t="s">
        <v>3796</v>
      </c>
      <c r="C68" s="103" t="n">
        <v>41889.23</v>
      </c>
      <c r="D68" s="104" t="n">
        <v>109</v>
      </c>
      <c r="E68" s="104" t="n">
        <v>109</v>
      </c>
      <c r="F68" s="105" t="n">
        <f aca="false">IF(D68&gt;=$C$3,E68/D68,"")</f>
        <v>1</v>
      </c>
      <c r="G68" s="104" t="n">
        <v>9</v>
      </c>
      <c r="H68" s="104" t="n">
        <v>9</v>
      </c>
      <c r="I68" s="105" t="n">
        <f aca="false">IF(G68&gt;=$C$3,H68/G68,"")</f>
        <v>1</v>
      </c>
      <c r="J68" s="104" t="n">
        <v>7</v>
      </c>
      <c r="K68" s="104" t="n">
        <v>7</v>
      </c>
      <c r="L68" s="105" t="n">
        <f aca="false">IF(J68&gt;=$C$3,K68/J68,"")</f>
        <v>1</v>
      </c>
      <c r="M68" s="104" t="n">
        <v>9</v>
      </c>
      <c r="N68" s="104" t="n">
        <v>9</v>
      </c>
      <c r="O68" s="105" t="n">
        <f aca="false">IF(M68&gt;=$C$3,N68/M68,"")</f>
        <v>1</v>
      </c>
      <c r="P68" s="104" t="n">
        <v>31</v>
      </c>
      <c r="Q68" s="104" t="n">
        <v>29</v>
      </c>
      <c r="R68" s="105" t="n">
        <f aca="false">IF(P68&gt;=$C$3,Q68/P68,"")</f>
        <v>0.935483870967742</v>
      </c>
      <c r="S68" s="104" t="n">
        <v>3</v>
      </c>
      <c r="T68" s="104" t="n">
        <v>3</v>
      </c>
      <c r="U68" s="105" t="n">
        <f aca="false">IF(S68&gt;=$C$3,T68/S68,"")</f>
        <v>1</v>
      </c>
      <c r="V68" s="104" t="n">
        <v>18</v>
      </c>
      <c r="W68" s="104" t="n">
        <v>18</v>
      </c>
      <c r="X68" s="105" t="n">
        <f aca="false">IF(V68&gt;=$C$3,W68/V68,"")</f>
        <v>1</v>
      </c>
      <c r="Y68" s="106" t="n">
        <f aca="false">COUNT(F68,I68,L68,O68,R68,U68,X68)</f>
        <v>7</v>
      </c>
      <c r="Z68" s="107" t="n">
        <f aca="false">IF(Y68=0,"",AVERAGE(F68,I68,L68,O68,R68,U68,X68))</f>
        <v>0.990783410138249</v>
      </c>
      <c r="AA68" s="108" t="n">
        <f aca="false">IF(ISNUMBER(Z68),C68*Z68,"")</f>
        <v>41503.1541474654</v>
      </c>
      <c r="AB68" s="108" t="n">
        <f aca="false">IFERROR(INDEX('Shortlisted Drugs X Company (7)'!$K$3:$K$698,MATCH($A68,'Shortlisted Drugs X Company (7)'!$C$3:$C$698,0)),"")</f>
        <v>1644</v>
      </c>
      <c r="AC68" s="108" t="n">
        <f aca="false">IF(AND(ISNUMBER(AB68),ISNUMBER(Z68)),ROUND(AB68*Z68,0),"")</f>
        <v>1629</v>
      </c>
    </row>
    <row r="69" customFormat="false" ht="15" hidden="false" customHeight="false" outlineLevel="0" collapsed="false">
      <c r="A69" s="89" t="s">
        <v>1194</v>
      </c>
      <c r="B69" s="90" t="s">
        <v>3791</v>
      </c>
      <c r="C69" s="103" t="n">
        <v>170.54</v>
      </c>
      <c r="D69" s="104" t="n">
        <v>62</v>
      </c>
      <c r="E69" s="104" t="n">
        <v>62</v>
      </c>
      <c r="F69" s="105" t="n">
        <f aca="false">IF(D69&gt;=$C$3,E69/D69,"")</f>
        <v>1</v>
      </c>
      <c r="G69" s="104" t="n">
        <v>2</v>
      </c>
      <c r="H69" s="104" t="n">
        <v>2</v>
      </c>
      <c r="I69" s="105" t="str">
        <f aca="false">IF(G69&gt;=$C$3,H69/G69,"")</f>
        <v/>
      </c>
      <c r="J69" s="104" t="n">
        <v>0</v>
      </c>
      <c r="K69" s="104" t="n">
        <v>0</v>
      </c>
      <c r="L69" s="105" t="str">
        <f aca="false">IF(J69&gt;=$C$3,K69/J69,"")</f>
        <v/>
      </c>
      <c r="M69" s="104" t="n">
        <v>9</v>
      </c>
      <c r="N69" s="104" t="n">
        <v>9</v>
      </c>
      <c r="O69" s="105" t="n">
        <f aca="false">IF(M69&gt;=$C$3,N69/M69,"")</f>
        <v>1</v>
      </c>
      <c r="P69" s="104" t="n">
        <v>2</v>
      </c>
      <c r="Q69" s="104" t="n">
        <v>2</v>
      </c>
      <c r="R69" s="105" t="str">
        <f aca="false">IF(P69&gt;=$C$3,Q69/P69,"")</f>
        <v/>
      </c>
      <c r="S69" s="104" t="n">
        <v>0</v>
      </c>
      <c r="T69" s="104" t="n">
        <v>0</v>
      </c>
      <c r="U69" s="105" t="str">
        <f aca="false">IF(S69&gt;=$C$3,T69/S69,"")</f>
        <v/>
      </c>
      <c r="V69" s="104" t="n">
        <v>2</v>
      </c>
      <c r="W69" s="104" t="n">
        <v>2</v>
      </c>
      <c r="X69" s="105" t="str">
        <f aca="false">IF(V69&gt;=$C$3,W69/V69,"")</f>
        <v/>
      </c>
      <c r="Y69" s="106" t="n">
        <f aca="false">COUNT(F69,I69,L69,O69,R69,U69,X69)</f>
        <v>2</v>
      </c>
      <c r="Z69" s="107" t="n">
        <f aca="false">IF(Y69=0,"",AVERAGE(F69,I69,L69,O69,R69,U69,X69))</f>
        <v>1</v>
      </c>
      <c r="AA69" s="108" t="n">
        <f aca="false">IF(ISNUMBER(Z69),C69*Z69,"")</f>
        <v>170.54</v>
      </c>
      <c r="AB69" s="108" t="n">
        <f aca="false">IFERROR(INDEX('Shortlisted Drugs X Company (7)'!$K$3:$K$698,MATCH($A69,'Shortlisted Drugs X Company (7)'!$C$3:$C$698,0)),"")</f>
        <v>17</v>
      </c>
      <c r="AC69" s="108" t="n">
        <f aca="false">IF(AND(ISNUMBER(AB69),ISNUMBER(Z69)),ROUND(AB69*Z69,0),"")</f>
        <v>17</v>
      </c>
    </row>
    <row r="70" customFormat="false" ht="15" hidden="false" customHeight="false" outlineLevel="0" collapsed="false">
      <c r="A70" s="89" t="s">
        <v>1199</v>
      </c>
      <c r="B70" s="90" t="s">
        <v>3805</v>
      </c>
      <c r="C70" s="103" t="n">
        <v>5190.07</v>
      </c>
      <c r="D70" s="104" t="n">
        <v>36</v>
      </c>
      <c r="E70" s="104" t="n">
        <v>36</v>
      </c>
      <c r="F70" s="105" t="n">
        <f aca="false">IF(D70&gt;=$C$3,E70/D70,"")</f>
        <v>1</v>
      </c>
      <c r="G70" s="104" t="n">
        <v>0</v>
      </c>
      <c r="H70" s="104" t="n">
        <v>0</v>
      </c>
      <c r="I70" s="105" t="str">
        <f aca="false">IF(G70&gt;=$C$3,H70/G70,"")</f>
        <v/>
      </c>
      <c r="J70" s="104" t="n">
        <v>2</v>
      </c>
      <c r="K70" s="104" t="n">
        <v>2</v>
      </c>
      <c r="L70" s="105" t="str">
        <f aca="false">IF(J70&gt;=$C$3,K70/J70,"")</f>
        <v/>
      </c>
      <c r="M70" s="104" t="n">
        <v>1</v>
      </c>
      <c r="N70" s="104" t="n">
        <v>1</v>
      </c>
      <c r="O70" s="105" t="str">
        <f aca="false">IF(M70&gt;=$C$3,N70/M70,"")</f>
        <v/>
      </c>
      <c r="P70" s="104" t="n">
        <v>5</v>
      </c>
      <c r="Q70" s="104" t="n">
        <v>4</v>
      </c>
      <c r="R70" s="105" t="n">
        <f aca="false">IF(P70&gt;=$C$3,Q70/P70,"")</f>
        <v>0.8</v>
      </c>
      <c r="S70" s="104" t="n">
        <v>3</v>
      </c>
      <c r="T70" s="104" t="n">
        <v>3</v>
      </c>
      <c r="U70" s="105" t="n">
        <f aca="false">IF(S70&gt;=$C$3,T70/S70,"")</f>
        <v>1</v>
      </c>
      <c r="V70" s="104" t="n">
        <v>8</v>
      </c>
      <c r="W70" s="104" t="n">
        <v>8</v>
      </c>
      <c r="X70" s="105" t="n">
        <f aca="false">IF(V70&gt;=$C$3,W70/V70,"")</f>
        <v>1</v>
      </c>
      <c r="Y70" s="106" t="n">
        <f aca="false">COUNT(F70,I70,L70,O70,R70,U70,X70)</f>
        <v>4</v>
      </c>
      <c r="Z70" s="107" t="n">
        <f aca="false">IF(Y70=0,"",AVERAGE(F70,I70,L70,O70,R70,U70,X70))</f>
        <v>0.95</v>
      </c>
      <c r="AA70" s="108" t="n">
        <f aca="false">IF(ISNUMBER(Z70),C70*Z70,"")</f>
        <v>4930.5665</v>
      </c>
      <c r="AB70" s="108" t="n">
        <f aca="false">IFERROR(INDEX('Shortlisted Drugs X Company (7)'!$K$3:$K$698,MATCH($A70,'Shortlisted Drugs X Company (7)'!$C$3:$C$698,0)),"")</f>
        <v>176</v>
      </c>
      <c r="AC70" s="108" t="n">
        <f aca="false">IF(AND(ISNUMBER(AB70),ISNUMBER(Z70)),ROUND(AB70*Z70,0),"")</f>
        <v>167</v>
      </c>
    </row>
    <row r="71" customFormat="false" ht="15" hidden="false" customHeight="false" outlineLevel="0" collapsed="false">
      <c r="A71" s="89" t="s">
        <v>401</v>
      </c>
      <c r="B71" s="90" t="s">
        <v>3791</v>
      </c>
      <c r="C71" s="103" t="n">
        <v>4714.67</v>
      </c>
      <c r="D71" s="104" t="n">
        <v>136</v>
      </c>
      <c r="E71" s="104" t="n">
        <v>90</v>
      </c>
      <c r="F71" s="105" t="n">
        <f aca="false">IF(D71&gt;=$C$3,E71/D71,"")</f>
        <v>0.661764705882353</v>
      </c>
      <c r="G71" s="104" t="n">
        <v>17</v>
      </c>
      <c r="H71" s="104" t="n">
        <v>9</v>
      </c>
      <c r="I71" s="105" t="n">
        <f aca="false">IF(G71&gt;=$C$3,H71/G71,"")</f>
        <v>0.529411764705882</v>
      </c>
      <c r="J71" s="104" t="n">
        <v>1</v>
      </c>
      <c r="K71" s="104" t="n">
        <v>1</v>
      </c>
      <c r="L71" s="105" t="str">
        <f aca="false">IF(J71&gt;=$C$3,K71/J71,"")</f>
        <v/>
      </c>
      <c r="M71" s="104" t="n">
        <v>9</v>
      </c>
      <c r="N71" s="104" t="n">
        <v>8</v>
      </c>
      <c r="O71" s="105" t="n">
        <f aca="false">IF(M71&gt;=$C$3,N71/M71,"")</f>
        <v>0.888888888888889</v>
      </c>
      <c r="P71" s="104" t="n">
        <v>26</v>
      </c>
      <c r="Q71" s="104" t="n">
        <v>1</v>
      </c>
      <c r="R71" s="105" t="n">
        <f aca="false">IF(P71&gt;=$C$3,Q71/P71,"")</f>
        <v>0.0384615384615385</v>
      </c>
      <c r="S71" s="104" t="n">
        <v>4</v>
      </c>
      <c r="T71" s="104" t="n">
        <v>3</v>
      </c>
      <c r="U71" s="105" t="n">
        <f aca="false">IF(S71&gt;=$C$3,T71/S71,"")</f>
        <v>0.75</v>
      </c>
      <c r="V71" s="104" t="n">
        <v>23</v>
      </c>
      <c r="W71" s="104" t="n">
        <v>20</v>
      </c>
      <c r="X71" s="105" t="n">
        <f aca="false">IF(V71&gt;=$C$3,W71/V71,"")</f>
        <v>0.869565217391304</v>
      </c>
      <c r="Y71" s="106" t="n">
        <f aca="false">COUNT(F71,I71,L71,O71,R71,U71,X71)</f>
        <v>6</v>
      </c>
      <c r="Z71" s="107" t="n">
        <f aca="false">IF(Y71=0,"",AVERAGE(F71,I71,L71,O71,R71,U71,X71))</f>
        <v>0.623015352554995</v>
      </c>
      <c r="AA71" s="108" t="n">
        <f aca="false">IF(ISNUMBER(Z71),C71*Z71,"")</f>
        <v>2937.31179223046</v>
      </c>
      <c r="AB71" s="108" t="n">
        <f aca="false">IFERROR(INDEX('Shortlisted Drugs X Company (7)'!$K$3:$K$698,MATCH($A71,'Shortlisted Drugs X Company (7)'!$C$3:$C$698,0)),"")</f>
        <v>78</v>
      </c>
      <c r="AC71" s="108" t="n">
        <f aca="false">IF(AND(ISNUMBER(AB71),ISNUMBER(Z71)),ROUND(AB71*Z71,0),"")</f>
        <v>49</v>
      </c>
    </row>
    <row r="72" customFormat="false" ht="15" hidden="false" customHeight="false" outlineLevel="0" collapsed="false">
      <c r="A72" s="89" t="s">
        <v>1012</v>
      </c>
      <c r="B72" s="90" t="s">
        <v>3795</v>
      </c>
      <c r="C72" s="103" t="n">
        <v>4620.39</v>
      </c>
      <c r="D72" s="104" t="n">
        <v>534</v>
      </c>
      <c r="E72" s="104" t="n">
        <v>501</v>
      </c>
      <c r="F72" s="105" t="n">
        <f aca="false">IF(D72&gt;=$C$3,E72/D72,"")</f>
        <v>0.938202247191011</v>
      </c>
      <c r="G72" s="104" t="n">
        <v>44</v>
      </c>
      <c r="H72" s="104" t="n">
        <v>25</v>
      </c>
      <c r="I72" s="105" t="n">
        <f aca="false">IF(G72&gt;=$C$3,H72/G72,"")</f>
        <v>0.568181818181818</v>
      </c>
      <c r="J72" s="104" t="n">
        <v>44</v>
      </c>
      <c r="K72" s="104" t="n">
        <v>41</v>
      </c>
      <c r="L72" s="105" t="n">
        <f aca="false">IF(J72&gt;=$C$3,K72/J72,"")</f>
        <v>0.931818181818182</v>
      </c>
      <c r="M72" s="104" t="n">
        <v>53</v>
      </c>
      <c r="N72" s="104" t="n">
        <v>50</v>
      </c>
      <c r="O72" s="105" t="n">
        <f aca="false">IF(M72&gt;=$C$3,N72/M72,"")</f>
        <v>0.943396226415094</v>
      </c>
      <c r="P72" s="104" t="n">
        <v>14</v>
      </c>
      <c r="Q72" s="104" t="n">
        <v>14</v>
      </c>
      <c r="R72" s="105" t="n">
        <f aca="false">IF(P72&gt;=$C$3,Q72/P72,"")</f>
        <v>1</v>
      </c>
      <c r="S72" s="104" t="n">
        <v>22</v>
      </c>
      <c r="T72" s="104" t="n">
        <v>20</v>
      </c>
      <c r="U72" s="105" t="n">
        <f aca="false">IF(S72&gt;=$C$3,T72/S72,"")</f>
        <v>0.909090909090909</v>
      </c>
      <c r="V72" s="104" t="n">
        <v>90</v>
      </c>
      <c r="W72" s="104" t="n">
        <v>76</v>
      </c>
      <c r="X72" s="105" t="n">
        <f aca="false">IF(V72&gt;=$C$3,W72/V72,"")</f>
        <v>0.844444444444444</v>
      </c>
      <c r="Y72" s="106" t="n">
        <f aca="false">COUNT(F72,I72,L72,O72,R72,U72,X72)</f>
        <v>7</v>
      </c>
      <c r="Z72" s="107" t="n">
        <f aca="false">IF(Y72=0,"",AVERAGE(F72,I72,L72,O72,R72,U72,X72))</f>
        <v>0.876447689591637</v>
      </c>
      <c r="AA72" s="108" t="n">
        <f aca="false">IF(ISNUMBER(Z72),C72*Z72,"")</f>
        <v>4049.5301405123</v>
      </c>
      <c r="AB72" s="108" t="n">
        <f aca="false">IFERROR(INDEX('Shortlisted Drugs X Company (7)'!$K$3:$K$698,MATCH($A72,'Shortlisted Drugs X Company (7)'!$C$3:$C$698,0)),"")</f>
        <v>912</v>
      </c>
      <c r="AC72" s="108" t="n">
        <f aca="false">IF(AND(ISNUMBER(AB72),ISNUMBER(Z72)),ROUND(AB72*Z72,0),"")</f>
        <v>799</v>
      </c>
    </row>
    <row r="73" customFormat="false" ht="15" hidden="false" customHeight="false" outlineLevel="0" collapsed="false">
      <c r="A73" s="89" t="s">
        <v>408</v>
      </c>
      <c r="B73" s="90" t="s">
        <v>3796</v>
      </c>
      <c r="C73" s="103" t="n">
        <v>2783.28</v>
      </c>
      <c r="D73" s="104" t="n">
        <v>106</v>
      </c>
      <c r="E73" s="104" t="n">
        <v>104</v>
      </c>
      <c r="F73" s="105" t="n">
        <f aca="false">IF(D73&gt;=$C$3,E73/D73,"")</f>
        <v>0.981132075471698</v>
      </c>
      <c r="G73" s="104" t="n">
        <v>10</v>
      </c>
      <c r="H73" s="104" t="n">
        <v>10</v>
      </c>
      <c r="I73" s="105" t="n">
        <f aca="false">IF(G73&gt;=$C$3,H73/G73,"")</f>
        <v>1</v>
      </c>
      <c r="J73" s="104" t="n">
        <v>1</v>
      </c>
      <c r="K73" s="104" t="n">
        <v>1</v>
      </c>
      <c r="L73" s="105" t="str">
        <f aca="false">IF(J73&gt;=$C$3,K73/J73,"")</f>
        <v/>
      </c>
      <c r="M73" s="104" t="n">
        <v>5</v>
      </c>
      <c r="N73" s="104" t="n">
        <v>5</v>
      </c>
      <c r="O73" s="105" t="n">
        <f aca="false">IF(M73&gt;=$C$3,N73/M73,"")</f>
        <v>1</v>
      </c>
      <c r="P73" s="104" t="n">
        <v>8</v>
      </c>
      <c r="Q73" s="104" t="n">
        <v>8</v>
      </c>
      <c r="R73" s="105" t="n">
        <f aca="false">IF(P73&gt;=$C$3,Q73/P73,"")</f>
        <v>1</v>
      </c>
      <c r="S73" s="104" t="n">
        <v>0</v>
      </c>
      <c r="T73" s="104" t="n">
        <v>0</v>
      </c>
      <c r="U73" s="105" t="str">
        <f aca="false">IF(S73&gt;=$C$3,T73/S73,"")</f>
        <v/>
      </c>
      <c r="V73" s="104" t="n">
        <v>1</v>
      </c>
      <c r="W73" s="104" t="n">
        <v>1</v>
      </c>
      <c r="X73" s="105" t="str">
        <f aca="false">IF(V73&gt;=$C$3,W73/V73,"")</f>
        <v/>
      </c>
      <c r="Y73" s="106" t="n">
        <f aca="false">COUNT(F73,I73,L73,O73,R73,U73,X73)</f>
        <v>4</v>
      </c>
      <c r="Z73" s="107" t="n">
        <f aca="false">IF(Y73=0,"",AVERAGE(F73,I73,L73,O73,R73,U73,X73))</f>
        <v>0.995283018867925</v>
      </c>
      <c r="AA73" s="108" t="n">
        <f aca="false">IF(ISNUMBER(Z73),C73*Z73,"")</f>
        <v>2770.15132075472</v>
      </c>
      <c r="AB73" s="108" t="n">
        <f aca="false">IFERROR(INDEX('Shortlisted Drugs X Company (7)'!$K$3:$K$698,MATCH($A73,'Shortlisted Drugs X Company (7)'!$C$3:$C$698,0)),"")</f>
        <v>345</v>
      </c>
      <c r="AC73" s="108" t="n">
        <f aca="false">IF(AND(ISNUMBER(AB73),ISNUMBER(Z73)),ROUND(AB73*Z73,0),"")</f>
        <v>343</v>
      </c>
    </row>
    <row r="74" customFormat="false" ht="15" hidden="false" customHeight="false" outlineLevel="0" collapsed="false">
      <c r="A74" s="89" t="s">
        <v>415</v>
      </c>
      <c r="B74" s="90" t="s">
        <v>3790</v>
      </c>
      <c r="C74" s="103" t="n">
        <v>5255.61</v>
      </c>
      <c r="D74" s="104" t="n">
        <v>17</v>
      </c>
      <c r="E74" s="104" t="n">
        <v>16</v>
      </c>
      <c r="F74" s="105" t="n">
        <f aca="false">IF(D74&gt;=$C$3,E74/D74,"")</f>
        <v>0.941176470588235</v>
      </c>
      <c r="G74" s="104" t="n">
        <v>4</v>
      </c>
      <c r="H74" s="104" t="n">
        <v>4</v>
      </c>
      <c r="I74" s="105" t="n">
        <f aca="false">IF(G74&gt;=$C$3,H74/G74,"")</f>
        <v>1</v>
      </c>
      <c r="J74" s="104" t="n">
        <v>2</v>
      </c>
      <c r="K74" s="104" t="n">
        <v>2</v>
      </c>
      <c r="L74" s="105" t="str">
        <f aca="false">IF(J74&gt;=$C$3,K74/J74,"")</f>
        <v/>
      </c>
      <c r="M74" s="104" t="n">
        <v>4</v>
      </c>
      <c r="N74" s="104" t="n">
        <v>4</v>
      </c>
      <c r="O74" s="105" t="n">
        <f aca="false">IF(M74&gt;=$C$3,N74/M74,"")</f>
        <v>1</v>
      </c>
      <c r="P74" s="104" t="n">
        <v>2</v>
      </c>
      <c r="Q74" s="104" t="n">
        <v>2</v>
      </c>
      <c r="R74" s="105" t="str">
        <f aca="false">IF(P74&gt;=$C$3,Q74/P74,"")</f>
        <v/>
      </c>
      <c r="S74" s="104" t="n">
        <v>0</v>
      </c>
      <c r="T74" s="104" t="n">
        <v>0</v>
      </c>
      <c r="U74" s="105" t="str">
        <f aca="false">IF(S74&gt;=$C$3,T74/S74,"")</f>
        <v/>
      </c>
      <c r="V74" s="104" t="n">
        <v>13</v>
      </c>
      <c r="W74" s="104" t="n">
        <v>13</v>
      </c>
      <c r="X74" s="105" t="n">
        <f aca="false">IF(V74&gt;=$C$3,W74/V74,"")</f>
        <v>1</v>
      </c>
      <c r="Y74" s="106" t="n">
        <f aca="false">COUNT(F74,I74,L74,O74,R74,U74,X74)</f>
        <v>4</v>
      </c>
      <c r="Z74" s="107" t="n">
        <f aca="false">IF(Y74=0,"",AVERAGE(F74,I74,L74,O74,R74,U74,X74))</f>
        <v>0.985294117647059</v>
      </c>
      <c r="AA74" s="108" t="n">
        <f aca="false">IF(ISNUMBER(Z74),C74*Z74,"")</f>
        <v>5178.32161764706</v>
      </c>
      <c r="AB74" s="108" t="n">
        <f aca="false">IFERROR(INDEX('Shortlisted Drugs X Company (7)'!$K$3:$K$698,MATCH($A74,'Shortlisted Drugs X Company (7)'!$C$3:$C$698,0)),"")</f>
        <v>149</v>
      </c>
      <c r="AC74" s="108" t="n">
        <f aca="false">IF(AND(ISNUMBER(AB74),ISNUMBER(Z74)),ROUND(AB74*Z74,0),"")</f>
        <v>147</v>
      </c>
    </row>
    <row r="75" customFormat="false" ht="15" hidden="false" customHeight="false" outlineLevel="0" collapsed="false">
      <c r="A75" s="89" t="s">
        <v>724</v>
      </c>
      <c r="B75" s="90" t="s">
        <v>3796</v>
      </c>
      <c r="C75" s="103" t="n">
        <v>1874.63</v>
      </c>
      <c r="D75" s="104" t="n">
        <v>127</v>
      </c>
      <c r="E75" s="104" t="n">
        <v>127</v>
      </c>
      <c r="F75" s="105" t="n">
        <f aca="false">IF(D75&gt;=$C$3,E75/D75,"")</f>
        <v>1</v>
      </c>
      <c r="G75" s="104" t="n">
        <v>9</v>
      </c>
      <c r="H75" s="104" t="n">
        <v>9</v>
      </c>
      <c r="I75" s="105" t="n">
        <f aca="false">IF(G75&gt;=$C$3,H75/G75,"")</f>
        <v>1</v>
      </c>
      <c r="J75" s="104" t="n">
        <v>2</v>
      </c>
      <c r="K75" s="104" t="n">
        <v>2</v>
      </c>
      <c r="L75" s="105" t="str">
        <f aca="false">IF(J75&gt;=$C$3,K75/J75,"")</f>
        <v/>
      </c>
      <c r="M75" s="104" t="n">
        <v>5</v>
      </c>
      <c r="N75" s="104" t="n">
        <v>5</v>
      </c>
      <c r="O75" s="105" t="n">
        <f aca="false">IF(M75&gt;=$C$3,N75/M75,"")</f>
        <v>1</v>
      </c>
      <c r="P75" s="104" t="n">
        <v>2</v>
      </c>
      <c r="Q75" s="104" t="n">
        <v>2</v>
      </c>
      <c r="R75" s="105" t="str">
        <f aca="false">IF(P75&gt;=$C$3,Q75/P75,"")</f>
        <v/>
      </c>
      <c r="S75" s="104" t="n">
        <v>2</v>
      </c>
      <c r="T75" s="104" t="n">
        <v>2</v>
      </c>
      <c r="U75" s="105" t="str">
        <f aca="false">IF(S75&gt;=$C$3,T75/S75,"")</f>
        <v/>
      </c>
      <c r="V75" s="104" t="n">
        <v>11</v>
      </c>
      <c r="W75" s="104" t="n">
        <v>11</v>
      </c>
      <c r="X75" s="105" t="n">
        <f aca="false">IF(V75&gt;=$C$3,W75/V75,"")</f>
        <v>1</v>
      </c>
      <c r="Y75" s="106" t="n">
        <f aca="false">COUNT(F75,I75,L75,O75,R75,U75,X75)</f>
        <v>4</v>
      </c>
      <c r="Z75" s="107" t="n">
        <f aca="false">IF(Y75=0,"",AVERAGE(F75,I75,L75,O75,R75,U75,X75))</f>
        <v>1</v>
      </c>
      <c r="AA75" s="108" t="n">
        <f aca="false">IF(ISNUMBER(Z75),C75*Z75,"")</f>
        <v>1874.63</v>
      </c>
      <c r="AB75" s="108" t="n">
        <f aca="false">IFERROR(INDEX('Shortlisted Drugs X Company (7)'!$K$3:$K$698,MATCH($A75,'Shortlisted Drugs X Company (7)'!$C$3:$C$698,0)),"")</f>
        <v>42</v>
      </c>
      <c r="AC75" s="108" t="n">
        <f aca="false">IF(AND(ISNUMBER(AB75),ISNUMBER(Z75)),ROUND(AB75*Z75,0),"")</f>
        <v>42</v>
      </c>
    </row>
    <row r="76" customFormat="false" ht="15" hidden="false" customHeight="false" outlineLevel="0" collapsed="false">
      <c r="A76" s="89" t="s">
        <v>419</v>
      </c>
      <c r="B76" s="90" t="s">
        <v>3792</v>
      </c>
      <c r="C76" s="103" t="n">
        <v>53539.87</v>
      </c>
      <c r="D76" s="104" t="n">
        <v>92</v>
      </c>
      <c r="E76" s="104" t="n">
        <v>92</v>
      </c>
      <c r="F76" s="105" t="n">
        <f aca="false">IF(D76&gt;=$C$3,E76/D76,"")</f>
        <v>1</v>
      </c>
      <c r="G76" s="104" t="n">
        <v>11</v>
      </c>
      <c r="H76" s="104" t="n">
        <v>11</v>
      </c>
      <c r="I76" s="105" t="n">
        <f aca="false">IF(G76&gt;=$C$3,H76/G76,"")</f>
        <v>1</v>
      </c>
      <c r="J76" s="104" t="n">
        <v>6</v>
      </c>
      <c r="K76" s="104" t="n">
        <v>6</v>
      </c>
      <c r="L76" s="105" t="n">
        <f aca="false">IF(J76&gt;=$C$3,K76/J76,"")</f>
        <v>1</v>
      </c>
      <c r="M76" s="104" t="n">
        <v>5</v>
      </c>
      <c r="N76" s="104" t="n">
        <v>5</v>
      </c>
      <c r="O76" s="105" t="n">
        <f aca="false">IF(M76&gt;=$C$3,N76/M76,"")</f>
        <v>1</v>
      </c>
      <c r="P76" s="104" t="n">
        <v>11</v>
      </c>
      <c r="Q76" s="104" t="n">
        <v>11</v>
      </c>
      <c r="R76" s="105" t="n">
        <f aca="false">IF(P76&gt;=$C$3,Q76/P76,"")</f>
        <v>1</v>
      </c>
      <c r="S76" s="104" t="n">
        <v>3</v>
      </c>
      <c r="T76" s="104" t="n">
        <v>3</v>
      </c>
      <c r="U76" s="105" t="n">
        <f aca="false">IF(S76&gt;=$C$3,T76/S76,"")</f>
        <v>1</v>
      </c>
      <c r="V76" s="104" t="n">
        <v>6</v>
      </c>
      <c r="W76" s="104" t="n">
        <v>6</v>
      </c>
      <c r="X76" s="105" t="n">
        <f aca="false">IF(V76&gt;=$C$3,W76/V76,"")</f>
        <v>1</v>
      </c>
      <c r="Y76" s="106" t="n">
        <f aca="false">COUNT(F76,I76,L76,O76,R76,U76,X76)</f>
        <v>7</v>
      </c>
      <c r="Z76" s="107" t="n">
        <f aca="false">IF(Y76=0,"",AVERAGE(F76,I76,L76,O76,R76,U76,X76))</f>
        <v>1</v>
      </c>
      <c r="AA76" s="108" t="n">
        <f aca="false">IF(ISNUMBER(Z76),C76*Z76,"")</f>
        <v>53539.87</v>
      </c>
      <c r="AB76" s="108" t="n">
        <f aca="false">IFERROR(INDEX('Shortlisted Drugs X Company (7)'!$K$3:$K$698,MATCH($A76,'Shortlisted Drugs X Company (7)'!$C$3:$C$698,0)),"")</f>
        <v>223</v>
      </c>
      <c r="AC76" s="108" t="n">
        <f aca="false">IF(AND(ISNUMBER(AB76),ISNUMBER(Z76)),ROUND(AB76*Z76,0),"")</f>
        <v>223</v>
      </c>
    </row>
    <row r="77" customFormat="false" ht="15" hidden="false" customHeight="false" outlineLevel="0" collapsed="false">
      <c r="A77" s="89" t="s">
        <v>426</v>
      </c>
      <c r="B77" s="90" t="s">
        <v>3790</v>
      </c>
      <c r="C77" s="103" t="n">
        <v>5896.49</v>
      </c>
      <c r="D77" s="104" t="n">
        <v>48</v>
      </c>
      <c r="E77" s="104" t="n">
        <v>48</v>
      </c>
      <c r="F77" s="105" t="n">
        <f aca="false">IF(D77&gt;=$C$3,E77/D77,"")</f>
        <v>1</v>
      </c>
      <c r="G77" s="104" t="n">
        <v>8</v>
      </c>
      <c r="H77" s="104" t="n">
        <v>8</v>
      </c>
      <c r="I77" s="105" t="n">
        <f aca="false">IF(G77&gt;=$C$3,H77/G77,"")</f>
        <v>1</v>
      </c>
      <c r="J77" s="104" t="n">
        <v>2</v>
      </c>
      <c r="K77" s="104" t="n">
        <v>2</v>
      </c>
      <c r="L77" s="105" t="str">
        <f aca="false">IF(J77&gt;=$C$3,K77/J77,"")</f>
        <v/>
      </c>
      <c r="M77" s="104" t="n">
        <v>6</v>
      </c>
      <c r="N77" s="104" t="n">
        <v>6</v>
      </c>
      <c r="O77" s="105" t="n">
        <f aca="false">IF(M77&gt;=$C$3,N77/M77,"")</f>
        <v>1</v>
      </c>
      <c r="P77" s="104" t="n">
        <v>1</v>
      </c>
      <c r="Q77" s="104" t="n">
        <v>1</v>
      </c>
      <c r="R77" s="105" t="str">
        <f aca="false">IF(P77&gt;=$C$3,Q77/P77,"")</f>
        <v/>
      </c>
      <c r="S77" s="104" t="n">
        <v>0</v>
      </c>
      <c r="T77" s="104" t="n">
        <v>0</v>
      </c>
      <c r="U77" s="105" t="str">
        <f aca="false">IF(S77&gt;=$C$3,T77/S77,"")</f>
        <v/>
      </c>
      <c r="V77" s="104" t="n">
        <v>18</v>
      </c>
      <c r="W77" s="104" t="n">
        <v>18</v>
      </c>
      <c r="X77" s="105" t="n">
        <f aca="false">IF(V77&gt;=$C$3,W77/V77,"")</f>
        <v>1</v>
      </c>
      <c r="Y77" s="106" t="n">
        <f aca="false">COUNT(F77,I77,L77,O77,R77,U77,X77)</f>
        <v>4</v>
      </c>
      <c r="Z77" s="107" t="n">
        <f aca="false">IF(Y77=0,"",AVERAGE(F77,I77,L77,O77,R77,U77,X77))</f>
        <v>1</v>
      </c>
      <c r="AA77" s="108" t="n">
        <f aca="false">IF(ISNUMBER(Z77),C77*Z77,"")</f>
        <v>5896.49</v>
      </c>
      <c r="AB77" s="108" t="n">
        <f aca="false">IFERROR(INDEX('Shortlisted Drugs X Company (7)'!$K$3:$K$698,MATCH($A77,'Shortlisted Drugs X Company (7)'!$C$3:$C$698,0)),"")</f>
        <v>126</v>
      </c>
      <c r="AC77" s="108" t="n">
        <f aca="false">IF(AND(ISNUMBER(AB77),ISNUMBER(Z77)),ROUND(AB77*Z77,0),"")</f>
        <v>126</v>
      </c>
    </row>
    <row r="78" customFormat="false" ht="15" hidden="false" customHeight="false" outlineLevel="0" collapsed="false">
      <c r="A78" s="89" t="s">
        <v>804</v>
      </c>
      <c r="B78" s="90" t="s">
        <v>3802</v>
      </c>
      <c r="C78" s="103" t="n">
        <v>130453.11</v>
      </c>
      <c r="D78" s="104" t="n">
        <v>557</v>
      </c>
      <c r="E78" s="104" t="n">
        <v>113</v>
      </c>
      <c r="F78" s="105" t="n">
        <f aca="false">IF(D78&gt;=$C$3,E78/D78,"")</f>
        <v>0.202872531418312</v>
      </c>
      <c r="G78" s="104" t="n">
        <v>91</v>
      </c>
      <c r="H78" s="104" t="n">
        <v>8</v>
      </c>
      <c r="I78" s="105" t="n">
        <f aca="false">IF(G78&gt;=$C$3,H78/G78,"")</f>
        <v>0.0879120879120879</v>
      </c>
      <c r="J78" s="104" t="n">
        <v>32</v>
      </c>
      <c r="K78" s="104" t="n">
        <v>0</v>
      </c>
      <c r="L78" s="105" t="n">
        <f aca="false">IF(J78&gt;=$C$3,K78/J78,"")</f>
        <v>0</v>
      </c>
      <c r="M78" s="104" t="n">
        <v>126</v>
      </c>
      <c r="N78" s="104" t="n">
        <v>5</v>
      </c>
      <c r="O78" s="105" t="n">
        <f aca="false">IF(M78&gt;=$C$3,N78/M78,"")</f>
        <v>0.0396825396825397</v>
      </c>
      <c r="P78" s="104" t="n">
        <v>76</v>
      </c>
      <c r="Q78" s="104" t="n">
        <v>11</v>
      </c>
      <c r="R78" s="105" t="n">
        <f aca="false">IF(P78&gt;=$C$3,Q78/P78,"")</f>
        <v>0.144736842105263</v>
      </c>
      <c r="S78" s="104" t="n">
        <v>49</v>
      </c>
      <c r="T78" s="104" t="n">
        <v>10</v>
      </c>
      <c r="U78" s="105" t="n">
        <f aca="false">IF(S78&gt;=$C$3,T78/S78,"")</f>
        <v>0.204081632653061</v>
      </c>
      <c r="V78" s="104" t="n">
        <v>87</v>
      </c>
      <c r="W78" s="104" t="n">
        <v>4</v>
      </c>
      <c r="X78" s="105" t="n">
        <f aca="false">IF(V78&gt;=$C$3,W78/V78,"")</f>
        <v>0.0459770114942529</v>
      </c>
      <c r="Y78" s="106" t="n">
        <f aca="false">COUNT(F78,I78,L78,O78,R78,U78,X78)</f>
        <v>7</v>
      </c>
      <c r="Z78" s="107" t="n">
        <f aca="false">IF(Y78=0,"",AVERAGE(F78,I78,L78,O78,R78,U78,X78))</f>
        <v>0.103608949323645</v>
      </c>
      <c r="AA78" s="108" t="n">
        <f aca="false">IF(ISNUMBER(Z78),C78*Z78,"")</f>
        <v>13516.1096631019</v>
      </c>
      <c r="AB78" s="108" t="n">
        <f aca="false">IFERROR(INDEX('Shortlisted Drugs X Company (7)'!$K$3:$K$698,MATCH($A78,'Shortlisted Drugs X Company (7)'!$C$3:$C$698,0)),"")</f>
        <v>3168</v>
      </c>
      <c r="AC78" s="108" t="n">
        <f aca="false">IF(AND(ISNUMBER(AB78),ISNUMBER(Z78)),ROUND(AB78*Z78,0),"")</f>
        <v>328</v>
      </c>
    </row>
    <row r="79" customFormat="false" ht="15" hidden="false" customHeight="false" outlineLevel="0" collapsed="false">
      <c r="A79" s="89" t="s">
        <v>1481</v>
      </c>
      <c r="B79" s="90" t="s">
        <v>3800</v>
      </c>
      <c r="C79" s="103" t="n">
        <v>662.47</v>
      </c>
      <c r="D79" s="104" t="n">
        <v>2</v>
      </c>
      <c r="E79" s="104" t="n">
        <v>1</v>
      </c>
      <c r="F79" s="105" t="str">
        <f aca="false">IF(D79&gt;=$C$3,E79/D79,"")</f>
        <v/>
      </c>
      <c r="G79" s="104" t="n">
        <v>0</v>
      </c>
      <c r="H79" s="104" t="n">
        <v>0</v>
      </c>
      <c r="I79" s="105" t="str">
        <f aca="false">IF(G79&gt;=$C$3,H79/G79,"")</f>
        <v/>
      </c>
      <c r="J79" s="104" t="n">
        <v>2</v>
      </c>
      <c r="K79" s="104" t="n">
        <v>1</v>
      </c>
      <c r="L79" s="105" t="str">
        <f aca="false">IF(J79&gt;=$C$3,K79/J79,"")</f>
        <v/>
      </c>
      <c r="M79" s="104" t="n">
        <v>0</v>
      </c>
      <c r="N79" s="104" t="n">
        <v>0</v>
      </c>
      <c r="O79" s="105" t="str">
        <f aca="false">IF(M79&gt;=$C$3,N79/M79,"")</f>
        <v/>
      </c>
      <c r="P79" s="104" t="n">
        <v>0</v>
      </c>
      <c r="Q79" s="104" t="n">
        <v>0</v>
      </c>
      <c r="R79" s="105" t="str">
        <f aca="false">IF(P79&gt;=$C$3,Q79/P79,"")</f>
        <v/>
      </c>
      <c r="S79" s="104" t="n">
        <v>0</v>
      </c>
      <c r="T79" s="104" t="n">
        <v>0</v>
      </c>
      <c r="U79" s="105" t="str">
        <f aca="false">IF(S79&gt;=$C$3,T79/S79,"")</f>
        <v/>
      </c>
      <c r="V79" s="104" t="n">
        <v>9</v>
      </c>
      <c r="W79" s="104" t="n">
        <v>2</v>
      </c>
      <c r="X79" s="105" t="n">
        <f aca="false">IF(V79&gt;=$C$3,W79/V79,"")</f>
        <v>0.222222222222222</v>
      </c>
      <c r="Y79" s="106" t="n">
        <f aca="false">COUNT(F79,I79,L79,O79,R79,U79,X79)</f>
        <v>1</v>
      </c>
      <c r="Z79" s="107" t="n">
        <f aca="false">IF(Y79=0,"",AVERAGE(F79,I79,L79,O79,R79,U79,X79))</f>
        <v>0.222222222222222</v>
      </c>
      <c r="AA79" s="108" t="n">
        <f aca="false">IF(ISNUMBER(Z79),C79*Z79,"")</f>
        <v>147.215555555556</v>
      </c>
      <c r="AB79" s="108" t="n">
        <f aca="false">IFERROR(INDEX('Shortlisted Drugs X Company (7)'!$K$3:$K$698,MATCH($A79,'Shortlisted Drugs X Company (7)'!$C$3:$C$698,0)),"")</f>
        <v>10</v>
      </c>
      <c r="AC79" s="108" t="n">
        <f aca="false">IF(AND(ISNUMBER(AB79),ISNUMBER(Z79)),ROUND(AB79*Z79,0),"")</f>
        <v>2</v>
      </c>
    </row>
    <row r="80" customFormat="false" ht="15" hidden="false" customHeight="false" outlineLevel="0" collapsed="false">
      <c r="A80" s="89" t="s">
        <v>1303</v>
      </c>
      <c r="B80" s="90" t="s">
        <v>3791</v>
      </c>
      <c r="C80" s="103" t="n">
        <v>1781.11</v>
      </c>
      <c r="D80" s="104" t="n">
        <v>24</v>
      </c>
      <c r="E80" s="104" t="n">
        <v>24</v>
      </c>
      <c r="F80" s="105" t="n">
        <f aca="false">IF(D80&gt;=$C$3,E80/D80,"")</f>
        <v>1</v>
      </c>
      <c r="G80" s="104" t="n">
        <v>2</v>
      </c>
      <c r="H80" s="104" t="n">
        <v>2</v>
      </c>
      <c r="I80" s="105" t="str">
        <f aca="false">IF(G80&gt;=$C$3,H80/G80,"")</f>
        <v/>
      </c>
      <c r="J80" s="104" t="n">
        <v>2</v>
      </c>
      <c r="K80" s="104" t="n">
        <v>2</v>
      </c>
      <c r="L80" s="105" t="str">
        <f aca="false">IF(J80&gt;=$C$3,K80/J80,"")</f>
        <v/>
      </c>
      <c r="M80" s="104" t="n">
        <v>0</v>
      </c>
      <c r="N80" s="104" t="n">
        <v>0</v>
      </c>
      <c r="O80" s="105" t="str">
        <f aca="false">IF(M80&gt;=$C$3,N80/M80,"")</f>
        <v/>
      </c>
      <c r="P80" s="104" t="n">
        <v>2</v>
      </c>
      <c r="Q80" s="104" t="n">
        <v>2</v>
      </c>
      <c r="R80" s="105" t="str">
        <f aca="false">IF(P80&gt;=$C$3,Q80/P80,"")</f>
        <v/>
      </c>
      <c r="S80" s="104" t="n">
        <v>1</v>
      </c>
      <c r="T80" s="104" t="n">
        <v>1</v>
      </c>
      <c r="U80" s="105" t="str">
        <f aca="false">IF(S80&gt;=$C$3,T80/S80,"")</f>
        <v/>
      </c>
      <c r="V80" s="104" t="n">
        <v>7</v>
      </c>
      <c r="W80" s="104" t="n">
        <v>7</v>
      </c>
      <c r="X80" s="105" t="n">
        <f aca="false">IF(V80&gt;=$C$3,W80/V80,"")</f>
        <v>1</v>
      </c>
      <c r="Y80" s="106" t="n">
        <f aca="false">COUNT(F80,I80,L80,O80,R80,U80,X80)</f>
        <v>2</v>
      </c>
      <c r="Z80" s="107" t="n">
        <f aca="false">IF(Y80=0,"",AVERAGE(F80,I80,L80,O80,R80,U80,X80))</f>
        <v>1</v>
      </c>
      <c r="AA80" s="108" t="n">
        <f aca="false">IF(ISNUMBER(Z80),C80*Z80,"")</f>
        <v>1781.11</v>
      </c>
      <c r="AB80" s="108" t="n">
        <f aca="false">IFERROR(INDEX('Shortlisted Drugs X Company (7)'!$K$3:$K$698,MATCH($A80,'Shortlisted Drugs X Company (7)'!$C$3:$C$698,0)),"")</f>
        <v>69</v>
      </c>
      <c r="AC80" s="108" t="n">
        <f aca="false">IF(AND(ISNUMBER(AB80),ISNUMBER(Z80)),ROUND(AB80*Z80,0),"")</f>
        <v>69</v>
      </c>
    </row>
    <row r="81" customFormat="false" ht="15" hidden="false" customHeight="false" outlineLevel="0" collapsed="false">
      <c r="A81" s="89" t="s">
        <v>1208</v>
      </c>
      <c r="B81" s="90" t="s">
        <v>3802</v>
      </c>
      <c r="C81" s="103" t="n">
        <v>34008.96</v>
      </c>
      <c r="D81" s="104" t="n">
        <v>97</v>
      </c>
      <c r="E81" s="104" t="n">
        <v>7</v>
      </c>
      <c r="F81" s="105" t="n">
        <f aca="false">IF(D81&gt;=$C$3,E81/D81,"")</f>
        <v>0.0721649484536082</v>
      </c>
      <c r="G81" s="104" t="n">
        <v>26</v>
      </c>
      <c r="H81" s="104" t="n">
        <v>0</v>
      </c>
      <c r="I81" s="105" t="n">
        <f aca="false">IF(G81&gt;=$C$3,H81/G81,"")</f>
        <v>0</v>
      </c>
      <c r="J81" s="104" t="n">
        <v>20</v>
      </c>
      <c r="K81" s="104" t="n">
        <v>2</v>
      </c>
      <c r="L81" s="105" t="n">
        <f aca="false">IF(J81&gt;=$C$3,K81/J81,"")</f>
        <v>0.1</v>
      </c>
      <c r="M81" s="104" t="n">
        <v>16</v>
      </c>
      <c r="N81" s="104" t="n">
        <v>0</v>
      </c>
      <c r="O81" s="105" t="n">
        <f aca="false">IF(M81&gt;=$C$3,N81/M81,"")</f>
        <v>0</v>
      </c>
      <c r="P81" s="104" t="n">
        <v>0</v>
      </c>
      <c r="Q81" s="104" t="n">
        <v>0</v>
      </c>
      <c r="R81" s="105" t="str">
        <f aca="false">IF(P81&gt;=$C$3,Q81/P81,"")</f>
        <v/>
      </c>
      <c r="S81" s="104" t="n">
        <v>5</v>
      </c>
      <c r="T81" s="104" t="n">
        <v>0</v>
      </c>
      <c r="U81" s="105" t="n">
        <f aca="false">IF(S81&gt;=$C$3,T81/S81,"")</f>
        <v>0</v>
      </c>
      <c r="V81" s="104" t="n">
        <v>94</v>
      </c>
      <c r="W81" s="104" t="n">
        <v>10</v>
      </c>
      <c r="X81" s="105" t="n">
        <f aca="false">IF(V81&gt;=$C$3,W81/V81,"")</f>
        <v>0.106382978723404</v>
      </c>
      <c r="Y81" s="106" t="n">
        <f aca="false">COUNT(F81,I81,L81,O81,R81,U81,X81)</f>
        <v>6</v>
      </c>
      <c r="Z81" s="107" t="n">
        <f aca="false">IF(Y81=0,"",AVERAGE(F81,I81,L81,O81,R81,U81,X81))</f>
        <v>0.0464246545295021</v>
      </c>
      <c r="AA81" s="108" t="n">
        <f aca="false">IF(ISNUMBER(Z81),C81*Z81,"")</f>
        <v>1578.85421890766</v>
      </c>
      <c r="AB81" s="108" t="n">
        <f aca="false">IFERROR(INDEX('Shortlisted Drugs X Company (7)'!$K$3:$K$698,MATCH($A81,'Shortlisted Drugs X Company (7)'!$C$3:$C$698,0)),"")</f>
        <v>706</v>
      </c>
      <c r="AC81" s="108" t="n">
        <f aca="false">IF(AND(ISNUMBER(AB81),ISNUMBER(Z81)),ROUND(AB81*Z81,0),"")</f>
        <v>33</v>
      </c>
    </row>
    <row r="82" customFormat="false" ht="15" hidden="false" customHeight="false" outlineLevel="0" collapsed="false">
      <c r="A82" s="89" t="s">
        <v>1211</v>
      </c>
      <c r="B82" s="90" t="s">
        <v>3806</v>
      </c>
      <c r="C82" s="103" t="n">
        <v>1115.28</v>
      </c>
      <c r="D82" s="104" t="n">
        <v>376</v>
      </c>
      <c r="E82" s="104" t="n">
        <v>94</v>
      </c>
      <c r="F82" s="105" t="n">
        <f aca="false">IF(D82&gt;=$C$3,E82/D82,"")</f>
        <v>0.25</v>
      </c>
      <c r="G82" s="104" t="n">
        <v>110</v>
      </c>
      <c r="H82" s="104" t="n">
        <v>13</v>
      </c>
      <c r="I82" s="105" t="n">
        <f aca="false">IF(G82&gt;=$C$3,H82/G82,"")</f>
        <v>0.118181818181818</v>
      </c>
      <c r="J82" s="104" t="n">
        <v>24</v>
      </c>
      <c r="K82" s="104" t="n">
        <v>8</v>
      </c>
      <c r="L82" s="105" t="n">
        <f aca="false">IF(J82&gt;=$C$3,K82/J82,"")</f>
        <v>0.333333333333333</v>
      </c>
      <c r="M82" s="104" t="n">
        <v>59</v>
      </c>
      <c r="N82" s="104" t="n">
        <v>26</v>
      </c>
      <c r="O82" s="105" t="n">
        <f aca="false">IF(M82&gt;=$C$3,N82/M82,"")</f>
        <v>0.440677966101695</v>
      </c>
      <c r="P82" s="104" t="n">
        <v>22</v>
      </c>
      <c r="Q82" s="104" t="n">
        <v>6</v>
      </c>
      <c r="R82" s="105" t="n">
        <f aca="false">IF(P82&gt;=$C$3,Q82/P82,"")</f>
        <v>0.272727272727273</v>
      </c>
      <c r="S82" s="104" t="n">
        <v>21</v>
      </c>
      <c r="T82" s="104" t="n">
        <v>5</v>
      </c>
      <c r="U82" s="105" t="n">
        <f aca="false">IF(S82&gt;=$C$3,T82/S82,"")</f>
        <v>0.238095238095238</v>
      </c>
      <c r="V82" s="104" t="n">
        <v>33</v>
      </c>
      <c r="W82" s="104" t="n">
        <v>5</v>
      </c>
      <c r="X82" s="105" t="n">
        <f aca="false">IF(V82&gt;=$C$3,W82/V82,"")</f>
        <v>0.151515151515152</v>
      </c>
      <c r="Y82" s="106" t="n">
        <f aca="false">COUNT(F82,I82,L82,O82,R82,U82,X82)</f>
        <v>7</v>
      </c>
      <c r="Z82" s="107" t="n">
        <f aca="false">IF(Y82=0,"",AVERAGE(F82,I82,L82,O82,R82,U82,X82))</f>
        <v>0.257790111422073</v>
      </c>
      <c r="AA82" s="108" t="n">
        <f aca="false">IF(ISNUMBER(Z82),C82*Z82,"")</f>
        <v>287.508155466809</v>
      </c>
      <c r="AB82" s="108" t="n">
        <f aca="false">IFERROR(INDEX('Shortlisted Drugs X Company (7)'!$K$3:$K$698,MATCH($A82,'Shortlisted Drugs X Company (7)'!$C$3:$C$698,0)),"")</f>
        <v>58</v>
      </c>
      <c r="AC82" s="108" t="n">
        <f aca="false">IF(AND(ISNUMBER(AB82),ISNUMBER(Z82)),ROUND(AB82*Z82,0),"")</f>
        <v>15</v>
      </c>
    </row>
    <row r="83" customFormat="false" ht="15" hidden="false" customHeight="false" outlineLevel="0" collapsed="false">
      <c r="A83" s="89" t="s">
        <v>732</v>
      </c>
      <c r="B83" s="90" t="s">
        <v>3805</v>
      </c>
      <c r="C83" s="103" t="n">
        <v>376.39</v>
      </c>
      <c r="D83" s="104" t="n">
        <v>60</v>
      </c>
      <c r="E83" s="104" t="n">
        <v>58</v>
      </c>
      <c r="F83" s="105" t="n">
        <f aca="false">IF(D83&gt;=$C$3,E83/D83,"")</f>
        <v>0.966666666666667</v>
      </c>
      <c r="G83" s="104" t="n">
        <v>3</v>
      </c>
      <c r="H83" s="104" t="n">
        <v>3</v>
      </c>
      <c r="I83" s="105" t="n">
        <f aca="false">IF(G83&gt;=$C$3,H83/G83,"")</f>
        <v>1</v>
      </c>
      <c r="J83" s="104" t="n">
        <v>1</v>
      </c>
      <c r="K83" s="104" t="n">
        <v>1</v>
      </c>
      <c r="L83" s="105" t="str">
        <f aca="false">IF(J83&gt;=$C$3,K83/J83,"")</f>
        <v/>
      </c>
      <c r="M83" s="104" t="n">
        <v>30</v>
      </c>
      <c r="N83" s="104" t="n">
        <v>30</v>
      </c>
      <c r="O83" s="105" t="n">
        <f aca="false">IF(M83&gt;=$C$3,N83/M83,"")</f>
        <v>1</v>
      </c>
      <c r="P83" s="104" t="n">
        <v>1</v>
      </c>
      <c r="Q83" s="104" t="n">
        <v>1</v>
      </c>
      <c r="R83" s="105" t="str">
        <f aca="false">IF(P83&gt;=$C$3,Q83/P83,"")</f>
        <v/>
      </c>
      <c r="S83" s="104" t="n">
        <v>5</v>
      </c>
      <c r="T83" s="104" t="n">
        <v>5</v>
      </c>
      <c r="U83" s="105" t="n">
        <f aca="false">IF(S83&gt;=$C$3,T83/S83,"")</f>
        <v>1</v>
      </c>
      <c r="V83" s="104" t="n">
        <v>4</v>
      </c>
      <c r="W83" s="104" t="n">
        <v>4</v>
      </c>
      <c r="X83" s="105" t="n">
        <f aca="false">IF(V83&gt;=$C$3,W83/V83,"")</f>
        <v>1</v>
      </c>
      <c r="Y83" s="106" t="n">
        <f aca="false">COUNT(F83,I83,L83,O83,R83,U83,X83)</f>
        <v>5</v>
      </c>
      <c r="Z83" s="107" t="n">
        <f aca="false">IF(Y83=0,"",AVERAGE(F83,I83,L83,O83,R83,U83,X83))</f>
        <v>0.993333333333333</v>
      </c>
      <c r="AA83" s="108" t="n">
        <f aca="false">IF(ISNUMBER(Z83),C83*Z83,"")</f>
        <v>373.880733333333</v>
      </c>
      <c r="AB83" s="108" t="n">
        <f aca="false">IFERROR(INDEX('Shortlisted Drugs X Company (7)'!$K$3:$K$698,MATCH($A83,'Shortlisted Drugs X Company (7)'!$C$3:$C$698,0)),"")</f>
        <v>132</v>
      </c>
      <c r="AC83" s="108" t="n">
        <f aca="false">IF(AND(ISNUMBER(AB83),ISNUMBER(Z83)),ROUND(AB83*Z83,0),"")</f>
        <v>131</v>
      </c>
    </row>
    <row r="84" customFormat="false" ht="15" hidden="false" customHeight="false" outlineLevel="0" collapsed="false">
      <c r="A84" s="89" t="s">
        <v>433</v>
      </c>
      <c r="B84" s="90" t="s">
        <v>3792</v>
      </c>
      <c r="C84" s="103" t="n">
        <v>18803.98</v>
      </c>
      <c r="D84" s="104" t="n">
        <v>130</v>
      </c>
      <c r="E84" s="104" t="n">
        <v>70</v>
      </c>
      <c r="F84" s="105" t="n">
        <f aca="false">IF(D84&gt;=$C$3,E84/D84,"")</f>
        <v>0.538461538461538</v>
      </c>
      <c r="G84" s="104" t="n">
        <v>88</v>
      </c>
      <c r="H84" s="104" t="n">
        <v>24</v>
      </c>
      <c r="I84" s="105" t="n">
        <f aca="false">IF(G84&gt;=$C$3,H84/G84,"")</f>
        <v>0.272727272727273</v>
      </c>
      <c r="J84" s="104" t="n">
        <v>0</v>
      </c>
      <c r="K84" s="104" t="n">
        <v>0</v>
      </c>
      <c r="L84" s="105" t="str">
        <f aca="false">IF(J84&gt;=$C$3,K84/J84,"")</f>
        <v/>
      </c>
      <c r="M84" s="104" t="n">
        <v>38</v>
      </c>
      <c r="N84" s="104" t="n">
        <v>20</v>
      </c>
      <c r="O84" s="105" t="n">
        <f aca="false">IF(M84&gt;=$C$3,N84/M84,"")</f>
        <v>0.526315789473684</v>
      </c>
      <c r="P84" s="104" t="n">
        <v>12</v>
      </c>
      <c r="Q84" s="104" t="n">
        <v>0</v>
      </c>
      <c r="R84" s="105" t="n">
        <f aca="false">IF(P84&gt;=$C$3,Q84/P84,"")</f>
        <v>0</v>
      </c>
      <c r="S84" s="104" t="n">
        <v>2</v>
      </c>
      <c r="T84" s="104" t="n">
        <v>2</v>
      </c>
      <c r="U84" s="105" t="str">
        <f aca="false">IF(S84&gt;=$C$3,T84/S84,"")</f>
        <v/>
      </c>
      <c r="V84" s="104" t="n">
        <v>0</v>
      </c>
      <c r="W84" s="104" t="n">
        <v>0</v>
      </c>
      <c r="X84" s="105" t="str">
        <f aca="false">IF(V84&gt;=$C$3,W84/V84,"")</f>
        <v/>
      </c>
      <c r="Y84" s="106" t="n">
        <f aca="false">COUNT(F84,I84,L84,O84,R84,U84,X84)</f>
        <v>4</v>
      </c>
      <c r="Z84" s="107" t="n">
        <f aca="false">IF(Y84=0,"",AVERAGE(F84,I84,L84,O84,R84,U84,X84))</f>
        <v>0.334376150165624</v>
      </c>
      <c r="AA84" s="108" t="n">
        <f aca="false">IF(ISNUMBER(Z84),C84*Z84,"")</f>
        <v>6287.60244019139</v>
      </c>
      <c r="AB84" s="108" t="n">
        <f aca="false">IFERROR(INDEX('Shortlisted Drugs X Company (7)'!$K$3:$K$698,MATCH($A84,'Shortlisted Drugs X Company (7)'!$C$3:$C$698,0)),"")</f>
        <v>347</v>
      </c>
      <c r="AC84" s="108" t="n">
        <f aca="false">IF(AND(ISNUMBER(AB84),ISNUMBER(Z84)),ROUND(AB84*Z84,0),"")</f>
        <v>116</v>
      </c>
    </row>
    <row r="85" customFormat="false" ht="15" hidden="false" customHeight="false" outlineLevel="0" collapsed="false">
      <c r="A85" s="89" t="s">
        <v>1034</v>
      </c>
      <c r="B85" s="90" t="s">
        <v>3796</v>
      </c>
      <c r="C85" s="103" t="n">
        <v>5234.47</v>
      </c>
      <c r="D85" s="104" t="n">
        <v>70</v>
      </c>
      <c r="E85" s="104" t="n">
        <v>59</v>
      </c>
      <c r="F85" s="105" t="n">
        <f aca="false">IF(D85&gt;=$C$3,E85/D85,"")</f>
        <v>0.842857142857143</v>
      </c>
      <c r="G85" s="104" t="n">
        <v>7</v>
      </c>
      <c r="H85" s="104" t="n">
        <v>6</v>
      </c>
      <c r="I85" s="105" t="n">
        <f aca="false">IF(G85&gt;=$C$3,H85/G85,"")</f>
        <v>0.857142857142857</v>
      </c>
      <c r="J85" s="104" t="n">
        <v>3</v>
      </c>
      <c r="K85" s="104" t="n">
        <v>2</v>
      </c>
      <c r="L85" s="105" t="n">
        <f aca="false">IF(J85&gt;=$C$3,K85/J85,"")</f>
        <v>0.666666666666667</v>
      </c>
      <c r="M85" s="104" t="n">
        <v>5</v>
      </c>
      <c r="N85" s="104" t="n">
        <v>4</v>
      </c>
      <c r="O85" s="105" t="n">
        <f aca="false">IF(M85&gt;=$C$3,N85/M85,"")</f>
        <v>0.8</v>
      </c>
      <c r="P85" s="104" t="n">
        <v>2</v>
      </c>
      <c r="Q85" s="104" t="n">
        <v>2</v>
      </c>
      <c r="R85" s="105" t="str">
        <f aca="false">IF(P85&gt;=$C$3,Q85/P85,"")</f>
        <v/>
      </c>
      <c r="S85" s="104" t="n">
        <v>0</v>
      </c>
      <c r="T85" s="104" t="n">
        <v>0</v>
      </c>
      <c r="U85" s="105" t="str">
        <f aca="false">IF(S85&gt;=$C$3,T85/S85,"")</f>
        <v/>
      </c>
      <c r="V85" s="104" t="n">
        <v>5</v>
      </c>
      <c r="W85" s="104" t="n">
        <v>5</v>
      </c>
      <c r="X85" s="105" t="n">
        <f aca="false">IF(V85&gt;=$C$3,W85/V85,"")</f>
        <v>1</v>
      </c>
      <c r="Y85" s="106" t="n">
        <f aca="false">COUNT(F85,I85,L85,O85,R85,U85,X85)</f>
        <v>5</v>
      </c>
      <c r="Z85" s="107" t="n">
        <f aca="false">IF(Y85=0,"",AVERAGE(F85,I85,L85,O85,R85,U85,X85))</f>
        <v>0.833333333333333</v>
      </c>
      <c r="AA85" s="108" t="n">
        <f aca="false">IF(ISNUMBER(Z85),C85*Z85,"")</f>
        <v>4362.05833333333</v>
      </c>
      <c r="AB85" s="108" t="n">
        <f aca="false">IFERROR(INDEX('Shortlisted Drugs X Company (7)'!$K$3:$K$698,MATCH($A85,'Shortlisted Drugs X Company (7)'!$C$3:$C$698,0)),"")</f>
        <v>120</v>
      </c>
      <c r="AC85" s="108" t="n">
        <f aca="false">IF(AND(ISNUMBER(AB85),ISNUMBER(Z85)),ROUND(AB85*Z85,0),"")</f>
        <v>100</v>
      </c>
    </row>
    <row r="86" customFormat="false" ht="15" hidden="false" customHeight="false" outlineLevel="0" collapsed="false">
      <c r="A86" s="89" t="s">
        <v>1486</v>
      </c>
      <c r="B86" s="90" t="s">
        <v>3789</v>
      </c>
      <c r="C86" s="103" t="n">
        <v>1044.77</v>
      </c>
      <c r="D86" s="104" t="n">
        <v>57</v>
      </c>
      <c r="E86" s="104" t="n">
        <v>27</v>
      </c>
      <c r="F86" s="105" t="n">
        <f aca="false">IF(D86&gt;=$C$3,E86/D86,"")</f>
        <v>0.473684210526316</v>
      </c>
      <c r="G86" s="104" t="n">
        <v>7</v>
      </c>
      <c r="H86" s="104" t="n">
        <v>3</v>
      </c>
      <c r="I86" s="105" t="n">
        <f aca="false">IF(G86&gt;=$C$3,H86/G86,"")</f>
        <v>0.428571428571429</v>
      </c>
      <c r="J86" s="104" t="n">
        <v>3</v>
      </c>
      <c r="K86" s="104" t="n">
        <v>1</v>
      </c>
      <c r="L86" s="105" t="n">
        <f aca="false">IF(J86&gt;=$C$3,K86/J86,"")</f>
        <v>0.333333333333333</v>
      </c>
      <c r="M86" s="104" t="n">
        <v>8</v>
      </c>
      <c r="N86" s="104" t="n">
        <v>5</v>
      </c>
      <c r="O86" s="105" t="n">
        <f aca="false">IF(M86&gt;=$C$3,N86/M86,"")</f>
        <v>0.625</v>
      </c>
      <c r="P86" s="104" t="n">
        <v>3</v>
      </c>
      <c r="Q86" s="104" t="n">
        <v>1</v>
      </c>
      <c r="R86" s="105" t="n">
        <f aca="false">IF(P86&gt;=$C$3,Q86/P86,"")</f>
        <v>0.333333333333333</v>
      </c>
      <c r="S86" s="104" t="n">
        <v>3</v>
      </c>
      <c r="T86" s="104" t="n">
        <v>1</v>
      </c>
      <c r="U86" s="105" t="n">
        <f aca="false">IF(S86&gt;=$C$3,T86/S86,"")</f>
        <v>0.333333333333333</v>
      </c>
      <c r="V86" s="104" t="n">
        <v>14</v>
      </c>
      <c r="W86" s="104" t="n">
        <v>7</v>
      </c>
      <c r="X86" s="105" t="n">
        <f aca="false">IF(V86&gt;=$C$3,W86/V86,"")</f>
        <v>0.5</v>
      </c>
      <c r="Y86" s="106" t="n">
        <f aca="false">COUNT(F86,I86,L86,O86,R86,U86,X86)</f>
        <v>7</v>
      </c>
      <c r="Z86" s="107" t="n">
        <f aca="false">IF(Y86=0,"",AVERAGE(F86,I86,L86,O86,R86,U86,X86))</f>
        <v>0.432465091299678</v>
      </c>
      <c r="AA86" s="108" t="n">
        <f aca="false">IF(ISNUMBER(Z86),C86*Z86,"")</f>
        <v>451.826553437164</v>
      </c>
      <c r="AB86" s="108" t="n">
        <f aca="false">IFERROR(INDEX('Shortlisted Drugs X Company (7)'!$K$3:$K$698,MATCH($A86,'Shortlisted Drugs X Company (7)'!$C$3:$C$698,0)),"")</f>
        <v>111</v>
      </c>
      <c r="AC86" s="108" t="n">
        <f aca="false">IF(AND(ISNUMBER(AB86),ISNUMBER(Z86)),ROUND(AB86*Z86,0),"")</f>
        <v>48</v>
      </c>
    </row>
    <row r="87" customFormat="false" ht="15" hidden="false" customHeight="false" outlineLevel="0" collapsed="false">
      <c r="A87" s="89" t="s">
        <v>440</v>
      </c>
      <c r="B87" s="90" t="s">
        <v>3796</v>
      </c>
      <c r="C87" s="103" t="n">
        <v>7496</v>
      </c>
      <c r="D87" s="104" t="n">
        <v>130</v>
      </c>
      <c r="E87" s="104" t="n">
        <v>68</v>
      </c>
      <c r="F87" s="105" t="n">
        <f aca="false">IF(D87&gt;=$C$3,E87/D87,"")</f>
        <v>0.523076923076923</v>
      </c>
      <c r="G87" s="104" t="n">
        <v>10</v>
      </c>
      <c r="H87" s="104" t="n">
        <v>6</v>
      </c>
      <c r="I87" s="105" t="n">
        <f aca="false">IF(G87&gt;=$C$3,H87/G87,"")</f>
        <v>0.6</v>
      </c>
      <c r="J87" s="104" t="n">
        <v>7</v>
      </c>
      <c r="K87" s="104" t="n">
        <v>4</v>
      </c>
      <c r="L87" s="105" t="n">
        <f aca="false">IF(J87&gt;=$C$3,K87/J87,"")</f>
        <v>0.571428571428571</v>
      </c>
      <c r="M87" s="104" t="n">
        <v>40</v>
      </c>
      <c r="N87" s="104" t="n">
        <v>29</v>
      </c>
      <c r="O87" s="105" t="n">
        <f aca="false">IF(M87&gt;=$C$3,N87/M87,"")</f>
        <v>0.725</v>
      </c>
      <c r="P87" s="104" t="n">
        <v>11</v>
      </c>
      <c r="Q87" s="104" t="n">
        <v>10</v>
      </c>
      <c r="R87" s="105" t="n">
        <f aca="false">IF(P87&gt;=$C$3,Q87/P87,"")</f>
        <v>0.909090909090909</v>
      </c>
      <c r="S87" s="104" t="n">
        <v>3</v>
      </c>
      <c r="T87" s="104" t="n">
        <v>2</v>
      </c>
      <c r="U87" s="105" t="n">
        <f aca="false">IF(S87&gt;=$C$3,T87/S87,"")</f>
        <v>0.666666666666667</v>
      </c>
      <c r="V87" s="104" t="n">
        <v>25</v>
      </c>
      <c r="W87" s="104" t="n">
        <v>14</v>
      </c>
      <c r="X87" s="105" t="n">
        <f aca="false">IF(V87&gt;=$C$3,W87/V87,"")</f>
        <v>0.56</v>
      </c>
      <c r="Y87" s="106" t="n">
        <f aca="false">COUNT(F87,I87,L87,O87,R87,U87,X87)</f>
        <v>7</v>
      </c>
      <c r="Z87" s="107" t="n">
        <f aca="false">IF(Y87=0,"",AVERAGE(F87,I87,L87,O87,R87,U87,X87))</f>
        <v>0.650751867180439</v>
      </c>
      <c r="AA87" s="108" t="n">
        <f aca="false">IF(ISNUMBER(Z87),C87*Z87,"")</f>
        <v>4878.03599638457</v>
      </c>
      <c r="AB87" s="108" t="n">
        <f aca="false">IFERROR(INDEX('Shortlisted Drugs X Company (7)'!$K$3:$K$698,MATCH($A87,'Shortlisted Drugs X Company (7)'!$C$3:$C$698,0)),"")</f>
        <v>727</v>
      </c>
      <c r="AC87" s="108" t="n">
        <f aca="false">IF(AND(ISNUMBER(AB87),ISNUMBER(Z87)),ROUND(AB87*Z87,0),"")</f>
        <v>473</v>
      </c>
    </row>
    <row r="88" customFormat="false" ht="15" hidden="false" customHeight="false" outlineLevel="0" collapsed="false">
      <c r="A88" s="89" t="s">
        <v>444</v>
      </c>
      <c r="B88" s="90" t="s">
        <v>3794</v>
      </c>
      <c r="C88" s="103" t="n">
        <v>3407.51</v>
      </c>
      <c r="D88" s="104" t="n">
        <v>6</v>
      </c>
      <c r="E88" s="104" t="n">
        <v>6</v>
      </c>
      <c r="F88" s="105" t="n">
        <f aca="false">IF(D88&gt;=$C$3,E88/D88,"")</f>
        <v>1</v>
      </c>
      <c r="G88" s="104" t="n">
        <v>0</v>
      </c>
      <c r="H88" s="104" t="n">
        <v>0</v>
      </c>
      <c r="I88" s="105" t="str">
        <f aca="false">IF(G88&gt;=$C$3,H88/G88,"")</f>
        <v/>
      </c>
      <c r="J88" s="104" t="n">
        <v>0</v>
      </c>
      <c r="K88" s="104" t="n">
        <v>0</v>
      </c>
      <c r="L88" s="105" t="str">
        <f aca="false">IF(J88&gt;=$C$3,K88/J88,"")</f>
        <v/>
      </c>
      <c r="M88" s="104" t="n">
        <v>0</v>
      </c>
      <c r="N88" s="104" t="n">
        <v>0</v>
      </c>
      <c r="O88" s="105" t="str">
        <f aca="false">IF(M88&gt;=$C$3,N88/M88,"")</f>
        <v/>
      </c>
      <c r="P88" s="104" t="n">
        <v>0</v>
      </c>
      <c r="Q88" s="104" t="n">
        <v>0</v>
      </c>
      <c r="R88" s="105" t="str">
        <f aca="false">IF(P88&gt;=$C$3,Q88/P88,"")</f>
        <v/>
      </c>
      <c r="S88" s="104" t="n">
        <v>0</v>
      </c>
      <c r="T88" s="104" t="n">
        <v>0</v>
      </c>
      <c r="U88" s="105" t="str">
        <f aca="false">IF(S88&gt;=$C$3,T88/S88,"")</f>
        <v/>
      </c>
      <c r="V88" s="104" t="n">
        <v>7</v>
      </c>
      <c r="W88" s="104" t="n">
        <v>7</v>
      </c>
      <c r="X88" s="105" t="n">
        <f aca="false">IF(V88&gt;=$C$3,W88/V88,"")</f>
        <v>1</v>
      </c>
      <c r="Y88" s="106" t="n">
        <f aca="false">COUNT(F88,I88,L88,O88,R88,U88,X88)</f>
        <v>2</v>
      </c>
      <c r="Z88" s="107" t="n">
        <f aca="false">IF(Y88=0,"",AVERAGE(F88,I88,L88,O88,R88,U88,X88))</f>
        <v>1</v>
      </c>
      <c r="AA88" s="108" t="n">
        <f aca="false">IF(ISNUMBER(Z88),C88*Z88,"")</f>
        <v>3407.51</v>
      </c>
      <c r="AB88" s="108" t="n">
        <f aca="false">IFERROR(INDEX('Shortlisted Drugs X Company (7)'!$K$3:$K$698,MATCH($A88,'Shortlisted Drugs X Company (7)'!$C$3:$C$698,0)),"")</f>
        <v>126</v>
      </c>
      <c r="AC88" s="108" t="n">
        <f aca="false">IF(AND(ISNUMBER(AB88),ISNUMBER(Z88)),ROUND(AB88*Z88,0),"")</f>
        <v>126</v>
      </c>
    </row>
    <row r="89" customFormat="false" ht="15" hidden="false" customHeight="false" outlineLevel="0" collapsed="false">
      <c r="A89" s="89" t="s">
        <v>448</v>
      </c>
      <c r="B89" s="90" t="s">
        <v>3807</v>
      </c>
      <c r="C89" s="103" t="n">
        <v>5357.19</v>
      </c>
      <c r="D89" s="104" t="n">
        <v>175</v>
      </c>
      <c r="E89" s="104" t="n">
        <v>128</v>
      </c>
      <c r="F89" s="105" t="n">
        <f aca="false">IF(D89&gt;=$C$3,E89/D89,"")</f>
        <v>0.731428571428571</v>
      </c>
      <c r="G89" s="104" t="n">
        <v>14</v>
      </c>
      <c r="H89" s="104" t="n">
        <v>10</v>
      </c>
      <c r="I89" s="105" t="n">
        <f aca="false">IF(G89&gt;=$C$3,H89/G89,"")</f>
        <v>0.714285714285714</v>
      </c>
      <c r="J89" s="104" t="n">
        <v>9</v>
      </c>
      <c r="K89" s="104" t="n">
        <v>5</v>
      </c>
      <c r="L89" s="105" t="n">
        <f aca="false">IF(J89&gt;=$C$3,K89/J89,"")</f>
        <v>0.555555555555556</v>
      </c>
      <c r="M89" s="104" t="n">
        <v>152</v>
      </c>
      <c r="N89" s="104" t="n">
        <v>16</v>
      </c>
      <c r="O89" s="105" t="n">
        <f aca="false">IF(M89&gt;=$C$3,N89/M89,"")</f>
        <v>0.105263157894737</v>
      </c>
      <c r="P89" s="104" t="n">
        <v>11</v>
      </c>
      <c r="Q89" s="104" t="n">
        <v>10</v>
      </c>
      <c r="R89" s="105" t="n">
        <f aca="false">IF(P89&gt;=$C$3,Q89/P89,"")</f>
        <v>0.909090909090909</v>
      </c>
      <c r="S89" s="104" t="n">
        <v>6</v>
      </c>
      <c r="T89" s="104" t="n">
        <v>6</v>
      </c>
      <c r="U89" s="105" t="n">
        <f aca="false">IF(S89&gt;=$C$3,T89/S89,"")</f>
        <v>1</v>
      </c>
      <c r="V89" s="104" t="n">
        <v>61</v>
      </c>
      <c r="W89" s="104" t="n">
        <v>39</v>
      </c>
      <c r="X89" s="105" t="n">
        <f aca="false">IF(V89&gt;=$C$3,W89/V89,"")</f>
        <v>0.639344262295082</v>
      </c>
      <c r="Y89" s="106" t="n">
        <f aca="false">COUNT(F89,I89,L89,O89,R89,U89,X89)</f>
        <v>7</v>
      </c>
      <c r="Z89" s="107" t="n">
        <f aca="false">IF(Y89=0,"",AVERAGE(F89,I89,L89,O89,R89,U89,X89))</f>
        <v>0.664995452935796</v>
      </c>
      <c r="AA89" s="108" t="n">
        <f aca="false">IF(ISNUMBER(Z89),C89*Z89,"")</f>
        <v>3562.50699051312</v>
      </c>
      <c r="AB89" s="108" t="n">
        <f aca="false">IFERROR(INDEX('Shortlisted Drugs X Company (7)'!$K$3:$K$698,MATCH($A89,'Shortlisted Drugs X Company (7)'!$C$3:$C$698,0)),"")</f>
        <v>366</v>
      </c>
      <c r="AC89" s="108" t="n">
        <f aca="false">IF(AND(ISNUMBER(AB89),ISNUMBER(Z89)),ROUND(AB89*Z89,0),"")</f>
        <v>243</v>
      </c>
    </row>
    <row r="90" customFormat="false" ht="15" hidden="false" customHeight="false" outlineLevel="0" collapsed="false">
      <c r="A90" s="89" t="s">
        <v>295</v>
      </c>
      <c r="B90" s="90" t="s">
        <v>3796</v>
      </c>
      <c r="C90" s="103" t="n">
        <v>11366.06</v>
      </c>
      <c r="D90" s="104" t="n">
        <v>229</v>
      </c>
      <c r="E90" s="104" t="n">
        <v>229</v>
      </c>
      <c r="F90" s="105" t="n">
        <f aca="false">IF(D90&gt;=$C$3,E90/D90,"")</f>
        <v>1</v>
      </c>
      <c r="G90" s="104" t="n">
        <v>14</v>
      </c>
      <c r="H90" s="104" t="n">
        <v>14</v>
      </c>
      <c r="I90" s="105" t="n">
        <f aca="false">IF(G90&gt;=$C$3,H90/G90,"")</f>
        <v>1</v>
      </c>
      <c r="J90" s="104" t="n">
        <v>6</v>
      </c>
      <c r="K90" s="104" t="n">
        <v>6</v>
      </c>
      <c r="L90" s="105" t="n">
        <f aca="false">IF(J90&gt;=$C$3,K90/J90,"")</f>
        <v>1</v>
      </c>
      <c r="M90" s="104" t="n">
        <v>11</v>
      </c>
      <c r="N90" s="104" t="n">
        <v>11</v>
      </c>
      <c r="O90" s="105" t="n">
        <f aca="false">IF(M90&gt;=$C$3,N90/M90,"")</f>
        <v>1</v>
      </c>
      <c r="P90" s="104" t="n">
        <v>7</v>
      </c>
      <c r="Q90" s="104" t="n">
        <v>7</v>
      </c>
      <c r="R90" s="105" t="n">
        <f aca="false">IF(P90&gt;=$C$3,Q90/P90,"")</f>
        <v>1</v>
      </c>
      <c r="S90" s="104" t="n">
        <v>4</v>
      </c>
      <c r="T90" s="104" t="n">
        <v>4</v>
      </c>
      <c r="U90" s="105" t="n">
        <f aca="false">IF(S90&gt;=$C$3,T90/S90,"")</f>
        <v>1</v>
      </c>
      <c r="V90" s="104" t="n">
        <v>16</v>
      </c>
      <c r="W90" s="104" t="n">
        <v>16</v>
      </c>
      <c r="X90" s="105" t="n">
        <f aca="false">IF(V90&gt;=$C$3,W90/V90,"")</f>
        <v>1</v>
      </c>
      <c r="Y90" s="106" t="n">
        <f aca="false">COUNT(F90,I90,L90,O90,R90,U90,X90)</f>
        <v>7</v>
      </c>
      <c r="Z90" s="107" t="n">
        <f aca="false">IF(Y90=0,"",AVERAGE(F90,I90,L90,O90,R90,U90,X90))</f>
        <v>1</v>
      </c>
      <c r="AA90" s="108" t="n">
        <f aca="false">IF(ISNUMBER(Z90),C90*Z90,"")</f>
        <v>11366.06</v>
      </c>
      <c r="AB90" s="108" t="n">
        <f aca="false">IFERROR(INDEX('Shortlisted Drugs X Company (7)'!$K$3:$K$698,MATCH($A90,'Shortlisted Drugs X Company (7)'!$C$3:$C$698,0)),"")</f>
        <v>146</v>
      </c>
      <c r="AC90" s="108" t="n">
        <f aca="false">IF(AND(ISNUMBER(AB90),ISNUMBER(Z90)),ROUND(AB90*Z90,0),"")</f>
        <v>146</v>
      </c>
    </row>
    <row r="91" customFormat="false" ht="15" hidden="false" customHeight="false" outlineLevel="0" collapsed="false">
      <c r="A91" s="89" t="s">
        <v>1239</v>
      </c>
      <c r="B91" s="90" t="s">
        <v>3808</v>
      </c>
      <c r="C91" s="103" t="n">
        <v>135.07</v>
      </c>
      <c r="D91" s="104" t="n">
        <v>54</v>
      </c>
      <c r="E91" s="104" t="n">
        <v>54</v>
      </c>
      <c r="F91" s="105" t="n">
        <f aca="false">IF(D91&gt;=$C$3,E91/D91,"")</f>
        <v>1</v>
      </c>
      <c r="G91" s="104" t="n">
        <v>10</v>
      </c>
      <c r="H91" s="104" t="n">
        <v>10</v>
      </c>
      <c r="I91" s="105" t="n">
        <f aca="false">IF(G91&gt;=$C$3,H91/G91,"")</f>
        <v>1</v>
      </c>
      <c r="J91" s="104" t="n">
        <v>2</v>
      </c>
      <c r="K91" s="104" t="n">
        <v>2</v>
      </c>
      <c r="L91" s="105" t="str">
        <f aca="false">IF(J91&gt;=$C$3,K91/J91,"")</f>
        <v/>
      </c>
      <c r="M91" s="104" t="n">
        <v>6</v>
      </c>
      <c r="N91" s="104" t="n">
        <v>6</v>
      </c>
      <c r="O91" s="105" t="n">
        <f aca="false">IF(M91&gt;=$C$3,N91/M91,"")</f>
        <v>1</v>
      </c>
      <c r="P91" s="104" t="n">
        <v>4</v>
      </c>
      <c r="Q91" s="104" t="n">
        <v>4</v>
      </c>
      <c r="R91" s="105" t="n">
        <f aca="false">IF(P91&gt;=$C$3,Q91/P91,"")</f>
        <v>1</v>
      </c>
      <c r="S91" s="104" t="n">
        <v>3</v>
      </c>
      <c r="T91" s="104" t="n">
        <v>3</v>
      </c>
      <c r="U91" s="105" t="n">
        <f aca="false">IF(S91&gt;=$C$3,T91/S91,"")</f>
        <v>1</v>
      </c>
      <c r="V91" s="104" t="n">
        <v>5</v>
      </c>
      <c r="W91" s="104" t="n">
        <v>5</v>
      </c>
      <c r="X91" s="105" t="n">
        <f aca="false">IF(V91&gt;=$C$3,W91/V91,"")</f>
        <v>1</v>
      </c>
      <c r="Y91" s="106" t="n">
        <f aca="false">COUNT(F91,I91,L91,O91,R91,U91,X91)</f>
        <v>6</v>
      </c>
      <c r="Z91" s="107" t="n">
        <f aca="false">IF(Y91=0,"",AVERAGE(F91,I91,L91,O91,R91,U91,X91))</f>
        <v>1</v>
      </c>
      <c r="AA91" s="108" t="n">
        <f aca="false">IF(ISNUMBER(Z91),C91*Z91,"")</f>
        <v>135.07</v>
      </c>
      <c r="AB91" s="108" t="n">
        <f aca="false">IFERROR(INDEX('Shortlisted Drugs X Company (7)'!$K$3:$K$698,MATCH($A91,'Shortlisted Drugs X Company (7)'!$C$3:$C$698,0)),"")</f>
        <v>5</v>
      </c>
      <c r="AC91" s="108" t="n">
        <f aca="false">IF(AND(ISNUMBER(AB91),ISNUMBER(Z91)),ROUND(AB91*Z91,0),"")</f>
        <v>5</v>
      </c>
    </row>
    <row r="92" customFormat="false" ht="15" hidden="false" customHeight="false" outlineLevel="0" collapsed="false">
      <c r="A92" s="89" t="s">
        <v>888</v>
      </c>
      <c r="B92" s="90" t="s">
        <v>3791</v>
      </c>
      <c r="C92" s="103" t="n">
        <v>3193.58</v>
      </c>
      <c r="D92" s="104" t="n">
        <v>195</v>
      </c>
      <c r="E92" s="104" t="n">
        <v>62</v>
      </c>
      <c r="F92" s="105" t="n">
        <f aca="false">IF(D92&gt;=$C$3,E92/D92,"")</f>
        <v>0.317948717948718</v>
      </c>
      <c r="G92" s="104" t="n">
        <v>54</v>
      </c>
      <c r="H92" s="104" t="n">
        <v>16</v>
      </c>
      <c r="I92" s="105" t="n">
        <f aca="false">IF(G92&gt;=$C$3,H92/G92,"")</f>
        <v>0.296296296296296</v>
      </c>
      <c r="J92" s="104" t="n">
        <v>13</v>
      </c>
      <c r="K92" s="104" t="n">
        <v>8</v>
      </c>
      <c r="L92" s="105" t="n">
        <f aca="false">IF(J92&gt;=$C$3,K92/J92,"")</f>
        <v>0.615384615384615</v>
      </c>
      <c r="M92" s="104" t="n">
        <v>23</v>
      </c>
      <c r="N92" s="104" t="n">
        <v>9</v>
      </c>
      <c r="O92" s="105" t="n">
        <f aca="false">IF(M92&gt;=$C$3,N92/M92,"")</f>
        <v>0.391304347826087</v>
      </c>
      <c r="P92" s="104" t="n">
        <v>11</v>
      </c>
      <c r="Q92" s="104" t="n">
        <v>4</v>
      </c>
      <c r="R92" s="105" t="n">
        <f aca="false">IF(P92&gt;=$C$3,Q92/P92,"")</f>
        <v>0.363636363636364</v>
      </c>
      <c r="S92" s="104" t="n">
        <v>14</v>
      </c>
      <c r="T92" s="104" t="n">
        <v>6</v>
      </c>
      <c r="U92" s="105" t="n">
        <f aca="false">IF(S92&gt;=$C$3,T92/S92,"")</f>
        <v>0.428571428571429</v>
      </c>
      <c r="V92" s="104" t="n">
        <v>69</v>
      </c>
      <c r="W92" s="104" t="n">
        <v>35</v>
      </c>
      <c r="X92" s="105" t="n">
        <f aca="false">IF(V92&gt;=$C$3,W92/V92,"")</f>
        <v>0.507246376811594</v>
      </c>
      <c r="Y92" s="106" t="n">
        <f aca="false">COUNT(F92,I92,L92,O92,R92,U92,X92)</f>
        <v>7</v>
      </c>
      <c r="Z92" s="107" t="n">
        <f aca="false">IF(Y92=0,"",AVERAGE(F92,I92,L92,O92,R92,U92,X92))</f>
        <v>0.4171983066393</v>
      </c>
      <c r="AA92" s="108" t="n">
        <f aca="false">IF(ISNUMBER(Z92),C92*Z92,"")</f>
        <v>1332.35616811714</v>
      </c>
      <c r="AB92" s="108" t="n">
        <f aca="false">IFERROR(INDEX('Shortlisted Drugs X Company (7)'!$K$3:$K$698,MATCH($A92,'Shortlisted Drugs X Company (7)'!$C$3:$C$698,0)),"")</f>
        <v>286</v>
      </c>
      <c r="AC92" s="108" t="n">
        <f aca="false">IF(AND(ISNUMBER(AB92),ISNUMBER(Z92)),ROUND(AB92*Z92,0),"")</f>
        <v>119</v>
      </c>
    </row>
    <row r="93" customFormat="false" ht="15" hidden="false" customHeight="false" outlineLevel="0" collapsed="false">
      <c r="A93" s="89" t="s">
        <v>1393</v>
      </c>
      <c r="B93" s="90" t="s">
        <v>3807</v>
      </c>
      <c r="C93" s="103" t="n">
        <v>1206.55</v>
      </c>
      <c r="D93" s="104" t="n">
        <v>94</v>
      </c>
      <c r="E93" s="104" t="n">
        <v>45</v>
      </c>
      <c r="F93" s="105" t="n">
        <f aca="false">IF(D93&gt;=$C$3,E93/D93,"")</f>
        <v>0.478723404255319</v>
      </c>
      <c r="G93" s="104" t="n">
        <v>14</v>
      </c>
      <c r="H93" s="104" t="n">
        <v>4</v>
      </c>
      <c r="I93" s="105" t="n">
        <f aca="false">IF(G93&gt;=$C$3,H93/G93,"")</f>
        <v>0.285714285714286</v>
      </c>
      <c r="J93" s="104" t="n">
        <v>3</v>
      </c>
      <c r="K93" s="104" t="n">
        <v>1</v>
      </c>
      <c r="L93" s="105" t="n">
        <f aca="false">IF(J93&gt;=$C$3,K93/J93,"")</f>
        <v>0.333333333333333</v>
      </c>
      <c r="M93" s="104" t="n">
        <v>9</v>
      </c>
      <c r="N93" s="104" t="n">
        <v>8</v>
      </c>
      <c r="O93" s="105" t="n">
        <f aca="false">IF(M93&gt;=$C$3,N93/M93,"")</f>
        <v>0.888888888888889</v>
      </c>
      <c r="P93" s="104" t="n">
        <v>21</v>
      </c>
      <c r="Q93" s="104" t="n">
        <v>14</v>
      </c>
      <c r="R93" s="105" t="n">
        <f aca="false">IF(P93&gt;=$C$3,Q93/P93,"")</f>
        <v>0.666666666666667</v>
      </c>
      <c r="S93" s="104" t="n">
        <v>5</v>
      </c>
      <c r="T93" s="104" t="n">
        <v>4</v>
      </c>
      <c r="U93" s="105" t="n">
        <f aca="false">IF(S93&gt;=$C$3,T93/S93,"")</f>
        <v>0.8</v>
      </c>
      <c r="V93" s="104" t="n">
        <v>13</v>
      </c>
      <c r="W93" s="104" t="n">
        <v>8</v>
      </c>
      <c r="X93" s="105" t="n">
        <f aca="false">IF(V93&gt;=$C$3,W93/V93,"")</f>
        <v>0.615384615384615</v>
      </c>
      <c r="Y93" s="106" t="n">
        <f aca="false">COUNT(F93,I93,L93,O93,R93,U93,X93)</f>
        <v>7</v>
      </c>
      <c r="Z93" s="107" t="n">
        <f aca="false">IF(Y93=0,"",AVERAGE(F93,I93,L93,O93,R93,U93,X93))</f>
        <v>0.581244456320444</v>
      </c>
      <c r="AA93" s="108" t="n">
        <f aca="false">IF(ISNUMBER(Z93),C93*Z93,"")</f>
        <v>701.300498773432</v>
      </c>
      <c r="AB93" s="108" t="n">
        <f aca="false">IFERROR(INDEX('Shortlisted Drugs X Company (7)'!$K$3:$K$698,MATCH($A93,'Shortlisted Drugs X Company (7)'!$C$3:$C$698,0)),"")</f>
        <v>59</v>
      </c>
      <c r="AC93" s="108" t="n">
        <f aca="false">IF(AND(ISNUMBER(AB93),ISNUMBER(Z93)),ROUND(AB93*Z93,0),"")</f>
        <v>34</v>
      </c>
    </row>
    <row r="94" customFormat="false" ht="15" hidden="false" customHeight="false" outlineLevel="0" collapsed="false">
      <c r="A94" s="89" t="s">
        <v>1434</v>
      </c>
      <c r="B94" s="90" t="s">
        <v>3794</v>
      </c>
      <c r="C94" s="103" t="n">
        <v>11022.87</v>
      </c>
      <c r="D94" s="104" t="n">
        <v>105</v>
      </c>
      <c r="E94" s="104" t="n">
        <v>73</v>
      </c>
      <c r="F94" s="105" t="n">
        <f aca="false">IF(D94&gt;=$C$3,E94/D94,"")</f>
        <v>0.695238095238095</v>
      </c>
      <c r="G94" s="104" t="n">
        <v>32</v>
      </c>
      <c r="H94" s="104" t="n">
        <v>8</v>
      </c>
      <c r="I94" s="105" t="n">
        <f aca="false">IF(G94&gt;=$C$3,H94/G94,"")</f>
        <v>0.25</v>
      </c>
      <c r="J94" s="104" t="n">
        <v>9</v>
      </c>
      <c r="K94" s="104" t="n">
        <v>4</v>
      </c>
      <c r="L94" s="105" t="n">
        <f aca="false">IF(J94&gt;=$C$3,K94/J94,"")</f>
        <v>0.444444444444444</v>
      </c>
      <c r="M94" s="104" t="n">
        <v>12</v>
      </c>
      <c r="N94" s="104" t="n">
        <v>7</v>
      </c>
      <c r="O94" s="105" t="n">
        <f aca="false">IF(M94&gt;=$C$3,N94/M94,"")</f>
        <v>0.583333333333333</v>
      </c>
      <c r="P94" s="104" t="n">
        <v>7</v>
      </c>
      <c r="Q94" s="104" t="n">
        <v>1</v>
      </c>
      <c r="R94" s="105" t="n">
        <f aca="false">IF(P94&gt;=$C$3,Q94/P94,"")</f>
        <v>0.142857142857143</v>
      </c>
      <c r="S94" s="104" t="n">
        <v>0</v>
      </c>
      <c r="T94" s="104" t="n">
        <v>0</v>
      </c>
      <c r="U94" s="105" t="str">
        <f aca="false">IF(S94&gt;=$C$3,T94/S94,"")</f>
        <v/>
      </c>
      <c r="V94" s="104" t="n">
        <v>91</v>
      </c>
      <c r="W94" s="104" t="n">
        <v>30</v>
      </c>
      <c r="X94" s="105" t="n">
        <f aca="false">IF(V94&gt;=$C$3,W94/V94,"")</f>
        <v>0.32967032967033</v>
      </c>
      <c r="Y94" s="106" t="n">
        <f aca="false">COUNT(F94,I94,L94,O94,R94,U94,X94)</f>
        <v>6</v>
      </c>
      <c r="Z94" s="107" t="n">
        <f aca="false">IF(Y94=0,"",AVERAGE(F94,I94,L94,O94,R94,U94,X94))</f>
        <v>0.407590557590558</v>
      </c>
      <c r="AA94" s="108" t="n">
        <f aca="false">IF(ISNUMBER(Z94),C94*Z94,"")</f>
        <v>4492.81772954823</v>
      </c>
      <c r="AB94" s="108" t="n">
        <f aca="false">IFERROR(INDEX('Shortlisted Drugs X Company (7)'!$K$3:$K$698,MATCH($A94,'Shortlisted Drugs X Company (7)'!$C$3:$C$698,0)),"")</f>
        <v>669</v>
      </c>
      <c r="AC94" s="108" t="n">
        <f aca="false">IF(AND(ISNUMBER(AB94),ISNUMBER(Z94)),ROUND(AB94*Z94,0),"")</f>
        <v>273</v>
      </c>
    </row>
    <row r="95" customFormat="false" ht="15" hidden="false" customHeight="false" outlineLevel="0" collapsed="false">
      <c r="A95" s="89" t="s">
        <v>1490</v>
      </c>
      <c r="B95" s="90" t="s">
        <v>3794</v>
      </c>
      <c r="C95" s="103" t="n">
        <v>1942.31</v>
      </c>
      <c r="D95" s="104" t="n">
        <v>33</v>
      </c>
      <c r="E95" s="104" t="n">
        <v>33</v>
      </c>
      <c r="F95" s="105" t="n">
        <f aca="false">IF(D95&gt;=$C$3,E95/D95,"")</f>
        <v>1</v>
      </c>
      <c r="G95" s="104" t="n">
        <v>4</v>
      </c>
      <c r="H95" s="104" t="n">
        <v>2</v>
      </c>
      <c r="I95" s="105" t="n">
        <f aca="false">IF(G95&gt;=$C$3,H95/G95,"")</f>
        <v>0.5</v>
      </c>
      <c r="J95" s="104" t="n">
        <v>1</v>
      </c>
      <c r="K95" s="104" t="n">
        <v>1</v>
      </c>
      <c r="L95" s="105" t="str">
        <f aca="false">IF(J95&gt;=$C$3,K95/J95,"")</f>
        <v/>
      </c>
      <c r="M95" s="104" t="n">
        <v>2</v>
      </c>
      <c r="N95" s="104" t="n">
        <v>2</v>
      </c>
      <c r="O95" s="105" t="str">
        <f aca="false">IF(M95&gt;=$C$3,N95/M95,"")</f>
        <v/>
      </c>
      <c r="P95" s="104" t="n">
        <v>0</v>
      </c>
      <c r="Q95" s="104" t="n">
        <v>0</v>
      </c>
      <c r="R95" s="105" t="str">
        <f aca="false">IF(P95&gt;=$C$3,Q95/P95,"")</f>
        <v/>
      </c>
      <c r="S95" s="104" t="n">
        <v>0</v>
      </c>
      <c r="T95" s="104" t="n">
        <v>0</v>
      </c>
      <c r="U95" s="105" t="str">
        <f aca="false">IF(S95&gt;=$C$3,T95/S95,"")</f>
        <v/>
      </c>
      <c r="V95" s="104" t="n">
        <v>27</v>
      </c>
      <c r="W95" s="104" t="n">
        <v>27</v>
      </c>
      <c r="X95" s="105" t="n">
        <f aca="false">IF(V95&gt;=$C$3,W95/V95,"")</f>
        <v>1</v>
      </c>
      <c r="Y95" s="106" t="n">
        <f aca="false">COUNT(F95,I95,L95,O95,R95,U95,X95)</f>
        <v>3</v>
      </c>
      <c r="Z95" s="107" t="n">
        <f aca="false">IF(Y95=0,"",AVERAGE(F95,I95,L95,O95,R95,U95,X95))</f>
        <v>0.833333333333333</v>
      </c>
      <c r="AA95" s="108" t="n">
        <f aca="false">IF(ISNUMBER(Z95),C95*Z95,"")</f>
        <v>1618.59166666667</v>
      </c>
      <c r="AB95" s="108" t="n">
        <f aca="false">IFERROR(INDEX('Shortlisted Drugs X Company (7)'!$K$3:$K$698,MATCH($A95,'Shortlisted Drugs X Company (7)'!$C$3:$C$698,0)),"")</f>
        <v>43</v>
      </c>
      <c r="AC95" s="108" t="n">
        <f aca="false">IF(AND(ISNUMBER(AB95),ISNUMBER(Z95)),ROUND(AB95*Z95,0),"")</f>
        <v>36</v>
      </c>
    </row>
    <row r="96" customFormat="false" ht="15" hidden="false" customHeight="false" outlineLevel="0" collapsed="false">
      <c r="A96" s="89" t="s">
        <v>1438</v>
      </c>
      <c r="B96" s="90" t="s">
        <v>3791</v>
      </c>
      <c r="C96" s="103" t="n">
        <v>175.06</v>
      </c>
      <c r="D96" s="104" t="n">
        <v>11</v>
      </c>
      <c r="E96" s="104" t="n">
        <v>11</v>
      </c>
      <c r="F96" s="105" t="n">
        <f aca="false">IF(D96&gt;=$C$3,E96/D96,"")</f>
        <v>1</v>
      </c>
      <c r="G96" s="104" t="n">
        <v>2</v>
      </c>
      <c r="H96" s="104" t="n">
        <v>2</v>
      </c>
      <c r="I96" s="105" t="str">
        <f aca="false">IF(G96&gt;=$C$3,H96/G96,"")</f>
        <v/>
      </c>
      <c r="J96" s="104" t="n">
        <v>5</v>
      </c>
      <c r="K96" s="104" t="n">
        <v>5</v>
      </c>
      <c r="L96" s="105" t="n">
        <f aca="false">IF(J96&gt;=$C$3,K96/J96,"")</f>
        <v>1</v>
      </c>
      <c r="M96" s="104" t="n">
        <v>1</v>
      </c>
      <c r="N96" s="104" t="n">
        <v>1</v>
      </c>
      <c r="O96" s="105" t="str">
        <f aca="false">IF(M96&gt;=$C$3,N96/M96,"")</f>
        <v/>
      </c>
      <c r="P96" s="104" t="n">
        <v>1</v>
      </c>
      <c r="Q96" s="104" t="n">
        <v>1</v>
      </c>
      <c r="R96" s="105" t="str">
        <f aca="false">IF(P96&gt;=$C$3,Q96/P96,"")</f>
        <v/>
      </c>
      <c r="S96" s="104" t="n">
        <v>5</v>
      </c>
      <c r="T96" s="104" t="n">
        <v>5</v>
      </c>
      <c r="U96" s="105" t="n">
        <f aca="false">IF(S96&gt;=$C$3,T96/S96,"")</f>
        <v>1</v>
      </c>
      <c r="V96" s="104" t="n">
        <v>17</v>
      </c>
      <c r="W96" s="104" t="n">
        <v>17</v>
      </c>
      <c r="X96" s="105" t="n">
        <f aca="false">IF(V96&gt;=$C$3,W96/V96,"")</f>
        <v>1</v>
      </c>
      <c r="Y96" s="106" t="n">
        <f aca="false">COUNT(F96,I96,L96,O96,R96,U96,X96)</f>
        <v>4</v>
      </c>
      <c r="Z96" s="107" t="n">
        <f aca="false">IF(Y96=0,"",AVERAGE(F96,I96,L96,O96,R96,U96,X96))</f>
        <v>1</v>
      </c>
      <c r="AA96" s="108" t="n">
        <f aca="false">IF(ISNUMBER(Z96),C96*Z96,"")</f>
        <v>175.06</v>
      </c>
      <c r="AB96" s="108" t="n">
        <f aca="false">IFERROR(INDEX('Shortlisted Drugs X Company (7)'!$K$3:$K$698,MATCH($A96,'Shortlisted Drugs X Company (7)'!$C$3:$C$698,0)),"")</f>
        <v>106</v>
      </c>
      <c r="AC96" s="108" t="n">
        <f aca="false">IF(AND(ISNUMBER(AB96),ISNUMBER(Z96)),ROUND(AB96*Z96,0),"")</f>
        <v>106</v>
      </c>
    </row>
    <row r="97" customFormat="false" ht="15" hidden="false" customHeight="false" outlineLevel="0" collapsed="false">
      <c r="A97" s="89" t="s">
        <v>459</v>
      </c>
      <c r="B97" s="90" t="s">
        <v>3790</v>
      </c>
      <c r="C97" s="103" t="n">
        <v>21671.77</v>
      </c>
      <c r="D97" s="104" t="n">
        <v>12</v>
      </c>
      <c r="E97" s="104" t="n">
        <v>3</v>
      </c>
      <c r="F97" s="105" t="n">
        <f aca="false">IF(D97&gt;=$C$3,E97/D97,"")</f>
        <v>0.25</v>
      </c>
      <c r="G97" s="104" t="n">
        <v>10</v>
      </c>
      <c r="H97" s="104" t="n">
        <v>1</v>
      </c>
      <c r="I97" s="105" t="n">
        <f aca="false">IF(G97&gt;=$C$3,H97/G97,"")</f>
        <v>0.1</v>
      </c>
      <c r="J97" s="104" t="n">
        <v>14</v>
      </c>
      <c r="K97" s="104" t="n">
        <v>2</v>
      </c>
      <c r="L97" s="105" t="n">
        <f aca="false">IF(J97&gt;=$C$3,K97/J97,"")</f>
        <v>0.142857142857143</v>
      </c>
      <c r="M97" s="104" t="n">
        <v>3</v>
      </c>
      <c r="N97" s="104" t="n">
        <v>1</v>
      </c>
      <c r="O97" s="105" t="n">
        <f aca="false">IF(M97&gt;=$C$3,N97/M97,"")</f>
        <v>0.333333333333333</v>
      </c>
      <c r="P97" s="104" t="n">
        <v>12</v>
      </c>
      <c r="Q97" s="104" t="n">
        <v>0</v>
      </c>
      <c r="R97" s="105" t="n">
        <f aca="false">IF(P97&gt;=$C$3,Q97/P97,"")</f>
        <v>0</v>
      </c>
      <c r="S97" s="104" t="n">
        <v>2</v>
      </c>
      <c r="T97" s="104" t="n">
        <v>0</v>
      </c>
      <c r="U97" s="105" t="str">
        <f aca="false">IF(S97&gt;=$C$3,T97/S97,"")</f>
        <v/>
      </c>
      <c r="V97" s="104" t="n">
        <v>54</v>
      </c>
      <c r="W97" s="104" t="n">
        <v>8</v>
      </c>
      <c r="X97" s="105" t="n">
        <f aca="false">IF(V97&gt;=$C$3,W97/V97,"")</f>
        <v>0.148148148148148</v>
      </c>
      <c r="Y97" s="106" t="n">
        <f aca="false">COUNT(F97,I97,L97,O97,R97,U97,X97)</f>
        <v>6</v>
      </c>
      <c r="Z97" s="107" t="n">
        <f aca="false">IF(Y97=0,"",AVERAGE(F97,I97,L97,O97,R97,U97,X97))</f>
        <v>0.162389770723104</v>
      </c>
      <c r="AA97" s="108" t="n">
        <f aca="false">IF(ISNUMBER(Z97),C97*Z97,"")</f>
        <v>3519.27376146384</v>
      </c>
      <c r="AB97" s="108" t="n">
        <f aca="false">IFERROR(INDEX('Shortlisted Drugs X Company (7)'!$K$3:$K$698,MATCH($A97,'Shortlisted Drugs X Company (7)'!$C$3:$C$698,0)),"")</f>
        <v>503</v>
      </c>
      <c r="AC97" s="108" t="n">
        <f aca="false">IF(AND(ISNUMBER(AB97),ISNUMBER(Z97)),ROUND(AB97*Z97,0),"")</f>
        <v>82</v>
      </c>
    </row>
    <row r="98" customFormat="false" ht="15" hidden="false" customHeight="false" outlineLevel="0" collapsed="false">
      <c r="A98" s="89" t="s">
        <v>632</v>
      </c>
      <c r="B98" s="90" t="s">
        <v>3809</v>
      </c>
      <c r="C98" s="103" t="n">
        <v>38106.07</v>
      </c>
      <c r="D98" s="104" t="n">
        <v>638</v>
      </c>
      <c r="E98" s="104" t="n">
        <v>72</v>
      </c>
      <c r="F98" s="105" t="n">
        <f aca="false">IF(D98&gt;=$C$3,E98/D98,"")</f>
        <v>0.112852664576803</v>
      </c>
      <c r="G98" s="104" t="n">
        <v>170</v>
      </c>
      <c r="H98" s="104" t="n">
        <v>7</v>
      </c>
      <c r="I98" s="105" t="n">
        <f aca="false">IF(G98&gt;=$C$3,H98/G98,"")</f>
        <v>0.0411764705882353</v>
      </c>
      <c r="J98" s="104" t="n">
        <v>26</v>
      </c>
      <c r="K98" s="104" t="n">
        <v>4</v>
      </c>
      <c r="L98" s="105" t="n">
        <f aca="false">IF(J98&gt;=$C$3,K98/J98,"")</f>
        <v>0.153846153846154</v>
      </c>
      <c r="M98" s="104" t="n">
        <v>82</v>
      </c>
      <c r="N98" s="104" t="n">
        <v>10</v>
      </c>
      <c r="O98" s="105" t="n">
        <f aca="false">IF(M98&gt;=$C$3,N98/M98,"")</f>
        <v>0.121951219512195</v>
      </c>
      <c r="P98" s="104" t="n">
        <v>37</v>
      </c>
      <c r="Q98" s="104" t="n">
        <v>9</v>
      </c>
      <c r="R98" s="105" t="n">
        <f aca="false">IF(P98&gt;=$C$3,Q98/P98,"")</f>
        <v>0.243243243243243</v>
      </c>
      <c r="S98" s="104" t="n">
        <v>23</v>
      </c>
      <c r="T98" s="104" t="n">
        <v>4</v>
      </c>
      <c r="U98" s="105" t="n">
        <f aca="false">IF(S98&gt;=$C$3,T98/S98,"")</f>
        <v>0.173913043478261</v>
      </c>
      <c r="V98" s="104" t="n">
        <v>205</v>
      </c>
      <c r="W98" s="104" t="n">
        <v>7</v>
      </c>
      <c r="X98" s="105" t="n">
        <f aca="false">IF(V98&gt;=$C$3,W98/V98,"")</f>
        <v>0.0341463414634146</v>
      </c>
      <c r="Y98" s="106" t="n">
        <f aca="false">COUNT(F98,I98,L98,O98,R98,U98,X98)</f>
        <v>7</v>
      </c>
      <c r="Z98" s="107" t="n">
        <f aca="false">IF(Y98=0,"",AVERAGE(F98,I98,L98,O98,R98,U98,X98))</f>
        <v>0.125875590958329</v>
      </c>
      <c r="AA98" s="108" t="n">
        <f aca="false">IF(ISNUMBER(Z98),C98*Z98,"")</f>
        <v>4796.62408034947</v>
      </c>
      <c r="AB98" s="108" t="n">
        <f aca="false">IFERROR(INDEX('Shortlisted Drugs X Company (7)'!$K$3:$K$698,MATCH($A98,'Shortlisted Drugs X Company (7)'!$C$3:$C$698,0)),"")</f>
        <v>2582</v>
      </c>
      <c r="AC98" s="108" t="n">
        <f aca="false">IF(AND(ISNUMBER(AB98),ISNUMBER(Z98)),ROUND(AB98*Z98,0),"")</f>
        <v>325</v>
      </c>
    </row>
    <row r="99" customFormat="false" ht="15" hidden="false" customHeight="false" outlineLevel="0" collapsed="false">
      <c r="A99" s="89" t="s">
        <v>1051</v>
      </c>
      <c r="B99" s="90" t="s">
        <v>3793</v>
      </c>
      <c r="C99" s="103" t="n">
        <v>457.96</v>
      </c>
      <c r="D99" s="104" t="n">
        <v>54</v>
      </c>
      <c r="E99" s="104" t="n">
        <v>52</v>
      </c>
      <c r="F99" s="105" t="n">
        <f aca="false">IF(D99&gt;=$C$3,E99/D99,"")</f>
        <v>0.962962962962963</v>
      </c>
      <c r="G99" s="104" t="n">
        <v>11</v>
      </c>
      <c r="H99" s="104" t="n">
        <v>11</v>
      </c>
      <c r="I99" s="105" t="n">
        <f aca="false">IF(G99&gt;=$C$3,H99/G99,"")</f>
        <v>1</v>
      </c>
      <c r="J99" s="104" t="n">
        <v>1</v>
      </c>
      <c r="K99" s="104" t="n">
        <v>1</v>
      </c>
      <c r="L99" s="105" t="str">
        <f aca="false">IF(J99&gt;=$C$3,K99/J99,"")</f>
        <v/>
      </c>
      <c r="M99" s="104" t="n">
        <v>48</v>
      </c>
      <c r="N99" s="104" t="n">
        <v>4</v>
      </c>
      <c r="O99" s="105" t="n">
        <f aca="false">IF(M99&gt;=$C$3,N99/M99,"")</f>
        <v>0.0833333333333333</v>
      </c>
      <c r="P99" s="104" t="n">
        <v>0</v>
      </c>
      <c r="Q99" s="104" t="n">
        <v>0</v>
      </c>
      <c r="R99" s="105" t="str">
        <f aca="false">IF(P99&gt;=$C$3,Q99/P99,"")</f>
        <v/>
      </c>
      <c r="S99" s="104" t="n">
        <v>5</v>
      </c>
      <c r="T99" s="104" t="n">
        <v>2</v>
      </c>
      <c r="U99" s="105" t="n">
        <f aca="false">IF(S99&gt;=$C$3,T99/S99,"")</f>
        <v>0.4</v>
      </c>
      <c r="V99" s="104" t="n">
        <v>3</v>
      </c>
      <c r="W99" s="104" t="n">
        <v>3</v>
      </c>
      <c r="X99" s="105" t="n">
        <f aca="false">IF(V99&gt;=$C$3,W99/V99,"")</f>
        <v>1</v>
      </c>
      <c r="Y99" s="106" t="n">
        <f aca="false">COUNT(F99,I99,L99,O99,R99,U99,X99)</f>
        <v>5</v>
      </c>
      <c r="Z99" s="107" t="n">
        <f aca="false">IF(Y99=0,"",AVERAGE(F99,I99,L99,O99,R99,U99,X99))</f>
        <v>0.689259259259259</v>
      </c>
      <c r="AA99" s="108" t="n">
        <f aca="false">IF(ISNUMBER(Z99),C99*Z99,"")</f>
        <v>315.65317037037</v>
      </c>
      <c r="AB99" s="108" t="n">
        <f aca="false">IFERROR(INDEX('Shortlisted Drugs X Company (7)'!$K$3:$K$698,MATCH($A99,'Shortlisted Drugs X Company (7)'!$C$3:$C$698,0)),"")</f>
        <v>32</v>
      </c>
      <c r="AC99" s="108" t="n">
        <f aca="false">IF(AND(ISNUMBER(AB99),ISNUMBER(Z99)),ROUND(AB99*Z99,0),"")</f>
        <v>22</v>
      </c>
    </row>
    <row r="100" customFormat="false" ht="15" hidden="false" customHeight="false" outlineLevel="0" collapsed="false">
      <c r="A100" s="89" t="s">
        <v>1444</v>
      </c>
      <c r="B100" s="90" t="s">
        <v>3810</v>
      </c>
      <c r="C100" s="103" t="n">
        <v>64.81</v>
      </c>
      <c r="D100" s="104" t="n">
        <v>13</v>
      </c>
      <c r="E100" s="104" t="n">
        <v>8</v>
      </c>
      <c r="F100" s="105" t="n">
        <f aca="false">IF(D100&gt;=$C$3,E100/D100,"")</f>
        <v>0.615384615384615</v>
      </c>
      <c r="G100" s="104" t="n">
        <v>9</v>
      </c>
      <c r="H100" s="104" t="n">
        <v>5</v>
      </c>
      <c r="I100" s="105" t="n">
        <f aca="false">IF(G100&gt;=$C$3,H100/G100,"")</f>
        <v>0.555555555555556</v>
      </c>
      <c r="J100" s="104" t="n">
        <v>2</v>
      </c>
      <c r="K100" s="104" t="n">
        <v>2</v>
      </c>
      <c r="L100" s="105" t="str">
        <f aca="false">IF(J100&gt;=$C$3,K100/J100,"")</f>
        <v/>
      </c>
      <c r="M100" s="104" t="n">
        <v>17</v>
      </c>
      <c r="N100" s="104" t="n">
        <v>0</v>
      </c>
      <c r="O100" s="105" t="n">
        <f aca="false">IF(M100&gt;=$C$3,N100/M100,"")</f>
        <v>0</v>
      </c>
      <c r="P100" s="104" t="n">
        <v>0</v>
      </c>
      <c r="Q100" s="104" t="n">
        <v>0</v>
      </c>
      <c r="R100" s="105" t="str">
        <f aca="false">IF(P100&gt;=$C$3,Q100/P100,"")</f>
        <v/>
      </c>
      <c r="S100" s="104" t="n">
        <v>1</v>
      </c>
      <c r="T100" s="104" t="n">
        <v>0</v>
      </c>
      <c r="U100" s="105" t="str">
        <f aca="false">IF(S100&gt;=$C$3,T100/S100,"")</f>
        <v/>
      </c>
      <c r="V100" s="104" t="n">
        <v>8</v>
      </c>
      <c r="W100" s="104" t="n">
        <v>0</v>
      </c>
      <c r="X100" s="105" t="n">
        <f aca="false">IF(V100&gt;=$C$3,W100/V100,"")</f>
        <v>0</v>
      </c>
      <c r="Y100" s="106" t="n">
        <f aca="false">COUNT(F100,I100,L100,O100,R100,U100,X100)</f>
        <v>4</v>
      </c>
      <c r="Z100" s="107" t="n">
        <f aca="false">IF(Y100=0,"",AVERAGE(F100,I100,L100,O100,R100,U100,X100))</f>
        <v>0.292735042735043</v>
      </c>
      <c r="AA100" s="108" t="n">
        <f aca="false">IF(ISNUMBER(Z100),C100*Z100,"")</f>
        <v>18.9721581196581</v>
      </c>
      <c r="AB100" s="108" t="n">
        <f aca="false">IFERROR(INDEX('Shortlisted Drugs X Company (7)'!$K$3:$K$698,MATCH($A100,'Shortlisted Drugs X Company (7)'!$C$3:$C$698,0)),"")</f>
        <v>77</v>
      </c>
      <c r="AC100" s="108" t="n">
        <f aca="false">IF(AND(ISNUMBER(AB100),ISNUMBER(Z100)),ROUND(AB100*Z100,0),"")</f>
        <v>23</v>
      </c>
    </row>
    <row r="101" customFormat="false" ht="15" hidden="false" customHeight="false" outlineLevel="0" collapsed="false">
      <c r="A101" s="89" t="s">
        <v>466</v>
      </c>
      <c r="B101" s="90" t="s">
        <v>3811</v>
      </c>
      <c r="C101" s="103" t="n">
        <v>1162.12</v>
      </c>
      <c r="D101" s="104" t="n">
        <v>177</v>
      </c>
      <c r="E101" s="104" t="n">
        <v>52</v>
      </c>
      <c r="F101" s="105" t="n">
        <f aca="false">IF(D101&gt;=$C$3,E101/D101,"")</f>
        <v>0.293785310734463</v>
      </c>
      <c r="G101" s="104" t="n">
        <v>24</v>
      </c>
      <c r="H101" s="104" t="n">
        <v>8</v>
      </c>
      <c r="I101" s="105" t="n">
        <f aca="false">IF(G101&gt;=$C$3,H101/G101,"")</f>
        <v>0.333333333333333</v>
      </c>
      <c r="J101" s="104" t="n">
        <v>0</v>
      </c>
      <c r="K101" s="104" t="n">
        <v>0</v>
      </c>
      <c r="L101" s="105" t="str">
        <f aca="false">IF(J101&gt;=$C$3,K101/J101,"")</f>
        <v/>
      </c>
      <c r="M101" s="104" t="n">
        <v>2</v>
      </c>
      <c r="N101" s="104" t="n">
        <v>1</v>
      </c>
      <c r="O101" s="105" t="str">
        <f aca="false">IF(M101&gt;=$C$3,N101/M101,"")</f>
        <v/>
      </c>
      <c r="P101" s="104" t="n">
        <v>9</v>
      </c>
      <c r="Q101" s="104" t="n">
        <v>7</v>
      </c>
      <c r="R101" s="105" t="n">
        <f aca="false">IF(P101&gt;=$C$3,Q101/P101,"")</f>
        <v>0.777777777777778</v>
      </c>
      <c r="S101" s="104" t="n">
        <v>1</v>
      </c>
      <c r="T101" s="104" t="n">
        <v>0</v>
      </c>
      <c r="U101" s="105" t="str">
        <f aca="false">IF(S101&gt;=$C$3,T101/S101,"")</f>
        <v/>
      </c>
      <c r="V101" s="104" t="n">
        <v>8</v>
      </c>
      <c r="W101" s="104" t="n">
        <v>3</v>
      </c>
      <c r="X101" s="105" t="n">
        <f aca="false">IF(V101&gt;=$C$3,W101/V101,"")</f>
        <v>0.375</v>
      </c>
      <c r="Y101" s="106" t="n">
        <f aca="false">COUNT(F101,I101,L101,O101,R101,U101,X101)</f>
        <v>4</v>
      </c>
      <c r="Z101" s="107" t="n">
        <f aca="false">IF(Y101=0,"",AVERAGE(F101,I101,L101,O101,R101,U101,X101))</f>
        <v>0.444974105461394</v>
      </c>
      <c r="AA101" s="108" t="n">
        <f aca="false">IF(ISNUMBER(Z101),C101*Z101,"")</f>
        <v>517.113307438795</v>
      </c>
      <c r="AB101" s="108" t="n">
        <f aca="false">IFERROR(INDEX('Shortlisted Drugs X Company (7)'!$K$3:$K$698,MATCH($A101,'Shortlisted Drugs X Company (7)'!$C$3:$C$698,0)),"")</f>
        <v>116</v>
      </c>
      <c r="AC101" s="108" t="n">
        <f aca="false">IF(AND(ISNUMBER(AB101),ISNUMBER(Z101)),ROUND(AB101*Z101,0),"")</f>
        <v>52</v>
      </c>
    </row>
    <row r="102" customFormat="false" ht="15" hidden="false" customHeight="false" outlineLevel="0" collapsed="false">
      <c r="A102" s="89" t="s">
        <v>1059</v>
      </c>
      <c r="B102" s="90" t="s">
        <v>3796</v>
      </c>
      <c r="C102" s="103" t="n">
        <v>2015.78</v>
      </c>
      <c r="D102" s="104" t="n">
        <v>43</v>
      </c>
      <c r="E102" s="104" t="n">
        <v>42</v>
      </c>
      <c r="F102" s="105" t="n">
        <f aca="false">IF(D102&gt;=$C$3,E102/D102,"")</f>
        <v>0.976744186046512</v>
      </c>
      <c r="G102" s="104" t="n">
        <v>7</v>
      </c>
      <c r="H102" s="104" t="n">
        <v>5</v>
      </c>
      <c r="I102" s="105" t="n">
        <f aca="false">IF(G102&gt;=$C$3,H102/G102,"")</f>
        <v>0.714285714285714</v>
      </c>
      <c r="J102" s="104" t="n">
        <v>1</v>
      </c>
      <c r="K102" s="104" t="n">
        <v>1</v>
      </c>
      <c r="L102" s="105" t="str">
        <f aca="false">IF(J102&gt;=$C$3,K102/J102,"")</f>
        <v/>
      </c>
      <c r="M102" s="104" t="n">
        <v>5</v>
      </c>
      <c r="N102" s="104" t="n">
        <v>5</v>
      </c>
      <c r="O102" s="105" t="n">
        <f aca="false">IF(M102&gt;=$C$3,N102/M102,"")</f>
        <v>1</v>
      </c>
      <c r="P102" s="104" t="n">
        <v>2</v>
      </c>
      <c r="Q102" s="104" t="n">
        <v>2</v>
      </c>
      <c r="R102" s="105" t="str">
        <f aca="false">IF(P102&gt;=$C$3,Q102/P102,"")</f>
        <v/>
      </c>
      <c r="S102" s="104" t="n">
        <v>0</v>
      </c>
      <c r="T102" s="104" t="n">
        <v>0</v>
      </c>
      <c r="U102" s="105" t="str">
        <f aca="false">IF(S102&gt;=$C$3,T102/S102,"")</f>
        <v/>
      </c>
      <c r="V102" s="104" t="n">
        <v>3</v>
      </c>
      <c r="W102" s="104" t="n">
        <v>3</v>
      </c>
      <c r="X102" s="105" t="n">
        <f aca="false">IF(V102&gt;=$C$3,W102/V102,"")</f>
        <v>1</v>
      </c>
      <c r="Y102" s="106" t="n">
        <f aca="false">COUNT(F102,I102,L102,O102,R102,U102,X102)</f>
        <v>4</v>
      </c>
      <c r="Z102" s="107" t="n">
        <f aca="false">IF(Y102=0,"",AVERAGE(F102,I102,L102,O102,R102,U102,X102))</f>
        <v>0.922757475083057</v>
      </c>
      <c r="AA102" s="108" t="n">
        <f aca="false">IF(ISNUMBER(Z102),C102*Z102,"")</f>
        <v>1860.07606312292</v>
      </c>
      <c r="AB102" s="108" t="n">
        <f aca="false">IFERROR(INDEX('Shortlisted Drugs X Company (7)'!$K$3:$K$698,MATCH($A102,'Shortlisted Drugs X Company (7)'!$C$3:$C$698,0)),"")</f>
        <v>40</v>
      </c>
      <c r="AC102" s="108" t="n">
        <f aca="false">IF(AND(ISNUMBER(AB102),ISNUMBER(Z102)),ROUND(AB102*Z102,0),"")</f>
        <v>37</v>
      </c>
    </row>
    <row r="103" customFormat="false" ht="15" hidden="false" customHeight="false" outlineLevel="0" collapsed="false">
      <c r="A103" s="89" t="s">
        <v>1495</v>
      </c>
      <c r="B103" s="90" t="s">
        <v>3808</v>
      </c>
      <c r="C103" s="103" t="n">
        <v>304.87</v>
      </c>
      <c r="D103" s="104" t="n">
        <v>20</v>
      </c>
      <c r="E103" s="104" t="n">
        <v>20</v>
      </c>
      <c r="F103" s="105" t="n">
        <f aca="false">IF(D103&gt;=$C$3,E103/D103,"")</f>
        <v>1</v>
      </c>
      <c r="G103" s="104" t="n">
        <v>2</v>
      </c>
      <c r="H103" s="104" t="n">
        <v>1</v>
      </c>
      <c r="I103" s="105" t="str">
        <f aca="false">IF(G103&gt;=$C$3,H103/G103,"")</f>
        <v/>
      </c>
      <c r="J103" s="104" t="n">
        <v>7</v>
      </c>
      <c r="K103" s="104" t="n">
        <v>6</v>
      </c>
      <c r="L103" s="105" t="n">
        <f aca="false">IF(J103&gt;=$C$3,K103/J103,"")</f>
        <v>0.857142857142857</v>
      </c>
      <c r="M103" s="104" t="n">
        <v>2</v>
      </c>
      <c r="N103" s="104" t="n">
        <v>2</v>
      </c>
      <c r="O103" s="105" t="str">
        <f aca="false">IF(M103&gt;=$C$3,N103/M103,"")</f>
        <v/>
      </c>
      <c r="P103" s="104" t="n">
        <v>0</v>
      </c>
      <c r="Q103" s="104" t="n">
        <v>0</v>
      </c>
      <c r="R103" s="105" t="str">
        <f aca="false">IF(P103&gt;=$C$3,Q103/P103,"")</f>
        <v/>
      </c>
      <c r="S103" s="104" t="n">
        <v>0</v>
      </c>
      <c r="T103" s="104" t="n">
        <v>0</v>
      </c>
      <c r="U103" s="105" t="str">
        <f aca="false">IF(S103&gt;=$C$3,T103/S103,"")</f>
        <v/>
      </c>
      <c r="V103" s="104" t="n">
        <v>4</v>
      </c>
      <c r="W103" s="104" t="n">
        <v>1</v>
      </c>
      <c r="X103" s="105" t="n">
        <f aca="false">IF(V103&gt;=$C$3,W103/V103,"")</f>
        <v>0.25</v>
      </c>
      <c r="Y103" s="106" t="n">
        <f aca="false">COUNT(F103,I103,L103,O103,R103,U103,X103)</f>
        <v>3</v>
      </c>
      <c r="Z103" s="107" t="n">
        <f aca="false">IF(Y103=0,"",AVERAGE(F103,I103,L103,O103,R103,U103,X103))</f>
        <v>0.702380952380952</v>
      </c>
      <c r="AA103" s="108" t="n">
        <f aca="false">IF(ISNUMBER(Z103),C103*Z103,"")</f>
        <v>214.134880952381</v>
      </c>
      <c r="AB103" s="108" t="n">
        <f aca="false">IFERROR(INDEX('Shortlisted Drugs X Company (7)'!$K$3:$K$698,MATCH($A103,'Shortlisted Drugs X Company (7)'!$C$3:$C$698,0)),"")</f>
        <v>48</v>
      </c>
      <c r="AC103" s="108" t="n">
        <f aca="false">IF(AND(ISNUMBER(AB103),ISNUMBER(Z103)),ROUND(AB103*Z103,0),"")</f>
        <v>34</v>
      </c>
    </row>
    <row r="104" customFormat="false" ht="15" hidden="false" customHeight="false" outlineLevel="0" collapsed="false">
      <c r="A104" s="89" t="s">
        <v>1499</v>
      </c>
      <c r="B104" s="90" t="s">
        <v>3805</v>
      </c>
      <c r="C104" s="103" t="n">
        <v>12587.3</v>
      </c>
      <c r="D104" s="104" t="n">
        <v>36</v>
      </c>
      <c r="E104" s="104" t="n">
        <v>36</v>
      </c>
      <c r="F104" s="105" t="n">
        <f aca="false">IF(D104&gt;=$C$3,E104/D104,"")</f>
        <v>1</v>
      </c>
      <c r="G104" s="104" t="n">
        <v>0</v>
      </c>
      <c r="H104" s="104" t="n">
        <v>0</v>
      </c>
      <c r="I104" s="105" t="str">
        <f aca="false">IF(G104&gt;=$C$3,H104/G104,"")</f>
        <v/>
      </c>
      <c r="J104" s="104" t="n">
        <v>2</v>
      </c>
      <c r="K104" s="104" t="n">
        <v>2</v>
      </c>
      <c r="L104" s="105" t="str">
        <f aca="false">IF(J104&gt;=$C$3,K104/J104,"")</f>
        <v/>
      </c>
      <c r="M104" s="104" t="n">
        <v>1</v>
      </c>
      <c r="N104" s="104" t="n">
        <v>1</v>
      </c>
      <c r="O104" s="105" t="str">
        <f aca="false">IF(M104&gt;=$C$3,N104/M104,"")</f>
        <v/>
      </c>
      <c r="P104" s="104" t="n">
        <v>5</v>
      </c>
      <c r="Q104" s="104" t="n">
        <v>4</v>
      </c>
      <c r="R104" s="105" t="n">
        <f aca="false">IF(P104&gt;=$C$3,Q104/P104,"")</f>
        <v>0.8</v>
      </c>
      <c r="S104" s="104" t="n">
        <v>3</v>
      </c>
      <c r="T104" s="104" t="n">
        <v>3</v>
      </c>
      <c r="U104" s="105" t="n">
        <f aca="false">IF(S104&gt;=$C$3,T104/S104,"")</f>
        <v>1</v>
      </c>
      <c r="V104" s="104" t="n">
        <v>8</v>
      </c>
      <c r="W104" s="104" t="n">
        <v>8</v>
      </c>
      <c r="X104" s="105" t="n">
        <f aca="false">IF(V104&gt;=$C$3,W104/V104,"")</f>
        <v>1</v>
      </c>
      <c r="Y104" s="106" t="n">
        <f aca="false">COUNT(F104,I104,L104,O104,R104,U104,X104)</f>
        <v>4</v>
      </c>
      <c r="Z104" s="107" t="n">
        <f aca="false">IF(Y104=0,"",AVERAGE(F104,I104,L104,O104,R104,U104,X104))</f>
        <v>0.95</v>
      </c>
      <c r="AA104" s="108" t="n">
        <f aca="false">IF(ISNUMBER(Z104),C104*Z104,"")</f>
        <v>11957.935</v>
      </c>
      <c r="AB104" s="108" t="n">
        <f aca="false">IFERROR(INDEX('Shortlisted Drugs X Company (7)'!$K$3:$K$698,MATCH($A104,'Shortlisted Drugs X Company (7)'!$C$3:$C$698,0)),"")</f>
        <v>565</v>
      </c>
      <c r="AC104" s="108" t="n">
        <f aca="false">IF(AND(ISNUMBER(AB104),ISNUMBER(Z104)),ROUND(AB104*Z104,0),"")</f>
        <v>537</v>
      </c>
    </row>
    <row r="105" customFormat="false" ht="15" hidden="false" customHeight="false" outlineLevel="0" collapsed="false">
      <c r="A105" s="89" t="s">
        <v>637</v>
      </c>
      <c r="B105" s="90" t="s">
        <v>3790</v>
      </c>
      <c r="C105" s="103" t="n">
        <v>2931.42</v>
      </c>
      <c r="D105" s="104" t="n">
        <v>48</v>
      </c>
      <c r="E105" s="104" t="n">
        <v>48</v>
      </c>
      <c r="F105" s="105" t="n">
        <f aca="false">IF(D105&gt;=$C$3,E105/D105,"")</f>
        <v>1</v>
      </c>
      <c r="G105" s="104" t="n">
        <v>5</v>
      </c>
      <c r="H105" s="104" t="n">
        <v>5</v>
      </c>
      <c r="I105" s="105" t="n">
        <f aca="false">IF(G105&gt;=$C$3,H105/G105,"")</f>
        <v>1</v>
      </c>
      <c r="J105" s="104" t="n">
        <v>3</v>
      </c>
      <c r="K105" s="104" t="n">
        <v>3</v>
      </c>
      <c r="L105" s="105" t="n">
        <f aca="false">IF(J105&gt;=$C$3,K105/J105,"")</f>
        <v>1</v>
      </c>
      <c r="M105" s="104" t="n">
        <v>15</v>
      </c>
      <c r="N105" s="104" t="n">
        <v>15</v>
      </c>
      <c r="O105" s="105" t="n">
        <f aca="false">IF(M105&gt;=$C$3,N105/M105,"")</f>
        <v>1</v>
      </c>
      <c r="P105" s="104" t="n">
        <v>0</v>
      </c>
      <c r="Q105" s="104" t="n">
        <v>0</v>
      </c>
      <c r="R105" s="105" t="str">
        <f aca="false">IF(P105&gt;=$C$3,Q105/P105,"")</f>
        <v/>
      </c>
      <c r="S105" s="104" t="n">
        <v>0</v>
      </c>
      <c r="T105" s="104" t="n">
        <v>0</v>
      </c>
      <c r="U105" s="105" t="str">
        <f aca="false">IF(S105&gt;=$C$3,T105/S105,"")</f>
        <v/>
      </c>
      <c r="V105" s="104" t="n">
        <v>14</v>
      </c>
      <c r="W105" s="104" t="n">
        <v>14</v>
      </c>
      <c r="X105" s="105" t="n">
        <f aca="false">IF(V105&gt;=$C$3,W105/V105,"")</f>
        <v>1</v>
      </c>
      <c r="Y105" s="106" t="n">
        <f aca="false">COUNT(F105,I105,L105,O105,R105,U105,X105)</f>
        <v>5</v>
      </c>
      <c r="Z105" s="107" t="n">
        <f aca="false">IF(Y105=0,"",AVERAGE(F105,I105,L105,O105,R105,U105,X105))</f>
        <v>1</v>
      </c>
      <c r="AA105" s="108" t="n">
        <f aca="false">IF(ISNUMBER(Z105),C105*Z105,"")</f>
        <v>2931.42</v>
      </c>
      <c r="AB105" s="108" t="n">
        <f aca="false">IFERROR(INDEX('Shortlisted Drugs X Company (7)'!$K$3:$K$698,MATCH($A105,'Shortlisted Drugs X Company (7)'!$C$3:$C$698,0)),"")</f>
        <v>87</v>
      </c>
      <c r="AC105" s="108" t="n">
        <f aca="false">IF(AND(ISNUMBER(AB105),ISNUMBER(Z105)),ROUND(AB105*Z105,0),"")</f>
        <v>87</v>
      </c>
    </row>
    <row r="106" customFormat="false" ht="15" hidden="false" customHeight="false" outlineLevel="0" collapsed="false">
      <c r="A106" s="89" t="s">
        <v>642</v>
      </c>
      <c r="B106" s="90" t="s">
        <v>3812</v>
      </c>
      <c r="C106" s="103" t="n">
        <v>0.23</v>
      </c>
      <c r="D106" s="104" t="n">
        <v>91</v>
      </c>
      <c r="E106" s="104" t="n">
        <v>91</v>
      </c>
      <c r="F106" s="105" t="n">
        <f aca="false">IF(D106&gt;=$C$3,E106/D106,"")</f>
        <v>1</v>
      </c>
      <c r="G106" s="104" t="n">
        <v>15</v>
      </c>
      <c r="H106" s="104" t="n">
        <v>15</v>
      </c>
      <c r="I106" s="105" t="n">
        <f aca="false">IF(G106&gt;=$C$3,H106/G106,"")</f>
        <v>1</v>
      </c>
      <c r="J106" s="104" t="n">
        <v>6</v>
      </c>
      <c r="K106" s="104" t="n">
        <v>6</v>
      </c>
      <c r="L106" s="105" t="n">
        <f aca="false">IF(J106&gt;=$C$3,K106/J106,"")</f>
        <v>1</v>
      </c>
      <c r="M106" s="104" t="n">
        <v>15</v>
      </c>
      <c r="N106" s="104" t="n">
        <v>15</v>
      </c>
      <c r="O106" s="105" t="n">
        <f aca="false">IF(M106&gt;=$C$3,N106/M106,"")</f>
        <v>1</v>
      </c>
      <c r="P106" s="104" t="n">
        <v>3</v>
      </c>
      <c r="Q106" s="104" t="n">
        <v>3</v>
      </c>
      <c r="R106" s="105" t="n">
        <f aca="false">IF(P106&gt;=$C$3,Q106/P106,"")</f>
        <v>1</v>
      </c>
      <c r="S106" s="104" t="n">
        <v>3</v>
      </c>
      <c r="T106" s="104" t="n">
        <v>3</v>
      </c>
      <c r="U106" s="105" t="n">
        <f aca="false">IF(S106&gt;=$C$3,T106/S106,"")</f>
        <v>1</v>
      </c>
      <c r="V106" s="104" t="n">
        <v>10</v>
      </c>
      <c r="W106" s="104" t="n">
        <v>10</v>
      </c>
      <c r="X106" s="105" t="n">
        <f aca="false">IF(V106&gt;=$C$3,W106/V106,"")</f>
        <v>1</v>
      </c>
      <c r="Y106" s="106" t="n">
        <f aca="false">COUNT(F106,I106,L106,O106,R106,U106,X106)</f>
        <v>7</v>
      </c>
      <c r="Z106" s="107" t="n">
        <f aca="false">IF(Y106=0,"",AVERAGE(F106,I106,L106,O106,R106,U106,X106))</f>
        <v>1</v>
      </c>
      <c r="AA106" s="108" t="n">
        <f aca="false">IF(ISNUMBER(Z106),C106*Z106,"")</f>
        <v>0.23</v>
      </c>
      <c r="AB106" s="108" t="n">
        <f aca="false">IFERROR(INDEX('Shortlisted Drugs X Company (7)'!$K$3:$K$698,MATCH($A106,'Shortlisted Drugs X Company (7)'!$C$3:$C$698,0)),"")</f>
        <v>25</v>
      </c>
      <c r="AC106" s="108" t="n">
        <f aca="false">IF(AND(ISNUMBER(AB106),ISNUMBER(Z106)),ROUND(AB106*Z106,0),"")</f>
        <v>25</v>
      </c>
    </row>
    <row r="107" customFormat="false" ht="15" hidden="false" customHeight="false" outlineLevel="0" collapsed="false">
      <c r="A107" s="89" t="s">
        <v>1065</v>
      </c>
      <c r="B107" s="90" t="s">
        <v>3796</v>
      </c>
      <c r="C107" s="103" t="n">
        <v>2714.83</v>
      </c>
      <c r="D107" s="104" t="n">
        <v>115</v>
      </c>
      <c r="E107" s="104" t="n">
        <v>114</v>
      </c>
      <c r="F107" s="105" t="n">
        <f aca="false">IF(D107&gt;=$C$3,E107/D107,"")</f>
        <v>0.991304347826087</v>
      </c>
      <c r="G107" s="104" t="n">
        <v>9</v>
      </c>
      <c r="H107" s="104" t="n">
        <v>8</v>
      </c>
      <c r="I107" s="105" t="n">
        <f aca="false">IF(G107&gt;=$C$3,H107/G107,"")</f>
        <v>0.888888888888889</v>
      </c>
      <c r="J107" s="104" t="n">
        <v>12</v>
      </c>
      <c r="K107" s="104" t="n">
        <v>12</v>
      </c>
      <c r="L107" s="105" t="n">
        <f aca="false">IF(J107&gt;=$C$3,K107/J107,"")</f>
        <v>1</v>
      </c>
      <c r="M107" s="104" t="n">
        <v>11</v>
      </c>
      <c r="N107" s="104" t="n">
        <v>11</v>
      </c>
      <c r="O107" s="105" t="n">
        <f aca="false">IF(M107&gt;=$C$3,N107/M107,"")</f>
        <v>1</v>
      </c>
      <c r="P107" s="104" t="n">
        <v>10</v>
      </c>
      <c r="Q107" s="104" t="n">
        <v>10</v>
      </c>
      <c r="R107" s="105" t="n">
        <f aca="false">IF(P107&gt;=$C$3,Q107/P107,"")</f>
        <v>1</v>
      </c>
      <c r="S107" s="104" t="n">
        <v>3</v>
      </c>
      <c r="T107" s="104" t="n">
        <v>3</v>
      </c>
      <c r="U107" s="105" t="n">
        <f aca="false">IF(S107&gt;=$C$3,T107/S107,"")</f>
        <v>1</v>
      </c>
      <c r="V107" s="104" t="n">
        <v>26</v>
      </c>
      <c r="W107" s="104" t="n">
        <v>14</v>
      </c>
      <c r="X107" s="105" t="n">
        <f aca="false">IF(V107&gt;=$C$3,W107/V107,"")</f>
        <v>0.538461538461538</v>
      </c>
      <c r="Y107" s="106" t="n">
        <f aca="false">COUNT(F107,I107,L107,O107,R107,U107,X107)</f>
        <v>7</v>
      </c>
      <c r="Z107" s="107" t="n">
        <f aca="false">IF(Y107=0,"",AVERAGE(F107,I107,L107,O107,R107,U107,X107))</f>
        <v>0.916950682168073</v>
      </c>
      <c r="AA107" s="108" t="n">
        <f aca="false">IF(ISNUMBER(Z107),C107*Z107,"")</f>
        <v>2489.36522047035</v>
      </c>
      <c r="AB107" s="108" t="n">
        <f aca="false">IFERROR(INDEX('Shortlisted Drugs X Company (7)'!$K$3:$K$698,MATCH($A107,'Shortlisted Drugs X Company (7)'!$C$3:$C$698,0)),"")</f>
        <v>121</v>
      </c>
      <c r="AC107" s="108" t="n">
        <f aca="false">IF(AND(ISNUMBER(AB107),ISNUMBER(Z107)),ROUND(AB107*Z107,0),"")</f>
        <v>111</v>
      </c>
    </row>
    <row r="108" customFormat="false" ht="15" hidden="false" customHeight="false" outlineLevel="0" collapsed="false">
      <c r="A108" s="89" t="s">
        <v>1266</v>
      </c>
      <c r="B108" s="90" t="s">
        <v>3797</v>
      </c>
      <c r="C108" s="103" t="n">
        <v>106496.78</v>
      </c>
      <c r="D108" s="104" t="n">
        <v>413</v>
      </c>
      <c r="E108" s="104" t="n">
        <v>141</v>
      </c>
      <c r="F108" s="105" t="n">
        <f aca="false">IF(D108&gt;=$C$3,E108/D108,"")</f>
        <v>0.341404358353511</v>
      </c>
      <c r="G108" s="104" t="n">
        <v>131</v>
      </c>
      <c r="H108" s="104" t="n">
        <v>23</v>
      </c>
      <c r="I108" s="105" t="n">
        <f aca="false">IF(G108&gt;=$C$3,H108/G108,"")</f>
        <v>0.175572519083969</v>
      </c>
      <c r="J108" s="104" t="n">
        <v>47</v>
      </c>
      <c r="K108" s="104" t="n">
        <v>2</v>
      </c>
      <c r="L108" s="105" t="n">
        <f aca="false">IF(J108&gt;=$C$3,K108/J108,"")</f>
        <v>0.0425531914893617</v>
      </c>
      <c r="M108" s="104" t="n">
        <v>154</v>
      </c>
      <c r="N108" s="104" t="n">
        <v>13</v>
      </c>
      <c r="O108" s="105" t="n">
        <f aca="false">IF(M108&gt;=$C$3,N108/M108,"")</f>
        <v>0.0844155844155844</v>
      </c>
      <c r="P108" s="104" t="n">
        <v>26</v>
      </c>
      <c r="Q108" s="104" t="n">
        <v>1</v>
      </c>
      <c r="R108" s="105" t="n">
        <f aca="false">IF(P108&gt;=$C$3,Q108/P108,"")</f>
        <v>0.0384615384615385</v>
      </c>
      <c r="S108" s="104" t="n">
        <v>68</v>
      </c>
      <c r="T108" s="104" t="n">
        <v>16</v>
      </c>
      <c r="U108" s="105" t="n">
        <f aca="false">IF(S108&gt;=$C$3,T108/S108,"")</f>
        <v>0.235294117647059</v>
      </c>
      <c r="V108" s="104" t="n">
        <v>142</v>
      </c>
      <c r="W108" s="104" t="n">
        <v>43</v>
      </c>
      <c r="X108" s="105" t="n">
        <f aca="false">IF(V108&gt;=$C$3,W108/V108,"")</f>
        <v>0.302816901408451</v>
      </c>
      <c r="Y108" s="106" t="n">
        <f aca="false">COUNT(F108,I108,L108,O108,R108,U108,X108)</f>
        <v>7</v>
      </c>
      <c r="Z108" s="107" t="n">
        <f aca="false">IF(Y108=0,"",AVERAGE(F108,I108,L108,O108,R108,U108,X108))</f>
        <v>0.174359744408496</v>
      </c>
      <c r="AA108" s="108" t="n">
        <f aca="false">IF(ISNUMBER(Z108),C108*Z108,"")</f>
        <v>18568.7513411279</v>
      </c>
      <c r="AB108" s="108" t="n">
        <f aca="false">IFERROR(INDEX('Shortlisted Drugs X Company (7)'!$K$3:$K$698,MATCH($A108,'Shortlisted Drugs X Company (7)'!$C$3:$C$698,0)),"")</f>
        <v>2286</v>
      </c>
      <c r="AC108" s="108" t="n">
        <f aca="false">IF(AND(ISNUMBER(AB108),ISNUMBER(Z108)),ROUND(AB108*Z108,0),"")</f>
        <v>399</v>
      </c>
    </row>
    <row r="109" customFormat="false" ht="15" hidden="false" customHeight="false" outlineLevel="0" collapsed="false">
      <c r="A109" s="89" t="s">
        <v>894</v>
      </c>
      <c r="B109" s="90" t="s">
        <v>3791</v>
      </c>
      <c r="C109" s="103" t="n">
        <v>46739.27</v>
      </c>
      <c r="D109" s="104" t="n">
        <v>1219</v>
      </c>
      <c r="E109" s="104" t="n">
        <v>422</v>
      </c>
      <c r="F109" s="105" t="n">
        <f aca="false">IF(D109&gt;=$C$3,E109/D109,"")</f>
        <v>0.346185397867104</v>
      </c>
      <c r="G109" s="104" t="n">
        <v>111</v>
      </c>
      <c r="H109" s="104" t="n">
        <v>39</v>
      </c>
      <c r="I109" s="105" t="n">
        <f aca="false">IF(G109&gt;=$C$3,H109/G109,"")</f>
        <v>0.351351351351351</v>
      </c>
      <c r="J109" s="104" t="n">
        <v>84</v>
      </c>
      <c r="K109" s="104" t="n">
        <v>39</v>
      </c>
      <c r="L109" s="105" t="n">
        <f aca="false">IF(J109&gt;=$C$3,K109/J109,"")</f>
        <v>0.464285714285714</v>
      </c>
      <c r="M109" s="104" t="n">
        <v>145</v>
      </c>
      <c r="N109" s="104" t="n">
        <v>58</v>
      </c>
      <c r="O109" s="105" t="n">
        <f aca="false">IF(M109&gt;=$C$3,N109/M109,"")</f>
        <v>0.4</v>
      </c>
      <c r="P109" s="104" t="n">
        <v>32</v>
      </c>
      <c r="Q109" s="104" t="n">
        <v>14</v>
      </c>
      <c r="R109" s="105" t="n">
        <f aca="false">IF(P109&gt;=$C$3,Q109/P109,"")</f>
        <v>0.4375</v>
      </c>
      <c r="S109" s="104" t="n">
        <v>218</v>
      </c>
      <c r="T109" s="104" t="n">
        <v>131</v>
      </c>
      <c r="U109" s="105" t="n">
        <f aca="false">IF(S109&gt;=$C$3,T109/S109,"")</f>
        <v>0.600917431192661</v>
      </c>
      <c r="V109" s="104" t="n">
        <v>561</v>
      </c>
      <c r="W109" s="104" t="n">
        <v>105</v>
      </c>
      <c r="X109" s="105" t="n">
        <f aca="false">IF(V109&gt;=$C$3,W109/V109,"")</f>
        <v>0.18716577540107</v>
      </c>
      <c r="Y109" s="106" t="n">
        <f aca="false">COUNT(F109,I109,L109,O109,R109,U109,X109)</f>
        <v>7</v>
      </c>
      <c r="Z109" s="107" t="n">
        <f aca="false">IF(Y109=0,"",AVERAGE(F109,I109,L109,O109,R109,U109,X109))</f>
        <v>0.398200810013986</v>
      </c>
      <c r="AA109" s="108" t="n">
        <f aca="false">IF(ISNUMBER(Z109),C109*Z109,"")</f>
        <v>18611.6151734624</v>
      </c>
      <c r="AB109" s="108" t="n">
        <f aca="false">IFERROR(INDEX('Shortlisted Drugs X Company (7)'!$K$3:$K$698,MATCH($A109,'Shortlisted Drugs X Company (7)'!$C$3:$C$698,0)),"")</f>
        <v>1683</v>
      </c>
      <c r="AC109" s="108" t="n">
        <f aca="false">IF(AND(ISNUMBER(AB109),ISNUMBER(Z109)),ROUND(AB109*Z109,0),"")</f>
        <v>670</v>
      </c>
    </row>
    <row r="110" customFormat="false" ht="15" hidden="false" customHeight="false" outlineLevel="0" collapsed="false">
      <c r="A110" s="89" t="s">
        <v>1272</v>
      </c>
      <c r="B110" s="90" t="s">
        <v>3792</v>
      </c>
      <c r="C110" s="103" t="n">
        <v>1210.6</v>
      </c>
      <c r="D110" s="104" t="n">
        <v>9</v>
      </c>
      <c r="E110" s="104" t="n">
        <v>6</v>
      </c>
      <c r="F110" s="105" t="n">
        <f aca="false">IF(D110&gt;=$C$3,E110/D110,"")</f>
        <v>0.666666666666667</v>
      </c>
      <c r="G110" s="104" t="n">
        <v>0</v>
      </c>
      <c r="H110" s="104" t="n">
        <v>0</v>
      </c>
      <c r="I110" s="105" t="str">
        <f aca="false">IF(G110&gt;=$C$3,H110/G110,"")</f>
        <v/>
      </c>
      <c r="J110" s="104" t="n">
        <v>0</v>
      </c>
      <c r="K110" s="104" t="n">
        <v>0</v>
      </c>
      <c r="L110" s="105" t="str">
        <f aca="false">IF(J110&gt;=$C$3,K110/J110,"")</f>
        <v/>
      </c>
      <c r="M110" s="104" t="n">
        <v>5</v>
      </c>
      <c r="N110" s="104" t="n">
        <v>5</v>
      </c>
      <c r="O110" s="105" t="n">
        <f aca="false">IF(M110&gt;=$C$3,N110/M110,"")</f>
        <v>1</v>
      </c>
      <c r="P110" s="104" t="n">
        <v>2</v>
      </c>
      <c r="Q110" s="104" t="n">
        <v>2</v>
      </c>
      <c r="R110" s="105" t="str">
        <f aca="false">IF(P110&gt;=$C$3,Q110/P110,"")</f>
        <v/>
      </c>
      <c r="S110" s="104" t="n">
        <v>1</v>
      </c>
      <c r="T110" s="104" t="n">
        <v>1</v>
      </c>
      <c r="U110" s="105" t="str">
        <f aca="false">IF(S110&gt;=$C$3,T110/S110,"")</f>
        <v/>
      </c>
      <c r="V110" s="104" t="n">
        <v>8</v>
      </c>
      <c r="W110" s="104" t="n">
        <v>8</v>
      </c>
      <c r="X110" s="105" t="n">
        <f aca="false">IF(V110&gt;=$C$3,W110/V110,"")</f>
        <v>1</v>
      </c>
      <c r="Y110" s="106" t="n">
        <f aca="false">COUNT(F110,I110,L110,O110,R110,U110,X110)</f>
        <v>3</v>
      </c>
      <c r="Z110" s="107" t="n">
        <f aca="false">IF(Y110=0,"",AVERAGE(F110,I110,L110,O110,R110,U110,X110))</f>
        <v>0.888888888888889</v>
      </c>
      <c r="AA110" s="108" t="n">
        <f aca="false">IF(ISNUMBER(Z110),C110*Z110,"")</f>
        <v>1076.08888888889</v>
      </c>
      <c r="AB110" s="108" t="n">
        <f aca="false">IFERROR(INDEX('Shortlisted Drugs X Company (7)'!$K$3:$K$698,MATCH($A110,'Shortlisted Drugs X Company (7)'!$C$3:$C$698,0)),"")</f>
        <v>61</v>
      </c>
      <c r="AC110" s="108" t="n">
        <f aca="false">IF(AND(ISNUMBER(AB110),ISNUMBER(Z110)),ROUND(AB110*Z110,0),"")</f>
        <v>54</v>
      </c>
    </row>
    <row r="111" customFormat="false" ht="15" hidden="false" customHeight="false" outlineLevel="0" collapsed="false">
      <c r="A111" s="89" t="s">
        <v>899</v>
      </c>
      <c r="B111" s="90" t="s">
        <v>3813</v>
      </c>
      <c r="C111" s="103" t="n">
        <v>16781.35</v>
      </c>
      <c r="D111" s="104" t="n">
        <v>366</v>
      </c>
      <c r="E111" s="104" t="n">
        <v>318</v>
      </c>
      <c r="F111" s="105" t="n">
        <f aca="false">IF(D111&gt;=$C$3,E111/D111,"")</f>
        <v>0.868852459016393</v>
      </c>
      <c r="G111" s="104" t="n">
        <v>35</v>
      </c>
      <c r="H111" s="104" t="n">
        <v>24</v>
      </c>
      <c r="I111" s="105" t="n">
        <f aca="false">IF(G111&gt;=$C$3,H111/G111,"")</f>
        <v>0.685714285714286</v>
      </c>
      <c r="J111" s="104" t="n">
        <v>9</v>
      </c>
      <c r="K111" s="104" t="n">
        <v>8</v>
      </c>
      <c r="L111" s="105" t="n">
        <f aca="false">IF(J111&gt;=$C$3,K111/J111,"")</f>
        <v>0.888888888888889</v>
      </c>
      <c r="M111" s="104" t="n">
        <v>73</v>
      </c>
      <c r="N111" s="104" t="n">
        <v>28</v>
      </c>
      <c r="O111" s="105" t="n">
        <f aca="false">IF(M111&gt;=$C$3,N111/M111,"")</f>
        <v>0.383561643835616</v>
      </c>
      <c r="P111" s="104" t="n">
        <v>6</v>
      </c>
      <c r="Q111" s="104" t="n">
        <v>6</v>
      </c>
      <c r="R111" s="105" t="n">
        <f aca="false">IF(P111&gt;=$C$3,Q111/P111,"")</f>
        <v>1</v>
      </c>
      <c r="S111" s="104" t="n">
        <v>29</v>
      </c>
      <c r="T111" s="104" t="n">
        <v>19</v>
      </c>
      <c r="U111" s="105" t="n">
        <f aca="false">IF(S111&gt;=$C$3,T111/S111,"")</f>
        <v>0.655172413793103</v>
      </c>
      <c r="V111" s="104" t="n">
        <v>54</v>
      </c>
      <c r="W111" s="104" t="n">
        <v>33</v>
      </c>
      <c r="X111" s="105" t="n">
        <f aca="false">IF(V111&gt;=$C$3,W111/V111,"")</f>
        <v>0.611111111111111</v>
      </c>
      <c r="Y111" s="106" t="n">
        <f aca="false">COUNT(F111,I111,L111,O111,R111,U111,X111)</f>
        <v>7</v>
      </c>
      <c r="Z111" s="107" t="n">
        <f aca="false">IF(Y111=0,"",AVERAGE(F111,I111,L111,O111,R111,U111,X111))</f>
        <v>0.727614400337057</v>
      </c>
      <c r="AA111" s="108" t="n">
        <f aca="false">IF(ISNUMBER(Z111),C111*Z111,"")</f>
        <v>12210.3519170963</v>
      </c>
      <c r="AB111" s="108" t="n">
        <f aca="false">IFERROR(INDEX('Shortlisted Drugs X Company (7)'!$K$3:$K$698,MATCH($A111,'Shortlisted Drugs X Company (7)'!$C$3:$C$698,0)),"")</f>
        <v>160</v>
      </c>
      <c r="AC111" s="108" t="n">
        <f aca="false">IF(AND(ISNUMBER(AB111),ISNUMBER(Z111)),ROUND(AB111*Z111,0),"")</f>
        <v>116</v>
      </c>
    </row>
    <row r="112" customFormat="false" ht="15" hidden="false" customHeight="false" outlineLevel="0" collapsed="false">
      <c r="A112" s="89" t="s">
        <v>647</v>
      </c>
      <c r="B112" s="90" t="s">
        <v>3814</v>
      </c>
      <c r="C112" s="103" t="n">
        <v>417765.21</v>
      </c>
      <c r="D112" s="104" t="n">
        <v>68</v>
      </c>
      <c r="E112" s="104" t="n">
        <v>68</v>
      </c>
      <c r="F112" s="105" t="n">
        <f aca="false">IF(D112&gt;=$C$3,E112/D112,"")</f>
        <v>1</v>
      </c>
      <c r="G112" s="104" t="n">
        <v>6</v>
      </c>
      <c r="H112" s="104" t="n">
        <v>6</v>
      </c>
      <c r="I112" s="105" t="n">
        <f aca="false">IF(G112&gt;=$C$3,H112/G112,"")</f>
        <v>1</v>
      </c>
      <c r="J112" s="104" t="n">
        <v>4</v>
      </c>
      <c r="K112" s="104" t="n">
        <v>4</v>
      </c>
      <c r="L112" s="105" t="n">
        <f aca="false">IF(J112&gt;=$C$3,K112/J112,"")</f>
        <v>1</v>
      </c>
      <c r="M112" s="104" t="n">
        <v>8</v>
      </c>
      <c r="N112" s="104" t="n">
        <v>8</v>
      </c>
      <c r="O112" s="105" t="n">
        <f aca="false">IF(M112&gt;=$C$3,N112/M112,"")</f>
        <v>1</v>
      </c>
      <c r="P112" s="104" t="n">
        <v>7</v>
      </c>
      <c r="Q112" s="104" t="n">
        <v>7</v>
      </c>
      <c r="R112" s="105" t="n">
        <f aca="false">IF(P112&gt;=$C$3,Q112/P112,"")</f>
        <v>1</v>
      </c>
      <c r="S112" s="104" t="n">
        <v>4</v>
      </c>
      <c r="T112" s="104" t="n">
        <v>4</v>
      </c>
      <c r="U112" s="105" t="n">
        <f aca="false">IF(S112&gt;=$C$3,T112/S112,"")</f>
        <v>1</v>
      </c>
      <c r="V112" s="104" t="n">
        <v>0</v>
      </c>
      <c r="W112" s="104" t="n">
        <v>0</v>
      </c>
      <c r="X112" s="105" t="str">
        <f aca="false">IF(V112&gt;=$C$3,W112/V112,"")</f>
        <v/>
      </c>
      <c r="Y112" s="106" t="n">
        <f aca="false">COUNT(F112,I112,L112,O112,R112,U112,X112)</f>
        <v>6</v>
      </c>
      <c r="Z112" s="107" t="n">
        <f aca="false">IF(Y112=0,"",AVERAGE(F112,I112,L112,O112,R112,U112,X112))</f>
        <v>1</v>
      </c>
      <c r="AA112" s="108" t="n">
        <f aca="false">IF(ISNUMBER(Z112),C112*Z112,"")</f>
        <v>417765.21</v>
      </c>
      <c r="AB112" s="108" t="n">
        <f aca="false">IFERROR(INDEX('Shortlisted Drugs X Company (7)'!$K$3:$K$698,MATCH($A112,'Shortlisted Drugs X Company (7)'!$C$3:$C$698,0)),"")</f>
        <v>590</v>
      </c>
      <c r="AC112" s="108" t="n">
        <f aca="false">IF(AND(ISNUMBER(AB112),ISNUMBER(Z112)),ROUND(AB112*Z112,0),"")</f>
        <v>590</v>
      </c>
    </row>
    <row r="113" customFormat="false" ht="15" hidden="false" customHeight="false" outlineLevel="0" collapsed="false">
      <c r="A113" s="89" t="s">
        <v>471</v>
      </c>
      <c r="B113" s="90" t="s">
        <v>3799</v>
      </c>
      <c r="C113" s="103" t="n">
        <v>8000.57</v>
      </c>
      <c r="D113" s="104" t="n">
        <v>65</v>
      </c>
      <c r="E113" s="104" t="n">
        <v>31</v>
      </c>
      <c r="F113" s="105" t="n">
        <f aca="false">IF(D113&gt;=$C$3,E113/D113,"")</f>
        <v>0.476923076923077</v>
      </c>
      <c r="G113" s="104" t="n">
        <v>22</v>
      </c>
      <c r="H113" s="104" t="n">
        <v>3</v>
      </c>
      <c r="I113" s="105" t="n">
        <f aca="false">IF(G113&gt;=$C$3,H113/G113,"")</f>
        <v>0.136363636363636</v>
      </c>
      <c r="J113" s="104" t="n">
        <v>8</v>
      </c>
      <c r="K113" s="104" t="n">
        <v>1</v>
      </c>
      <c r="L113" s="105" t="n">
        <f aca="false">IF(J113&gt;=$C$3,K113/J113,"")</f>
        <v>0.125</v>
      </c>
      <c r="M113" s="104" t="n">
        <v>16</v>
      </c>
      <c r="N113" s="104" t="n">
        <v>5</v>
      </c>
      <c r="O113" s="105" t="n">
        <f aca="false">IF(M113&gt;=$C$3,N113/M113,"")</f>
        <v>0.3125</v>
      </c>
      <c r="P113" s="104" t="n">
        <v>15</v>
      </c>
      <c r="Q113" s="104" t="n">
        <v>7</v>
      </c>
      <c r="R113" s="105" t="n">
        <f aca="false">IF(P113&gt;=$C$3,Q113/P113,"")</f>
        <v>0.466666666666667</v>
      </c>
      <c r="S113" s="104" t="n">
        <v>1</v>
      </c>
      <c r="T113" s="104" t="n">
        <v>1</v>
      </c>
      <c r="U113" s="105" t="str">
        <f aca="false">IF(S113&gt;=$C$3,T113/S113,"")</f>
        <v/>
      </c>
      <c r="V113" s="104" t="n">
        <v>22</v>
      </c>
      <c r="W113" s="104" t="n">
        <v>11</v>
      </c>
      <c r="X113" s="105" t="n">
        <f aca="false">IF(V113&gt;=$C$3,W113/V113,"")</f>
        <v>0.5</v>
      </c>
      <c r="Y113" s="106" t="n">
        <f aca="false">COUNT(F113,I113,L113,O113,R113,U113,X113)</f>
        <v>6</v>
      </c>
      <c r="Z113" s="107" t="n">
        <f aca="false">IF(Y113=0,"",AVERAGE(F113,I113,L113,O113,R113,U113,X113))</f>
        <v>0.33624222999223</v>
      </c>
      <c r="AA113" s="108" t="n">
        <f aca="false">IF(ISNUMBER(Z113),C113*Z113,"")</f>
        <v>2690.12949800894</v>
      </c>
      <c r="AB113" s="108" t="n">
        <f aca="false">IFERROR(INDEX('Shortlisted Drugs X Company (7)'!$K$3:$K$698,MATCH($A113,'Shortlisted Drugs X Company (7)'!$C$3:$C$698,0)),"")</f>
        <v>122</v>
      </c>
      <c r="AC113" s="108" t="n">
        <f aca="false">IF(AND(ISNUMBER(AB113),ISNUMBER(Z113)),ROUND(AB113*Z113,0),"")</f>
        <v>41</v>
      </c>
    </row>
    <row r="114" customFormat="false" ht="15" hidden="false" customHeight="false" outlineLevel="0" collapsed="false">
      <c r="A114" s="89" t="s">
        <v>476</v>
      </c>
      <c r="B114" s="90" t="s">
        <v>3796</v>
      </c>
      <c r="C114" s="103" t="n">
        <v>4183.29</v>
      </c>
      <c r="D114" s="104" t="n">
        <v>97</v>
      </c>
      <c r="E114" s="104" t="n">
        <v>87</v>
      </c>
      <c r="F114" s="105" t="n">
        <f aca="false">IF(D114&gt;=$C$3,E114/D114,"")</f>
        <v>0.896907216494845</v>
      </c>
      <c r="G114" s="104" t="n">
        <v>11</v>
      </c>
      <c r="H114" s="104" t="n">
        <v>10</v>
      </c>
      <c r="I114" s="105" t="n">
        <f aca="false">IF(G114&gt;=$C$3,H114/G114,"")</f>
        <v>0.909090909090909</v>
      </c>
      <c r="J114" s="104" t="n">
        <v>4</v>
      </c>
      <c r="K114" s="104" t="n">
        <v>3</v>
      </c>
      <c r="L114" s="105" t="n">
        <f aca="false">IF(J114&gt;=$C$3,K114/J114,"")</f>
        <v>0.75</v>
      </c>
      <c r="M114" s="104" t="n">
        <v>8</v>
      </c>
      <c r="N114" s="104" t="n">
        <v>6</v>
      </c>
      <c r="O114" s="105" t="n">
        <f aca="false">IF(M114&gt;=$C$3,N114/M114,"")</f>
        <v>0.75</v>
      </c>
      <c r="P114" s="104" t="n">
        <v>3</v>
      </c>
      <c r="Q114" s="104" t="n">
        <v>1</v>
      </c>
      <c r="R114" s="105" t="n">
        <f aca="false">IF(P114&gt;=$C$3,Q114/P114,"")</f>
        <v>0.333333333333333</v>
      </c>
      <c r="S114" s="104" t="n">
        <v>1</v>
      </c>
      <c r="T114" s="104" t="n">
        <v>1</v>
      </c>
      <c r="U114" s="105" t="str">
        <f aca="false">IF(S114&gt;=$C$3,T114/S114,"")</f>
        <v/>
      </c>
      <c r="V114" s="104" t="n">
        <v>12</v>
      </c>
      <c r="W114" s="104" t="n">
        <v>6</v>
      </c>
      <c r="X114" s="105" t="n">
        <f aca="false">IF(V114&gt;=$C$3,W114/V114,"")</f>
        <v>0.5</v>
      </c>
      <c r="Y114" s="106" t="n">
        <f aca="false">COUNT(F114,I114,L114,O114,R114,U114,X114)</f>
        <v>6</v>
      </c>
      <c r="Z114" s="107" t="n">
        <f aca="false">IF(Y114=0,"",AVERAGE(F114,I114,L114,O114,R114,U114,X114))</f>
        <v>0.689888576486515</v>
      </c>
      <c r="AA114" s="108" t="n">
        <f aca="false">IF(ISNUMBER(Z114),C114*Z114,"")</f>
        <v>2886.00398313027</v>
      </c>
      <c r="AB114" s="108" t="n">
        <f aca="false">IFERROR(INDEX('Shortlisted Drugs X Company (7)'!$K$3:$K$698,MATCH($A114,'Shortlisted Drugs X Company (7)'!$C$3:$C$698,0)),"")</f>
        <v>257</v>
      </c>
      <c r="AC114" s="108" t="n">
        <f aca="false">IF(AND(ISNUMBER(AB114),ISNUMBER(Z114)),ROUND(AB114*Z114,0),"")</f>
        <v>177</v>
      </c>
    </row>
    <row r="115" customFormat="false" ht="15" hidden="false" customHeight="false" outlineLevel="0" collapsed="false">
      <c r="A115" s="89" t="s">
        <v>483</v>
      </c>
      <c r="B115" s="90" t="s">
        <v>3792</v>
      </c>
      <c r="C115" s="103" t="n">
        <v>59407.06</v>
      </c>
      <c r="D115" s="104" t="n">
        <v>304</v>
      </c>
      <c r="E115" s="104" t="n">
        <v>303</v>
      </c>
      <c r="F115" s="105" t="n">
        <f aca="false">IF(D115&gt;=$C$3,E115/D115,"")</f>
        <v>0.99671052631579</v>
      </c>
      <c r="G115" s="104" t="n">
        <v>37</v>
      </c>
      <c r="H115" s="104" t="n">
        <v>35</v>
      </c>
      <c r="I115" s="105" t="n">
        <f aca="false">IF(G115&gt;=$C$3,H115/G115,"")</f>
        <v>0.945945945945946</v>
      </c>
      <c r="J115" s="104" t="n">
        <v>16</v>
      </c>
      <c r="K115" s="104" t="n">
        <v>16</v>
      </c>
      <c r="L115" s="105" t="n">
        <f aca="false">IF(J115&gt;=$C$3,K115/J115,"")</f>
        <v>1</v>
      </c>
      <c r="M115" s="104" t="n">
        <v>17</v>
      </c>
      <c r="N115" s="104" t="n">
        <v>17</v>
      </c>
      <c r="O115" s="105" t="n">
        <f aca="false">IF(M115&gt;=$C$3,N115/M115,"")</f>
        <v>1</v>
      </c>
      <c r="P115" s="104" t="n">
        <v>26</v>
      </c>
      <c r="Q115" s="104" t="n">
        <v>26</v>
      </c>
      <c r="R115" s="105" t="n">
        <f aca="false">IF(P115&gt;=$C$3,Q115/P115,"")</f>
        <v>1</v>
      </c>
      <c r="S115" s="104" t="n">
        <v>15</v>
      </c>
      <c r="T115" s="104" t="n">
        <v>15</v>
      </c>
      <c r="U115" s="105" t="n">
        <f aca="false">IF(S115&gt;=$C$3,T115/S115,"")</f>
        <v>1</v>
      </c>
      <c r="V115" s="104" t="n">
        <v>25</v>
      </c>
      <c r="W115" s="104" t="n">
        <v>25</v>
      </c>
      <c r="X115" s="105" t="n">
        <f aca="false">IF(V115&gt;=$C$3,W115/V115,"")</f>
        <v>1</v>
      </c>
      <c r="Y115" s="106" t="n">
        <f aca="false">COUNT(F115,I115,L115,O115,R115,U115,X115)</f>
        <v>7</v>
      </c>
      <c r="Z115" s="107" t="n">
        <f aca="false">IF(Y115=0,"",AVERAGE(F115,I115,L115,O115,R115,U115,X115))</f>
        <v>0.991808067465962</v>
      </c>
      <c r="AA115" s="108" t="n">
        <f aca="false">IF(ISNUMBER(Z115),C115*Z115,"")</f>
        <v>58920.4013724345</v>
      </c>
      <c r="AB115" s="108" t="n">
        <f aca="false">IFERROR(INDEX('Shortlisted Drugs X Company (7)'!$K$3:$K$698,MATCH($A115,'Shortlisted Drugs X Company (7)'!$C$3:$C$698,0)),"")</f>
        <v>1185</v>
      </c>
      <c r="AC115" s="108" t="n">
        <f aca="false">IF(AND(ISNUMBER(AB115),ISNUMBER(Z115)),ROUND(AB115*Z115,0),"")</f>
        <v>1175</v>
      </c>
    </row>
    <row r="116" customFormat="false" ht="15" hidden="false" customHeight="false" outlineLevel="0" collapsed="false">
      <c r="A116" s="89" t="s">
        <v>491</v>
      </c>
      <c r="B116" s="90" t="s">
        <v>3807</v>
      </c>
      <c r="C116" s="103" t="n">
        <v>703.44</v>
      </c>
      <c r="D116" s="104" t="n">
        <v>37</v>
      </c>
      <c r="E116" s="104" t="n">
        <v>37</v>
      </c>
      <c r="F116" s="105" t="n">
        <f aca="false">IF(D116&gt;=$C$3,E116/D116,"")</f>
        <v>1</v>
      </c>
      <c r="G116" s="104" t="n">
        <v>3</v>
      </c>
      <c r="H116" s="104" t="n">
        <v>1</v>
      </c>
      <c r="I116" s="105" t="n">
        <f aca="false">IF(G116&gt;=$C$3,H116/G116,"")</f>
        <v>0.333333333333333</v>
      </c>
      <c r="J116" s="104" t="n">
        <v>3</v>
      </c>
      <c r="K116" s="104" t="n">
        <v>3</v>
      </c>
      <c r="L116" s="105" t="n">
        <f aca="false">IF(J116&gt;=$C$3,K116/J116,"")</f>
        <v>1</v>
      </c>
      <c r="M116" s="104" t="n">
        <v>7</v>
      </c>
      <c r="N116" s="104" t="n">
        <v>5</v>
      </c>
      <c r="O116" s="105" t="n">
        <f aca="false">IF(M116&gt;=$C$3,N116/M116,"")</f>
        <v>0.714285714285714</v>
      </c>
      <c r="P116" s="104" t="n">
        <v>3</v>
      </c>
      <c r="Q116" s="104" t="n">
        <v>1</v>
      </c>
      <c r="R116" s="105" t="n">
        <f aca="false">IF(P116&gt;=$C$3,Q116/P116,"")</f>
        <v>0.333333333333333</v>
      </c>
      <c r="S116" s="104" t="n">
        <v>0</v>
      </c>
      <c r="T116" s="104" t="n">
        <v>0</v>
      </c>
      <c r="U116" s="105" t="str">
        <f aca="false">IF(S116&gt;=$C$3,T116/S116,"")</f>
        <v/>
      </c>
      <c r="V116" s="104" t="n">
        <v>8</v>
      </c>
      <c r="W116" s="104" t="n">
        <v>6</v>
      </c>
      <c r="X116" s="105" t="n">
        <f aca="false">IF(V116&gt;=$C$3,W116/V116,"")</f>
        <v>0.75</v>
      </c>
      <c r="Y116" s="106" t="n">
        <f aca="false">COUNT(F116,I116,L116,O116,R116,U116,X116)</f>
        <v>6</v>
      </c>
      <c r="Z116" s="107" t="n">
        <f aca="false">IF(Y116=0,"",AVERAGE(F116,I116,L116,O116,R116,U116,X116))</f>
        <v>0.688492063492064</v>
      </c>
      <c r="AA116" s="108" t="n">
        <f aca="false">IF(ISNUMBER(Z116),C116*Z116,"")</f>
        <v>484.312857142857</v>
      </c>
      <c r="AB116" s="108" t="n">
        <f aca="false">IFERROR(INDEX('Shortlisted Drugs X Company (7)'!$K$3:$K$698,MATCH($A116,'Shortlisted Drugs X Company (7)'!$C$3:$C$698,0)),"")</f>
        <v>305</v>
      </c>
      <c r="AC116" s="108" t="n">
        <f aca="false">IF(AND(ISNUMBER(AB116),ISNUMBER(Z116)),ROUND(AB116*Z116,0),"")</f>
        <v>210</v>
      </c>
    </row>
    <row r="117" customFormat="false" ht="15" hidden="false" customHeight="false" outlineLevel="0" collapsed="false">
      <c r="A117" s="89" t="s">
        <v>1448</v>
      </c>
      <c r="B117" s="90" t="s">
        <v>3791</v>
      </c>
      <c r="C117" s="103" t="n">
        <v>1894.78</v>
      </c>
      <c r="D117" s="104" t="n">
        <v>8</v>
      </c>
      <c r="E117" s="104" t="n">
        <v>8</v>
      </c>
      <c r="F117" s="105" t="n">
        <f aca="false">IF(D117&gt;=$C$3,E117/D117,"")</f>
        <v>1</v>
      </c>
      <c r="G117" s="104" t="n">
        <v>8</v>
      </c>
      <c r="H117" s="104" t="n">
        <v>8</v>
      </c>
      <c r="I117" s="105" t="n">
        <f aca="false">IF(G117&gt;=$C$3,H117/G117,"")</f>
        <v>1</v>
      </c>
      <c r="J117" s="104" t="n">
        <v>0</v>
      </c>
      <c r="K117" s="104" t="n">
        <v>0</v>
      </c>
      <c r="L117" s="105" t="str">
        <f aca="false">IF(J117&gt;=$C$3,K117/J117,"")</f>
        <v/>
      </c>
      <c r="M117" s="104" t="n">
        <v>24</v>
      </c>
      <c r="N117" s="104" t="n">
        <v>24</v>
      </c>
      <c r="O117" s="105" t="n">
        <f aca="false">IF(M117&gt;=$C$3,N117/M117,"")</f>
        <v>1</v>
      </c>
      <c r="P117" s="104" t="n">
        <v>0</v>
      </c>
      <c r="Q117" s="104" t="n">
        <v>0</v>
      </c>
      <c r="R117" s="105" t="str">
        <f aca="false">IF(P117&gt;=$C$3,Q117/P117,"")</f>
        <v/>
      </c>
      <c r="S117" s="104" t="n">
        <v>0</v>
      </c>
      <c r="T117" s="104" t="n">
        <v>0</v>
      </c>
      <c r="U117" s="105" t="str">
        <f aca="false">IF(S117&gt;=$C$3,T117/S117,"")</f>
        <v/>
      </c>
      <c r="V117" s="104" t="n">
        <v>0</v>
      </c>
      <c r="W117" s="104" t="n">
        <v>0</v>
      </c>
      <c r="X117" s="105" t="str">
        <f aca="false">IF(V117&gt;=$C$3,W117/V117,"")</f>
        <v/>
      </c>
      <c r="Y117" s="106" t="n">
        <f aca="false">COUNT(F117,I117,L117,O117,R117,U117,X117)</f>
        <v>3</v>
      </c>
      <c r="Z117" s="107" t="n">
        <f aca="false">IF(Y117=0,"",AVERAGE(F117,I117,L117,O117,R117,U117,X117))</f>
        <v>1</v>
      </c>
      <c r="AA117" s="108" t="n">
        <f aca="false">IF(ISNUMBER(Z117),C117*Z117,"")</f>
        <v>1894.78</v>
      </c>
      <c r="AB117" s="108" t="n">
        <f aca="false">IFERROR(INDEX('Shortlisted Drugs X Company (7)'!$K$3:$K$698,MATCH($A117,'Shortlisted Drugs X Company (7)'!$C$3:$C$698,0)),"")</f>
        <v>9</v>
      </c>
      <c r="AC117" s="108" t="n">
        <f aca="false">IF(AND(ISNUMBER(AB117),ISNUMBER(Z117)),ROUND(AB117*Z117,0),"")</f>
        <v>9</v>
      </c>
    </row>
    <row r="118" customFormat="false" ht="15" hidden="false" customHeight="false" outlineLevel="0" collapsed="false">
      <c r="A118" s="89" t="s">
        <v>1285</v>
      </c>
      <c r="B118" s="90" t="s">
        <v>3791</v>
      </c>
      <c r="C118" s="103" t="n">
        <v>117.07</v>
      </c>
      <c r="D118" s="104" t="n">
        <v>3</v>
      </c>
      <c r="E118" s="104" t="n">
        <v>3</v>
      </c>
      <c r="F118" s="105" t="n">
        <f aca="false">IF(D118&gt;=$C$3,E118/D118,"")</f>
        <v>1</v>
      </c>
      <c r="G118" s="104" t="n">
        <v>0</v>
      </c>
      <c r="H118" s="104" t="n">
        <v>0</v>
      </c>
      <c r="I118" s="105" t="str">
        <f aca="false">IF(G118&gt;=$C$3,H118/G118,"")</f>
        <v/>
      </c>
      <c r="J118" s="104" t="n">
        <v>0</v>
      </c>
      <c r="K118" s="104" t="n">
        <v>0</v>
      </c>
      <c r="L118" s="105" t="str">
        <f aca="false">IF(J118&gt;=$C$3,K118/J118,"")</f>
        <v/>
      </c>
      <c r="M118" s="104" t="n">
        <v>0</v>
      </c>
      <c r="N118" s="104" t="n">
        <v>0</v>
      </c>
      <c r="O118" s="105" t="str">
        <f aca="false">IF(M118&gt;=$C$3,N118/M118,"")</f>
        <v/>
      </c>
      <c r="P118" s="104" t="n">
        <v>0</v>
      </c>
      <c r="Q118" s="104" t="n">
        <v>0</v>
      </c>
      <c r="R118" s="105" t="str">
        <f aca="false">IF(P118&gt;=$C$3,Q118/P118,"")</f>
        <v/>
      </c>
      <c r="S118" s="104" t="n">
        <v>0</v>
      </c>
      <c r="T118" s="104" t="n">
        <v>0</v>
      </c>
      <c r="U118" s="105" t="str">
        <f aca="false">IF(S118&gt;=$C$3,T118/S118,"")</f>
        <v/>
      </c>
      <c r="V118" s="104" t="n">
        <v>2</v>
      </c>
      <c r="W118" s="104" t="n">
        <v>2</v>
      </c>
      <c r="X118" s="105" t="str">
        <f aca="false">IF(V118&gt;=$C$3,W118/V118,"")</f>
        <v/>
      </c>
      <c r="Y118" s="106" t="n">
        <f aca="false">COUNT(F118,I118,L118,O118,R118,U118,X118)</f>
        <v>1</v>
      </c>
      <c r="Z118" s="107" t="n">
        <f aca="false">IF(Y118=0,"",AVERAGE(F118,I118,L118,O118,R118,U118,X118))</f>
        <v>1</v>
      </c>
      <c r="AA118" s="108" t="n">
        <f aca="false">IF(ISNUMBER(Z118),C118*Z118,"")</f>
        <v>117.07</v>
      </c>
      <c r="AB118" s="108" t="n">
        <f aca="false">IFERROR(INDEX('Shortlisted Drugs X Company (7)'!$K$3:$K$698,MATCH($A118,'Shortlisted Drugs X Company (7)'!$C$3:$C$698,0)),"")</f>
        <v>2</v>
      </c>
      <c r="AC118" s="108" t="n">
        <f aca="false">IF(AND(ISNUMBER(AB118),ISNUMBER(Z118)),ROUND(AB118*Z118,0),"")</f>
        <v>2</v>
      </c>
    </row>
    <row r="119" customFormat="false" ht="15" hidden="false" customHeight="false" outlineLevel="0" collapsed="false">
      <c r="A119" s="89" t="s">
        <v>299</v>
      </c>
      <c r="B119" s="90" t="s">
        <v>3815</v>
      </c>
      <c r="C119" s="103" t="n">
        <v>16792.84</v>
      </c>
      <c r="D119" s="104" t="n">
        <v>271</v>
      </c>
      <c r="E119" s="104" t="n">
        <v>198</v>
      </c>
      <c r="F119" s="105" t="n">
        <f aca="false">IF(D119&gt;=$C$3,E119/D119,"")</f>
        <v>0.730627306273063</v>
      </c>
      <c r="G119" s="104" t="n">
        <v>58</v>
      </c>
      <c r="H119" s="104" t="n">
        <v>47</v>
      </c>
      <c r="I119" s="105" t="n">
        <f aca="false">IF(G119&gt;=$C$3,H119/G119,"")</f>
        <v>0.810344827586207</v>
      </c>
      <c r="J119" s="104" t="n">
        <v>50</v>
      </c>
      <c r="K119" s="104" t="n">
        <v>42</v>
      </c>
      <c r="L119" s="105" t="n">
        <f aca="false">IF(J119&gt;=$C$3,K119/J119,"")</f>
        <v>0.84</v>
      </c>
      <c r="M119" s="104" t="n">
        <v>44</v>
      </c>
      <c r="N119" s="104" t="n">
        <v>32</v>
      </c>
      <c r="O119" s="105" t="n">
        <f aca="false">IF(M119&gt;=$C$3,N119/M119,"")</f>
        <v>0.727272727272727</v>
      </c>
      <c r="P119" s="104" t="n">
        <v>11</v>
      </c>
      <c r="Q119" s="104" t="n">
        <v>8</v>
      </c>
      <c r="R119" s="105" t="n">
        <f aca="false">IF(P119&gt;=$C$3,Q119/P119,"")</f>
        <v>0.727272727272727</v>
      </c>
      <c r="S119" s="104" t="n">
        <v>28</v>
      </c>
      <c r="T119" s="104" t="n">
        <v>26</v>
      </c>
      <c r="U119" s="105" t="n">
        <f aca="false">IF(S119&gt;=$C$3,T119/S119,"")</f>
        <v>0.928571428571429</v>
      </c>
      <c r="V119" s="104" t="n">
        <v>46</v>
      </c>
      <c r="W119" s="104" t="n">
        <v>31</v>
      </c>
      <c r="X119" s="105" t="n">
        <f aca="false">IF(V119&gt;=$C$3,W119/V119,"")</f>
        <v>0.673913043478261</v>
      </c>
      <c r="Y119" s="106" t="n">
        <f aca="false">COUNT(F119,I119,L119,O119,R119,U119,X119)</f>
        <v>7</v>
      </c>
      <c r="Z119" s="107" t="n">
        <f aca="false">IF(Y119=0,"",AVERAGE(F119,I119,L119,O119,R119,U119,X119))</f>
        <v>0.776857437207773</v>
      </c>
      <c r="AA119" s="108" t="n">
        <f aca="false">IF(ISNUMBER(Z119),C119*Z119,"")</f>
        <v>13045.6426458402</v>
      </c>
      <c r="AB119" s="108" t="n">
        <f aca="false">IFERROR(INDEX('Shortlisted Drugs X Company (7)'!$K$3:$K$698,MATCH($A119,'Shortlisted Drugs X Company (7)'!$C$3:$C$698,0)),"")</f>
        <v>1282</v>
      </c>
      <c r="AC119" s="108" t="n">
        <f aca="false">IF(AND(ISNUMBER(AB119),ISNUMBER(Z119)),ROUND(AB119*Z119,0),"")</f>
        <v>996</v>
      </c>
    </row>
    <row r="120" customFormat="false" ht="15" hidden="false" customHeight="false" outlineLevel="0" collapsed="false">
      <c r="A120" s="89" t="s">
        <v>497</v>
      </c>
      <c r="B120" s="90" t="s">
        <v>3816</v>
      </c>
      <c r="C120" s="103" t="n">
        <v>4745.88</v>
      </c>
      <c r="D120" s="104" t="n">
        <v>35</v>
      </c>
      <c r="E120" s="104" t="n">
        <v>35</v>
      </c>
      <c r="F120" s="105" t="n">
        <f aca="false">IF(D120&gt;=$C$3,E120/D120,"")</f>
        <v>1</v>
      </c>
      <c r="G120" s="104" t="n">
        <v>2</v>
      </c>
      <c r="H120" s="104" t="n">
        <v>2</v>
      </c>
      <c r="I120" s="105" t="str">
        <f aca="false">IF(G120&gt;=$C$3,H120/G120,"")</f>
        <v/>
      </c>
      <c r="J120" s="104" t="n">
        <v>6</v>
      </c>
      <c r="K120" s="104" t="n">
        <v>6</v>
      </c>
      <c r="L120" s="105" t="n">
        <f aca="false">IF(J120&gt;=$C$3,K120/J120,"")</f>
        <v>1</v>
      </c>
      <c r="M120" s="104" t="n">
        <v>2</v>
      </c>
      <c r="N120" s="104" t="n">
        <v>2</v>
      </c>
      <c r="O120" s="105" t="str">
        <f aca="false">IF(M120&gt;=$C$3,N120/M120,"")</f>
        <v/>
      </c>
      <c r="P120" s="104" t="n">
        <v>0</v>
      </c>
      <c r="Q120" s="104" t="n">
        <v>0</v>
      </c>
      <c r="R120" s="105" t="str">
        <f aca="false">IF(P120&gt;=$C$3,Q120/P120,"")</f>
        <v/>
      </c>
      <c r="S120" s="104" t="n">
        <v>1</v>
      </c>
      <c r="T120" s="104" t="n">
        <v>1</v>
      </c>
      <c r="U120" s="105" t="str">
        <f aca="false">IF(S120&gt;=$C$3,T120/S120,"")</f>
        <v/>
      </c>
      <c r="V120" s="104" t="n">
        <v>24</v>
      </c>
      <c r="W120" s="104" t="n">
        <v>24</v>
      </c>
      <c r="X120" s="105" t="n">
        <f aca="false">IF(V120&gt;=$C$3,W120/V120,"")</f>
        <v>1</v>
      </c>
      <c r="Y120" s="106" t="n">
        <f aca="false">COUNT(F120,I120,L120,O120,R120,U120,X120)</f>
        <v>3</v>
      </c>
      <c r="Z120" s="107" t="n">
        <f aca="false">IF(Y120=0,"",AVERAGE(F120,I120,L120,O120,R120,U120,X120))</f>
        <v>1</v>
      </c>
      <c r="AA120" s="108" t="n">
        <f aca="false">IF(ISNUMBER(Z120),C120*Z120,"")</f>
        <v>4745.88</v>
      </c>
      <c r="AB120" s="108" t="n">
        <f aca="false">IFERROR(INDEX('Shortlisted Drugs X Company (7)'!$K$3:$K$698,MATCH($A120,'Shortlisted Drugs X Company (7)'!$C$3:$C$698,0)),"")</f>
        <v>81</v>
      </c>
      <c r="AC120" s="108" t="n">
        <f aca="false">IF(AND(ISNUMBER(AB120),ISNUMBER(Z120)),ROUND(AB120*Z120,0),"")</f>
        <v>81</v>
      </c>
    </row>
    <row r="121" customFormat="false" ht="15" hidden="false" customHeight="false" outlineLevel="0" collapsed="false">
      <c r="A121" s="89" t="s">
        <v>1079</v>
      </c>
      <c r="B121" s="90" t="s">
        <v>3791</v>
      </c>
      <c r="C121" s="103" t="n">
        <v>5838.25</v>
      </c>
      <c r="D121" s="104" t="n">
        <v>218</v>
      </c>
      <c r="E121" s="104" t="n">
        <v>155</v>
      </c>
      <c r="F121" s="105" t="n">
        <f aca="false">IF(D121&gt;=$C$3,E121/D121,"")</f>
        <v>0.711009174311927</v>
      </c>
      <c r="G121" s="104" t="n">
        <v>47</v>
      </c>
      <c r="H121" s="104" t="n">
        <v>22</v>
      </c>
      <c r="I121" s="105" t="n">
        <f aca="false">IF(G121&gt;=$C$3,H121/G121,"")</f>
        <v>0.468085106382979</v>
      </c>
      <c r="J121" s="104" t="n">
        <v>14</v>
      </c>
      <c r="K121" s="104" t="n">
        <v>10</v>
      </c>
      <c r="L121" s="105" t="n">
        <f aca="false">IF(J121&gt;=$C$3,K121/J121,"")</f>
        <v>0.714285714285714</v>
      </c>
      <c r="M121" s="104" t="n">
        <v>52</v>
      </c>
      <c r="N121" s="104" t="n">
        <v>48</v>
      </c>
      <c r="O121" s="105" t="n">
        <f aca="false">IF(M121&gt;=$C$3,N121/M121,"")</f>
        <v>0.923076923076923</v>
      </c>
      <c r="P121" s="104" t="n">
        <v>27</v>
      </c>
      <c r="Q121" s="104" t="n">
        <v>24</v>
      </c>
      <c r="R121" s="105" t="n">
        <f aca="false">IF(P121&gt;=$C$3,Q121/P121,"")</f>
        <v>0.888888888888889</v>
      </c>
      <c r="S121" s="104" t="n">
        <v>12</v>
      </c>
      <c r="T121" s="104" t="n">
        <v>12</v>
      </c>
      <c r="U121" s="105" t="n">
        <f aca="false">IF(S121&gt;=$C$3,T121/S121,"")</f>
        <v>1</v>
      </c>
      <c r="V121" s="104" t="n">
        <v>30</v>
      </c>
      <c r="W121" s="104" t="n">
        <v>27</v>
      </c>
      <c r="X121" s="105" t="n">
        <f aca="false">IF(V121&gt;=$C$3,W121/V121,"")</f>
        <v>0.9</v>
      </c>
      <c r="Y121" s="106" t="n">
        <f aca="false">COUNT(F121,I121,L121,O121,R121,U121,X121)</f>
        <v>7</v>
      </c>
      <c r="Z121" s="107" t="n">
        <f aca="false">IF(Y121=0,"",AVERAGE(F121,I121,L121,O121,R121,U121,X121))</f>
        <v>0.800763686706633</v>
      </c>
      <c r="AA121" s="108" t="n">
        <f aca="false">IF(ISNUMBER(Z121),C121*Z121,"")</f>
        <v>4675.058593915</v>
      </c>
      <c r="AB121" s="108" t="n">
        <f aca="false">IFERROR(INDEX('Shortlisted Drugs X Company (7)'!$K$3:$K$698,MATCH($A121,'Shortlisted Drugs X Company (7)'!$C$3:$C$698,0)),"")</f>
        <v>221</v>
      </c>
      <c r="AC121" s="108" t="n">
        <f aca="false">IF(AND(ISNUMBER(AB121),ISNUMBER(Z121)),ROUND(AB121*Z121,0),"")</f>
        <v>177</v>
      </c>
    </row>
    <row r="122" customFormat="false" ht="15" hidden="false" customHeight="false" outlineLevel="0" collapsed="false">
      <c r="A122" s="89" t="s">
        <v>819</v>
      </c>
      <c r="B122" s="90" t="s">
        <v>3790</v>
      </c>
      <c r="C122" s="103" t="n">
        <v>4036.55</v>
      </c>
      <c r="D122" s="104" t="n">
        <v>55</v>
      </c>
      <c r="E122" s="104" t="n">
        <v>55</v>
      </c>
      <c r="F122" s="105" t="n">
        <f aca="false">IF(D122&gt;=$C$3,E122/D122,"")</f>
        <v>1</v>
      </c>
      <c r="G122" s="104" t="n">
        <v>5</v>
      </c>
      <c r="H122" s="104" t="n">
        <v>5</v>
      </c>
      <c r="I122" s="105" t="n">
        <f aca="false">IF(G122&gt;=$C$3,H122/G122,"")</f>
        <v>1</v>
      </c>
      <c r="J122" s="104" t="n">
        <v>2</v>
      </c>
      <c r="K122" s="104" t="n">
        <v>2</v>
      </c>
      <c r="L122" s="105" t="str">
        <f aca="false">IF(J122&gt;=$C$3,K122/J122,"")</f>
        <v/>
      </c>
      <c r="M122" s="104" t="n">
        <v>3</v>
      </c>
      <c r="N122" s="104" t="n">
        <v>3</v>
      </c>
      <c r="O122" s="105" t="n">
        <f aca="false">IF(M122&gt;=$C$3,N122/M122,"")</f>
        <v>1</v>
      </c>
      <c r="P122" s="104" t="n">
        <v>0</v>
      </c>
      <c r="Q122" s="104" t="n">
        <v>0</v>
      </c>
      <c r="R122" s="105" t="str">
        <f aca="false">IF(P122&gt;=$C$3,Q122/P122,"")</f>
        <v/>
      </c>
      <c r="S122" s="104" t="n">
        <v>2</v>
      </c>
      <c r="T122" s="104" t="n">
        <v>2</v>
      </c>
      <c r="U122" s="105" t="str">
        <f aca="false">IF(S122&gt;=$C$3,T122/S122,"")</f>
        <v/>
      </c>
      <c r="V122" s="104" t="n">
        <v>11</v>
      </c>
      <c r="W122" s="104" t="n">
        <v>11</v>
      </c>
      <c r="X122" s="105" t="n">
        <f aca="false">IF(V122&gt;=$C$3,W122/V122,"")</f>
        <v>1</v>
      </c>
      <c r="Y122" s="106" t="n">
        <f aca="false">COUNT(F122,I122,L122,O122,R122,U122,X122)</f>
        <v>4</v>
      </c>
      <c r="Z122" s="107" t="n">
        <f aca="false">IF(Y122=0,"",AVERAGE(F122,I122,L122,O122,R122,U122,X122))</f>
        <v>1</v>
      </c>
      <c r="AA122" s="108" t="n">
        <f aca="false">IF(ISNUMBER(Z122),C122*Z122,"")</f>
        <v>4036.55</v>
      </c>
      <c r="AB122" s="108" t="n">
        <f aca="false">IFERROR(INDEX('Shortlisted Drugs X Company (7)'!$K$3:$K$698,MATCH($A122,'Shortlisted Drugs X Company (7)'!$C$3:$C$698,0)),"")</f>
        <v>133</v>
      </c>
      <c r="AC122" s="108" t="n">
        <f aca="false">IF(AND(ISNUMBER(AB122),ISNUMBER(Z122)),ROUND(AB122*Z122,0),"")</f>
        <v>133</v>
      </c>
    </row>
    <row r="123" customFormat="false" ht="15" hidden="false" customHeight="false" outlineLevel="0" collapsed="false">
      <c r="A123" s="89" t="s">
        <v>501</v>
      </c>
      <c r="B123" s="90" t="s">
        <v>3796</v>
      </c>
      <c r="C123" s="103" t="n">
        <v>7654.85</v>
      </c>
      <c r="D123" s="104" t="n">
        <v>59</v>
      </c>
      <c r="E123" s="104" t="n">
        <v>50</v>
      </c>
      <c r="F123" s="105" t="n">
        <f aca="false">IF(D123&gt;=$C$3,E123/D123,"")</f>
        <v>0.847457627118644</v>
      </c>
      <c r="G123" s="104" t="n">
        <v>7</v>
      </c>
      <c r="H123" s="104" t="n">
        <v>5</v>
      </c>
      <c r="I123" s="105" t="n">
        <f aca="false">IF(G123&gt;=$C$3,H123/G123,"")</f>
        <v>0.714285714285714</v>
      </c>
      <c r="J123" s="104" t="n">
        <v>3</v>
      </c>
      <c r="K123" s="104" t="n">
        <v>3</v>
      </c>
      <c r="L123" s="105" t="n">
        <f aca="false">IF(J123&gt;=$C$3,K123/J123,"")</f>
        <v>1</v>
      </c>
      <c r="M123" s="104" t="n">
        <v>7</v>
      </c>
      <c r="N123" s="104" t="n">
        <v>7</v>
      </c>
      <c r="O123" s="105" t="n">
        <f aca="false">IF(M123&gt;=$C$3,N123/M123,"")</f>
        <v>1</v>
      </c>
      <c r="P123" s="104" t="n">
        <v>2</v>
      </c>
      <c r="Q123" s="104" t="n">
        <v>2</v>
      </c>
      <c r="R123" s="105" t="str">
        <f aca="false">IF(P123&gt;=$C$3,Q123/P123,"")</f>
        <v/>
      </c>
      <c r="S123" s="104" t="n">
        <v>1</v>
      </c>
      <c r="T123" s="104" t="n">
        <v>1</v>
      </c>
      <c r="U123" s="105" t="str">
        <f aca="false">IF(S123&gt;=$C$3,T123/S123,"")</f>
        <v/>
      </c>
      <c r="V123" s="104" t="n">
        <v>20</v>
      </c>
      <c r="W123" s="104" t="n">
        <v>17</v>
      </c>
      <c r="X123" s="105" t="n">
        <f aca="false">IF(V123&gt;=$C$3,W123/V123,"")</f>
        <v>0.85</v>
      </c>
      <c r="Y123" s="106" t="n">
        <f aca="false">COUNT(F123,I123,L123,O123,R123,U123,X123)</f>
        <v>5</v>
      </c>
      <c r="Z123" s="107" t="n">
        <f aca="false">IF(Y123=0,"",AVERAGE(F123,I123,L123,O123,R123,U123,X123))</f>
        <v>0.882348668280872</v>
      </c>
      <c r="AA123" s="108" t="n">
        <f aca="false">IF(ISNUMBER(Z123),C123*Z123,"")</f>
        <v>6754.24670338983</v>
      </c>
      <c r="AB123" s="108" t="n">
        <f aca="false">IFERROR(INDEX('Shortlisted Drugs X Company (7)'!$K$3:$K$698,MATCH($A123,'Shortlisted Drugs X Company (7)'!$C$3:$C$698,0)),"")</f>
        <v>544</v>
      </c>
      <c r="AC123" s="108" t="n">
        <f aca="false">IF(AND(ISNUMBER(AB123),ISNUMBER(Z123)),ROUND(AB123*Z123,0),"")</f>
        <v>480</v>
      </c>
    </row>
    <row r="124" customFormat="false" ht="15" hidden="false" customHeight="false" outlineLevel="0" collapsed="false">
      <c r="A124" s="89" t="s">
        <v>1091</v>
      </c>
      <c r="B124" s="90" t="s">
        <v>3817</v>
      </c>
      <c r="C124" s="103" t="n">
        <v>693.76</v>
      </c>
      <c r="D124" s="104" t="n">
        <v>31</v>
      </c>
      <c r="E124" s="104" t="n">
        <v>31</v>
      </c>
      <c r="F124" s="105" t="n">
        <f aca="false">IF(D124&gt;=$C$3,E124/D124,"")</f>
        <v>1</v>
      </c>
      <c r="G124" s="104" t="n">
        <v>4</v>
      </c>
      <c r="H124" s="104" t="n">
        <v>2</v>
      </c>
      <c r="I124" s="105" t="n">
        <f aca="false">IF(G124&gt;=$C$3,H124/G124,"")</f>
        <v>0.5</v>
      </c>
      <c r="J124" s="104" t="n">
        <v>1</v>
      </c>
      <c r="K124" s="104" t="n">
        <v>1</v>
      </c>
      <c r="L124" s="105" t="str">
        <f aca="false">IF(J124&gt;=$C$3,K124/J124,"")</f>
        <v/>
      </c>
      <c r="M124" s="104" t="n">
        <v>0</v>
      </c>
      <c r="N124" s="104" t="n">
        <v>0</v>
      </c>
      <c r="O124" s="105" t="str">
        <f aca="false">IF(M124&gt;=$C$3,N124/M124,"")</f>
        <v/>
      </c>
      <c r="P124" s="104" t="n">
        <v>1</v>
      </c>
      <c r="Q124" s="104" t="n">
        <v>1</v>
      </c>
      <c r="R124" s="105" t="str">
        <f aca="false">IF(P124&gt;=$C$3,Q124/P124,"")</f>
        <v/>
      </c>
      <c r="S124" s="104" t="n">
        <v>0</v>
      </c>
      <c r="T124" s="104" t="n">
        <v>0</v>
      </c>
      <c r="U124" s="105" t="str">
        <f aca="false">IF(S124&gt;=$C$3,T124/S124,"")</f>
        <v/>
      </c>
      <c r="V124" s="104" t="n">
        <v>3</v>
      </c>
      <c r="W124" s="104" t="n">
        <v>3</v>
      </c>
      <c r="X124" s="105" t="n">
        <f aca="false">IF(V124&gt;=$C$3,W124/V124,"")</f>
        <v>1</v>
      </c>
      <c r="Y124" s="106" t="n">
        <f aca="false">COUNT(F124,I124,L124,O124,R124,U124,X124)</f>
        <v>3</v>
      </c>
      <c r="Z124" s="107" t="n">
        <f aca="false">IF(Y124=0,"",AVERAGE(F124,I124,L124,O124,R124,U124,X124))</f>
        <v>0.833333333333333</v>
      </c>
      <c r="AA124" s="108" t="n">
        <f aca="false">IF(ISNUMBER(Z124),C124*Z124,"")</f>
        <v>578.133333333333</v>
      </c>
      <c r="AB124" s="108" t="n">
        <f aca="false">IFERROR(INDEX('Shortlisted Drugs X Company (7)'!$K$3:$K$698,MATCH($A124,'Shortlisted Drugs X Company (7)'!$C$3:$C$698,0)),"")</f>
        <v>43</v>
      </c>
      <c r="AC124" s="108" t="n">
        <f aca="false">IF(AND(ISNUMBER(AB124),ISNUMBER(Z124)),ROUND(AB124*Z124,0),"")</f>
        <v>36</v>
      </c>
    </row>
    <row r="125" customFormat="false" ht="15" hidden="false" customHeight="false" outlineLevel="0" collapsed="false">
      <c r="A125" s="89" t="s">
        <v>1454</v>
      </c>
      <c r="B125" s="90" t="s">
        <v>3818</v>
      </c>
      <c r="C125" s="103" t="n">
        <v>3640.13</v>
      </c>
      <c r="D125" s="104" t="n">
        <v>372</v>
      </c>
      <c r="E125" s="104" t="n">
        <v>206</v>
      </c>
      <c r="F125" s="105" t="n">
        <f aca="false">IF(D125&gt;=$C$3,E125/D125,"")</f>
        <v>0.553763440860215</v>
      </c>
      <c r="G125" s="104" t="n">
        <v>107</v>
      </c>
      <c r="H125" s="104" t="n">
        <v>51</v>
      </c>
      <c r="I125" s="105" t="n">
        <f aca="false">IF(G125&gt;=$C$3,H125/G125,"")</f>
        <v>0.476635514018692</v>
      </c>
      <c r="J125" s="104" t="n">
        <v>58</v>
      </c>
      <c r="K125" s="104" t="n">
        <v>18</v>
      </c>
      <c r="L125" s="105" t="n">
        <f aca="false">IF(J125&gt;=$C$3,K125/J125,"")</f>
        <v>0.310344827586207</v>
      </c>
      <c r="M125" s="104" t="n">
        <v>68</v>
      </c>
      <c r="N125" s="104" t="n">
        <v>29</v>
      </c>
      <c r="O125" s="105" t="n">
        <f aca="false">IF(M125&gt;=$C$3,N125/M125,"")</f>
        <v>0.426470588235294</v>
      </c>
      <c r="P125" s="104" t="n">
        <v>25</v>
      </c>
      <c r="Q125" s="104" t="n">
        <v>13</v>
      </c>
      <c r="R125" s="105" t="n">
        <f aca="false">IF(P125&gt;=$C$3,Q125/P125,"")</f>
        <v>0.52</v>
      </c>
      <c r="S125" s="104" t="n">
        <v>7</v>
      </c>
      <c r="T125" s="104" t="n">
        <v>6</v>
      </c>
      <c r="U125" s="105" t="n">
        <f aca="false">IF(S125&gt;=$C$3,T125/S125,"")</f>
        <v>0.857142857142857</v>
      </c>
      <c r="V125" s="104" t="n">
        <v>105</v>
      </c>
      <c r="W125" s="104" t="n">
        <v>27</v>
      </c>
      <c r="X125" s="105" t="n">
        <f aca="false">IF(V125&gt;=$C$3,W125/V125,"")</f>
        <v>0.257142857142857</v>
      </c>
      <c r="Y125" s="106" t="n">
        <f aca="false">COUNT(F125,I125,L125,O125,R125,U125,X125)</f>
        <v>7</v>
      </c>
      <c r="Z125" s="107" t="n">
        <f aca="false">IF(Y125=0,"",AVERAGE(F125,I125,L125,O125,R125,U125,X125))</f>
        <v>0.485928583569446</v>
      </c>
      <c r="AA125" s="108" t="n">
        <f aca="false">IF(ISNUMBER(Z125),C125*Z125,"")</f>
        <v>1768.84321490865</v>
      </c>
      <c r="AB125" s="108" t="n">
        <f aca="false">IFERROR(INDEX('Shortlisted Drugs X Company (7)'!$K$3:$K$698,MATCH($A125,'Shortlisted Drugs X Company (7)'!$C$3:$C$698,0)),"")</f>
        <v>128</v>
      </c>
      <c r="AC125" s="108" t="n">
        <f aca="false">IF(AND(ISNUMBER(AB125),ISNUMBER(Z125)),ROUND(AB125*Z125,0),"")</f>
        <v>62</v>
      </c>
    </row>
    <row r="126" customFormat="false" ht="15" hidden="false" customHeight="false" outlineLevel="0" collapsed="false">
      <c r="A126" s="89" t="s">
        <v>507</v>
      </c>
      <c r="B126" s="90" t="s">
        <v>3792</v>
      </c>
      <c r="C126" s="103" t="n">
        <v>570.1</v>
      </c>
      <c r="D126" s="104" t="n">
        <v>0</v>
      </c>
      <c r="E126" s="104" t="n">
        <v>0</v>
      </c>
      <c r="F126" s="105" t="str">
        <f aca="false">IF(D126&gt;=$C$3,E126/D126,"")</f>
        <v/>
      </c>
      <c r="G126" s="104" t="n">
        <v>0</v>
      </c>
      <c r="H126" s="104" t="n">
        <v>0</v>
      </c>
      <c r="I126" s="105" t="str">
        <f aca="false">IF(G126&gt;=$C$3,H126/G126,"")</f>
        <v/>
      </c>
      <c r="J126" s="104" t="n">
        <v>0</v>
      </c>
      <c r="K126" s="104" t="n">
        <v>0</v>
      </c>
      <c r="L126" s="105" t="str">
        <f aca="false">IF(J126&gt;=$C$3,K126/J126,"")</f>
        <v/>
      </c>
      <c r="M126" s="104" t="n">
        <v>0</v>
      </c>
      <c r="N126" s="104" t="n">
        <v>0</v>
      </c>
      <c r="O126" s="105" t="str">
        <f aca="false">IF(M126&gt;=$C$3,N126/M126,"")</f>
        <v/>
      </c>
      <c r="P126" s="104" t="n">
        <v>0</v>
      </c>
      <c r="Q126" s="104" t="n">
        <v>0</v>
      </c>
      <c r="R126" s="105" t="str">
        <f aca="false">IF(P126&gt;=$C$3,Q126/P126,"")</f>
        <v/>
      </c>
      <c r="S126" s="104" t="n">
        <v>0</v>
      </c>
      <c r="T126" s="104" t="n">
        <v>0</v>
      </c>
      <c r="U126" s="105" t="str">
        <f aca="false">IF(S126&gt;=$C$3,T126/S126,"")</f>
        <v/>
      </c>
      <c r="V126" s="104" t="n">
        <v>12</v>
      </c>
      <c r="W126" s="104" t="n">
        <v>12</v>
      </c>
      <c r="X126" s="105" t="n">
        <f aca="false">IF(V126&gt;=$C$3,W126/V126,"")</f>
        <v>1</v>
      </c>
      <c r="Y126" s="106" t="n">
        <f aca="false">COUNT(F126,I126,L126,O126,R126,U126,X126)</f>
        <v>1</v>
      </c>
      <c r="Z126" s="107" t="n">
        <f aca="false">IF(Y126=0,"",AVERAGE(F126,I126,L126,O126,R126,U126,X126))</f>
        <v>1</v>
      </c>
      <c r="AA126" s="108" t="n">
        <f aca="false">IF(ISNUMBER(Z126),C126*Z126,"")</f>
        <v>570.1</v>
      </c>
      <c r="AB126" s="108" t="n">
        <f aca="false">IFERROR(INDEX('Shortlisted Drugs X Company (7)'!$K$3:$K$698,MATCH($A126,'Shortlisted Drugs X Company (7)'!$C$3:$C$698,0)),"")</f>
        <v>4</v>
      </c>
      <c r="AC126" s="108" t="n">
        <f aca="false">IF(AND(ISNUMBER(AB126),ISNUMBER(Z126)),ROUND(AB126*Z126,0),"")</f>
        <v>4</v>
      </c>
    </row>
    <row r="127" customFormat="false" ht="15" hidden="false" customHeight="false" outlineLevel="0" collapsed="false">
      <c r="A127" s="89" t="s">
        <v>75</v>
      </c>
      <c r="B127" s="90" t="s">
        <v>3795</v>
      </c>
      <c r="C127" s="103" t="n">
        <v>5976.94</v>
      </c>
      <c r="D127" s="104" t="n">
        <v>303</v>
      </c>
      <c r="E127" s="104" t="n">
        <v>79</v>
      </c>
      <c r="F127" s="105" t="n">
        <f aca="false">IF(D127&gt;=$C$3,E127/D127,"")</f>
        <v>0.260726072607261</v>
      </c>
      <c r="G127" s="104" t="n">
        <v>65</v>
      </c>
      <c r="H127" s="104" t="n">
        <v>7</v>
      </c>
      <c r="I127" s="105" t="n">
        <f aca="false">IF(G127&gt;=$C$3,H127/G127,"")</f>
        <v>0.107692307692308</v>
      </c>
      <c r="J127" s="104" t="n">
        <v>28</v>
      </c>
      <c r="K127" s="104" t="n">
        <v>10</v>
      </c>
      <c r="L127" s="105" t="n">
        <f aca="false">IF(J127&gt;=$C$3,K127/J127,"")</f>
        <v>0.357142857142857</v>
      </c>
      <c r="M127" s="104" t="n">
        <v>60</v>
      </c>
      <c r="N127" s="104" t="n">
        <v>9</v>
      </c>
      <c r="O127" s="105" t="n">
        <f aca="false">IF(M127&gt;=$C$3,N127/M127,"")</f>
        <v>0.15</v>
      </c>
      <c r="P127" s="104" t="n">
        <v>11</v>
      </c>
      <c r="Q127" s="104" t="n">
        <v>3</v>
      </c>
      <c r="R127" s="105" t="n">
        <f aca="false">IF(P127&gt;=$C$3,Q127/P127,"")</f>
        <v>0.272727272727273</v>
      </c>
      <c r="S127" s="104" t="n">
        <v>4</v>
      </c>
      <c r="T127" s="104" t="n">
        <v>1</v>
      </c>
      <c r="U127" s="105" t="n">
        <f aca="false">IF(S127&gt;=$C$3,T127/S127,"")</f>
        <v>0.25</v>
      </c>
      <c r="V127" s="104" t="n">
        <v>91</v>
      </c>
      <c r="W127" s="104" t="n">
        <v>26</v>
      </c>
      <c r="X127" s="105" t="n">
        <f aca="false">IF(V127&gt;=$C$3,W127/V127,"")</f>
        <v>0.285714285714286</v>
      </c>
      <c r="Y127" s="106" t="n">
        <f aca="false">COUNT(F127,I127,L127,O127,R127,U127,X127)</f>
        <v>7</v>
      </c>
      <c r="Z127" s="107" t="n">
        <f aca="false">IF(Y127=0,"",AVERAGE(F127,I127,L127,O127,R127,U127,X127))</f>
        <v>0.240571827983426</v>
      </c>
      <c r="AA127" s="108" t="n">
        <f aca="false">IF(ISNUMBER(Z127),C127*Z127,"")</f>
        <v>1437.88338154726</v>
      </c>
      <c r="AB127" s="108" t="n">
        <f aca="false">IFERROR(INDEX('Shortlisted Drugs X Company (7)'!$K$3:$K$698,MATCH($A127,'Shortlisted Drugs X Company (7)'!$C$3:$C$698,0)),"")</f>
        <v>365</v>
      </c>
      <c r="AC127" s="108" t="n">
        <f aca="false">IF(AND(ISNUMBER(AB127),ISNUMBER(Z127)),ROUND(AB127*Z127,0),"")</f>
        <v>88</v>
      </c>
    </row>
    <row r="128" customFormat="false" ht="15" hidden="false" customHeight="false" outlineLevel="0" collapsed="false">
      <c r="A128" s="89" t="s">
        <v>744</v>
      </c>
      <c r="B128" s="90" t="s">
        <v>3819</v>
      </c>
      <c r="C128" s="103" t="n">
        <v>1845.67</v>
      </c>
      <c r="D128" s="104" t="n">
        <v>52</v>
      </c>
      <c r="E128" s="104" t="n">
        <v>49</v>
      </c>
      <c r="F128" s="105" t="n">
        <f aca="false">IF(D128&gt;=$C$3,E128/D128,"")</f>
        <v>0.942307692307692</v>
      </c>
      <c r="G128" s="104" t="n">
        <v>9</v>
      </c>
      <c r="H128" s="104" t="n">
        <v>9</v>
      </c>
      <c r="I128" s="105" t="n">
        <f aca="false">IF(G128&gt;=$C$3,H128/G128,"")</f>
        <v>1</v>
      </c>
      <c r="J128" s="104" t="n">
        <v>6</v>
      </c>
      <c r="K128" s="104" t="n">
        <v>6</v>
      </c>
      <c r="L128" s="105" t="n">
        <f aca="false">IF(J128&gt;=$C$3,K128/J128,"")</f>
        <v>1</v>
      </c>
      <c r="M128" s="104" t="n">
        <v>4</v>
      </c>
      <c r="N128" s="104" t="n">
        <v>4</v>
      </c>
      <c r="O128" s="105" t="n">
        <f aca="false">IF(M128&gt;=$C$3,N128/M128,"")</f>
        <v>1</v>
      </c>
      <c r="P128" s="104" t="n">
        <v>5</v>
      </c>
      <c r="Q128" s="104" t="n">
        <v>5</v>
      </c>
      <c r="R128" s="105" t="n">
        <f aca="false">IF(P128&gt;=$C$3,Q128/P128,"")</f>
        <v>1</v>
      </c>
      <c r="S128" s="104" t="n">
        <v>6</v>
      </c>
      <c r="T128" s="104" t="n">
        <v>6</v>
      </c>
      <c r="U128" s="105" t="n">
        <f aca="false">IF(S128&gt;=$C$3,T128/S128,"")</f>
        <v>1</v>
      </c>
      <c r="V128" s="104" t="n">
        <v>29</v>
      </c>
      <c r="W128" s="104" t="n">
        <v>29</v>
      </c>
      <c r="X128" s="105" t="n">
        <f aca="false">IF(V128&gt;=$C$3,W128/V128,"")</f>
        <v>1</v>
      </c>
      <c r="Y128" s="106" t="n">
        <f aca="false">COUNT(F128,I128,L128,O128,R128,U128,X128)</f>
        <v>7</v>
      </c>
      <c r="Z128" s="107" t="n">
        <f aca="false">IF(Y128=0,"",AVERAGE(F128,I128,L128,O128,R128,U128,X128))</f>
        <v>0.991758241758242</v>
      </c>
      <c r="AA128" s="108" t="n">
        <f aca="false">IF(ISNUMBER(Z128),C128*Z128,"")</f>
        <v>1830.45843406593</v>
      </c>
      <c r="AB128" s="108" t="n">
        <f aca="false">IFERROR(INDEX('Shortlisted Drugs X Company (7)'!$K$3:$K$698,MATCH($A128,'Shortlisted Drugs X Company (7)'!$C$3:$C$698,0)),"")</f>
        <v>236</v>
      </c>
      <c r="AC128" s="108" t="n">
        <f aca="false">IF(AND(ISNUMBER(AB128),ISNUMBER(Z128)),ROUND(AB128*Z128,0),"")</f>
        <v>234</v>
      </c>
    </row>
    <row r="129" customFormat="false" ht="15" hidden="false" customHeight="false" outlineLevel="0" collapsed="false">
      <c r="A129" s="89" t="s">
        <v>1358</v>
      </c>
      <c r="B129" s="90" t="s">
        <v>3812</v>
      </c>
      <c r="C129" s="103" t="n">
        <v>8758.04</v>
      </c>
      <c r="D129" s="104" t="n">
        <v>149</v>
      </c>
      <c r="E129" s="104" t="n">
        <v>149</v>
      </c>
      <c r="F129" s="105" t="n">
        <f aca="false">IF(D129&gt;=$C$3,E129/D129,"")</f>
        <v>1</v>
      </c>
      <c r="G129" s="104" t="n">
        <v>25</v>
      </c>
      <c r="H129" s="104" t="n">
        <v>24</v>
      </c>
      <c r="I129" s="105" t="n">
        <f aca="false">IF(G129&gt;=$C$3,H129/G129,"")</f>
        <v>0.96</v>
      </c>
      <c r="J129" s="104" t="n">
        <v>14</v>
      </c>
      <c r="K129" s="104" t="n">
        <v>14</v>
      </c>
      <c r="L129" s="105" t="n">
        <f aca="false">IF(J129&gt;=$C$3,K129/J129,"")</f>
        <v>1</v>
      </c>
      <c r="M129" s="104" t="n">
        <v>16</v>
      </c>
      <c r="N129" s="104" t="n">
        <v>16</v>
      </c>
      <c r="O129" s="105" t="n">
        <f aca="false">IF(M129&gt;=$C$3,N129/M129,"")</f>
        <v>1</v>
      </c>
      <c r="P129" s="104" t="n">
        <v>7</v>
      </c>
      <c r="Q129" s="104" t="n">
        <v>7</v>
      </c>
      <c r="R129" s="105" t="n">
        <f aca="false">IF(P129&gt;=$C$3,Q129/P129,"")</f>
        <v>1</v>
      </c>
      <c r="S129" s="104" t="n">
        <v>4</v>
      </c>
      <c r="T129" s="104" t="n">
        <v>4</v>
      </c>
      <c r="U129" s="105" t="n">
        <f aca="false">IF(S129&gt;=$C$3,T129/S129,"")</f>
        <v>1</v>
      </c>
      <c r="V129" s="104" t="n">
        <v>33</v>
      </c>
      <c r="W129" s="104" t="n">
        <v>30</v>
      </c>
      <c r="X129" s="105" t="n">
        <f aca="false">IF(V129&gt;=$C$3,W129/V129,"")</f>
        <v>0.909090909090909</v>
      </c>
      <c r="Y129" s="106" t="n">
        <f aca="false">COUNT(F129,I129,L129,O129,R129,U129,X129)</f>
        <v>7</v>
      </c>
      <c r="Z129" s="107" t="n">
        <f aca="false">IF(Y129=0,"",AVERAGE(F129,I129,L129,O129,R129,U129,X129))</f>
        <v>0.981298701298701</v>
      </c>
      <c r="AA129" s="108" t="n">
        <f aca="false">IF(ISNUMBER(Z129),C129*Z129,"")</f>
        <v>8594.25327792208</v>
      </c>
      <c r="AB129" s="108" t="n">
        <f aca="false">IFERROR(INDEX('Shortlisted Drugs X Company (7)'!$K$3:$K$698,MATCH($A129,'Shortlisted Drugs X Company (7)'!$C$3:$C$698,0)),"")</f>
        <v>344</v>
      </c>
      <c r="AC129" s="108" t="n">
        <f aca="false">IF(AND(ISNUMBER(AB129),ISNUMBER(Z129)),ROUND(AB129*Z129,0),"")</f>
        <v>338</v>
      </c>
    </row>
    <row r="130" customFormat="false" ht="15" hidden="false" customHeight="false" outlineLevel="0" collapsed="false">
      <c r="A130" s="89" t="s">
        <v>1220</v>
      </c>
      <c r="B130" s="90" t="s">
        <v>3794</v>
      </c>
      <c r="C130" s="103" t="n">
        <v>38680.23</v>
      </c>
      <c r="D130" s="104" t="n">
        <v>293</v>
      </c>
      <c r="E130" s="104" t="n">
        <v>10</v>
      </c>
      <c r="F130" s="105" t="n">
        <f aca="false">IF(D130&gt;=$C$3,E130/D130,"")</f>
        <v>0.0341296928327645</v>
      </c>
      <c r="G130" s="104" t="n">
        <v>140</v>
      </c>
      <c r="H130" s="104" t="n">
        <v>5</v>
      </c>
      <c r="I130" s="105" t="n">
        <f aca="false">IF(G130&gt;=$C$3,H130/G130,"")</f>
        <v>0.0357142857142857</v>
      </c>
      <c r="J130" s="104" t="n">
        <v>104</v>
      </c>
      <c r="K130" s="104" t="n">
        <v>1</v>
      </c>
      <c r="L130" s="105" t="n">
        <f aca="false">IF(J130&gt;=$C$3,K130/J130,"")</f>
        <v>0.00961538461538462</v>
      </c>
      <c r="M130" s="104" t="n">
        <v>149</v>
      </c>
      <c r="N130" s="104" t="n">
        <v>6</v>
      </c>
      <c r="O130" s="105" t="n">
        <f aca="false">IF(M130&gt;=$C$3,N130/M130,"")</f>
        <v>0.0402684563758389</v>
      </c>
      <c r="P130" s="104" t="n">
        <v>65</v>
      </c>
      <c r="Q130" s="104" t="n">
        <v>2</v>
      </c>
      <c r="R130" s="105" t="n">
        <f aca="false">IF(P130&gt;=$C$3,Q130/P130,"")</f>
        <v>0.0307692307692308</v>
      </c>
      <c r="S130" s="104" t="n">
        <v>16</v>
      </c>
      <c r="T130" s="104" t="n">
        <v>0</v>
      </c>
      <c r="U130" s="105" t="n">
        <f aca="false">IF(S130&gt;=$C$3,T130/S130,"")</f>
        <v>0</v>
      </c>
      <c r="V130" s="104" t="n">
        <v>127</v>
      </c>
      <c r="W130" s="104" t="n">
        <v>9</v>
      </c>
      <c r="X130" s="105" t="n">
        <f aca="false">IF(V130&gt;=$C$3,W130/V130,"")</f>
        <v>0.0708661417322835</v>
      </c>
      <c r="Y130" s="106" t="n">
        <f aca="false">COUNT(F130,I130,L130,O130,R130,U130,X130)</f>
        <v>7</v>
      </c>
      <c r="Z130" s="107" t="n">
        <f aca="false">IF(Y130=0,"",AVERAGE(F130,I130,L130,O130,R130,U130,X130))</f>
        <v>0.0316233131485411</v>
      </c>
      <c r="AA130" s="108" t="n">
        <f aca="false">IF(ISNUMBER(Z130),C130*Z130,"")</f>
        <v>1223.1970259476</v>
      </c>
      <c r="AB130" s="108" t="n">
        <f aca="false">IFERROR(INDEX('Shortlisted Drugs X Company (7)'!$K$3:$K$698,MATCH($A130,'Shortlisted Drugs X Company (7)'!$C$3:$C$698,0)),"")</f>
        <v>2061</v>
      </c>
      <c r="AC130" s="108" t="n">
        <f aca="false">IF(AND(ISNUMBER(AB130),ISNUMBER(Z130)),ROUND(AB130*Z130,0),"")</f>
        <v>65</v>
      </c>
    </row>
    <row r="131" customFormat="false" ht="15" hidden="false" customHeight="false" outlineLevel="0" collapsed="false">
      <c r="A131" s="89" t="s">
        <v>518</v>
      </c>
      <c r="B131" s="90" t="s">
        <v>3807</v>
      </c>
      <c r="C131" s="103" t="n">
        <v>46507.62</v>
      </c>
      <c r="D131" s="104" t="n">
        <v>362</v>
      </c>
      <c r="E131" s="104" t="n">
        <v>234</v>
      </c>
      <c r="F131" s="105" t="n">
        <f aca="false">IF(D131&gt;=$C$3,E131/D131,"")</f>
        <v>0.646408839779006</v>
      </c>
      <c r="G131" s="104" t="n">
        <v>68</v>
      </c>
      <c r="H131" s="104" t="n">
        <v>24</v>
      </c>
      <c r="I131" s="105" t="n">
        <f aca="false">IF(G131&gt;=$C$3,H131/G131,"")</f>
        <v>0.352941176470588</v>
      </c>
      <c r="J131" s="104" t="n">
        <v>59</v>
      </c>
      <c r="K131" s="104" t="n">
        <v>11</v>
      </c>
      <c r="L131" s="105" t="n">
        <f aca="false">IF(J131&gt;=$C$3,K131/J131,"")</f>
        <v>0.186440677966102</v>
      </c>
      <c r="M131" s="104" t="n">
        <v>84</v>
      </c>
      <c r="N131" s="104" t="n">
        <v>16</v>
      </c>
      <c r="O131" s="105" t="n">
        <f aca="false">IF(M131&gt;=$C$3,N131/M131,"")</f>
        <v>0.19047619047619</v>
      </c>
      <c r="P131" s="104" t="n">
        <v>56</v>
      </c>
      <c r="Q131" s="104" t="n">
        <v>28</v>
      </c>
      <c r="R131" s="105" t="n">
        <f aca="false">IF(P131&gt;=$C$3,Q131/P131,"")</f>
        <v>0.5</v>
      </c>
      <c r="S131" s="104" t="n">
        <v>88</v>
      </c>
      <c r="T131" s="104" t="n">
        <v>37</v>
      </c>
      <c r="U131" s="105" t="n">
        <f aca="false">IF(S131&gt;=$C$3,T131/S131,"")</f>
        <v>0.420454545454545</v>
      </c>
      <c r="V131" s="104" t="n">
        <v>57</v>
      </c>
      <c r="W131" s="104" t="n">
        <v>20</v>
      </c>
      <c r="X131" s="105" t="n">
        <f aca="false">IF(V131&gt;=$C$3,W131/V131,"")</f>
        <v>0.350877192982456</v>
      </c>
      <c r="Y131" s="106" t="n">
        <f aca="false">COUNT(F131,I131,L131,O131,R131,U131,X131)</f>
        <v>7</v>
      </c>
      <c r="Z131" s="107" t="n">
        <f aca="false">IF(Y131=0,"",AVERAGE(F131,I131,L131,O131,R131,U131,X131))</f>
        <v>0.378228374732698</v>
      </c>
      <c r="AA131" s="108" t="n">
        <f aca="false">IF(ISNUMBER(Z131),C131*Z131,"")</f>
        <v>17590.5015252859</v>
      </c>
      <c r="AB131" s="108" t="n">
        <f aca="false">IFERROR(INDEX('Shortlisted Drugs X Company (7)'!$K$3:$K$698,MATCH($A131,'Shortlisted Drugs X Company (7)'!$C$3:$C$698,0)),"")</f>
        <v>2546</v>
      </c>
      <c r="AC131" s="108" t="n">
        <f aca="false">IF(AND(ISNUMBER(AB131),ISNUMBER(Z131)),ROUND(AB131*Z131,0),"")</f>
        <v>963</v>
      </c>
    </row>
    <row r="132" customFormat="false" ht="15" hidden="false" customHeight="false" outlineLevel="0" collapsed="false">
      <c r="A132" s="89" t="s">
        <v>526</v>
      </c>
      <c r="B132" s="90" t="s">
        <v>3792</v>
      </c>
      <c r="C132" s="103" t="n">
        <v>280.98</v>
      </c>
      <c r="D132" s="104" t="n">
        <v>14</v>
      </c>
      <c r="E132" s="104" t="n">
        <v>12</v>
      </c>
      <c r="F132" s="105" t="n">
        <f aca="false">IF(D132&gt;=$C$3,E132/D132,"")</f>
        <v>0.857142857142857</v>
      </c>
      <c r="G132" s="104" t="n">
        <v>0</v>
      </c>
      <c r="H132" s="104" t="n">
        <v>0</v>
      </c>
      <c r="I132" s="105" t="str">
        <f aca="false">IF(G132&gt;=$C$3,H132/G132,"")</f>
        <v/>
      </c>
      <c r="J132" s="104" t="n">
        <v>0</v>
      </c>
      <c r="K132" s="104" t="n">
        <v>0</v>
      </c>
      <c r="L132" s="105" t="str">
        <f aca="false">IF(J132&gt;=$C$3,K132/J132,"")</f>
        <v/>
      </c>
      <c r="M132" s="104" t="n">
        <v>0</v>
      </c>
      <c r="N132" s="104" t="n">
        <v>0</v>
      </c>
      <c r="O132" s="105" t="str">
        <f aca="false">IF(M132&gt;=$C$3,N132/M132,"")</f>
        <v/>
      </c>
      <c r="P132" s="104" t="n">
        <v>0</v>
      </c>
      <c r="Q132" s="104" t="n">
        <v>0</v>
      </c>
      <c r="R132" s="105" t="str">
        <f aca="false">IF(P132&gt;=$C$3,Q132/P132,"")</f>
        <v/>
      </c>
      <c r="S132" s="104" t="n">
        <v>0</v>
      </c>
      <c r="T132" s="104" t="n">
        <v>0</v>
      </c>
      <c r="U132" s="105" t="str">
        <f aca="false">IF(S132&gt;=$C$3,T132/S132,"")</f>
        <v/>
      </c>
      <c r="V132" s="104" t="n">
        <v>12</v>
      </c>
      <c r="W132" s="104" t="n">
        <v>12</v>
      </c>
      <c r="X132" s="105" t="n">
        <f aca="false">IF(V132&gt;=$C$3,W132/V132,"")</f>
        <v>1</v>
      </c>
      <c r="Y132" s="106" t="n">
        <f aca="false">COUNT(F132,I132,L132,O132,R132,U132,X132)</f>
        <v>2</v>
      </c>
      <c r="Z132" s="107" t="n">
        <f aca="false">IF(Y132=0,"",AVERAGE(F132,I132,L132,O132,R132,U132,X132))</f>
        <v>0.928571428571429</v>
      </c>
      <c r="AA132" s="108" t="n">
        <f aca="false">IF(ISNUMBER(Z132),C132*Z132,"")</f>
        <v>260.91</v>
      </c>
      <c r="AB132" s="108" t="n">
        <f aca="false">IFERROR(INDEX('Shortlisted Drugs X Company (7)'!$K$3:$K$698,MATCH($A132,'Shortlisted Drugs X Company (7)'!$C$3:$C$698,0)),"")</f>
        <v>10</v>
      </c>
      <c r="AC132" s="108" t="n">
        <f aca="false">IF(AND(ISNUMBER(AB132),ISNUMBER(Z132)),ROUND(AB132*Z132,0),"")</f>
        <v>9</v>
      </c>
    </row>
    <row r="133" customFormat="false" ht="15" hidden="false" customHeight="false" outlineLevel="0" collapsed="false">
      <c r="A133" s="89" t="s">
        <v>1225</v>
      </c>
      <c r="B133" s="90" t="s">
        <v>3799</v>
      </c>
      <c r="C133" s="103" t="n">
        <v>8362.23</v>
      </c>
      <c r="D133" s="104" t="n">
        <v>68</v>
      </c>
      <c r="E133" s="104" t="n">
        <v>65</v>
      </c>
      <c r="F133" s="105" t="n">
        <f aca="false">IF(D133&gt;=$C$3,E133/D133,"")</f>
        <v>0.955882352941177</v>
      </c>
      <c r="G133" s="104" t="n">
        <v>12</v>
      </c>
      <c r="H133" s="104" t="n">
        <v>12</v>
      </c>
      <c r="I133" s="105" t="n">
        <f aca="false">IF(G133&gt;=$C$3,H133/G133,"")</f>
        <v>1</v>
      </c>
      <c r="J133" s="104" t="n">
        <v>3</v>
      </c>
      <c r="K133" s="104" t="n">
        <v>3</v>
      </c>
      <c r="L133" s="105" t="n">
        <f aca="false">IF(J133&gt;=$C$3,K133/J133,"")</f>
        <v>1</v>
      </c>
      <c r="M133" s="104" t="n">
        <v>14</v>
      </c>
      <c r="N133" s="104" t="n">
        <v>13</v>
      </c>
      <c r="O133" s="105" t="n">
        <f aca="false">IF(M133&gt;=$C$3,N133/M133,"")</f>
        <v>0.928571428571429</v>
      </c>
      <c r="P133" s="104" t="n">
        <v>7</v>
      </c>
      <c r="Q133" s="104" t="n">
        <v>7</v>
      </c>
      <c r="R133" s="105" t="n">
        <f aca="false">IF(P133&gt;=$C$3,Q133/P133,"")</f>
        <v>1</v>
      </c>
      <c r="S133" s="104" t="n">
        <v>6</v>
      </c>
      <c r="T133" s="104" t="n">
        <v>6</v>
      </c>
      <c r="U133" s="105" t="n">
        <f aca="false">IF(S133&gt;=$C$3,T133/S133,"")</f>
        <v>1</v>
      </c>
      <c r="V133" s="104" t="n">
        <v>3</v>
      </c>
      <c r="W133" s="104" t="n">
        <v>3</v>
      </c>
      <c r="X133" s="105" t="n">
        <f aca="false">IF(V133&gt;=$C$3,W133/V133,"")</f>
        <v>1</v>
      </c>
      <c r="Y133" s="106" t="n">
        <f aca="false">COUNT(F133,I133,L133,O133,R133,U133,X133)</f>
        <v>7</v>
      </c>
      <c r="Z133" s="107" t="n">
        <f aca="false">IF(Y133=0,"",AVERAGE(F133,I133,L133,O133,R133,U133,X133))</f>
        <v>0.983493397358944</v>
      </c>
      <c r="AA133" s="108" t="n">
        <f aca="false">IF(ISNUMBER(Z133),C133*Z133,"")</f>
        <v>8224.19799219688</v>
      </c>
      <c r="AB133" s="108" t="n">
        <f aca="false">IFERROR(INDEX('Shortlisted Drugs X Company (7)'!$K$3:$K$698,MATCH($A133,'Shortlisted Drugs X Company (7)'!$C$3:$C$698,0)),"")</f>
        <v>309</v>
      </c>
      <c r="AC133" s="108" t="n">
        <f aca="false">IF(AND(ISNUMBER(AB133),ISNUMBER(Z133)),ROUND(AB133*Z133,0),"")</f>
        <v>304</v>
      </c>
    </row>
    <row r="134" customFormat="false" ht="15" hidden="false" customHeight="false" outlineLevel="0" collapsed="false">
      <c r="A134" s="89" t="s">
        <v>1106</v>
      </c>
      <c r="B134" s="90" t="s">
        <v>3796</v>
      </c>
      <c r="C134" s="103" t="n">
        <v>29883.81</v>
      </c>
      <c r="D134" s="104" t="n">
        <v>192</v>
      </c>
      <c r="E134" s="104" t="n">
        <v>192</v>
      </c>
      <c r="F134" s="105" t="n">
        <f aca="false">IF(D134&gt;=$C$3,E134/D134,"")</f>
        <v>1</v>
      </c>
      <c r="G134" s="104" t="n">
        <v>15</v>
      </c>
      <c r="H134" s="104" t="n">
        <v>15</v>
      </c>
      <c r="I134" s="105" t="n">
        <f aca="false">IF(G134&gt;=$C$3,H134/G134,"")</f>
        <v>1</v>
      </c>
      <c r="J134" s="104" t="n">
        <v>5</v>
      </c>
      <c r="K134" s="104" t="n">
        <v>5</v>
      </c>
      <c r="L134" s="105" t="n">
        <f aca="false">IF(J134&gt;=$C$3,K134/J134,"")</f>
        <v>1</v>
      </c>
      <c r="M134" s="104" t="n">
        <v>27</v>
      </c>
      <c r="N134" s="104" t="n">
        <v>27</v>
      </c>
      <c r="O134" s="105" t="n">
        <f aca="false">IF(M134&gt;=$C$3,N134/M134,"")</f>
        <v>1</v>
      </c>
      <c r="P134" s="104" t="n">
        <v>128</v>
      </c>
      <c r="Q134" s="104" t="n">
        <v>40</v>
      </c>
      <c r="R134" s="105" t="n">
        <f aca="false">IF(P134&gt;=$C$3,Q134/P134,"")</f>
        <v>0.3125</v>
      </c>
      <c r="S134" s="104" t="n">
        <v>12</v>
      </c>
      <c r="T134" s="104" t="n">
        <v>12</v>
      </c>
      <c r="U134" s="105" t="n">
        <f aca="false">IF(S134&gt;=$C$3,T134/S134,"")</f>
        <v>1</v>
      </c>
      <c r="V134" s="104" t="n">
        <v>14</v>
      </c>
      <c r="W134" s="104" t="n">
        <v>14</v>
      </c>
      <c r="X134" s="105" t="n">
        <f aca="false">IF(V134&gt;=$C$3,W134/V134,"")</f>
        <v>1</v>
      </c>
      <c r="Y134" s="106" t="n">
        <f aca="false">COUNT(F134,I134,L134,O134,R134,U134,X134)</f>
        <v>7</v>
      </c>
      <c r="Z134" s="107" t="n">
        <f aca="false">IF(Y134=0,"",AVERAGE(F134,I134,L134,O134,R134,U134,X134))</f>
        <v>0.901785714285714</v>
      </c>
      <c r="AA134" s="108" t="n">
        <f aca="false">IF(ISNUMBER(Z134),C134*Z134,"")</f>
        <v>26948.7929464286</v>
      </c>
      <c r="AB134" s="108" t="n">
        <f aca="false">IFERROR(INDEX('Shortlisted Drugs X Company (7)'!$K$3:$K$698,MATCH($A134,'Shortlisted Drugs X Company (7)'!$C$3:$C$698,0)),"")</f>
        <v>1289</v>
      </c>
      <c r="AC134" s="108" t="n">
        <f aca="false">IF(AND(ISNUMBER(AB134),ISNUMBER(Z134)),ROUND(AB134*Z134,0),"")</f>
        <v>1162</v>
      </c>
    </row>
    <row r="135" customFormat="false" ht="15" hidden="false" customHeight="false" outlineLevel="0" collapsed="false">
      <c r="A135" s="89" t="s">
        <v>1399</v>
      </c>
      <c r="B135" s="90" t="s">
        <v>3794</v>
      </c>
      <c r="C135" s="103" t="n">
        <v>8244.44</v>
      </c>
      <c r="D135" s="104" t="n">
        <v>267</v>
      </c>
      <c r="E135" s="104" t="n">
        <v>221</v>
      </c>
      <c r="F135" s="105" t="n">
        <f aca="false">IF(D135&gt;=$C$3,E135/D135,"")</f>
        <v>0.827715355805244</v>
      </c>
      <c r="G135" s="104" t="n">
        <v>48</v>
      </c>
      <c r="H135" s="104" t="n">
        <v>45</v>
      </c>
      <c r="I135" s="105" t="n">
        <f aca="false">IF(G135&gt;=$C$3,H135/G135,"")</f>
        <v>0.9375</v>
      </c>
      <c r="J135" s="104" t="n">
        <v>11</v>
      </c>
      <c r="K135" s="104" t="n">
        <v>8</v>
      </c>
      <c r="L135" s="105" t="n">
        <f aca="false">IF(J135&gt;=$C$3,K135/J135,"")</f>
        <v>0.727272727272727</v>
      </c>
      <c r="M135" s="104" t="n">
        <v>40</v>
      </c>
      <c r="N135" s="104" t="n">
        <v>36</v>
      </c>
      <c r="O135" s="105" t="n">
        <f aca="false">IF(M135&gt;=$C$3,N135/M135,"")</f>
        <v>0.9</v>
      </c>
      <c r="P135" s="104" t="n">
        <v>10</v>
      </c>
      <c r="Q135" s="104" t="n">
        <v>8</v>
      </c>
      <c r="R135" s="105" t="n">
        <f aca="false">IF(P135&gt;=$C$3,Q135/P135,"")</f>
        <v>0.8</v>
      </c>
      <c r="S135" s="104" t="n">
        <v>13</v>
      </c>
      <c r="T135" s="104" t="n">
        <v>10</v>
      </c>
      <c r="U135" s="105" t="n">
        <f aca="false">IF(S135&gt;=$C$3,T135/S135,"")</f>
        <v>0.769230769230769</v>
      </c>
      <c r="V135" s="104" t="n">
        <v>59</v>
      </c>
      <c r="W135" s="104" t="n">
        <v>17</v>
      </c>
      <c r="X135" s="105" t="n">
        <f aca="false">IF(V135&gt;=$C$3,W135/V135,"")</f>
        <v>0.288135593220339</v>
      </c>
      <c r="Y135" s="106" t="n">
        <f aca="false">COUNT(F135,I135,L135,O135,R135,U135,X135)</f>
        <v>7</v>
      </c>
      <c r="Z135" s="107" t="n">
        <f aca="false">IF(Y135=0,"",AVERAGE(F135,I135,L135,O135,R135,U135,X135))</f>
        <v>0.749979206504154</v>
      </c>
      <c r="AA135" s="108" t="n">
        <f aca="false">IF(ISNUMBER(Z135),C135*Z135,"")</f>
        <v>6183.15856927111</v>
      </c>
      <c r="AB135" s="108" t="n">
        <f aca="false">IFERROR(INDEX('Shortlisted Drugs X Company (7)'!$K$3:$K$698,MATCH($A135,'Shortlisted Drugs X Company (7)'!$C$3:$C$698,0)),"")</f>
        <v>153</v>
      </c>
      <c r="AC135" s="108" t="n">
        <f aca="false">IF(AND(ISNUMBER(AB135),ISNUMBER(Z135)),ROUND(AB135*Z135,0),"")</f>
        <v>115</v>
      </c>
    </row>
    <row r="136" customFormat="false" ht="15" hidden="false" customHeight="false" outlineLevel="0" collapsed="false">
      <c r="A136" s="89" t="s">
        <v>529</v>
      </c>
      <c r="B136" s="90" t="s">
        <v>3807</v>
      </c>
      <c r="C136" s="103" t="n">
        <v>3113.83</v>
      </c>
      <c r="D136" s="104" t="n">
        <v>96</v>
      </c>
      <c r="E136" s="104" t="n">
        <v>95</v>
      </c>
      <c r="F136" s="105" t="n">
        <f aca="false">IF(D136&gt;=$C$3,E136/D136,"")</f>
        <v>0.989583333333333</v>
      </c>
      <c r="G136" s="104" t="n">
        <v>9</v>
      </c>
      <c r="H136" s="104" t="n">
        <v>8</v>
      </c>
      <c r="I136" s="105" t="n">
        <f aca="false">IF(G136&gt;=$C$3,H136/G136,"")</f>
        <v>0.888888888888889</v>
      </c>
      <c r="J136" s="104" t="n">
        <v>2</v>
      </c>
      <c r="K136" s="104" t="n">
        <v>1</v>
      </c>
      <c r="L136" s="105" t="str">
        <f aca="false">IF(J136&gt;=$C$3,K136/J136,"")</f>
        <v/>
      </c>
      <c r="M136" s="104" t="n">
        <v>18</v>
      </c>
      <c r="N136" s="104" t="n">
        <v>17</v>
      </c>
      <c r="O136" s="105" t="n">
        <f aca="false">IF(M136&gt;=$C$3,N136/M136,"")</f>
        <v>0.944444444444444</v>
      </c>
      <c r="P136" s="104" t="n">
        <v>9</v>
      </c>
      <c r="Q136" s="104" t="n">
        <v>8</v>
      </c>
      <c r="R136" s="105" t="n">
        <f aca="false">IF(P136&gt;=$C$3,Q136/P136,"")</f>
        <v>0.888888888888889</v>
      </c>
      <c r="S136" s="104" t="n">
        <v>4</v>
      </c>
      <c r="T136" s="104" t="n">
        <v>3</v>
      </c>
      <c r="U136" s="105" t="n">
        <f aca="false">IF(S136&gt;=$C$3,T136/S136,"")</f>
        <v>0.75</v>
      </c>
      <c r="V136" s="104" t="n">
        <v>16</v>
      </c>
      <c r="W136" s="104" t="n">
        <v>15</v>
      </c>
      <c r="X136" s="105" t="n">
        <f aca="false">IF(V136&gt;=$C$3,W136/V136,"")</f>
        <v>0.9375</v>
      </c>
      <c r="Y136" s="106" t="n">
        <f aca="false">COUNT(F136,I136,L136,O136,R136,U136,X136)</f>
        <v>6</v>
      </c>
      <c r="Z136" s="107" t="n">
        <f aca="false">IF(Y136=0,"",AVERAGE(F136,I136,L136,O136,R136,U136,X136))</f>
        <v>0.899884259259259</v>
      </c>
      <c r="AA136" s="108" t="n">
        <f aca="false">IF(ISNUMBER(Z136),C136*Z136,"")</f>
        <v>2802.08660300926</v>
      </c>
      <c r="AB136" s="108" t="n">
        <f aca="false">IFERROR(INDEX('Shortlisted Drugs X Company (7)'!$K$3:$K$698,MATCH($A136,'Shortlisted Drugs X Company (7)'!$C$3:$C$698,0)),"")</f>
        <v>119</v>
      </c>
      <c r="AC136" s="108" t="n">
        <f aca="false">IF(AND(ISNUMBER(AB136),ISNUMBER(Z136)),ROUND(AB136*Z136,0),"")</f>
        <v>107</v>
      </c>
    </row>
    <row r="137" customFormat="false" ht="15" hidden="false" customHeight="false" outlineLevel="0" collapsed="false">
      <c r="A137" s="89" t="s">
        <v>534</v>
      </c>
      <c r="B137" s="90" t="s">
        <v>3802</v>
      </c>
      <c r="C137" s="103" t="n">
        <v>140084.73</v>
      </c>
      <c r="D137" s="104" t="n">
        <v>665</v>
      </c>
      <c r="E137" s="104" t="n">
        <v>254</v>
      </c>
      <c r="F137" s="105" t="n">
        <f aca="false">IF(D137&gt;=$C$3,E137/D137,"")</f>
        <v>0.381954887218045</v>
      </c>
      <c r="G137" s="104" t="n">
        <v>54</v>
      </c>
      <c r="H137" s="104" t="n">
        <v>16</v>
      </c>
      <c r="I137" s="105" t="n">
        <f aca="false">IF(G137&gt;=$C$3,H137/G137,"")</f>
        <v>0.296296296296296</v>
      </c>
      <c r="J137" s="104" t="n">
        <v>39</v>
      </c>
      <c r="K137" s="104" t="n">
        <v>5</v>
      </c>
      <c r="L137" s="105" t="n">
        <f aca="false">IF(J137&gt;=$C$3,K137/J137,"")</f>
        <v>0.128205128205128</v>
      </c>
      <c r="M137" s="104" t="n">
        <v>80</v>
      </c>
      <c r="N137" s="104" t="n">
        <v>10</v>
      </c>
      <c r="O137" s="105" t="n">
        <f aca="false">IF(M137&gt;=$C$3,N137/M137,"")</f>
        <v>0.125</v>
      </c>
      <c r="P137" s="104" t="n">
        <v>66</v>
      </c>
      <c r="Q137" s="104" t="n">
        <v>16</v>
      </c>
      <c r="R137" s="105" t="n">
        <f aca="false">IF(P137&gt;=$C$3,Q137/P137,"")</f>
        <v>0.242424242424242</v>
      </c>
      <c r="S137" s="104" t="n">
        <v>60</v>
      </c>
      <c r="T137" s="104" t="n">
        <v>14</v>
      </c>
      <c r="U137" s="105" t="n">
        <f aca="false">IF(S137&gt;=$C$3,T137/S137,"")</f>
        <v>0.233333333333333</v>
      </c>
      <c r="V137" s="104" t="n">
        <v>45</v>
      </c>
      <c r="W137" s="104" t="n">
        <v>16</v>
      </c>
      <c r="X137" s="105" t="n">
        <f aca="false">IF(V137&gt;=$C$3,W137/V137,"")</f>
        <v>0.355555555555556</v>
      </c>
      <c r="Y137" s="106" t="n">
        <f aca="false">COUNT(F137,I137,L137,O137,R137,U137,X137)</f>
        <v>7</v>
      </c>
      <c r="Z137" s="107" t="n">
        <f aca="false">IF(Y137=0,"",AVERAGE(F137,I137,L137,O137,R137,U137,X137))</f>
        <v>0.251824206147514</v>
      </c>
      <c r="AA137" s="108" t="n">
        <f aca="false">IF(ISNUMBER(Z137),C137*Z137,"")</f>
        <v>35276.7259256389</v>
      </c>
      <c r="AB137" s="108" t="n">
        <f aca="false">IFERROR(INDEX('Shortlisted Drugs X Company (7)'!$K$3:$K$698,MATCH($A137,'Shortlisted Drugs X Company (7)'!$C$3:$C$698,0)),"")</f>
        <v>3515</v>
      </c>
      <c r="AC137" s="108" t="n">
        <f aca="false">IF(AND(ISNUMBER(AB137),ISNUMBER(Z137)),ROUND(AB137*Z137,0),"")</f>
        <v>885</v>
      </c>
    </row>
    <row r="138" customFormat="false" ht="15" hidden="false" customHeight="false" outlineLevel="0" collapsed="false">
      <c r="A138" s="89" t="s">
        <v>1120</v>
      </c>
      <c r="B138" s="90" t="s">
        <v>3820</v>
      </c>
      <c r="C138" s="103" t="n">
        <v>6450.54</v>
      </c>
      <c r="D138" s="104" t="n">
        <v>78</v>
      </c>
      <c r="E138" s="104" t="n">
        <v>47</v>
      </c>
      <c r="F138" s="105" t="n">
        <f aca="false">IF(D138&gt;=$C$3,E138/D138,"")</f>
        <v>0.602564102564103</v>
      </c>
      <c r="G138" s="104" t="n">
        <v>3</v>
      </c>
      <c r="H138" s="104" t="n">
        <v>1</v>
      </c>
      <c r="I138" s="105" t="n">
        <f aca="false">IF(G138&gt;=$C$3,H138/G138,"")</f>
        <v>0.333333333333333</v>
      </c>
      <c r="J138" s="104" t="n">
        <v>0</v>
      </c>
      <c r="K138" s="104" t="n">
        <v>0</v>
      </c>
      <c r="L138" s="105" t="str">
        <f aca="false">IF(J138&gt;=$C$3,K138/J138,"")</f>
        <v/>
      </c>
      <c r="M138" s="104" t="n">
        <v>0</v>
      </c>
      <c r="N138" s="104" t="n">
        <v>0</v>
      </c>
      <c r="O138" s="105" t="str">
        <f aca="false">IF(M138&gt;=$C$3,N138/M138,"")</f>
        <v/>
      </c>
      <c r="P138" s="104" t="n">
        <v>0</v>
      </c>
      <c r="Q138" s="104" t="n">
        <v>0</v>
      </c>
      <c r="R138" s="105" t="str">
        <f aca="false">IF(P138&gt;=$C$3,Q138/P138,"")</f>
        <v/>
      </c>
      <c r="S138" s="104" t="n">
        <v>1</v>
      </c>
      <c r="T138" s="104" t="n">
        <v>1</v>
      </c>
      <c r="U138" s="105" t="str">
        <f aca="false">IF(S138&gt;=$C$3,T138/S138,"")</f>
        <v/>
      </c>
      <c r="V138" s="104" t="n">
        <v>29</v>
      </c>
      <c r="W138" s="104" t="n">
        <v>12</v>
      </c>
      <c r="X138" s="105" t="n">
        <f aca="false">IF(V138&gt;=$C$3,W138/V138,"")</f>
        <v>0.413793103448276</v>
      </c>
      <c r="Y138" s="106" t="n">
        <f aca="false">COUNT(F138,I138,L138,O138,R138,U138,X138)</f>
        <v>3</v>
      </c>
      <c r="Z138" s="107" t="n">
        <f aca="false">IF(Y138=0,"",AVERAGE(F138,I138,L138,O138,R138,U138,X138))</f>
        <v>0.449896846448571</v>
      </c>
      <c r="AA138" s="108" t="n">
        <f aca="false">IF(ISNUMBER(Z138),C138*Z138,"")</f>
        <v>2902.07760389036</v>
      </c>
      <c r="AB138" s="108" t="n">
        <f aca="false">IFERROR(INDEX('Shortlisted Drugs X Company (7)'!$K$3:$K$698,MATCH($A138,'Shortlisted Drugs X Company (7)'!$C$3:$C$698,0)),"")</f>
        <v>55</v>
      </c>
      <c r="AC138" s="108" t="n">
        <f aca="false">IF(AND(ISNUMBER(AB138),ISNUMBER(Z138)),ROUND(AB138*Z138,0),"")</f>
        <v>25</v>
      </c>
    </row>
    <row r="139" customFormat="false" ht="15" hidden="false" customHeight="false" outlineLevel="0" collapsed="false">
      <c r="A139" s="89" t="s">
        <v>1126</v>
      </c>
      <c r="B139" s="90" t="s">
        <v>3807</v>
      </c>
      <c r="C139" s="103" t="n">
        <v>22355.46</v>
      </c>
      <c r="D139" s="104" t="n">
        <v>48</v>
      </c>
      <c r="E139" s="104" t="n">
        <v>48</v>
      </c>
      <c r="F139" s="105" t="n">
        <f aca="false">IF(D139&gt;=$C$3,E139/D139,"")</f>
        <v>1</v>
      </c>
      <c r="G139" s="104" t="n">
        <v>9</v>
      </c>
      <c r="H139" s="104" t="n">
        <v>9</v>
      </c>
      <c r="I139" s="105" t="n">
        <f aca="false">IF(G139&gt;=$C$3,H139/G139,"")</f>
        <v>1</v>
      </c>
      <c r="J139" s="104" t="n">
        <v>8</v>
      </c>
      <c r="K139" s="104" t="n">
        <v>8</v>
      </c>
      <c r="L139" s="105" t="n">
        <f aca="false">IF(J139&gt;=$C$3,K139/J139,"")</f>
        <v>1</v>
      </c>
      <c r="M139" s="104" t="n">
        <v>6</v>
      </c>
      <c r="N139" s="104" t="n">
        <v>6</v>
      </c>
      <c r="O139" s="105" t="n">
        <f aca="false">IF(M139&gt;=$C$3,N139/M139,"")</f>
        <v>1</v>
      </c>
      <c r="P139" s="104" t="n">
        <v>6</v>
      </c>
      <c r="Q139" s="104" t="n">
        <v>6</v>
      </c>
      <c r="R139" s="105" t="n">
        <f aca="false">IF(P139&gt;=$C$3,Q139/P139,"")</f>
        <v>1</v>
      </c>
      <c r="S139" s="104" t="n">
        <v>8</v>
      </c>
      <c r="T139" s="104" t="n">
        <v>8</v>
      </c>
      <c r="U139" s="105" t="n">
        <f aca="false">IF(S139&gt;=$C$3,T139/S139,"")</f>
        <v>1</v>
      </c>
      <c r="V139" s="104" t="n">
        <v>10</v>
      </c>
      <c r="W139" s="104" t="n">
        <v>9</v>
      </c>
      <c r="X139" s="105" t="n">
        <f aca="false">IF(V139&gt;=$C$3,W139/V139,"")</f>
        <v>0.9</v>
      </c>
      <c r="Y139" s="106" t="n">
        <f aca="false">COUNT(F139,I139,L139,O139,R139,U139,X139)</f>
        <v>7</v>
      </c>
      <c r="Z139" s="107" t="n">
        <f aca="false">IF(Y139=0,"",AVERAGE(F139,I139,L139,O139,R139,U139,X139))</f>
        <v>0.985714285714286</v>
      </c>
      <c r="AA139" s="108" t="n">
        <f aca="false">IF(ISNUMBER(Z139),C139*Z139,"")</f>
        <v>22036.0962857143</v>
      </c>
      <c r="AB139" s="108" t="n">
        <f aca="false">IFERROR(INDEX('Shortlisted Drugs X Company (7)'!$K$3:$K$698,MATCH($A139,'Shortlisted Drugs X Company (7)'!$C$3:$C$698,0)),"")</f>
        <v>157</v>
      </c>
      <c r="AC139" s="108" t="n">
        <f aca="false">IF(AND(ISNUMBER(AB139),ISNUMBER(Z139)),ROUND(AB139*Z139,0),"")</f>
        <v>155</v>
      </c>
    </row>
    <row r="140" customFormat="false" ht="15" hidden="false" customHeight="false" outlineLevel="0" collapsed="false">
      <c r="A140" s="89" t="s">
        <v>829</v>
      </c>
      <c r="B140" s="90" t="s">
        <v>3792</v>
      </c>
      <c r="C140" s="103" t="n">
        <v>2202.64</v>
      </c>
      <c r="D140" s="104" t="n">
        <v>17</v>
      </c>
      <c r="E140" s="104" t="n">
        <v>17</v>
      </c>
      <c r="F140" s="105" t="n">
        <f aca="false">IF(D140&gt;=$C$3,E140/D140,"")</f>
        <v>1</v>
      </c>
      <c r="G140" s="104" t="n">
        <v>2</v>
      </c>
      <c r="H140" s="104" t="n">
        <v>2</v>
      </c>
      <c r="I140" s="105" t="str">
        <f aca="false">IF(G140&gt;=$C$3,H140/G140,"")</f>
        <v/>
      </c>
      <c r="J140" s="104" t="n">
        <v>2</v>
      </c>
      <c r="K140" s="104" t="n">
        <v>2</v>
      </c>
      <c r="L140" s="105" t="str">
        <f aca="false">IF(J140&gt;=$C$3,K140/J140,"")</f>
        <v/>
      </c>
      <c r="M140" s="104" t="n">
        <v>2</v>
      </c>
      <c r="N140" s="104" t="n">
        <v>2</v>
      </c>
      <c r="O140" s="105" t="str">
        <f aca="false">IF(M140&gt;=$C$3,N140/M140,"")</f>
        <v/>
      </c>
      <c r="P140" s="104" t="n">
        <v>0</v>
      </c>
      <c r="Q140" s="104" t="n">
        <v>0</v>
      </c>
      <c r="R140" s="105" t="str">
        <f aca="false">IF(P140&gt;=$C$3,Q140/P140,"")</f>
        <v/>
      </c>
      <c r="S140" s="104" t="n">
        <v>0</v>
      </c>
      <c r="T140" s="104" t="n">
        <v>0</v>
      </c>
      <c r="U140" s="105" t="str">
        <f aca="false">IF(S140&gt;=$C$3,T140/S140,"")</f>
        <v/>
      </c>
      <c r="V140" s="104" t="n">
        <v>6</v>
      </c>
      <c r="W140" s="104" t="n">
        <v>3</v>
      </c>
      <c r="X140" s="105" t="n">
        <f aca="false">IF(V140&gt;=$C$3,W140/V140,"")</f>
        <v>0.5</v>
      </c>
      <c r="Y140" s="106" t="n">
        <f aca="false">COUNT(F140,I140,L140,O140,R140,U140,X140)</f>
        <v>2</v>
      </c>
      <c r="Z140" s="107" t="n">
        <f aca="false">IF(Y140=0,"",AVERAGE(F140,I140,L140,O140,R140,U140,X140))</f>
        <v>0.75</v>
      </c>
      <c r="AA140" s="108" t="n">
        <f aca="false">IF(ISNUMBER(Z140),C140*Z140,"")</f>
        <v>1651.98</v>
      </c>
      <c r="AB140" s="108" t="n">
        <f aca="false">IFERROR(INDEX('Shortlisted Drugs X Company (7)'!$K$3:$K$698,MATCH($A140,'Shortlisted Drugs X Company (7)'!$C$3:$C$698,0)),"")</f>
        <v>12</v>
      </c>
      <c r="AC140" s="108" t="n">
        <f aca="false">IF(AND(ISNUMBER(AB140),ISNUMBER(Z140)),ROUND(AB140*Z140,0),"")</f>
        <v>9</v>
      </c>
    </row>
    <row r="141" customFormat="false" ht="15" hidden="false" customHeight="false" outlineLevel="0" collapsed="false">
      <c r="A141" s="89" t="s">
        <v>74</v>
      </c>
      <c r="B141" s="90" t="s">
        <v>3791</v>
      </c>
      <c r="C141" s="103" t="n">
        <v>49365.77</v>
      </c>
      <c r="D141" s="104" t="n">
        <v>649</v>
      </c>
      <c r="E141" s="104" t="n">
        <v>87</v>
      </c>
      <c r="F141" s="105" t="n">
        <f aca="false">IF(D141&gt;=$C$3,E141/D141,"")</f>
        <v>0.134052388289676</v>
      </c>
      <c r="G141" s="104" t="n">
        <v>234</v>
      </c>
      <c r="H141" s="104" t="n">
        <v>8</v>
      </c>
      <c r="I141" s="105" t="n">
        <f aca="false">IF(G141&gt;=$C$3,H141/G141,"")</f>
        <v>0.0341880341880342</v>
      </c>
      <c r="J141" s="104" t="n">
        <v>50</v>
      </c>
      <c r="K141" s="104" t="n">
        <v>5</v>
      </c>
      <c r="L141" s="105" t="n">
        <f aca="false">IF(J141&gt;=$C$3,K141/J141,"")</f>
        <v>0.1</v>
      </c>
      <c r="M141" s="104" t="n">
        <v>180</v>
      </c>
      <c r="N141" s="104" t="n">
        <v>9</v>
      </c>
      <c r="O141" s="105" t="n">
        <f aca="false">IF(M141&gt;=$C$3,N141/M141,"")</f>
        <v>0.05</v>
      </c>
      <c r="P141" s="104" t="n">
        <v>62</v>
      </c>
      <c r="Q141" s="104" t="n">
        <v>9</v>
      </c>
      <c r="R141" s="105" t="n">
        <f aca="false">IF(P141&gt;=$C$3,Q141/P141,"")</f>
        <v>0.145161290322581</v>
      </c>
      <c r="S141" s="104" t="n">
        <v>18</v>
      </c>
      <c r="T141" s="104" t="n">
        <v>5</v>
      </c>
      <c r="U141" s="105" t="n">
        <f aca="false">IF(S141&gt;=$C$3,T141/S141,"")</f>
        <v>0.277777777777778</v>
      </c>
      <c r="V141" s="104" t="n">
        <v>482</v>
      </c>
      <c r="W141" s="104" t="n">
        <v>32</v>
      </c>
      <c r="X141" s="105" t="n">
        <f aca="false">IF(V141&gt;=$C$3,W141/V141,"")</f>
        <v>0.0663900414937759</v>
      </c>
      <c r="Y141" s="106" t="n">
        <f aca="false">COUNT(F141,I141,L141,O141,R141,U141,X141)</f>
        <v>7</v>
      </c>
      <c r="Z141" s="107" t="n">
        <f aca="false">IF(Y141=0,"",AVERAGE(F141,I141,L141,O141,R141,U141,X141))</f>
        <v>0.115367076010264</v>
      </c>
      <c r="AA141" s="108" t="n">
        <f aca="false">IF(ISNUMBER(Z141),C141*Z141,"")</f>
        <v>5695.18453989519</v>
      </c>
      <c r="AB141" s="108" t="n">
        <f aca="false">IFERROR(INDEX('Shortlisted Drugs X Company (7)'!$K$3:$K$698,MATCH($A141,'Shortlisted Drugs X Company (7)'!$C$3:$C$698,0)),"")</f>
        <v>1963</v>
      </c>
      <c r="AC141" s="108" t="n">
        <f aca="false">IF(AND(ISNUMBER(AB141),ISNUMBER(Z141)),ROUND(AB141*Z141,0),"")</f>
        <v>226</v>
      </c>
    </row>
    <row r="142" customFormat="false" ht="15" hidden="false" customHeight="false" outlineLevel="0" collapsed="false">
      <c r="A142" s="89" t="s">
        <v>1133</v>
      </c>
      <c r="B142" s="90" t="s">
        <v>3797</v>
      </c>
      <c r="C142" s="103" t="n">
        <v>6050.02</v>
      </c>
      <c r="D142" s="104" t="n">
        <v>65</v>
      </c>
      <c r="E142" s="104" t="n">
        <v>32</v>
      </c>
      <c r="F142" s="105" t="n">
        <f aca="false">IF(D142&gt;=$C$3,E142/D142,"")</f>
        <v>0.492307692307692</v>
      </c>
      <c r="G142" s="104" t="n">
        <v>18</v>
      </c>
      <c r="H142" s="104" t="n">
        <v>4</v>
      </c>
      <c r="I142" s="105" t="n">
        <f aca="false">IF(G142&gt;=$C$3,H142/G142,"")</f>
        <v>0.222222222222222</v>
      </c>
      <c r="J142" s="104" t="n">
        <v>7</v>
      </c>
      <c r="K142" s="104" t="n">
        <v>2</v>
      </c>
      <c r="L142" s="105" t="n">
        <f aca="false">IF(J142&gt;=$C$3,K142/J142,"")</f>
        <v>0.285714285714286</v>
      </c>
      <c r="M142" s="104" t="n">
        <v>8</v>
      </c>
      <c r="N142" s="104" t="n">
        <v>4</v>
      </c>
      <c r="O142" s="105" t="n">
        <f aca="false">IF(M142&gt;=$C$3,N142/M142,"")</f>
        <v>0.5</v>
      </c>
      <c r="P142" s="104" t="n">
        <v>8</v>
      </c>
      <c r="Q142" s="104" t="n">
        <v>3</v>
      </c>
      <c r="R142" s="105" t="n">
        <f aca="false">IF(P142&gt;=$C$3,Q142/P142,"")</f>
        <v>0.375</v>
      </c>
      <c r="S142" s="104" t="n">
        <v>2</v>
      </c>
      <c r="T142" s="104" t="n">
        <v>1</v>
      </c>
      <c r="U142" s="105" t="str">
        <f aca="false">IF(S142&gt;=$C$3,T142/S142,"")</f>
        <v/>
      </c>
      <c r="V142" s="104" t="n">
        <v>17</v>
      </c>
      <c r="W142" s="104" t="n">
        <v>2</v>
      </c>
      <c r="X142" s="105" t="n">
        <f aca="false">IF(V142&gt;=$C$3,W142/V142,"")</f>
        <v>0.117647058823529</v>
      </c>
      <c r="Y142" s="106" t="n">
        <f aca="false">COUNT(F142,I142,L142,O142,R142,U142,X142)</f>
        <v>6</v>
      </c>
      <c r="Z142" s="107" t="n">
        <f aca="false">IF(Y142=0,"",AVERAGE(F142,I142,L142,O142,R142,U142,X142))</f>
        <v>0.332148543177955</v>
      </c>
      <c r="AA142" s="108" t="n">
        <f aca="false">IF(ISNUMBER(Z142),C142*Z142,"")</f>
        <v>2009.50532919749</v>
      </c>
      <c r="AB142" s="108" t="n">
        <f aca="false">IFERROR(INDEX('Shortlisted Drugs X Company (7)'!$K$3:$K$698,MATCH($A142,'Shortlisted Drugs X Company (7)'!$C$3:$C$698,0)),"")</f>
        <v>627</v>
      </c>
      <c r="AC142" s="108" t="n">
        <f aca="false">IF(AND(ISNUMBER(AB142),ISNUMBER(Z142)),ROUND(AB142*Z142,0),"")</f>
        <v>208</v>
      </c>
    </row>
    <row r="143" customFormat="false" ht="15" hidden="false" customHeight="false" outlineLevel="0" collapsed="false">
      <c r="A143" s="89" t="s">
        <v>304</v>
      </c>
      <c r="B143" s="90" t="s">
        <v>3793</v>
      </c>
      <c r="C143" s="103" t="n">
        <v>5770.02</v>
      </c>
      <c r="D143" s="104" t="n">
        <v>111</v>
      </c>
      <c r="E143" s="104" t="n">
        <v>100</v>
      </c>
      <c r="F143" s="105" t="n">
        <f aca="false">IF(D143&gt;=$C$3,E143/D143,"")</f>
        <v>0.900900900900901</v>
      </c>
      <c r="G143" s="104" t="n">
        <v>7</v>
      </c>
      <c r="H143" s="104" t="n">
        <v>4</v>
      </c>
      <c r="I143" s="105" t="n">
        <f aca="false">IF(G143&gt;=$C$3,H143/G143,"")</f>
        <v>0.571428571428571</v>
      </c>
      <c r="J143" s="104" t="n">
        <v>0</v>
      </c>
      <c r="K143" s="104" t="n">
        <v>0</v>
      </c>
      <c r="L143" s="105" t="str">
        <f aca="false">IF(J143&gt;=$C$3,K143/J143,"")</f>
        <v/>
      </c>
      <c r="M143" s="104" t="n">
        <v>191</v>
      </c>
      <c r="N143" s="104" t="n">
        <v>4</v>
      </c>
      <c r="O143" s="105" t="n">
        <f aca="false">IF(M143&gt;=$C$3,N143/M143,"")</f>
        <v>0.0209424083769634</v>
      </c>
      <c r="P143" s="104" t="n">
        <v>2</v>
      </c>
      <c r="Q143" s="104" t="n">
        <v>2</v>
      </c>
      <c r="R143" s="105" t="str">
        <f aca="false">IF(P143&gt;=$C$3,Q143/P143,"")</f>
        <v/>
      </c>
      <c r="S143" s="104" t="n">
        <v>76</v>
      </c>
      <c r="T143" s="104" t="n">
        <v>5</v>
      </c>
      <c r="U143" s="105" t="n">
        <f aca="false">IF(S143&gt;=$C$3,T143/S143,"")</f>
        <v>0.0657894736842105</v>
      </c>
      <c r="V143" s="104" t="n">
        <v>23</v>
      </c>
      <c r="W143" s="104" t="n">
        <v>18</v>
      </c>
      <c r="X143" s="105" t="n">
        <f aca="false">IF(V143&gt;=$C$3,W143/V143,"")</f>
        <v>0.782608695652174</v>
      </c>
      <c r="Y143" s="106" t="n">
        <f aca="false">COUNT(F143,I143,L143,O143,R143,U143,X143)</f>
        <v>5</v>
      </c>
      <c r="Z143" s="107" t="n">
        <f aca="false">IF(Y143=0,"",AVERAGE(F143,I143,L143,O143,R143,U143,X143))</f>
        <v>0.468334010008564</v>
      </c>
      <c r="AA143" s="108" t="n">
        <f aca="false">IF(ISNUMBER(Z143),C143*Z143,"")</f>
        <v>2702.29660442962</v>
      </c>
      <c r="AB143" s="108" t="n">
        <f aca="false">IFERROR(INDEX('Shortlisted Drugs X Company (7)'!$K$3:$K$698,MATCH($A143,'Shortlisted Drugs X Company (7)'!$C$3:$C$698,0)),"")</f>
        <v>51</v>
      </c>
      <c r="AC143" s="108" t="n">
        <f aca="false">IF(AND(ISNUMBER(AB143),ISNUMBER(Z143)),ROUND(AB143*Z143,0),"")</f>
        <v>24</v>
      </c>
    </row>
    <row r="144" customFormat="false" ht="15" hidden="false" customHeight="false" outlineLevel="0" collapsed="false">
      <c r="A144" s="89" t="s">
        <v>1323</v>
      </c>
      <c r="B144" s="90" t="s">
        <v>3792</v>
      </c>
      <c r="C144" s="103" t="n">
        <v>32204.47</v>
      </c>
      <c r="D144" s="104" t="n">
        <v>271</v>
      </c>
      <c r="E144" s="104" t="n">
        <v>271</v>
      </c>
      <c r="F144" s="105" t="n">
        <f aca="false">IF(D144&gt;=$C$3,E144/D144,"")</f>
        <v>1</v>
      </c>
      <c r="G144" s="104" t="n">
        <v>68</v>
      </c>
      <c r="H144" s="104" t="n">
        <v>68</v>
      </c>
      <c r="I144" s="105" t="n">
        <f aca="false">IF(G144&gt;=$C$3,H144/G144,"")</f>
        <v>1</v>
      </c>
      <c r="J144" s="104" t="n">
        <v>16</v>
      </c>
      <c r="K144" s="104" t="n">
        <v>16</v>
      </c>
      <c r="L144" s="105" t="n">
        <f aca="false">IF(J144&gt;=$C$3,K144/J144,"")</f>
        <v>1</v>
      </c>
      <c r="M144" s="104" t="n">
        <v>15</v>
      </c>
      <c r="N144" s="104" t="n">
        <v>15</v>
      </c>
      <c r="O144" s="105" t="n">
        <f aca="false">IF(M144&gt;=$C$3,N144/M144,"")</f>
        <v>1</v>
      </c>
      <c r="P144" s="104" t="n">
        <v>15</v>
      </c>
      <c r="Q144" s="104" t="n">
        <v>15</v>
      </c>
      <c r="R144" s="105" t="n">
        <f aca="false">IF(P144&gt;=$C$3,Q144/P144,"")</f>
        <v>1</v>
      </c>
      <c r="S144" s="104" t="n">
        <v>15</v>
      </c>
      <c r="T144" s="104" t="n">
        <v>15</v>
      </c>
      <c r="U144" s="105" t="n">
        <f aca="false">IF(S144&gt;=$C$3,T144/S144,"")</f>
        <v>1</v>
      </c>
      <c r="V144" s="104" t="n">
        <v>40</v>
      </c>
      <c r="W144" s="104" t="n">
        <v>40</v>
      </c>
      <c r="X144" s="105" t="n">
        <f aca="false">IF(V144&gt;=$C$3,W144/V144,"")</f>
        <v>1</v>
      </c>
      <c r="Y144" s="106" t="n">
        <f aca="false">COUNT(F144,I144,L144,O144,R144,U144,X144)</f>
        <v>7</v>
      </c>
      <c r="Z144" s="107" t="n">
        <f aca="false">IF(Y144=0,"",AVERAGE(F144,I144,L144,O144,R144,U144,X144))</f>
        <v>1</v>
      </c>
      <c r="AA144" s="108" t="n">
        <f aca="false">IF(ISNUMBER(Z144),C144*Z144,"")</f>
        <v>32204.47</v>
      </c>
      <c r="AB144" s="108" t="n">
        <f aca="false">IFERROR(INDEX('Shortlisted Drugs X Company (7)'!$K$3:$K$698,MATCH($A144,'Shortlisted Drugs X Company (7)'!$C$3:$C$698,0)),"")</f>
        <v>766</v>
      </c>
      <c r="AC144" s="108" t="n">
        <f aca="false">IF(AND(ISNUMBER(AB144),ISNUMBER(Z144)),ROUND(AB144*Z144,0),"")</f>
        <v>766</v>
      </c>
    </row>
    <row r="145" customFormat="false" ht="15" hidden="false" customHeight="false" outlineLevel="0" collapsed="false">
      <c r="A145" s="89" t="s">
        <v>541</v>
      </c>
      <c r="B145" s="90" t="s">
        <v>3807</v>
      </c>
      <c r="C145" s="103" t="n">
        <v>7904.67</v>
      </c>
      <c r="D145" s="104" t="n">
        <v>91</v>
      </c>
      <c r="E145" s="104" t="n">
        <v>91</v>
      </c>
      <c r="F145" s="105" t="n">
        <f aca="false">IF(D145&gt;=$C$3,E145/D145,"")</f>
        <v>1</v>
      </c>
      <c r="G145" s="104" t="n">
        <v>8</v>
      </c>
      <c r="H145" s="104" t="n">
        <v>8</v>
      </c>
      <c r="I145" s="105" t="n">
        <f aca="false">IF(G145&gt;=$C$3,H145/G145,"")</f>
        <v>1</v>
      </c>
      <c r="J145" s="104" t="n">
        <v>2</v>
      </c>
      <c r="K145" s="104" t="n">
        <v>2</v>
      </c>
      <c r="L145" s="105" t="str">
        <f aca="false">IF(J145&gt;=$C$3,K145/J145,"")</f>
        <v/>
      </c>
      <c r="M145" s="104" t="n">
        <v>7</v>
      </c>
      <c r="N145" s="104" t="n">
        <v>7</v>
      </c>
      <c r="O145" s="105" t="n">
        <f aca="false">IF(M145&gt;=$C$3,N145/M145,"")</f>
        <v>1</v>
      </c>
      <c r="P145" s="104" t="n">
        <v>2</v>
      </c>
      <c r="Q145" s="104" t="n">
        <v>2</v>
      </c>
      <c r="R145" s="105" t="str">
        <f aca="false">IF(P145&gt;=$C$3,Q145/P145,"")</f>
        <v/>
      </c>
      <c r="S145" s="104" t="n">
        <v>2</v>
      </c>
      <c r="T145" s="104" t="n">
        <v>2</v>
      </c>
      <c r="U145" s="105" t="str">
        <f aca="false">IF(S145&gt;=$C$3,T145/S145,"")</f>
        <v/>
      </c>
      <c r="V145" s="104" t="n">
        <v>10</v>
      </c>
      <c r="W145" s="104" t="n">
        <v>10</v>
      </c>
      <c r="X145" s="105" t="n">
        <f aca="false">IF(V145&gt;=$C$3,W145/V145,"")</f>
        <v>1</v>
      </c>
      <c r="Y145" s="106" t="n">
        <f aca="false">COUNT(F145,I145,L145,O145,R145,U145,X145)</f>
        <v>4</v>
      </c>
      <c r="Z145" s="107" t="n">
        <f aca="false">IF(Y145=0,"",AVERAGE(F145,I145,L145,O145,R145,U145,X145))</f>
        <v>1</v>
      </c>
      <c r="AA145" s="108" t="n">
        <f aca="false">IF(ISNUMBER(Z145),C145*Z145,"")</f>
        <v>7904.67</v>
      </c>
      <c r="AB145" s="108" t="n">
        <f aca="false">IFERROR(INDEX('Shortlisted Drugs X Company (7)'!$K$3:$K$698,MATCH($A145,'Shortlisted Drugs X Company (7)'!$C$3:$C$698,0)),"")</f>
        <v>47</v>
      </c>
      <c r="AC145" s="108" t="n">
        <f aca="false">IF(AND(ISNUMBER(AB145),ISNUMBER(Z145)),ROUND(AB145*Z145,0),"")</f>
        <v>47</v>
      </c>
    </row>
    <row r="146" customFormat="false" ht="15" hidden="false" customHeight="false" outlineLevel="0" collapsed="false">
      <c r="A146" s="89" t="s">
        <v>548</v>
      </c>
      <c r="B146" s="90" t="s">
        <v>3799</v>
      </c>
      <c r="C146" s="103" t="n">
        <v>22018.81</v>
      </c>
      <c r="D146" s="104" t="n">
        <v>238</v>
      </c>
      <c r="E146" s="104" t="n">
        <v>38</v>
      </c>
      <c r="F146" s="105" t="n">
        <f aca="false">IF(D146&gt;=$C$3,E146/D146,"")</f>
        <v>0.159663865546218</v>
      </c>
      <c r="G146" s="104" t="n">
        <v>38</v>
      </c>
      <c r="H146" s="104" t="n">
        <v>3</v>
      </c>
      <c r="I146" s="105" t="n">
        <f aca="false">IF(G146&gt;=$C$3,H146/G146,"")</f>
        <v>0.0789473684210526</v>
      </c>
      <c r="J146" s="104" t="n">
        <v>12</v>
      </c>
      <c r="K146" s="104" t="n">
        <v>2</v>
      </c>
      <c r="L146" s="105" t="n">
        <f aca="false">IF(J146&gt;=$C$3,K146/J146,"")</f>
        <v>0.166666666666667</v>
      </c>
      <c r="M146" s="104" t="n">
        <v>27</v>
      </c>
      <c r="N146" s="104" t="n">
        <v>3</v>
      </c>
      <c r="O146" s="105" t="n">
        <f aca="false">IF(M146&gt;=$C$3,N146/M146,"")</f>
        <v>0.111111111111111</v>
      </c>
      <c r="P146" s="104" t="n">
        <v>7</v>
      </c>
      <c r="Q146" s="104" t="n">
        <v>0</v>
      </c>
      <c r="R146" s="105" t="n">
        <f aca="false">IF(P146&gt;=$C$3,Q146/P146,"")</f>
        <v>0</v>
      </c>
      <c r="S146" s="104" t="n">
        <v>15</v>
      </c>
      <c r="T146" s="104" t="n">
        <v>3</v>
      </c>
      <c r="U146" s="105" t="n">
        <f aca="false">IF(S146&gt;=$C$3,T146/S146,"")</f>
        <v>0.2</v>
      </c>
      <c r="V146" s="104" t="n">
        <v>32</v>
      </c>
      <c r="W146" s="104" t="n">
        <v>4</v>
      </c>
      <c r="X146" s="105" t="n">
        <f aca="false">IF(V146&gt;=$C$3,W146/V146,"")</f>
        <v>0.125</v>
      </c>
      <c r="Y146" s="106" t="n">
        <f aca="false">COUNT(F146,I146,L146,O146,R146,U146,X146)</f>
        <v>7</v>
      </c>
      <c r="Z146" s="107" t="n">
        <f aca="false">IF(Y146=0,"",AVERAGE(F146,I146,L146,O146,R146,U146,X146))</f>
        <v>0.120198430249293</v>
      </c>
      <c r="AA146" s="108" t="n">
        <f aca="false">IF(ISNUMBER(Z146),C146*Z146,"")</f>
        <v>2646.62639795743</v>
      </c>
      <c r="AB146" s="108" t="n">
        <f aca="false">IFERROR(INDEX('Shortlisted Drugs X Company (7)'!$K$3:$K$698,MATCH($A146,'Shortlisted Drugs X Company (7)'!$C$3:$C$698,0)),"")</f>
        <v>736</v>
      </c>
      <c r="AC146" s="108" t="n">
        <f aca="false">IF(AND(ISNUMBER(AB146),ISNUMBER(Z146)),ROUND(AB146*Z146,0),"")</f>
        <v>88</v>
      </c>
    </row>
    <row r="147" customFormat="false" ht="15" hidden="false" customHeight="false" outlineLevel="0" collapsed="false">
      <c r="A147" s="89" t="s">
        <v>839</v>
      </c>
      <c r="B147" s="90" t="s">
        <v>3791</v>
      </c>
      <c r="C147" s="103" t="n">
        <v>54682.27</v>
      </c>
      <c r="D147" s="104" t="n">
        <v>136</v>
      </c>
      <c r="E147" s="104" t="n">
        <v>135</v>
      </c>
      <c r="F147" s="105" t="n">
        <f aca="false">IF(D147&gt;=$C$3,E147/D147,"")</f>
        <v>0.992647058823529</v>
      </c>
      <c r="G147" s="104" t="n">
        <v>16</v>
      </c>
      <c r="H147" s="104" t="n">
        <v>16</v>
      </c>
      <c r="I147" s="105" t="n">
        <f aca="false">IF(G147&gt;=$C$3,H147/G147,"")</f>
        <v>1</v>
      </c>
      <c r="J147" s="104" t="n">
        <v>4</v>
      </c>
      <c r="K147" s="104" t="n">
        <v>4</v>
      </c>
      <c r="L147" s="105" t="n">
        <f aca="false">IF(J147&gt;=$C$3,K147/J147,"")</f>
        <v>1</v>
      </c>
      <c r="M147" s="104" t="n">
        <v>21</v>
      </c>
      <c r="N147" s="104" t="n">
        <v>21</v>
      </c>
      <c r="O147" s="105" t="n">
        <f aca="false">IF(M147&gt;=$C$3,N147/M147,"")</f>
        <v>1</v>
      </c>
      <c r="P147" s="104" t="n">
        <v>26</v>
      </c>
      <c r="Q147" s="104" t="n">
        <v>26</v>
      </c>
      <c r="R147" s="105" t="n">
        <f aca="false">IF(P147&gt;=$C$3,Q147/P147,"")</f>
        <v>1</v>
      </c>
      <c r="S147" s="104" t="n">
        <v>21</v>
      </c>
      <c r="T147" s="104" t="n">
        <v>21</v>
      </c>
      <c r="U147" s="105" t="n">
        <f aca="false">IF(S147&gt;=$C$3,T147/S147,"")</f>
        <v>1</v>
      </c>
      <c r="V147" s="104" t="n">
        <v>10</v>
      </c>
      <c r="W147" s="104" t="n">
        <v>10</v>
      </c>
      <c r="X147" s="105" t="n">
        <f aca="false">IF(V147&gt;=$C$3,W147/V147,"")</f>
        <v>1</v>
      </c>
      <c r="Y147" s="106" t="n">
        <f aca="false">COUNT(F147,I147,L147,O147,R147,U147,X147)</f>
        <v>7</v>
      </c>
      <c r="Z147" s="107" t="n">
        <f aca="false">IF(Y147=0,"",AVERAGE(F147,I147,L147,O147,R147,U147,X147))</f>
        <v>0.998949579831933</v>
      </c>
      <c r="AA147" s="108" t="n">
        <f aca="false">IF(ISNUMBER(Z147),C147*Z147,"")</f>
        <v>54624.8306407563</v>
      </c>
      <c r="AB147" s="108" t="n">
        <f aca="false">IFERROR(INDEX('Shortlisted Drugs X Company (7)'!$K$3:$K$698,MATCH($A147,'Shortlisted Drugs X Company (7)'!$C$3:$C$698,0)),"")</f>
        <v>615</v>
      </c>
      <c r="AC147" s="108" t="n">
        <f aca="false">IF(AND(ISNUMBER(AB147),ISNUMBER(Z147)),ROUND(AB147*Z147,0),"")</f>
        <v>614</v>
      </c>
    </row>
    <row r="148" customFormat="false" ht="15" hidden="false" customHeight="false" outlineLevel="0" collapsed="false">
      <c r="A148" s="89" t="s">
        <v>1460</v>
      </c>
      <c r="B148" s="90" t="s">
        <v>3793</v>
      </c>
      <c r="C148" s="103" t="n">
        <v>1176.33</v>
      </c>
      <c r="D148" s="104" t="n">
        <v>45</v>
      </c>
      <c r="E148" s="104" t="n">
        <v>45</v>
      </c>
      <c r="F148" s="105" t="n">
        <f aca="false">IF(D148&gt;=$C$3,E148/D148,"")</f>
        <v>1</v>
      </c>
      <c r="G148" s="104" t="n">
        <v>2</v>
      </c>
      <c r="H148" s="104" t="n">
        <v>2</v>
      </c>
      <c r="I148" s="105" t="str">
        <f aca="false">IF(G148&gt;=$C$3,H148/G148,"")</f>
        <v/>
      </c>
      <c r="J148" s="104" t="n">
        <v>7</v>
      </c>
      <c r="K148" s="104" t="n">
        <v>7</v>
      </c>
      <c r="L148" s="105" t="n">
        <f aca="false">IF(J148&gt;=$C$3,K148/J148,"")</f>
        <v>1</v>
      </c>
      <c r="M148" s="104" t="n">
        <v>1</v>
      </c>
      <c r="N148" s="104" t="n">
        <v>1</v>
      </c>
      <c r="O148" s="105" t="str">
        <f aca="false">IF(M148&gt;=$C$3,N148/M148,"")</f>
        <v/>
      </c>
      <c r="P148" s="104" t="n">
        <v>7</v>
      </c>
      <c r="Q148" s="104" t="n">
        <v>3</v>
      </c>
      <c r="R148" s="105" t="n">
        <f aca="false">IF(P148&gt;=$C$3,Q148/P148,"")</f>
        <v>0.428571428571429</v>
      </c>
      <c r="S148" s="104" t="n">
        <v>6</v>
      </c>
      <c r="T148" s="104" t="n">
        <v>6</v>
      </c>
      <c r="U148" s="105" t="n">
        <f aca="false">IF(S148&gt;=$C$3,T148/S148,"")</f>
        <v>1</v>
      </c>
      <c r="V148" s="104" t="n">
        <v>1</v>
      </c>
      <c r="W148" s="104" t="n">
        <v>1</v>
      </c>
      <c r="X148" s="105" t="str">
        <f aca="false">IF(V148&gt;=$C$3,W148/V148,"")</f>
        <v/>
      </c>
      <c r="Y148" s="106" t="n">
        <f aca="false">COUNT(F148,I148,L148,O148,R148,U148,X148)</f>
        <v>4</v>
      </c>
      <c r="Z148" s="107" t="n">
        <f aca="false">IF(Y148=0,"",AVERAGE(F148,I148,L148,O148,R148,U148,X148))</f>
        <v>0.857142857142857</v>
      </c>
      <c r="AA148" s="108" t="n">
        <f aca="false">IF(ISNUMBER(Z148),C148*Z148,"")</f>
        <v>1008.28285714286</v>
      </c>
      <c r="AB148" s="108" t="n">
        <f aca="false">IFERROR(INDEX('Shortlisted Drugs X Company (7)'!$K$3:$K$698,MATCH($A148,'Shortlisted Drugs X Company (7)'!$C$3:$C$698,0)),"")</f>
        <v>186</v>
      </c>
      <c r="AC148" s="108" t="n">
        <f aca="false">IF(AND(ISNUMBER(AB148),ISNUMBER(Z148)),ROUND(AB148*Z148,0),"")</f>
        <v>159</v>
      </c>
    </row>
    <row r="149" customFormat="false" ht="15" hidden="false" customHeight="false" outlineLevel="0" collapsed="false">
      <c r="A149" s="89" t="s">
        <v>1140</v>
      </c>
      <c r="B149" s="90" t="s">
        <v>3789</v>
      </c>
      <c r="C149" s="103" t="n">
        <v>843.51</v>
      </c>
      <c r="D149" s="104" t="n">
        <v>28</v>
      </c>
      <c r="E149" s="104" t="n">
        <v>28</v>
      </c>
      <c r="F149" s="105" t="n">
        <f aca="false">IF(D149&gt;=$C$3,E149/D149,"")</f>
        <v>1</v>
      </c>
      <c r="G149" s="104" t="n">
        <v>11</v>
      </c>
      <c r="H149" s="104" t="n">
        <v>11</v>
      </c>
      <c r="I149" s="105" t="n">
        <f aca="false">IF(G149&gt;=$C$3,H149/G149,"")</f>
        <v>1</v>
      </c>
      <c r="J149" s="104" t="n">
        <v>4</v>
      </c>
      <c r="K149" s="104" t="n">
        <v>4</v>
      </c>
      <c r="L149" s="105" t="n">
        <f aca="false">IF(J149&gt;=$C$3,K149/J149,"")</f>
        <v>1</v>
      </c>
      <c r="M149" s="104" t="n">
        <v>6</v>
      </c>
      <c r="N149" s="104" t="n">
        <v>6</v>
      </c>
      <c r="O149" s="105" t="n">
        <f aca="false">IF(M149&gt;=$C$3,N149/M149,"")</f>
        <v>1</v>
      </c>
      <c r="P149" s="104" t="n">
        <v>1</v>
      </c>
      <c r="Q149" s="104" t="n">
        <v>1</v>
      </c>
      <c r="R149" s="105" t="str">
        <f aca="false">IF(P149&gt;=$C$3,Q149/P149,"")</f>
        <v/>
      </c>
      <c r="S149" s="104" t="n">
        <v>6</v>
      </c>
      <c r="T149" s="104" t="n">
        <v>6</v>
      </c>
      <c r="U149" s="105" t="n">
        <f aca="false">IF(S149&gt;=$C$3,T149/S149,"")</f>
        <v>1</v>
      </c>
      <c r="V149" s="104" t="n">
        <v>8</v>
      </c>
      <c r="W149" s="104" t="n">
        <v>8</v>
      </c>
      <c r="X149" s="105" t="n">
        <f aca="false">IF(V149&gt;=$C$3,W149/V149,"")</f>
        <v>1</v>
      </c>
      <c r="Y149" s="106" t="n">
        <f aca="false">COUNT(F149,I149,L149,O149,R149,U149,X149)</f>
        <v>6</v>
      </c>
      <c r="Z149" s="107" t="n">
        <f aca="false">IF(Y149=0,"",AVERAGE(F149,I149,L149,O149,R149,U149,X149))</f>
        <v>1</v>
      </c>
      <c r="AA149" s="108" t="n">
        <f aca="false">IF(ISNUMBER(Z149),C149*Z149,"")</f>
        <v>843.51</v>
      </c>
      <c r="AB149" s="108" t="n">
        <f aca="false">IFERROR(INDEX('Shortlisted Drugs X Company (7)'!$K$3:$K$698,MATCH($A149,'Shortlisted Drugs X Company (7)'!$C$3:$C$698,0)),"")</f>
        <v>64</v>
      </c>
      <c r="AC149" s="108" t="n">
        <f aca="false">IF(AND(ISNUMBER(AB149),ISNUMBER(Z149)),ROUND(AB149*Z149,0),"")</f>
        <v>64</v>
      </c>
    </row>
    <row r="150" customFormat="false" ht="15" hidden="false" customHeight="false" outlineLevel="0" collapsed="false">
      <c r="A150" s="89" t="s">
        <v>552</v>
      </c>
      <c r="B150" s="90" t="s">
        <v>3808</v>
      </c>
      <c r="C150" s="103" t="n">
        <v>1127.64</v>
      </c>
      <c r="D150" s="104" t="n">
        <v>5</v>
      </c>
      <c r="E150" s="104" t="n">
        <v>5</v>
      </c>
      <c r="F150" s="105" t="n">
        <f aca="false">IF(D150&gt;=$C$3,E150/D150,"")</f>
        <v>1</v>
      </c>
      <c r="G150" s="104" t="n">
        <v>1</v>
      </c>
      <c r="H150" s="104" t="n">
        <v>1</v>
      </c>
      <c r="I150" s="105" t="str">
        <f aca="false">IF(G150&gt;=$C$3,H150/G150,"")</f>
        <v/>
      </c>
      <c r="J150" s="104" t="n">
        <v>0</v>
      </c>
      <c r="K150" s="104" t="n">
        <v>0</v>
      </c>
      <c r="L150" s="105" t="str">
        <f aca="false">IF(J150&gt;=$C$3,K150/J150,"")</f>
        <v/>
      </c>
      <c r="M150" s="104" t="n">
        <v>0</v>
      </c>
      <c r="N150" s="104" t="n">
        <v>0</v>
      </c>
      <c r="O150" s="105" t="str">
        <f aca="false">IF(M150&gt;=$C$3,N150/M150,"")</f>
        <v/>
      </c>
      <c r="P150" s="104" t="n">
        <v>0</v>
      </c>
      <c r="Q150" s="104" t="n">
        <v>0</v>
      </c>
      <c r="R150" s="105" t="str">
        <f aca="false">IF(P150&gt;=$C$3,Q150/P150,"")</f>
        <v/>
      </c>
      <c r="S150" s="104" t="n">
        <v>1</v>
      </c>
      <c r="T150" s="104" t="n">
        <v>1</v>
      </c>
      <c r="U150" s="105" t="str">
        <f aca="false">IF(S150&gt;=$C$3,T150/S150,"")</f>
        <v/>
      </c>
      <c r="V150" s="104" t="n">
        <v>12</v>
      </c>
      <c r="W150" s="104" t="n">
        <v>12</v>
      </c>
      <c r="X150" s="105" t="n">
        <f aca="false">IF(V150&gt;=$C$3,W150/V150,"")</f>
        <v>1</v>
      </c>
      <c r="Y150" s="106" t="n">
        <f aca="false">COUNT(F150,I150,L150,O150,R150,U150,X150)</f>
        <v>2</v>
      </c>
      <c r="Z150" s="107" t="n">
        <f aca="false">IF(Y150=0,"",AVERAGE(F150,I150,L150,O150,R150,U150,X150))</f>
        <v>1</v>
      </c>
      <c r="AA150" s="108" t="n">
        <f aca="false">IF(ISNUMBER(Z150),C150*Z150,"")</f>
        <v>1127.64</v>
      </c>
      <c r="AB150" s="108" t="n">
        <f aca="false">IFERROR(INDEX('Shortlisted Drugs X Company (7)'!$K$3:$K$698,MATCH($A150,'Shortlisted Drugs X Company (7)'!$C$3:$C$698,0)),"")</f>
        <v>9</v>
      </c>
      <c r="AC150" s="108" t="n">
        <f aca="false">IF(AND(ISNUMBER(AB150),ISNUMBER(Z150)),ROUND(AB150*Z150,0),"")</f>
        <v>9</v>
      </c>
    </row>
    <row r="151" customFormat="false" ht="15" hidden="false" customHeight="false" outlineLevel="0" collapsed="false">
      <c r="A151" s="89" t="s">
        <v>556</v>
      </c>
      <c r="B151" s="90" t="s">
        <v>3791</v>
      </c>
      <c r="C151" s="103" t="n">
        <v>71.73</v>
      </c>
      <c r="D151" s="104" t="n">
        <v>85</v>
      </c>
      <c r="E151" s="104" t="n">
        <v>83</v>
      </c>
      <c r="F151" s="105" t="n">
        <f aca="false">IF(D151&gt;=$C$3,E151/D151,"")</f>
        <v>0.976470588235294</v>
      </c>
      <c r="G151" s="104" t="n">
        <v>19</v>
      </c>
      <c r="H151" s="104" t="n">
        <v>19</v>
      </c>
      <c r="I151" s="105" t="n">
        <f aca="false">IF(G151&gt;=$C$3,H151/G151,"")</f>
        <v>1</v>
      </c>
      <c r="J151" s="104" t="n">
        <v>2</v>
      </c>
      <c r="K151" s="104" t="n">
        <v>2</v>
      </c>
      <c r="L151" s="105" t="str">
        <f aca="false">IF(J151&gt;=$C$3,K151/J151,"")</f>
        <v/>
      </c>
      <c r="M151" s="104" t="n">
        <v>18</v>
      </c>
      <c r="N151" s="104" t="n">
        <v>18</v>
      </c>
      <c r="O151" s="105" t="n">
        <f aca="false">IF(M151&gt;=$C$3,N151/M151,"")</f>
        <v>1</v>
      </c>
      <c r="P151" s="104" t="n">
        <v>24</v>
      </c>
      <c r="Q151" s="104" t="n">
        <v>24</v>
      </c>
      <c r="R151" s="105" t="n">
        <f aca="false">IF(P151&gt;=$C$3,Q151/P151,"")</f>
        <v>1</v>
      </c>
      <c r="S151" s="104" t="n">
        <v>8</v>
      </c>
      <c r="T151" s="104" t="n">
        <v>8</v>
      </c>
      <c r="U151" s="105" t="n">
        <f aca="false">IF(S151&gt;=$C$3,T151/S151,"")</f>
        <v>1</v>
      </c>
      <c r="V151" s="104" t="n">
        <v>5</v>
      </c>
      <c r="W151" s="104" t="n">
        <v>5</v>
      </c>
      <c r="X151" s="105" t="n">
        <f aca="false">IF(V151&gt;=$C$3,W151/V151,"")</f>
        <v>1</v>
      </c>
      <c r="Y151" s="106" t="n">
        <f aca="false">COUNT(F151,I151,L151,O151,R151,U151,X151)</f>
        <v>6</v>
      </c>
      <c r="Z151" s="107" t="n">
        <f aca="false">IF(Y151=0,"",AVERAGE(F151,I151,L151,O151,R151,U151,X151))</f>
        <v>0.996078431372549</v>
      </c>
      <c r="AA151" s="108" t="n">
        <f aca="false">IF(ISNUMBER(Z151),C151*Z151,"")</f>
        <v>71.4487058823529</v>
      </c>
      <c r="AB151" s="108" t="n">
        <f aca="false">IFERROR(INDEX('Shortlisted Drugs X Company (7)'!$K$3:$K$698,MATCH($A151,'Shortlisted Drugs X Company (7)'!$C$3:$C$698,0)),"")</f>
        <v>2</v>
      </c>
      <c r="AC151" s="108" t="n">
        <f aca="false">IF(AND(ISNUMBER(AB151),ISNUMBER(Z151)),ROUND(AB151*Z151,0),"")</f>
        <v>2</v>
      </c>
    </row>
    <row r="152" customFormat="false" ht="15" hidden="false" customHeight="false" outlineLevel="0" collapsed="false">
      <c r="A152" s="89" t="s">
        <v>910</v>
      </c>
      <c r="B152" s="90" t="s">
        <v>3791</v>
      </c>
      <c r="C152" s="103" t="n">
        <v>20408.58</v>
      </c>
      <c r="D152" s="104" t="n">
        <v>164</v>
      </c>
      <c r="E152" s="104" t="n">
        <v>164</v>
      </c>
      <c r="F152" s="105" t="n">
        <f aca="false">IF(D152&gt;=$C$3,E152/D152,"")</f>
        <v>1</v>
      </c>
      <c r="G152" s="104" t="n">
        <v>12</v>
      </c>
      <c r="H152" s="104" t="n">
        <v>12</v>
      </c>
      <c r="I152" s="105" t="n">
        <f aca="false">IF(G152&gt;=$C$3,H152/G152,"")</f>
        <v>1</v>
      </c>
      <c r="J152" s="104" t="n">
        <v>6</v>
      </c>
      <c r="K152" s="104" t="n">
        <v>6</v>
      </c>
      <c r="L152" s="105" t="n">
        <f aca="false">IF(J152&gt;=$C$3,K152/J152,"")</f>
        <v>1</v>
      </c>
      <c r="M152" s="104" t="n">
        <v>15</v>
      </c>
      <c r="N152" s="104" t="n">
        <v>15</v>
      </c>
      <c r="O152" s="105" t="n">
        <f aca="false">IF(M152&gt;=$C$3,N152/M152,"")</f>
        <v>1</v>
      </c>
      <c r="P152" s="104" t="n">
        <v>13</v>
      </c>
      <c r="Q152" s="104" t="n">
        <v>12</v>
      </c>
      <c r="R152" s="105" t="n">
        <f aca="false">IF(P152&gt;=$C$3,Q152/P152,"")</f>
        <v>0.923076923076923</v>
      </c>
      <c r="S152" s="104" t="n">
        <v>6</v>
      </c>
      <c r="T152" s="104" t="n">
        <v>6</v>
      </c>
      <c r="U152" s="105" t="n">
        <f aca="false">IF(S152&gt;=$C$3,T152/S152,"")</f>
        <v>1</v>
      </c>
      <c r="V152" s="104" t="n">
        <v>27</v>
      </c>
      <c r="W152" s="104" t="n">
        <v>27</v>
      </c>
      <c r="X152" s="105" t="n">
        <f aca="false">IF(V152&gt;=$C$3,W152/V152,"")</f>
        <v>1</v>
      </c>
      <c r="Y152" s="106" t="n">
        <f aca="false">COUNT(F152,I152,L152,O152,R152,U152,X152)</f>
        <v>7</v>
      </c>
      <c r="Z152" s="107" t="n">
        <f aca="false">IF(Y152=0,"",AVERAGE(F152,I152,L152,O152,R152,U152,X152))</f>
        <v>0.989010989010989</v>
      </c>
      <c r="AA152" s="108" t="n">
        <f aca="false">IF(ISNUMBER(Z152),C152*Z152,"")</f>
        <v>20184.3098901099</v>
      </c>
      <c r="AB152" s="108" t="n">
        <f aca="false">IFERROR(INDEX('Shortlisted Drugs X Company (7)'!$K$3:$K$698,MATCH($A152,'Shortlisted Drugs X Company (7)'!$C$3:$C$698,0)),"")</f>
        <v>264</v>
      </c>
      <c r="AC152" s="108" t="n">
        <f aca="false">IF(AND(ISNUMBER(AB152),ISNUMBER(Z152)),ROUND(AB152*Z152,0),"")</f>
        <v>261</v>
      </c>
    </row>
    <row r="153" customFormat="false" ht="15" hidden="false" customHeight="false" outlineLevel="0" collapsed="false">
      <c r="A153" s="89" t="s">
        <v>563</v>
      </c>
      <c r="B153" s="90" t="s">
        <v>3791</v>
      </c>
      <c r="C153" s="103" t="n">
        <v>8072.59</v>
      </c>
      <c r="D153" s="104" t="n">
        <v>125</v>
      </c>
      <c r="E153" s="104" t="n">
        <v>125</v>
      </c>
      <c r="F153" s="105" t="n">
        <f aca="false">IF(D153&gt;=$C$3,E153/D153,"")</f>
        <v>1</v>
      </c>
      <c r="G153" s="104" t="n">
        <v>16</v>
      </c>
      <c r="H153" s="104" t="n">
        <v>16</v>
      </c>
      <c r="I153" s="105" t="n">
        <f aca="false">IF(G153&gt;=$C$3,H153/G153,"")</f>
        <v>1</v>
      </c>
      <c r="J153" s="104" t="n">
        <v>6</v>
      </c>
      <c r="K153" s="104" t="n">
        <v>6</v>
      </c>
      <c r="L153" s="105" t="n">
        <f aca="false">IF(J153&gt;=$C$3,K153/J153,"")</f>
        <v>1</v>
      </c>
      <c r="M153" s="104" t="n">
        <v>31</v>
      </c>
      <c r="N153" s="104" t="n">
        <v>31</v>
      </c>
      <c r="O153" s="105" t="n">
        <f aca="false">IF(M153&gt;=$C$3,N153/M153,"")</f>
        <v>1</v>
      </c>
      <c r="P153" s="104" t="n">
        <v>18</v>
      </c>
      <c r="Q153" s="104" t="n">
        <v>18</v>
      </c>
      <c r="R153" s="105" t="n">
        <f aca="false">IF(P153&gt;=$C$3,Q153/P153,"")</f>
        <v>1</v>
      </c>
      <c r="S153" s="104" t="n">
        <v>3</v>
      </c>
      <c r="T153" s="104" t="n">
        <v>3</v>
      </c>
      <c r="U153" s="105" t="n">
        <f aca="false">IF(S153&gt;=$C$3,T153/S153,"")</f>
        <v>1</v>
      </c>
      <c r="V153" s="104" t="n">
        <v>37</v>
      </c>
      <c r="W153" s="104" t="n">
        <v>37</v>
      </c>
      <c r="X153" s="105" t="n">
        <f aca="false">IF(V153&gt;=$C$3,W153/V153,"")</f>
        <v>1</v>
      </c>
      <c r="Y153" s="106" t="n">
        <f aca="false">COUNT(F153,I153,L153,O153,R153,U153,X153)</f>
        <v>7</v>
      </c>
      <c r="Z153" s="107" t="n">
        <f aca="false">IF(Y153=0,"",AVERAGE(F153,I153,L153,O153,R153,U153,X153))</f>
        <v>1</v>
      </c>
      <c r="AA153" s="108" t="n">
        <f aca="false">IF(ISNUMBER(Z153),C153*Z153,"")</f>
        <v>8072.59</v>
      </c>
      <c r="AB153" s="108" t="n">
        <f aca="false">IFERROR(INDEX('Shortlisted Drugs X Company (7)'!$K$3:$K$698,MATCH($A153,'Shortlisted Drugs X Company (7)'!$C$3:$C$698,0)),"")</f>
        <v>159</v>
      </c>
      <c r="AC153" s="108" t="n">
        <f aca="false">IF(AND(ISNUMBER(AB153),ISNUMBER(Z153)),ROUND(AB153*Z153,0),"")</f>
        <v>159</v>
      </c>
    </row>
    <row r="154" customFormat="false" ht="15" hidden="false" customHeight="false" outlineLevel="0" collapsed="false">
      <c r="A154" s="89" t="s">
        <v>568</v>
      </c>
      <c r="B154" s="90" t="s">
        <v>3790</v>
      </c>
      <c r="C154" s="103" t="n">
        <v>71311.67</v>
      </c>
      <c r="D154" s="104" t="n">
        <v>586</v>
      </c>
      <c r="E154" s="104" t="n">
        <v>4</v>
      </c>
      <c r="F154" s="105" t="n">
        <f aca="false">IF(D154&gt;=$C$3,E154/D154,"")</f>
        <v>0.0068259385665529</v>
      </c>
      <c r="G154" s="104" t="n">
        <v>120</v>
      </c>
      <c r="H154" s="104" t="n">
        <v>1</v>
      </c>
      <c r="I154" s="105" t="n">
        <f aca="false">IF(G154&gt;=$C$3,H154/G154,"")</f>
        <v>0.00833333333333333</v>
      </c>
      <c r="J154" s="104" t="n">
        <v>47</v>
      </c>
      <c r="K154" s="104" t="n">
        <v>1</v>
      </c>
      <c r="L154" s="105" t="n">
        <f aca="false">IF(J154&gt;=$C$3,K154/J154,"")</f>
        <v>0.0212765957446809</v>
      </c>
      <c r="M154" s="104" t="n">
        <v>77</v>
      </c>
      <c r="N154" s="104" t="n">
        <v>1</v>
      </c>
      <c r="O154" s="105" t="n">
        <f aca="false">IF(M154&gt;=$C$3,N154/M154,"")</f>
        <v>0.012987012987013</v>
      </c>
      <c r="P154" s="104" t="n">
        <v>52</v>
      </c>
      <c r="Q154" s="104" t="n">
        <v>0</v>
      </c>
      <c r="R154" s="105" t="n">
        <f aca="false">IF(P154&gt;=$C$3,Q154/P154,"")</f>
        <v>0</v>
      </c>
      <c r="S154" s="104" t="n">
        <v>58</v>
      </c>
      <c r="T154" s="104" t="n">
        <v>0</v>
      </c>
      <c r="U154" s="105" t="n">
        <f aca="false">IF(S154&gt;=$C$3,T154/S154,"")</f>
        <v>0</v>
      </c>
      <c r="V154" s="104" t="n">
        <v>81</v>
      </c>
      <c r="W154" s="104" t="n">
        <v>2</v>
      </c>
      <c r="X154" s="105" t="n">
        <f aca="false">IF(V154&gt;=$C$3,W154/V154,"")</f>
        <v>0.0246913580246914</v>
      </c>
      <c r="Y154" s="106" t="n">
        <f aca="false">COUNT(F154,I154,L154,O154,R154,U154,X154)</f>
        <v>7</v>
      </c>
      <c r="Z154" s="107" t="n">
        <f aca="false">IF(Y154=0,"",AVERAGE(F154,I154,L154,O154,R154,U154,X154))</f>
        <v>0.0105877483794673</v>
      </c>
      <c r="AA154" s="108" t="n">
        <f aca="false">IF(ISNUMBER(Z154),C154*Z154,"")</f>
        <v>755.03001847961</v>
      </c>
      <c r="AB154" s="108" t="n">
        <f aca="false">IFERROR(INDEX('Shortlisted Drugs X Company (7)'!$K$3:$K$698,MATCH($A154,'Shortlisted Drugs X Company (7)'!$C$3:$C$698,0)),"")</f>
        <v>9996</v>
      </c>
      <c r="AC154" s="108" t="n">
        <f aca="false">IF(AND(ISNUMBER(AB154),ISNUMBER(Z154)),ROUND(AB154*Z154,0),"")</f>
        <v>106</v>
      </c>
    </row>
    <row r="155" customFormat="false" ht="15" hidden="false" customHeight="false" outlineLevel="0" collapsed="false">
      <c r="A155" s="89" t="s">
        <v>914</v>
      </c>
      <c r="B155" s="90" t="s">
        <v>3795</v>
      </c>
      <c r="C155" s="103" t="n">
        <v>19666.38</v>
      </c>
      <c r="D155" s="104" t="n">
        <v>950</v>
      </c>
      <c r="E155" s="104" t="n">
        <v>166</v>
      </c>
      <c r="F155" s="105" t="n">
        <f aca="false">IF(D155&gt;=$C$3,E155/D155,"")</f>
        <v>0.174736842105263</v>
      </c>
      <c r="G155" s="104" t="n">
        <v>156</v>
      </c>
      <c r="H155" s="104" t="n">
        <v>9</v>
      </c>
      <c r="I155" s="105" t="n">
        <f aca="false">IF(G155&gt;=$C$3,H155/G155,"")</f>
        <v>0.0576923076923077</v>
      </c>
      <c r="J155" s="104" t="n">
        <v>29</v>
      </c>
      <c r="K155" s="104" t="n">
        <v>10</v>
      </c>
      <c r="L155" s="105" t="n">
        <f aca="false">IF(J155&gt;=$C$3,K155/J155,"")</f>
        <v>0.344827586206897</v>
      </c>
      <c r="M155" s="104" t="n">
        <v>149</v>
      </c>
      <c r="N155" s="104" t="n">
        <v>8</v>
      </c>
      <c r="O155" s="105" t="n">
        <f aca="false">IF(M155&gt;=$C$3,N155/M155,"")</f>
        <v>0.0536912751677852</v>
      </c>
      <c r="P155" s="104" t="n">
        <v>33</v>
      </c>
      <c r="Q155" s="104" t="n">
        <v>13</v>
      </c>
      <c r="R155" s="105" t="n">
        <f aca="false">IF(P155&gt;=$C$3,Q155/P155,"")</f>
        <v>0.393939393939394</v>
      </c>
      <c r="S155" s="104" t="n">
        <v>120</v>
      </c>
      <c r="T155" s="104" t="n">
        <v>5</v>
      </c>
      <c r="U155" s="105" t="n">
        <f aca="false">IF(S155&gt;=$C$3,T155/S155,"")</f>
        <v>0.0416666666666667</v>
      </c>
      <c r="V155" s="104" t="n">
        <v>146</v>
      </c>
      <c r="W155" s="104" t="n">
        <v>34</v>
      </c>
      <c r="X155" s="105" t="n">
        <f aca="false">IF(V155&gt;=$C$3,W155/V155,"")</f>
        <v>0.232876712328767</v>
      </c>
      <c r="Y155" s="106" t="n">
        <f aca="false">COUNT(F155,I155,L155,O155,R155,U155,X155)</f>
        <v>7</v>
      </c>
      <c r="Z155" s="107" t="n">
        <f aca="false">IF(Y155=0,"",AVERAGE(F155,I155,L155,O155,R155,U155,X155))</f>
        <v>0.185632969158154</v>
      </c>
      <c r="AA155" s="108" t="n">
        <f aca="false">IF(ISNUMBER(Z155),C155*Z155,"")</f>
        <v>3650.72851199254</v>
      </c>
      <c r="AB155" s="108" t="n">
        <f aca="false">IFERROR(INDEX('Shortlisted Drugs X Company (7)'!$K$3:$K$698,MATCH($A155,'Shortlisted Drugs X Company (7)'!$C$3:$C$698,0)),"")</f>
        <v>1011</v>
      </c>
      <c r="AC155" s="108" t="n">
        <f aca="false">IF(AND(ISNUMBER(AB155),ISNUMBER(Z155)),ROUND(AB155*Z155,0),"")</f>
        <v>188</v>
      </c>
    </row>
    <row r="156" customFormat="false" ht="15" hidden="false" customHeight="false" outlineLevel="0" collapsed="false">
      <c r="A156" s="89" t="s">
        <v>1466</v>
      </c>
      <c r="B156" s="90" t="s">
        <v>3797</v>
      </c>
      <c r="C156" s="103" t="n">
        <v>18439.5</v>
      </c>
      <c r="D156" s="104" t="n">
        <v>250</v>
      </c>
      <c r="E156" s="104" t="n">
        <v>60</v>
      </c>
      <c r="F156" s="105" t="n">
        <f aca="false">IF(D156&gt;=$C$3,E156/D156,"")</f>
        <v>0.24</v>
      </c>
      <c r="G156" s="104" t="n">
        <v>61</v>
      </c>
      <c r="H156" s="104" t="n">
        <v>5</v>
      </c>
      <c r="I156" s="105" t="n">
        <f aca="false">IF(G156&gt;=$C$3,H156/G156,"")</f>
        <v>0.0819672131147541</v>
      </c>
      <c r="J156" s="104" t="n">
        <v>17</v>
      </c>
      <c r="K156" s="104" t="n">
        <v>0</v>
      </c>
      <c r="L156" s="105" t="n">
        <f aca="false">IF(J156&gt;=$C$3,K156/J156,"")</f>
        <v>0</v>
      </c>
      <c r="M156" s="104" t="n">
        <v>38</v>
      </c>
      <c r="N156" s="104" t="n">
        <v>18</v>
      </c>
      <c r="O156" s="105" t="n">
        <f aca="false">IF(M156&gt;=$C$3,N156/M156,"")</f>
        <v>0.473684210526316</v>
      </c>
      <c r="P156" s="104" t="n">
        <v>37</v>
      </c>
      <c r="Q156" s="104" t="n">
        <v>8</v>
      </c>
      <c r="R156" s="105" t="n">
        <f aca="false">IF(P156&gt;=$C$3,Q156/P156,"")</f>
        <v>0.216216216216216</v>
      </c>
      <c r="S156" s="104" t="n">
        <v>7</v>
      </c>
      <c r="T156" s="104" t="n">
        <v>2</v>
      </c>
      <c r="U156" s="105" t="n">
        <f aca="false">IF(S156&gt;=$C$3,T156/S156,"")</f>
        <v>0.285714285714286</v>
      </c>
      <c r="V156" s="104" t="n">
        <v>65</v>
      </c>
      <c r="W156" s="104" t="n">
        <v>4</v>
      </c>
      <c r="X156" s="105" t="n">
        <f aca="false">IF(V156&gt;=$C$3,W156/V156,"")</f>
        <v>0.0615384615384615</v>
      </c>
      <c r="Y156" s="106" t="n">
        <f aca="false">COUNT(F156,I156,L156,O156,R156,U156,X156)</f>
        <v>7</v>
      </c>
      <c r="Z156" s="107" t="n">
        <f aca="false">IF(Y156=0,"",AVERAGE(F156,I156,L156,O156,R156,U156,X156))</f>
        <v>0.194160055301433</v>
      </c>
      <c r="AA156" s="108" t="n">
        <f aca="false">IF(ISNUMBER(Z156),C156*Z156,"")</f>
        <v>3580.21433973078</v>
      </c>
      <c r="AB156" s="108" t="n">
        <f aca="false">IFERROR(INDEX('Shortlisted Drugs X Company (7)'!$K$3:$K$698,MATCH($A156,'Shortlisted Drugs X Company (7)'!$C$3:$C$698,0)),"")</f>
        <v>780</v>
      </c>
      <c r="AC156" s="108" t="n">
        <f aca="false">IF(AND(ISNUMBER(AB156),ISNUMBER(Z156)),ROUND(AB156*Z156,0),"")</f>
        <v>151</v>
      </c>
    </row>
    <row r="157" customFormat="false" ht="15" hidden="false" customHeight="false" outlineLevel="0" collapsed="false">
      <c r="A157" s="89" t="s">
        <v>660</v>
      </c>
      <c r="B157" s="90" t="s">
        <v>3790</v>
      </c>
      <c r="C157" s="103" t="n">
        <v>1308.54</v>
      </c>
      <c r="D157" s="104" t="n">
        <v>9</v>
      </c>
      <c r="E157" s="104" t="n">
        <v>1</v>
      </c>
      <c r="F157" s="105" t="n">
        <f aca="false">IF(D157&gt;=$C$3,E157/D157,"")</f>
        <v>0.111111111111111</v>
      </c>
      <c r="G157" s="104" t="n">
        <v>3</v>
      </c>
      <c r="H157" s="104" t="n">
        <v>0</v>
      </c>
      <c r="I157" s="105" t="n">
        <f aca="false">IF(G157&gt;=$C$3,H157/G157,"")</f>
        <v>0</v>
      </c>
      <c r="J157" s="104" t="n">
        <v>0</v>
      </c>
      <c r="K157" s="104" t="n">
        <v>0</v>
      </c>
      <c r="L157" s="105" t="str">
        <f aca="false">IF(J157&gt;=$C$3,K157/J157,"")</f>
        <v/>
      </c>
      <c r="M157" s="104" t="n">
        <v>0</v>
      </c>
      <c r="N157" s="104" t="n">
        <v>0</v>
      </c>
      <c r="O157" s="105" t="str">
        <f aca="false">IF(M157&gt;=$C$3,N157/M157,"")</f>
        <v/>
      </c>
      <c r="P157" s="104" t="n">
        <v>3</v>
      </c>
      <c r="Q157" s="104" t="n">
        <v>3</v>
      </c>
      <c r="R157" s="105" t="n">
        <f aca="false">IF(P157&gt;=$C$3,Q157/P157,"")</f>
        <v>1</v>
      </c>
      <c r="S157" s="104" t="n">
        <v>0</v>
      </c>
      <c r="T157" s="104" t="n">
        <v>0</v>
      </c>
      <c r="U157" s="105" t="str">
        <f aca="false">IF(S157&gt;=$C$3,T157/S157,"")</f>
        <v/>
      </c>
      <c r="V157" s="104" t="n">
        <v>0</v>
      </c>
      <c r="W157" s="104" t="n">
        <v>0</v>
      </c>
      <c r="X157" s="105" t="str">
        <f aca="false">IF(V157&gt;=$C$3,W157/V157,"")</f>
        <v/>
      </c>
      <c r="Y157" s="106" t="n">
        <f aca="false">COUNT(F157,I157,L157,O157,R157,U157,X157)</f>
        <v>3</v>
      </c>
      <c r="Z157" s="107" t="n">
        <f aca="false">IF(Y157=0,"",AVERAGE(F157,I157,L157,O157,R157,U157,X157))</f>
        <v>0.37037037037037</v>
      </c>
      <c r="AA157" s="108" t="n">
        <f aca="false">IF(ISNUMBER(Z157),C157*Z157,"")</f>
        <v>484.644444444445</v>
      </c>
      <c r="AB157" s="108" t="n">
        <f aca="false">IFERROR(INDEX('Shortlisted Drugs X Company (7)'!$K$3:$K$698,MATCH($A157,'Shortlisted Drugs X Company (7)'!$C$3:$C$698,0)),"")</f>
        <v>143</v>
      </c>
      <c r="AC157" s="108" t="n">
        <f aca="false">IF(AND(ISNUMBER(AB157),ISNUMBER(Z157)),ROUND(AB157*Z157,0),"")</f>
        <v>53</v>
      </c>
    </row>
    <row r="158" customFormat="false" ht="15" hidden="false" customHeight="false" outlineLevel="0" collapsed="false">
      <c r="A158" s="89" t="s">
        <v>754</v>
      </c>
      <c r="B158" s="90" t="s">
        <v>3791</v>
      </c>
      <c r="C158" s="103" t="n">
        <v>3067.39</v>
      </c>
      <c r="D158" s="104" t="n">
        <v>59</v>
      </c>
      <c r="E158" s="104" t="n">
        <v>59</v>
      </c>
      <c r="F158" s="105" t="n">
        <f aca="false">IF(D158&gt;=$C$3,E158/D158,"")</f>
        <v>1</v>
      </c>
      <c r="G158" s="104" t="n">
        <v>6</v>
      </c>
      <c r="H158" s="104" t="n">
        <v>6</v>
      </c>
      <c r="I158" s="105" t="n">
        <f aca="false">IF(G158&gt;=$C$3,H158/G158,"")</f>
        <v>1</v>
      </c>
      <c r="J158" s="104" t="n">
        <v>3</v>
      </c>
      <c r="K158" s="104" t="n">
        <v>3</v>
      </c>
      <c r="L158" s="105" t="n">
        <f aca="false">IF(J158&gt;=$C$3,K158/J158,"")</f>
        <v>1</v>
      </c>
      <c r="M158" s="104" t="n">
        <v>5</v>
      </c>
      <c r="N158" s="104" t="n">
        <v>5</v>
      </c>
      <c r="O158" s="105" t="n">
        <f aca="false">IF(M158&gt;=$C$3,N158/M158,"")</f>
        <v>1</v>
      </c>
      <c r="P158" s="104" t="n">
        <v>2</v>
      </c>
      <c r="Q158" s="104" t="n">
        <v>2</v>
      </c>
      <c r="R158" s="105" t="str">
        <f aca="false">IF(P158&gt;=$C$3,Q158/P158,"")</f>
        <v/>
      </c>
      <c r="S158" s="104" t="n">
        <v>2</v>
      </c>
      <c r="T158" s="104" t="n">
        <v>2</v>
      </c>
      <c r="U158" s="105" t="str">
        <f aca="false">IF(S158&gt;=$C$3,T158/S158,"")</f>
        <v/>
      </c>
      <c r="V158" s="104" t="n">
        <v>22</v>
      </c>
      <c r="W158" s="104" t="n">
        <v>22</v>
      </c>
      <c r="X158" s="105" t="n">
        <f aca="false">IF(V158&gt;=$C$3,W158/V158,"")</f>
        <v>1</v>
      </c>
      <c r="Y158" s="106" t="n">
        <f aca="false">COUNT(F158,I158,L158,O158,R158,U158,X158)</f>
        <v>5</v>
      </c>
      <c r="Z158" s="107" t="n">
        <f aca="false">IF(Y158=0,"",AVERAGE(F158,I158,L158,O158,R158,U158,X158))</f>
        <v>1</v>
      </c>
      <c r="AA158" s="108" t="n">
        <f aca="false">IF(ISNUMBER(Z158),C158*Z158,"")</f>
        <v>3067.39</v>
      </c>
      <c r="AB158" s="108" t="n">
        <f aca="false">IFERROR(INDEX('Shortlisted Drugs X Company (7)'!$K$3:$K$698,MATCH($A158,'Shortlisted Drugs X Company (7)'!$C$3:$C$698,0)),"")</f>
        <v>286</v>
      </c>
      <c r="AC158" s="108" t="n">
        <f aca="false">IF(AND(ISNUMBER(AB158),ISNUMBER(Z158)),ROUND(AB158*Z158,0),"")</f>
        <v>286</v>
      </c>
    </row>
    <row r="159" customFormat="false" ht="15" hidden="false" customHeight="false" outlineLevel="0" collapsed="false">
      <c r="A159" s="89" t="s">
        <v>665</v>
      </c>
      <c r="B159" s="90" t="s">
        <v>3791</v>
      </c>
      <c r="C159" s="103" t="n">
        <v>32830.17</v>
      </c>
      <c r="D159" s="104" t="n">
        <v>366</v>
      </c>
      <c r="E159" s="104" t="n">
        <v>366</v>
      </c>
      <c r="F159" s="105" t="n">
        <f aca="false">IF(D159&gt;=$C$3,E159/D159,"")</f>
        <v>1</v>
      </c>
      <c r="G159" s="104" t="n">
        <v>30</v>
      </c>
      <c r="H159" s="104" t="n">
        <v>30</v>
      </c>
      <c r="I159" s="105" t="n">
        <f aca="false">IF(G159&gt;=$C$3,H159/G159,"")</f>
        <v>1</v>
      </c>
      <c r="J159" s="104" t="n">
        <v>4</v>
      </c>
      <c r="K159" s="104" t="n">
        <v>4</v>
      </c>
      <c r="L159" s="105" t="n">
        <f aca="false">IF(J159&gt;=$C$3,K159/J159,"")</f>
        <v>1</v>
      </c>
      <c r="M159" s="104" t="n">
        <v>54</v>
      </c>
      <c r="N159" s="104" t="n">
        <v>54</v>
      </c>
      <c r="O159" s="105" t="n">
        <f aca="false">IF(M159&gt;=$C$3,N159/M159,"")</f>
        <v>1</v>
      </c>
      <c r="P159" s="104" t="n">
        <v>18</v>
      </c>
      <c r="Q159" s="104" t="n">
        <v>18</v>
      </c>
      <c r="R159" s="105" t="n">
        <f aca="false">IF(P159&gt;=$C$3,Q159/P159,"")</f>
        <v>1</v>
      </c>
      <c r="S159" s="104" t="n">
        <v>15</v>
      </c>
      <c r="T159" s="104" t="n">
        <v>15</v>
      </c>
      <c r="U159" s="105" t="n">
        <f aca="false">IF(S159&gt;=$C$3,T159/S159,"")</f>
        <v>1</v>
      </c>
      <c r="V159" s="104" t="n">
        <v>25</v>
      </c>
      <c r="W159" s="104" t="n">
        <v>25</v>
      </c>
      <c r="X159" s="105" t="n">
        <f aca="false">IF(V159&gt;=$C$3,W159/V159,"")</f>
        <v>1</v>
      </c>
      <c r="Y159" s="106" t="n">
        <f aca="false">COUNT(F159,I159,L159,O159,R159,U159,X159)</f>
        <v>7</v>
      </c>
      <c r="Z159" s="107" t="n">
        <f aca="false">IF(Y159=0,"",AVERAGE(F159,I159,L159,O159,R159,U159,X159))</f>
        <v>1</v>
      </c>
      <c r="AA159" s="108" t="n">
        <f aca="false">IF(ISNUMBER(Z159),C159*Z159,"")</f>
        <v>32830.17</v>
      </c>
      <c r="AB159" s="108" t="n">
        <f aca="false">IFERROR(INDEX('Shortlisted Drugs X Company (7)'!$K$3:$K$698,MATCH($A159,'Shortlisted Drugs X Company (7)'!$C$3:$C$698,0)),"")</f>
        <v>346</v>
      </c>
      <c r="AC159" s="108" t="n">
        <f aca="false">IF(AND(ISNUMBER(AB159),ISNUMBER(Z159)),ROUND(AB159*Z159,0),"")</f>
        <v>346</v>
      </c>
    </row>
    <row r="160" customFormat="false" ht="15" hidden="false" customHeight="false" outlineLevel="0" collapsed="false">
      <c r="A160" s="89" t="s">
        <v>671</v>
      </c>
      <c r="B160" s="90" t="s">
        <v>3792</v>
      </c>
      <c r="C160" s="103" t="n">
        <v>7074.72</v>
      </c>
      <c r="D160" s="104" t="n">
        <v>127</v>
      </c>
      <c r="E160" s="104" t="n">
        <v>127</v>
      </c>
      <c r="F160" s="105" t="n">
        <f aca="false">IF(D160&gt;=$C$3,E160/D160,"")</f>
        <v>1</v>
      </c>
      <c r="G160" s="104" t="n">
        <v>37</v>
      </c>
      <c r="H160" s="104" t="n">
        <v>37</v>
      </c>
      <c r="I160" s="105" t="n">
        <f aca="false">IF(G160&gt;=$C$3,H160/G160,"")</f>
        <v>1</v>
      </c>
      <c r="J160" s="104" t="n">
        <v>0</v>
      </c>
      <c r="K160" s="104" t="n">
        <v>0</v>
      </c>
      <c r="L160" s="105" t="str">
        <f aca="false">IF(J160&gt;=$C$3,K160/J160,"")</f>
        <v/>
      </c>
      <c r="M160" s="104" t="n">
        <v>7</v>
      </c>
      <c r="N160" s="104" t="n">
        <v>7</v>
      </c>
      <c r="O160" s="105" t="n">
        <f aca="false">IF(M160&gt;=$C$3,N160/M160,"")</f>
        <v>1</v>
      </c>
      <c r="P160" s="104" t="n">
        <v>12</v>
      </c>
      <c r="Q160" s="104" t="n">
        <v>9</v>
      </c>
      <c r="R160" s="105" t="n">
        <f aca="false">IF(P160&gt;=$C$3,Q160/P160,"")</f>
        <v>0.75</v>
      </c>
      <c r="S160" s="104" t="n">
        <v>2</v>
      </c>
      <c r="T160" s="104" t="n">
        <v>2</v>
      </c>
      <c r="U160" s="105" t="str">
        <f aca="false">IF(S160&gt;=$C$3,T160/S160,"")</f>
        <v/>
      </c>
      <c r="V160" s="104" t="n">
        <v>0</v>
      </c>
      <c r="W160" s="104" t="n">
        <v>0</v>
      </c>
      <c r="X160" s="105" t="str">
        <f aca="false">IF(V160&gt;=$C$3,W160/V160,"")</f>
        <v/>
      </c>
      <c r="Y160" s="106" t="n">
        <f aca="false">COUNT(F160,I160,L160,O160,R160,U160,X160)</f>
        <v>4</v>
      </c>
      <c r="Z160" s="107" t="n">
        <f aca="false">IF(Y160=0,"",AVERAGE(F160,I160,L160,O160,R160,U160,X160))</f>
        <v>0.9375</v>
      </c>
      <c r="AA160" s="108" t="n">
        <f aca="false">IF(ISNUMBER(Z160),C160*Z160,"")</f>
        <v>6632.55</v>
      </c>
      <c r="AB160" s="108" t="n">
        <f aca="false">IFERROR(INDEX('Shortlisted Drugs X Company (7)'!$K$3:$K$698,MATCH($A160,'Shortlisted Drugs X Company (7)'!$C$3:$C$698,0)),"")</f>
        <v>106</v>
      </c>
      <c r="AC160" s="108" t="n">
        <f aca="false">IF(AND(ISNUMBER(AB160),ISNUMBER(Z160)),ROUND(AB160*Z160,0),"")</f>
        <v>99</v>
      </c>
    </row>
    <row r="161" customFormat="false" ht="15" hidden="false" customHeight="false" outlineLevel="0" collapsed="false">
      <c r="A161" s="89" t="s">
        <v>1376</v>
      </c>
      <c r="B161" s="90" t="s">
        <v>3821</v>
      </c>
      <c r="C161" s="103" t="n">
        <v>77.4</v>
      </c>
      <c r="D161" s="104" t="n">
        <v>59</v>
      </c>
      <c r="E161" s="104" t="n">
        <v>59</v>
      </c>
      <c r="F161" s="105" t="n">
        <f aca="false">IF(D161&gt;=$C$3,E161/D161,"")</f>
        <v>1</v>
      </c>
      <c r="G161" s="104" t="n">
        <v>9</v>
      </c>
      <c r="H161" s="104" t="n">
        <v>9</v>
      </c>
      <c r="I161" s="105" t="n">
        <f aca="false">IF(G161&gt;=$C$3,H161/G161,"")</f>
        <v>1</v>
      </c>
      <c r="J161" s="104" t="n">
        <v>0</v>
      </c>
      <c r="K161" s="104" t="n">
        <v>0</v>
      </c>
      <c r="L161" s="105" t="str">
        <f aca="false">IF(J161&gt;=$C$3,K161/J161,"")</f>
        <v/>
      </c>
      <c r="M161" s="104" t="n">
        <v>6</v>
      </c>
      <c r="N161" s="104" t="n">
        <v>6</v>
      </c>
      <c r="O161" s="105" t="n">
        <f aca="false">IF(M161&gt;=$C$3,N161/M161,"")</f>
        <v>1</v>
      </c>
      <c r="P161" s="104" t="n">
        <v>1</v>
      </c>
      <c r="Q161" s="104" t="n">
        <v>0</v>
      </c>
      <c r="R161" s="105" t="str">
        <f aca="false">IF(P161&gt;=$C$3,Q161/P161,"")</f>
        <v/>
      </c>
      <c r="S161" s="104" t="n">
        <v>2</v>
      </c>
      <c r="T161" s="104" t="n">
        <v>2</v>
      </c>
      <c r="U161" s="105" t="str">
        <f aca="false">IF(S161&gt;=$C$3,T161/S161,"")</f>
        <v/>
      </c>
      <c r="V161" s="104" t="n">
        <v>1</v>
      </c>
      <c r="W161" s="104" t="n">
        <v>1</v>
      </c>
      <c r="X161" s="105" t="str">
        <f aca="false">IF(V161&gt;=$C$3,W161/V161,"")</f>
        <v/>
      </c>
      <c r="Y161" s="106" t="n">
        <f aca="false">COUNT(F161,I161,L161,O161,R161,U161,X161)</f>
        <v>3</v>
      </c>
      <c r="Z161" s="107" t="n">
        <f aca="false">IF(Y161=0,"",AVERAGE(F161,I161,L161,O161,R161,U161,X161))</f>
        <v>1</v>
      </c>
      <c r="AA161" s="108" t="n">
        <f aca="false">IF(ISNUMBER(Z161),C161*Z161,"")</f>
        <v>77.4</v>
      </c>
      <c r="AB161" s="108" t="n">
        <f aca="false">IFERROR(INDEX('Shortlisted Drugs X Company (7)'!$K$3:$K$698,MATCH($A161,'Shortlisted Drugs X Company (7)'!$C$3:$C$698,0)),"")</f>
        <v>18</v>
      </c>
      <c r="AC161" s="108" t="n">
        <f aca="false">IF(AND(ISNUMBER(AB161),ISNUMBER(Z161)),ROUND(AB161*Z161,0),"")</f>
        <v>18</v>
      </c>
    </row>
    <row r="162" customFormat="false" ht="15" hidden="false" customHeight="false" outlineLevel="0" collapsed="false">
      <c r="A162" s="89" t="s">
        <v>573</v>
      </c>
      <c r="B162" s="90" t="s">
        <v>3822</v>
      </c>
      <c r="C162" s="103" t="n">
        <v>7276.73</v>
      </c>
      <c r="D162" s="104" t="n">
        <v>0</v>
      </c>
      <c r="E162" s="104" t="n">
        <v>0</v>
      </c>
      <c r="F162" s="105" t="str">
        <f aca="false">IF(D162&gt;=$C$3,E162/D162,"")</f>
        <v/>
      </c>
      <c r="G162" s="104" t="n">
        <v>0</v>
      </c>
      <c r="H162" s="104" t="n">
        <v>0</v>
      </c>
      <c r="I162" s="105" t="str">
        <f aca="false">IF(G162&gt;=$C$3,H162/G162,"")</f>
        <v/>
      </c>
      <c r="J162" s="104" t="n">
        <v>1</v>
      </c>
      <c r="K162" s="104" t="n">
        <v>1</v>
      </c>
      <c r="L162" s="105" t="str">
        <f aca="false">IF(J162&gt;=$C$3,K162/J162,"")</f>
        <v/>
      </c>
      <c r="M162" s="104" t="n">
        <v>0</v>
      </c>
      <c r="N162" s="104" t="n">
        <v>0</v>
      </c>
      <c r="O162" s="105" t="str">
        <f aca="false">IF(M162&gt;=$C$3,N162/M162,"")</f>
        <v/>
      </c>
      <c r="P162" s="104" t="n">
        <v>1</v>
      </c>
      <c r="Q162" s="104" t="n">
        <v>1</v>
      </c>
      <c r="R162" s="105" t="str">
        <f aca="false">IF(P162&gt;=$C$3,Q162/P162,"")</f>
        <v/>
      </c>
      <c r="S162" s="104" t="n">
        <v>1</v>
      </c>
      <c r="T162" s="104" t="n">
        <v>1</v>
      </c>
      <c r="U162" s="105" t="str">
        <f aca="false">IF(S162&gt;=$C$3,T162/S162,"")</f>
        <v/>
      </c>
      <c r="V162" s="104" t="n">
        <v>19</v>
      </c>
      <c r="W162" s="104" t="n">
        <v>18</v>
      </c>
      <c r="X162" s="105" t="n">
        <f aca="false">IF(V162&gt;=$C$3,W162/V162,"")</f>
        <v>0.947368421052632</v>
      </c>
      <c r="Y162" s="106" t="n">
        <f aca="false">COUNT(F162,I162,L162,O162,R162,U162,X162)</f>
        <v>1</v>
      </c>
      <c r="Z162" s="107" t="n">
        <f aca="false">IF(Y162=0,"",AVERAGE(F162,I162,L162,O162,R162,U162,X162))</f>
        <v>0.947368421052632</v>
      </c>
      <c r="AA162" s="108" t="n">
        <f aca="false">IF(ISNUMBER(Z162),C162*Z162,"")</f>
        <v>6893.74421052632</v>
      </c>
      <c r="AB162" s="108" t="n">
        <f aca="false">IFERROR(INDEX('Shortlisted Drugs X Company (7)'!$K$3:$K$698,MATCH($A162,'Shortlisted Drugs X Company (7)'!$C$3:$C$698,0)),"")</f>
        <v>307</v>
      </c>
      <c r="AC162" s="108" t="n">
        <f aca="false">IF(AND(ISNUMBER(AB162),ISNUMBER(Z162)),ROUND(AB162*Z162,0),"")</f>
        <v>291</v>
      </c>
    </row>
    <row r="163" customFormat="false" ht="15" hidden="false" customHeight="false" outlineLevel="0" collapsed="false">
      <c r="A163" s="89" t="s">
        <v>577</v>
      </c>
      <c r="B163" s="90" t="s">
        <v>3822</v>
      </c>
      <c r="C163" s="103" t="n">
        <v>1202.23</v>
      </c>
      <c r="D163" s="104" t="n">
        <v>20</v>
      </c>
      <c r="E163" s="104" t="n">
        <v>20</v>
      </c>
      <c r="F163" s="105" t="n">
        <f aca="false">IF(D163&gt;=$C$3,E163/D163,"")</f>
        <v>1</v>
      </c>
      <c r="G163" s="104" t="n">
        <v>1</v>
      </c>
      <c r="H163" s="104" t="n">
        <v>1</v>
      </c>
      <c r="I163" s="105" t="str">
        <f aca="false">IF(G163&gt;=$C$3,H163/G163,"")</f>
        <v/>
      </c>
      <c r="J163" s="104" t="n">
        <v>1</v>
      </c>
      <c r="K163" s="104" t="n">
        <v>1</v>
      </c>
      <c r="L163" s="105" t="str">
        <f aca="false">IF(J163&gt;=$C$3,K163/J163,"")</f>
        <v/>
      </c>
      <c r="M163" s="104" t="n">
        <v>1</v>
      </c>
      <c r="N163" s="104" t="n">
        <v>1</v>
      </c>
      <c r="O163" s="105" t="str">
        <f aca="false">IF(M163&gt;=$C$3,N163/M163,"")</f>
        <v/>
      </c>
      <c r="P163" s="104" t="n">
        <v>0</v>
      </c>
      <c r="Q163" s="104" t="n">
        <v>0</v>
      </c>
      <c r="R163" s="105" t="str">
        <f aca="false">IF(P163&gt;=$C$3,Q163/P163,"")</f>
        <v/>
      </c>
      <c r="S163" s="104" t="n">
        <v>0</v>
      </c>
      <c r="T163" s="104" t="n">
        <v>0</v>
      </c>
      <c r="U163" s="105" t="str">
        <f aca="false">IF(S163&gt;=$C$3,T163/S163,"")</f>
        <v/>
      </c>
      <c r="V163" s="104" t="n">
        <v>5</v>
      </c>
      <c r="W163" s="104" t="n">
        <v>5</v>
      </c>
      <c r="X163" s="105" t="n">
        <f aca="false">IF(V163&gt;=$C$3,W163/V163,"")</f>
        <v>1</v>
      </c>
      <c r="Y163" s="106" t="n">
        <f aca="false">COUNT(F163,I163,L163,O163,R163,U163,X163)</f>
        <v>2</v>
      </c>
      <c r="Z163" s="107" t="n">
        <f aca="false">IF(Y163=0,"",AVERAGE(F163,I163,L163,O163,R163,U163,X163))</f>
        <v>1</v>
      </c>
      <c r="AA163" s="108" t="n">
        <f aca="false">IF(ISNUMBER(Z163),C163*Z163,"")</f>
        <v>1202.23</v>
      </c>
      <c r="AB163" s="108" t="n">
        <f aca="false">IFERROR(INDEX('Shortlisted Drugs X Company (7)'!$K$3:$K$698,MATCH($A163,'Shortlisted Drugs X Company (7)'!$C$3:$C$698,0)),"")</f>
        <v>448</v>
      </c>
      <c r="AC163" s="108" t="n">
        <f aca="false">IF(AND(ISNUMBER(AB163),ISNUMBER(Z163)),ROUND(AB163*Z163,0),"")</f>
        <v>448</v>
      </c>
    </row>
    <row r="164" customFormat="false" ht="15" hidden="false" customHeight="false" outlineLevel="0" collapsed="false">
      <c r="A164" s="89" t="s">
        <v>676</v>
      </c>
      <c r="B164" s="90" t="s">
        <v>3822</v>
      </c>
      <c r="C164" s="103" t="n">
        <v>262.84</v>
      </c>
      <c r="D164" s="104" t="n">
        <v>105</v>
      </c>
      <c r="E164" s="104" t="n">
        <v>105</v>
      </c>
      <c r="F164" s="105" t="n">
        <f aca="false">IF(D164&gt;=$C$3,E164/D164,"")</f>
        <v>1</v>
      </c>
      <c r="G164" s="104" t="n">
        <v>9</v>
      </c>
      <c r="H164" s="104" t="n">
        <v>9</v>
      </c>
      <c r="I164" s="105" t="n">
        <f aca="false">IF(G164&gt;=$C$3,H164/G164,"")</f>
        <v>1</v>
      </c>
      <c r="J164" s="104" t="n">
        <v>4</v>
      </c>
      <c r="K164" s="104" t="n">
        <v>0</v>
      </c>
      <c r="L164" s="105" t="n">
        <f aca="false">IF(J164&gt;=$C$3,K164/J164,"")</f>
        <v>0</v>
      </c>
      <c r="M164" s="104" t="n">
        <v>12</v>
      </c>
      <c r="N164" s="104" t="n">
        <v>12</v>
      </c>
      <c r="O164" s="105" t="n">
        <f aca="false">IF(M164&gt;=$C$3,N164/M164,"")</f>
        <v>1</v>
      </c>
      <c r="P164" s="104" t="n">
        <v>3</v>
      </c>
      <c r="Q164" s="104" t="n">
        <v>3</v>
      </c>
      <c r="R164" s="105" t="n">
        <f aca="false">IF(P164&gt;=$C$3,Q164/P164,"")</f>
        <v>1</v>
      </c>
      <c r="S164" s="104" t="n">
        <v>5</v>
      </c>
      <c r="T164" s="104" t="n">
        <v>4</v>
      </c>
      <c r="U164" s="105" t="n">
        <f aca="false">IF(S164&gt;=$C$3,T164/S164,"")</f>
        <v>0.8</v>
      </c>
      <c r="V164" s="104" t="n">
        <v>8</v>
      </c>
      <c r="W164" s="104" t="n">
        <v>1</v>
      </c>
      <c r="X164" s="105" t="n">
        <f aca="false">IF(V164&gt;=$C$3,W164/V164,"")</f>
        <v>0.125</v>
      </c>
      <c r="Y164" s="106" t="n">
        <f aca="false">COUNT(F164,I164,L164,O164,R164,U164,X164)</f>
        <v>7</v>
      </c>
      <c r="Z164" s="107" t="n">
        <f aca="false">IF(Y164=0,"",AVERAGE(F164,I164,L164,O164,R164,U164,X164))</f>
        <v>0.703571428571429</v>
      </c>
      <c r="AA164" s="108" t="n">
        <f aca="false">IF(ISNUMBER(Z164),C164*Z164,"")</f>
        <v>184.926714285714</v>
      </c>
      <c r="AB164" s="108" t="n">
        <f aca="false">IFERROR(INDEX('Shortlisted Drugs X Company (7)'!$K$3:$K$698,MATCH($A164,'Shortlisted Drugs X Company (7)'!$C$3:$C$698,0)),"")</f>
        <v>188</v>
      </c>
      <c r="AC164" s="108" t="n">
        <f aca="false">IF(AND(ISNUMBER(AB164),ISNUMBER(Z164)),ROUND(AB164*Z164,0),"")</f>
        <v>132</v>
      </c>
    </row>
    <row r="165" customFormat="false" ht="15" hidden="false" customHeight="false" outlineLevel="0" collapsed="false">
      <c r="A165" s="89" t="s">
        <v>763</v>
      </c>
      <c r="B165" s="90" t="s">
        <v>3796</v>
      </c>
      <c r="C165" s="103" t="n">
        <v>11040.91</v>
      </c>
      <c r="D165" s="104" t="n">
        <v>80</v>
      </c>
      <c r="E165" s="104" t="n">
        <v>80</v>
      </c>
      <c r="F165" s="105" t="n">
        <f aca="false">IF(D165&gt;=$C$3,E165/D165,"")</f>
        <v>1</v>
      </c>
      <c r="G165" s="104" t="n">
        <v>18</v>
      </c>
      <c r="H165" s="104" t="n">
        <v>18</v>
      </c>
      <c r="I165" s="105" t="n">
        <f aca="false">IF(G165&gt;=$C$3,H165/G165,"")</f>
        <v>1</v>
      </c>
      <c r="J165" s="104" t="n">
        <v>6</v>
      </c>
      <c r="K165" s="104" t="n">
        <v>6</v>
      </c>
      <c r="L165" s="105" t="n">
        <f aca="false">IF(J165&gt;=$C$3,K165/J165,"")</f>
        <v>1</v>
      </c>
      <c r="M165" s="104" t="n">
        <v>10</v>
      </c>
      <c r="N165" s="104" t="n">
        <v>10</v>
      </c>
      <c r="O165" s="105" t="n">
        <f aca="false">IF(M165&gt;=$C$3,N165/M165,"")</f>
        <v>1</v>
      </c>
      <c r="P165" s="104" t="n">
        <v>0</v>
      </c>
      <c r="Q165" s="104" t="n">
        <v>0</v>
      </c>
      <c r="R165" s="105" t="str">
        <f aca="false">IF(P165&gt;=$C$3,Q165/P165,"")</f>
        <v/>
      </c>
      <c r="S165" s="104" t="n">
        <v>0</v>
      </c>
      <c r="T165" s="104" t="n">
        <v>0</v>
      </c>
      <c r="U165" s="105" t="str">
        <f aca="false">IF(S165&gt;=$C$3,T165/S165,"")</f>
        <v/>
      </c>
      <c r="V165" s="104" t="n">
        <v>14</v>
      </c>
      <c r="W165" s="104" t="n">
        <v>14</v>
      </c>
      <c r="X165" s="105" t="n">
        <f aca="false">IF(V165&gt;=$C$3,W165/V165,"")</f>
        <v>1</v>
      </c>
      <c r="Y165" s="106" t="n">
        <f aca="false">COUNT(F165,I165,L165,O165,R165,U165,X165)</f>
        <v>5</v>
      </c>
      <c r="Z165" s="107" t="n">
        <f aca="false">IF(Y165=0,"",AVERAGE(F165,I165,L165,O165,R165,U165,X165))</f>
        <v>1</v>
      </c>
      <c r="AA165" s="108" t="n">
        <f aca="false">IF(ISNUMBER(Z165),C165*Z165,"")</f>
        <v>11040.91</v>
      </c>
      <c r="AB165" s="108" t="n">
        <f aca="false">IFERROR(INDEX('Shortlisted Drugs X Company (7)'!$K$3:$K$698,MATCH($A165,'Shortlisted Drugs X Company (7)'!$C$3:$C$698,0)),"")</f>
        <v>147</v>
      </c>
      <c r="AC165" s="108" t="n">
        <f aca="false">IF(AND(ISNUMBER(AB165),ISNUMBER(Z165)),ROUND(AB165*Z165,0),"")</f>
        <v>147</v>
      </c>
    </row>
    <row r="166" customFormat="false" ht="15" hidden="false" customHeight="false" outlineLevel="0" collapsed="false">
      <c r="A166" s="89" t="s">
        <v>1159</v>
      </c>
      <c r="B166" s="90" t="s">
        <v>3792</v>
      </c>
      <c r="C166" s="103" t="n">
        <v>6629.25</v>
      </c>
      <c r="D166" s="104" t="n">
        <v>106</v>
      </c>
      <c r="E166" s="104" t="n">
        <v>105</v>
      </c>
      <c r="F166" s="105" t="n">
        <f aca="false">IF(D166&gt;=$C$3,E166/D166,"")</f>
        <v>0.990566037735849</v>
      </c>
      <c r="G166" s="104" t="n">
        <v>11</v>
      </c>
      <c r="H166" s="104" t="n">
        <v>11</v>
      </c>
      <c r="I166" s="105" t="n">
        <f aca="false">IF(G166&gt;=$C$3,H166/G166,"")</f>
        <v>1</v>
      </c>
      <c r="J166" s="104" t="n">
        <v>2</v>
      </c>
      <c r="K166" s="104" t="n">
        <v>2</v>
      </c>
      <c r="L166" s="105" t="str">
        <f aca="false">IF(J166&gt;=$C$3,K166/J166,"")</f>
        <v/>
      </c>
      <c r="M166" s="104" t="n">
        <v>8</v>
      </c>
      <c r="N166" s="104" t="n">
        <v>8</v>
      </c>
      <c r="O166" s="105" t="n">
        <f aca="false">IF(M166&gt;=$C$3,N166/M166,"")</f>
        <v>1</v>
      </c>
      <c r="P166" s="104" t="n">
        <v>10</v>
      </c>
      <c r="Q166" s="104" t="n">
        <v>10</v>
      </c>
      <c r="R166" s="105" t="n">
        <f aca="false">IF(P166&gt;=$C$3,Q166/P166,"")</f>
        <v>1</v>
      </c>
      <c r="S166" s="104" t="n">
        <v>3</v>
      </c>
      <c r="T166" s="104" t="n">
        <v>3</v>
      </c>
      <c r="U166" s="105" t="n">
        <f aca="false">IF(S166&gt;=$C$3,T166/S166,"")</f>
        <v>1</v>
      </c>
      <c r="V166" s="104" t="n">
        <v>6</v>
      </c>
      <c r="W166" s="104" t="n">
        <v>6</v>
      </c>
      <c r="X166" s="105" t="n">
        <f aca="false">IF(V166&gt;=$C$3,W166/V166,"")</f>
        <v>1</v>
      </c>
      <c r="Y166" s="106" t="n">
        <f aca="false">COUNT(F166,I166,L166,O166,R166,U166,X166)</f>
        <v>6</v>
      </c>
      <c r="Z166" s="107" t="n">
        <f aca="false">IF(Y166=0,"",AVERAGE(F166,I166,L166,O166,R166,U166,X166))</f>
        <v>0.998427672955975</v>
      </c>
      <c r="AA166" s="108" t="n">
        <f aca="false">IF(ISNUMBER(Z166),C166*Z166,"")</f>
        <v>6618.8266509434</v>
      </c>
      <c r="AB166" s="108" t="n">
        <f aca="false">IFERROR(INDEX('Shortlisted Drugs X Company (7)'!$K$3:$K$698,MATCH($A166,'Shortlisted Drugs X Company (7)'!$C$3:$C$698,0)),"")</f>
        <v>136</v>
      </c>
      <c r="AC166" s="108" t="n">
        <f aca="false">IF(AND(ISNUMBER(AB166),ISNUMBER(Z166)),ROUND(AB166*Z166,0),"")</f>
        <v>136</v>
      </c>
    </row>
    <row r="167" customFormat="false" ht="15" hidden="false" customHeight="false" outlineLevel="0" collapsed="false">
      <c r="A167" s="89" t="s">
        <v>581</v>
      </c>
      <c r="B167" s="90" t="s">
        <v>3790</v>
      </c>
      <c r="C167" s="103" t="n">
        <v>2812.77</v>
      </c>
      <c r="D167" s="104" t="n">
        <v>39</v>
      </c>
      <c r="E167" s="104" t="n">
        <v>39</v>
      </c>
      <c r="F167" s="105" t="n">
        <f aca="false">IF(D167&gt;=$C$3,E167/D167,"")</f>
        <v>1</v>
      </c>
      <c r="G167" s="104" t="n">
        <v>5</v>
      </c>
      <c r="H167" s="104" t="n">
        <v>5</v>
      </c>
      <c r="I167" s="105" t="n">
        <f aca="false">IF(G167&gt;=$C$3,H167/G167,"")</f>
        <v>1</v>
      </c>
      <c r="J167" s="104" t="n">
        <v>1</v>
      </c>
      <c r="K167" s="104" t="n">
        <v>1</v>
      </c>
      <c r="L167" s="105" t="str">
        <f aca="false">IF(J167&gt;=$C$3,K167/J167,"")</f>
        <v/>
      </c>
      <c r="M167" s="104" t="n">
        <v>4</v>
      </c>
      <c r="N167" s="104" t="n">
        <v>4</v>
      </c>
      <c r="O167" s="105" t="n">
        <f aca="false">IF(M167&gt;=$C$3,N167/M167,"")</f>
        <v>1</v>
      </c>
      <c r="P167" s="104" t="n">
        <v>3</v>
      </c>
      <c r="Q167" s="104" t="n">
        <v>3</v>
      </c>
      <c r="R167" s="105" t="n">
        <f aca="false">IF(P167&gt;=$C$3,Q167/P167,"")</f>
        <v>1</v>
      </c>
      <c r="S167" s="104" t="n">
        <v>4</v>
      </c>
      <c r="T167" s="104" t="n">
        <v>4</v>
      </c>
      <c r="U167" s="105" t="n">
        <f aca="false">IF(S167&gt;=$C$3,T167/S167,"")</f>
        <v>1</v>
      </c>
      <c r="V167" s="104" t="n">
        <v>7</v>
      </c>
      <c r="W167" s="104" t="n">
        <v>7</v>
      </c>
      <c r="X167" s="105" t="n">
        <f aca="false">IF(V167&gt;=$C$3,W167/V167,"")</f>
        <v>1</v>
      </c>
      <c r="Y167" s="106" t="n">
        <f aca="false">COUNT(F167,I167,L167,O167,R167,U167,X167)</f>
        <v>6</v>
      </c>
      <c r="Z167" s="107" t="n">
        <f aca="false">IF(Y167=0,"",AVERAGE(F167,I167,L167,O167,R167,U167,X167))</f>
        <v>1</v>
      </c>
      <c r="AA167" s="108" t="n">
        <f aca="false">IF(ISNUMBER(Z167),C167*Z167,"")</f>
        <v>2812.77</v>
      </c>
      <c r="AB167" s="108" t="n">
        <f aca="false">IFERROR(INDEX('Shortlisted Drugs X Company (7)'!$K$3:$K$698,MATCH($A167,'Shortlisted Drugs X Company (7)'!$C$3:$C$698,0)),"")</f>
        <v>61</v>
      </c>
      <c r="AC167" s="108" t="n">
        <f aca="false">IF(AND(ISNUMBER(AB167),ISNUMBER(Z167)),ROUND(AB167*Z167,0),"")</f>
        <v>61</v>
      </c>
    </row>
    <row r="168" customFormat="false" ht="15" hidden="false" customHeight="false" outlineLevel="0" collapsed="false">
      <c r="A168" s="89" t="s">
        <v>588</v>
      </c>
      <c r="B168" s="90" t="s">
        <v>3793</v>
      </c>
      <c r="C168" s="103" t="n">
        <v>36428.56</v>
      </c>
      <c r="D168" s="104" t="n">
        <v>207</v>
      </c>
      <c r="E168" s="104" t="n">
        <v>149</v>
      </c>
      <c r="F168" s="105" t="n">
        <f aca="false">IF(D168&gt;=$C$3,E168/D168,"")</f>
        <v>0.719806763285024</v>
      </c>
      <c r="G168" s="104" t="n">
        <v>30</v>
      </c>
      <c r="H168" s="104" t="n">
        <v>12</v>
      </c>
      <c r="I168" s="105" t="n">
        <f aca="false">IF(G168&gt;=$C$3,H168/G168,"")</f>
        <v>0.4</v>
      </c>
      <c r="J168" s="104" t="n">
        <v>13</v>
      </c>
      <c r="K168" s="104" t="n">
        <v>7</v>
      </c>
      <c r="L168" s="105" t="n">
        <f aca="false">IF(J168&gt;=$C$3,K168/J168,"")</f>
        <v>0.538461538461538</v>
      </c>
      <c r="M168" s="104" t="n">
        <v>30</v>
      </c>
      <c r="N168" s="104" t="n">
        <v>20</v>
      </c>
      <c r="O168" s="105" t="n">
        <f aca="false">IF(M168&gt;=$C$3,N168/M168,"")</f>
        <v>0.666666666666667</v>
      </c>
      <c r="P168" s="104" t="n">
        <v>27</v>
      </c>
      <c r="Q168" s="104" t="n">
        <v>15</v>
      </c>
      <c r="R168" s="105" t="n">
        <f aca="false">IF(P168&gt;=$C$3,Q168/P168,"")</f>
        <v>0.555555555555556</v>
      </c>
      <c r="S168" s="104" t="n">
        <v>17</v>
      </c>
      <c r="T168" s="104" t="n">
        <v>12</v>
      </c>
      <c r="U168" s="105" t="n">
        <f aca="false">IF(S168&gt;=$C$3,T168/S168,"")</f>
        <v>0.705882352941177</v>
      </c>
      <c r="V168" s="104" t="n">
        <v>27</v>
      </c>
      <c r="W168" s="104" t="n">
        <v>20</v>
      </c>
      <c r="X168" s="105" t="n">
        <f aca="false">IF(V168&gt;=$C$3,W168/V168,"")</f>
        <v>0.740740740740741</v>
      </c>
      <c r="Y168" s="106" t="n">
        <f aca="false">COUNT(F168,I168,L168,O168,R168,U168,X168)</f>
        <v>7</v>
      </c>
      <c r="Z168" s="107" t="n">
        <f aca="false">IF(Y168=0,"",AVERAGE(F168,I168,L168,O168,R168,U168,X168))</f>
        <v>0.618159088235815</v>
      </c>
      <c r="AA168" s="108" t="n">
        <f aca="false">IF(ISNUMBER(Z168),C168*Z168,"")</f>
        <v>22518.6454353437</v>
      </c>
      <c r="AB168" s="108" t="n">
        <f aca="false">IFERROR(INDEX('Shortlisted Drugs X Company (7)'!$K$3:$K$698,MATCH($A168,'Shortlisted Drugs X Company (7)'!$C$3:$C$698,0)),"")</f>
        <v>1307</v>
      </c>
      <c r="AC168" s="108" t="n">
        <f aca="false">IF(AND(ISNUMBER(AB168),ISNUMBER(Z168)),ROUND(AB168*Z168,0),"")</f>
        <v>808</v>
      </c>
    </row>
    <row r="169" customFormat="false" ht="15" hidden="false" customHeight="false" outlineLevel="0" collapsed="false">
      <c r="A169" s="89" t="s">
        <v>681</v>
      </c>
      <c r="B169" s="90" t="s">
        <v>3796</v>
      </c>
      <c r="C169" s="103" t="n">
        <v>142879.93</v>
      </c>
      <c r="D169" s="104" t="n">
        <v>48</v>
      </c>
      <c r="E169" s="104" t="n">
        <v>48</v>
      </c>
      <c r="F169" s="105" t="n">
        <f aca="false">IF(D169&gt;=$C$3,E169/D169,"")</f>
        <v>1</v>
      </c>
      <c r="G169" s="104" t="n">
        <v>19</v>
      </c>
      <c r="H169" s="104" t="n">
        <v>17</v>
      </c>
      <c r="I169" s="105" t="n">
        <f aca="false">IF(G169&gt;=$C$3,H169/G169,"")</f>
        <v>0.894736842105263</v>
      </c>
      <c r="J169" s="104" t="n">
        <v>18</v>
      </c>
      <c r="K169" s="104" t="n">
        <v>18</v>
      </c>
      <c r="L169" s="105" t="n">
        <f aca="false">IF(J169&gt;=$C$3,K169/J169,"")</f>
        <v>1</v>
      </c>
      <c r="M169" s="104" t="n">
        <v>18</v>
      </c>
      <c r="N169" s="104" t="n">
        <v>18</v>
      </c>
      <c r="O169" s="105" t="n">
        <f aca="false">IF(M169&gt;=$C$3,N169/M169,"")</f>
        <v>1</v>
      </c>
      <c r="P169" s="104" t="n">
        <v>11</v>
      </c>
      <c r="Q169" s="104" t="n">
        <v>9</v>
      </c>
      <c r="R169" s="105" t="n">
        <f aca="false">IF(P169&gt;=$C$3,Q169/P169,"")</f>
        <v>0.818181818181818</v>
      </c>
      <c r="S169" s="104" t="n">
        <v>14</v>
      </c>
      <c r="T169" s="104" t="n">
        <v>14</v>
      </c>
      <c r="U169" s="105" t="n">
        <f aca="false">IF(S169&gt;=$C$3,T169/S169,"")</f>
        <v>1</v>
      </c>
      <c r="V169" s="104" t="n">
        <v>19</v>
      </c>
      <c r="W169" s="104" t="n">
        <v>15</v>
      </c>
      <c r="X169" s="105" t="n">
        <f aca="false">IF(V169&gt;=$C$3,W169/V169,"")</f>
        <v>0.789473684210526</v>
      </c>
      <c r="Y169" s="106" t="n">
        <f aca="false">COUNT(F169,I169,L169,O169,R169,U169,X169)</f>
        <v>7</v>
      </c>
      <c r="Z169" s="107" t="n">
        <f aca="false">IF(Y169=0,"",AVERAGE(F169,I169,L169,O169,R169,U169,X169))</f>
        <v>0.928913192071087</v>
      </c>
      <c r="AA169" s="108" t="n">
        <f aca="false">IF(ISNUMBER(Z169),C169*Z169,"")</f>
        <v>132723.051859193</v>
      </c>
      <c r="AB169" s="108" t="n">
        <f aca="false">IFERROR(INDEX('Shortlisted Drugs X Company (7)'!$K$3:$K$698,MATCH($A169,'Shortlisted Drugs X Company (7)'!$C$3:$C$698,0)),"")</f>
        <v>848</v>
      </c>
      <c r="AC169" s="108" t="n">
        <f aca="false">IF(AND(ISNUMBER(AB169),ISNUMBER(Z169)),ROUND(AB169*Z169,0),"")</f>
        <v>788</v>
      </c>
    </row>
    <row r="170" customFormat="false" ht="15" hidden="false" customHeight="false" outlineLevel="0" collapsed="false">
      <c r="A170" s="89" t="s">
        <v>308</v>
      </c>
      <c r="B170" s="90" t="s">
        <v>3816</v>
      </c>
      <c r="C170" s="103" t="n">
        <v>16205.48</v>
      </c>
      <c r="D170" s="104" t="n">
        <v>113</v>
      </c>
      <c r="E170" s="104" t="n">
        <v>29</v>
      </c>
      <c r="F170" s="105" t="n">
        <f aca="false">IF(D170&gt;=$C$3,E170/D170,"")</f>
        <v>0.256637168141593</v>
      </c>
      <c r="G170" s="104" t="n">
        <v>2</v>
      </c>
      <c r="H170" s="104" t="n">
        <v>0</v>
      </c>
      <c r="I170" s="105" t="str">
        <f aca="false">IF(G170&gt;=$C$3,H170/G170,"")</f>
        <v/>
      </c>
      <c r="J170" s="104" t="n">
        <v>16</v>
      </c>
      <c r="K170" s="104" t="n">
        <v>5</v>
      </c>
      <c r="L170" s="105" t="n">
        <f aca="false">IF(J170&gt;=$C$3,K170/J170,"")</f>
        <v>0.3125</v>
      </c>
      <c r="M170" s="104" t="n">
        <v>13</v>
      </c>
      <c r="N170" s="104" t="n">
        <v>3</v>
      </c>
      <c r="O170" s="105" t="n">
        <f aca="false">IF(M170&gt;=$C$3,N170/M170,"")</f>
        <v>0.230769230769231</v>
      </c>
      <c r="P170" s="104" t="n">
        <v>2</v>
      </c>
      <c r="Q170" s="104" t="n">
        <v>0</v>
      </c>
      <c r="R170" s="105" t="str">
        <f aca="false">IF(P170&gt;=$C$3,Q170/P170,"")</f>
        <v/>
      </c>
      <c r="S170" s="104" t="n">
        <v>9</v>
      </c>
      <c r="T170" s="104" t="n">
        <v>2</v>
      </c>
      <c r="U170" s="105" t="n">
        <f aca="false">IF(S170&gt;=$C$3,T170/S170,"")</f>
        <v>0.222222222222222</v>
      </c>
      <c r="V170" s="104" t="n">
        <v>103</v>
      </c>
      <c r="W170" s="104" t="n">
        <v>30</v>
      </c>
      <c r="X170" s="105" t="n">
        <f aca="false">IF(V170&gt;=$C$3,W170/V170,"")</f>
        <v>0.29126213592233</v>
      </c>
      <c r="Y170" s="106" t="n">
        <f aca="false">COUNT(F170,I170,L170,O170,R170,U170,X170)</f>
        <v>5</v>
      </c>
      <c r="Z170" s="107" t="n">
        <f aca="false">IF(Y170=0,"",AVERAGE(F170,I170,L170,O170,R170,U170,X170))</f>
        <v>0.262678151411075</v>
      </c>
      <c r="AA170" s="108" t="n">
        <f aca="false">IF(ISNUMBER(Z170),C170*Z170,"")</f>
        <v>4256.82552912915</v>
      </c>
      <c r="AB170" s="108" t="n">
        <f aca="false">IFERROR(INDEX('Shortlisted Drugs X Company (7)'!$K$3:$K$698,MATCH($A170,'Shortlisted Drugs X Company (7)'!$C$3:$C$698,0)),"")</f>
        <v>735</v>
      </c>
      <c r="AC170" s="108" t="n">
        <f aca="false">IF(AND(ISNUMBER(AB170),ISNUMBER(Z170)),ROUND(AB170*Z170,0),"")</f>
        <v>193</v>
      </c>
    </row>
    <row r="171" customFormat="false" ht="15" hidden="false" customHeight="false" outlineLevel="0" collapsed="false">
      <c r="A171" s="89" t="s">
        <v>1165</v>
      </c>
      <c r="B171" s="90" t="s">
        <v>3823</v>
      </c>
      <c r="C171" s="103" t="n">
        <v>2485.93</v>
      </c>
      <c r="D171" s="104" t="n">
        <v>47</v>
      </c>
      <c r="E171" s="104" t="n">
        <v>47</v>
      </c>
      <c r="F171" s="105" t="n">
        <f aca="false">IF(D171&gt;=$C$3,E171/D171,"")</f>
        <v>1</v>
      </c>
      <c r="G171" s="104" t="n">
        <v>44</v>
      </c>
      <c r="H171" s="104" t="n">
        <v>44</v>
      </c>
      <c r="I171" s="105" t="n">
        <f aca="false">IF(G171&gt;=$C$3,H171/G171,"")</f>
        <v>1</v>
      </c>
      <c r="J171" s="104" t="n">
        <v>27</v>
      </c>
      <c r="K171" s="104" t="n">
        <v>27</v>
      </c>
      <c r="L171" s="105" t="n">
        <f aca="false">IF(J171&gt;=$C$3,K171/J171,"")</f>
        <v>1</v>
      </c>
      <c r="M171" s="104" t="n">
        <v>35</v>
      </c>
      <c r="N171" s="104" t="n">
        <v>35</v>
      </c>
      <c r="O171" s="105" t="n">
        <f aca="false">IF(M171&gt;=$C$3,N171/M171,"")</f>
        <v>1</v>
      </c>
      <c r="P171" s="104" t="n">
        <v>6</v>
      </c>
      <c r="Q171" s="104" t="n">
        <v>6</v>
      </c>
      <c r="R171" s="105" t="n">
        <f aca="false">IF(P171&gt;=$C$3,Q171/P171,"")</f>
        <v>1</v>
      </c>
      <c r="S171" s="104" t="n">
        <v>13</v>
      </c>
      <c r="T171" s="104" t="n">
        <v>13</v>
      </c>
      <c r="U171" s="105" t="n">
        <f aca="false">IF(S171&gt;=$C$3,T171/S171,"")</f>
        <v>1</v>
      </c>
      <c r="V171" s="104" t="n">
        <v>27</v>
      </c>
      <c r="W171" s="104" t="n">
        <v>27</v>
      </c>
      <c r="X171" s="105" t="n">
        <f aca="false">IF(V171&gt;=$C$3,W171/V171,"")</f>
        <v>1</v>
      </c>
      <c r="Y171" s="106" t="n">
        <f aca="false">COUNT(F171,I171,L171,O171,R171,U171,X171)</f>
        <v>7</v>
      </c>
      <c r="Z171" s="107" t="n">
        <f aca="false">IF(Y171=0,"",AVERAGE(F171,I171,L171,O171,R171,U171,X171))</f>
        <v>1</v>
      </c>
      <c r="AA171" s="108" t="n">
        <f aca="false">IF(ISNUMBER(Z171),C171*Z171,"")</f>
        <v>2485.93</v>
      </c>
      <c r="AB171" s="108" t="n">
        <f aca="false">IFERROR(INDEX('Shortlisted Drugs X Company (7)'!$K$3:$K$698,MATCH($A171,'Shortlisted Drugs X Company (7)'!$C$3:$C$698,0)),"")</f>
        <v>125</v>
      </c>
      <c r="AC171" s="108" t="n">
        <f aca="false">IF(AND(ISNUMBER(AB171),ISNUMBER(Z171)),ROUND(AB171*Z171,0),"")</f>
        <v>125</v>
      </c>
    </row>
    <row r="172" customFormat="false" ht="15" hidden="false" customHeight="false" outlineLevel="0" collapsed="false">
      <c r="A172" s="89" t="s">
        <v>1471</v>
      </c>
      <c r="B172" s="90" t="s">
        <v>3792</v>
      </c>
      <c r="C172" s="103" t="n">
        <v>53526.71</v>
      </c>
      <c r="D172" s="104" t="n">
        <v>221</v>
      </c>
      <c r="E172" s="104" t="n">
        <v>187</v>
      </c>
      <c r="F172" s="105" t="n">
        <f aca="false">IF(D172&gt;=$C$3,E172/D172,"")</f>
        <v>0.846153846153846</v>
      </c>
      <c r="G172" s="104" t="n">
        <v>29</v>
      </c>
      <c r="H172" s="104" t="n">
        <v>23</v>
      </c>
      <c r="I172" s="105" t="n">
        <f aca="false">IF(G172&gt;=$C$3,H172/G172,"")</f>
        <v>0.793103448275862</v>
      </c>
      <c r="J172" s="104" t="n">
        <v>26</v>
      </c>
      <c r="K172" s="104" t="n">
        <v>22</v>
      </c>
      <c r="L172" s="105" t="n">
        <f aca="false">IF(J172&gt;=$C$3,K172/J172,"")</f>
        <v>0.846153846153846</v>
      </c>
      <c r="M172" s="104" t="n">
        <v>26</v>
      </c>
      <c r="N172" s="104" t="n">
        <v>16</v>
      </c>
      <c r="O172" s="105" t="n">
        <f aca="false">IF(M172&gt;=$C$3,N172/M172,"")</f>
        <v>0.615384615384615</v>
      </c>
      <c r="P172" s="104" t="n">
        <v>15</v>
      </c>
      <c r="Q172" s="104" t="n">
        <v>13</v>
      </c>
      <c r="R172" s="105" t="n">
        <f aca="false">IF(P172&gt;=$C$3,Q172/P172,"")</f>
        <v>0.866666666666667</v>
      </c>
      <c r="S172" s="104" t="n">
        <v>13</v>
      </c>
      <c r="T172" s="104" t="n">
        <v>12</v>
      </c>
      <c r="U172" s="105" t="n">
        <f aca="false">IF(S172&gt;=$C$3,T172/S172,"")</f>
        <v>0.923076923076923</v>
      </c>
      <c r="V172" s="104" t="n">
        <v>99</v>
      </c>
      <c r="W172" s="104" t="n">
        <v>86</v>
      </c>
      <c r="X172" s="105" t="n">
        <f aca="false">IF(V172&gt;=$C$3,W172/V172,"")</f>
        <v>0.868686868686869</v>
      </c>
      <c r="Y172" s="106" t="n">
        <f aca="false">COUNT(F172,I172,L172,O172,R172,U172,X172)</f>
        <v>7</v>
      </c>
      <c r="Z172" s="107" t="n">
        <f aca="false">IF(Y172=0,"",AVERAGE(F172,I172,L172,O172,R172,U172,X172))</f>
        <v>0.822746602056947</v>
      </c>
      <c r="AA172" s="108" t="n">
        <f aca="false">IF(ISNUMBER(Z172),C172*Z172,"")</f>
        <v>44038.9187717876</v>
      </c>
      <c r="AB172" s="108" t="n">
        <f aca="false">IFERROR(INDEX('Shortlisted Drugs X Company (7)'!$K$3:$K$698,MATCH($A172,'Shortlisted Drugs X Company (7)'!$C$3:$C$698,0)),"")</f>
        <v>1200</v>
      </c>
      <c r="AC172" s="108" t="n">
        <f aca="false">IF(AND(ISNUMBER(AB172),ISNUMBER(Z172)),ROUND(AB172*Z172,0),"")</f>
        <v>987</v>
      </c>
    </row>
    <row r="173" customFormat="false" ht="15" hidden="false" customHeight="false" outlineLevel="0" collapsed="false">
      <c r="A173" s="89" t="s">
        <v>594</v>
      </c>
      <c r="B173" s="90" t="s">
        <v>3791</v>
      </c>
      <c r="C173" s="103" t="n">
        <v>3923.58</v>
      </c>
      <c r="D173" s="104" t="n">
        <v>10</v>
      </c>
      <c r="E173" s="104" t="n">
        <v>10</v>
      </c>
      <c r="F173" s="105" t="n">
        <f aca="false">IF(D173&gt;=$C$3,E173/D173,"")</f>
        <v>1</v>
      </c>
      <c r="G173" s="104" t="n">
        <v>4</v>
      </c>
      <c r="H173" s="104" t="n">
        <v>4</v>
      </c>
      <c r="I173" s="105" t="n">
        <f aca="false">IF(G173&gt;=$C$3,H173/G173,"")</f>
        <v>1</v>
      </c>
      <c r="J173" s="104" t="n">
        <v>0</v>
      </c>
      <c r="K173" s="104" t="n">
        <v>0</v>
      </c>
      <c r="L173" s="105" t="str">
        <f aca="false">IF(J173&gt;=$C$3,K173/J173,"")</f>
        <v/>
      </c>
      <c r="M173" s="104" t="n">
        <v>2</v>
      </c>
      <c r="N173" s="104" t="n">
        <v>2</v>
      </c>
      <c r="O173" s="105" t="str">
        <f aca="false">IF(M173&gt;=$C$3,N173/M173,"")</f>
        <v/>
      </c>
      <c r="P173" s="104" t="n">
        <v>5</v>
      </c>
      <c r="Q173" s="104" t="n">
        <v>5</v>
      </c>
      <c r="R173" s="105" t="n">
        <f aca="false">IF(P173&gt;=$C$3,Q173/P173,"")</f>
        <v>1</v>
      </c>
      <c r="S173" s="104" t="n">
        <v>0</v>
      </c>
      <c r="T173" s="104" t="n">
        <v>0</v>
      </c>
      <c r="U173" s="105" t="str">
        <f aca="false">IF(S173&gt;=$C$3,T173/S173,"")</f>
        <v/>
      </c>
      <c r="V173" s="104" t="n">
        <v>11</v>
      </c>
      <c r="W173" s="104" t="n">
        <v>11</v>
      </c>
      <c r="X173" s="105" t="n">
        <f aca="false">IF(V173&gt;=$C$3,W173/V173,"")</f>
        <v>1</v>
      </c>
      <c r="Y173" s="106" t="n">
        <f aca="false">COUNT(F173,I173,L173,O173,R173,U173,X173)</f>
        <v>4</v>
      </c>
      <c r="Z173" s="107" t="n">
        <f aca="false">IF(Y173=0,"",AVERAGE(F173,I173,L173,O173,R173,U173,X173))</f>
        <v>1</v>
      </c>
      <c r="AA173" s="108" t="n">
        <f aca="false">IF(ISNUMBER(Z173),C173*Z173,"")</f>
        <v>3923.58</v>
      </c>
      <c r="AB173" s="108" t="n">
        <f aca="false">IFERROR(INDEX('Shortlisted Drugs X Company (7)'!$K$3:$K$698,MATCH($A173,'Shortlisted Drugs X Company (7)'!$C$3:$C$698,0)),"")</f>
        <v>208</v>
      </c>
      <c r="AC173" s="108" t="n">
        <f aca="false">IF(AND(ISNUMBER(AB173),ISNUMBER(Z173)),ROUND(AB173*Z173,0),"")</f>
        <v>208</v>
      </c>
    </row>
    <row r="174" customFormat="false" ht="15" hidden="false" customHeight="false" outlineLevel="0" collapsed="false">
      <c r="A174" s="89" t="s">
        <v>599</v>
      </c>
      <c r="B174" s="90" t="s">
        <v>3790</v>
      </c>
      <c r="C174" s="103" t="n">
        <v>13615.47</v>
      </c>
      <c r="D174" s="104" t="n">
        <v>141</v>
      </c>
      <c r="E174" s="104" t="n">
        <v>17</v>
      </c>
      <c r="F174" s="105" t="n">
        <f aca="false">IF(D174&gt;=$C$3,E174/D174,"")</f>
        <v>0.120567375886525</v>
      </c>
      <c r="G174" s="104" t="n">
        <v>26</v>
      </c>
      <c r="H174" s="104" t="n">
        <v>1</v>
      </c>
      <c r="I174" s="105" t="n">
        <f aca="false">IF(G174&gt;=$C$3,H174/G174,"")</f>
        <v>0.0384615384615385</v>
      </c>
      <c r="J174" s="104" t="n">
        <v>5</v>
      </c>
      <c r="K174" s="104" t="n">
        <v>1</v>
      </c>
      <c r="L174" s="105" t="n">
        <f aca="false">IF(J174&gt;=$C$3,K174/J174,"")</f>
        <v>0.2</v>
      </c>
      <c r="M174" s="104" t="n">
        <v>12</v>
      </c>
      <c r="N174" s="104" t="n">
        <v>3</v>
      </c>
      <c r="O174" s="105" t="n">
        <f aca="false">IF(M174&gt;=$C$3,N174/M174,"")</f>
        <v>0.25</v>
      </c>
      <c r="P174" s="104" t="n">
        <v>21</v>
      </c>
      <c r="Q174" s="104" t="n">
        <v>3</v>
      </c>
      <c r="R174" s="105" t="n">
        <f aca="false">IF(P174&gt;=$C$3,Q174/P174,"")</f>
        <v>0.142857142857143</v>
      </c>
      <c r="S174" s="104" t="n">
        <v>1</v>
      </c>
      <c r="T174" s="104" t="n">
        <v>0</v>
      </c>
      <c r="U174" s="105" t="str">
        <f aca="false">IF(S174&gt;=$C$3,T174/S174,"")</f>
        <v/>
      </c>
      <c r="V174" s="104" t="n">
        <v>53</v>
      </c>
      <c r="W174" s="104" t="n">
        <v>18</v>
      </c>
      <c r="X174" s="105" t="n">
        <f aca="false">IF(V174&gt;=$C$3,W174/V174,"")</f>
        <v>0.339622641509434</v>
      </c>
      <c r="Y174" s="106" t="n">
        <f aca="false">COUNT(F174,I174,L174,O174,R174,U174,X174)</f>
        <v>6</v>
      </c>
      <c r="Z174" s="107" t="n">
        <f aca="false">IF(Y174=0,"",AVERAGE(F174,I174,L174,O174,R174,U174,X174))</f>
        <v>0.18191811645244</v>
      </c>
      <c r="AA174" s="108" t="n">
        <f aca="false">IF(ISNUMBER(Z174),C174*Z174,"")</f>
        <v>2476.9006570147</v>
      </c>
      <c r="AB174" s="108" t="n">
        <f aca="false">IFERROR(INDEX('Shortlisted Drugs X Company (7)'!$K$3:$K$698,MATCH($A174,'Shortlisted Drugs X Company (7)'!$C$3:$C$698,0)),"")</f>
        <v>374</v>
      </c>
      <c r="AC174" s="108" t="n">
        <f aca="false">IF(AND(ISNUMBER(AB174),ISNUMBER(Z174)),ROUND(AB174*Z174,0),"")</f>
        <v>68</v>
      </c>
    </row>
    <row r="175" customFormat="false" ht="15" hidden="false" customHeight="false" outlineLevel="0" collapsed="false">
      <c r="A175" s="89" t="s">
        <v>686</v>
      </c>
      <c r="B175" s="90" t="s">
        <v>3796</v>
      </c>
      <c r="C175" s="103" t="n">
        <v>520.76</v>
      </c>
      <c r="D175" s="104" t="n">
        <v>23</v>
      </c>
      <c r="E175" s="104" t="n">
        <v>23</v>
      </c>
      <c r="F175" s="105" t="n">
        <f aca="false">IF(D175&gt;=$C$3,E175/D175,"")</f>
        <v>1</v>
      </c>
      <c r="G175" s="104" t="n">
        <v>1</v>
      </c>
      <c r="H175" s="104" t="n">
        <v>1</v>
      </c>
      <c r="I175" s="105" t="str">
        <f aca="false">IF(G175&gt;=$C$3,H175/G175,"")</f>
        <v/>
      </c>
      <c r="J175" s="104" t="n">
        <v>2</v>
      </c>
      <c r="K175" s="104" t="n">
        <v>2</v>
      </c>
      <c r="L175" s="105" t="str">
        <f aca="false">IF(J175&gt;=$C$3,K175/J175,"")</f>
        <v/>
      </c>
      <c r="M175" s="104" t="n">
        <v>2</v>
      </c>
      <c r="N175" s="104" t="n">
        <v>2</v>
      </c>
      <c r="O175" s="105" t="str">
        <f aca="false">IF(M175&gt;=$C$3,N175/M175,"")</f>
        <v/>
      </c>
      <c r="P175" s="104" t="n">
        <v>4</v>
      </c>
      <c r="Q175" s="104" t="n">
        <v>4</v>
      </c>
      <c r="R175" s="105" t="n">
        <f aca="false">IF(P175&gt;=$C$3,Q175/P175,"")</f>
        <v>1</v>
      </c>
      <c r="S175" s="104" t="n">
        <v>0</v>
      </c>
      <c r="T175" s="104" t="n">
        <v>0</v>
      </c>
      <c r="U175" s="105" t="str">
        <f aca="false">IF(S175&gt;=$C$3,T175/S175,"")</f>
        <v/>
      </c>
      <c r="V175" s="104" t="n">
        <v>1</v>
      </c>
      <c r="W175" s="104" t="n">
        <v>1</v>
      </c>
      <c r="X175" s="105" t="str">
        <f aca="false">IF(V175&gt;=$C$3,W175/V175,"")</f>
        <v/>
      </c>
      <c r="Y175" s="106" t="n">
        <f aca="false">COUNT(F175,I175,L175,O175,R175,U175,X175)</f>
        <v>2</v>
      </c>
      <c r="Z175" s="107" t="n">
        <f aca="false">IF(Y175=0,"",AVERAGE(F175,I175,L175,O175,R175,U175,X175))</f>
        <v>1</v>
      </c>
      <c r="AA175" s="108" t="n">
        <f aca="false">IF(ISNUMBER(Z175),C175*Z175,"")</f>
        <v>520.76</v>
      </c>
      <c r="AB175" s="108" t="n">
        <f aca="false">IFERROR(INDEX('Shortlisted Drugs X Company (7)'!$K$3:$K$698,MATCH($A175,'Shortlisted Drugs X Company (7)'!$C$3:$C$698,0)),"")</f>
        <v>342</v>
      </c>
      <c r="AC175" s="108" t="n">
        <f aca="false">IF(AND(ISNUMBER(AB175),ISNUMBER(Z175)),ROUND(AB175*Z175,0),"")</f>
        <v>342</v>
      </c>
    </row>
    <row r="176" customFormat="false" ht="15" hidden="false" customHeight="false" outlineLevel="0" collapsed="false">
      <c r="A176" s="89" t="s">
        <v>1172</v>
      </c>
      <c r="B176" s="90" t="s">
        <v>3796</v>
      </c>
      <c r="C176" s="103" t="n">
        <v>1326.8</v>
      </c>
      <c r="D176" s="104" t="n">
        <v>28</v>
      </c>
      <c r="E176" s="104" t="n">
        <v>28</v>
      </c>
      <c r="F176" s="105" t="n">
        <f aca="false">IF(D176&gt;=$C$3,E176/D176,"")</f>
        <v>1</v>
      </c>
      <c r="G176" s="104" t="n">
        <v>2</v>
      </c>
      <c r="H176" s="104" t="n">
        <v>2</v>
      </c>
      <c r="I176" s="105" t="str">
        <f aca="false">IF(G176&gt;=$C$3,H176/G176,"")</f>
        <v/>
      </c>
      <c r="J176" s="104" t="n">
        <v>2</v>
      </c>
      <c r="K176" s="104" t="n">
        <v>2</v>
      </c>
      <c r="L176" s="105" t="str">
        <f aca="false">IF(J176&gt;=$C$3,K176/J176,"")</f>
        <v/>
      </c>
      <c r="M176" s="104" t="n">
        <v>9</v>
      </c>
      <c r="N176" s="104" t="n">
        <v>7</v>
      </c>
      <c r="O176" s="105" t="n">
        <f aca="false">IF(M176&gt;=$C$3,N176/M176,"")</f>
        <v>0.777777777777778</v>
      </c>
      <c r="P176" s="104" t="n">
        <v>3</v>
      </c>
      <c r="Q176" s="104" t="n">
        <v>3</v>
      </c>
      <c r="R176" s="105" t="n">
        <f aca="false">IF(P176&gt;=$C$3,Q176/P176,"")</f>
        <v>1</v>
      </c>
      <c r="S176" s="104" t="n">
        <v>0</v>
      </c>
      <c r="T176" s="104" t="n">
        <v>0</v>
      </c>
      <c r="U176" s="105" t="str">
        <f aca="false">IF(S176&gt;=$C$3,T176/S176,"")</f>
        <v/>
      </c>
      <c r="V176" s="104" t="n">
        <v>1</v>
      </c>
      <c r="W176" s="104" t="n">
        <v>1</v>
      </c>
      <c r="X176" s="105" t="str">
        <f aca="false">IF(V176&gt;=$C$3,W176/V176,"")</f>
        <v/>
      </c>
      <c r="Y176" s="106" t="n">
        <f aca="false">COUNT(F176,I176,L176,O176,R176,U176,X176)</f>
        <v>3</v>
      </c>
      <c r="Z176" s="107" t="n">
        <f aca="false">IF(Y176=0,"",AVERAGE(F176,I176,L176,O176,R176,U176,X176))</f>
        <v>0.925925925925926</v>
      </c>
      <c r="AA176" s="108" t="n">
        <f aca="false">IF(ISNUMBER(Z176),C176*Z176,"")</f>
        <v>1228.51851851852</v>
      </c>
      <c r="AB176" s="108" t="n">
        <f aca="false">IFERROR(INDEX('Shortlisted Drugs X Company (7)'!$K$3:$K$698,MATCH($A176,'Shortlisted Drugs X Company (7)'!$C$3:$C$698,0)),"")</f>
        <v>484</v>
      </c>
      <c r="AC176" s="108" t="n">
        <f aca="false">IF(AND(ISNUMBER(AB176),ISNUMBER(Z176)),ROUND(AB176*Z176,0),"")</f>
        <v>448</v>
      </c>
    </row>
    <row r="177" customFormat="false" ht="15" hidden="false" customHeight="false" outlineLevel="0" collapsed="false">
      <c r="A177" s="89" t="s">
        <v>604</v>
      </c>
      <c r="B177" s="90" t="s">
        <v>3796</v>
      </c>
      <c r="C177" s="103" t="n">
        <v>528.18</v>
      </c>
      <c r="D177" s="104" t="n">
        <v>128</v>
      </c>
      <c r="E177" s="104" t="n">
        <v>69</v>
      </c>
      <c r="F177" s="105" t="n">
        <f aca="false">IF(D177&gt;=$C$3,E177/D177,"")</f>
        <v>0.5390625</v>
      </c>
      <c r="G177" s="104" t="n">
        <v>20</v>
      </c>
      <c r="H177" s="104" t="n">
        <v>5</v>
      </c>
      <c r="I177" s="105" t="n">
        <f aca="false">IF(G177&gt;=$C$3,H177/G177,"")</f>
        <v>0.25</v>
      </c>
      <c r="J177" s="104" t="n">
        <v>3</v>
      </c>
      <c r="K177" s="104" t="n">
        <v>3</v>
      </c>
      <c r="L177" s="105" t="n">
        <f aca="false">IF(J177&gt;=$C$3,K177/J177,"")</f>
        <v>1</v>
      </c>
      <c r="M177" s="104" t="n">
        <v>15</v>
      </c>
      <c r="N177" s="104" t="n">
        <v>6</v>
      </c>
      <c r="O177" s="105" t="n">
        <f aca="false">IF(M177&gt;=$C$3,N177/M177,"")</f>
        <v>0.4</v>
      </c>
      <c r="P177" s="104" t="n">
        <v>21</v>
      </c>
      <c r="Q177" s="104" t="n">
        <v>14</v>
      </c>
      <c r="R177" s="105" t="n">
        <f aca="false">IF(P177&gt;=$C$3,Q177/P177,"")</f>
        <v>0.666666666666667</v>
      </c>
      <c r="S177" s="104" t="n">
        <v>2</v>
      </c>
      <c r="T177" s="104" t="n">
        <v>0</v>
      </c>
      <c r="U177" s="105" t="str">
        <f aca="false">IF(S177&gt;=$C$3,T177/S177,"")</f>
        <v/>
      </c>
      <c r="V177" s="104" t="n">
        <v>2</v>
      </c>
      <c r="W177" s="104" t="n">
        <v>2</v>
      </c>
      <c r="X177" s="105" t="str">
        <f aca="false">IF(V177&gt;=$C$3,W177/V177,"")</f>
        <v/>
      </c>
      <c r="Y177" s="106" t="n">
        <f aca="false">COUNT(F177,I177,L177,O177,R177,U177,X177)</f>
        <v>5</v>
      </c>
      <c r="Z177" s="107" t="n">
        <f aca="false">IF(Y177=0,"",AVERAGE(F177,I177,L177,O177,R177,U177,X177))</f>
        <v>0.571145833333333</v>
      </c>
      <c r="AA177" s="108" t="n">
        <f aca="false">IF(ISNUMBER(Z177),C177*Z177,"")</f>
        <v>301.66780625</v>
      </c>
      <c r="AB177" s="108" t="n">
        <f aca="false">IFERROR(INDEX('Shortlisted Drugs X Company (7)'!$K$3:$K$698,MATCH($A177,'Shortlisted Drugs X Company (7)'!$C$3:$C$698,0)),"")</f>
        <v>93</v>
      </c>
      <c r="AC177" s="108" t="n">
        <f aca="false">IF(AND(ISNUMBER(AB177),ISNUMBER(Z177)),ROUND(AB177*Z177,0),"")</f>
        <v>53</v>
      </c>
    </row>
    <row r="178" customFormat="false" ht="15" hidden="false" customHeight="false" outlineLevel="0" collapsed="false">
      <c r="A178" s="89" t="s">
        <v>1406</v>
      </c>
      <c r="B178" s="90" t="s">
        <v>3792</v>
      </c>
      <c r="C178" s="103" t="n">
        <v>17324.19</v>
      </c>
      <c r="D178" s="104" t="n">
        <v>254</v>
      </c>
      <c r="E178" s="104" t="n">
        <v>194</v>
      </c>
      <c r="F178" s="105" t="n">
        <f aca="false">IF(D178&gt;=$C$3,E178/D178,"")</f>
        <v>0.763779527559055</v>
      </c>
      <c r="G178" s="104" t="n">
        <v>40</v>
      </c>
      <c r="H178" s="104" t="n">
        <v>13</v>
      </c>
      <c r="I178" s="105" t="n">
        <f aca="false">IF(G178&gt;=$C$3,H178/G178,"")</f>
        <v>0.325</v>
      </c>
      <c r="J178" s="104" t="n">
        <v>11</v>
      </c>
      <c r="K178" s="104" t="n">
        <v>4</v>
      </c>
      <c r="L178" s="105" t="n">
        <f aca="false">IF(J178&gt;=$C$3,K178/J178,"")</f>
        <v>0.363636363636364</v>
      </c>
      <c r="M178" s="104" t="n">
        <v>66</v>
      </c>
      <c r="N178" s="104" t="n">
        <v>17</v>
      </c>
      <c r="O178" s="105" t="n">
        <f aca="false">IF(M178&gt;=$C$3,N178/M178,"")</f>
        <v>0.257575757575758</v>
      </c>
      <c r="P178" s="104" t="n">
        <v>14</v>
      </c>
      <c r="Q178" s="104" t="n">
        <v>7</v>
      </c>
      <c r="R178" s="105" t="n">
        <f aca="false">IF(P178&gt;=$C$3,Q178/P178,"")</f>
        <v>0.5</v>
      </c>
      <c r="S178" s="104" t="n">
        <v>10</v>
      </c>
      <c r="T178" s="104" t="n">
        <v>4</v>
      </c>
      <c r="U178" s="105" t="n">
        <f aca="false">IF(S178&gt;=$C$3,T178/S178,"")</f>
        <v>0.4</v>
      </c>
      <c r="V178" s="104" t="n">
        <v>34</v>
      </c>
      <c r="W178" s="104" t="n">
        <v>11</v>
      </c>
      <c r="X178" s="105" t="n">
        <f aca="false">IF(V178&gt;=$C$3,W178/V178,"")</f>
        <v>0.323529411764706</v>
      </c>
      <c r="Y178" s="106" t="n">
        <f aca="false">COUNT(F178,I178,L178,O178,R178,U178,X178)</f>
        <v>7</v>
      </c>
      <c r="Z178" s="107" t="n">
        <f aca="false">IF(Y178=0,"",AVERAGE(F178,I178,L178,O178,R178,U178,X178))</f>
        <v>0.419074437219412</v>
      </c>
      <c r="AA178" s="108" t="n">
        <f aca="false">IF(ISNUMBER(Z178),C178*Z178,"")</f>
        <v>7260.12517453216</v>
      </c>
      <c r="AB178" s="108" t="n">
        <f aca="false">IFERROR(INDEX('Shortlisted Drugs X Company (7)'!$K$3:$K$698,MATCH($A178,'Shortlisted Drugs X Company (7)'!$C$3:$C$698,0)),"")</f>
        <v>565</v>
      </c>
      <c r="AC178" s="108" t="n">
        <f aca="false">IF(AND(ISNUMBER(AB178),ISNUMBER(Z178)),ROUND(AB178*Z178,0),"")</f>
        <v>237</v>
      </c>
    </row>
    <row r="180" customFormat="false" ht="15" hidden="false" customHeight="false" outlineLevel="0" collapsed="false">
      <c r="A180" s="63" t="s">
        <v>3824</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C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84" t="s">
        <v>3825</v>
      </c>
    </row>
    <row r="2" customFormat="false" ht="15" hidden="false" customHeight="false" outlineLevel="0" collapsed="false">
      <c r="A2" s="63" t="s">
        <v>3826</v>
      </c>
    </row>
    <row r="4" customFormat="false" ht="45.75" hidden="false" customHeight="true" outlineLevel="0" collapsed="false">
      <c r="A4" s="87" t="s">
        <v>4</v>
      </c>
      <c r="B4" s="87" t="s">
        <v>3827</v>
      </c>
      <c r="C4" s="87" t="s">
        <v>3828</v>
      </c>
      <c r="D4" s="87" t="s">
        <v>3829</v>
      </c>
      <c r="E4" s="87" t="s">
        <v>3830</v>
      </c>
      <c r="F4" s="87" t="s">
        <v>3831</v>
      </c>
      <c r="G4" s="87" t="s">
        <v>3832</v>
      </c>
      <c r="H4" s="87" t="s">
        <v>3833</v>
      </c>
      <c r="I4" s="87" t="s">
        <v>2750</v>
      </c>
      <c r="J4" s="87" t="s">
        <v>3834</v>
      </c>
    </row>
    <row r="5" customFormat="false" ht="28.35" hidden="false" customHeight="false" outlineLevel="0" collapsed="false">
      <c r="A5" s="89" t="s">
        <v>228</v>
      </c>
      <c r="B5" s="89" t="s">
        <v>278</v>
      </c>
      <c r="C5" s="90" t="s">
        <v>280</v>
      </c>
      <c r="D5" s="92" t="s">
        <v>288</v>
      </c>
      <c r="E5" s="90" t="s">
        <v>284</v>
      </c>
      <c r="F5" s="90" t="s">
        <v>3835</v>
      </c>
      <c r="G5" s="92" t="s">
        <v>3836</v>
      </c>
      <c r="H5" s="89" t="s">
        <v>3837</v>
      </c>
      <c r="I5" s="90" t="s">
        <v>3838</v>
      </c>
      <c r="J5" s="89"/>
    </row>
    <row r="6" customFormat="false" ht="41.75" hidden="false" customHeight="false" outlineLevel="0" collapsed="false">
      <c r="A6" s="89" t="s">
        <v>228</v>
      </c>
      <c r="B6" s="89" t="s">
        <v>278</v>
      </c>
      <c r="C6" s="90" t="s">
        <v>280</v>
      </c>
      <c r="D6" s="92" t="s">
        <v>288</v>
      </c>
      <c r="E6" s="90" t="s">
        <v>3839</v>
      </c>
      <c r="F6" s="90" t="s">
        <v>3840</v>
      </c>
      <c r="G6" s="92" t="s">
        <v>3751</v>
      </c>
      <c r="H6" s="89" t="s">
        <v>3841</v>
      </c>
      <c r="I6" s="90" t="s">
        <v>3842</v>
      </c>
      <c r="J6" s="89"/>
    </row>
    <row r="7" customFormat="false" ht="28.35" hidden="false" customHeight="false" outlineLevel="0" collapsed="false">
      <c r="A7" s="89" t="s">
        <v>228</v>
      </c>
      <c r="B7" s="89" t="s">
        <v>289</v>
      </c>
      <c r="C7" s="90" t="s">
        <v>290</v>
      </c>
      <c r="D7" s="92" t="s">
        <v>294</v>
      </c>
      <c r="E7" s="90" t="s">
        <v>284</v>
      </c>
      <c r="F7" s="90" t="s">
        <v>3843</v>
      </c>
      <c r="G7" s="92" t="s">
        <v>3844</v>
      </c>
      <c r="H7" s="89" t="s">
        <v>3837</v>
      </c>
      <c r="I7" s="90" t="s">
        <v>3838</v>
      </c>
      <c r="J7" s="89"/>
    </row>
    <row r="8" customFormat="false" ht="28.35" hidden="false" customHeight="false" outlineLevel="0" collapsed="false">
      <c r="A8" s="89" t="s">
        <v>228</v>
      </c>
      <c r="B8" s="89" t="s">
        <v>295</v>
      </c>
      <c r="C8" s="90" t="s">
        <v>296</v>
      </c>
      <c r="D8" s="92" t="s">
        <v>298</v>
      </c>
      <c r="E8" s="90" t="s">
        <v>284</v>
      </c>
      <c r="F8" s="90" t="s">
        <v>3845</v>
      </c>
      <c r="G8" s="92" t="s">
        <v>3846</v>
      </c>
      <c r="H8" s="89" t="s">
        <v>3837</v>
      </c>
      <c r="I8" s="90" t="s">
        <v>3838</v>
      </c>
      <c r="J8" s="89"/>
    </row>
    <row r="9" customFormat="false" ht="41.75" hidden="false" customHeight="false" outlineLevel="0" collapsed="false">
      <c r="A9" s="89" t="s">
        <v>228</v>
      </c>
      <c r="B9" s="89" t="s">
        <v>299</v>
      </c>
      <c r="C9" s="90" t="s">
        <v>301</v>
      </c>
      <c r="D9" s="92" t="s">
        <v>303</v>
      </c>
      <c r="E9" s="90" t="s">
        <v>284</v>
      </c>
      <c r="F9" s="90" t="s">
        <v>3847</v>
      </c>
      <c r="G9" s="92" t="s">
        <v>3394</v>
      </c>
      <c r="H9" s="89" t="s">
        <v>3837</v>
      </c>
      <c r="I9" s="90" t="s">
        <v>3838</v>
      </c>
      <c r="J9" s="89"/>
    </row>
    <row r="10" customFormat="false" ht="28.35" hidden="false" customHeight="false" outlineLevel="0" collapsed="false">
      <c r="A10" s="89" t="s">
        <v>228</v>
      </c>
      <c r="B10" s="89" t="s">
        <v>304</v>
      </c>
      <c r="C10" s="90" t="s">
        <v>305</v>
      </c>
      <c r="D10" s="92" t="s">
        <v>307</v>
      </c>
      <c r="E10" s="90" t="s">
        <v>284</v>
      </c>
      <c r="F10" s="90" t="s">
        <v>3848</v>
      </c>
      <c r="G10" s="92" t="s">
        <v>3849</v>
      </c>
      <c r="H10" s="89" t="s">
        <v>3837</v>
      </c>
      <c r="I10" s="90" t="s">
        <v>3838</v>
      </c>
      <c r="J10" s="89"/>
    </row>
    <row r="11" customFormat="false" ht="41.75" hidden="false" customHeight="false" outlineLevel="0" collapsed="false">
      <c r="A11" s="89" t="s">
        <v>228</v>
      </c>
      <c r="B11" s="89" t="s">
        <v>308</v>
      </c>
      <c r="C11" s="90" t="s">
        <v>309</v>
      </c>
      <c r="D11" s="92" t="s">
        <v>313</v>
      </c>
      <c r="E11" s="90" t="s">
        <v>284</v>
      </c>
      <c r="F11" s="90" t="s">
        <v>3850</v>
      </c>
      <c r="G11" s="92" t="s">
        <v>3851</v>
      </c>
      <c r="H11" s="89" t="s">
        <v>3837</v>
      </c>
      <c r="I11" s="90" t="s">
        <v>3838</v>
      </c>
      <c r="J11" s="89"/>
    </row>
    <row r="12" customFormat="false" ht="28.35" hidden="false" customHeight="false" outlineLevel="0" collapsed="false">
      <c r="A12" s="89" t="s">
        <v>229</v>
      </c>
      <c r="B12" s="89" t="s">
        <v>314</v>
      </c>
      <c r="C12" s="90" t="s">
        <v>316</v>
      </c>
      <c r="D12" s="92" t="s">
        <v>323</v>
      </c>
      <c r="E12" s="90" t="s">
        <v>464</v>
      </c>
      <c r="F12" s="90" t="s">
        <v>3852</v>
      </c>
      <c r="G12" s="92" t="s">
        <v>3853</v>
      </c>
      <c r="H12" s="89" t="s">
        <v>80</v>
      </c>
      <c r="I12" s="90" t="s">
        <v>3854</v>
      </c>
      <c r="J12" s="89"/>
    </row>
    <row r="13" customFormat="false" ht="41.75" hidden="false" customHeight="false" outlineLevel="0" collapsed="false">
      <c r="A13" s="89" t="s">
        <v>229</v>
      </c>
      <c r="B13" s="89" t="s">
        <v>314</v>
      </c>
      <c r="C13" s="90" t="s">
        <v>316</v>
      </c>
      <c r="D13" s="92" t="s">
        <v>323</v>
      </c>
      <c r="E13" s="90" t="s">
        <v>453</v>
      </c>
      <c r="F13" s="90" t="s">
        <v>3855</v>
      </c>
      <c r="G13" s="92" t="s">
        <v>3751</v>
      </c>
      <c r="H13" s="89" t="s">
        <v>3841</v>
      </c>
      <c r="I13" s="90" t="s">
        <v>3856</v>
      </c>
      <c r="J13" s="89"/>
    </row>
    <row r="14" customFormat="false" ht="28.35" hidden="false" customHeight="false" outlineLevel="0" collapsed="false">
      <c r="A14" s="89" t="s">
        <v>229</v>
      </c>
      <c r="B14" s="89" t="s">
        <v>324</v>
      </c>
      <c r="C14" s="90" t="s">
        <v>326</v>
      </c>
      <c r="D14" s="92" t="s">
        <v>328</v>
      </c>
      <c r="E14" s="90" t="s">
        <v>284</v>
      </c>
      <c r="F14" s="90" t="s">
        <v>3857</v>
      </c>
      <c r="G14" s="92" t="s">
        <v>3858</v>
      </c>
      <c r="H14" s="89" t="s">
        <v>3837</v>
      </c>
      <c r="I14" s="90" t="s">
        <v>3838</v>
      </c>
      <c r="J14" s="89"/>
    </row>
    <row r="15" customFormat="false" ht="28.35" hidden="false" customHeight="false" outlineLevel="0" collapsed="false">
      <c r="A15" s="89" t="s">
        <v>229</v>
      </c>
      <c r="B15" s="89" t="s">
        <v>329</v>
      </c>
      <c r="C15" s="90" t="s">
        <v>331</v>
      </c>
      <c r="D15" s="92" t="s">
        <v>337</v>
      </c>
      <c r="E15" s="90" t="s">
        <v>3859</v>
      </c>
      <c r="F15" s="90" t="s">
        <v>3860</v>
      </c>
      <c r="G15" s="92" t="s">
        <v>3861</v>
      </c>
      <c r="H15" s="89" t="s">
        <v>3862</v>
      </c>
      <c r="I15" s="90" t="s">
        <v>3863</v>
      </c>
      <c r="J15" s="89"/>
    </row>
    <row r="16" customFormat="false" ht="41.75" hidden="false" customHeight="false" outlineLevel="0" collapsed="false">
      <c r="A16" s="89" t="s">
        <v>229</v>
      </c>
      <c r="B16" s="89" t="s">
        <v>329</v>
      </c>
      <c r="C16" s="90" t="s">
        <v>331</v>
      </c>
      <c r="D16" s="92" t="s">
        <v>337</v>
      </c>
      <c r="E16" s="90" t="s">
        <v>912</v>
      </c>
      <c r="F16" s="90" t="s">
        <v>3864</v>
      </c>
      <c r="G16" s="92" t="s">
        <v>3751</v>
      </c>
      <c r="H16" s="89" t="s">
        <v>3841</v>
      </c>
      <c r="I16" s="90" t="s">
        <v>3865</v>
      </c>
      <c r="J16" s="89"/>
    </row>
    <row r="17" customFormat="false" ht="55.2" hidden="false" customHeight="false" outlineLevel="0" collapsed="false">
      <c r="A17" s="89" t="s">
        <v>229</v>
      </c>
      <c r="B17" s="89" t="s">
        <v>329</v>
      </c>
      <c r="C17" s="90" t="s">
        <v>331</v>
      </c>
      <c r="D17" s="92" t="s">
        <v>337</v>
      </c>
      <c r="E17" s="90" t="s">
        <v>3866</v>
      </c>
      <c r="F17" s="90" t="s">
        <v>3864</v>
      </c>
      <c r="G17" s="92" t="s">
        <v>3867</v>
      </c>
      <c r="H17" s="89" t="s">
        <v>3868</v>
      </c>
      <c r="I17" s="90" t="s">
        <v>3869</v>
      </c>
      <c r="J17" s="92" t="s">
        <v>3751</v>
      </c>
    </row>
    <row r="18" customFormat="false" ht="28.35" hidden="false" customHeight="false" outlineLevel="0" collapsed="false">
      <c r="A18" s="89" t="s">
        <v>229</v>
      </c>
      <c r="B18" s="89" t="s">
        <v>329</v>
      </c>
      <c r="C18" s="90" t="s">
        <v>331</v>
      </c>
      <c r="D18" s="92" t="s">
        <v>337</v>
      </c>
      <c r="E18" s="90" t="s">
        <v>614</v>
      </c>
      <c r="F18" s="90" t="s">
        <v>3870</v>
      </c>
      <c r="G18" s="92" t="s">
        <v>3871</v>
      </c>
      <c r="H18" s="89" t="s">
        <v>3872</v>
      </c>
      <c r="I18" s="90" t="s">
        <v>3873</v>
      </c>
      <c r="J18" s="89"/>
    </row>
    <row r="19" customFormat="false" ht="28.35" hidden="false" customHeight="false" outlineLevel="0" collapsed="false">
      <c r="A19" s="89" t="s">
        <v>229</v>
      </c>
      <c r="B19" s="89" t="s">
        <v>338</v>
      </c>
      <c r="C19" s="90" t="s">
        <v>340</v>
      </c>
      <c r="D19" s="92" t="s">
        <v>345</v>
      </c>
      <c r="E19" s="90" t="s">
        <v>284</v>
      </c>
      <c r="F19" s="90" t="s">
        <v>3874</v>
      </c>
      <c r="G19" s="92" t="s">
        <v>3875</v>
      </c>
      <c r="H19" s="89" t="s">
        <v>3876</v>
      </c>
      <c r="I19" s="90" t="s">
        <v>3877</v>
      </c>
      <c r="J19" s="89"/>
    </row>
    <row r="20" customFormat="false" ht="28.35" hidden="false" customHeight="false" outlineLevel="0" collapsed="false">
      <c r="A20" s="89" t="s">
        <v>229</v>
      </c>
      <c r="B20" s="89" t="s">
        <v>338</v>
      </c>
      <c r="C20" s="90" t="s">
        <v>340</v>
      </c>
      <c r="D20" s="92" t="s">
        <v>345</v>
      </c>
      <c r="E20" s="90" t="s">
        <v>3859</v>
      </c>
      <c r="F20" s="90" t="s">
        <v>3878</v>
      </c>
      <c r="G20" s="92" t="s">
        <v>3879</v>
      </c>
      <c r="H20" s="89" t="s">
        <v>3862</v>
      </c>
      <c r="I20" s="90" t="s">
        <v>3863</v>
      </c>
      <c r="J20" s="89"/>
    </row>
    <row r="21" customFormat="false" ht="41.75" hidden="false" customHeight="false" outlineLevel="0" collapsed="false">
      <c r="A21" s="89" t="s">
        <v>229</v>
      </c>
      <c r="B21" s="89" t="s">
        <v>338</v>
      </c>
      <c r="C21" s="90" t="s">
        <v>340</v>
      </c>
      <c r="D21" s="92" t="s">
        <v>345</v>
      </c>
      <c r="E21" s="90" t="s">
        <v>912</v>
      </c>
      <c r="F21" s="90" t="s">
        <v>3880</v>
      </c>
      <c r="G21" s="92" t="s">
        <v>3751</v>
      </c>
      <c r="H21" s="89" t="s">
        <v>3841</v>
      </c>
      <c r="I21" s="90" t="s">
        <v>3881</v>
      </c>
      <c r="J21" s="89"/>
    </row>
    <row r="22" customFormat="false" ht="55.2" hidden="false" customHeight="false" outlineLevel="0" collapsed="false">
      <c r="A22" s="89" t="s">
        <v>229</v>
      </c>
      <c r="B22" s="89" t="s">
        <v>338</v>
      </c>
      <c r="C22" s="90" t="s">
        <v>340</v>
      </c>
      <c r="D22" s="92" t="s">
        <v>345</v>
      </c>
      <c r="E22" s="90" t="s">
        <v>3866</v>
      </c>
      <c r="F22" s="90" t="s">
        <v>3880</v>
      </c>
      <c r="G22" s="92" t="s">
        <v>3882</v>
      </c>
      <c r="H22" s="89" t="s">
        <v>3868</v>
      </c>
      <c r="I22" s="90" t="s">
        <v>3883</v>
      </c>
      <c r="J22" s="92" t="s">
        <v>3751</v>
      </c>
    </row>
    <row r="23" customFormat="false" ht="28.35" hidden="false" customHeight="false" outlineLevel="0" collapsed="false">
      <c r="A23" s="89" t="s">
        <v>229</v>
      </c>
      <c r="B23" s="89" t="s">
        <v>338</v>
      </c>
      <c r="C23" s="90" t="s">
        <v>340</v>
      </c>
      <c r="D23" s="92" t="s">
        <v>345</v>
      </c>
      <c r="E23" s="90" t="s">
        <v>614</v>
      </c>
      <c r="F23" s="90" t="s">
        <v>3884</v>
      </c>
      <c r="G23" s="92" t="s">
        <v>3885</v>
      </c>
      <c r="H23" s="89" t="s">
        <v>3872</v>
      </c>
      <c r="I23" s="90" t="s">
        <v>3873</v>
      </c>
      <c r="J23" s="89"/>
    </row>
    <row r="24" customFormat="false" ht="41.75" hidden="false" customHeight="false" outlineLevel="0" collapsed="false">
      <c r="A24" s="89" t="s">
        <v>229</v>
      </c>
      <c r="B24" s="89" t="s">
        <v>346</v>
      </c>
      <c r="C24" s="90" t="s">
        <v>348</v>
      </c>
      <c r="D24" s="92" t="s">
        <v>353</v>
      </c>
      <c r="E24" s="90" t="s">
        <v>912</v>
      </c>
      <c r="F24" s="90" t="s">
        <v>3864</v>
      </c>
      <c r="G24" s="92" t="s">
        <v>3751</v>
      </c>
      <c r="H24" s="89" t="s">
        <v>3841</v>
      </c>
      <c r="I24" s="90" t="s">
        <v>3886</v>
      </c>
      <c r="J24" s="89"/>
    </row>
    <row r="25" customFormat="false" ht="41.75" hidden="false" customHeight="false" outlineLevel="0" collapsed="false">
      <c r="A25" s="89" t="s">
        <v>229</v>
      </c>
      <c r="B25" s="89" t="s">
        <v>346</v>
      </c>
      <c r="C25" s="90" t="s">
        <v>348</v>
      </c>
      <c r="D25" s="92" t="s">
        <v>353</v>
      </c>
      <c r="E25" s="90" t="s">
        <v>3887</v>
      </c>
      <c r="F25" s="90" t="s">
        <v>3864</v>
      </c>
      <c r="G25" s="92" t="s">
        <v>3751</v>
      </c>
      <c r="H25" s="89" t="s">
        <v>3841</v>
      </c>
      <c r="I25" s="90" t="s">
        <v>3888</v>
      </c>
      <c r="J25" s="89"/>
    </row>
    <row r="26" customFormat="false" ht="28.35" hidden="false" customHeight="false" outlineLevel="0" collapsed="false">
      <c r="A26" s="89" t="s">
        <v>229</v>
      </c>
      <c r="B26" s="89" t="s">
        <v>278</v>
      </c>
      <c r="C26" s="90" t="s">
        <v>280</v>
      </c>
      <c r="D26" s="92" t="s">
        <v>288</v>
      </c>
      <c r="E26" s="90" t="s">
        <v>284</v>
      </c>
      <c r="F26" s="90" t="s">
        <v>3889</v>
      </c>
      <c r="G26" s="92" t="s">
        <v>3836</v>
      </c>
      <c r="H26" s="89" t="s">
        <v>3837</v>
      </c>
      <c r="I26" s="90" t="s">
        <v>3838</v>
      </c>
      <c r="J26" s="89"/>
    </row>
    <row r="27" customFormat="false" ht="28.35" hidden="false" customHeight="false" outlineLevel="0" collapsed="false">
      <c r="A27" s="89" t="s">
        <v>229</v>
      </c>
      <c r="B27" s="89" t="s">
        <v>355</v>
      </c>
      <c r="C27" s="90" t="s">
        <v>357</v>
      </c>
      <c r="D27" s="92" t="s">
        <v>361</v>
      </c>
      <c r="E27" s="90" t="s">
        <v>360</v>
      </c>
      <c r="F27" s="90" t="s">
        <v>3890</v>
      </c>
      <c r="G27" s="92" t="s">
        <v>3891</v>
      </c>
      <c r="H27" s="89" t="s">
        <v>3892</v>
      </c>
      <c r="I27" s="90" t="s">
        <v>3893</v>
      </c>
      <c r="J27" s="89"/>
    </row>
    <row r="28" customFormat="false" ht="55.2" hidden="false" customHeight="false" outlineLevel="0" collapsed="false">
      <c r="A28" s="89" t="s">
        <v>229</v>
      </c>
      <c r="B28" s="89" t="s">
        <v>362</v>
      </c>
      <c r="C28" s="90" t="s">
        <v>364</v>
      </c>
      <c r="D28" s="92" t="s">
        <v>368</v>
      </c>
      <c r="E28" s="90" t="s">
        <v>367</v>
      </c>
      <c r="F28" s="90" t="s">
        <v>3855</v>
      </c>
      <c r="G28" s="92" t="s">
        <v>3894</v>
      </c>
      <c r="H28" s="89" t="s">
        <v>3868</v>
      </c>
      <c r="I28" s="90" t="s">
        <v>3895</v>
      </c>
      <c r="J28" s="92" t="s">
        <v>3751</v>
      </c>
    </row>
    <row r="29" customFormat="false" ht="55.2" hidden="false" customHeight="false" outlineLevel="0" collapsed="false">
      <c r="A29" s="89" t="s">
        <v>229</v>
      </c>
      <c r="B29" s="89" t="s">
        <v>76</v>
      </c>
      <c r="C29" s="90" t="s">
        <v>370</v>
      </c>
      <c r="D29" s="92" t="s">
        <v>374</v>
      </c>
      <c r="E29" s="90" t="s">
        <v>373</v>
      </c>
      <c r="F29" s="90" t="s">
        <v>3896</v>
      </c>
      <c r="G29" s="92" t="s">
        <v>3897</v>
      </c>
      <c r="H29" s="89" t="s">
        <v>3868</v>
      </c>
      <c r="I29" s="90" t="s">
        <v>3898</v>
      </c>
      <c r="J29" s="92" t="s">
        <v>3751</v>
      </c>
    </row>
    <row r="30" customFormat="false" ht="28.35" hidden="false" customHeight="false" outlineLevel="0" collapsed="false">
      <c r="A30" s="89" t="s">
        <v>229</v>
      </c>
      <c r="B30" s="89" t="s">
        <v>375</v>
      </c>
      <c r="C30" s="90" t="s">
        <v>377</v>
      </c>
      <c r="D30" s="92" t="s">
        <v>379</v>
      </c>
      <c r="E30" s="90" t="s">
        <v>284</v>
      </c>
      <c r="F30" s="90" t="s">
        <v>3899</v>
      </c>
      <c r="G30" s="92" t="s">
        <v>3900</v>
      </c>
      <c r="H30" s="89" t="s">
        <v>3837</v>
      </c>
      <c r="I30" s="90" t="s">
        <v>3838</v>
      </c>
      <c r="J30" s="89"/>
    </row>
    <row r="31" customFormat="false" ht="28.35" hidden="false" customHeight="false" outlineLevel="0" collapsed="false">
      <c r="A31" s="89" t="s">
        <v>229</v>
      </c>
      <c r="B31" s="89" t="s">
        <v>380</v>
      </c>
      <c r="C31" s="90" t="s">
        <v>381</v>
      </c>
      <c r="D31" s="92" t="s">
        <v>383</v>
      </c>
      <c r="E31" s="90" t="s">
        <v>284</v>
      </c>
      <c r="F31" s="90" t="s">
        <v>3901</v>
      </c>
      <c r="G31" s="92" t="s">
        <v>3902</v>
      </c>
      <c r="H31" s="89" t="s">
        <v>3837</v>
      </c>
      <c r="I31" s="90" t="s">
        <v>3838</v>
      </c>
      <c r="J31" s="89"/>
    </row>
    <row r="32" customFormat="false" ht="41.75" hidden="false" customHeight="false" outlineLevel="0" collapsed="false">
      <c r="A32" s="89" t="s">
        <v>229</v>
      </c>
      <c r="B32" s="89" t="s">
        <v>384</v>
      </c>
      <c r="C32" s="90" t="s">
        <v>385</v>
      </c>
      <c r="D32" s="92" t="s">
        <v>387</v>
      </c>
      <c r="E32" s="90" t="s">
        <v>284</v>
      </c>
      <c r="F32" s="90" t="s">
        <v>3903</v>
      </c>
      <c r="G32" s="92" t="s">
        <v>3904</v>
      </c>
      <c r="H32" s="89" t="s">
        <v>3837</v>
      </c>
      <c r="I32" s="90" t="s">
        <v>3838</v>
      </c>
      <c r="J32" s="89"/>
    </row>
    <row r="33" customFormat="false" ht="41.75" hidden="false" customHeight="false" outlineLevel="0" collapsed="false">
      <c r="A33" s="89" t="s">
        <v>229</v>
      </c>
      <c r="B33" s="89" t="s">
        <v>388</v>
      </c>
      <c r="C33" s="90" t="s">
        <v>390</v>
      </c>
      <c r="D33" s="92" t="s">
        <v>393</v>
      </c>
      <c r="E33" s="90" t="s">
        <v>392</v>
      </c>
      <c r="F33" s="90" t="s">
        <v>3855</v>
      </c>
      <c r="G33" s="92" t="s">
        <v>3751</v>
      </c>
      <c r="H33" s="89" t="s">
        <v>3841</v>
      </c>
      <c r="I33" s="90" t="s">
        <v>3905</v>
      </c>
      <c r="J33" s="89"/>
    </row>
    <row r="34" customFormat="false" ht="55.2" hidden="false" customHeight="false" outlineLevel="0" collapsed="false">
      <c r="A34" s="89" t="s">
        <v>229</v>
      </c>
      <c r="B34" s="89" t="s">
        <v>394</v>
      </c>
      <c r="C34" s="90" t="s">
        <v>396</v>
      </c>
      <c r="D34" s="92" t="s">
        <v>400</v>
      </c>
      <c r="E34" s="90" t="s">
        <v>399</v>
      </c>
      <c r="F34" s="90" t="s">
        <v>3855</v>
      </c>
      <c r="G34" s="92" t="s">
        <v>3906</v>
      </c>
      <c r="H34" s="89" t="s">
        <v>3868</v>
      </c>
      <c r="I34" s="90" t="s">
        <v>3907</v>
      </c>
      <c r="J34" s="92" t="s">
        <v>3751</v>
      </c>
    </row>
    <row r="35" customFormat="false" ht="28.35" hidden="false" customHeight="false" outlineLevel="0" collapsed="false">
      <c r="A35" s="89" t="s">
        <v>229</v>
      </c>
      <c r="B35" s="89" t="s">
        <v>401</v>
      </c>
      <c r="C35" s="90" t="s">
        <v>403</v>
      </c>
      <c r="D35" s="92" t="s">
        <v>407</v>
      </c>
      <c r="E35" s="90" t="s">
        <v>284</v>
      </c>
      <c r="F35" s="90" t="s">
        <v>3908</v>
      </c>
      <c r="G35" s="92" t="s">
        <v>3909</v>
      </c>
      <c r="H35" s="89" t="s">
        <v>3837</v>
      </c>
      <c r="I35" s="90" t="s">
        <v>3838</v>
      </c>
      <c r="J35" s="89"/>
    </row>
    <row r="36" customFormat="false" ht="55.2" hidden="false" customHeight="false" outlineLevel="0" collapsed="false">
      <c r="A36" s="89" t="s">
        <v>229</v>
      </c>
      <c r="B36" s="89" t="s">
        <v>401</v>
      </c>
      <c r="C36" s="90" t="s">
        <v>403</v>
      </c>
      <c r="D36" s="92" t="s">
        <v>407</v>
      </c>
      <c r="E36" s="90" t="s">
        <v>367</v>
      </c>
      <c r="F36" s="90" t="s">
        <v>3855</v>
      </c>
      <c r="G36" s="92" t="s">
        <v>3910</v>
      </c>
      <c r="H36" s="89" t="s">
        <v>3868</v>
      </c>
      <c r="I36" s="90" t="s">
        <v>3911</v>
      </c>
      <c r="J36" s="92" t="s">
        <v>3751</v>
      </c>
    </row>
    <row r="37" customFormat="false" ht="41.75" hidden="false" customHeight="false" outlineLevel="0" collapsed="false">
      <c r="A37" s="89" t="s">
        <v>229</v>
      </c>
      <c r="B37" s="89" t="s">
        <v>408</v>
      </c>
      <c r="C37" s="90" t="s">
        <v>410</v>
      </c>
      <c r="D37" s="92" t="s">
        <v>414</v>
      </c>
      <c r="E37" s="90" t="s">
        <v>413</v>
      </c>
      <c r="F37" s="90" t="s">
        <v>3912</v>
      </c>
      <c r="G37" s="92" t="s">
        <v>3751</v>
      </c>
      <c r="H37" s="89" t="s">
        <v>3841</v>
      </c>
      <c r="I37" s="90" t="s">
        <v>3913</v>
      </c>
      <c r="J37" s="89"/>
    </row>
    <row r="38" customFormat="false" ht="28.35" hidden="false" customHeight="false" outlineLevel="0" collapsed="false">
      <c r="A38" s="89" t="s">
        <v>229</v>
      </c>
      <c r="B38" s="89" t="s">
        <v>415</v>
      </c>
      <c r="C38" s="90" t="s">
        <v>416</v>
      </c>
      <c r="D38" s="92" t="s">
        <v>418</v>
      </c>
      <c r="E38" s="90" t="s">
        <v>284</v>
      </c>
      <c r="F38" s="90" t="s">
        <v>3914</v>
      </c>
      <c r="G38" s="92" t="s">
        <v>3022</v>
      </c>
      <c r="H38" s="89" t="s">
        <v>3837</v>
      </c>
      <c r="I38" s="90" t="s">
        <v>3838</v>
      </c>
      <c r="J38" s="89"/>
    </row>
    <row r="39" customFormat="false" ht="28.35" hidden="false" customHeight="false" outlineLevel="0" collapsed="false">
      <c r="A39" s="89" t="s">
        <v>229</v>
      </c>
      <c r="B39" s="89" t="s">
        <v>419</v>
      </c>
      <c r="C39" s="90" t="s">
        <v>421</v>
      </c>
      <c r="D39" s="92" t="s">
        <v>425</v>
      </c>
      <c r="E39" s="90" t="s">
        <v>284</v>
      </c>
      <c r="F39" s="90" t="s">
        <v>3915</v>
      </c>
      <c r="G39" s="92" t="s">
        <v>3916</v>
      </c>
      <c r="H39" s="89" t="s">
        <v>3837</v>
      </c>
      <c r="I39" s="90" t="s">
        <v>3838</v>
      </c>
      <c r="J39" s="89"/>
    </row>
    <row r="40" customFormat="false" ht="41.75" hidden="false" customHeight="false" outlineLevel="0" collapsed="false">
      <c r="A40" s="89" t="s">
        <v>229</v>
      </c>
      <c r="B40" s="89" t="s">
        <v>419</v>
      </c>
      <c r="C40" s="90" t="s">
        <v>421</v>
      </c>
      <c r="D40" s="92" t="s">
        <v>425</v>
      </c>
      <c r="E40" s="90" t="s">
        <v>912</v>
      </c>
      <c r="F40" s="90" t="s">
        <v>3917</v>
      </c>
      <c r="G40" s="92" t="s">
        <v>3751</v>
      </c>
      <c r="H40" s="89" t="s">
        <v>3841</v>
      </c>
      <c r="I40" s="90" t="s">
        <v>3918</v>
      </c>
      <c r="J40" s="89"/>
    </row>
    <row r="41" customFormat="false" ht="28.35" hidden="false" customHeight="false" outlineLevel="0" collapsed="false">
      <c r="A41" s="89" t="s">
        <v>229</v>
      </c>
      <c r="B41" s="89" t="s">
        <v>419</v>
      </c>
      <c r="C41" s="90" t="s">
        <v>421</v>
      </c>
      <c r="D41" s="92" t="s">
        <v>425</v>
      </c>
      <c r="E41" s="90" t="s">
        <v>464</v>
      </c>
      <c r="F41" s="90" t="s">
        <v>3919</v>
      </c>
      <c r="G41" s="92" t="s">
        <v>3920</v>
      </c>
      <c r="H41" s="89" t="s">
        <v>80</v>
      </c>
      <c r="I41" s="90" t="s">
        <v>3854</v>
      </c>
      <c r="J41" s="89"/>
    </row>
    <row r="42" customFormat="false" ht="55.2" hidden="false" customHeight="false" outlineLevel="0" collapsed="false">
      <c r="A42" s="89" t="s">
        <v>229</v>
      </c>
      <c r="B42" s="89" t="s">
        <v>419</v>
      </c>
      <c r="C42" s="90" t="s">
        <v>421</v>
      </c>
      <c r="D42" s="92" t="s">
        <v>425</v>
      </c>
      <c r="E42" s="90" t="s">
        <v>3921</v>
      </c>
      <c r="F42" s="90" t="s">
        <v>3917</v>
      </c>
      <c r="G42" s="92" t="s">
        <v>3922</v>
      </c>
      <c r="H42" s="89" t="s">
        <v>3868</v>
      </c>
      <c r="I42" s="90" t="s">
        <v>3923</v>
      </c>
      <c r="J42" s="92" t="s">
        <v>3751</v>
      </c>
    </row>
    <row r="43" customFormat="false" ht="28.35" hidden="false" customHeight="false" outlineLevel="0" collapsed="false">
      <c r="A43" s="89" t="s">
        <v>229</v>
      </c>
      <c r="B43" s="89" t="s">
        <v>419</v>
      </c>
      <c r="C43" s="90" t="s">
        <v>421</v>
      </c>
      <c r="D43" s="92" t="s">
        <v>425</v>
      </c>
      <c r="E43" s="90" t="s">
        <v>360</v>
      </c>
      <c r="F43" s="90" t="s">
        <v>3924</v>
      </c>
      <c r="G43" s="92" t="s">
        <v>3925</v>
      </c>
      <c r="H43" s="89" t="s">
        <v>3892</v>
      </c>
      <c r="I43" s="90" t="s">
        <v>3893</v>
      </c>
      <c r="J43" s="89"/>
    </row>
    <row r="44" customFormat="false" ht="28.35" hidden="false" customHeight="false" outlineLevel="0" collapsed="false">
      <c r="A44" s="89" t="s">
        <v>229</v>
      </c>
      <c r="B44" s="89" t="s">
        <v>426</v>
      </c>
      <c r="C44" s="90" t="s">
        <v>428</v>
      </c>
      <c r="D44" s="92" t="s">
        <v>432</v>
      </c>
      <c r="E44" s="90" t="s">
        <v>284</v>
      </c>
      <c r="F44" s="90" t="s">
        <v>3926</v>
      </c>
      <c r="G44" s="92" t="s">
        <v>3927</v>
      </c>
      <c r="H44" s="89" t="s">
        <v>3837</v>
      </c>
      <c r="I44" s="90" t="s">
        <v>3838</v>
      </c>
      <c r="J44" s="89"/>
    </row>
    <row r="45" customFormat="false" ht="41.75" hidden="false" customHeight="false" outlineLevel="0" collapsed="false">
      <c r="A45" s="89" t="s">
        <v>229</v>
      </c>
      <c r="B45" s="89" t="s">
        <v>426</v>
      </c>
      <c r="C45" s="90" t="s">
        <v>428</v>
      </c>
      <c r="D45" s="92" t="s">
        <v>432</v>
      </c>
      <c r="E45" s="90" t="s">
        <v>862</v>
      </c>
      <c r="F45" s="90" t="s">
        <v>3855</v>
      </c>
      <c r="G45" s="92" t="s">
        <v>3751</v>
      </c>
      <c r="H45" s="89" t="s">
        <v>3841</v>
      </c>
      <c r="I45" s="90" t="s">
        <v>3928</v>
      </c>
      <c r="J45" s="89"/>
    </row>
    <row r="46" customFormat="false" ht="41.75" hidden="false" customHeight="false" outlineLevel="0" collapsed="false">
      <c r="A46" s="89" t="s">
        <v>229</v>
      </c>
      <c r="B46" s="89" t="s">
        <v>433</v>
      </c>
      <c r="C46" s="90" t="s">
        <v>435</v>
      </c>
      <c r="D46" s="92" t="s">
        <v>439</v>
      </c>
      <c r="E46" s="90" t="s">
        <v>912</v>
      </c>
      <c r="F46" s="90" t="s">
        <v>3864</v>
      </c>
      <c r="G46" s="92" t="s">
        <v>3751</v>
      </c>
      <c r="H46" s="89" t="s">
        <v>3841</v>
      </c>
      <c r="I46" s="90" t="s">
        <v>3929</v>
      </c>
      <c r="J46" s="89"/>
    </row>
    <row r="47" customFormat="false" ht="55.2" hidden="false" customHeight="false" outlineLevel="0" collapsed="false">
      <c r="A47" s="89" t="s">
        <v>229</v>
      </c>
      <c r="B47" s="89" t="s">
        <v>433</v>
      </c>
      <c r="C47" s="90" t="s">
        <v>435</v>
      </c>
      <c r="D47" s="92" t="s">
        <v>439</v>
      </c>
      <c r="E47" s="90" t="s">
        <v>3930</v>
      </c>
      <c r="F47" s="90" t="s">
        <v>3864</v>
      </c>
      <c r="G47" s="92" t="s">
        <v>3931</v>
      </c>
      <c r="H47" s="89" t="s">
        <v>3868</v>
      </c>
      <c r="I47" s="90" t="s">
        <v>3932</v>
      </c>
      <c r="J47" s="92" t="s">
        <v>3751</v>
      </c>
    </row>
    <row r="48" customFormat="false" ht="41.75" hidden="false" customHeight="false" outlineLevel="0" collapsed="false">
      <c r="A48" s="89" t="s">
        <v>229</v>
      </c>
      <c r="B48" s="89" t="s">
        <v>433</v>
      </c>
      <c r="C48" s="90" t="s">
        <v>435</v>
      </c>
      <c r="D48" s="92" t="s">
        <v>439</v>
      </c>
      <c r="E48" s="90" t="s">
        <v>614</v>
      </c>
      <c r="F48" s="90" t="s">
        <v>3933</v>
      </c>
      <c r="G48" s="92" t="s">
        <v>3934</v>
      </c>
      <c r="H48" s="89" t="s">
        <v>3872</v>
      </c>
      <c r="I48" s="90" t="s">
        <v>3873</v>
      </c>
      <c r="J48" s="89"/>
    </row>
    <row r="49" customFormat="false" ht="28.35" hidden="false" customHeight="false" outlineLevel="0" collapsed="false">
      <c r="A49" s="89" t="s">
        <v>229</v>
      </c>
      <c r="B49" s="89" t="s">
        <v>440</v>
      </c>
      <c r="C49" s="90" t="s">
        <v>441</v>
      </c>
      <c r="D49" s="92" t="s">
        <v>443</v>
      </c>
      <c r="E49" s="90" t="s">
        <v>284</v>
      </c>
      <c r="F49" s="90" t="s">
        <v>3935</v>
      </c>
      <c r="G49" s="92" t="s">
        <v>3936</v>
      </c>
      <c r="H49" s="89" t="s">
        <v>3837</v>
      </c>
      <c r="I49" s="90" t="s">
        <v>3838</v>
      </c>
      <c r="J49" s="89"/>
    </row>
    <row r="50" customFormat="false" ht="28.35" hidden="false" customHeight="false" outlineLevel="0" collapsed="false">
      <c r="A50" s="89" t="s">
        <v>229</v>
      </c>
      <c r="B50" s="89" t="s">
        <v>444</v>
      </c>
      <c r="C50" s="90" t="s">
        <v>445</v>
      </c>
      <c r="D50" s="92" t="s">
        <v>447</v>
      </c>
      <c r="E50" s="90" t="s">
        <v>284</v>
      </c>
      <c r="F50" s="90" t="s">
        <v>3937</v>
      </c>
      <c r="G50" s="92" t="s">
        <v>3108</v>
      </c>
      <c r="H50" s="89" t="s">
        <v>3837</v>
      </c>
      <c r="I50" s="90" t="s">
        <v>3838</v>
      </c>
      <c r="J50" s="89"/>
    </row>
    <row r="51" customFormat="false" ht="41.75" hidden="false" customHeight="false" outlineLevel="0" collapsed="false">
      <c r="A51" s="89" t="s">
        <v>229</v>
      </c>
      <c r="B51" s="89" t="s">
        <v>448</v>
      </c>
      <c r="C51" s="90" t="s">
        <v>450</v>
      </c>
      <c r="D51" s="92" t="s">
        <v>454</v>
      </c>
      <c r="E51" s="90" t="s">
        <v>453</v>
      </c>
      <c r="F51" s="90" t="s">
        <v>3855</v>
      </c>
      <c r="G51" s="92" t="s">
        <v>3751</v>
      </c>
      <c r="H51" s="89" t="s">
        <v>3841</v>
      </c>
      <c r="I51" s="90" t="s">
        <v>3938</v>
      </c>
      <c r="J51" s="89"/>
    </row>
    <row r="52" customFormat="false" ht="28.35" hidden="false" customHeight="false" outlineLevel="0" collapsed="false">
      <c r="A52" s="89" t="s">
        <v>229</v>
      </c>
      <c r="B52" s="89" t="s">
        <v>295</v>
      </c>
      <c r="C52" s="90" t="s">
        <v>296</v>
      </c>
      <c r="D52" s="92" t="s">
        <v>298</v>
      </c>
      <c r="E52" s="90" t="s">
        <v>3859</v>
      </c>
      <c r="F52" s="90" t="s">
        <v>3939</v>
      </c>
      <c r="G52" s="92" t="s">
        <v>3940</v>
      </c>
      <c r="H52" s="89" t="s">
        <v>3862</v>
      </c>
      <c r="I52" s="90" t="s">
        <v>3863</v>
      </c>
      <c r="J52" s="89"/>
    </row>
    <row r="53" customFormat="false" ht="55.2" hidden="false" customHeight="false" outlineLevel="0" collapsed="false">
      <c r="A53" s="89" t="s">
        <v>229</v>
      </c>
      <c r="B53" s="89" t="s">
        <v>295</v>
      </c>
      <c r="C53" s="90" t="s">
        <v>296</v>
      </c>
      <c r="D53" s="92" t="s">
        <v>298</v>
      </c>
      <c r="E53" s="90" t="s">
        <v>3866</v>
      </c>
      <c r="F53" s="90" t="s">
        <v>3855</v>
      </c>
      <c r="G53" s="92" t="s">
        <v>3941</v>
      </c>
      <c r="H53" s="89" t="s">
        <v>3868</v>
      </c>
      <c r="I53" s="90" t="s">
        <v>3942</v>
      </c>
      <c r="J53" s="92" t="s">
        <v>3751</v>
      </c>
    </row>
    <row r="54" customFormat="false" ht="41.75" hidden="false" customHeight="false" outlineLevel="0" collapsed="false">
      <c r="A54" s="89" t="s">
        <v>229</v>
      </c>
      <c r="B54" s="89" t="s">
        <v>295</v>
      </c>
      <c r="C54" s="90" t="s">
        <v>296</v>
      </c>
      <c r="D54" s="92" t="s">
        <v>298</v>
      </c>
      <c r="E54" s="90" t="s">
        <v>614</v>
      </c>
      <c r="F54" s="90" t="s">
        <v>3943</v>
      </c>
      <c r="G54" s="92" t="s">
        <v>3944</v>
      </c>
      <c r="H54" s="89" t="s">
        <v>3872</v>
      </c>
      <c r="I54" s="90" t="s">
        <v>3873</v>
      </c>
      <c r="J54" s="89"/>
    </row>
    <row r="55" customFormat="false" ht="41.75" hidden="false" customHeight="false" outlineLevel="0" collapsed="false">
      <c r="A55" s="89" t="s">
        <v>229</v>
      </c>
      <c r="B55" s="89" t="s">
        <v>459</v>
      </c>
      <c r="C55" s="90" t="s">
        <v>461</v>
      </c>
      <c r="D55" s="92" t="s">
        <v>465</v>
      </c>
      <c r="E55" s="90" t="s">
        <v>464</v>
      </c>
      <c r="F55" s="90" t="s">
        <v>3945</v>
      </c>
      <c r="G55" s="92" t="s">
        <v>3946</v>
      </c>
      <c r="H55" s="89" t="s">
        <v>80</v>
      </c>
      <c r="I55" s="90" t="s">
        <v>3854</v>
      </c>
      <c r="J55" s="89"/>
    </row>
    <row r="56" customFormat="false" ht="28.35" hidden="false" customHeight="false" outlineLevel="0" collapsed="false">
      <c r="A56" s="89" t="s">
        <v>229</v>
      </c>
      <c r="B56" s="89" t="s">
        <v>466</v>
      </c>
      <c r="C56" s="90" t="s">
        <v>468</v>
      </c>
      <c r="D56" s="92" t="s">
        <v>470</v>
      </c>
      <c r="E56" s="90" t="s">
        <v>284</v>
      </c>
      <c r="F56" s="90" t="s">
        <v>3947</v>
      </c>
      <c r="G56" s="92" t="s">
        <v>3948</v>
      </c>
      <c r="H56" s="89" t="s">
        <v>3837</v>
      </c>
      <c r="I56" s="90" t="s">
        <v>3838</v>
      </c>
      <c r="J56" s="89"/>
    </row>
    <row r="57" customFormat="false" ht="28.35" hidden="false" customHeight="false" outlineLevel="0" collapsed="false">
      <c r="A57" s="89" t="s">
        <v>229</v>
      </c>
      <c r="B57" s="89" t="s">
        <v>471</v>
      </c>
      <c r="C57" s="90" t="s">
        <v>472</v>
      </c>
      <c r="D57" s="92" t="s">
        <v>475</v>
      </c>
      <c r="E57" s="90" t="s">
        <v>284</v>
      </c>
      <c r="F57" s="90" t="s">
        <v>3949</v>
      </c>
      <c r="G57" s="92" t="s">
        <v>3950</v>
      </c>
      <c r="H57" s="89" t="s">
        <v>3837</v>
      </c>
      <c r="I57" s="90" t="s">
        <v>3838</v>
      </c>
      <c r="J57" s="89"/>
    </row>
    <row r="58" customFormat="false" ht="41.75" hidden="false" customHeight="false" outlineLevel="0" collapsed="false">
      <c r="A58" s="89" t="s">
        <v>229</v>
      </c>
      <c r="B58" s="89" t="s">
        <v>476</v>
      </c>
      <c r="C58" s="90" t="s">
        <v>478</v>
      </c>
      <c r="D58" s="92" t="s">
        <v>482</v>
      </c>
      <c r="E58" s="90" t="s">
        <v>481</v>
      </c>
      <c r="F58" s="90" t="s">
        <v>3855</v>
      </c>
      <c r="G58" s="92" t="s">
        <v>3751</v>
      </c>
      <c r="H58" s="89" t="s">
        <v>3841</v>
      </c>
      <c r="I58" s="90" t="s">
        <v>3951</v>
      </c>
      <c r="J58" s="89"/>
    </row>
    <row r="59" customFormat="false" ht="41.75" hidden="false" customHeight="false" outlineLevel="0" collapsed="false">
      <c r="A59" s="89" t="s">
        <v>229</v>
      </c>
      <c r="B59" s="89" t="s">
        <v>483</v>
      </c>
      <c r="C59" s="90" t="s">
        <v>485</v>
      </c>
      <c r="D59" s="92" t="s">
        <v>490</v>
      </c>
      <c r="E59" s="90" t="s">
        <v>912</v>
      </c>
      <c r="F59" s="90" t="s">
        <v>3917</v>
      </c>
      <c r="G59" s="92" t="s">
        <v>3751</v>
      </c>
      <c r="H59" s="89" t="s">
        <v>3841</v>
      </c>
      <c r="I59" s="90" t="s">
        <v>3952</v>
      </c>
      <c r="J59" s="89"/>
    </row>
    <row r="60" customFormat="false" ht="28.35" hidden="false" customHeight="false" outlineLevel="0" collapsed="false">
      <c r="A60" s="89" t="s">
        <v>229</v>
      </c>
      <c r="B60" s="89" t="s">
        <v>483</v>
      </c>
      <c r="C60" s="90" t="s">
        <v>485</v>
      </c>
      <c r="D60" s="92" t="s">
        <v>490</v>
      </c>
      <c r="E60" s="90" t="s">
        <v>464</v>
      </c>
      <c r="F60" s="90" t="s">
        <v>3953</v>
      </c>
      <c r="G60" s="92" t="s">
        <v>3954</v>
      </c>
      <c r="H60" s="89" t="s">
        <v>80</v>
      </c>
      <c r="I60" s="90" t="s">
        <v>3854</v>
      </c>
      <c r="J60" s="89"/>
    </row>
    <row r="61" customFormat="false" ht="55.2" hidden="false" customHeight="false" outlineLevel="0" collapsed="false">
      <c r="A61" s="89" t="s">
        <v>229</v>
      </c>
      <c r="B61" s="89" t="s">
        <v>483</v>
      </c>
      <c r="C61" s="90" t="s">
        <v>485</v>
      </c>
      <c r="D61" s="92" t="s">
        <v>490</v>
      </c>
      <c r="E61" s="90" t="s">
        <v>3955</v>
      </c>
      <c r="F61" s="90" t="s">
        <v>3917</v>
      </c>
      <c r="G61" s="92" t="s">
        <v>3956</v>
      </c>
      <c r="H61" s="89" t="s">
        <v>3868</v>
      </c>
      <c r="I61" s="90" t="s">
        <v>3957</v>
      </c>
      <c r="J61" s="92" t="s">
        <v>3751</v>
      </c>
    </row>
    <row r="62" customFormat="false" ht="41.75" hidden="false" customHeight="false" outlineLevel="0" collapsed="false">
      <c r="A62" s="89" t="s">
        <v>229</v>
      </c>
      <c r="B62" s="89" t="s">
        <v>491</v>
      </c>
      <c r="C62" s="90" t="s">
        <v>492</v>
      </c>
      <c r="D62" s="92" t="s">
        <v>494</v>
      </c>
      <c r="E62" s="90" t="s">
        <v>284</v>
      </c>
      <c r="F62" s="90" t="s">
        <v>3958</v>
      </c>
      <c r="G62" s="92" t="s">
        <v>3265</v>
      </c>
      <c r="H62" s="89" t="s">
        <v>3837</v>
      </c>
      <c r="I62" s="90" t="s">
        <v>3838</v>
      </c>
      <c r="J62" s="89"/>
    </row>
    <row r="63" customFormat="false" ht="41.75" hidden="false" customHeight="false" outlineLevel="0" collapsed="false">
      <c r="A63" s="89" t="s">
        <v>229</v>
      </c>
      <c r="B63" s="89" t="s">
        <v>299</v>
      </c>
      <c r="C63" s="90" t="s">
        <v>301</v>
      </c>
      <c r="D63" s="92" t="s">
        <v>303</v>
      </c>
      <c r="E63" s="90" t="s">
        <v>284</v>
      </c>
      <c r="F63" s="90" t="s">
        <v>3959</v>
      </c>
      <c r="G63" s="92" t="s">
        <v>3960</v>
      </c>
      <c r="H63" s="89" t="s">
        <v>3837</v>
      </c>
      <c r="I63" s="90" t="s">
        <v>3838</v>
      </c>
      <c r="J63" s="89"/>
    </row>
    <row r="64" customFormat="false" ht="41.75" hidden="false" customHeight="false" outlineLevel="0" collapsed="false">
      <c r="A64" s="89" t="s">
        <v>229</v>
      </c>
      <c r="B64" s="89" t="s">
        <v>497</v>
      </c>
      <c r="C64" s="90" t="s">
        <v>498</v>
      </c>
      <c r="D64" s="92" t="s">
        <v>500</v>
      </c>
      <c r="E64" s="90" t="s">
        <v>284</v>
      </c>
      <c r="F64" s="90" t="s">
        <v>3961</v>
      </c>
      <c r="G64" s="92" t="s">
        <v>3962</v>
      </c>
      <c r="H64" s="89" t="s">
        <v>3837</v>
      </c>
      <c r="I64" s="90" t="s">
        <v>3838</v>
      </c>
      <c r="J64" s="89"/>
    </row>
    <row r="65" customFormat="false" ht="41.75" hidden="false" customHeight="false" outlineLevel="0" collapsed="false">
      <c r="A65" s="89" t="s">
        <v>229</v>
      </c>
      <c r="B65" s="89" t="s">
        <v>501</v>
      </c>
      <c r="C65" s="90" t="s">
        <v>503</v>
      </c>
      <c r="D65" s="92" t="s">
        <v>506</v>
      </c>
      <c r="E65" s="90" t="s">
        <v>505</v>
      </c>
      <c r="F65" s="90" t="s">
        <v>3855</v>
      </c>
      <c r="G65" s="92" t="s">
        <v>3751</v>
      </c>
      <c r="H65" s="89" t="s">
        <v>3841</v>
      </c>
      <c r="I65" s="90" t="s">
        <v>3963</v>
      </c>
      <c r="J65" s="89"/>
    </row>
    <row r="66" customFormat="false" ht="28.35" hidden="false" customHeight="false" outlineLevel="0" collapsed="false">
      <c r="A66" s="89" t="s">
        <v>229</v>
      </c>
      <c r="B66" s="89" t="s">
        <v>507</v>
      </c>
      <c r="C66" s="90" t="s">
        <v>509</v>
      </c>
      <c r="D66" s="92" t="s">
        <v>511</v>
      </c>
      <c r="E66" s="90" t="s">
        <v>284</v>
      </c>
      <c r="F66" s="90" t="s">
        <v>3964</v>
      </c>
      <c r="G66" s="92" t="s">
        <v>3965</v>
      </c>
      <c r="H66" s="89" t="s">
        <v>3837</v>
      </c>
      <c r="I66" s="90" t="s">
        <v>3838</v>
      </c>
      <c r="J66" s="89"/>
    </row>
    <row r="67" customFormat="false" ht="28.35" hidden="false" customHeight="false" outlineLevel="0" collapsed="false">
      <c r="A67" s="89" t="s">
        <v>229</v>
      </c>
      <c r="B67" s="89" t="s">
        <v>75</v>
      </c>
      <c r="C67" s="90" t="s">
        <v>513</v>
      </c>
      <c r="D67" s="92" t="s">
        <v>517</v>
      </c>
      <c r="E67" s="90" t="s">
        <v>284</v>
      </c>
      <c r="F67" s="90" t="s">
        <v>3966</v>
      </c>
      <c r="G67" s="92" t="s">
        <v>3967</v>
      </c>
      <c r="H67" s="89" t="s">
        <v>3837</v>
      </c>
      <c r="I67" s="90" t="s">
        <v>3838</v>
      </c>
      <c r="J67" s="89"/>
    </row>
    <row r="68" customFormat="false" ht="28.35" hidden="false" customHeight="false" outlineLevel="0" collapsed="false">
      <c r="A68" s="89" t="s">
        <v>229</v>
      </c>
      <c r="B68" s="89" t="s">
        <v>75</v>
      </c>
      <c r="C68" s="90" t="s">
        <v>513</v>
      </c>
      <c r="D68" s="92" t="s">
        <v>517</v>
      </c>
      <c r="E68" s="90" t="s">
        <v>464</v>
      </c>
      <c r="F68" s="90" t="s">
        <v>3968</v>
      </c>
      <c r="G68" s="92" t="s">
        <v>3969</v>
      </c>
      <c r="H68" s="89" t="s">
        <v>80</v>
      </c>
      <c r="I68" s="90" t="s">
        <v>3854</v>
      </c>
      <c r="J68" s="89"/>
    </row>
    <row r="69" customFormat="false" ht="28.35" hidden="false" customHeight="false" outlineLevel="0" collapsed="false">
      <c r="A69" s="89" t="s">
        <v>229</v>
      </c>
      <c r="B69" s="89" t="s">
        <v>518</v>
      </c>
      <c r="C69" s="90" t="s">
        <v>520</v>
      </c>
      <c r="D69" s="92" t="s">
        <v>525</v>
      </c>
      <c r="E69" s="90" t="s">
        <v>3859</v>
      </c>
      <c r="F69" s="90" t="s">
        <v>3970</v>
      </c>
      <c r="G69" s="92" t="s">
        <v>1697</v>
      </c>
      <c r="H69" s="89" t="s">
        <v>3971</v>
      </c>
      <c r="I69" s="90" t="s">
        <v>3972</v>
      </c>
      <c r="J69" s="89"/>
    </row>
    <row r="70" customFormat="false" ht="41.75" hidden="false" customHeight="false" outlineLevel="0" collapsed="false">
      <c r="A70" s="89" t="s">
        <v>229</v>
      </c>
      <c r="B70" s="89" t="s">
        <v>518</v>
      </c>
      <c r="C70" s="90" t="s">
        <v>520</v>
      </c>
      <c r="D70" s="92" t="s">
        <v>525</v>
      </c>
      <c r="E70" s="90" t="s">
        <v>912</v>
      </c>
      <c r="F70" s="90" t="s">
        <v>3973</v>
      </c>
      <c r="G70" s="92" t="s">
        <v>3751</v>
      </c>
      <c r="H70" s="89" t="s">
        <v>3841</v>
      </c>
      <c r="I70" s="90" t="s">
        <v>3974</v>
      </c>
      <c r="J70" s="89"/>
    </row>
    <row r="71" customFormat="false" ht="28.35" hidden="false" customHeight="false" outlineLevel="0" collapsed="false">
      <c r="A71" s="89" t="s">
        <v>229</v>
      </c>
      <c r="B71" s="89" t="s">
        <v>518</v>
      </c>
      <c r="C71" s="90" t="s">
        <v>520</v>
      </c>
      <c r="D71" s="92" t="s">
        <v>525</v>
      </c>
      <c r="E71" s="90" t="s">
        <v>464</v>
      </c>
      <c r="F71" s="90" t="s">
        <v>3975</v>
      </c>
      <c r="G71" s="92" t="s">
        <v>3976</v>
      </c>
      <c r="H71" s="89" t="s">
        <v>80</v>
      </c>
      <c r="I71" s="90" t="s">
        <v>3854</v>
      </c>
      <c r="J71" s="89"/>
    </row>
    <row r="72" customFormat="false" ht="55.2" hidden="false" customHeight="false" outlineLevel="0" collapsed="false">
      <c r="A72" s="89" t="s">
        <v>229</v>
      </c>
      <c r="B72" s="89" t="s">
        <v>518</v>
      </c>
      <c r="C72" s="90" t="s">
        <v>520</v>
      </c>
      <c r="D72" s="92" t="s">
        <v>525</v>
      </c>
      <c r="E72" s="90" t="s">
        <v>3977</v>
      </c>
      <c r="F72" s="90" t="s">
        <v>3973</v>
      </c>
      <c r="G72" s="92" t="s">
        <v>3751</v>
      </c>
      <c r="H72" s="89" t="s">
        <v>3841</v>
      </c>
      <c r="I72" s="90" t="s">
        <v>3978</v>
      </c>
      <c r="J72" s="89"/>
    </row>
    <row r="73" customFormat="false" ht="28.35" hidden="false" customHeight="false" outlineLevel="0" collapsed="false">
      <c r="A73" s="89" t="s">
        <v>229</v>
      </c>
      <c r="B73" s="89" t="s">
        <v>526</v>
      </c>
      <c r="C73" s="90" t="s">
        <v>509</v>
      </c>
      <c r="D73" s="92" t="s">
        <v>528</v>
      </c>
      <c r="E73" s="90" t="s">
        <v>284</v>
      </c>
      <c r="F73" s="90" t="s">
        <v>3979</v>
      </c>
      <c r="G73" s="92" t="s">
        <v>3361</v>
      </c>
      <c r="H73" s="89" t="s">
        <v>3837</v>
      </c>
      <c r="I73" s="90" t="s">
        <v>3838</v>
      </c>
      <c r="J73" s="89"/>
    </row>
    <row r="74" customFormat="false" ht="28.35" hidden="false" customHeight="false" outlineLevel="0" collapsed="false">
      <c r="A74" s="89" t="s">
        <v>229</v>
      </c>
      <c r="B74" s="89" t="s">
        <v>529</v>
      </c>
      <c r="C74" s="90" t="s">
        <v>531</v>
      </c>
      <c r="D74" s="92" t="s">
        <v>533</v>
      </c>
      <c r="E74" s="90" t="s">
        <v>284</v>
      </c>
      <c r="F74" s="90" t="s">
        <v>3980</v>
      </c>
      <c r="G74" s="92" t="s">
        <v>3981</v>
      </c>
      <c r="H74" s="89" t="s">
        <v>3837</v>
      </c>
      <c r="I74" s="90" t="s">
        <v>3838</v>
      </c>
      <c r="J74" s="89"/>
    </row>
    <row r="75" customFormat="false" ht="41.75" hidden="false" customHeight="false" outlineLevel="0" collapsed="false">
      <c r="A75" s="89" t="s">
        <v>229</v>
      </c>
      <c r="B75" s="89" t="s">
        <v>534</v>
      </c>
      <c r="C75" s="90" t="s">
        <v>535</v>
      </c>
      <c r="D75" s="92" t="s">
        <v>540</v>
      </c>
      <c r="E75" s="90" t="s">
        <v>3859</v>
      </c>
      <c r="F75" s="90" t="s">
        <v>3982</v>
      </c>
      <c r="G75" s="92" t="s">
        <v>1694</v>
      </c>
      <c r="H75" s="89" t="s">
        <v>3971</v>
      </c>
      <c r="I75" s="90" t="s">
        <v>3972</v>
      </c>
      <c r="J75" s="89"/>
    </row>
    <row r="76" customFormat="false" ht="41.75" hidden="false" customHeight="false" outlineLevel="0" collapsed="false">
      <c r="A76" s="89" t="s">
        <v>229</v>
      </c>
      <c r="B76" s="89" t="s">
        <v>534</v>
      </c>
      <c r="C76" s="90" t="s">
        <v>535</v>
      </c>
      <c r="D76" s="92" t="s">
        <v>540</v>
      </c>
      <c r="E76" s="90" t="s">
        <v>912</v>
      </c>
      <c r="F76" s="90" t="s">
        <v>3864</v>
      </c>
      <c r="G76" s="92" t="s">
        <v>3751</v>
      </c>
      <c r="H76" s="89" t="s">
        <v>3841</v>
      </c>
      <c r="I76" s="90" t="s">
        <v>3983</v>
      </c>
      <c r="J76" s="89"/>
    </row>
    <row r="77" customFormat="false" ht="41.75" hidden="false" customHeight="false" outlineLevel="0" collapsed="false">
      <c r="A77" s="89" t="s">
        <v>229</v>
      </c>
      <c r="B77" s="89" t="s">
        <v>534</v>
      </c>
      <c r="C77" s="90" t="s">
        <v>535</v>
      </c>
      <c r="D77" s="92" t="s">
        <v>540</v>
      </c>
      <c r="E77" s="90" t="s">
        <v>464</v>
      </c>
      <c r="F77" s="90" t="s">
        <v>3984</v>
      </c>
      <c r="G77" s="92" t="s">
        <v>3985</v>
      </c>
      <c r="H77" s="89" t="s">
        <v>80</v>
      </c>
      <c r="I77" s="90" t="s">
        <v>3854</v>
      </c>
      <c r="J77" s="89"/>
    </row>
    <row r="78" customFormat="false" ht="55.2" hidden="false" customHeight="false" outlineLevel="0" collapsed="false">
      <c r="A78" s="89" t="s">
        <v>229</v>
      </c>
      <c r="B78" s="89" t="s">
        <v>534</v>
      </c>
      <c r="C78" s="90" t="s">
        <v>535</v>
      </c>
      <c r="D78" s="92" t="s">
        <v>540</v>
      </c>
      <c r="E78" s="90" t="s">
        <v>3866</v>
      </c>
      <c r="F78" s="90" t="s">
        <v>3864</v>
      </c>
      <c r="G78" s="92" t="s">
        <v>3986</v>
      </c>
      <c r="H78" s="89" t="s">
        <v>3868</v>
      </c>
      <c r="I78" s="90" t="s">
        <v>3987</v>
      </c>
      <c r="J78" s="92" t="s">
        <v>3751</v>
      </c>
    </row>
    <row r="79" customFormat="false" ht="28.35" hidden="false" customHeight="false" outlineLevel="0" collapsed="false">
      <c r="A79" s="89" t="s">
        <v>229</v>
      </c>
      <c r="B79" s="89" t="s">
        <v>541</v>
      </c>
      <c r="C79" s="90" t="s">
        <v>543</v>
      </c>
      <c r="D79" s="92" t="s">
        <v>547</v>
      </c>
      <c r="E79" s="90" t="s">
        <v>284</v>
      </c>
      <c r="F79" s="90" t="s">
        <v>3988</v>
      </c>
      <c r="G79" s="92" t="s">
        <v>3598</v>
      </c>
      <c r="H79" s="89" t="s">
        <v>3837</v>
      </c>
      <c r="I79" s="90" t="s">
        <v>3838</v>
      </c>
      <c r="J79" s="89"/>
    </row>
    <row r="80" customFormat="false" ht="28.35" hidden="false" customHeight="false" outlineLevel="0" collapsed="false">
      <c r="A80" s="89" t="s">
        <v>229</v>
      </c>
      <c r="B80" s="89" t="s">
        <v>541</v>
      </c>
      <c r="C80" s="90" t="s">
        <v>543</v>
      </c>
      <c r="D80" s="92" t="s">
        <v>547</v>
      </c>
      <c r="E80" s="90" t="s">
        <v>3859</v>
      </c>
      <c r="F80" s="90" t="s">
        <v>3989</v>
      </c>
      <c r="G80" s="92" t="s">
        <v>3990</v>
      </c>
      <c r="H80" s="89" t="s">
        <v>3862</v>
      </c>
      <c r="I80" s="90" t="s">
        <v>3863</v>
      </c>
      <c r="J80" s="89"/>
    </row>
    <row r="81" customFormat="false" ht="41.75" hidden="false" customHeight="false" outlineLevel="0" collapsed="false">
      <c r="A81" s="89" t="s">
        <v>229</v>
      </c>
      <c r="B81" s="89" t="s">
        <v>541</v>
      </c>
      <c r="C81" s="90" t="s">
        <v>543</v>
      </c>
      <c r="D81" s="92" t="s">
        <v>547</v>
      </c>
      <c r="E81" s="90" t="s">
        <v>912</v>
      </c>
      <c r="F81" s="90" t="s">
        <v>3864</v>
      </c>
      <c r="G81" s="92" t="s">
        <v>3751</v>
      </c>
      <c r="H81" s="89" t="s">
        <v>3841</v>
      </c>
      <c r="I81" s="90" t="s">
        <v>3991</v>
      </c>
      <c r="J81" s="89"/>
    </row>
    <row r="82" customFormat="false" ht="28.35" hidden="false" customHeight="false" outlineLevel="0" collapsed="false">
      <c r="A82" s="89" t="s">
        <v>229</v>
      </c>
      <c r="B82" s="89" t="s">
        <v>541</v>
      </c>
      <c r="C82" s="90" t="s">
        <v>543</v>
      </c>
      <c r="D82" s="92" t="s">
        <v>547</v>
      </c>
      <c r="E82" s="90" t="s">
        <v>464</v>
      </c>
      <c r="F82" s="90" t="s">
        <v>3992</v>
      </c>
      <c r="G82" s="92" t="s">
        <v>3993</v>
      </c>
      <c r="H82" s="89" t="s">
        <v>80</v>
      </c>
      <c r="I82" s="90" t="s">
        <v>3854</v>
      </c>
      <c r="J82" s="89"/>
    </row>
    <row r="83" customFormat="false" ht="55.2" hidden="false" customHeight="false" outlineLevel="0" collapsed="false">
      <c r="A83" s="89" t="s">
        <v>229</v>
      </c>
      <c r="B83" s="89" t="s">
        <v>541</v>
      </c>
      <c r="C83" s="90" t="s">
        <v>543</v>
      </c>
      <c r="D83" s="92" t="s">
        <v>547</v>
      </c>
      <c r="E83" s="90" t="s">
        <v>392</v>
      </c>
      <c r="F83" s="90" t="s">
        <v>3864</v>
      </c>
      <c r="G83" s="92" t="s">
        <v>3994</v>
      </c>
      <c r="H83" s="89" t="s">
        <v>3868</v>
      </c>
      <c r="I83" s="90" t="s">
        <v>3995</v>
      </c>
      <c r="J83" s="92" t="s">
        <v>3751</v>
      </c>
    </row>
    <row r="84" customFormat="false" ht="28.35" hidden="false" customHeight="false" outlineLevel="0" collapsed="false">
      <c r="A84" s="89" t="s">
        <v>229</v>
      </c>
      <c r="B84" s="89" t="s">
        <v>541</v>
      </c>
      <c r="C84" s="90" t="s">
        <v>543</v>
      </c>
      <c r="D84" s="92" t="s">
        <v>547</v>
      </c>
      <c r="E84" s="90" t="s">
        <v>614</v>
      </c>
      <c r="F84" s="90" t="s">
        <v>3996</v>
      </c>
      <c r="G84" s="92" t="s">
        <v>3997</v>
      </c>
      <c r="H84" s="89" t="s">
        <v>3872</v>
      </c>
      <c r="I84" s="90" t="s">
        <v>3873</v>
      </c>
      <c r="J84" s="89"/>
    </row>
    <row r="85" customFormat="false" ht="28.35" hidden="false" customHeight="false" outlineLevel="0" collapsed="false">
      <c r="A85" s="89" t="s">
        <v>229</v>
      </c>
      <c r="B85" s="89" t="s">
        <v>548</v>
      </c>
      <c r="C85" s="90" t="s">
        <v>549</v>
      </c>
      <c r="D85" s="92" t="s">
        <v>551</v>
      </c>
      <c r="E85" s="90" t="s">
        <v>284</v>
      </c>
      <c r="F85" s="90" t="s">
        <v>3998</v>
      </c>
      <c r="G85" s="92" t="s">
        <v>3448</v>
      </c>
      <c r="H85" s="89" t="s">
        <v>3837</v>
      </c>
      <c r="I85" s="90" t="s">
        <v>3838</v>
      </c>
      <c r="J85" s="89"/>
    </row>
    <row r="86" customFormat="false" ht="28.35" hidden="false" customHeight="false" outlineLevel="0" collapsed="false">
      <c r="A86" s="89" t="s">
        <v>229</v>
      </c>
      <c r="B86" s="89" t="s">
        <v>552</v>
      </c>
      <c r="C86" s="90" t="s">
        <v>553</v>
      </c>
      <c r="D86" s="92" t="s">
        <v>555</v>
      </c>
      <c r="E86" s="90" t="s">
        <v>284</v>
      </c>
      <c r="F86" s="90" t="s">
        <v>3999</v>
      </c>
      <c r="G86" s="92" t="s">
        <v>4000</v>
      </c>
      <c r="H86" s="89" t="s">
        <v>3837</v>
      </c>
      <c r="I86" s="90" t="s">
        <v>3838</v>
      </c>
      <c r="J86" s="89"/>
    </row>
    <row r="87" customFormat="false" ht="41.75" hidden="false" customHeight="false" outlineLevel="0" collapsed="false">
      <c r="A87" s="89" t="s">
        <v>229</v>
      </c>
      <c r="B87" s="89" t="s">
        <v>556</v>
      </c>
      <c r="C87" s="90" t="s">
        <v>558</v>
      </c>
      <c r="D87" s="92" t="s">
        <v>562</v>
      </c>
      <c r="E87" s="90" t="s">
        <v>561</v>
      </c>
      <c r="F87" s="90" t="s">
        <v>4001</v>
      </c>
      <c r="G87" s="92" t="s">
        <v>3751</v>
      </c>
      <c r="H87" s="89" t="s">
        <v>3841</v>
      </c>
      <c r="I87" s="90" t="s">
        <v>4002</v>
      </c>
      <c r="J87" s="89"/>
    </row>
    <row r="88" customFormat="false" ht="28.35" hidden="false" customHeight="false" outlineLevel="0" collapsed="false">
      <c r="A88" s="89" t="s">
        <v>229</v>
      </c>
      <c r="B88" s="89" t="s">
        <v>563</v>
      </c>
      <c r="C88" s="90" t="s">
        <v>565</v>
      </c>
      <c r="D88" s="92" t="s">
        <v>567</v>
      </c>
      <c r="E88" s="90" t="s">
        <v>284</v>
      </c>
      <c r="F88" s="90" t="s">
        <v>4003</v>
      </c>
      <c r="G88" s="92" t="s">
        <v>4004</v>
      </c>
      <c r="H88" s="89" t="s">
        <v>3837</v>
      </c>
      <c r="I88" s="90" t="s">
        <v>3838</v>
      </c>
      <c r="J88" s="89"/>
    </row>
    <row r="89" customFormat="false" ht="28.35" hidden="false" customHeight="false" outlineLevel="0" collapsed="false">
      <c r="A89" s="89" t="s">
        <v>229</v>
      </c>
      <c r="B89" s="89" t="s">
        <v>568</v>
      </c>
      <c r="C89" s="90" t="s">
        <v>570</v>
      </c>
      <c r="D89" s="92" t="s">
        <v>572</v>
      </c>
      <c r="E89" s="90" t="s">
        <v>284</v>
      </c>
      <c r="F89" s="90" t="s">
        <v>4005</v>
      </c>
      <c r="G89" s="92" t="s">
        <v>3502</v>
      </c>
      <c r="H89" s="89" t="s">
        <v>3837</v>
      </c>
      <c r="I89" s="90" t="s">
        <v>3838</v>
      </c>
      <c r="J89" s="89"/>
    </row>
    <row r="90" customFormat="false" ht="28.35" hidden="false" customHeight="false" outlineLevel="0" collapsed="false">
      <c r="A90" s="89" t="s">
        <v>229</v>
      </c>
      <c r="B90" s="89" t="s">
        <v>573</v>
      </c>
      <c r="C90" s="90" t="s">
        <v>574</v>
      </c>
      <c r="D90" s="92" t="s">
        <v>576</v>
      </c>
      <c r="E90" s="90" t="s">
        <v>284</v>
      </c>
      <c r="F90" s="90" t="s">
        <v>4006</v>
      </c>
      <c r="G90" s="92" t="s">
        <v>3689</v>
      </c>
      <c r="H90" s="89" t="s">
        <v>3837</v>
      </c>
      <c r="I90" s="90" t="s">
        <v>3838</v>
      </c>
      <c r="J90" s="89"/>
    </row>
    <row r="91" customFormat="false" ht="28.35" hidden="false" customHeight="false" outlineLevel="0" collapsed="false">
      <c r="A91" s="89" t="s">
        <v>229</v>
      </c>
      <c r="B91" s="89" t="s">
        <v>577</v>
      </c>
      <c r="C91" s="90" t="s">
        <v>578</v>
      </c>
      <c r="D91" s="92" t="s">
        <v>580</v>
      </c>
      <c r="E91" s="90" t="s">
        <v>284</v>
      </c>
      <c r="F91" s="90" t="s">
        <v>4007</v>
      </c>
      <c r="G91" s="92" t="s">
        <v>3561</v>
      </c>
      <c r="H91" s="89" t="s">
        <v>3837</v>
      </c>
      <c r="I91" s="90" t="s">
        <v>3838</v>
      </c>
      <c r="J91" s="89"/>
    </row>
    <row r="92" customFormat="false" ht="28.35" hidden="false" customHeight="false" outlineLevel="0" collapsed="false">
      <c r="A92" s="89" t="s">
        <v>229</v>
      </c>
      <c r="B92" s="89" t="s">
        <v>581</v>
      </c>
      <c r="C92" s="90" t="s">
        <v>583</v>
      </c>
      <c r="D92" s="92" t="s">
        <v>587</v>
      </c>
      <c r="E92" s="90" t="s">
        <v>284</v>
      </c>
      <c r="F92" s="90" t="s">
        <v>4008</v>
      </c>
      <c r="G92" s="92" t="s">
        <v>3587</v>
      </c>
      <c r="H92" s="89" t="s">
        <v>3837</v>
      </c>
      <c r="I92" s="90" t="s">
        <v>3838</v>
      </c>
      <c r="J92" s="89"/>
    </row>
    <row r="93" customFormat="false" ht="41.75" hidden="false" customHeight="false" outlineLevel="0" collapsed="false">
      <c r="A93" s="89" t="s">
        <v>229</v>
      </c>
      <c r="B93" s="89" t="s">
        <v>581</v>
      </c>
      <c r="C93" s="90" t="s">
        <v>583</v>
      </c>
      <c r="D93" s="92" t="s">
        <v>587</v>
      </c>
      <c r="E93" s="90" t="s">
        <v>912</v>
      </c>
      <c r="F93" s="90" t="s">
        <v>3864</v>
      </c>
      <c r="G93" s="92" t="s">
        <v>3751</v>
      </c>
      <c r="H93" s="89" t="s">
        <v>3841</v>
      </c>
      <c r="I93" s="90" t="s">
        <v>4009</v>
      </c>
      <c r="J93" s="89"/>
    </row>
    <row r="94" customFormat="false" ht="41.75" hidden="false" customHeight="false" outlineLevel="0" collapsed="false">
      <c r="A94" s="89" t="s">
        <v>229</v>
      </c>
      <c r="B94" s="89" t="s">
        <v>581</v>
      </c>
      <c r="C94" s="90" t="s">
        <v>583</v>
      </c>
      <c r="D94" s="92" t="s">
        <v>587</v>
      </c>
      <c r="E94" s="90" t="s">
        <v>4010</v>
      </c>
      <c r="F94" s="90" t="s">
        <v>3864</v>
      </c>
      <c r="G94" s="92" t="s">
        <v>3751</v>
      </c>
      <c r="H94" s="89" t="s">
        <v>3841</v>
      </c>
      <c r="I94" s="90" t="s">
        <v>4011</v>
      </c>
      <c r="J94" s="89"/>
    </row>
    <row r="95" customFormat="false" ht="41.75" hidden="false" customHeight="false" outlineLevel="0" collapsed="false">
      <c r="A95" s="89" t="s">
        <v>229</v>
      </c>
      <c r="B95" s="89" t="s">
        <v>588</v>
      </c>
      <c r="C95" s="90" t="s">
        <v>589</v>
      </c>
      <c r="D95" s="92" t="s">
        <v>593</v>
      </c>
      <c r="E95" s="90" t="s">
        <v>912</v>
      </c>
      <c r="F95" s="90" t="s">
        <v>3864</v>
      </c>
      <c r="G95" s="92" t="s">
        <v>3751</v>
      </c>
      <c r="H95" s="89" t="s">
        <v>3841</v>
      </c>
      <c r="I95" s="90" t="s">
        <v>4012</v>
      </c>
      <c r="J95" s="89"/>
    </row>
    <row r="96" customFormat="false" ht="41.75" hidden="false" customHeight="false" outlineLevel="0" collapsed="false">
      <c r="A96" s="89" t="s">
        <v>229</v>
      </c>
      <c r="B96" s="89" t="s">
        <v>588</v>
      </c>
      <c r="C96" s="90" t="s">
        <v>589</v>
      </c>
      <c r="D96" s="92" t="s">
        <v>593</v>
      </c>
      <c r="E96" s="90" t="s">
        <v>464</v>
      </c>
      <c r="F96" s="90" t="s">
        <v>4013</v>
      </c>
      <c r="G96" s="92" t="s">
        <v>4014</v>
      </c>
      <c r="H96" s="89" t="s">
        <v>80</v>
      </c>
      <c r="I96" s="90" t="s">
        <v>3854</v>
      </c>
      <c r="J96" s="89"/>
    </row>
    <row r="97" customFormat="false" ht="55.2" hidden="false" customHeight="false" outlineLevel="0" collapsed="false">
      <c r="A97" s="89" t="s">
        <v>229</v>
      </c>
      <c r="B97" s="89" t="s">
        <v>588</v>
      </c>
      <c r="C97" s="90" t="s">
        <v>589</v>
      </c>
      <c r="D97" s="92" t="s">
        <v>593</v>
      </c>
      <c r="E97" s="90" t="s">
        <v>4015</v>
      </c>
      <c r="F97" s="90" t="s">
        <v>3864</v>
      </c>
      <c r="G97" s="92" t="s">
        <v>4016</v>
      </c>
      <c r="H97" s="89" t="s">
        <v>3868</v>
      </c>
      <c r="I97" s="90" t="s">
        <v>4017</v>
      </c>
      <c r="J97" s="92" t="s">
        <v>3751</v>
      </c>
    </row>
    <row r="98" customFormat="false" ht="41.75" hidden="false" customHeight="false" outlineLevel="0" collapsed="false">
      <c r="A98" s="89" t="s">
        <v>229</v>
      </c>
      <c r="B98" s="89" t="s">
        <v>308</v>
      </c>
      <c r="C98" s="90" t="s">
        <v>309</v>
      </c>
      <c r="D98" s="92" t="s">
        <v>313</v>
      </c>
      <c r="E98" s="90" t="s">
        <v>284</v>
      </c>
      <c r="F98" s="90" t="s">
        <v>4018</v>
      </c>
      <c r="G98" s="92" t="s">
        <v>3851</v>
      </c>
      <c r="H98" s="89" t="s">
        <v>3837</v>
      </c>
      <c r="I98" s="90" t="s">
        <v>3838</v>
      </c>
      <c r="J98" s="89"/>
    </row>
    <row r="99" customFormat="false" ht="28.35" hidden="false" customHeight="false" outlineLevel="0" collapsed="false">
      <c r="A99" s="89" t="s">
        <v>229</v>
      </c>
      <c r="B99" s="89" t="s">
        <v>594</v>
      </c>
      <c r="C99" s="90" t="s">
        <v>596</v>
      </c>
      <c r="D99" s="92" t="s">
        <v>598</v>
      </c>
      <c r="E99" s="90" t="s">
        <v>284</v>
      </c>
      <c r="F99" s="90" t="s">
        <v>4019</v>
      </c>
      <c r="G99" s="92" t="s">
        <v>4020</v>
      </c>
      <c r="H99" s="89" t="s">
        <v>3837</v>
      </c>
      <c r="I99" s="90" t="s">
        <v>3838</v>
      </c>
      <c r="J99" s="89"/>
    </row>
    <row r="100" customFormat="false" ht="28.35" hidden="false" customHeight="false" outlineLevel="0" collapsed="false">
      <c r="A100" s="89" t="s">
        <v>229</v>
      </c>
      <c r="B100" s="89" t="s">
        <v>599</v>
      </c>
      <c r="C100" s="90" t="s">
        <v>601</v>
      </c>
      <c r="D100" s="92" t="s">
        <v>603</v>
      </c>
      <c r="E100" s="90" t="s">
        <v>284</v>
      </c>
      <c r="F100" s="90" t="s">
        <v>4021</v>
      </c>
      <c r="G100" s="92" t="s">
        <v>3633</v>
      </c>
      <c r="H100" s="89" t="s">
        <v>3837</v>
      </c>
      <c r="I100" s="90" t="s">
        <v>3838</v>
      </c>
      <c r="J100" s="89"/>
    </row>
    <row r="101" customFormat="false" ht="55.2" hidden="false" customHeight="false" outlineLevel="0" collapsed="false">
      <c r="A101" s="89" t="s">
        <v>229</v>
      </c>
      <c r="B101" s="89" t="s">
        <v>604</v>
      </c>
      <c r="C101" s="90" t="s">
        <v>606</v>
      </c>
      <c r="D101" s="92" t="s">
        <v>611</v>
      </c>
      <c r="E101" s="90" t="s">
        <v>609</v>
      </c>
      <c r="F101" s="90" t="s">
        <v>4022</v>
      </c>
      <c r="G101" s="92" t="s">
        <v>4023</v>
      </c>
      <c r="H101" s="89" t="s">
        <v>3868</v>
      </c>
      <c r="I101" s="90" t="s">
        <v>4024</v>
      </c>
      <c r="J101" s="92" t="s">
        <v>3751</v>
      </c>
    </row>
    <row r="102" customFormat="false" ht="28.35" hidden="false" customHeight="false" outlineLevel="0" collapsed="false">
      <c r="A102" s="89" t="s">
        <v>230</v>
      </c>
      <c r="B102" s="89" t="s">
        <v>329</v>
      </c>
      <c r="C102" s="90" t="s">
        <v>331</v>
      </c>
      <c r="D102" s="92" t="s">
        <v>337</v>
      </c>
      <c r="E102" s="90" t="s">
        <v>614</v>
      </c>
      <c r="F102" s="90" t="s">
        <v>4025</v>
      </c>
      <c r="G102" s="92" t="s">
        <v>4026</v>
      </c>
      <c r="H102" s="89" t="s">
        <v>3872</v>
      </c>
      <c r="I102" s="90" t="s">
        <v>3873</v>
      </c>
      <c r="J102" s="89"/>
    </row>
    <row r="103" customFormat="false" ht="28.35" hidden="false" customHeight="false" outlineLevel="0" collapsed="false">
      <c r="A103" s="89" t="s">
        <v>230</v>
      </c>
      <c r="B103" s="89" t="s">
        <v>615</v>
      </c>
      <c r="C103" s="90" t="s">
        <v>617</v>
      </c>
      <c r="D103" s="92" t="s">
        <v>620</v>
      </c>
      <c r="E103" s="90" t="s">
        <v>614</v>
      </c>
      <c r="F103" s="90" t="s">
        <v>4027</v>
      </c>
      <c r="G103" s="92" t="s">
        <v>4028</v>
      </c>
      <c r="H103" s="89" t="s">
        <v>4029</v>
      </c>
      <c r="I103" s="90" t="s">
        <v>4030</v>
      </c>
      <c r="J103" s="89"/>
    </row>
    <row r="104" customFormat="false" ht="28.35" hidden="false" customHeight="false" outlineLevel="0" collapsed="false">
      <c r="A104" s="89" t="s">
        <v>230</v>
      </c>
      <c r="B104" s="89" t="s">
        <v>615</v>
      </c>
      <c r="C104" s="90" t="s">
        <v>617</v>
      </c>
      <c r="D104" s="92" t="s">
        <v>620</v>
      </c>
      <c r="E104" s="90" t="s">
        <v>360</v>
      </c>
      <c r="F104" s="90" t="s">
        <v>4031</v>
      </c>
      <c r="G104" s="92" t="s">
        <v>4032</v>
      </c>
      <c r="H104" s="89" t="s">
        <v>3892</v>
      </c>
      <c r="I104" s="90" t="s">
        <v>3893</v>
      </c>
      <c r="J104" s="89"/>
    </row>
    <row r="105" customFormat="false" ht="28.35" hidden="false" customHeight="false" outlineLevel="0" collapsed="false">
      <c r="A105" s="89" t="s">
        <v>230</v>
      </c>
      <c r="B105" s="89" t="s">
        <v>338</v>
      </c>
      <c r="C105" s="90" t="s">
        <v>340</v>
      </c>
      <c r="D105" s="92" t="s">
        <v>345</v>
      </c>
      <c r="E105" s="90" t="s">
        <v>360</v>
      </c>
      <c r="F105" s="90" t="s">
        <v>4033</v>
      </c>
      <c r="G105" s="92" t="s">
        <v>2871</v>
      </c>
      <c r="H105" s="89" t="s">
        <v>3892</v>
      </c>
      <c r="I105" s="90" t="s">
        <v>3893</v>
      </c>
      <c r="J105" s="89"/>
    </row>
    <row r="106" customFormat="false" ht="28.35" hidden="false" customHeight="false" outlineLevel="0" collapsed="false">
      <c r="A106" s="89" t="s">
        <v>230</v>
      </c>
      <c r="B106" s="89" t="s">
        <v>355</v>
      </c>
      <c r="C106" s="90" t="s">
        <v>357</v>
      </c>
      <c r="D106" s="92" t="s">
        <v>361</v>
      </c>
      <c r="E106" s="90" t="s">
        <v>360</v>
      </c>
      <c r="F106" s="90" t="s">
        <v>4034</v>
      </c>
      <c r="G106" s="92" t="s">
        <v>1881</v>
      </c>
      <c r="H106" s="89" t="s">
        <v>4035</v>
      </c>
      <c r="I106" s="90" t="s">
        <v>4036</v>
      </c>
      <c r="J106" s="89"/>
    </row>
    <row r="107" customFormat="false" ht="28.35" hidden="false" customHeight="false" outlineLevel="0" collapsed="false">
      <c r="A107" s="89" t="s">
        <v>230</v>
      </c>
      <c r="B107" s="89" t="s">
        <v>388</v>
      </c>
      <c r="C107" s="90" t="s">
        <v>390</v>
      </c>
      <c r="D107" s="92" t="s">
        <v>393</v>
      </c>
      <c r="E107" s="90" t="s">
        <v>3859</v>
      </c>
      <c r="F107" s="90" t="s">
        <v>4037</v>
      </c>
      <c r="G107" s="92" t="s">
        <v>4038</v>
      </c>
      <c r="H107" s="89" t="s">
        <v>3862</v>
      </c>
      <c r="I107" s="90" t="s">
        <v>3863</v>
      </c>
      <c r="J107" s="89"/>
    </row>
    <row r="108" customFormat="false" ht="41.75" hidden="false" customHeight="false" outlineLevel="0" collapsed="false">
      <c r="A108" s="89" t="s">
        <v>230</v>
      </c>
      <c r="B108" s="89" t="s">
        <v>388</v>
      </c>
      <c r="C108" s="90" t="s">
        <v>390</v>
      </c>
      <c r="D108" s="92" t="s">
        <v>393</v>
      </c>
      <c r="E108" s="90" t="s">
        <v>4039</v>
      </c>
      <c r="F108" s="90" t="s">
        <v>4040</v>
      </c>
      <c r="G108" s="92" t="s">
        <v>3751</v>
      </c>
      <c r="H108" s="89" t="s">
        <v>3841</v>
      </c>
      <c r="I108" s="90" t="s">
        <v>4041</v>
      </c>
      <c r="J108" s="89"/>
    </row>
    <row r="109" customFormat="false" ht="28.35" hidden="false" customHeight="false" outlineLevel="0" collapsed="false">
      <c r="A109" s="89" t="s">
        <v>230</v>
      </c>
      <c r="B109" s="89" t="s">
        <v>388</v>
      </c>
      <c r="C109" s="90" t="s">
        <v>390</v>
      </c>
      <c r="D109" s="92" t="s">
        <v>393</v>
      </c>
      <c r="E109" s="90" t="s">
        <v>614</v>
      </c>
      <c r="F109" s="90" t="s">
        <v>4042</v>
      </c>
      <c r="G109" s="92" t="s">
        <v>4043</v>
      </c>
      <c r="H109" s="89" t="s">
        <v>3872</v>
      </c>
      <c r="I109" s="90" t="s">
        <v>3873</v>
      </c>
      <c r="J109" s="89"/>
    </row>
    <row r="110" customFormat="false" ht="28.35" hidden="false" customHeight="false" outlineLevel="0" collapsed="false">
      <c r="A110" s="89" t="s">
        <v>230</v>
      </c>
      <c r="B110" s="89" t="s">
        <v>394</v>
      </c>
      <c r="C110" s="90" t="s">
        <v>396</v>
      </c>
      <c r="D110" s="92" t="s">
        <v>400</v>
      </c>
      <c r="E110" s="90" t="s">
        <v>360</v>
      </c>
      <c r="F110" s="90" t="s">
        <v>4044</v>
      </c>
      <c r="G110" s="92" t="s">
        <v>4045</v>
      </c>
      <c r="H110" s="89" t="s">
        <v>3892</v>
      </c>
      <c r="I110" s="90" t="s">
        <v>3893</v>
      </c>
      <c r="J110" s="89"/>
    </row>
    <row r="111" customFormat="false" ht="41.75" hidden="false" customHeight="false" outlineLevel="0" collapsed="false">
      <c r="A111" s="89" t="s">
        <v>230</v>
      </c>
      <c r="B111" s="89" t="s">
        <v>295</v>
      </c>
      <c r="C111" s="90" t="s">
        <v>296</v>
      </c>
      <c r="D111" s="92" t="s">
        <v>298</v>
      </c>
      <c r="E111" s="90" t="s">
        <v>453</v>
      </c>
      <c r="F111" s="90" t="s">
        <v>4040</v>
      </c>
      <c r="G111" s="92" t="s">
        <v>3751</v>
      </c>
      <c r="H111" s="89" t="s">
        <v>3841</v>
      </c>
      <c r="I111" s="90" t="s">
        <v>4046</v>
      </c>
      <c r="J111" s="89"/>
    </row>
    <row r="112" customFormat="false" ht="28.35" hidden="false" customHeight="false" outlineLevel="0" collapsed="false">
      <c r="A112" s="89" t="s">
        <v>230</v>
      </c>
      <c r="B112" s="89" t="s">
        <v>632</v>
      </c>
      <c r="C112" s="90" t="s">
        <v>634</v>
      </c>
      <c r="D112" s="92" t="s">
        <v>636</v>
      </c>
      <c r="E112" s="90" t="s">
        <v>284</v>
      </c>
      <c r="F112" s="90" t="s">
        <v>4047</v>
      </c>
      <c r="G112" s="92" t="s">
        <v>4048</v>
      </c>
      <c r="H112" s="89" t="s">
        <v>3837</v>
      </c>
      <c r="I112" s="90" t="s">
        <v>3838</v>
      </c>
      <c r="J112" s="89"/>
    </row>
    <row r="113" customFormat="false" ht="41.75" hidden="false" customHeight="false" outlineLevel="0" collapsed="false">
      <c r="A113" s="89" t="s">
        <v>230</v>
      </c>
      <c r="B113" s="89" t="s">
        <v>632</v>
      </c>
      <c r="C113" s="90" t="s">
        <v>634</v>
      </c>
      <c r="D113" s="92" t="s">
        <v>636</v>
      </c>
      <c r="E113" s="90" t="s">
        <v>614</v>
      </c>
      <c r="F113" s="90" t="s">
        <v>4049</v>
      </c>
      <c r="G113" s="92" t="s">
        <v>4050</v>
      </c>
      <c r="H113" s="89" t="s">
        <v>3872</v>
      </c>
      <c r="I113" s="90" t="s">
        <v>3873</v>
      </c>
      <c r="J113" s="89"/>
    </row>
    <row r="114" customFormat="false" ht="41.75" hidden="false" customHeight="false" outlineLevel="0" collapsed="false">
      <c r="A114" s="89" t="s">
        <v>230</v>
      </c>
      <c r="B114" s="89" t="s">
        <v>637</v>
      </c>
      <c r="C114" s="90" t="s">
        <v>639</v>
      </c>
      <c r="D114" s="92" t="s">
        <v>641</v>
      </c>
      <c r="E114" s="90" t="s">
        <v>614</v>
      </c>
      <c r="F114" s="90" t="s">
        <v>4051</v>
      </c>
      <c r="G114" s="92" t="s">
        <v>4052</v>
      </c>
      <c r="H114" s="89" t="s">
        <v>3872</v>
      </c>
      <c r="I114" s="90" t="s">
        <v>3873</v>
      </c>
      <c r="J114" s="89"/>
    </row>
    <row r="115" customFormat="false" ht="28.35" hidden="false" customHeight="false" outlineLevel="0" collapsed="false">
      <c r="A115" s="89" t="s">
        <v>230</v>
      </c>
      <c r="B115" s="89" t="s">
        <v>642</v>
      </c>
      <c r="C115" s="90" t="s">
        <v>644</v>
      </c>
      <c r="D115" s="92" t="s">
        <v>646</v>
      </c>
      <c r="E115" s="90" t="s">
        <v>284</v>
      </c>
      <c r="F115" s="90" t="s">
        <v>4053</v>
      </c>
      <c r="G115" s="92" t="s">
        <v>3346</v>
      </c>
      <c r="H115" s="89" t="s">
        <v>3837</v>
      </c>
      <c r="I115" s="90" t="s">
        <v>3838</v>
      </c>
      <c r="J115" s="89"/>
    </row>
    <row r="116" customFormat="false" ht="28.35" hidden="false" customHeight="false" outlineLevel="0" collapsed="false">
      <c r="A116" s="89" t="s">
        <v>230</v>
      </c>
      <c r="B116" s="89" t="s">
        <v>647</v>
      </c>
      <c r="C116" s="90" t="s">
        <v>649</v>
      </c>
      <c r="D116" s="92" t="s">
        <v>651</v>
      </c>
      <c r="E116" s="90" t="s">
        <v>360</v>
      </c>
      <c r="F116" s="90" t="s">
        <v>4054</v>
      </c>
      <c r="G116" s="92" t="s">
        <v>4055</v>
      </c>
      <c r="H116" s="89" t="s">
        <v>4035</v>
      </c>
      <c r="I116" s="90" t="s">
        <v>4036</v>
      </c>
      <c r="J116" s="89"/>
    </row>
    <row r="117" customFormat="false" ht="41.75" hidden="false" customHeight="false" outlineLevel="0" collapsed="false">
      <c r="A117" s="89" t="s">
        <v>230</v>
      </c>
      <c r="B117" s="89" t="s">
        <v>471</v>
      </c>
      <c r="C117" s="90" t="s">
        <v>472</v>
      </c>
      <c r="D117" s="92" t="s">
        <v>475</v>
      </c>
      <c r="E117" s="90" t="s">
        <v>614</v>
      </c>
      <c r="F117" s="90" t="s">
        <v>4056</v>
      </c>
      <c r="G117" s="92" t="s">
        <v>4057</v>
      </c>
      <c r="H117" s="89" t="s">
        <v>3872</v>
      </c>
      <c r="I117" s="90" t="s">
        <v>3873</v>
      </c>
      <c r="J117" s="89"/>
    </row>
    <row r="118" customFormat="false" ht="41.75" hidden="false" customHeight="false" outlineLevel="0" collapsed="false">
      <c r="A118" s="89" t="s">
        <v>230</v>
      </c>
      <c r="B118" s="89" t="s">
        <v>529</v>
      </c>
      <c r="C118" s="90" t="s">
        <v>531</v>
      </c>
      <c r="D118" s="92" t="s">
        <v>533</v>
      </c>
      <c r="E118" s="90" t="s">
        <v>614</v>
      </c>
      <c r="F118" s="90" t="s">
        <v>4058</v>
      </c>
      <c r="G118" s="92" t="s">
        <v>4059</v>
      </c>
      <c r="H118" s="89" t="s">
        <v>3872</v>
      </c>
      <c r="I118" s="90" t="s">
        <v>3873</v>
      </c>
      <c r="J118" s="89"/>
    </row>
    <row r="119" customFormat="false" ht="41.75" hidden="false" customHeight="false" outlineLevel="0" collapsed="false">
      <c r="A119" s="89" t="s">
        <v>230</v>
      </c>
      <c r="B119" s="89" t="s">
        <v>74</v>
      </c>
      <c r="C119" s="90" t="s">
        <v>657</v>
      </c>
      <c r="D119" s="92" t="s">
        <v>658</v>
      </c>
      <c r="E119" s="90" t="s">
        <v>614</v>
      </c>
      <c r="F119" s="90" t="s">
        <v>4060</v>
      </c>
      <c r="G119" s="92" t="s">
        <v>4061</v>
      </c>
      <c r="H119" s="89" t="s">
        <v>3872</v>
      </c>
      <c r="I119" s="90" t="s">
        <v>3873</v>
      </c>
      <c r="J119" s="89"/>
    </row>
    <row r="120" customFormat="false" ht="28.35" hidden="false" customHeight="false" outlineLevel="0" collapsed="false">
      <c r="A120" s="89" t="s">
        <v>230</v>
      </c>
      <c r="B120" s="89" t="s">
        <v>304</v>
      </c>
      <c r="C120" s="90" t="s">
        <v>305</v>
      </c>
      <c r="D120" s="92" t="s">
        <v>307</v>
      </c>
      <c r="E120" s="90" t="s">
        <v>284</v>
      </c>
      <c r="F120" s="90" t="s">
        <v>4062</v>
      </c>
      <c r="G120" s="92" t="s">
        <v>4063</v>
      </c>
      <c r="H120" s="89" t="s">
        <v>3837</v>
      </c>
      <c r="I120" s="90" t="s">
        <v>3838</v>
      </c>
      <c r="J120" s="89"/>
    </row>
    <row r="121" customFormat="false" ht="28.35" hidden="false" customHeight="false" outlineLevel="0" collapsed="false">
      <c r="A121" s="89" t="s">
        <v>230</v>
      </c>
      <c r="B121" s="89" t="s">
        <v>660</v>
      </c>
      <c r="C121" s="90" t="s">
        <v>662</v>
      </c>
      <c r="D121" s="92" t="s">
        <v>664</v>
      </c>
      <c r="E121" s="90" t="s">
        <v>360</v>
      </c>
      <c r="F121" s="90" t="s">
        <v>4064</v>
      </c>
      <c r="G121" s="92" t="s">
        <v>1879</v>
      </c>
      <c r="H121" s="89" t="s">
        <v>4035</v>
      </c>
      <c r="I121" s="90" t="s">
        <v>4036</v>
      </c>
      <c r="J121" s="89"/>
    </row>
    <row r="122" customFormat="false" ht="41.75" hidden="false" customHeight="false" outlineLevel="0" collapsed="false">
      <c r="A122" s="89" t="s">
        <v>230</v>
      </c>
      <c r="B122" s="89" t="s">
        <v>665</v>
      </c>
      <c r="C122" s="90" t="s">
        <v>667</v>
      </c>
      <c r="D122" s="92" t="s">
        <v>670</v>
      </c>
      <c r="E122" s="90" t="s">
        <v>1369</v>
      </c>
      <c r="F122" s="90" t="s">
        <v>4040</v>
      </c>
      <c r="G122" s="92" t="s">
        <v>3751</v>
      </c>
      <c r="H122" s="89" t="s">
        <v>3841</v>
      </c>
      <c r="I122" s="90" t="s">
        <v>4065</v>
      </c>
      <c r="J122" s="89"/>
    </row>
    <row r="123" customFormat="false" ht="41.75" hidden="false" customHeight="false" outlineLevel="0" collapsed="false">
      <c r="A123" s="89" t="s">
        <v>230</v>
      </c>
      <c r="B123" s="89" t="s">
        <v>665</v>
      </c>
      <c r="C123" s="90" t="s">
        <v>667</v>
      </c>
      <c r="D123" s="92" t="s">
        <v>670</v>
      </c>
      <c r="E123" s="90" t="s">
        <v>614</v>
      </c>
      <c r="F123" s="90" t="s">
        <v>4066</v>
      </c>
      <c r="G123" s="92" t="s">
        <v>3763</v>
      </c>
      <c r="H123" s="89" t="s">
        <v>4067</v>
      </c>
      <c r="I123" s="90" t="s">
        <v>4068</v>
      </c>
      <c r="J123" s="89"/>
    </row>
    <row r="124" customFormat="false" ht="28.35" hidden="false" customHeight="false" outlineLevel="0" collapsed="false">
      <c r="A124" s="89" t="s">
        <v>230</v>
      </c>
      <c r="B124" s="89" t="s">
        <v>665</v>
      </c>
      <c r="C124" s="90" t="s">
        <v>667</v>
      </c>
      <c r="D124" s="92" t="s">
        <v>670</v>
      </c>
      <c r="E124" s="90" t="s">
        <v>360</v>
      </c>
      <c r="F124" s="90" t="s">
        <v>4069</v>
      </c>
      <c r="G124" s="92" t="s">
        <v>4070</v>
      </c>
      <c r="H124" s="89" t="s">
        <v>3892</v>
      </c>
      <c r="I124" s="90" t="s">
        <v>3893</v>
      </c>
      <c r="J124" s="89"/>
    </row>
    <row r="125" customFormat="false" ht="28.35" hidden="false" customHeight="false" outlineLevel="0" collapsed="false">
      <c r="A125" s="89" t="s">
        <v>230</v>
      </c>
      <c r="B125" s="89" t="s">
        <v>671</v>
      </c>
      <c r="C125" s="90" t="s">
        <v>673</v>
      </c>
      <c r="D125" s="92" t="s">
        <v>675</v>
      </c>
      <c r="E125" s="90" t="s">
        <v>360</v>
      </c>
      <c r="F125" s="90" t="s">
        <v>4071</v>
      </c>
      <c r="G125" s="92" t="s">
        <v>4072</v>
      </c>
      <c r="H125" s="89" t="s">
        <v>3892</v>
      </c>
      <c r="I125" s="90" t="s">
        <v>3893</v>
      </c>
      <c r="J125" s="89"/>
    </row>
    <row r="126" customFormat="false" ht="28.35" hidden="false" customHeight="false" outlineLevel="0" collapsed="false">
      <c r="A126" s="89" t="s">
        <v>230</v>
      </c>
      <c r="B126" s="89" t="s">
        <v>573</v>
      </c>
      <c r="C126" s="90" t="s">
        <v>574</v>
      </c>
      <c r="D126" s="92" t="s">
        <v>576</v>
      </c>
      <c r="E126" s="90" t="s">
        <v>284</v>
      </c>
      <c r="F126" s="90" t="s">
        <v>4073</v>
      </c>
      <c r="G126" s="92" t="s">
        <v>3555</v>
      </c>
      <c r="H126" s="89" t="s">
        <v>3837</v>
      </c>
      <c r="I126" s="90" t="s">
        <v>3838</v>
      </c>
      <c r="J126" s="89"/>
    </row>
    <row r="127" customFormat="false" ht="28.35" hidden="false" customHeight="false" outlineLevel="0" collapsed="false">
      <c r="A127" s="89" t="s">
        <v>230</v>
      </c>
      <c r="B127" s="89" t="s">
        <v>676</v>
      </c>
      <c r="C127" s="90" t="s">
        <v>678</v>
      </c>
      <c r="D127" s="92" t="s">
        <v>680</v>
      </c>
      <c r="E127" s="90" t="s">
        <v>360</v>
      </c>
      <c r="F127" s="90" t="s">
        <v>4074</v>
      </c>
      <c r="G127" s="92" t="s">
        <v>4075</v>
      </c>
      <c r="H127" s="89" t="s">
        <v>3892</v>
      </c>
      <c r="I127" s="90" t="s">
        <v>3893</v>
      </c>
      <c r="J127" s="89"/>
    </row>
    <row r="128" customFormat="false" ht="28.35" hidden="false" customHeight="false" outlineLevel="0" collapsed="false">
      <c r="A128" s="89" t="s">
        <v>230</v>
      </c>
      <c r="B128" s="89" t="s">
        <v>681</v>
      </c>
      <c r="C128" s="90" t="s">
        <v>683</v>
      </c>
      <c r="D128" s="92" t="s">
        <v>685</v>
      </c>
      <c r="E128" s="90" t="s">
        <v>614</v>
      </c>
      <c r="F128" s="90" t="s">
        <v>4076</v>
      </c>
      <c r="G128" s="92" t="s">
        <v>4077</v>
      </c>
      <c r="H128" s="89" t="s">
        <v>3872</v>
      </c>
      <c r="I128" s="90" t="s">
        <v>3873</v>
      </c>
      <c r="J128" s="89"/>
    </row>
    <row r="129" customFormat="false" ht="28.35" hidden="false" customHeight="false" outlineLevel="0" collapsed="false">
      <c r="A129" s="89" t="s">
        <v>230</v>
      </c>
      <c r="B129" s="89" t="s">
        <v>686</v>
      </c>
      <c r="C129" s="90" t="s">
        <v>688</v>
      </c>
      <c r="D129" s="92" t="s">
        <v>690</v>
      </c>
      <c r="E129" s="90" t="s">
        <v>360</v>
      </c>
      <c r="F129" s="90" t="s">
        <v>4078</v>
      </c>
      <c r="G129" s="92" t="s">
        <v>4079</v>
      </c>
      <c r="H129" s="89" t="s">
        <v>4035</v>
      </c>
      <c r="I129" s="90" t="s">
        <v>4036</v>
      </c>
      <c r="J129" s="89"/>
    </row>
    <row r="130" customFormat="false" ht="28.35" hidden="false" customHeight="false" outlineLevel="0" collapsed="false">
      <c r="A130" s="89" t="s">
        <v>230</v>
      </c>
      <c r="B130" s="89" t="s">
        <v>604</v>
      </c>
      <c r="C130" s="90" t="s">
        <v>606</v>
      </c>
      <c r="D130" s="92" t="s">
        <v>611</v>
      </c>
      <c r="E130" s="90" t="s">
        <v>360</v>
      </c>
      <c r="F130" s="90" t="s">
        <v>4080</v>
      </c>
      <c r="G130" s="92" t="s">
        <v>4081</v>
      </c>
      <c r="H130" s="89" t="s">
        <v>3892</v>
      </c>
      <c r="I130" s="90" t="s">
        <v>3893</v>
      </c>
      <c r="J130" s="89"/>
    </row>
    <row r="131" customFormat="false" ht="41.75" hidden="false" customHeight="false" outlineLevel="0" collapsed="false">
      <c r="A131" s="89" t="s">
        <v>231</v>
      </c>
      <c r="B131" s="89" t="s">
        <v>329</v>
      </c>
      <c r="C131" s="90" t="s">
        <v>331</v>
      </c>
      <c r="D131" s="92" t="s">
        <v>337</v>
      </c>
      <c r="E131" s="90" t="s">
        <v>3859</v>
      </c>
      <c r="F131" s="90" t="s">
        <v>4082</v>
      </c>
      <c r="G131" s="92" t="s">
        <v>4083</v>
      </c>
      <c r="H131" s="89" t="s">
        <v>3862</v>
      </c>
      <c r="I131" s="90" t="s">
        <v>3863</v>
      </c>
      <c r="J131" s="89"/>
    </row>
    <row r="132" customFormat="false" ht="28.35" hidden="false" customHeight="false" outlineLevel="0" collapsed="false">
      <c r="A132" s="89" t="s">
        <v>231</v>
      </c>
      <c r="B132" s="89" t="s">
        <v>329</v>
      </c>
      <c r="C132" s="90" t="s">
        <v>331</v>
      </c>
      <c r="D132" s="92" t="s">
        <v>337</v>
      </c>
      <c r="E132" s="90" t="s">
        <v>464</v>
      </c>
      <c r="F132" s="90" t="s">
        <v>4084</v>
      </c>
      <c r="G132" s="92" t="s">
        <v>4085</v>
      </c>
      <c r="H132" s="89" t="s">
        <v>80</v>
      </c>
      <c r="I132" s="90" t="s">
        <v>3854</v>
      </c>
      <c r="J132" s="89"/>
    </row>
    <row r="133" customFormat="false" ht="202.95" hidden="false" customHeight="false" outlineLevel="0" collapsed="false">
      <c r="A133" s="89" t="s">
        <v>231</v>
      </c>
      <c r="B133" s="89" t="s">
        <v>329</v>
      </c>
      <c r="C133" s="90" t="s">
        <v>331</v>
      </c>
      <c r="D133" s="92" t="s">
        <v>337</v>
      </c>
      <c r="E133" s="90" t="s">
        <v>1024</v>
      </c>
      <c r="F133" s="90" t="s">
        <v>4086</v>
      </c>
      <c r="G133" s="92" t="s">
        <v>4087</v>
      </c>
      <c r="H133" s="89" t="s">
        <v>4088</v>
      </c>
      <c r="I133" s="90" t="s">
        <v>4089</v>
      </c>
      <c r="J133" s="92" t="s">
        <v>3751</v>
      </c>
    </row>
    <row r="134" customFormat="false" ht="28.35" hidden="false" customHeight="false" outlineLevel="0" collapsed="false">
      <c r="A134" s="89" t="s">
        <v>231</v>
      </c>
      <c r="B134" s="89" t="s">
        <v>329</v>
      </c>
      <c r="C134" s="90" t="s">
        <v>331</v>
      </c>
      <c r="D134" s="92" t="s">
        <v>337</v>
      </c>
      <c r="E134" s="90" t="s">
        <v>614</v>
      </c>
      <c r="F134" s="90" t="s">
        <v>4090</v>
      </c>
      <c r="G134" s="92" t="s">
        <v>4091</v>
      </c>
      <c r="H134" s="89" t="s">
        <v>3872</v>
      </c>
      <c r="I134" s="90" t="s">
        <v>3873</v>
      </c>
      <c r="J134" s="89"/>
    </row>
    <row r="135" customFormat="false" ht="28.35" hidden="false" customHeight="false" outlineLevel="0" collapsed="false">
      <c r="A135" s="89" t="s">
        <v>231</v>
      </c>
      <c r="B135" s="89" t="s">
        <v>329</v>
      </c>
      <c r="C135" s="90" t="s">
        <v>331</v>
      </c>
      <c r="D135" s="92" t="s">
        <v>337</v>
      </c>
      <c r="E135" s="90" t="s">
        <v>360</v>
      </c>
      <c r="F135" s="90" t="s">
        <v>4092</v>
      </c>
      <c r="G135" s="92" t="s">
        <v>4093</v>
      </c>
      <c r="H135" s="89" t="s">
        <v>3892</v>
      </c>
      <c r="I135" s="90" t="s">
        <v>3893</v>
      </c>
      <c r="J135" s="89"/>
    </row>
    <row r="136" customFormat="false" ht="28.35" hidden="false" customHeight="false" outlineLevel="0" collapsed="false">
      <c r="A136" s="89" t="s">
        <v>231</v>
      </c>
      <c r="B136" s="89" t="s">
        <v>699</v>
      </c>
      <c r="C136" s="90" t="s">
        <v>700</v>
      </c>
      <c r="D136" s="92" t="s">
        <v>702</v>
      </c>
      <c r="E136" s="90" t="s">
        <v>284</v>
      </c>
      <c r="F136" s="90" t="s">
        <v>4094</v>
      </c>
      <c r="G136" s="92" t="s">
        <v>4095</v>
      </c>
      <c r="H136" s="89" t="s">
        <v>3876</v>
      </c>
      <c r="I136" s="90" t="s">
        <v>3877</v>
      </c>
      <c r="J136" s="89"/>
    </row>
    <row r="137" customFormat="false" ht="28.35" hidden="false" customHeight="false" outlineLevel="0" collapsed="false">
      <c r="A137" s="89" t="s">
        <v>231</v>
      </c>
      <c r="B137" s="89" t="s">
        <v>338</v>
      </c>
      <c r="C137" s="90" t="s">
        <v>340</v>
      </c>
      <c r="D137" s="92" t="s">
        <v>345</v>
      </c>
      <c r="E137" s="90" t="s">
        <v>284</v>
      </c>
      <c r="F137" s="90" t="s">
        <v>4096</v>
      </c>
      <c r="G137" s="92" t="s">
        <v>3875</v>
      </c>
      <c r="H137" s="89" t="s">
        <v>3876</v>
      </c>
      <c r="I137" s="90" t="s">
        <v>3877</v>
      </c>
      <c r="J137" s="89"/>
    </row>
    <row r="138" customFormat="false" ht="41.75" hidden="false" customHeight="false" outlineLevel="0" collapsed="false">
      <c r="A138" s="89" t="s">
        <v>231</v>
      </c>
      <c r="B138" s="89" t="s">
        <v>338</v>
      </c>
      <c r="C138" s="90" t="s">
        <v>340</v>
      </c>
      <c r="D138" s="92" t="s">
        <v>345</v>
      </c>
      <c r="E138" s="90" t="s">
        <v>3859</v>
      </c>
      <c r="F138" s="90" t="s">
        <v>4097</v>
      </c>
      <c r="G138" s="92" t="s">
        <v>4098</v>
      </c>
      <c r="H138" s="89" t="s">
        <v>3862</v>
      </c>
      <c r="I138" s="90" t="s">
        <v>3863</v>
      </c>
      <c r="J138" s="89"/>
    </row>
    <row r="139" customFormat="false" ht="68.65" hidden="false" customHeight="false" outlineLevel="0" collapsed="false">
      <c r="A139" s="89" t="s">
        <v>231</v>
      </c>
      <c r="B139" s="89" t="s">
        <v>338</v>
      </c>
      <c r="C139" s="90" t="s">
        <v>340</v>
      </c>
      <c r="D139" s="92" t="s">
        <v>345</v>
      </c>
      <c r="E139" s="90" t="s">
        <v>912</v>
      </c>
      <c r="F139" s="90" t="s">
        <v>4099</v>
      </c>
      <c r="G139" s="92" t="s">
        <v>3751</v>
      </c>
      <c r="H139" s="89" t="s">
        <v>3841</v>
      </c>
      <c r="I139" s="90" t="s">
        <v>4100</v>
      </c>
      <c r="J139" s="89"/>
    </row>
    <row r="140" customFormat="false" ht="28.35" hidden="false" customHeight="false" outlineLevel="0" collapsed="false">
      <c r="A140" s="89" t="s">
        <v>231</v>
      </c>
      <c r="B140" s="89" t="s">
        <v>338</v>
      </c>
      <c r="C140" s="90" t="s">
        <v>340</v>
      </c>
      <c r="D140" s="92" t="s">
        <v>345</v>
      </c>
      <c r="E140" s="90" t="s">
        <v>464</v>
      </c>
      <c r="F140" s="90" t="s">
        <v>4101</v>
      </c>
      <c r="G140" s="92" t="s">
        <v>4102</v>
      </c>
      <c r="H140" s="89" t="s">
        <v>80</v>
      </c>
      <c r="I140" s="90" t="s">
        <v>3854</v>
      </c>
      <c r="J140" s="89"/>
    </row>
    <row r="141" customFormat="false" ht="82.05" hidden="false" customHeight="false" outlineLevel="0" collapsed="false">
      <c r="A141" s="89" t="s">
        <v>231</v>
      </c>
      <c r="B141" s="89" t="s">
        <v>338</v>
      </c>
      <c r="C141" s="90" t="s">
        <v>340</v>
      </c>
      <c r="D141" s="92" t="s">
        <v>345</v>
      </c>
      <c r="E141" s="90" t="s">
        <v>4103</v>
      </c>
      <c r="F141" s="90" t="s">
        <v>4099</v>
      </c>
      <c r="G141" s="92" t="s">
        <v>4104</v>
      </c>
      <c r="H141" s="89" t="s">
        <v>3868</v>
      </c>
      <c r="I141" s="90" t="s">
        <v>4105</v>
      </c>
      <c r="J141" s="92" t="s">
        <v>3751</v>
      </c>
    </row>
    <row r="142" customFormat="false" ht="28.35" hidden="false" customHeight="false" outlineLevel="0" collapsed="false">
      <c r="A142" s="89" t="s">
        <v>231</v>
      </c>
      <c r="B142" s="89" t="s">
        <v>338</v>
      </c>
      <c r="C142" s="90" t="s">
        <v>340</v>
      </c>
      <c r="D142" s="92" t="s">
        <v>345</v>
      </c>
      <c r="E142" s="90" t="s">
        <v>360</v>
      </c>
      <c r="F142" s="90" t="s">
        <v>4106</v>
      </c>
      <c r="G142" s="92" t="s">
        <v>4107</v>
      </c>
      <c r="H142" s="89" t="s">
        <v>3892</v>
      </c>
      <c r="I142" s="90" t="s">
        <v>3893</v>
      </c>
      <c r="J142" s="89"/>
    </row>
    <row r="143" customFormat="false" ht="28.35" hidden="false" customHeight="false" outlineLevel="0" collapsed="false">
      <c r="A143" s="89" t="s">
        <v>231</v>
      </c>
      <c r="B143" s="89" t="s">
        <v>278</v>
      </c>
      <c r="C143" s="90" t="s">
        <v>280</v>
      </c>
      <c r="D143" s="92" t="s">
        <v>288</v>
      </c>
      <c r="E143" s="90" t="s">
        <v>284</v>
      </c>
      <c r="F143" s="90" t="s">
        <v>4108</v>
      </c>
      <c r="G143" s="92" t="s">
        <v>4109</v>
      </c>
      <c r="H143" s="89" t="s">
        <v>3837</v>
      </c>
      <c r="I143" s="90" t="s">
        <v>3838</v>
      </c>
      <c r="J143" s="89"/>
    </row>
    <row r="144" customFormat="false" ht="41.75" hidden="false" customHeight="false" outlineLevel="0" collapsed="false">
      <c r="A144" s="89" t="s">
        <v>231</v>
      </c>
      <c r="B144" s="89" t="s">
        <v>278</v>
      </c>
      <c r="C144" s="90" t="s">
        <v>280</v>
      </c>
      <c r="D144" s="92" t="s">
        <v>288</v>
      </c>
      <c r="E144" s="90" t="s">
        <v>614</v>
      </c>
      <c r="F144" s="90" t="s">
        <v>4110</v>
      </c>
      <c r="G144" s="92" t="s">
        <v>4111</v>
      </c>
      <c r="H144" s="89" t="s">
        <v>3872</v>
      </c>
      <c r="I144" s="90" t="s">
        <v>3873</v>
      </c>
      <c r="J144" s="89"/>
    </row>
    <row r="145" customFormat="false" ht="28.35" hidden="false" customHeight="false" outlineLevel="0" collapsed="false">
      <c r="A145" s="89" t="s">
        <v>231</v>
      </c>
      <c r="B145" s="89" t="s">
        <v>380</v>
      </c>
      <c r="C145" s="90" t="s">
        <v>381</v>
      </c>
      <c r="D145" s="92" t="s">
        <v>383</v>
      </c>
      <c r="E145" s="90" t="s">
        <v>284</v>
      </c>
      <c r="F145" s="90" t="s">
        <v>4112</v>
      </c>
      <c r="G145" s="92" t="s">
        <v>2923</v>
      </c>
      <c r="H145" s="89" t="s">
        <v>3837</v>
      </c>
      <c r="I145" s="90" t="s">
        <v>3838</v>
      </c>
      <c r="J145" s="89"/>
    </row>
    <row r="146" customFormat="false" ht="55.2" hidden="false" customHeight="false" outlineLevel="0" collapsed="false">
      <c r="A146" s="89" t="s">
        <v>231</v>
      </c>
      <c r="B146" s="89" t="s">
        <v>380</v>
      </c>
      <c r="C146" s="90" t="s">
        <v>381</v>
      </c>
      <c r="D146" s="92" t="s">
        <v>383</v>
      </c>
      <c r="E146" s="90" t="s">
        <v>4113</v>
      </c>
      <c r="F146" s="90" t="s">
        <v>4114</v>
      </c>
      <c r="G146" s="92" t="s">
        <v>4115</v>
      </c>
      <c r="H146" s="89" t="s">
        <v>3868</v>
      </c>
      <c r="I146" s="90" t="s">
        <v>4116</v>
      </c>
      <c r="J146" s="92" t="s">
        <v>3751</v>
      </c>
    </row>
    <row r="147" customFormat="false" ht="41.75" hidden="false" customHeight="false" outlineLevel="0" collapsed="false">
      <c r="A147" s="89" t="s">
        <v>231</v>
      </c>
      <c r="B147" s="89" t="s">
        <v>388</v>
      </c>
      <c r="C147" s="90" t="s">
        <v>390</v>
      </c>
      <c r="D147" s="92" t="s">
        <v>393</v>
      </c>
      <c r="E147" s="90" t="s">
        <v>3859</v>
      </c>
      <c r="F147" s="90" t="s">
        <v>4117</v>
      </c>
      <c r="G147" s="92" t="s">
        <v>4118</v>
      </c>
      <c r="H147" s="89" t="s">
        <v>3862</v>
      </c>
      <c r="I147" s="90" t="s">
        <v>3863</v>
      </c>
      <c r="J147" s="89"/>
    </row>
    <row r="148" customFormat="false" ht="68.65" hidden="false" customHeight="false" outlineLevel="0" collapsed="false">
      <c r="A148" s="89" t="s">
        <v>231</v>
      </c>
      <c r="B148" s="89" t="s">
        <v>388</v>
      </c>
      <c r="C148" s="90" t="s">
        <v>390</v>
      </c>
      <c r="D148" s="92" t="s">
        <v>393</v>
      </c>
      <c r="E148" s="90" t="s">
        <v>912</v>
      </c>
      <c r="F148" s="90" t="s">
        <v>4099</v>
      </c>
      <c r="G148" s="92" t="s">
        <v>3751</v>
      </c>
      <c r="H148" s="89" t="s">
        <v>3841</v>
      </c>
      <c r="I148" s="90" t="s">
        <v>4119</v>
      </c>
      <c r="J148" s="89"/>
    </row>
    <row r="149" customFormat="false" ht="28.35" hidden="false" customHeight="false" outlineLevel="0" collapsed="false">
      <c r="A149" s="89" t="s">
        <v>231</v>
      </c>
      <c r="B149" s="89" t="s">
        <v>388</v>
      </c>
      <c r="C149" s="90" t="s">
        <v>390</v>
      </c>
      <c r="D149" s="92" t="s">
        <v>393</v>
      </c>
      <c r="E149" s="90" t="s">
        <v>464</v>
      </c>
      <c r="F149" s="90" t="s">
        <v>4120</v>
      </c>
      <c r="G149" s="92" t="s">
        <v>4121</v>
      </c>
      <c r="H149" s="89" t="s">
        <v>80</v>
      </c>
      <c r="I149" s="90" t="s">
        <v>3854</v>
      </c>
      <c r="J149" s="89"/>
    </row>
    <row r="150" customFormat="false" ht="68.65" hidden="false" customHeight="false" outlineLevel="0" collapsed="false">
      <c r="A150" s="89" t="s">
        <v>231</v>
      </c>
      <c r="B150" s="89" t="s">
        <v>388</v>
      </c>
      <c r="C150" s="90" t="s">
        <v>390</v>
      </c>
      <c r="D150" s="92" t="s">
        <v>393</v>
      </c>
      <c r="E150" s="90" t="s">
        <v>4122</v>
      </c>
      <c r="F150" s="90" t="s">
        <v>4099</v>
      </c>
      <c r="G150" s="92" t="s">
        <v>4123</v>
      </c>
      <c r="H150" s="89" t="s">
        <v>3868</v>
      </c>
      <c r="I150" s="90" t="s">
        <v>4124</v>
      </c>
      <c r="J150" s="92" t="s">
        <v>3751</v>
      </c>
    </row>
    <row r="151" customFormat="false" ht="41.75" hidden="false" customHeight="false" outlineLevel="0" collapsed="false">
      <c r="A151" s="89" t="s">
        <v>231</v>
      </c>
      <c r="B151" s="89" t="s">
        <v>388</v>
      </c>
      <c r="C151" s="90" t="s">
        <v>390</v>
      </c>
      <c r="D151" s="92" t="s">
        <v>393</v>
      </c>
      <c r="E151" s="90" t="s">
        <v>614</v>
      </c>
      <c r="F151" s="90" t="s">
        <v>4125</v>
      </c>
      <c r="G151" s="92" t="s">
        <v>4126</v>
      </c>
      <c r="H151" s="89" t="s">
        <v>3872</v>
      </c>
      <c r="I151" s="90" t="s">
        <v>3873</v>
      </c>
      <c r="J151" s="89"/>
    </row>
    <row r="152" customFormat="false" ht="41.75" hidden="false" customHeight="false" outlineLevel="0" collapsed="false">
      <c r="A152" s="89" t="s">
        <v>231</v>
      </c>
      <c r="B152" s="89" t="s">
        <v>719</v>
      </c>
      <c r="C152" s="90" t="s">
        <v>721</v>
      </c>
      <c r="D152" s="92" t="s">
        <v>723</v>
      </c>
      <c r="E152" s="90" t="s">
        <v>284</v>
      </c>
      <c r="F152" s="90" t="s">
        <v>4127</v>
      </c>
      <c r="G152" s="92" t="s">
        <v>2962</v>
      </c>
      <c r="H152" s="89" t="s">
        <v>3837</v>
      </c>
      <c r="I152" s="90" t="s">
        <v>3838</v>
      </c>
      <c r="J152" s="89"/>
    </row>
    <row r="153" customFormat="false" ht="28.35" hidden="false" customHeight="false" outlineLevel="0" collapsed="false">
      <c r="A153" s="89" t="s">
        <v>231</v>
      </c>
      <c r="B153" s="89" t="s">
        <v>289</v>
      </c>
      <c r="C153" s="90" t="s">
        <v>290</v>
      </c>
      <c r="D153" s="92" t="s">
        <v>294</v>
      </c>
      <c r="E153" s="90" t="s">
        <v>284</v>
      </c>
      <c r="F153" s="90" t="s">
        <v>4128</v>
      </c>
      <c r="G153" s="92" t="s">
        <v>3844</v>
      </c>
      <c r="H153" s="89" t="s">
        <v>3837</v>
      </c>
      <c r="I153" s="90" t="s">
        <v>3838</v>
      </c>
      <c r="J153" s="89"/>
    </row>
    <row r="154" customFormat="false" ht="28.35" hidden="false" customHeight="false" outlineLevel="0" collapsed="false">
      <c r="A154" s="89" t="s">
        <v>231</v>
      </c>
      <c r="B154" s="89" t="s">
        <v>401</v>
      </c>
      <c r="C154" s="90" t="s">
        <v>403</v>
      </c>
      <c r="D154" s="92" t="s">
        <v>407</v>
      </c>
      <c r="E154" s="90" t="s">
        <v>284</v>
      </c>
      <c r="F154" s="90" t="s">
        <v>4129</v>
      </c>
      <c r="G154" s="92" t="s">
        <v>3149</v>
      </c>
      <c r="H154" s="89" t="s">
        <v>3837</v>
      </c>
      <c r="I154" s="90" t="s">
        <v>3838</v>
      </c>
      <c r="J154" s="89"/>
    </row>
    <row r="155" customFormat="false" ht="28.35" hidden="false" customHeight="false" outlineLevel="0" collapsed="false">
      <c r="A155" s="89" t="s">
        <v>231</v>
      </c>
      <c r="B155" s="89" t="s">
        <v>724</v>
      </c>
      <c r="C155" s="90" t="s">
        <v>726</v>
      </c>
      <c r="D155" s="92" t="s">
        <v>730</v>
      </c>
      <c r="E155" s="90" t="s">
        <v>284</v>
      </c>
      <c r="F155" s="90" t="s">
        <v>4130</v>
      </c>
      <c r="G155" s="92" t="s">
        <v>3028</v>
      </c>
      <c r="H155" s="89" t="s">
        <v>3837</v>
      </c>
      <c r="I155" s="90" t="s">
        <v>3838</v>
      </c>
      <c r="J155" s="89"/>
    </row>
    <row r="156" customFormat="false" ht="28.35" hidden="false" customHeight="false" outlineLevel="0" collapsed="false">
      <c r="A156" s="89" t="s">
        <v>231</v>
      </c>
      <c r="B156" s="89" t="s">
        <v>724</v>
      </c>
      <c r="C156" s="90" t="s">
        <v>726</v>
      </c>
      <c r="D156" s="92" t="s">
        <v>730</v>
      </c>
      <c r="E156" s="90" t="s">
        <v>3859</v>
      </c>
      <c r="F156" s="90" t="s">
        <v>4131</v>
      </c>
      <c r="G156" s="92" t="s">
        <v>1956</v>
      </c>
      <c r="H156" s="89" t="s">
        <v>3971</v>
      </c>
      <c r="I156" s="90" t="s">
        <v>3972</v>
      </c>
      <c r="J156" s="89"/>
    </row>
    <row r="157" customFormat="false" ht="41.75" hidden="false" customHeight="false" outlineLevel="0" collapsed="false">
      <c r="A157" s="89" t="s">
        <v>231</v>
      </c>
      <c r="B157" s="89" t="s">
        <v>724</v>
      </c>
      <c r="C157" s="90" t="s">
        <v>726</v>
      </c>
      <c r="D157" s="92" t="s">
        <v>730</v>
      </c>
      <c r="E157" s="90" t="s">
        <v>912</v>
      </c>
      <c r="F157" s="90" t="s">
        <v>4132</v>
      </c>
      <c r="G157" s="92" t="s">
        <v>3751</v>
      </c>
      <c r="H157" s="89" t="s">
        <v>3841</v>
      </c>
      <c r="I157" s="90" t="s">
        <v>4133</v>
      </c>
      <c r="J157" s="89"/>
    </row>
    <row r="158" customFormat="false" ht="28.35" hidden="false" customHeight="false" outlineLevel="0" collapsed="false">
      <c r="A158" s="89" t="s">
        <v>231</v>
      </c>
      <c r="B158" s="89" t="s">
        <v>724</v>
      </c>
      <c r="C158" s="90" t="s">
        <v>726</v>
      </c>
      <c r="D158" s="92" t="s">
        <v>730</v>
      </c>
      <c r="E158" s="90" t="s">
        <v>464</v>
      </c>
      <c r="F158" s="90" t="s">
        <v>4134</v>
      </c>
      <c r="G158" s="92" t="s">
        <v>4135</v>
      </c>
      <c r="H158" s="89" t="s">
        <v>80</v>
      </c>
      <c r="I158" s="90" t="s">
        <v>3854</v>
      </c>
      <c r="J158" s="89"/>
    </row>
    <row r="159" customFormat="false" ht="41.75" hidden="false" customHeight="false" outlineLevel="0" collapsed="false">
      <c r="A159" s="89" t="s">
        <v>231</v>
      </c>
      <c r="B159" s="89" t="s">
        <v>724</v>
      </c>
      <c r="C159" s="90" t="s">
        <v>726</v>
      </c>
      <c r="D159" s="92" t="s">
        <v>730</v>
      </c>
      <c r="E159" s="90" t="s">
        <v>4136</v>
      </c>
      <c r="F159" s="90" t="s">
        <v>4132</v>
      </c>
      <c r="G159" s="92" t="s">
        <v>3751</v>
      </c>
      <c r="H159" s="89" t="s">
        <v>3841</v>
      </c>
      <c r="I159" s="90" t="s">
        <v>4137</v>
      </c>
      <c r="J159" s="89"/>
    </row>
    <row r="160" customFormat="false" ht="41.75" hidden="false" customHeight="false" outlineLevel="0" collapsed="false">
      <c r="A160" s="89" t="s">
        <v>231</v>
      </c>
      <c r="B160" s="89" t="s">
        <v>724</v>
      </c>
      <c r="C160" s="90" t="s">
        <v>726</v>
      </c>
      <c r="D160" s="92" t="s">
        <v>730</v>
      </c>
      <c r="E160" s="90" t="s">
        <v>614</v>
      </c>
      <c r="F160" s="90" t="s">
        <v>4138</v>
      </c>
      <c r="G160" s="92" t="s">
        <v>4139</v>
      </c>
      <c r="H160" s="89" t="s">
        <v>3872</v>
      </c>
      <c r="I160" s="90" t="s">
        <v>3873</v>
      </c>
      <c r="J160" s="89"/>
    </row>
    <row r="161" customFormat="false" ht="28.35" hidden="false" customHeight="false" outlineLevel="0" collapsed="false">
      <c r="A161" s="89" t="s">
        <v>231</v>
      </c>
      <c r="B161" s="89" t="s">
        <v>724</v>
      </c>
      <c r="C161" s="90" t="s">
        <v>726</v>
      </c>
      <c r="D161" s="92" t="s">
        <v>730</v>
      </c>
      <c r="E161" s="90" t="s">
        <v>360</v>
      </c>
      <c r="F161" s="90" t="s">
        <v>4140</v>
      </c>
      <c r="G161" s="92" t="s">
        <v>4141</v>
      </c>
      <c r="H161" s="89" t="s">
        <v>4035</v>
      </c>
      <c r="I161" s="90" t="s">
        <v>4036</v>
      </c>
      <c r="J161" s="89"/>
    </row>
    <row r="162" customFormat="false" ht="28.35" hidden="false" customHeight="false" outlineLevel="0" collapsed="false">
      <c r="A162" s="89" t="s">
        <v>231</v>
      </c>
      <c r="B162" s="89" t="s">
        <v>419</v>
      </c>
      <c r="C162" s="90" t="s">
        <v>421</v>
      </c>
      <c r="D162" s="92" t="s">
        <v>425</v>
      </c>
      <c r="E162" s="90" t="s">
        <v>464</v>
      </c>
      <c r="F162" s="90" t="s">
        <v>4142</v>
      </c>
      <c r="G162" s="92" t="s">
        <v>4143</v>
      </c>
      <c r="H162" s="89" t="s">
        <v>80</v>
      </c>
      <c r="I162" s="90" t="s">
        <v>3854</v>
      </c>
      <c r="J162" s="89"/>
    </row>
    <row r="163" customFormat="false" ht="41.75" hidden="false" customHeight="false" outlineLevel="0" collapsed="false">
      <c r="A163" s="89" t="s">
        <v>231</v>
      </c>
      <c r="B163" s="89" t="s">
        <v>732</v>
      </c>
      <c r="C163" s="90" t="s">
        <v>734</v>
      </c>
      <c r="D163" s="92" t="s">
        <v>736</v>
      </c>
      <c r="E163" s="90" t="s">
        <v>614</v>
      </c>
      <c r="F163" s="90" t="s">
        <v>4144</v>
      </c>
      <c r="G163" s="92" t="s">
        <v>4145</v>
      </c>
      <c r="H163" s="89" t="s">
        <v>3872</v>
      </c>
      <c r="I163" s="90" t="s">
        <v>3873</v>
      </c>
      <c r="J163" s="89"/>
    </row>
    <row r="164" customFormat="false" ht="28.35" hidden="false" customHeight="false" outlineLevel="0" collapsed="false">
      <c r="A164" s="89" t="s">
        <v>231</v>
      </c>
      <c r="B164" s="89" t="s">
        <v>295</v>
      </c>
      <c r="C164" s="90" t="s">
        <v>296</v>
      </c>
      <c r="D164" s="92" t="s">
        <v>298</v>
      </c>
      <c r="E164" s="90" t="s">
        <v>284</v>
      </c>
      <c r="F164" s="90" t="s">
        <v>4146</v>
      </c>
      <c r="G164" s="92" t="s">
        <v>4147</v>
      </c>
      <c r="H164" s="89" t="s">
        <v>3837</v>
      </c>
      <c r="I164" s="90" t="s">
        <v>3838</v>
      </c>
      <c r="J164" s="89"/>
    </row>
    <row r="165" customFormat="false" ht="41.75" hidden="false" customHeight="false" outlineLevel="0" collapsed="false">
      <c r="A165" s="89" t="s">
        <v>231</v>
      </c>
      <c r="B165" s="89" t="s">
        <v>295</v>
      </c>
      <c r="C165" s="90" t="s">
        <v>296</v>
      </c>
      <c r="D165" s="92" t="s">
        <v>298</v>
      </c>
      <c r="E165" s="90" t="s">
        <v>3859</v>
      </c>
      <c r="F165" s="90" t="s">
        <v>4148</v>
      </c>
      <c r="G165" s="92" t="s">
        <v>4149</v>
      </c>
      <c r="H165" s="89" t="s">
        <v>3862</v>
      </c>
      <c r="I165" s="90" t="s">
        <v>3863</v>
      </c>
      <c r="J165" s="89"/>
    </row>
    <row r="166" customFormat="false" ht="55.2" hidden="false" customHeight="false" outlineLevel="0" collapsed="false">
      <c r="A166" s="89" t="s">
        <v>231</v>
      </c>
      <c r="B166" s="89" t="s">
        <v>295</v>
      </c>
      <c r="C166" s="90" t="s">
        <v>296</v>
      </c>
      <c r="D166" s="92" t="s">
        <v>298</v>
      </c>
      <c r="E166" s="90" t="s">
        <v>912</v>
      </c>
      <c r="F166" s="90" t="s">
        <v>4150</v>
      </c>
      <c r="G166" s="92" t="s">
        <v>3751</v>
      </c>
      <c r="H166" s="89" t="s">
        <v>3841</v>
      </c>
      <c r="I166" s="90" t="s">
        <v>4151</v>
      </c>
      <c r="J166" s="89"/>
    </row>
    <row r="167" customFormat="false" ht="68.65" hidden="false" customHeight="false" outlineLevel="0" collapsed="false">
      <c r="A167" s="89" t="s">
        <v>231</v>
      </c>
      <c r="B167" s="89" t="s">
        <v>295</v>
      </c>
      <c r="C167" s="90" t="s">
        <v>296</v>
      </c>
      <c r="D167" s="92" t="s">
        <v>298</v>
      </c>
      <c r="E167" s="90" t="s">
        <v>4152</v>
      </c>
      <c r="F167" s="90" t="s">
        <v>4150</v>
      </c>
      <c r="G167" s="92" t="s">
        <v>3751</v>
      </c>
      <c r="H167" s="89" t="s">
        <v>3841</v>
      </c>
      <c r="I167" s="90" t="s">
        <v>4153</v>
      </c>
      <c r="J167" s="89"/>
    </row>
    <row r="168" customFormat="false" ht="28.35" hidden="false" customHeight="false" outlineLevel="0" collapsed="false">
      <c r="A168" s="89" t="s">
        <v>231</v>
      </c>
      <c r="B168" s="89" t="s">
        <v>295</v>
      </c>
      <c r="C168" s="90" t="s">
        <v>296</v>
      </c>
      <c r="D168" s="92" t="s">
        <v>298</v>
      </c>
      <c r="E168" s="90" t="s">
        <v>360</v>
      </c>
      <c r="F168" s="90" t="s">
        <v>4154</v>
      </c>
      <c r="G168" s="92" t="s">
        <v>4155</v>
      </c>
      <c r="H168" s="89" t="s">
        <v>3892</v>
      </c>
      <c r="I168" s="90" t="s">
        <v>3893</v>
      </c>
      <c r="J168" s="89"/>
    </row>
    <row r="169" customFormat="false" ht="41.75" hidden="false" customHeight="false" outlineLevel="0" collapsed="false">
      <c r="A169" s="89" t="s">
        <v>231</v>
      </c>
      <c r="B169" s="89" t="s">
        <v>466</v>
      </c>
      <c r="C169" s="90" t="s">
        <v>468</v>
      </c>
      <c r="D169" s="92" t="s">
        <v>470</v>
      </c>
      <c r="E169" s="90" t="s">
        <v>453</v>
      </c>
      <c r="F169" s="90" t="s">
        <v>4156</v>
      </c>
      <c r="G169" s="92" t="s">
        <v>3751</v>
      </c>
      <c r="H169" s="89" t="s">
        <v>3841</v>
      </c>
      <c r="I169" s="90" t="s">
        <v>4157</v>
      </c>
      <c r="J169" s="89"/>
    </row>
    <row r="170" customFormat="false" ht="28.35" hidden="false" customHeight="false" outlineLevel="0" collapsed="false">
      <c r="A170" s="89" t="s">
        <v>231</v>
      </c>
      <c r="B170" s="89" t="s">
        <v>75</v>
      </c>
      <c r="C170" s="90" t="s">
        <v>513</v>
      </c>
      <c r="D170" s="92" t="s">
        <v>517</v>
      </c>
      <c r="E170" s="90" t="s">
        <v>284</v>
      </c>
      <c r="F170" s="90" t="s">
        <v>4158</v>
      </c>
      <c r="G170" s="92" t="s">
        <v>4159</v>
      </c>
      <c r="H170" s="89" t="s">
        <v>3837</v>
      </c>
      <c r="I170" s="90" t="s">
        <v>3838</v>
      </c>
      <c r="J170" s="89"/>
    </row>
    <row r="171" customFormat="false" ht="41.75" hidden="false" customHeight="false" outlineLevel="0" collapsed="false">
      <c r="A171" s="89" t="s">
        <v>231</v>
      </c>
      <c r="B171" s="89" t="s">
        <v>744</v>
      </c>
      <c r="C171" s="90" t="s">
        <v>746</v>
      </c>
      <c r="D171" s="92" t="s">
        <v>748</v>
      </c>
      <c r="E171" s="90" t="s">
        <v>284</v>
      </c>
      <c r="F171" s="90" t="s">
        <v>4160</v>
      </c>
      <c r="G171" s="92" t="s">
        <v>3471</v>
      </c>
      <c r="H171" s="89" t="s">
        <v>3837</v>
      </c>
      <c r="I171" s="90" t="s">
        <v>3838</v>
      </c>
      <c r="J171" s="89"/>
    </row>
    <row r="172" customFormat="false" ht="28.35" hidden="false" customHeight="false" outlineLevel="0" collapsed="false">
      <c r="A172" s="89" t="s">
        <v>231</v>
      </c>
      <c r="B172" s="89" t="s">
        <v>529</v>
      </c>
      <c r="C172" s="90" t="s">
        <v>531</v>
      </c>
      <c r="D172" s="92" t="s">
        <v>533</v>
      </c>
      <c r="E172" s="90" t="s">
        <v>284</v>
      </c>
      <c r="F172" s="90" t="s">
        <v>4161</v>
      </c>
      <c r="G172" s="92" t="s">
        <v>4162</v>
      </c>
      <c r="H172" s="89" t="s">
        <v>3837</v>
      </c>
      <c r="I172" s="90" t="s">
        <v>3838</v>
      </c>
      <c r="J172" s="89"/>
    </row>
    <row r="173" customFormat="false" ht="41.75" hidden="false" customHeight="false" outlineLevel="0" collapsed="false">
      <c r="A173" s="89" t="s">
        <v>231</v>
      </c>
      <c r="B173" s="89" t="s">
        <v>529</v>
      </c>
      <c r="C173" s="90" t="s">
        <v>531</v>
      </c>
      <c r="D173" s="92" t="s">
        <v>533</v>
      </c>
      <c r="E173" s="90" t="s">
        <v>4163</v>
      </c>
      <c r="F173" s="90" t="s">
        <v>4164</v>
      </c>
      <c r="G173" s="92" t="s">
        <v>3751</v>
      </c>
      <c r="H173" s="89" t="s">
        <v>3841</v>
      </c>
      <c r="I173" s="90" t="s">
        <v>4165</v>
      </c>
      <c r="J173" s="89"/>
    </row>
    <row r="174" customFormat="false" ht="41.75" hidden="false" customHeight="false" outlineLevel="0" collapsed="false">
      <c r="A174" s="89" t="s">
        <v>231</v>
      </c>
      <c r="B174" s="89" t="s">
        <v>529</v>
      </c>
      <c r="C174" s="90" t="s">
        <v>531</v>
      </c>
      <c r="D174" s="92" t="s">
        <v>533</v>
      </c>
      <c r="E174" s="90" t="s">
        <v>614</v>
      </c>
      <c r="F174" s="90" t="s">
        <v>4166</v>
      </c>
      <c r="G174" s="92" t="s">
        <v>4167</v>
      </c>
      <c r="H174" s="89" t="s">
        <v>3872</v>
      </c>
      <c r="I174" s="90" t="s">
        <v>3873</v>
      </c>
      <c r="J174" s="89"/>
    </row>
    <row r="175" customFormat="false" ht="28.35" hidden="false" customHeight="false" outlineLevel="0" collapsed="false">
      <c r="A175" s="89" t="s">
        <v>231</v>
      </c>
      <c r="B175" s="89" t="s">
        <v>304</v>
      </c>
      <c r="C175" s="90" t="s">
        <v>305</v>
      </c>
      <c r="D175" s="92" t="s">
        <v>307</v>
      </c>
      <c r="E175" s="90" t="s">
        <v>284</v>
      </c>
      <c r="F175" s="90" t="s">
        <v>4168</v>
      </c>
      <c r="G175" s="92" t="s">
        <v>3584</v>
      </c>
      <c r="H175" s="89" t="s">
        <v>3837</v>
      </c>
      <c r="I175" s="90" t="s">
        <v>3838</v>
      </c>
      <c r="J175" s="89"/>
    </row>
    <row r="176" customFormat="false" ht="28.35" hidden="false" customHeight="false" outlineLevel="0" collapsed="false">
      <c r="A176" s="89" t="s">
        <v>231</v>
      </c>
      <c r="B176" s="89" t="s">
        <v>541</v>
      </c>
      <c r="C176" s="90" t="s">
        <v>543</v>
      </c>
      <c r="D176" s="92" t="s">
        <v>547</v>
      </c>
      <c r="E176" s="90" t="s">
        <v>284</v>
      </c>
      <c r="F176" s="90" t="s">
        <v>4169</v>
      </c>
      <c r="G176" s="92" t="s">
        <v>3598</v>
      </c>
      <c r="H176" s="89" t="s">
        <v>3837</v>
      </c>
      <c r="I176" s="90" t="s">
        <v>3838</v>
      </c>
      <c r="J176" s="89"/>
    </row>
    <row r="177" customFormat="false" ht="15" hidden="false" customHeight="false" outlineLevel="0" collapsed="false">
      <c r="A177" s="89" t="s">
        <v>231</v>
      </c>
      <c r="B177" s="89" t="s">
        <v>552</v>
      </c>
      <c r="C177" s="90" t="s">
        <v>553</v>
      </c>
      <c r="D177" s="92" t="s">
        <v>555</v>
      </c>
      <c r="E177" s="90" t="s">
        <v>284</v>
      </c>
      <c r="F177" s="90" t="s">
        <v>4170</v>
      </c>
      <c r="G177" s="92" t="s">
        <v>4171</v>
      </c>
      <c r="H177" s="89" t="s">
        <v>3876</v>
      </c>
      <c r="I177" s="90" t="s">
        <v>3877</v>
      </c>
      <c r="J177" s="89"/>
    </row>
    <row r="178" customFormat="false" ht="28.35" hidden="false" customHeight="false" outlineLevel="0" collapsed="false">
      <c r="A178" s="89" t="s">
        <v>231</v>
      </c>
      <c r="B178" s="89" t="s">
        <v>754</v>
      </c>
      <c r="C178" s="90" t="s">
        <v>756</v>
      </c>
      <c r="D178" s="92" t="s">
        <v>758</v>
      </c>
      <c r="E178" s="90" t="s">
        <v>284</v>
      </c>
      <c r="F178" s="90" t="s">
        <v>4172</v>
      </c>
      <c r="G178" s="92" t="s">
        <v>4173</v>
      </c>
      <c r="H178" s="89" t="s">
        <v>3837</v>
      </c>
      <c r="I178" s="90" t="s">
        <v>3838</v>
      </c>
      <c r="J178" s="89"/>
    </row>
    <row r="179" customFormat="false" ht="28.35" hidden="false" customHeight="false" outlineLevel="0" collapsed="false">
      <c r="A179" s="89" t="s">
        <v>231</v>
      </c>
      <c r="B179" s="89" t="s">
        <v>754</v>
      </c>
      <c r="C179" s="90" t="s">
        <v>756</v>
      </c>
      <c r="D179" s="92" t="s">
        <v>758</v>
      </c>
      <c r="E179" s="90" t="s">
        <v>464</v>
      </c>
      <c r="F179" s="90" t="s">
        <v>4174</v>
      </c>
      <c r="G179" s="92" t="s">
        <v>4175</v>
      </c>
      <c r="H179" s="89" t="s">
        <v>4176</v>
      </c>
      <c r="I179" s="90" t="s">
        <v>4177</v>
      </c>
      <c r="J179" s="89"/>
    </row>
    <row r="180" customFormat="false" ht="28.35" hidden="false" customHeight="false" outlineLevel="0" collapsed="false">
      <c r="A180" s="89" t="s">
        <v>231</v>
      </c>
      <c r="B180" s="89" t="s">
        <v>665</v>
      </c>
      <c r="C180" s="90" t="s">
        <v>667</v>
      </c>
      <c r="D180" s="92" t="s">
        <v>670</v>
      </c>
      <c r="E180" s="90" t="s">
        <v>284</v>
      </c>
      <c r="F180" s="90" t="s">
        <v>4178</v>
      </c>
      <c r="G180" s="92" t="s">
        <v>4179</v>
      </c>
      <c r="H180" s="89" t="s">
        <v>3837</v>
      </c>
      <c r="I180" s="90" t="s">
        <v>3838</v>
      </c>
      <c r="J180" s="89"/>
    </row>
    <row r="181" customFormat="false" ht="41.75" hidden="false" customHeight="false" outlineLevel="0" collapsed="false">
      <c r="A181" s="89" t="s">
        <v>231</v>
      </c>
      <c r="B181" s="89" t="s">
        <v>665</v>
      </c>
      <c r="C181" s="90" t="s">
        <v>667</v>
      </c>
      <c r="D181" s="92" t="s">
        <v>670</v>
      </c>
      <c r="E181" s="90" t="s">
        <v>3859</v>
      </c>
      <c r="F181" s="90" t="s">
        <v>4180</v>
      </c>
      <c r="G181" s="92" t="s">
        <v>1953</v>
      </c>
      <c r="H181" s="89" t="s">
        <v>3971</v>
      </c>
      <c r="I181" s="90" t="s">
        <v>3972</v>
      </c>
      <c r="J181" s="89"/>
    </row>
    <row r="182" customFormat="false" ht="68.65" hidden="false" customHeight="false" outlineLevel="0" collapsed="false">
      <c r="A182" s="89" t="s">
        <v>231</v>
      </c>
      <c r="B182" s="89" t="s">
        <v>665</v>
      </c>
      <c r="C182" s="90" t="s">
        <v>667</v>
      </c>
      <c r="D182" s="92" t="s">
        <v>670</v>
      </c>
      <c r="E182" s="90" t="s">
        <v>912</v>
      </c>
      <c r="F182" s="90" t="s">
        <v>4181</v>
      </c>
      <c r="G182" s="92" t="s">
        <v>3751</v>
      </c>
      <c r="H182" s="89" t="s">
        <v>3841</v>
      </c>
      <c r="I182" s="90" t="s">
        <v>4182</v>
      </c>
      <c r="J182" s="89"/>
    </row>
    <row r="183" customFormat="false" ht="108.95" hidden="false" customHeight="false" outlineLevel="0" collapsed="false">
      <c r="A183" s="89" t="s">
        <v>231</v>
      </c>
      <c r="B183" s="89" t="s">
        <v>665</v>
      </c>
      <c r="C183" s="90" t="s">
        <v>667</v>
      </c>
      <c r="D183" s="92" t="s">
        <v>670</v>
      </c>
      <c r="E183" s="90" t="s">
        <v>4183</v>
      </c>
      <c r="F183" s="90" t="s">
        <v>4181</v>
      </c>
      <c r="G183" s="92" t="s">
        <v>4184</v>
      </c>
      <c r="H183" s="89" t="s">
        <v>3868</v>
      </c>
      <c r="I183" s="90" t="s">
        <v>4185</v>
      </c>
      <c r="J183" s="92" t="s">
        <v>3751</v>
      </c>
    </row>
    <row r="184" customFormat="false" ht="41.75" hidden="false" customHeight="false" outlineLevel="0" collapsed="false">
      <c r="A184" s="89" t="s">
        <v>231</v>
      </c>
      <c r="B184" s="89" t="s">
        <v>665</v>
      </c>
      <c r="C184" s="90" t="s">
        <v>667</v>
      </c>
      <c r="D184" s="92" t="s">
        <v>670</v>
      </c>
      <c r="E184" s="90" t="s">
        <v>614</v>
      </c>
      <c r="F184" s="90" t="s">
        <v>4186</v>
      </c>
      <c r="G184" s="92" t="s">
        <v>4187</v>
      </c>
      <c r="H184" s="89" t="s">
        <v>3872</v>
      </c>
      <c r="I184" s="90" t="s">
        <v>3873</v>
      </c>
      <c r="J184" s="89"/>
    </row>
    <row r="185" customFormat="false" ht="28.35" hidden="false" customHeight="false" outlineLevel="0" collapsed="false">
      <c r="A185" s="89" t="s">
        <v>231</v>
      </c>
      <c r="B185" s="89" t="s">
        <v>665</v>
      </c>
      <c r="C185" s="90" t="s">
        <v>667</v>
      </c>
      <c r="D185" s="92" t="s">
        <v>670</v>
      </c>
      <c r="E185" s="90" t="s">
        <v>360</v>
      </c>
      <c r="F185" s="90" t="s">
        <v>4188</v>
      </c>
      <c r="G185" s="92" t="s">
        <v>4189</v>
      </c>
      <c r="H185" s="89" t="s">
        <v>3892</v>
      </c>
      <c r="I185" s="90" t="s">
        <v>3893</v>
      </c>
      <c r="J185" s="89"/>
    </row>
    <row r="186" customFormat="false" ht="41.75" hidden="false" customHeight="false" outlineLevel="0" collapsed="false">
      <c r="A186" s="89" t="s">
        <v>231</v>
      </c>
      <c r="B186" s="89" t="s">
        <v>763</v>
      </c>
      <c r="C186" s="90" t="s">
        <v>764</v>
      </c>
      <c r="D186" s="92" t="s">
        <v>766</v>
      </c>
      <c r="E186" s="90" t="s">
        <v>284</v>
      </c>
      <c r="F186" s="90" t="s">
        <v>4190</v>
      </c>
      <c r="G186" s="92" t="s">
        <v>3573</v>
      </c>
      <c r="H186" s="89" t="s">
        <v>3837</v>
      </c>
      <c r="I186" s="90" t="s">
        <v>3838</v>
      </c>
      <c r="J186" s="89"/>
    </row>
    <row r="187" customFormat="false" ht="41.75" hidden="false" customHeight="false" outlineLevel="0" collapsed="false">
      <c r="A187" s="89" t="s">
        <v>231</v>
      </c>
      <c r="B187" s="89" t="s">
        <v>308</v>
      </c>
      <c r="C187" s="90" t="s">
        <v>309</v>
      </c>
      <c r="D187" s="92" t="s">
        <v>313</v>
      </c>
      <c r="E187" s="90" t="s">
        <v>284</v>
      </c>
      <c r="F187" s="90" t="s">
        <v>4191</v>
      </c>
      <c r="G187" s="92" t="s">
        <v>3851</v>
      </c>
      <c r="H187" s="89" t="s">
        <v>3837</v>
      </c>
      <c r="I187" s="90" t="s">
        <v>3838</v>
      </c>
      <c r="J187" s="89"/>
    </row>
    <row r="188" customFormat="false" ht="41.75" hidden="false" customHeight="false" outlineLevel="0" collapsed="false">
      <c r="A188" s="89" t="s">
        <v>232</v>
      </c>
      <c r="B188" s="89" t="s">
        <v>768</v>
      </c>
      <c r="C188" s="90" t="s">
        <v>770</v>
      </c>
      <c r="D188" s="92" t="s">
        <v>774</v>
      </c>
      <c r="E188" s="90" t="s">
        <v>3859</v>
      </c>
      <c r="F188" s="90" t="s">
        <v>4192</v>
      </c>
      <c r="G188" s="92" t="s">
        <v>2032</v>
      </c>
      <c r="H188" s="89" t="s">
        <v>3971</v>
      </c>
      <c r="I188" s="90" t="s">
        <v>3972</v>
      </c>
      <c r="J188" s="89"/>
    </row>
    <row r="189" customFormat="false" ht="41.75" hidden="false" customHeight="false" outlineLevel="0" collapsed="false">
      <c r="A189" s="89" t="s">
        <v>232</v>
      </c>
      <c r="B189" s="89" t="s">
        <v>768</v>
      </c>
      <c r="C189" s="90" t="s">
        <v>770</v>
      </c>
      <c r="D189" s="92" t="s">
        <v>774</v>
      </c>
      <c r="E189" s="90" t="s">
        <v>912</v>
      </c>
      <c r="F189" s="90" t="s">
        <v>4193</v>
      </c>
      <c r="G189" s="92" t="s">
        <v>3751</v>
      </c>
      <c r="H189" s="89" t="s">
        <v>3841</v>
      </c>
      <c r="I189" s="90" t="s">
        <v>4194</v>
      </c>
      <c r="J189" s="89"/>
    </row>
    <row r="190" customFormat="false" ht="41.75" hidden="false" customHeight="false" outlineLevel="0" collapsed="false">
      <c r="A190" s="89" t="s">
        <v>232</v>
      </c>
      <c r="B190" s="89" t="s">
        <v>775</v>
      </c>
      <c r="C190" s="90" t="s">
        <v>777</v>
      </c>
      <c r="D190" s="92" t="s">
        <v>781</v>
      </c>
      <c r="E190" s="90" t="s">
        <v>3859</v>
      </c>
      <c r="F190" s="90" t="s">
        <v>4195</v>
      </c>
      <c r="G190" s="92" t="s">
        <v>2030</v>
      </c>
      <c r="H190" s="89" t="s">
        <v>3971</v>
      </c>
      <c r="I190" s="90" t="s">
        <v>3972</v>
      </c>
      <c r="J190" s="89"/>
    </row>
    <row r="191" customFormat="false" ht="41.75" hidden="false" customHeight="false" outlineLevel="0" collapsed="false">
      <c r="A191" s="89" t="s">
        <v>232</v>
      </c>
      <c r="B191" s="89" t="s">
        <v>775</v>
      </c>
      <c r="C191" s="90" t="s">
        <v>777</v>
      </c>
      <c r="D191" s="92" t="s">
        <v>781</v>
      </c>
      <c r="E191" s="90" t="s">
        <v>912</v>
      </c>
      <c r="F191" s="90" t="s">
        <v>4196</v>
      </c>
      <c r="G191" s="92" t="s">
        <v>3751</v>
      </c>
      <c r="H191" s="89" t="s">
        <v>3841</v>
      </c>
      <c r="I191" s="90" t="s">
        <v>4197</v>
      </c>
      <c r="J191" s="89"/>
    </row>
    <row r="192" customFormat="false" ht="28.35" hidden="false" customHeight="false" outlineLevel="0" collapsed="false">
      <c r="A192" s="89" t="s">
        <v>232</v>
      </c>
      <c r="B192" s="89" t="s">
        <v>775</v>
      </c>
      <c r="C192" s="90" t="s">
        <v>777</v>
      </c>
      <c r="D192" s="92" t="s">
        <v>781</v>
      </c>
      <c r="E192" s="90" t="s">
        <v>464</v>
      </c>
      <c r="F192" s="90" t="s">
        <v>4198</v>
      </c>
      <c r="G192" s="92" t="s">
        <v>4199</v>
      </c>
      <c r="H192" s="89" t="s">
        <v>80</v>
      </c>
      <c r="I192" s="90" t="s">
        <v>3854</v>
      </c>
      <c r="J192" s="89"/>
    </row>
    <row r="193" customFormat="false" ht="41.75" hidden="false" customHeight="false" outlineLevel="0" collapsed="false">
      <c r="A193" s="89" t="s">
        <v>232</v>
      </c>
      <c r="B193" s="89" t="s">
        <v>775</v>
      </c>
      <c r="C193" s="90" t="s">
        <v>777</v>
      </c>
      <c r="D193" s="92" t="s">
        <v>781</v>
      </c>
      <c r="E193" s="90" t="s">
        <v>4200</v>
      </c>
      <c r="F193" s="90" t="s">
        <v>4196</v>
      </c>
      <c r="G193" s="92" t="s">
        <v>3751</v>
      </c>
      <c r="H193" s="89" t="s">
        <v>3841</v>
      </c>
      <c r="I193" s="90" t="s">
        <v>4201</v>
      </c>
      <c r="J193" s="89"/>
    </row>
    <row r="194" customFormat="false" ht="41.75" hidden="false" customHeight="false" outlineLevel="0" collapsed="false">
      <c r="A194" s="89" t="s">
        <v>232</v>
      </c>
      <c r="B194" s="89" t="s">
        <v>775</v>
      </c>
      <c r="C194" s="90" t="s">
        <v>777</v>
      </c>
      <c r="D194" s="92" t="s">
        <v>781</v>
      </c>
      <c r="E194" s="90" t="s">
        <v>614</v>
      </c>
      <c r="F194" s="90" t="s">
        <v>4202</v>
      </c>
      <c r="G194" s="92" t="s">
        <v>4203</v>
      </c>
      <c r="H194" s="89" t="s">
        <v>3872</v>
      </c>
      <c r="I194" s="90" t="s">
        <v>3873</v>
      </c>
      <c r="J194" s="89"/>
    </row>
    <row r="195" customFormat="false" ht="41.75" hidden="false" customHeight="false" outlineLevel="0" collapsed="false">
      <c r="A195" s="89" t="s">
        <v>232</v>
      </c>
      <c r="B195" s="89" t="s">
        <v>314</v>
      </c>
      <c r="C195" s="90" t="s">
        <v>316</v>
      </c>
      <c r="D195" s="92" t="s">
        <v>323</v>
      </c>
      <c r="E195" s="90" t="s">
        <v>783</v>
      </c>
      <c r="F195" s="90" t="s">
        <v>4204</v>
      </c>
      <c r="G195" s="92" t="s">
        <v>3751</v>
      </c>
      <c r="H195" s="89" t="s">
        <v>3841</v>
      </c>
      <c r="I195" s="90" t="s">
        <v>4205</v>
      </c>
      <c r="J195" s="89"/>
    </row>
    <row r="196" customFormat="false" ht="41.75" hidden="false" customHeight="false" outlineLevel="0" collapsed="false">
      <c r="A196" s="89" t="s">
        <v>232</v>
      </c>
      <c r="B196" s="89" t="s">
        <v>329</v>
      </c>
      <c r="C196" s="90" t="s">
        <v>331</v>
      </c>
      <c r="D196" s="92" t="s">
        <v>337</v>
      </c>
      <c r="E196" s="90" t="s">
        <v>3859</v>
      </c>
      <c r="F196" s="90" t="s">
        <v>4206</v>
      </c>
      <c r="G196" s="92" t="s">
        <v>4207</v>
      </c>
      <c r="H196" s="89" t="s">
        <v>3862</v>
      </c>
      <c r="I196" s="90" t="s">
        <v>3863</v>
      </c>
      <c r="J196" s="89"/>
    </row>
    <row r="197" customFormat="false" ht="41.75" hidden="false" customHeight="false" outlineLevel="0" collapsed="false">
      <c r="A197" s="89" t="s">
        <v>232</v>
      </c>
      <c r="B197" s="89" t="s">
        <v>329</v>
      </c>
      <c r="C197" s="90" t="s">
        <v>331</v>
      </c>
      <c r="D197" s="92" t="s">
        <v>337</v>
      </c>
      <c r="E197" s="90" t="s">
        <v>912</v>
      </c>
      <c r="F197" s="90" t="s">
        <v>4208</v>
      </c>
      <c r="G197" s="92" t="s">
        <v>3751</v>
      </c>
      <c r="H197" s="89" t="s">
        <v>3841</v>
      </c>
      <c r="I197" s="90" t="s">
        <v>4209</v>
      </c>
      <c r="J197" s="89"/>
    </row>
    <row r="198" customFormat="false" ht="68.65" hidden="false" customHeight="false" outlineLevel="0" collapsed="false">
      <c r="A198" s="89" t="s">
        <v>232</v>
      </c>
      <c r="B198" s="89" t="s">
        <v>329</v>
      </c>
      <c r="C198" s="90" t="s">
        <v>331</v>
      </c>
      <c r="D198" s="92" t="s">
        <v>337</v>
      </c>
      <c r="E198" s="90" t="s">
        <v>4210</v>
      </c>
      <c r="F198" s="90" t="s">
        <v>4208</v>
      </c>
      <c r="G198" s="92" t="s">
        <v>4211</v>
      </c>
      <c r="H198" s="89" t="s">
        <v>3868</v>
      </c>
      <c r="I198" s="90" t="s">
        <v>4212</v>
      </c>
      <c r="J198" s="92" t="s">
        <v>3751</v>
      </c>
    </row>
    <row r="199" customFormat="false" ht="41.75" hidden="false" customHeight="false" outlineLevel="0" collapsed="false">
      <c r="A199" s="89" t="s">
        <v>232</v>
      </c>
      <c r="B199" s="89" t="s">
        <v>338</v>
      </c>
      <c r="C199" s="90" t="s">
        <v>340</v>
      </c>
      <c r="D199" s="92" t="s">
        <v>345</v>
      </c>
      <c r="E199" s="90" t="s">
        <v>912</v>
      </c>
      <c r="F199" s="90" t="s">
        <v>4213</v>
      </c>
      <c r="G199" s="92" t="s">
        <v>3751</v>
      </c>
      <c r="H199" s="89" t="s">
        <v>3841</v>
      </c>
      <c r="I199" s="90" t="s">
        <v>4214</v>
      </c>
      <c r="J199" s="89"/>
    </row>
    <row r="200" customFormat="false" ht="28.35" hidden="false" customHeight="false" outlineLevel="0" collapsed="false">
      <c r="A200" s="89" t="s">
        <v>232</v>
      </c>
      <c r="B200" s="89" t="s">
        <v>338</v>
      </c>
      <c r="C200" s="90" t="s">
        <v>340</v>
      </c>
      <c r="D200" s="92" t="s">
        <v>345</v>
      </c>
      <c r="E200" s="90" t="s">
        <v>464</v>
      </c>
      <c r="F200" s="90" t="s">
        <v>4215</v>
      </c>
      <c r="G200" s="92" t="s">
        <v>4216</v>
      </c>
      <c r="H200" s="89" t="s">
        <v>80</v>
      </c>
      <c r="I200" s="90" t="s">
        <v>3854</v>
      </c>
      <c r="J200" s="89"/>
    </row>
    <row r="201" customFormat="false" ht="55.2" hidden="false" customHeight="false" outlineLevel="0" collapsed="false">
      <c r="A201" s="89" t="s">
        <v>232</v>
      </c>
      <c r="B201" s="89" t="s">
        <v>338</v>
      </c>
      <c r="C201" s="90" t="s">
        <v>340</v>
      </c>
      <c r="D201" s="92" t="s">
        <v>345</v>
      </c>
      <c r="E201" s="90" t="s">
        <v>4217</v>
      </c>
      <c r="F201" s="90" t="s">
        <v>4213</v>
      </c>
      <c r="G201" s="92" t="s">
        <v>4218</v>
      </c>
      <c r="H201" s="89" t="s">
        <v>3868</v>
      </c>
      <c r="I201" s="90" t="s">
        <v>4219</v>
      </c>
      <c r="J201" s="92" t="s">
        <v>3751</v>
      </c>
    </row>
    <row r="202" customFormat="false" ht="28.35" hidden="false" customHeight="false" outlineLevel="0" collapsed="false">
      <c r="A202" s="89" t="s">
        <v>232</v>
      </c>
      <c r="B202" s="89" t="s">
        <v>790</v>
      </c>
      <c r="C202" s="90" t="s">
        <v>792</v>
      </c>
      <c r="D202" s="92" t="s">
        <v>794</v>
      </c>
      <c r="E202" s="90" t="s">
        <v>464</v>
      </c>
      <c r="F202" s="90" t="s">
        <v>4220</v>
      </c>
      <c r="G202" s="92" t="s">
        <v>4221</v>
      </c>
      <c r="H202" s="89" t="s">
        <v>80</v>
      </c>
      <c r="I202" s="90" t="s">
        <v>3854</v>
      </c>
      <c r="J202" s="89"/>
    </row>
    <row r="203" customFormat="false" ht="28.35" hidden="false" customHeight="false" outlineLevel="0" collapsed="false">
      <c r="A203" s="89" t="s">
        <v>232</v>
      </c>
      <c r="B203" s="89" t="s">
        <v>380</v>
      </c>
      <c r="C203" s="90" t="s">
        <v>381</v>
      </c>
      <c r="D203" s="92" t="s">
        <v>383</v>
      </c>
      <c r="E203" s="90" t="s">
        <v>464</v>
      </c>
      <c r="F203" s="90" t="s">
        <v>4222</v>
      </c>
      <c r="G203" s="92" t="s">
        <v>4223</v>
      </c>
      <c r="H203" s="89" t="s">
        <v>80</v>
      </c>
      <c r="I203" s="90" t="s">
        <v>3854</v>
      </c>
      <c r="J203" s="89"/>
    </row>
    <row r="204" customFormat="false" ht="41.75" hidden="false" customHeight="false" outlineLevel="0" collapsed="false">
      <c r="A204" s="89" t="s">
        <v>232</v>
      </c>
      <c r="B204" s="89" t="s">
        <v>388</v>
      </c>
      <c r="C204" s="90" t="s">
        <v>390</v>
      </c>
      <c r="D204" s="92" t="s">
        <v>393</v>
      </c>
      <c r="E204" s="90" t="s">
        <v>3859</v>
      </c>
      <c r="F204" s="90" t="s">
        <v>4224</v>
      </c>
      <c r="G204" s="92" t="s">
        <v>4225</v>
      </c>
      <c r="H204" s="89" t="s">
        <v>3862</v>
      </c>
      <c r="I204" s="90" t="s">
        <v>3863</v>
      </c>
      <c r="J204" s="89"/>
    </row>
    <row r="205" customFormat="false" ht="55.2" hidden="false" customHeight="false" outlineLevel="0" collapsed="false">
      <c r="A205" s="89" t="s">
        <v>232</v>
      </c>
      <c r="B205" s="89" t="s">
        <v>388</v>
      </c>
      <c r="C205" s="90" t="s">
        <v>390</v>
      </c>
      <c r="D205" s="92" t="s">
        <v>393</v>
      </c>
      <c r="E205" s="90" t="s">
        <v>4226</v>
      </c>
      <c r="F205" s="90" t="s">
        <v>4227</v>
      </c>
      <c r="G205" s="92" t="s">
        <v>4228</v>
      </c>
      <c r="H205" s="89" t="s">
        <v>3868</v>
      </c>
      <c r="I205" s="90" t="s">
        <v>4229</v>
      </c>
      <c r="J205" s="92" t="s">
        <v>3751</v>
      </c>
    </row>
    <row r="206" customFormat="false" ht="55.2" hidden="false" customHeight="false" outlineLevel="0" collapsed="false">
      <c r="A206" s="89" t="s">
        <v>232</v>
      </c>
      <c r="B206" s="89" t="s">
        <v>724</v>
      </c>
      <c r="C206" s="90" t="s">
        <v>726</v>
      </c>
      <c r="D206" s="92" t="s">
        <v>730</v>
      </c>
      <c r="E206" s="90" t="s">
        <v>802</v>
      </c>
      <c r="F206" s="90" t="s">
        <v>4230</v>
      </c>
      <c r="G206" s="92" t="s">
        <v>4231</v>
      </c>
      <c r="H206" s="89" t="s">
        <v>3868</v>
      </c>
      <c r="I206" s="90" t="s">
        <v>4232</v>
      </c>
      <c r="J206" s="92" t="s">
        <v>3751</v>
      </c>
    </row>
    <row r="207" customFormat="false" ht="41.75" hidden="false" customHeight="false" outlineLevel="0" collapsed="false">
      <c r="A207" s="89" t="s">
        <v>232</v>
      </c>
      <c r="B207" s="89" t="s">
        <v>804</v>
      </c>
      <c r="C207" s="90" t="s">
        <v>806</v>
      </c>
      <c r="D207" s="92" t="s">
        <v>811</v>
      </c>
      <c r="E207" s="90" t="s">
        <v>912</v>
      </c>
      <c r="F207" s="90" t="s">
        <v>4233</v>
      </c>
      <c r="G207" s="92" t="s">
        <v>3751</v>
      </c>
      <c r="H207" s="89" t="s">
        <v>3841</v>
      </c>
      <c r="I207" s="90" t="s">
        <v>4234</v>
      </c>
      <c r="J207" s="89"/>
    </row>
    <row r="208" customFormat="false" ht="55.2" hidden="false" customHeight="false" outlineLevel="0" collapsed="false">
      <c r="A208" s="89" t="s">
        <v>232</v>
      </c>
      <c r="B208" s="89" t="s">
        <v>804</v>
      </c>
      <c r="C208" s="90" t="s">
        <v>806</v>
      </c>
      <c r="D208" s="92" t="s">
        <v>811</v>
      </c>
      <c r="E208" s="90" t="s">
        <v>4235</v>
      </c>
      <c r="F208" s="90" t="s">
        <v>4233</v>
      </c>
      <c r="G208" s="92" t="s">
        <v>4236</v>
      </c>
      <c r="H208" s="89" t="s">
        <v>3868</v>
      </c>
      <c r="I208" s="90" t="s">
        <v>4237</v>
      </c>
      <c r="J208" s="92" t="s">
        <v>3751</v>
      </c>
    </row>
    <row r="209" customFormat="false" ht="28.35" hidden="false" customHeight="false" outlineLevel="0" collapsed="false">
      <c r="A209" s="89" t="s">
        <v>232</v>
      </c>
      <c r="B209" s="89" t="s">
        <v>637</v>
      </c>
      <c r="C209" s="90" t="s">
        <v>639</v>
      </c>
      <c r="D209" s="92" t="s">
        <v>641</v>
      </c>
      <c r="E209" s="90" t="s">
        <v>464</v>
      </c>
      <c r="F209" s="90" t="s">
        <v>4238</v>
      </c>
      <c r="G209" s="92" t="s">
        <v>4239</v>
      </c>
      <c r="H209" s="89" t="s">
        <v>80</v>
      </c>
      <c r="I209" s="90" t="s">
        <v>3854</v>
      </c>
      <c r="J209" s="89"/>
    </row>
    <row r="210" customFormat="false" ht="55.2" hidden="false" customHeight="false" outlineLevel="0" collapsed="false">
      <c r="A210" s="89" t="s">
        <v>232</v>
      </c>
      <c r="B210" s="89" t="s">
        <v>637</v>
      </c>
      <c r="C210" s="90" t="s">
        <v>639</v>
      </c>
      <c r="D210" s="92" t="s">
        <v>641</v>
      </c>
      <c r="E210" s="90" t="s">
        <v>4240</v>
      </c>
      <c r="F210" s="90" t="s">
        <v>4241</v>
      </c>
      <c r="G210" s="92" t="s">
        <v>4242</v>
      </c>
      <c r="H210" s="89" t="s">
        <v>3868</v>
      </c>
      <c r="I210" s="90" t="s">
        <v>4243</v>
      </c>
      <c r="J210" s="92" t="s">
        <v>3751</v>
      </c>
    </row>
    <row r="211" customFormat="false" ht="41.75" hidden="false" customHeight="false" outlineLevel="0" collapsed="false">
      <c r="A211" s="89" t="s">
        <v>232</v>
      </c>
      <c r="B211" s="89" t="s">
        <v>476</v>
      </c>
      <c r="C211" s="90" t="s">
        <v>478</v>
      </c>
      <c r="D211" s="92" t="s">
        <v>482</v>
      </c>
      <c r="E211" s="90" t="s">
        <v>3859</v>
      </c>
      <c r="F211" s="90" t="s">
        <v>4244</v>
      </c>
      <c r="G211" s="92" t="s">
        <v>3251</v>
      </c>
      <c r="H211" s="89" t="s">
        <v>3862</v>
      </c>
      <c r="I211" s="90" t="s">
        <v>3863</v>
      </c>
      <c r="J211" s="89"/>
    </row>
    <row r="212" customFormat="false" ht="41.75" hidden="false" customHeight="false" outlineLevel="0" collapsed="false">
      <c r="A212" s="89" t="s">
        <v>232</v>
      </c>
      <c r="B212" s="89" t="s">
        <v>476</v>
      </c>
      <c r="C212" s="90" t="s">
        <v>478</v>
      </c>
      <c r="D212" s="92" t="s">
        <v>482</v>
      </c>
      <c r="E212" s="90" t="s">
        <v>912</v>
      </c>
      <c r="F212" s="90" t="s">
        <v>4245</v>
      </c>
      <c r="G212" s="92" t="s">
        <v>3751</v>
      </c>
      <c r="H212" s="89" t="s">
        <v>3841</v>
      </c>
      <c r="I212" s="90" t="s">
        <v>4246</v>
      </c>
      <c r="J212" s="89"/>
    </row>
    <row r="213" customFormat="false" ht="28.35" hidden="false" customHeight="false" outlineLevel="0" collapsed="false">
      <c r="A213" s="89" t="s">
        <v>232</v>
      </c>
      <c r="B213" s="89" t="s">
        <v>476</v>
      </c>
      <c r="C213" s="90" t="s">
        <v>478</v>
      </c>
      <c r="D213" s="92" t="s">
        <v>482</v>
      </c>
      <c r="E213" s="90" t="s">
        <v>464</v>
      </c>
      <c r="F213" s="90" t="s">
        <v>4247</v>
      </c>
      <c r="G213" s="92" t="s">
        <v>4248</v>
      </c>
      <c r="H213" s="89" t="s">
        <v>80</v>
      </c>
      <c r="I213" s="90" t="s">
        <v>3854</v>
      </c>
      <c r="J213" s="89"/>
    </row>
    <row r="214" customFormat="false" ht="82.05" hidden="false" customHeight="false" outlineLevel="0" collapsed="false">
      <c r="A214" s="89" t="s">
        <v>232</v>
      </c>
      <c r="B214" s="89" t="s">
        <v>476</v>
      </c>
      <c r="C214" s="90" t="s">
        <v>478</v>
      </c>
      <c r="D214" s="92" t="s">
        <v>482</v>
      </c>
      <c r="E214" s="90" t="s">
        <v>4249</v>
      </c>
      <c r="F214" s="90" t="s">
        <v>4245</v>
      </c>
      <c r="G214" s="92" t="s">
        <v>4250</v>
      </c>
      <c r="H214" s="89" t="s">
        <v>3868</v>
      </c>
      <c r="I214" s="90" t="s">
        <v>4251</v>
      </c>
      <c r="J214" s="92" t="s">
        <v>3751</v>
      </c>
    </row>
    <row r="215" customFormat="false" ht="41.75" hidden="false" customHeight="false" outlineLevel="0" collapsed="false">
      <c r="A215" s="89" t="s">
        <v>232</v>
      </c>
      <c r="B215" s="89" t="s">
        <v>476</v>
      </c>
      <c r="C215" s="90" t="s">
        <v>478</v>
      </c>
      <c r="D215" s="92" t="s">
        <v>482</v>
      </c>
      <c r="E215" s="90" t="s">
        <v>614</v>
      </c>
      <c r="F215" s="90" t="s">
        <v>4252</v>
      </c>
      <c r="G215" s="92" t="s">
        <v>4253</v>
      </c>
      <c r="H215" s="89" t="s">
        <v>3872</v>
      </c>
      <c r="I215" s="90" t="s">
        <v>3873</v>
      </c>
      <c r="J215" s="89"/>
    </row>
    <row r="216" customFormat="false" ht="28.35" hidden="false" customHeight="false" outlineLevel="0" collapsed="false">
      <c r="A216" s="89" t="s">
        <v>232</v>
      </c>
      <c r="B216" s="89" t="s">
        <v>819</v>
      </c>
      <c r="C216" s="90" t="s">
        <v>821</v>
      </c>
      <c r="D216" s="92" t="s">
        <v>823</v>
      </c>
      <c r="E216" s="90" t="s">
        <v>3859</v>
      </c>
      <c r="F216" s="90" t="s">
        <v>4254</v>
      </c>
      <c r="G216" s="92" t="s">
        <v>2024</v>
      </c>
      <c r="H216" s="89" t="s">
        <v>3971</v>
      </c>
      <c r="I216" s="90" t="s">
        <v>3972</v>
      </c>
      <c r="J216" s="89"/>
    </row>
    <row r="217" customFormat="false" ht="41.75" hidden="false" customHeight="false" outlineLevel="0" collapsed="false">
      <c r="A217" s="89" t="s">
        <v>232</v>
      </c>
      <c r="B217" s="89" t="s">
        <v>819</v>
      </c>
      <c r="C217" s="90" t="s">
        <v>821</v>
      </c>
      <c r="D217" s="92" t="s">
        <v>823</v>
      </c>
      <c r="E217" s="90" t="s">
        <v>912</v>
      </c>
      <c r="F217" s="90" t="s">
        <v>4213</v>
      </c>
      <c r="G217" s="92" t="s">
        <v>3751</v>
      </c>
      <c r="H217" s="89" t="s">
        <v>3841</v>
      </c>
      <c r="I217" s="90" t="s">
        <v>4255</v>
      </c>
      <c r="J217" s="89"/>
    </row>
    <row r="218" customFormat="false" ht="55.2" hidden="false" customHeight="false" outlineLevel="0" collapsed="false">
      <c r="A218" s="89" t="s">
        <v>232</v>
      </c>
      <c r="B218" s="89" t="s">
        <v>819</v>
      </c>
      <c r="C218" s="90" t="s">
        <v>821</v>
      </c>
      <c r="D218" s="92" t="s">
        <v>823</v>
      </c>
      <c r="E218" s="90" t="s">
        <v>4256</v>
      </c>
      <c r="F218" s="90" t="s">
        <v>4213</v>
      </c>
      <c r="G218" s="92" t="s">
        <v>4257</v>
      </c>
      <c r="H218" s="89" t="s">
        <v>3868</v>
      </c>
      <c r="I218" s="90" t="s">
        <v>4258</v>
      </c>
      <c r="J218" s="92" t="s">
        <v>3751</v>
      </c>
    </row>
    <row r="219" customFormat="false" ht="41.75" hidden="false" customHeight="false" outlineLevel="0" collapsed="false">
      <c r="A219" s="89" t="s">
        <v>232</v>
      </c>
      <c r="B219" s="89" t="s">
        <v>744</v>
      </c>
      <c r="C219" s="90" t="s">
        <v>746</v>
      </c>
      <c r="D219" s="92" t="s">
        <v>748</v>
      </c>
      <c r="E219" s="90" t="s">
        <v>464</v>
      </c>
      <c r="F219" s="90" t="s">
        <v>4259</v>
      </c>
      <c r="G219" s="92" t="s">
        <v>4260</v>
      </c>
      <c r="H219" s="89" t="s">
        <v>80</v>
      </c>
      <c r="I219" s="90" t="s">
        <v>3854</v>
      </c>
      <c r="J219" s="89"/>
    </row>
    <row r="220" customFormat="false" ht="41.75" hidden="false" customHeight="false" outlineLevel="0" collapsed="false">
      <c r="A220" s="89" t="s">
        <v>232</v>
      </c>
      <c r="B220" s="89" t="s">
        <v>518</v>
      </c>
      <c r="C220" s="90" t="s">
        <v>520</v>
      </c>
      <c r="D220" s="92" t="s">
        <v>525</v>
      </c>
      <c r="E220" s="90" t="s">
        <v>453</v>
      </c>
      <c r="F220" s="90" t="s">
        <v>4261</v>
      </c>
      <c r="G220" s="92" t="s">
        <v>3751</v>
      </c>
      <c r="H220" s="89" t="s">
        <v>3841</v>
      </c>
      <c r="I220" s="90" t="s">
        <v>4262</v>
      </c>
      <c r="J220" s="89"/>
    </row>
    <row r="221" customFormat="false" ht="41.75" hidden="false" customHeight="false" outlineLevel="0" collapsed="false">
      <c r="A221" s="89" t="s">
        <v>232</v>
      </c>
      <c r="B221" s="89" t="s">
        <v>534</v>
      </c>
      <c r="C221" s="90" t="s">
        <v>535</v>
      </c>
      <c r="D221" s="92" t="s">
        <v>540</v>
      </c>
      <c r="E221" s="90" t="s">
        <v>3859</v>
      </c>
      <c r="F221" s="90" t="s">
        <v>4263</v>
      </c>
      <c r="G221" s="92" t="s">
        <v>1694</v>
      </c>
      <c r="H221" s="89" t="s">
        <v>3971</v>
      </c>
      <c r="I221" s="90" t="s">
        <v>3972</v>
      </c>
      <c r="J221" s="89"/>
    </row>
    <row r="222" customFormat="false" ht="41.75" hidden="false" customHeight="false" outlineLevel="0" collapsed="false">
      <c r="A222" s="89" t="s">
        <v>232</v>
      </c>
      <c r="B222" s="89" t="s">
        <v>534</v>
      </c>
      <c r="C222" s="90" t="s">
        <v>535</v>
      </c>
      <c r="D222" s="92" t="s">
        <v>540</v>
      </c>
      <c r="E222" s="90" t="s">
        <v>912</v>
      </c>
      <c r="F222" s="90" t="s">
        <v>4208</v>
      </c>
      <c r="G222" s="92" t="s">
        <v>3751</v>
      </c>
      <c r="H222" s="89" t="s">
        <v>3841</v>
      </c>
      <c r="I222" s="90" t="s">
        <v>4264</v>
      </c>
      <c r="J222" s="89"/>
    </row>
    <row r="223" customFormat="false" ht="55.2" hidden="false" customHeight="false" outlineLevel="0" collapsed="false">
      <c r="A223" s="89" t="s">
        <v>232</v>
      </c>
      <c r="B223" s="89" t="s">
        <v>534</v>
      </c>
      <c r="C223" s="90" t="s">
        <v>535</v>
      </c>
      <c r="D223" s="92" t="s">
        <v>540</v>
      </c>
      <c r="E223" s="90" t="s">
        <v>4265</v>
      </c>
      <c r="F223" s="90" t="s">
        <v>4208</v>
      </c>
      <c r="G223" s="92" t="s">
        <v>4266</v>
      </c>
      <c r="H223" s="89" t="s">
        <v>3868</v>
      </c>
      <c r="I223" s="90" t="s">
        <v>4267</v>
      </c>
      <c r="J223" s="92" t="s">
        <v>3751</v>
      </c>
    </row>
    <row r="224" customFormat="false" ht="41.75" hidden="false" customHeight="false" outlineLevel="0" collapsed="false">
      <c r="A224" s="89" t="s">
        <v>232</v>
      </c>
      <c r="B224" s="89" t="s">
        <v>829</v>
      </c>
      <c r="C224" s="90" t="s">
        <v>831</v>
      </c>
      <c r="D224" s="92" t="s">
        <v>836</v>
      </c>
      <c r="E224" s="90" t="s">
        <v>3859</v>
      </c>
      <c r="F224" s="90" t="s">
        <v>4268</v>
      </c>
      <c r="G224" s="92" t="s">
        <v>2020</v>
      </c>
      <c r="H224" s="89" t="s">
        <v>3971</v>
      </c>
      <c r="I224" s="90" t="s">
        <v>3972</v>
      </c>
      <c r="J224" s="89"/>
    </row>
    <row r="225" customFormat="false" ht="41.75" hidden="false" customHeight="false" outlineLevel="0" collapsed="false">
      <c r="A225" s="89" t="s">
        <v>232</v>
      </c>
      <c r="B225" s="89" t="s">
        <v>829</v>
      </c>
      <c r="C225" s="90" t="s">
        <v>831</v>
      </c>
      <c r="D225" s="92" t="s">
        <v>836</v>
      </c>
      <c r="E225" s="90" t="s">
        <v>912</v>
      </c>
      <c r="F225" s="90" t="s">
        <v>4213</v>
      </c>
      <c r="G225" s="92" t="s">
        <v>3751</v>
      </c>
      <c r="H225" s="89" t="s">
        <v>3841</v>
      </c>
      <c r="I225" s="90" t="s">
        <v>4269</v>
      </c>
      <c r="J225" s="89"/>
    </row>
    <row r="226" customFormat="false" ht="28.35" hidden="false" customHeight="false" outlineLevel="0" collapsed="false">
      <c r="A226" s="89" t="s">
        <v>232</v>
      </c>
      <c r="B226" s="89" t="s">
        <v>829</v>
      </c>
      <c r="C226" s="90" t="s">
        <v>831</v>
      </c>
      <c r="D226" s="92" t="s">
        <v>836</v>
      </c>
      <c r="E226" s="90" t="s">
        <v>464</v>
      </c>
      <c r="F226" s="90" t="s">
        <v>4270</v>
      </c>
      <c r="G226" s="92" t="s">
        <v>4271</v>
      </c>
      <c r="H226" s="89" t="s">
        <v>80</v>
      </c>
      <c r="I226" s="90" t="s">
        <v>3854</v>
      </c>
      <c r="J226" s="89"/>
    </row>
    <row r="227" customFormat="false" ht="55.2" hidden="false" customHeight="false" outlineLevel="0" collapsed="false">
      <c r="A227" s="89" t="s">
        <v>232</v>
      </c>
      <c r="B227" s="89" t="s">
        <v>829</v>
      </c>
      <c r="C227" s="90" t="s">
        <v>831</v>
      </c>
      <c r="D227" s="92" t="s">
        <v>836</v>
      </c>
      <c r="E227" s="90" t="s">
        <v>4272</v>
      </c>
      <c r="F227" s="90" t="s">
        <v>4213</v>
      </c>
      <c r="G227" s="92" t="s">
        <v>4273</v>
      </c>
      <c r="H227" s="89" t="s">
        <v>3868</v>
      </c>
      <c r="I227" s="90" t="s">
        <v>4274</v>
      </c>
      <c r="J227" s="92" t="s">
        <v>3751</v>
      </c>
    </row>
    <row r="228" customFormat="false" ht="41.75" hidden="false" customHeight="false" outlineLevel="0" collapsed="false">
      <c r="A228" s="89" t="s">
        <v>232</v>
      </c>
      <c r="B228" s="89" t="s">
        <v>829</v>
      </c>
      <c r="C228" s="90" t="s">
        <v>831</v>
      </c>
      <c r="D228" s="92" t="s">
        <v>836</v>
      </c>
      <c r="E228" s="90" t="s">
        <v>614</v>
      </c>
      <c r="F228" s="90" t="s">
        <v>4275</v>
      </c>
      <c r="G228" s="92" t="s">
        <v>4276</v>
      </c>
      <c r="H228" s="89" t="s">
        <v>3872</v>
      </c>
      <c r="I228" s="90" t="s">
        <v>3873</v>
      </c>
      <c r="J228" s="89"/>
    </row>
    <row r="229" customFormat="false" ht="28.35" hidden="false" customHeight="false" outlineLevel="0" collapsed="false">
      <c r="A229" s="89" t="s">
        <v>232</v>
      </c>
      <c r="B229" s="89" t="s">
        <v>541</v>
      </c>
      <c r="C229" s="90" t="s">
        <v>543</v>
      </c>
      <c r="D229" s="92" t="s">
        <v>547</v>
      </c>
      <c r="E229" s="90" t="s">
        <v>3859</v>
      </c>
      <c r="F229" s="90" t="s">
        <v>4277</v>
      </c>
      <c r="G229" s="92" t="s">
        <v>4278</v>
      </c>
      <c r="H229" s="89" t="s">
        <v>3862</v>
      </c>
      <c r="I229" s="90" t="s">
        <v>3863</v>
      </c>
      <c r="J229" s="89"/>
    </row>
    <row r="230" customFormat="false" ht="55.2" hidden="false" customHeight="false" outlineLevel="0" collapsed="false">
      <c r="A230" s="89" t="s">
        <v>232</v>
      </c>
      <c r="B230" s="89" t="s">
        <v>541</v>
      </c>
      <c r="C230" s="90" t="s">
        <v>543</v>
      </c>
      <c r="D230" s="92" t="s">
        <v>547</v>
      </c>
      <c r="E230" s="90" t="s">
        <v>4265</v>
      </c>
      <c r="F230" s="90" t="s">
        <v>4279</v>
      </c>
      <c r="G230" s="92" t="s">
        <v>4280</v>
      </c>
      <c r="H230" s="89" t="s">
        <v>3868</v>
      </c>
      <c r="I230" s="90" t="s">
        <v>4281</v>
      </c>
      <c r="J230" s="92" t="s">
        <v>3751</v>
      </c>
    </row>
    <row r="231" customFormat="false" ht="28.35" hidden="false" customHeight="false" outlineLevel="0" collapsed="false">
      <c r="A231" s="89" t="s">
        <v>232</v>
      </c>
      <c r="B231" s="89" t="s">
        <v>839</v>
      </c>
      <c r="C231" s="90" t="s">
        <v>840</v>
      </c>
      <c r="D231" s="92" t="s">
        <v>842</v>
      </c>
      <c r="E231" s="90" t="s">
        <v>464</v>
      </c>
      <c r="F231" s="90" t="s">
        <v>4282</v>
      </c>
      <c r="G231" s="92" t="s">
        <v>4283</v>
      </c>
      <c r="H231" s="89" t="s">
        <v>80</v>
      </c>
      <c r="I231" s="90" t="s">
        <v>3854</v>
      </c>
      <c r="J231" s="89"/>
    </row>
    <row r="232" customFormat="false" ht="28.35" hidden="false" customHeight="false" outlineLevel="0" collapsed="false">
      <c r="A232" s="89" t="s">
        <v>232</v>
      </c>
      <c r="B232" s="89" t="s">
        <v>665</v>
      </c>
      <c r="C232" s="90" t="s">
        <v>667</v>
      </c>
      <c r="D232" s="92" t="s">
        <v>670</v>
      </c>
      <c r="E232" s="90" t="s">
        <v>3859</v>
      </c>
      <c r="F232" s="90" t="s">
        <v>4284</v>
      </c>
      <c r="G232" s="92" t="s">
        <v>2012</v>
      </c>
      <c r="H232" s="89" t="s">
        <v>3971</v>
      </c>
      <c r="I232" s="90" t="s">
        <v>3972</v>
      </c>
      <c r="J232" s="89"/>
    </row>
    <row r="233" customFormat="false" ht="41.75" hidden="false" customHeight="false" outlineLevel="0" collapsed="false">
      <c r="A233" s="89" t="s">
        <v>232</v>
      </c>
      <c r="B233" s="89" t="s">
        <v>665</v>
      </c>
      <c r="C233" s="90" t="s">
        <v>667</v>
      </c>
      <c r="D233" s="92" t="s">
        <v>670</v>
      </c>
      <c r="E233" s="90" t="s">
        <v>912</v>
      </c>
      <c r="F233" s="90" t="s">
        <v>4285</v>
      </c>
      <c r="G233" s="92" t="s">
        <v>3751</v>
      </c>
      <c r="H233" s="89" t="s">
        <v>3841</v>
      </c>
      <c r="I233" s="90" t="s">
        <v>4286</v>
      </c>
      <c r="J233" s="89"/>
    </row>
    <row r="234" customFormat="false" ht="41.75" hidden="false" customHeight="false" outlineLevel="0" collapsed="false">
      <c r="A234" s="89" t="s">
        <v>232</v>
      </c>
      <c r="B234" s="89" t="s">
        <v>665</v>
      </c>
      <c r="C234" s="90" t="s">
        <v>667</v>
      </c>
      <c r="D234" s="92" t="s">
        <v>670</v>
      </c>
      <c r="E234" s="90" t="s">
        <v>4287</v>
      </c>
      <c r="F234" s="90" t="s">
        <v>4285</v>
      </c>
      <c r="G234" s="92" t="s">
        <v>3751</v>
      </c>
      <c r="H234" s="89" t="s">
        <v>3841</v>
      </c>
      <c r="I234" s="90" t="s">
        <v>4288</v>
      </c>
      <c r="J234" s="89"/>
    </row>
    <row r="235" customFormat="false" ht="41.75" hidden="false" customHeight="false" outlineLevel="0" collapsed="false">
      <c r="A235" s="89" t="s">
        <v>233</v>
      </c>
      <c r="B235" s="89" t="s">
        <v>329</v>
      </c>
      <c r="C235" s="90" t="s">
        <v>331</v>
      </c>
      <c r="D235" s="92" t="s">
        <v>337</v>
      </c>
      <c r="E235" s="90" t="s">
        <v>847</v>
      </c>
      <c r="F235" s="90" t="s">
        <v>4289</v>
      </c>
      <c r="G235" s="92" t="s">
        <v>3751</v>
      </c>
      <c r="H235" s="89" t="s">
        <v>3841</v>
      </c>
      <c r="I235" s="90" t="s">
        <v>4290</v>
      </c>
      <c r="J235" s="89"/>
    </row>
    <row r="236" customFormat="false" ht="68.65" hidden="false" customHeight="false" outlineLevel="0" collapsed="false">
      <c r="A236" s="89" t="s">
        <v>233</v>
      </c>
      <c r="B236" s="89" t="s">
        <v>338</v>
      </c>
      <c r="C236" s="90" t="s">
        <v>340</v>
      </c>
      <c r="D236" s="92" t="s">
        <v>345</v>
      </c>
      <c r="E236" s="90" t="s">
        <v>4291</v>
      </c>
      <c r="F236" s="90" t="s">
        <v>4289</v>
      </c>
      <c r="G236" s="92" t="s">
        <v>3751</v>
      </c>
      <c r="H236" s="89" t="s">
        <v>3841</v>
      </c>
      <c r="I236" s="90" t="s">
        <v>4292</v>
      </c>
      <c r="J236" s="89"/>
    </row>
    <row r="237" customFormat="false" ht="41.75" hidden="false" customHeight="false" outlineLevel="0" collapsed="false">
      <c r="A237" s="89" t="s">
        <v>233</v>
      </c>
      <c r="B237" s="89" t="s">
        <v>338</v>
      </c>
      <c r="C237" s="90" t="s">
        <v>340</v>
      </c>
      <c r="D237" s="92" t="s">
        <v>345</v>
      </c>
      <c r="E237" s="90" t="s">
        <v>614</v>
      </c>
      <c r="F237" s="90" t="s">
        <v>4293</v>
      </c>
      <c r="G237" s="92" t="s">
        <v>4294</v>
      </c>
      <c r="H237" s="89" t="s">
        <v>3872</v>
      </c>
      <c r="I237" s="90" t="s">
        <v>3873</v>
      </c>
      <c r="J237" s="89"/>
    </row>
    <row r="238" customFormat="false" ht="28.35" hidden="false" customHeight="false" outlineLevel="0" collapsed="false">
      <c r="A238" s="89" t="s">
        <v>233</v>
      </c>
      <c r="B238" s="89" t="s">
        <v>724</v>
      </c>
      <c r="C238" s="90" t="s">
        <v>726</v>
      </c>
      <c r="D238" s="92" t="s">
        <v>730</v>
      </c>
      <c r="E238" s="90" t="s">
        <v>284</v>
      </c>
      <c r="F238" s="90" t="s">
        <v>4295</v>
      </c>
      <c r="G238" s="92" t="s">
        <v>4296</v>
      </c>
      <c r="H238" s="89" t="s">
        <v>3837</v>
      </c>
      <c r="I238" s="90" t="s">
        <v>3838</v>
      </c>
      <c r="J238" s="89"/>
    </row>
    <row r="239" customFormat="false" ht="28.35" hidden="false" customHeight="false" outlineLevel="0" collapsed="false">
      <c r="A239" s="89" t="s">
        <v>233</v>
      </c>
      <c r="B239" s="89" t="s">
        <v>724</v>
      </c>
      <c r="C239" s="90" t="s">
        <v>726</v>
      </c>
      <c r="D239" s="92" t="s">
        <v>730</v>
      </c>
      <c r="E239" s="90" t="s">
        <v>3859</v>
      </c>
      <c r="F239" s="90" t="s">
        <v>4297</v>
      </c>
      <c r="G239" s="92" t="s">
        <v>4298</v>
      </c>
      <c r="H239" s="89" t="s">
        <v>3862</v>
      </c>
      <c r="I239" s="90" t="s">
        <v>3863</v>
      </c>
      <c r="J239" s="89"/>
    </row>
    <row r="240" customFormat="false" ht="41.75" hidden="false" customHeight="false" outlineLevel="0" collapsed="false">
      <c r="A240" s="89" t="s">
        <v>233</v>
      </c>
      <c r="B240" s="89" t="s">
        <v>724</v>
      </c>
      <c r="C240" s="90" t="s">
        <v>726</v>
      </c>
      <c r="D240" s="92" t="s">
        <v>730</v>
      </c>
      <c r="E240" s="90" t="s">
        <v>912</v>
      </c>
      <c r="F240" s="90" t="s">
        <v>4299</v>
      </c>
      <c r="G240" s="92" t="s">
        <v>3751</v>
      </c>
      <c r="H240" s="89" t="s">
        <v>3841</v>
      </c>
      <c r="I240" s="90" t="s">
        <v>4300</v>
      </c>
      <c r="J240" s="89"/>
    </row>
    <row r="241" customFormat="false" ht="41.75" hidden="false" customHeight="false" outlineLevel="0" collapsed="false">
      <c r="A241" s="89" t="s">
        <v>233</v>
      </c>
      <c r="B241" s="89" t="s">
        <v>724</v>
      </c>
      <c r="C241" s="90" t="s">
        <v>726</v>
      </c>
      <c r="D241" s="92" t="s">
        <v>730</v>
      </c>
      <c r="E241" s="90" t="s">
        <v>4301</v>
      </c>
      <c r="F241" s="90" t="s">
        <v>4299</v>
      </c>
      <c r="G241" s="92" t="s">
        <v>3751</v>
      </c>
      <c r="H241" s="89" t="s">
        <v>3841</v>
      </c>
      <c r="I241" s="90" t="s">
        <v>4302</v>
      </c>
      <c r="J241" s="89"/>
    </row>
    <row r="242" customFormat="false" ht="28.35" hidden="false" customHeight="false" outlineLevel="0" collapsed="false">
      <c r="A242" s="89" t="s">
        <v>233</v>
      </c>
      <c r="B242" s="89" t="s">
        <v>295</v>
      </c>
      <c r="C242" s="90" t="s">
        <v>296</v>
      </c>
      <c r="D242" s="92" t="s">
        <v>298</v>
      </c>
      <c r="E242" s="90" t="s">
        <v>284</v>
      </c>
      <c r="F242" s="90" t="s">
        <v>4303</v>
      </c>
      <c r="G242" s="92" t="s">
        <v>4304</v>
      </c>
      <c r="H242" s="89" t="s">
        <v>3837</v>
      </c>
      <c r="I242" s="90" t="s">
        <v>3838</v>
      </c>
      <c r="J242" s="89"/>
    </row>
    <row r="243" customFormat="false" ht="41.75" hidden="false" customHeight="false" outlineLevel="0" collapsed="false">
      <c r="A243" s="89" t="s">
        <v>233</v>
      </c>
      <c r="B243" s="89" t="s">
        <v>295</v>
      </c>
      <c r="C243" s="90" t="s">
        <v>296</v>
      </c>
      <c r="D243" s="92" t="s">
        <v>298</v>
      </c>
      <c r="E243" s="90" t="s">
        <v>3859</v>
      </c>
      <c r="F243" s="90" t="s">
        <v>4305</v>
      </c>
      <c r="G243" s="92" t="s">
        <v>4306</v>
      </c>
      <c r="H243" s="89" t="s">
        <v>3862</v>
      </c>
      <c r="I243" s="90" t="s">
        <v>3863</v>
      </c>
      <c r="J243" s="89"/>
    </row>
    <row r="244" customFormat="false" ht="41.75" hidden="false" customHeight="false" outlineLevel="0" collapsed="false">
      <c r="A244" s="89" t="s">
        <v>233</v>
      </c>
      <c r="B244" s="89" t="s">
        <v>295</v>
      </c>
      <c r="C244" s="90" t="s">
        <v>296</v>
      </c>
      <c r="D244" s="92" t="s">
        <v>298</v>
      </c>
      <c r="E244" s="90" t="s">
        <v>912</v>
      </c>
      <c r="F244" s="90" t="s">
        <v>4307</v>
      </c>
      <c r="G244" s="92" t="s">
        <v>3751</v>
      </c>
      <c r="H244" s="89" t="s">
        <v>3841</v>
      </c>
      <c r="I244" s="90" t="s">
        <v>4308</v>
      </c>
      <c r="J244" s="89"/>
    </row>
    <row r="245" customFormat="false" ht="41.75" hidden="false" customHeight="false" outlineLevel="0" collapsed="false">
      <c r="A245" s="89" t="s">
        <v>233</v>
      </c>
      <c r="B245" s="89" t="s">
        <v>295</v>
      </c>
      <c r="C245" s="90" t="s">
        <v>296</v>
      </c>
      <c r="D245" s="92" t="s">
        <v>298</v>
      </c>
      <c r="E245" s="90" t="s">
        <v>4309</v>
      </c>
      <c r="F245" s="90" t="s">
        <v>4307</v>
      </c>
      <c r="G245" s="92" t="s">
        <v>3751</v>
      </c>
      <c r="H245" s="89" t="s">
        <v>3841</v>
      </c>
      <c r="I245" s="90" t="s">
        <v>4310</v>
      </c>
      <c r="J245" s="89"/>
    </row>
    <row r="246" customFormat="false" ht="41.75" hidden="false" customHeight="false" outlineLevel="0" collapsed="false">
      <c r="A246" s="89" t="s">
        <v>233</v>
      </c>
      <c r="B246" s="89" t="s">
        <v>541</v>
      </c>
      <c r="C246" s="90" t="s">
        <v>543</v>
      </c>
      <c r="D246" s="92" t="s">
        <v>547</v>
      </c>
      <c r="E246" s="90" t="s">
        <v>862</v>
      </c>
      <c r="F246" s="90" t="s">
        <v>4311</v>
      </c>
      <c r="G246" s="92" t="s">
        <v>3751</v>
      </c>
      <c r="H246" s="89" t="s">
        <v>3841</v>
      </c>
      <c r="I246" s="90" t="s">
        <v>4312</v>
      </c>
      <c r="J246" s="89"/>
    </row>
    <row r="247" customFormat="false" ht="41.75" hidden="false" customHeight="false" outlineLevel="0" collapsed="false">
      <c r="A247" s="89" t="s">
        <v>233</v>
      </c>
      <c r="B247" s="89" t="s">
        <v>665</v>
      </c>
      <c r="C247" s="90" t="s">
        <v>667</v>
      </c>
      <c r="D247" s="92" t="s">
        <v>670</v>
      </c>
      <c r="E247" s="90" t="s">
        <v>3859</v>
      </c>
      <c r="F247" s="90" t="s">
        <v>4313</v>
      </c>
      <c r="G247" s="92" t="s">
        <v>4314</v>
      </c>
      <c r="H247" s="89" t="s">
        <v>3862</v>
      </c>
      <c r="I247" s="90" t="s">
        <v>3863</v>
      </c>
      <c r="J247" s="89"/>
    </row>
    <row r="248" customFormat="false" ht="41.75" hidden="false" customHeight="false" outlineLevel="0" collapsed="false">
      <c r="A248" s="89" t="s">
        <v>233</v>
      </c>
      <c r="B248" s="89" t="s">
        <v>665</v>
      </c>
      <c r="C248" s="90" t="s">
        <v>667</v>
      </c>
      <c r="D248" s="92" t="s">
        <v>670</v>
      </c>
      <c r="E248" s="90" t="s">
        <v>912</v>
      </c>
      <c r="F248" s="90" t="s">
        <v>4307</v>
      </c>
      <c r="G248" s="92" t="s">
        <v>3751</v>
      </c>
      <c r="H248" s="89" t="s">
        <v>3841</v>
      </c>
      <c r="I248" s="90" t="s">
        <v>4315</v>
      </c>
      <c r="J248" s="89"/>
    </row>
    <row r="249" customFormat="false" ht="41.75" hidden="false" customHeight="false" outlineLevel="0" collapsed="false">
      <c r="A249" s="89" t="s">
        <v>233</v>
      </c>
      <c r="B249" s="89" t="s">
        <v>665</v>
      </c>
      <c r="C249" s="90" t="s">
        <v>667</v>
      </c>
      <c r="D249" s="92" t="s">
        <v>670</v>
      </c>
      <c r="E249" s="90" t="s">
        <v>4316</v>
      </c>
      <c r="F249" s="90" t="s">
        <v>4307</v>
      </c>
      <c r="G249" s="92" t="s">
        <v>3751</v>
      </c>
      <c r="H249" s="89" t="s">
        <v>3841</v>
      </c>
      <c r="I249" s="90" t="s">
        <v>4317</v>
      </c>
      <c r="J249" s="89"/>
    </row>
    <row r="250" customFormat="false" ht="28.35" hidden="false" customHeight="false" outlineLevel="0" collapsed="false">
      <c r="A250" s="89" t="s">
        <v>234</v>
      </c>
      <c r="B250" s="89" t="s">
        <v>329</v>
      </c>
      <c r="C250" s="90" t="s">
        <v>331</v>
      </c>
      <c r="D250" s="92" t="s">
        <v>337</v>
      </c>
      <c r="E250" s="90" t="s">
        <v>3859</v>
      </c>
      <c r="F250" s="90" t="s">
        <v>4318</v>
      </c>
      <c r="G250" s="92" t="s">
        <v>4319</v>
      </c>
      <c r="H250" s="89" t="s">
        <v>3862</v>
      </c>
      <c r="I250" s="90" t="s">
        <v>3863</v>
      </c>
      <c r="J250" s="89"/>
    </row>
    <row r="251" customFormat="false" ht="41.75" hidden="false" customHeight="false" outlineLevel="0" collapsed="false">
      <c r="A251" s="89" t="s">
        <v>234</v>
      </c>
      <c r="B251" s="89" t="s">
        <v>329</v>
      </c>
      <c r="C251" s="90" t="s">
        <v>331</v>
      </c>
      <c r="D251" s="92" t="s">
        <v>337</v>
      </c>
      <c r="E251" s="90" t="s">
        <v>912</v>
      </c>
      <c r="F251" s="90" t="s">
        <v>4320</v>
      </c>
      <c r="G251" s="92" t="s">
        <v>3751</v>
      </c>
      <c r="H251" s="89" t="s">
        <v>3841</v>
      </c>
      <c r="I251" s="90" t="s">
        <v>4321</v>
      </c>
      <c r="J251" s="89"/>
    </row>
    <row r="252" customFormat="false" ht="28.35" hidden="false" customHeight="false" outlineLevel="0" collapsed="false">
      <c r="A252" s="89" t="s">
        <v>234</v>
      </c>
      <c r="B252" s="89" t="s">
        <v>338</v>
      </c>
      <c r="C252" s="90" t="s">
        <v>340</v>
      </c>
      <c r="D252" s="92" t="s">
        <v>345</v>
      </c>
      <c r="E252" s="90" t="s">
        <v>284</v>
      </c>
      <c r="F252" s="90" t="s">
        <v>4322</v>
      </c>
      <c r="G252" s="92" t="s">
        <v>2849</v>
      </c>
      <c r="H252" s="89" t="s">
        <v>3837</v>
      </c>
      <c r="I252" s="90" t="s">
        <v>3838</v>
      </c>
      <c r="J252" s="89"/>
    </row>
    <row r="253" customFormat="false" ht="28.35" hidden="false" customHeight="false" outlineLevel="0" collapsed="false">
      <c r="A253" s="89" t="s">
        <v>234</v>
      </c>
      <c r="B253" s="89" t="s">
        <v>338</v>
      </c>
      <c r="C253" s="90" t="s">
        <v>340</v>
      </c>
      <c r="D253" s="92" t="s">
        <v>345</v>
      </c>
      <c r="E253" s="90" t="s">
        <v>3859</v>
      </c>
      <c r="F253" s="90" t="s">
        <v>4323</v>
      </c>
      <c r="G253" s="92" t="s">
        <v>4324</v>
      </c>
      <c r="H253" s="89" t="s">
        <v>3862</v>
      </c>
      <c r="I253" s="90" t="s">
        <v>3863</v>
      </c>
      <c r="J253" s="89"/>
    </row>
    <row r="254" customFormat="false" ht="41.75" hidden="false" customHeight="false" outlineLevel="0" collapsed="false">
      <c r="A254" s="89" t="s">
        <v>234</v>
      </c>
      <c r="B254" s="89" t="s">
        <v>338</v>
      </c>
      <c r="C254" s="90" t="s">
        <v>340</v>
      </c>
      <c r="D254" s="92" t="s">
        <v>345</v>
      </c>
      <c r="E254" s="90" t="s">
        <v>912</v>
      </c>
      <c r="F254" s="90" t="s">
        <v>4325</v>
      </c>
      <c r="G254" s="92" t="s">
        <v>3751</v>
      </c>
      <c r="H254" s="89" t="s">
        <v>3841</v>
      </c>
      <c r="I254" s="90" t="s">
        <v>4326</v>
      </c>
      <c r="J254" s="89"/>
    </row>
    <row r="255" customFormat="false" ht="41.75" hidden="false" customHeight="false" outlineLevel="0" collapsed="false">
      <c r="A255" s="89" t="s">
        <v>234</v>
      </c>
      <c r="B255" s="89" t="s">
        <v>338</v>
      </c>
      <c r="C255" s="90" t="s">
        <v>340</v>
      </c>
      <c r="D255" s="92" t="s">
        <v>345</v>
      </c>
      <c r="E255" s="90" t="s">
        <v>4327</v>
      </c>
      <c r="F255" s="90" t="s">
        <v>4325</v>
      </c>
      <c r="G255" s="92" t="s">
        <v>3751</v>
      </c>
      <c r="H255" s="89" t="s">
        <v>3841</v>
      </c>
      <c r="I255" s="90" t="s">
        <v>4328</v>
      </c>
      <c r="J255" s="89"/>
    </row>
    <row r="256" customFormat="false" ht="28.35" hidden="false" customHeight="false" outlineLevel="0" collapsed="false">
      <c r="A256" s="89" t="s">
        <v>234</v>
      </c>
      <c r="B256" s="89" t="s">
        <v>338</v>
      </c>
      <c r="C256" s="90" t="s">
        <v>340</v>
      </c>
      <c r="D256" s="92" t="s">
        <v>345</v>
      </c>
      <c r="E256" s="90" t="s">
        <v>614</v>
      </c>
      <c r="F256" s="90" t="s">
        <v>4329</v>
      </c>
      <c r="G256" s="92" t="s">
        <v>4330</v>
      </c>
      <c r="H256" s="89" t="s">
        <v>3872</v>
      </c>
      <c r="I256" s="90" t="s">
        <v>3873</v>
      </c>
      <c r="J256" s="89"/>
    </row>
    <row r="257" customFormat="false" ht="28.35" hidden="false" customHeight="false" outlineLevel="0" collapsed="false">
      <c r="A257" s="89" t="s">
        <v>234</v>
      </c>
      <c r="B257" s="89" t="s">
        <v>338</v>
      </c>
      <c r="C257" s="90" t="s">
        <v>340</v>
      </c>
      <c r="D257" s="92" t="s">
        <v>345</v>
      </c>
      <c r="E257" s="90" t="s">
        <v>360</v>
      </c>
      <c r="F257" s="90" t="s">
        <v>4331</v>
      </c>
      <c r="G257" s="92" t="s">
        <v>2155</v>
      </c>
      <c r="H257" s="89" t="s">
        <v>4035</v>
      </c>
      <c r="I257" s="90" t="s">
        <v>4036</v>
      </c>
      <c r="J257" s="89"/>
    </row>
    <row r="258" customFormat="false" ht="28.35" hidden="false" customHeight="false" outlineLevel="0" collapsed="false">
      <c r="A258" s="89" t="s">
        <v>234</v>
      </c>
      <c r="B258" s="89" t="s">
        <v>874</v>
      </c>
      <c r="C258" s="90" t="s">
        <v>876</v>
      </c>
      <c r="D258" s="92" t="s">
        <v>879</v>
      </c>
      <c r="E258" s="90" t="s">
        <v>3859</v>
      </c>
      <c r="F258" s="90" t="s">
        <v>4332</v>
      </c>
      <c r="G258" s="92" t="s">
        <v>2853</v>
      </c>
      <c r="H258" s="89" t="s">
        <v>3862</v>
      </c>
      <c r="I258" s="90" t="s">
        <v>3863</v>
      </c>
      <c r="J258" s="89"/>
    </row>
    <row r="259" customFormat="false" ht="41.75" hidden="false" customHeight="false" outlineLevel="0" collapsed="false">
      <c r="A259" s="89" t="s">
        <v>234</v>
      </c>
      <c r="B259" s="89" t="s">
        <v>874</v>
      </c>
      <c r="C259" s="90" t="s">
        <v>876</v>
      </c>
      <c r="D259" s="92" t="s">
        <v>879</v>
      </c>
      <c r="E259" s="90" t="s">
        <v>912</v>
      </c>
      <c r="F259" s="90" t="s">
        <v>4333</v>
      </c>
      <c r="G259" s="92" t="s">
        <v>3751</v>
      </c>
      <c r="H259" s="89" t="s">
        <v>3841</v>
      </c>
      <c r="I259" s="90" t="s">
        <v>4334</v>
      </c>
      <c r="J259" s="89"/>
    </row>
    <row r="260" customFormat="false" ht="41.75" hidden="false" customHeight="false" outlineLevel="0" collapsed="false">
      <c r="A260" s="89" t="s">
        <v>234</v>
      </c>
      <c r="B260" s="89" t="s">
        <v>874</v>
      </c>
      <c r="C260" s="90" t="s">
        <v>876</v>
      </c>
      <c r="D260" s="92" t="s">
        <v>879</v>
      </c>
      <c r="E260" s="90" t="s">
        <v>4335</v>
      </c>
      <c r="F260" s="90" t="s">
        <v>4333</v>
      </c>
      <c r="G260" s="92" t="s">
        <v>3751</v>
      </c>
      <c r="H260" s="89" t="s">
        <v>3841</v>
      </c>
      <c r="I260" s="90" t="s">
        <v>4336</v>
      </c>
      <c r="J260" s="89"/>
    </row>
    <row r="261" customFormat="false" ht="28.35" hidden="false" customHeight="false" outlineLevel="0" collapsed="false">
      <c r="A261" s="89" t="s">
        <v>234</v>
      </c>
      <c r="B261" s="89" t="s">
        <v>375</v>
      </c>
      <c r="C261" s="90" t="s">
        <v>377</v>
      </c>
      <c r="D261" s="92" t="s">
        <v>379</v>
      </c>
      <c r="E261" s="90" t="s">
        <v>284</v>
      </c>
      <c r="F261" s="90" t="s">
        <v>4337</v>
      </c>
      <c r="G261" s="92" t="s">
        <v>2895</v>
      </c>
      <c r="H261" s="89" t="s">
        <v>3837</v>
      </c>
      <c r="I261" s="90" t="s">
        <v>3838</v>
      </c>
      <c r="J261" s="89"/>
    </row>
    <row r="262" customFormat="false" ht="28.35" hidden="false" customHeight="false" outlineLevel="0" collapsed="false">
      <c r="A262" s="89" t="s">
        <v>234</v>
      </c>
      <c r="B262" s="89" t="s">
        <v>881</v>
      </c>
      <c r="C262" s="90" t="s">
        <v>882</v>
      </c>
      <c r="D262" s="92" t="s">
        <v>884</v>
      </c>
      <c r="E262" s="90" t="s">
        <v>284</v>
      </c>
      <c r="F262" s="90" t="s">
        <v>4338</v>
      </c>
      <c r="G262" s="92" t="s">
        <v>4339</v>
      </c>
      <c r="H262" s="89" t="s">
        <v>3876</v>
      </c>
      <c r="I262" s="90" t="s">
        <v>3877</v>
      </c>
      <c r="J262" s="89"/>
    </row>
    <row r="263" customFormat="false" ht="28.35" hidden="false" customHeight="false" outlineLevel="0" collapsed="false">
      <c r="A263" s="89" t="s">
        <v>234</v>
      </c>
      <c r="B263" s="89" t="s">
        <v>388</v>
      </c>
      <c r="C263" s="90" t="s">
        <v>390</v>
      </c>
      <c r="D263" s="92" t="s">
        <v>393</v>
      </c>
      <c r="E263" s="90" t="s">
        <v>3859</v>
      </c>
      <c r="F263" s="90" t="s">
        <v>4340</v>
      </c>
      <c r="G263" s="92" t="s">
        <v>4341</v>
      </c>
      <c r="H263" s="89" t="s">
        <v>3862</v>
      </c>
      <c r="I263" s="90" t="s">
        <v>3863</v>
      </c>
      <c r="J263" s="89"/>
    </row>
    <row r="264" customFormat="false" ht="41.75" hidden="false" customHeight="false" outlineLevel="0" collapsed="false">
      <c r="A264" s="89" t="s">
        <v>234</v>
      </c>
      <c r="B264" s="89" t="s">
        <v>388</v>
      </c>
      <c r="C264" s="90" t="s">
        <v>390</v>
      </c>
      <c r="D264" s="92" t="s">
        <v>393</v>
      </c>
      <c r="E264" s="90" t="s">
        <v>912</v>
      </c>
      <c r="F264" s="90" t="s">
        <v>4325</v>
      </c>
      <c r="G264" s="92" t="s">
        <v>3751</v>
      </c>
      <c r="H264" s="89" t="s">
        <v>3841</v>
      </c>
      <c r="I264" s="90" t="s">
        <v>4342</v>
      </c>
      <c r="J264" s="89"/>
    </row>
    <row r="265" customFormat="false" ht="41.75" hidden="false" customHeight="false" outlineLevel="0" collapsed="false">
      <c r="A265" s="89" t="s">
        <v>234</v>
      </c>
      <c r="B265" s="89" t="s">
        <v>388</v>
      </c>
      <c r="C265" s="90" t="s">
        <v>390</v>
      </c>
      <c r="D265" s="92" t="s">
        <v>393</v>
      </c>
      <c r="E265" s="90" t="s">
        <v>4327</v>
      </c>
      <c r="F265" s="90" t="s">
        <v>4325</v>
      </c>
      <c r="G265" s="92" t="s">
        <v>3751</v>
      </c>
      <c r="H265" s="89" t="s">
        <v>3841</v>
      </c>
      <c r="I265" s="90" t="s">
        <v>4343</v>
      </c>
      <c r="J265" s="89"/>
    </row>
    <row r="266" customFormat="false" ht="28.35" hidden="false" customHeight="false" outlineLevel="0" collapsed="false">
      <c r="A266" s="89" t="s">
        <v>234</v>
      </c>
      <c r="B266" s="89" t="s">
        <v>888</v>
      </c>
      <c r="C266" s="90" t="s">
        <v>890</v>
      </c>
      <c r="D266" s="92" t="s">
        <v>892</v>
      </c>
      <c r="E266" s="90" t="s">
        <v>360</v>
      </c>
      <c r="F266" s="90" t="s">
        <v>4344</v>
      </c>
      <c r="G266" s="92" t="s">
        <v>1814</v>
      </c>
      <c r="H266" s="89" t="s">
        <v>4345</v>
      </c>
      <c r="I266" s="90" t="s">
        <v>4346</v>
      </c>
      <c r="J266" s="89"/>
    </row>
    <row r="267" customFormat="false" ht="28.35" hidden="false" customHeight="false" outlineLevel="0" collapsed="false">
      <c r="A267" s="89" t="s">
        <v>234</v>
      </c>
      <c r="B267" s="89" t="s">
        <v>637</v>
      </c>
      <c r="C267" s="90" t="s">
        <v>639</v>
      </c>
      <c r="D267" s="92" t="s">
        <v>641</v>
      </c>
      <c r="E267" s="90" t="s">
        <v>284</v>
      </c>
      <c r="F267" s="90" t="s">
        <v>4347</v>
      </c>
      <c r="G267" s="92" t="s">
        <v>4348</v>
      </c>
      <c r="H267" s="89" t="s">
        <v>3876</v>
      </c>
      <c r="I267" s="90" t="s">
        <v>3877</v>
      </c>
      <c r="J267" s="89"/>
    </row>
    <row r="268" customFormat="false" ht="28.35" hidden="false" customHeight="false" outlineLevel="0" collapsed="false">
      <c r="A268" s="89" t="s">
        <v>234</v>
      </c>
      <c r="B268" s="89" t="s">
        <v>894</v>
      </c>
      <c r="C268" s="90" t="s">
        <v>896</v>
      </c>
      <c r="D268" s="92" t="s">
        <v>898</v>
      </c>
      <c r="E268" s="90" t="s">
        <v>284</v>
      </c>
      <c r="F268" s="90" t="s">
        <v>4349</v>
      </c>
      <c r="G268" s="92" t="s">
        <v>4350</v>
      </c>
      <c r="H268" s="89" t="s">
        <v>3837</v>
      </c>
      <c r="I268" s="90" t="s">
        <v>3838</v>
      </c>
      <c r="J268" s="89"/>
    </row>
    <row r="269" customFormat="false" ht="28.35" hidden="false" customHeight="false" outlineLevel="0" collapsed="false">
      <c r="A269" s="89" t="s">
        <v>234</v>
      </c>
      <c r="B269" s="89" t="s">
        <v>899</v>
      </c>
      <c r="C269" s="90" t="s">
        <v>900</v>
      </c>
      <c r="D269" s="92" t="s">
        <v>902</v>
      </c>
      <c r="E269" s="90" t="s">
        <v>284</v>
      </c>
      <c r="F269" s="90" t="s">
        <v>4351</v>
      </c>
      <c r="G269" s="92" t="s">
        <v>4352</v>
      </c>
      <c r="H269" s="89" t="s">
        <v>3837</v>
      </c>
      <c r="I269" s="90" t="s">
        <v>3838</v>
      </c>
      <c r="J269" s="89"/>
    </row>
    <row r="270" customFormat="false" ht="41.75" hidden="false" customHeight="false" outlineLevel="0" collapsed="false">
      <c r="A270" s="89" t="s">
        <v>234</v>
      </c>
      <c r="B270" s="89" t="s">
        <v>476</v>
      </c>
      <c r="C270" s="90" t="s">
        <v>478</v>
      </c>
      <c r="D270" s="92" t="s">
        <v>482</v>
      </c>
      <c r="E270" s="90" t="s">
        <v>3859</v>
      </c>
      <c r="F270" s="90" t="s">
        <v>4353</v>
      </c>
      <c r="G270" s="92" t="s">
        <v>4354</v>
      </c>
      <c r="H270" s="89" t="s">
        <v>3862</v>
      </c>
      <c r="I270" s="90" t="s">
        <v>3863</v>
      </c>
      <c r="J270" s="89"/>
    </row>
    <row r="271" customFormat="false" ht="41.75" hidden="false" customHeight="false" outlineLevel="0" collapsed="false">
      <c r="A271" s="89" t="s">
        <v>234</v>
      </c>
      <c r="B271" s="89" t="s">
        <v>476</v>
      </c>
      <c r="C271" s="90" t="s">
        <v>478</v>
      </c>
      <c r="D271" s="92" t="s">
        <v>482</v>
      </c>
      <c r="E271" s="90" t="s">
        <v>912</v>
      </c>
      <c r="F271" s="90" t="s">
        <v>4325</v>
      </c>
      <c r="G271" s="92" t="s">
        <v>3751</v>
      </c>
      <c r="H271" s="89" t="s">
        <v>3841</v>
      </c>
      <c r="I271" s="90" t="s">
        <v>4355</v>
      </c>
      <c r="J271" s="89"/>
    </row>
    <row r="272" customFormat="false" ht="41.75" hidden="false" customHeight="false" outlineLevel="0" collapsed="false">
      <c r="A272" s="89" t="s">
        <v>234</v>
      </c>
      <c r="B272" s="89" t="s">
        <v>476</v>
      </c>
      <c r="C272" s="90" t="s">
        <v>478</v>
      </c>
      <c r="D272" s="92" t="s">
        <v>482</v>
      </c>
      <c r="E272" s="90" t="s">
        <v>4327</v>
      </c>
      <c r="F272" s="90" t="s">
        <v>4325</v>
      </c>
      <c r="G272" s="92" t="s">
        <v>3751</v>
      </c>
      <c r="H272" s="89" t="s">
        <v>3841</v>
      </c>
      <c r="I272" s="90" t="s">
        <v>4356</v>
      </c>
      <c r="J272" s="89"/>
    </row>
    <row r="273" customFormat="false" ht="41.75" hidden="false" customHeight="false" outlineLevel="0" collapsed="false">
      <c r="A273" s="89" t="s">
        <v>234</v>
      </c>
      <c r="B273" s="89" t="s">
        <v>299</v>
      </c>
      <c r="C273" s="90" t="s">
        <v>301</v>
      </c>
      <c r="D273" s="92" t="s">
        <v>303</v>
      </c>
      <c r="E273" s="90" t="s">
        <v>284</v>
      </c>
      <c r="F273" s="90" t="s">
        <v>4357</v>
      </c>
      <c r="G273" s="92" t="s">
        <v>4358</v>
      </c>
      <c r="H273" s="89" t="s">
        <v>3876</v>
      </c>
      <c r="I273" s="90" t="s">
        <v>3877</v>
      </c>
      <c r="J273" s="89"/>
    </row>
    <row r="274" customFormat="false" ht="28.35" hidden="false" customHeight="false" outlineLevel="0" collapsed="false">
      <c r="A274" s="89" t="s">
        <v>234</v>
      </c>
      <c r="B274" s="89" t="s">
        <v>529</v>
      </c>
      <c r="C274" s="90" t="s">
        <v>531</v>
      </c>
      <c r="D274" s="92" t="s">
        <v>533</v>
      </c>
      <c r="E274" s="90" t="s">
        <v>360</v>
      </c>
      <c r="F274" s="90" t="s">
        <v>4359</v>
      </c>
      <c r="G274" s="92" t="s">
        <v>4360</v>
      </c>
      <c r="H274" s="89" t="s">
        <v>4035</v>
      </c>
      <c r="I274" s="90" t="s">
        <v>4036</v>
      </c>
      <c r="J274" s="89"/>
    </row>
    <row r="275" customFormat="false" ht="41.75" hidden="false" customHeight="false" outlineLevel="0" collapsed="false">
      <c r="A275" s="89" t="s">
        <v>234</v>
      </c>
      <c r="B275" s="89" t="s">
        <v>534</v>
      </c>
      <c r="C275" s="90" t="s">
        <v>535</v>
      </c>
      <c r="D275" s="92" t="s">
        <v>540</v>
      </c>
      <c r="E275" s="90" t="s">
        <v>3859</v>
      </c>
      <c r="F275" s="90" t="s">
        <v>4361</v>
      </c>
      <c r="G275" s="92" t="s">
        <v>1694</v>
      </c>
      <c r="H275" s="89" t="s">
        <v>3971</v>
      </c>
      <c r="I275" s="90" t="s">
        <v>3972</v>
      </c>
      <c r="J275" s="89"/>
    </row>
    <row r="276" customFormat="false" ht="41.75" hidden="false" customHeight="false" outlineLevel="0" collapsed="false">
      <c r="A276" s="89" t="s">
        <v>234</v>
      </c>
      <c r="B276" s="89" t="s">
        <v>534</v>
      </c>
      <c r="C276" s="90" t="s">
        <v>535</v>
      </c>
      <c r="D276" s="92" t="s">
        <v>540</v>
      </c>
      <c r="E276" s="90" t="s">
        <v>912</v>
      </c>
      <c r="F276" s="90" t="s">
        <v>4325</v>
      </c>
      <c r="G276" s="92" t="s">
        <v>3751</v>
      </c>
      <c r="H276" s="89" t="s">
        <v>3841</v>
      </c>
      <c r="I276" s="90" t="s">
        <v>4362</v>
      </c>
      <c r="J276" s="89"/>
    </row>
    <row r="277" customFormat="false" ht="41.75" hidden="false" customHeight="false" outlineLevel="0" collapsed="false">
      <c r="A277" s="89" t="s">
        <v>234</v>
      </c>
      <c r="B277" s="89" t="s">
        <v>534</v>
      </c>
      <c r="C277" s="90" t="s">
        <v>535</v>
      </c>
      <c r="D277" s="92" t="s">
        <v>540</v>
      </c>
      <c r="E277" s="90" t="s">
        <v>4327</v>
      </c>
      <c r="F277" s="90" t="s">
        <v>4325</v>
      </c>
      <c r="G277" s="92" t="s">
        <v>3751</v>
      </c>
      <c r="H277" s="89" t="s">
        <v>3841</v>
      </c>
      <c r="I277" s="90" t="s">
        <v>4363</v>
      </c>
      <c r="J277" s="89"/>
    </row>
    <row r="278" customFormat="false" ht="28.35" hidden="false" customHeight="false" outlineLevel="0" collapsed="false">
      <c r="A278" s="89" t="s">
        <v>234</v>
      </c>
      <c r="B278" s="89" t="s">
        <v>541</v>
      </c>
      <c r="C278" s="90" t="s">
        <v>543</v>
      </c>
      <c r="D278" s="92" t="s">
        <v>547</v>
      </c>
      <c r="E278" s="90" t="s">
        <v>284</v>
      </c>
      <c r="F278" s="90" t="s">
        <v>4364</v>
      </c>
      <c r="G278" s="92" t="s">
        <v>3442</v>
      </c>
      <c r="H278" s="89" t="s">
        <v>3837</v>
      </c>
      <c r="I278" s="90" t="s">
        <v>3838</v>
      </c>
      <c r="J278" s="89"/>
    </row>
    <row r="279" customFormat="false" ht="28.35" hidden="false" customHeight="false" outlineLevel="0" collapsed="false">
      <c r="A279" s="89" t="s">
        <v>234</v>
      </c>
      <c r="B279" s="89" t="s">
        <v>541</v>
      </c>
      <c r="C279" s="90" t="s">
        <v>543</v>
      </c>
      <c r="D279" s="92" t="s">
        <v>547</v>
      </c>
      <c r="E279" s="90" t="s">
        <v>3859</v>
      </c>
      <c r="F279" s="90" t="s">
        <v>4365</v>
      </c>
      <c r="G279" s="92" t="s">
        <v>4366</v>
      </c>
      <c r="H279" s="89" t="s">
        <v>3862</v>
      </c>
      <c r="I279" s="90" t="s">
        <v>3863</v>
      </c>
      <c r="J279" s="89"/>
    </row>
    <row r="280" customFormat="false" ht="41.75" hidden="false" customHeight="false" outlineLevel="0" collapsed="false">
      <c r="A280" s="89" t="s">
        <v>234</v>
      </c>
      <c r="B280" s="89" t="s">
        <v>541</v>
      </c>
      <c r="C280" s="90" t="s">
        <v>543</v>
      </c>
      <c r="D280" s="92" t="s">
        <v>547</v>
      </c>
      <c r="E280" s="90" t="s">
        <v>912</v>
      </c>
      <c r="F280" s="90" t="s">
        <v>4325</v>
      </c>
      <c r="G280" s="92" t="s">
        <v>3751</v>
      </c>
      <c r="H280" s="89" t="s">
        <v>3841</v>
      </c>
      <c r="I280" s="90" t="s">
        <v>4367</v>
      </c>
      <c r="J280" s="89"/>
    </row>
    <row r="281" customFormat="false" ht="41.75" hidden="false" customHeight="false" outlineLevel="0" collapsed="false">
      <c r="A281" s="89" t="s">
        <v>234</v>
      </c>
      <c r="B281" s="89" t="s">
        <v>541</v>
      </c>
      <c r="C281" s="90" t="s">
        <v>543</v>
      </c>
      <c r="D281" s="92" t="s">
        <v>547</v>
      </c>
      <c r="E281" s="90" t="s">
        <v>4327</v>
      </c>
      <c r="F281" s="90" t="s">
        <v>4325</v>
      </c>
      <c r="G281" s="92" t="s">
        <v>3751</v>
      </c>
      <c r="H281" s="89" t="s">
        <v>3841</v>
      </c>
      <c r="I281" s="90" t="s">
        <v>4368</v>
      </c>
      <c r="J281" s="89"/>
    </row>
    <row r="282" customFormat="false" ht="28.35" hidden="false" customHeight="false" outlineLevel="0" collapsed="false">
      <c r="A282" s="89" t="s">
        <v>234</v>
      </c>
      <c r="B282" s="89" t="s">
        <v>541</v>
      </c>
      <c r="C282" s="90" t="s">
        <v>543</v>
      </c>
      <c r="D282" s="92" t="s">
        <v>547</v>
      </c>
      <c r="E282" s="90" t="s">
        <v>360</v>
      </c>
      <c r="F282" s="90" t="s">
        <v>4369</v>
      </c>
      <c r="G282" s="92" t="s">
        <v>2166</v>
      </c>
      <c r="H282" s="89" t="s">
        <v>4035</v>
      </c>
      <c r="I282" s="90" t="s">
        <v>4036</v>
      </c>
      <c r="J282" s="89"/>
    </row>
    <row r="283" customFormat="false" ht="28.35" hidden="false" customHeight="false" outlineLevel="0" collapsed="false">
      <c r="A283" s="89" t="s">
        <v>234</v>
      </c>
      <c r="B283" s="89" t="s">
        <v>839</v>
      </c>
      <c r="C283" s="90" t="s">
        <v>840</v>
      </c>
      <c r="D283" s="92" t="s">
        <v>842</v>
      </c>
      <c r="E283" s="90" t="s">
        <v>284</v>
      </c>
      <c r="F283" s="90" t="s">
        <v>4370</v>
      </c>
      <c r="G283" s="92" t="s">
        <v>4371</v>
      </c>
      <c r="H283" s="89" t="s">
        <v>3876</v>
      </c>
      <c r="I283" s="90" t="s">
        <v>3877</v>
      </c>
      <c r="J283" s="89"/>
    </row>
    <row r="284" customFormat="false" ht="41.75" hidden="false" customHeight="false" outlineLevel="0" collapsed="false">
      <c r="A284" s="89" t="s">
        <v>234</v>
      </c>
      <c r="B284" s="89" t="s">
        <v>910</v>
      </c>
      <c r="C284" s="90" t="s">
        <v>596</v>
      </c>
      <c r="D284" s="92" t="s">
        <v>913</v>
      </c>
      <c r="E284" s="90" t="s">
        <v>912</v>
      </c>
      <c r="F284" s="90" t="s">
        <v>4320</v>
      </c>
      <c r="G284" s="92" t="s">
        <v>3751</v>
      </c>
      <c r="H284" s="89" t="s">
        <v>3841</v>
      </c>
      <c r="I284" s="90" t="s">
        <v>4372</v>
      </c>
      <c r="J284" s="89"/>
    </row>
    <row r="285" customFormat="false" ht="28.35" hidden="false" customHeight="false" outlineLevel="0" collapsed="false">
      <c r="A285" s="89" t="s">
        <v>234</v>
      </c>
      <c r="B285" s="89" t="s">
        <v>914</v>
      </c>
      <c r="C285" s="90" t="s">
        <v>915</v>
      </c>
      <c r="D285" s="92" t="s">
        <v>917</v>
      </c>
      <c r="E285" s="90" t="s">
        <v>284</v>
      </c>
      <c r="F285" s="90" t="s">
        <v>4373</v>
      </c>
      <c r="G285" s="92" t="s">
        <v>4374</v>
      </c>
      <c r="H285" s="89" t="s">
        <v>3876</v>
      </c>
      <c r="I285" s="90" t="s">
        <v>3877</v>
      </c>
      <c r="J285" s="89"/>
    </row>
    <row r="286" customFormat="false" ht="28.35" hidden="false" customHeight="false" outlineLevel="0" collapsed="false">
      <c r="A286" s="89" t="s">
        <v>234</v>
      </c>
      <c r="B286" s="89" t="s">
        <v>754</v>
      </c>
      <c r="C286" s="90" t="s">
        <v>756</v>
      </c>
      <c r="D286" s="92" t="s">
        <v>758</v>
      </c>
      <c r="E286" s="90" t="s">
        <v>284</v>
      </c>
      <c r="F286" s="90" t="s">
        <v>4375</v>
      </c>
      <c r="G286" s="92" t="s">
        <v>4376</v>
      </c>
      <c r="H286" s="89" t="s">
        <v>3837</v>
      </c>
      <c r="I286" s="90" t="s">
        <v>3838</v>
      </c>
      <c r="J286" s="89"/>
    </row>
    <row r="287" customFormat="false" ht="28.35" hidden="false" customHeight="false" outlineLevel="0" collapsed="false">
      <c r="A287" s="89" t="s">
        <v>234</v>
      </c>
      <c r="B287" s="89" t="s">
        <v>665</v>
      </c>
      <c r="C287" s="90" t="s">
        <v>667</v>
      </c>
      <c r="D287" s="92" t="s">
        <v>670</v>
      </c>
      <c r="E287" s="90" t="s">
        <v>284</v>
      </c>
      <c r="F287" s="90" t="s">
        <v>4377</v>
      </c>
      <c r="G287" s="92" t="s">
        <v>4378</v>
      </c>
      <c r="H287" s="89" t="s">
        <v>3837</v>
      </c>
      <c r="I287" s="90" t="s">
        <v>3838</v>
      </c>
      <c r="J287" s="89"/>
    </row>
    <row r="288" customFormat="false" ht="28.35" hidden="false" customHeight="false" outlineLevel="0" collapsed="false">
      <c r="A288" s="89" t="s">
        <v>234</v>
      </c>
      <c r="B288" s="89" t="s">
        <v>665</v>
      </c>
      <c r="C288" s="90" t="s">
        <v>667</v>
      </c>
      <c r="D288" s="92" t="s">
        <v>670</v>
      </c>
      <c r="E288" s="90" t="s">
        <v>3859</v>
      </c>
      <c r="F288" s="90" t="s">
        <v>4379</v>
      </c>
      <c r="G288" s="92" t="s">
        <v>2091</v>
      </c>
      <c r="H288" s="89" t="s">
        <v>3971</v>
      </c>
      <c r="I288" s="90" t="s">
        <v>3972</v>
      </c>
      <c r="J288" s="89"/>
    </row>
    <row r="289" customFormat="false" ht="41.75" hidden="false" customHeight="false" outlineLevel="0" collapsed="false">
      <c r="A289" s="89" t="s">
        <v>234</v>
      </c>
      <c r="B289" s="89" t="s">
        <v>665</v>
      </c>
      <c r="C289" s="90" t="s">
        <v>667</v>
      </c>
      <c r="D289" s="92" t="s">
        <v>670</v>
      </c>
      <c r="E289" s="90" t="s">
        <v>912</v>
      </c>
      <c r="F289" s="90" t="s">
        <v>4325</v>
      </c>
      <c r="G289" s="92" t="s">
        <v>3751</v>
      </c>
      <c r="H289" s="89" t="s">
        <v>3841</v>
      </c>
      <c r="I289" s="90" t="s">
        <v>4380</v>
      </c>
      <c r="J289" s="89"/>
    </row>
    <row r="290" customFormat="false" ht="41.75" hidden="false" customHeight="false" outlineLevel="0" collapsed="false">
      <c r="A290" s="89" t="s">
        <v>234</v>
      </c>
      <c r="B290" s="89" t="s">
        <v>665</v>
      </c>
      <c r="C290" s="90" t="s">
        <v>667</v>
      </c>
      <c r="D290" s="92" t="s">
        <v>670</v>
      </c>
      <c r="E290" s="90" t="s">
        <v>4327</v>
      </c>
      <c r="F290" s="90" t="s">
        <v>4325</v>
      </c>
      <c r="G290" s="92" t="s">
        <v>3751</v>
      </c>
      <c r="H290" s="89" t="s">
        <v>3841</v>
      </c>
      <c r="I290" s="90" t="s">
        <v>4381</v>
      </c>
      <c r="J290" s="89"/>
    </row>
    <row r="291" customFormat="false" ht="28.35" hidden="false" customHeight="false" outlineLevel="0" collapsed="false">
      <c r="A291" s="89" t="s">
        <v>234</v>
      </c>
      <c r="B291" s="89" t="s">
        <v>665</v>
      </c>
      <c r="C291" s="90" t="s">
        <v>667</v>
      </c>
      <c r="D291" s="92" t="s">
        <v>670</v>
      </c>
      <c r="E291" s="90" t="s">
        <v>360</v>
      </c>
      <c r="F291" s="90" t="s">
        <v>4382</v>
      </c>
      <c r="G291" s="92" t="s">
        <v>2163</v>
      </c>
      <c r="H291" s="89" t="s">
        <v>4035</v>
      </c>
      <c r="I291" s="90" t="s">
        <v>4036</v>
      </c>
      <c r="J291" s="89"/>
    </row>
    <row r="292" customFormat="false" ht="41.75" hidden="false" customHeight="false" outlineLevel="0" collapsed="false">
      <c r="A292" s="89" t="s">
        <v>234</v>
      </c>
      <c r="B292" s="89" t="s">
        <v>671</v>
      </c>
      <c r="C292" s="90" t="s">
        <v>673</v>
      </c>
      <c r="D292" s="92" t="s">
        <v>675</v>
      </c>
      <c r="E292" s="90" t="s">
        <v>3859</v>
      </c>
      <c r="F292" s="90" t="s">
        <v>4383</v>
      </c>
      <c r="G292" s="92" t="s">
        <v>3675</v>
      </c>
      <c r="H292" s="89" t="s">
        <v>3862</v>
      </c>
      <c r="I292" s="90" t="s">
        <v>3863</v>
      </c>
      <c r="J292" s="89"/>
    </row>
    <row r="293" customFormat="false" ht="41.75" hidden="false" customHeight="false" outlineLevel="0" collapsed="false">
      <c r="A293" s="89" t="s">
        <v>234</v>
      </c>
      <c r="B293" s="89" t="s">
        <v>671</v>
      </c>
      <c r="C293" s="90" t="s">
        <v>673</v>
      </c>
      <c r="D293" s="92" t="s">
        <v>675</v>
      </c>
      <c r="E293" s="90" t="s">
        <v>912</v>
      </c>
      <c r="F293" s="90" t="s">
        <v>4320</v>
      </c>
      <c r="G293" s="92" t="s">
        <v>3751</v>
      </c>
      <c r="H293" s="89" t="s">
        <v>3841</v>
      </c>
      <c r="I293" s="90" t="s">
        <v>4384</v>
      </c>
      <c r="J293" s="89"/>
    </row>
    <row r="294" customFormat="false" ht="28.35" hidden="false" customHeight="false" outlineLevel="0" collapsed="false">
      <c r="A294" s="89" t="s">
        <v>234</v>
      </c>
      <c r="B294" s="89" t="s">
        <v>599</v>
      </c>
      <c r="C294" s="90" t="s">
        <v>601</v>
      </c>
      <c r="D294" s="92" t="s">
        <v>603</v>
      </c>
      <c r="E294" s="90" t="s">
        <v>284</v>
      </c>
      <c r="F294" s="90" t="s">
        <v>4385</v>
      </c>
      <c r="G294" s="92" t="s">
        <v>4386</v>
      </c>
      <c r="H294" s="89" t="s">
        <v>3876</v>
      </c>
      <c r="I294" s="90" t="s">
        <v>3877</v>
      </c>
      <c r="J294" s="89"/>
    </row>
    <row r="295" customFormat="false" ht="41.75" hidden="false" customHeight="false" outlineLevel="0" collapsed="false">
      <c r="A295" s="89" t="s">
        <v>21</v>
      </c>
      <c r="B295" s="89" t="s">
        <v>922</v>
      </c>
      <c r="C295" s="90" t="s">
        <v>924</v>
      </c>
      <c r="D295" s="92" t="s">
        <v>928</v>
      </c>
      <c r="E295" s="90" t="s">
        <v>912</v>
      </c>
      <c r="F295" s="90" t="s">
        <v>4387</v>
      </c>
      <c r="G295" s="92" t="s">
        <v>3751</v>
      </c>
      <c r="H295" s="89" t="s">
        <v>3841</v>
      </c>
      <c r="I295" s="90" t="s">
        <v>4388</v>
      </c>
      <c r="J295" s="89"/>
    </row>
    <row r="296" customFormat="false" ht="28.35" hidden="false" customHeight="false" outlineLevel="0" collapsed="false">
      <c r="A296" s="89" t="s">
        <v>21</v>
      </c>
      <c r="B296" s="89" t="s">
        <v>922</v>
      </c>
      <c r="C296" s="90" t="s">
        <v>924</v>
      </c>
      <c r="D296" s="92" t="s">
        <v>928</v>
      </c>
      <c r="E296" s="90" t="s">
        <v>360</v>
      </c>
      <c r="F296" s="90" t="s">
        <v>4389</v>
      </c>
      <c r="G296" s="92" t="s">
        <v>4390</v>
      </c>
      <c r="H296" s="89" t="s">
        <v>3892</v>
      </c>
      <c r="I296" s="90" t="s">
        <v>3893</v>
      </c>
      <c r="J296" s="89"/>
    </row>
    <row r="297" customFormat="false" ht="41.75" hidden="false" customHeight="false" outlineLevel="0" collapsed="false">
      <c r="A297" s="89" t="s">
        <v>21</v>
      </c>
      <c r="B297" s="89" t="s">
        <v>929</v>
      </c>
      <c r="C297" s="90" t="s">
        <v>931</v>
      </c>
      <c r="D297" s="92" t="s">
        <v>934</v>
      </c>
      <c r="E297" s="90" t="s">
        <v>912</v>
      </c>
      <c r="F297" s="90" t="s">
        <v>4391</v>
      </c>
      <c r="G297" s="92" t="s">
        <v>3751</v>
      </c>
      <c r="H297" s="89" t="s">
        <v>3841</v>
      </c>
      <c r="I297" s="90" t="s">
        <v>4392</v>
      </c>
      <c r="J297" s="89"/>
    </row>
    <row r="298" customFormat="false" ht="41.75" hidden="false" customHeight="false" outlineLevel="0" collapsed="false">
      <c r="A298" s="89" t="s">
        <v>21</v>
      </c>
      <c r="B298" s="89" t="s">
        <v>929</v>
      </c>
      <c r="C298" s="90" t="s">
        <v>931</v>
      </c>
      <c r="D298" s="92" t="s">
        <v>934</v>
      </c>
      <c r="E298" s="90" t="s">
        <v>4393</v>
      </c>
      <c r="F298" s="90" t="s">
        <v>4391</v>
      </c>
      <c r="G298" s="92" t="s">
        <v>3751</v>
      </c>
      <c r="H298" s="89" t="s">
        <v>3841</v>
      </c>
      <c r="I298" s="90" t="s">
        <v>4394</v>
      </c>
      <c r="J298" s="89"/>
    </row>
    <row r="299" customFormat="false" ht="28.35" hidden="false" customHeight="false" outlineLevel="0" collapsed="false">
      <c r="A299" s="89" t="s">
        <v>21</v>
      </c>
      <c r="B299" s="89" t="s">
        <v>324</v>
      </c>
      <c r="C299" s="90" t="s">
        <v>326</v>
      </c>
      <c r="D299" s="92" t="s">
        <v>328</v>
      </c>
      <c r="E299" s="90" t="s">
        <v>284</v>
      </c>
      <c r="F299" s="90" t="s">
        <v>4395</v>
      </c>
      <c r="G299" s="92" t="s">
        <v>2813</v>
      </c>
      <c r="H299" s="89" t="s">
        <v>3837</v>
      </c>
      <c r="I299" s="90" t="s">
        <v>3838</v>
      </c>
      <c r="J299" s="89"/>
    </row>
    <row r="300" customFormat="false" ht="41.75" hidden="false" customHeight="false" outlineLevel="0" collapsed="false">
      <c r="A300" s="89" t="s">
        <v>21</v>
      </c>
      <c r="B300" s="89" t="s">
        <v>324</v>
      </c>
      <c r="C300" s="90" t="s">
        <v>326</v>
      </c>
      <c r="D300" s="92" t="s">
        <v>328</v>
      </c>
      <c r="E300" s="90" t="s">
        <v>912</v>
      </c>
      <c r="F300" s="90" t="s">
        <v>4396</v>
      </c>
      <c r="G300" s="92" t="s">
        <v>3751</v>
      </c>
      <c r="H300" s="89" t="s">
        <v>3841</v>
      </c>
      <c r="I300" s="90" t="s">
        <v>4397</v>
      </c>
      <c r="J300" s="89"/>
    </row>
    <row r="301" customFormat="false" ht="55.2" hidden="false" customHeight="false" outlineLevel="0" collapsed="false">
      <c r="A301" s="89" t="s">
        <v>21</v>
      </c>
      <c r="B301" s="89" t="s">
        <v>324</v>
      </c>
      <c r="C301" s="90" t="s">
        <v>326</v>
      </c>
      <c r="D301" s="92" t="s">
        <v>328</v>
      </c>
      <c r="E301" s="90" t="s">
        <v>4398</v>
      </c>
      <c r="F301" s="90" t="s">
        <v>4396</v>
      </c>
      <c r="G301" s="92" t="s">
        <v>4399</v>
      </c>
      <c r="H301" s="89" t="s">
        <v>3868</v>
      </c>
      <c r="I301" s="90" t="s">
        <v>4400</v>
      </c>
      <c r="J301" s="92" t="s">
        <v>3751</v>
      </c>
    </row>
    <row r="302" customFormat="false" ht="41.75" hidden="false" customHeight="false" outlineLevel="0" collapsed="false">
      <c r="A302" s="89" t="s">
        <v>21</v>
      </c>
      <c r="B302" s="89" t="s">
        <v>937</v>
      </c>
      <c r="C302" s="90" t="s">
        <v>596</v>
      </c>
      <c r="D302" s="92" t="s">
        <v>939</v>
      </c>
      <c r="E302" s="90" t="s">
        <v>912</v>
      </c>
      <c r="F302" s="90" t="s">
        <v>4401</v>
      </c>
      <c r="G302" s="92" t="s">
        <v>3751</v>
      </c>
      <c r="H302" s="89" t="s">
        <v>3841</v>
      </c>
      <c r="I302" s="90" t="s">
        <v>4402</v>
      </c>
      <c r="J302" s="89"/>
    </row>
    <row r="303" customFormat="false" ht="28.35" hidden="false" customHeight="false" outlineLevel="0" collapsed="false">
      <c r="A303" s="89" t="s">
        <v>21</v>
      </c>
      <c r="B303" s="89" t="s">
        <v>940</v>
      </c>
      <c r="C303" s="90" t="s">
        <v>942</v>
      </c>
      <c r="D303" s="92" t="s">
        <v>946</v>
      </c>
      <c r="E303" s="90" t="s">
        <v>284</v>
      </c>
      <c r="F303" s="90" t="s">
        <v>4403</v>
      </c>
      <c r="G303" s="92" t="s">
        <v>4404</v>
      </c>
      <c r="H303" s="89" t="s">
        <v>3837</v>
      </c>
      <c r="I303" s="90" t="s">
        <v>3838</v>
      </c>
      <c r="J303" s="89"/>
    </row>
    <row r="304" customFormat="false" ht="41.75" hidden="false" customHeight="false" outlineLevel="0" collapsed="false">
      <c r="A304" s="89" t="s">
        <v>21</v>
      </c>
      <c r="B304" s="89" t="s">
        <v>940</v>
      </c>
      <c r="C304" s="90" t="s">
        <v>942</v>
      </c>
      <c r="D304" s="92" t="s">
        <v>946</v>
      </c>
      <c r="E304" s="90" t="s">
        <v>3859</v>
      </c>
      <c r="F304" s="90" t="s">
        <v>4405</v>
      </c>
      <c r="G304" s="92" t="s">
        <v>4406</v>
      </c>
      <c r="H304" s="89" t="s">
        <v>3862</v>
      </c>
      <c r="I304" s="90" t="s">
        <v>3863</v>
      </c>
      <c r="J304" s="89"/>
    </row>
    <row r="305" customFormat="false" ht="41.75" hidden="false" customHeight="false" outlineLevel="0" collapsed="false">
      <c r="A305" s="89" t="s">
        <v>21</v>
      </c>
      <c r="B305" s="89" t="s">
        <v>940</v>
      </c>
      <c r="C305" s="90" t="s">
        <v>942</v>
      </c>
      <c r="D305" s="92" t="s">
        <v>946</v>
      </c>
      <c r="E305" s="90" t="s">
        <v>912</v>
      </c>
      <c r="F305" s="90" t="s">
        <v>4407</v>
      </c>
      <c r="G305" s="92" t="s">
        <v>3751</v>
      </c>
      <c r="H305" s="89" t="s">
        <v>3841</v>
      </c>
      <c r="I305" s="90" t="s">
        <v>4408</v>
      </c>
      <c r="J305" s="89"/>
    </row>
    <row r="306" customFormat="false" ht="82.05" hidden="false" customHeight="false" outlineLevel="0" collapsed="false">
      <c r="A306" s="89" t="s">
        <v>21</v>
      </c>
      <c r="B306" s="89" t="s">
        <v>940</v>
      </c>
      <c r="C306" s="90" t="s">
        <v>942</v>
      </c>
      <c r="D306" s="92" t="s">
        <v>946</v>
      </c>
      <c r="E306" s="90" t="s">
        <v>4409</v>
      </c>
      <c r="F306" s="90" t="s">
        <v>4407</v>
      </c>
      <c r="G306" s="92" t="s">
        <v>4410</v>
      </c>
      <c r="H306" s="89" t="s">
        <v>3868</v>
      </c>
      <c r="I306" s="90" t="s">
        <v>4411</v>
      </c>
      <c r="J306" s="92" t="s">
        <v>3751</v>
      </c>
    </row>
    <row r="307" customFormat="false" ht="41.75" hidden="false" customHeight="false" outlineLevel="0" collapsed="false">
      <c r="A307" s="89" t="s">
        <v>21</v>
      </c>
      <c r="B307" s="89" t="s">
        <v>329</v>
      </c>
      <c r="C307" s="90" t="s">
        <v>331</v>
      </c>
      <c r="D307" s="92" t="s">
        <v>337</v>
      </c>
      <c r="E307" s="90" t="s">
        <v>3859</v>
      </c>
      <c r="F307" s="90" t="s">
        <v>4412</v>
      </c>
      <c r="G307" s="92" t="s">
        <v>4413</v>
      </c>
      <c r="H307" s="89" t="s">
        <v>3862</v>
      </c>
      <c r="I307" s="90" t="s">
        <v>3863</v>
      </c>
      <c r="J307" s="89"/>
    </row>
    <row r="308" customFormat="false" ht="202.95" hidden="false" customHeight="false" outlineLevel="0" collapsed="false">
      <c r="A308" s="89" t="s">
        <v>21</v>
      </c>
      <c r="B308" s="89" t="s">
        <v>329</v>
      </c>
      <c r="C308" s="90" t="s">
        <v>331</v>
      </c>
      <c r="D308" s="92" t="s">
        <v>337</v>
      </c>
      <c r="E308" s="90" t="s">
        <v>1024</v>
      </c>
      <c r="F308" s="90" t="s">
        <v>4414</v>
      </c>
      <c r="G308" s="92" t="s">
        <v>2816</v>
      </c>
      <c r="H308" s="89" t="s">
        <v>4088</v>
      </c>
      <c r="I308" s="90" t="s">
        <v>4415</v>
      </c>
      <c r="J308" s="92" t="s">
        <v>3751</v>
      </c>
    </row>
    <row r="309" customFormat="false" ht="28.35" hidden="false" customHeight="false" outlineLevel="0" collapsed="false">
      <c r="A309" s="89" t="s">
        <v>21</v>
      </c>
      <c r="B309" s="89" t="s">
        <v>329</v>
      </c>
      <c r="C309" s="90" t="s">
        <v>331</v>
      </c>
      <c r="D309" s="92" t="s">
        <v>337</v>
      </c>
      <c r="E309" s="90" t="s">
        <v>614</v>
      </c>
      <c r="F309" s="90" t="s">
        <v>4416</v>
      </c>
      <c r="G309" s="92" t="s">
        <v>4417</v>
      </c>
      <c r="H309" s="89" t="s">
        <v>3872</v>
      </c>
      <c r="I309" s="90" t="s">
        <v>3873</v>
      </c>
      <c r="J309" s="89"/>
    </row>
    <row r="310" customFormat="false" ht="28.35" hidden="false" customHeight="false" outlineLevel="0" collapsed="false">
      <c r="A310" s="89" t="s">
        <v>21</v>
      </c>
      <c r="B310" s="89" t="s">
        <v>699</v>
      </c>
      <c r="C310" s="90" t="s">
        <v>700</v>
      </c>
      <c r="D310" s="92" t="s">
        <v>702</v>
      </c>
      <c r="E310" s="90" t="s">
        <v>284</v>
      </c>
      <c r="F310" s="90" t="s">
        <v>4418</v>
      </c>
      <c r="G310" s="92" t="s">
        <v>2840</v>
      </c>
      <c r="H310" s="89" t="s">
        <v>3837</v>
      </c>
      <c r="I310" s="90" t="s">
        <v>3838</v>
      </c>
      <c r="J310" s="89"/>
    </row>
    <row r="311" customFormat="false" ht="41.75" hidden="false" customHeight="false" outlineLevel="0" collapsed="false">
      <c r="A311" s="89" t="s">
        <v>21</v>
      </c>
      <c r="B311" s="89" t="s">
        <v>699</v>
      </c>
      <c r="C311" s="90" t="s">
        <v>700</v>
      </c>
      <c r="D311" s="92" t="s">
        <v>702</v>
      </c>
      <c r="E311" s="90" t="s">
        <v>3859</v>
      </c>
      <c r="F311" s="90" t="s">
        <v>4419</v>
      </c>
      <c r="G311" s="92" t="s">
        <v>4420</v>
      </c>
      <c r="H311" s="89" t="s">
        <v>3862</v>
      </c>
      <c r="I311" s="90" t="s">
        <v>3863</v>
      </c>
      <c r="J311" s="89"/>
    </row>
    <row r="312" customFormat="false" ht="41.75" hidden="false" customHeight="false" outlineLevel="0" collapsed="false">
      <c r="A312" s="89" t="s">
        <v>21</v>
      </c>
      <c r="B312" s="89" t="s">
        <v>699</v>
      </c>
      <c r="C312" s="90" t="s">
        <v>700</v>
      </c>
      <c r="D312" s="92" t="s">
        <v>702</v>
      </c>
      <c r="E312" s="90" t="s">
        <v>912</v>
      </c>
      <c r="F312" s="90" t="s">
        <v>4421</v>
      </c>
      <c r="G312" s="92" t="s">
        <v>3751</v>
      </c>
      <c r="H312" s="89" t="s">
        <v>3841</v>
      </c>
      <c r="I312" s="90" t="s">
        <v>4422</v>
      </c>
      <c r="J312" s="89"/>
    </row>
    <row r="313" customFormat="false" ht="68.65" hidden="false" customHeight="false" outlineLevel="0" collapsed="false">
      <c r="A313" s="89" t="s">
        <v>21</v>
      </c>
      <c r="B313" s="89" t="s">
        <v>699</v>
      </c>
      <c r="C313" s="90" t="s">
        <v>700</v>
      </c>
      <c r="D313" s="92" t="s">
        <v>702</v>
      </c>
      <c r="E313" s="90" t="s">
        <v>4423</v>
      </c>
      <c r="F313" s="90" t="s">
        <v>4421</v>
      </c>
      <c r="G313" s="92" t="s">
        <v>4424</v>
      </c>
      <c r="H313" s="89" t="s">
        <v>3868</v>
      </c>
      <c r="I313" s="90" t="s">
        <v>4425</v>
      </c>
      <c r="J313" s="92" t="s">
        <v>3751</v>
      </c>
    </row>
    <row r="314" customFormat="false" ht="41.75" hidden="false" customHeight="false" outlineLevel="0" collapsed="false">
      <c r="A314" s="89" t="s">
        <v>21</v>
      </c>
      <c r="B314" s="89" t="s">
        <v>615</v>
      </c>
      <c r="C314" s="90" t="s">
        <v>617</v>
      </c>
      <c r="D314" s="92" t="s">
        <v>620</v>
      </c>
      <c r="E314" s="90" t="s">
        <v>3859</v>
      </c>
      <c r="F314" s="90" t="s">
        <v>4426</v>
      </c>
      <c r="G314" s="92" t="s">
        <v>2252</v>
      </c>
      <c r="H314" s="89" t="s">
        <v>3971</v>
      </c>
      <c r="I314" s="90" t="s">
        <v>3972</v>
      </c>
      <c r="J314" s="89"/>
    </row>
    <row r="315" customFormat="false" ht="41.75" hidden="false" customHeight="false" outlineLevel="0" collapsed="false">
      <c r="A315" s="89" t="s">
        <v>21</v>
      </c>
      <c r="B315" s="89" t="s">
        <v>615</v>
      </c>
      <c r="C315" s="90" t="s">
        <v>617</v>
      </c>
      <c r="D315" s="92" t="s">
        <v>620</v>
      </c>
      <c r="E315" s="90" t="s">
        <v>912</v>
      </c>
      <c r="F315" s="90" t="s">
        <v>4421</v>
      </c>
      <c r="G315" s="92" t="s">
        <v>3751</v>
      </c>
      <c r="H315" s="89" t="s">
        <v>3841</v>
      </c>
      <c r="I315" s="90" t="s">
        <v>4427</v>
      </c>
      <c r="J315" s="89"/>
    </row>
    <row r="316" customFormat="false" ht="95.5" hidden="false" customHeight="false" outlineLevel="0" collapsed="false">
      <c r="A316" s="89" t="s">
        <v>21</v>
      </c>
      <c r="B316" s="89" t="s">
        <v>615</v>
      </c>
      <c r="C316" s="90" t="s">
        <v>617</v>
      </c>
      <c r="D316" s="92" t="s">
        <v>620</v>
      </c>
      <c r="E316" s="90" t="s">
        <v>4428</v>
      </c>
      <c r="F316" s="90" t="s">
        <v>4421</v>
      </c>
      <c r="G316" s="92" t="s">
        <v>4429</v>
      </c>
      <c r="H316" s="89" t="s">
        <v>3868</v>
      </c>
      <c r="I316" s="90" t="s">
        <v>4430</v>
      </c>
      <c r="J316" s="92" t="s">
        <v>3751</v>
      </c>
    </row>
    <row r="317" customFormat="false" ht="41.75" hidden="false" customHeight="false" outlineLevel="0" collapsed="false">
      <c r="A317" s="89" t="s">
        <v>21</v>
      </c>
      <c r="B317" s="89" t="s">
        <v>615</v>
      </c>
      <c r="C317" s="90" t="s">
        <v>617</v>
      </c>
      <c r="D317" s="92" t="s">
        <v>620</v>
      </c>
      <c r="E317" s="90" t="s">
        <v>614</v>
      </c>
      <c r="F317" s="90" t="s">
        <v>4431</v>
      </c>
      <c r="G317" s="92" t="s">
        <v>4432</v>
      </c>
      <c r="H317" s="89" t="s">
        <v>3872</v>
      </c>
      <c r="I317" s="90" t="s">
        <v>3873</v>
      </c>
      <c r="J317" s="89"/>
    </row>
    <row r="318" customFormat="false" ht="41.75" hidden="false" customHeight="false" outlineLevel="0" collapsed="false">
      <c r="A318" s="89" t="s">
        <v>21</v>
      </c>
      <c r="B318" s="89" t="s">
        <v>338</v>
      </c>
      <c r="C318" s="90" t="s">
        <v>340</v>
      </c>
      <c r="D318" s="92" t="s">
        <v>345</v>
      </c>
      <c r="E318" s="90" t="s">
        <v>3859</v>
      </c>
      <c r="F318" s="90" t="s">
        <v>4433</v>
      </c>
      <c r="G318" s="92" t="s">
        <v>4434</v>
      </c>
      <c r="H318" s="89" t="s">
        <v>3862</v>
      </c>
      <c r="I318" s="90" t="s">
        <v>3863</v>
      </c>
      <c r="J318" s="89"/>
    </row>
    <row r="319" customFormat="false" ht="68.65" hidden="false" customHeight="false" outlineLevel="0" collapsed="false">
      <c r="A319" s="89" t="s">
        <v>21</v>
      </c>
      <c r="B319" s="89" t="s">
        <v>338</v>
      </c>
      <c r="C319" s="90" t="s">
        <v>340</v>
      </c>
      <c r="D319" s="92" t="s">
        <v>345</v>
      </c>
      <c r="E319" s="90" t="s">
        <v>912</v>
      </c>
      <c r="F319" s="90" t="s">
        <v>4391</v>
      </c>
      <c r="G319" s="92" t="s">
        <v>4435</v>
      </c>
      <c r="H319" s="89" t="s">
        <v>4088</v>
      </c>
      <c r="I319" s="90" t="s">
        <v>4436</v>
      </c>
      <c r="J319" s="92" t="s">
        <v>3751</v>
      </c>
    </row>
    <row r="320" customFormat="false" ht="202.95" hidden="false" customHeight="false" outlineLevel="0" collapsed="false">
      <c r="A320" s="89" t="s">
        <v>21</v>
      </c>
      <c r="B320" s="89" t="s">
        <v>338</v>
      </c>
      <c r="C320" s="90" t="s">
        <v>340</v>
      </c>
      <c r="D320" s="92" t="s">
        <v>345</v>
      </c>
      <c r="E320" s="90" t="s">
        <v>1024</v>
      </c>
      <c r="F320" s="90" t="s">
        <v>4391</v>
      </c>
      <c r="G320" s="92" t="s">
        <v>4435</v>
      </c>
      <c r="H320" s="89" t="s">
        <v>4088</v>
      </c>
      <c r="I320" s="90" t="s">
        <v>4437</v>
      </c>
      <c r="J320" s="92" t="s">
        <v>3751</v>
      </c>
    </row>
    <row r="321" customFormat="false" ht="28.35" hidden="false" customHeight="false" outlineLevel="0" collapsed="false">
      <c r="A321" s="89" t="s">
        <v>21</v>
      </c>
      <c r="B321" s="89" t="s">
        <v>338</v>
      </c>
      <c r="C321" s="90" t="s">
        <v>340</v>
      </c>
      <c r="D321" s="92" t="s">
        <v>345</v>
      </c>
      <c r="E321" s="90" t="s">
        <v>614</v>
      </c>
      <c r="F321" s="90" t="s">
        <v>4438</v>
      </c>
      <c r="G321" s="92" t="s">
        <v>4439</v>
      </c>
      <c r="H321" s="89" t="s">
        <v>3872</v>
      </c>
      <c r="I321" s="90" t="s">
        <v>3873</v>
      </c>
      <c r="J321" s="89"/>
    </row>
    <row r="322" customFormat="false" ht="28.35" hidden="false" customHeight="false" outlineLevel="0" collapsed="false">
      <c r="A322" s="89" t="s">
        <v>21</v>
      </c>
      <c r="B322" s="89" t="s">
        <v>338</v>
      </c>
      <c r="C322" s="90" t="s">
        <v>340</v>
      </c>
      <c r="D322" s="92" t="s">
        <v>345</v>
      </c>
      <c r="E322" s="90" t="s">
        <v>360</v>
      </c>
      <c r="F322" s="90" t="s">
        <v>4440</v>
      </c>
      <c r="G322" s="92" t="s">
        <v>2423</v>
      </c>
      <c r="H322" s="89" t="s">
        <v>4035</v>
      </c>
      <c r="I322" s="90" t="s">
        <v>4036</v>
      </c>
      <c r="J322" s="89"/>
    </row>
    <row r="323" customFormat="false" ht="55.2" hidden="false" customHeight="false" outlineLevel="0" collapsed="false">
      <c r="A323" s="89" t="s">
        <v>21</v>
      </c>
      <c r="B323" s="89" t="s">
        <v>355</v>
      </c>
      <c r="C323" s="90" t="s">
        <v>357</v>
      </c>
      <c r="D323" s="92" t="s">
        <v>361</v>
      </c>
      <c r="E323" s="90" t="s">
        <v>964</v>
      </c>
      <c r="F323" s="90" t="s">
        <v>4441</v>
      </c>
      <c r="G323" s="92" t="s">
        <v>4442</v>
      </c>
      <c r="H323" s="89" t="s">
        <v>3868</v>
      </c>
      <c r="I323" s="90" t="s">
        <v>4443</v>
      </c>
      <c r="J323" s="92" t="s">
        <v>3751</v>
      </c>
    </row>
    <row r="324" customFormat="false" ht="41.75" hidden="false" customHeight="false" outlineLevel="0" collapsed="false">
      <c r="A324" s="89" t="s">
        <v>21</v>
      </c>
      <c r="B324" s="89" t="s">
        <v>76</v>
      </c>
      <c r="C324" s="90" t="s">
        <v>370</v>
      </c>
      <c r="D324" s="92" t="s">
        <v>374</v>
      </c>
      <c r="E324" s="90" t="s">
        <v>783</v>
      </c>
      <c r="F324" s="90" t="s">
        <v>4414</v>
      </c>
      <c r="G324" s="92" t="s">
        <v>3751</v>
      </c>
      <c r="H324" s="89" t="s">
        <v>3841</v>
      </c>
      <c r="I324" s="90" t="s">
        <v>4444</v>
      </c>
      <c r="J324" s="89"/>
    </row>
    <row r="325" customFormat="false" ht="41.75" hidden="false" customHeight="false" outlineLevel="0" collapsed="false">
      <c r="A325" s="89" t="s">
        <v>21</v>
      </c>
      <c r="B325" s="89" t="s">
        <v>967</v>
      </c>
      <c r="C325" s="90" t="s">
        <v>969</v>
      </c>
      <c r="D325" s="92" t="s">
        <v>974</v>
      </c>
      <c r="E325" s="90" t="s">
        <v>3859</v>
      </c>
      <c r="F325" s="90" t="s">
        <v>4445</v>
      </c>
      <c r="G325" s="92" t="s">
        <v>2249</v>
      </c>
      <c r="H325" s="89" t="s">
        <v>3971</v>
      </c>
      <c r="I325" s="90" t="s">
        <v>3972</v>
      </c>
      <c r="J325" s="89"/>
    </row>
    <row r="326" customFormat="false" ht="41.75" hidden="false" customHeight="false" outlineLevel="0" collapsed="false">
      <c r="A326" s="89" t="s">
        <v>21</v>
      </c>
      <c r="B326" s="89" t="s">
        <v>967</v>
      </c>
      <c r="C326" s="90" t="s">
        <v>969</v>
      </c>
      <c r="D326" s="92" t="s">
        <v>974</v>
      </c>
      <c r="E326" s="90" t="s">
        <v>912</v>
      </c>
      <c r="F326" s="90" t="s">
        <v>4421</v>
      </c>
      <c r="G326" s="92" t="s">
        <v>3751</v>
      </c>
      <c r="H326" s="89" t="s">
        <v>3841</v>
      </c>
      <c r="I326" s="90" t="s">
        <v>4446</v>
      </c>
      <c r="J326" s="89"/>
    </row>
    <row r="327" customFormat="false" ht="82.05" hidden="false" customHeight="false" outlineLevel="0" collapsed="false">
      <c r="A327" s="89" t="s">
        <v>21</v>
      </c>
      <c r="B327" s="89" t="s">
        <v>967</v>
      </c>
      <c r="C327" s="90" t="s">
        <v>969</v>
      </c>
      <c r="D327" s="92" t="s">
        <v>974</v>
      </c>
      <c r="E327" s="90" t="s">
        <v>4447</v>
      </c>
      <c r="F327" s="90" t="s">
        <v>4421</v>
      </c>
      <c r="G327" s="92" t="s">
        <v>4448</v>
      </c>
      <c r="H327" s="89" t="s">
        <v>3868</v>
      </c>
      <c r="I327" s="90" t="s">
        <v>4449</v>
      </c>
      <c r="J327" s="92" t="s">
        <v>3751</v>
      </c>
    </row>
    <row r="328" customFormat="false" ht="41.75" hidden="false" customHeight="false" outlineLevel="0" collapsed="false">
      <c r="A328" s="89" t="s">
        <v>21</v>
      </c>
      <c r="B328" s="89" t="s">
        <v>967</v>
      </c>
      <c r="C328" s="90" t="s">
        <v>969</v>
      </c>
      <c r="D328" s="92" t="s">
        <v>974</v>
      </c>
      <c r="E328" s="90" t="s">
        <v>614</v>
      </c>
      <c r="F328" s="90" t="s">
        <v>4450</v>
      </c>
      <c r="G328" s="92" t="s">
        <v>4451</v>
      </c>
      <c r="H328" s="89" t="s">
        <v>4029</v>
      </c>
      <c r="I328" s="90" t="s">
        <v>4030</v>
      </c>
      <c r="J328" s="89"/>
    </row>
    <row r="329" customFormat="false" ht="41.75" hidden="false" customHeight="false" outlineLevel="0" collapsed="false">
      <c r="A329" s="89" t="s">
        <v>21</v>
      </c>
      <c r="B329" s="89" t="s">
        <v>790</v>
      </c>
      <c r="C329" s="90" t="s">
        <v>792</v>
      </c>
      <c r="D329" s="92" t="s">
        <v>794</v>
      </c>
      <c r="E329" s="90" t="s">
        <v>3859</v>
      </c>
      <c r="F329" s="90" t="s">
        <v>4452</v>
      </c>
      <c r="G329" s="92" t="s">
        <v>4453</v>
      </c>
      <c r="H329" s="89" t="s">
        <v>3862</v>
      </c>
      <c r="I329" s="90" t="s">
        <v>3863</v>
      </c>
      <c r="J329" s="89"/>
    </row>
    <row r="330" customFormat="false" ht="55.2" hidden="false" customHeight="false" outlineLevel="0" collapsed="false">
      <c r="A330" s="89" t="s">
        <v>21</v>
      </c>
      <c r="B330" s="89" t="s">
        <v>790</v>
      </c>
      <c r="C330" s="90" t="s">
        <v>792</v>
      </c>
      <c r="D330" s="92" t="s">
        <v>794</v>
      </c>
      <c r="E330" s="90" t="s">
        <v>912</v>
      </c>
      <c r="F330" s="90" t="s">
        <v>4454</v>
      </c>
      <c r="G330" s="92" t="s">
        <v>3751</v>
      </c>
      <c r="H330" s="89" t="s">
        <v>3841</v>
      </c>
      <c r="I330" s="90" t="s">
        <v>4455</v>
      </c>
      <c r="J330" s="89"/>
    </row>
    <row r="331" customFormat="false" ht="122.35" hidden="false" customHeight="false" outlineLevel="0" collapsed="false">
      <c r="A331" s="89" t="s">
        <v>21</v>
      </c>
      <c r="B331" s="89" t="s">
        <v>790</v>
      </c>
      <c r="C331" s="90" t="s">
        <v>792</v>
      </c>
      <c r="D331" s="92" t="s">
        <v>794</v>
      </c>
      <c r="E331" s="90" t="s">
        <v>4456</v>
      </c>
      <c r="F331" s="90" t="s">
        <v>4454</v>
      </c>
      <c r="G331" s="92" t="s">
        <v>4457</v>
      </c>
      <c r="H331" s="89" t="s">
        <v>3868</v>
      </c>
      <c r="I331" s="90" t="s">
        <v>4458</v>
      </c>
      <c r="J331" s="92" t="s">
        <v>3751</v>
      </c>
    </row>
    <row r="332" customFormat="false" ht="41.75" hidden="false" customHeight="false" outlineLevel="0" collapsed="false">
      <c r="A332" s="89" t="s">
        <v>21</v>
      </c>
      <c r="B332" s="89" t="s">
        <v>380</v>
      </c>
      <c r="C332" s="90" t="s">
        <v>381</v>
      </c>
      <c r="D332" s="92" t="s">
        <v>383</v>
      </c>
      <c r="E332" s="90" t="s">
        <v>3859</v>
      </c>
      <c r="F332" s="90" t="s">
        <v>4459</v>
      </c>
      <c r="G332" s="92" t="s">
        <v>4460</v>
      </c>
      <c r="H332" s="89" t="s">
        <v>3862</v>
      </c>
      <c r="I332" s="90" t="s">
        <v>3863</v>
      </c>
      <c r="J332" s="89"/>
    </row>
    <row r="333" customFormat="false" ht="55.2" hidden="false" customHeight="false" outlineLevel="0" collapsed="false">
      <c r="A333" s="89" t="s">
        <v>21</v>
      </c>
      <c r="B333" s="89" t="s">
        <v>380</v>
      </c>
      <c r="C333" s="90" t="s">
        <v>381</v>
      </c>
      <c r="D333" s="92" t="s">
        <v>383</v>
      </c>
      <c r="E333" s="90" t="s">
        <v>912</v>
      </c>
      <c r="F333" s="90" t="s">
        <v>4461</v>
      </c>
      <c r="G333" s="92" t="s">
        <v>3751</v>
      </c>
      <c r="H333" s="89" t="s">
        <v>3841</v>
      </c>
      <c r="I333" s="90" t="s">
        <v>4462</v>
      </c>
      <c r="J333" s="89"/>
    </row>
    <row r="334" customFormat="false" ht="135.8" hidden="false" customHeight="false" outlineLevel="0" collapsed="false">
      <c r="A334" s="89" t="s">
        <v>21</v>
      </c>
      <c r="B334" s="89" t="s">
        <v>380</v>
      </c>
      <c r="C334" s="90" t="s">
        <v>381</v>
      </c>
      <c r="D334" s="92" t="s">
        <v>383</v>
      </c>
      <c r="E334" s="90" t="s">
        <v>4463</v>
      </c>
      <c r="F334" s="90" t="s">
        <v>4461</v>
      </c>
      <c r="G334" s="92" t="s">
        <v>3751</v>
      </c>
      <c r="H334" s="89" t="s">
        <v>3841</v>
      </c>
      <c r="I334" s="90" t="s">
        <v>4464</v>
      </c>
      <c r="J334" s="89"/>
    </row>
    <row r="335" customFormat="false" ht="41.75" hidden="false" customHeight="false" outlineLevel="0" collapsed="false">
      <c r="A335" s="89" t="s">
        <v>21</v>
      </c>
      <c r="B335" s="89" t="s">
        <v>380</v>
      </c>
      <c r="C335" s="90" t="s">
        <v>381</v>
      </c>
      <c r="D335" s="92" t="s">
        <v>383</v>
      </c>
      <c r="E335" s="90" t="s">
        <v>614</v>
      </c>
      <c r="F335" s="90" t="s">
        <v>4465</v>
      </c>
      <c r="G335" s="92" t="s">
        <v>4466</v>
      </c>
      <c r="H335" s="89" t="s">
        <v>3872</v>
      </c>
      <c r="I335" s="90" t="s">
        <v>3873</v>
      </c>
      <c r="J335" s="89"/>
    </row>
    <row r="336" customFormat="false" ht="41.75" hidden="false" customHeight="false" outlineLevel="0" collapsed="false">
      <c r="A336" s="89" t="s">
        <v>21</v>
      </c>
      <c r="B336" s="89" t="s">
        <v>984</v>
      </c>
      <c r="C336" s="90" t="s">
        <v>986</v>
      </c>
      <c r="D336" s="92" t="s">
        <v>990</v>
      </c>
      <c r="E336" s="90" t="s">
        <v>3859</v>
      </c>
      <c r="F336" s="90" t="s">
        <v>4467</v>
      </c>
      <c r="G336" s="92" t="s">
        <v>2240</v>
      </c>
      <c r="H336" s="89" t="s">
        <v>3971</v>
      </c>
      <c r="I336" s="90" t="s">
        <v>3972</v>
      </c>
      <c r="J336" s="89"/>
    </row>
    <row r="337" customFormat="false" ht="55.2" hidden="false" customHeight="false" outlineLevel="0" collapsed="false">
      <c r="A337" s="89" t="s">
        <v>21</v>
      </c>
      <c r="B337" s="89" t="s">
        <v>984</v>
      </c>
      <c r="C337" s="90" t="s">
        <v>986</v>
      </c>
      <c r="D337" s="92" t="s">
        <v>990</v>
      </c>
      <c r="E337" s="90" t="s">
        <v>912</v>
      </c>
      <c r="F337" s="90" t="s">
        <v>4468</v>
      </c>
      <c r="G337" s="92" t="s">
        <v>3751</v>
      </c>
      <c r="H337" s="89" t="s">
        <v>3841</v>
      </c>
      <c r="I337" s="90" t="s">
        <v>4469</v>
      </c>
      <c r="J337" s="89"/>
    </row>
    <row r="338" customFormat="false" ht="162.65" hidden="false" customHeight="false" outlineLevel="0" collapsed="false">
      <c r="A338" s="89" t="s">
        <v>21</v>
      </c>
      <c r="B338" s="89" t="s">
        <v>984</v>
      </c>
      <c r="C338" s="90" t="s">
        <v>986</v>
      </c>
      <c r="D338" s="92" t="s">
        <v>990</v>
      </c>
      <c r="E338" s="90" t="s">
        <v>4470</v>
      </c>
      <c r="F338" s="90" t="s">
        <v>4468</v>
      </c>
      <c r="G338" s="92" t="s">
        <v>4471</v>
      </c>
      <c r="H338" s="89" t="s">
        <v>3868</v>
      </c>
      <c r="I338" s="90" t="s">
        <v>4472</v>
      </c>
      <c r="J338" s="92" t="s">
        <v>3751</v>
      </c>
    </row>
    <row r="339" customFormat="false" ht="28.35" hidden="false" customHeight="false" outlineLevel="0" collapsed="false">
      <c r="A339" s="89" t="s">
        <v>21</v>
      </c>
      <c r="B339" s="89" t="s">
        <v>984</v>
      </c>
      <c r="C339" s="90" t="s">
        <v>986</v>
      </c>
      <c r="D339" s="92" t="s">
        <v>990</v>
      </c>
      <c r="E339" s="90" t="s">
        <v>614</v>
      </c>
      <c r="F339" s="90" t="s">
        <v>4473</v>
      </c>
      <c r="G339" s="92" t="s">
        <v>4474</v>
      </c>
      <c r="H339" s="89" t="s">
        <v>3872</v>
      </c>
      <c r="I339" s="90" t="s">
        <v>3873</v>
      </c>
      <c r="J339" s="89"/>
    </row>
    <row r="340" customFormat="false" ht="28.35" hidden="false" customHeight="false" outlineLevel="0" collapsed="false">
      <c r="A340" s="89" t="s">
        <v>21</v>
      </c>
      <c r="B340" s="89" t="s">
        <v>388</v>
      </c>
      <c r="C340" s="90" t="s">
        <v>390</v>
      </c>
      <c r="D340" s="92" t="s">
        <v>393</v>
      </c>
      <c r="E340" s="90" t="s">
        <v>3859</v>
      </c>
      <c r="F340" s="90" t="s">
        <v>4475</v>
      </c>
      <c r="G340" s="92" t="s">
        <v>4476</v>
      </c>
      <c r="H340" s="89" t="s">
        <v>3862</v>
      </c>
      <c r="I340" s="90" t="s">
        <v>3863</v>
      </c>
      <c r="J340" s="89"/>
    </row>
    <row r="341" customFormat="false" ht="55.2" hidden="false" customHeight="false" outlineLevel="0" collapsed="false">
      <c r="A341" s="89" t="s">
        <v>21</v>
      </c>
      <c r="B341" s="89" t="s">
        <v>388</v>
      </c>
      <c r="C341" s="90" t="s">
        <v>390</v>
      </c>
      <c r="D341" s="92" t="s">
        <v>393</v>
      </c>
      <c r="E341" s="90" t="s">
        <v>912</v>
      </c>
      <c r="F341" s="90" t="s">
        <v>4477</v>
      </c>
      <c r="G341" s="92" t="s">
        <v>3751</v>
      </c>
      <c r="H341" s="89" t="s">
        <v>3841</v>
      </c>
      <c r="I341" s="90" t="s">
        <v>4478</v>
      </c>
      <c r="J341" s="89"/>
    </row>
    <row r="342" customFormat="false" ht="108.95" hidden="false" customHeight="false" outlineLevel="0" collapsed="false">
      <c r="A342" s="89" t="s">
        <v>21</v>
      </c>
      <c r="B342" s="89" t="s">
        <v>388</v>
      </c>
      <c r="C342" s="90" t="s">
        <v>390</v>
      </c>
      <c r="D342" s="92" t="s">
        <v>393</v>
      </c>
      <c r="E342" s="90" t="s">
        <v>4479</v>
      </c>
      <c r="F342" s="90" t="s">
        <v>4477</v>
      </c>
      <c r="G342" s="92" t="s">
        <v>4480</v>
      </c>
      <c r="H342" s="89" t="s">
        <v>3868</v>
      </c>
      <c r="I342" s="90" t="s">
        <v>4481</v>
      </c>
      <c r="J342" s="92" t="s">
        <v>3751</v>
      </c>
    </row>
    <row r="343" customFormat="false" ht="28.35" hidden="false" customHeight="false" outlineLevel="0" collapsed="false">
      <c r="A343" s="89" t="s">
        <v>21</v>
      </c>
      <c r="B343" s="89" t="s">
        <v>388</v>
      </c>
      <c r="C343" s="90" t="s">
        <v>390</v>
      </c>
      <c r="D343" s="92" t="s">
        <v>393</v>
      </c>
      <c r="E343" s="90" t="s">
        <v>614</v>
      </c>
      <c r="F343" s="90" t="s">
        <v>4482</v>
      </c>
      <c r="G343" s="92" t="s">
        <v>4483</v>
      </c>
      <c r="H343" s="89" t="s">
        <v>3872</v>
      </c>
      <c r="I343" s="90" t="s">
        <v>3873</v>
      </c>
      <c r="J343" s="89"/>
    </row>
    <row r="344" customFormat="false" ht="28.35" hidden="false" customHeight="false" outlineLevel="0" collapsed="false">
      <c r="A344" s="89" t="s">
        <v>21</v>
      </c>
      <c r="B344" s="89" t="s">
        <v>388</v>
      </c>
      <c r="C344" s="90" t="s">
        <v>390</v>
      </c>
      <c r="D344" s="92" t="s">
        <v>393</v>
      </c>
      <c r="E344" s="90" t="s">
        <v>360</v>
      </c>
      <c r="F344" s="90" t="s">
        <v>4484</v>
      </c>
      <c r="G344" s="92" t="s">
        <v>4485</v>
      </c>
      <c r="H344" s="89" t="s">
        <v>3892</v>
      </c>
      <c r="I344" s="90" t="s">
        <v>3893</v>
      </c>
      <c r="J344" s="89"/>
    </row>
    <row r="345" customFormat="false" ht="41.75" hidden="false" customHeight="false" outlineLevel="0" collapsed="false">
      <c r="A345" s="89" t="s">
        <v>21</v>
      </c>
      <c r="B345" s="89" t="s">
        <v>995</v>
      </c>
      <c r="C345" s="90" t="s">
        <v>997</v>
      </c>
      <c r="D345" s="92" t="s">
        <v>1001</v>
      </c>
      <c r="E345" s="90" t="s">
        <v>3859</v>
      </c>
      <c r="F345" s="90" t="s">
        <v>4486</v>
      </c>
      <c r="G345" s="92" t="s">
        <v>4487</v>
      </c>
      <c r="H345" s="89" t="s">
        <v>3862</v>
      </c>
      <c r="I345" s="90" t="s">
        <v>3863</v>
      </c>
      <c r="J345" s="89"/>
    </row>
    <row r="346" customFormat="false" ht="202.95" hidden="false" customHeight="false" outlineLevel="0" collapsed="false">
      <c r="A346" s="89" t="s">
        <v>21</v>
      </c>
      <c r="B346" s="89" t="s">
        <v>995</v>
      </c>
      <c r="C346" s="90" t="s">
        <v>997</v>
      </c>
      <c r="D346" s="92" t="s">
        <v>1001</v>
      </c>
      <c r="E346" s="90" t="s">
        <v>1024</v>
      </c>
      <c r="F346" s="90" t="s">
        <v>4414</v>
      </c>
      <c r="G346" s="92" t="s">
        <v>4488</v>
      </c>
      <c r="H346" s="89" t="s">
        <v>4088</v>
      </c>
      <c r="I346" s="90" t="s">
        <v>4489</v>
      </c>
      <c r="J346" s="92" t="s">
        <v>3751</v>
      </c>
    </row>
    <row r="347" customFormat="false" ht="28.35" hidden="false" customHeight="false" outlineLevel="0" collapsed="false">
      <c r="A347" s="89" t="s">
        <v>21</v>
      </c>
      <c r="B347" s="89" t="s">
        <v>1002</v>
      </c>
      <c r="C347" s="90" t="s">
        <v>1004</v>
      </c>
      <c r="D347" s="92" t="s">
        <v>1006</v>
      </c>
      <c r="E347" s="90" t="s">
        <v>3859</v>
      </c>
      <c r="F347" s="90" t="s">
        <v>4490</v>
      </c>
      <c r="G347" s="92" t="s">
        <v>4491</v>
      </c>
      <c r="H347" s="89" t="s">
        <v>3971</v>
      </c>
      <c r="I347" s="90" t="s">
        <v>3972</v>
      </c>
      <c r="J347" s="89"/>
    </row>
    <row r="348" customFormat="false" ht="202.95" hidden="false" customHeight="false" outlineLevel="0" collapsed="false">
      <c r="A348" s="89" t="s">
        <v>21</v>
      </c>
      <c r="B348" s="89" t="s">
        <v>1002</v>
      </c>
      <c r="C348" s="90" t="s">
        <v>1004</v>
      </c>
      <c r="D348" s="92" t="s">
        <v>1006</v>
      </c>
      <c r="E348" s="90" t="s">
        <v>1024</v>
      </c>
      <c r="F348" s="90" t="s">
        <v>4414</v>
      </c>
      <c r="G348" s="92" t="s">
        <v>4492</v>
      </c>
      <c r="H348" s="89" t="s">
        <v>4088</v>
      </c>
      <c r="I348" s="90" t="s">
        <v>4493</v>
      </c>
      <c r="J348" s="92" t="s">
        <v>3751</v>
      </c>
    </row>
    <row r="349" customFormat="false" ht="28.35" hidden="false" customHeight="false" outlineLevel="0" collapsed="false">
      <c r="A349" s="89" t="s">
        <v>21</v>
      </c>
      <c r="B349" s="89" t="s">
        <v>1002</v>
      </c>
      <c r="C349" s="90" t="s">
        <v>1004</v>
      </c>
      <c r="D349" s="92" t="s">
        <v>1006</v>
      </c>
      <c r="E349" s="90" t="s">
        <v>614</v>
      </c>
      <c r="F349" s="90" t="s">
        <v>4494</v>
      </c>
      <c r="G349" s="92" t="s">
        <v>4495</v>
      </c>
      <c r="H349" s="89" t="s">
        <v>3872</v>
      </c>
      <c r="I349" s="90" t="s">
        <v>3873</v>
      </c>
      <c r="J349" s="89"/>
    </row>
    <row r="350" customFormat="false" ht="68.65" hidden="false" customHeight="false" outlineLevel="0" collapsed="false">
      <c r="A350" s="89" t="s">
        <v>21</v>
      </c>
      <c r="B350" s="89" t="s">
        <v>394</v>
      </c>
      <c r="C350" s="90" t="s">
        <v>396</v>
      </c>
      <c r="D350" s="92" t="s">
        <v>400</v>
      </c>
      <c r="E350" s="90" t="s">
        <v>912</v>
      </c>
      <c r="F350" s="90" t="s">
        <v>4468</v>
      </c>
      <c r="G350" s="92" t="s">
        <v>4496</v>
      </c>
      <c r="H350" s="89" t="s">
        <v>4088</v>
      </c>
      <c r="I350" s="90" t="s">
        <v>4497</v>
      </c>
      <c r="J350" s="92" t="s">
        <v>3751</v>
      </c>
    </row>
    <row r="351" customFormat="false" ht="28.35" hidden="false" customHeight="false" outlineLevel="0" collapsed="false">
      <c r="A351" s="89" t="s">
        <v>21</v>
      </c>
      <c r="B351" s="89" t="s">
        <v>394</v>
      </c>
      <c r="C351" s="90" t="s">
        <v>396</v>
      </c>
      <c r="D351" s="92" t="s">
        <v>400</v>
      </c>
      <c r="E351" s="90" t="s">
        <v>464</v>
      </c>
      <c r="F351" s="90" t="s">
        <v>4498</v>
      </c>
      <c r="G351" s="92" t="s">
        <v>4499</v>
      </c>
      <c r="H351" s="89" t="s">
        <v>80</v>
      </c>
      <c r="I351" s="90" t="s">
        <v>3854</v>
      </c>
      <c r="J351" s="89"/>
    </row>
    <row r="352" customFormat="false" ht="202.95" hidden="false" customHeight="false" outlineLevel="0" collapsed="false">
      <c r="A352" s="89" t="s">
        <v>21</v>
      </c>
      <c r="B352" s="89" t="s">
        <v>394</v>
      </c>
      <c r="C352" s="90" t="s">
        <v>396</v>
      </c>
      <c r="D352" s="92" t="s">
        <v>400</v>
      </c>
      <c r="E352" s="90" t="s">
        <v>1024</v>
      </c>
      <c r="F352" s="90" t="s">
        <v>4468</v>
      </c>
      <c r="G352" s="92" t="s">
        <v>4496</v>
      </c>
      <c r="H352" s="89" t="s">
        <v>4088</v>
      </c>
      <c r="I352" s="90" t="s">
        <v>4500</v>
      </c>
      <c r="J352" s="92" t="s">
        <v>3751</v>
      </c>
    </row>
    <row r="353" customFormat="false" ht="41.75" hidden="false" customHeight="false" outlineLevel="0" collapsed="false">
      <c r="A353" s="89" t="s">
        <v>21</v>
      </c>
      <c r="B353" s="89" t="s">
        <v>394</v>
      </c>
      <c r="C353" s="90" t="s">
        <v>396</v>
      </c>
      <c r="D353" s="92" t="s">
        <v>400</v>
      </c>
      <c r="E353" s="90" t="s">
        <v>614</v>
      </c>
      <c r="F353" s="90" t="s">
        <v>4501</v>
      </c>
      <c r="G353" s="92" t="s">
        <v>4502</v>
      </c>
      <c r="H353" s="89" t="s">
        <v>3872</v>
      </c>
      <c r="I353" s="90" t="s">
        <v>3873</v>
      </c>
      <c r="J353" s="89"/>
    </row>
    <row r="354" customFormat="false" ht="28.35" hidden="false" customHeight="false" outlineLevel="0" collapsed="false">
      <c r="A354" s="89" t="s">
        <v>21</v>
      </c>
      <c r="B354" s="89" t="s">
        <v>394</v>
      </c>
      <c r="C354" s="90" t="s">
        <v>396</v>
      </c>
      <c r="D354" s="92" t="s">
        <v>400</v>
      </c>
      <c r="E354" s="90" t="s">
        <v>360</v>
      </c>
      <c r="F354" s="90" t="s">
        <v>4503</v>
      </c>
      <c r="G354" s="92" t="s">
        <v>4504</v>
      </c>
      <c r="H354" s="89" t="s">
        <v>3892</v>
      </c>
      <c r="I354" s="90" t="s">
        <v>3893</v>
      </c>
      <c r="J354" s="89"/>
    </row>
    <row r="355" customFormat="false" ht="55.2" hidden="false" customHeight="false" outlineLevel="0" collapsed="false">
      <c r="A355" s="89" t="s">
        <v>21</v>
      </c>
      <c r="B355" s="89" t="s">
        <v>1012</v>
      </c>
      <c r="C355" s="90" t="s">
        <v>1014</v>
      </c>
      <c r="D355" s="92" t="s">
        <v>1017</v>
      </c>
      <c r="E355" s="90" t="s">
        <v>1016</v>
      </c>
      <c r="F355" s="90" t="s">
        <v>4505</v>
      </c>
      <c r="G355" s="92" t="s">
        <v>4506</v>
      </c>
      <c r="H355" s="89" t="s">
        <v>3868</v>
      </c>
      <c r="I355" s="90" t="s">
        <v>4507</v>
      </c>
      <c r="J355" s="92" t="s">
        <v>3751</v>
      </c>
    </row>
    <row r="356" customFormat="false" ht="41.75" hidden="false" customHeight="false" outlineLevel="0" collapsed="false">
      <c r="A356" s="89" t="s">
        <v>21</v>
      </c>
      <c r="B356" s="89" t="s">
        <v>408</v>
      </c>
      <c r="C356" s="90" t="s">
        <v>410</v>
      </c>
      <c r="D356" s="92" t="s">
        <v>414</v>
      </c>
      <c r="E356" s="90" t="s">
        <v>3859</v>
      </c>
      <c r="F356" s="90" t="s">
        <v>4508</v>
      </c>
      <c r="G356" s="92" t="s">
        <v>2238</v>
      </c>
      <c r="H356" s="89" t="s">
        <v>3971</v>
      </c>
      <c r="I356" s="90" t="s">
        <v>3972</v>
      </c>
      <c r="J356" s="89"/>
    </row>
    <row r="357" customFormat="false" ht="55.2" hidden="false" customHeight="false" outlineLevel="0" collapsed="false">
      <c r="A357" s="89" t="s">
        <v>21</v>
      </c>
      <c r="B357" s="89" t="s">
        <v>408</v>
      </c>
      <c r="C357" s="90" t="s">
        <v>410</v>
      </c>
      <c r="D357" s="92" t="s">
        <v>414</v>
      </c>
      <c r="E357" s="90" t="s">
        <v>912</v>
      </c>
      <c r="F357" s="90" t="s">
        <v>4468</v>
      </c>
      <c r="G357" s="92" t="s">
        <v>3751</v>
      </c>
      <c r="H357" s="89" t="s">
        <v>3841</v>
      </c>
      <c r="I357" s="90" t="s">
        <v>4509</v>
      </c>
      <c r="J357" s="89"/>
    </row>
    <row r="358" customFormat="false" ht="135.8" hidden="false" customHeight="false" outlineLevel="0" collapsed="false">
      <c r="A358" s="89" t="s">
        <v>21</v>
      </c>
      <c r="B358" s="89" t="s">
        <v>408</v>
      </c>
      <c r="C358" s="90" t="s">
        <v>410</v>
      </c>
      <c r="D358" s="92" t="s">
        <v>414</v>
      </c>
      <c r="E358" s="90" t="s">
        <v>4510</v>
      </c>
      <c r="F358" s="90" t="s">
        <v>4468</v>
      </c>
      <c r="G358" s="92" t="s">
        <v>4511</v>
      </c>
      <c r="H358" s="89" t="s">
        <v>3868</v>
      </c>
      <c r="I358" s="90" t="s">
        <v>4512</v>
      </c>
      <c r="J358" s="92" t="s">
        <v>3751</v>
      </c>
    </row>
    <row r="359" customFormat="false" ht="41.75" hidden="false" customHeight="false" outlineLevel="0" collapsed="false">
      <c r="A359" s="89" t="s">
        <v>21</v>
      </c>
      <c r="B359" s="89" t="s">
        <v>408</v>
      </c>
      <c r="C359" s="90" t="s">
        <v>410</v>
      </c>
      <c r="D359" s="92" t="s">
        <v>414</v>
      </c>
      <c r="E359" s="90" t="s">
        <v>614</v>
      </c>
      <c r="F359" s="90" t="s">
        <v>4513</v>
      </c>
      <c r="G359" s="92" t="s">
        <v>4514</v>
      </c>
      <c r="H359" s="89" t="s">
        <v>4029</v>
      </c>
      <c r="I359" s="90" t="s">
        <v>4030</v>
      </c>
      <c r="J359" s="89"/>
    </row>
    <row r="360" customFormat="false" ht="28.35" hidden="false" customHeight="false" outlineLevel="0" collapsed="false">
      <c r="A360" s="89" t="s">
        <v>21</v>
      </c>
      <c r="B360" s="89" t="s">
        <v>408</v>
      </c>
      <c r="C360" s="90" t="s">
        <v>410</v>
      </c>
      <c r="D360" s="92" t="s">
        <v>414</v>
      </c>
      <c r="E360" s="90" t="s">
        <v>360</v>
      </c>
      <c r="F360" s="90" t="s">
        <v>4515</v>
      </c>
      <c r="G360" s="92" t="s">
        <v>4516</v>
      </c>
      <c r="H360" s="89" t="s">
        <v>4035</v>
      </c>
      <c r="I360" s="90" t="s">
        <v>4036</v>
      </c>
      <c r="J360" s="89"/>
    </row>
    <row r="361" customFormat="false" ht="202.95" hidden="false" customHeight="false" outlineLevel="0" collapsed="false">
      <c r="A361" s="89" t="s">
        <v>21</v>
      </c>
      <c r="B361" s="89" t="s">
        <v>415</v>
      </c>
      <c r="C361" s="90" t="s">
        <v>416</v>
      </c>
      <c r="D361" s="92" t="s">
        <v>418</v>
      </c>
      <c r="E361" s="90" t="s">
        <v>1024</v>
      </c>
      <c r="F361" s="90" t="s">
        <v>4414</v>
      </c>
      <c r="G361" s="92" t="s">
        <v>4517</v>
      </c>
      <c r="H361" s="89" t="s">
        <v>4088</v>
      </c>
      <c r="I361" s="90" t="s">
        <v>4518</v>
      </c>
      <c r="J361" s="92" t="s">
        <v>3751</v>
      </c>
    </row>
    <row r="362" customFormat="false" ht="68.65" hidden="false" customHeight="false" outlineLevel="0" collapsed="false">
      <c r="A362" s="89" t="s">
        <v>21</v>
      </c>
      <c r="B362" s="89" t="s">
        <v>724</v>
      </c>
      <c r="C362" s="90" t="s">
        <v>726</v>
      </c>
      <c r="D362" s="92" t="s">
        <v>730</v>
      </c>
      <c r="E362" s="90" t="s">
        <v>1028</v>
      </c>
      <c r="F362" s="90" t="s">
        <v>4519</v>
      </c>
      <c r="G362" s="92" t="s">
        <v>3751</v>
      </c>
      <c r="H362" s="89" t="s">
        <v>3841</v>
      </c>
      <c r="I362" s="90" t="s">
        <v>4520</v>
      </c>
      <c r="J362" s="89"/>
    </row>
    <row r="363" customFormat="false" ht="41.75" hidden="false" customHeight="false" outlineLevel="0" collapsed="false">
      <c r="A363" s="89" t="s">
        <v>21</v>
      </c>
      <c r="B363" s="89" t="s">
        <v>804</v>
      </c>
      <c r="C363" s="90" t="s">
        <v>806</v>
      </c>
      <c r="D363" s="92" t="s">
        <v>811</v>
      </c>
      <c r="E363" s="90" t="s">
        <v>3859</v>
      </c>
      <c r="F363" s="90" t="s">
        <v>4521</v>
      </c>
      <c r="G363" s="92" t="s">
        <v>2236</v>
      </c>
      <c r="H363" s="89" t="s">
        <v>3971</v>
      </c>
      <c r="I363" s="90" t="s">
        <v>3972</v>
      </c>
      <c r="J363" s="89"/>
    </row>
    <row r="364" customFormat="false" ht="41.75" hidden="false" customHeight="false" outlineLevel="0" collapsed="false">
      <c r="A364" s="89" t="s">
        <v>21</v>
      </c>
      <c r="B364" s="89" t="s">
        <v>804</v>
      </c>
      <c r="C364" s="90" t="s">
        <v>806</v>
      </c>
      <c r="D364" s="92" t="s">
        <v>811</v>
      </c>
      <c r="E364" s="90" t="s">
        <v>912</v>
      </c>
      <c r="F364" s="90" t="s">
        <v>4522</v>
      </c>
      <c r="G364" s="92" t="s">
        <v>3751</v>
      </c>
      <c r="H364" s="89" t="s">
        <v>3841</v>
      </c>
      <c r="I364" s="90" t="s">
        <v>4523</v>
      </c>
      <c r="J364" s="89"/>
    </row>
    <row r="365" customFormat="false" ht="41.75" hidden="false" customHeight="false" outlineLevel="0" collapsed="false">
      <c r="A365" s="89" t="s">
        <v>21</v>
      </c>
      <c r="B365" s="89" t="s">
        <v>804</v>
      </c>
      <c r="C365" s="90" t="s">
        <v>806</v>
      </c>
      <c r="D365" s="92" t="s">
        <v>811</v>
      </c>
      <c r="E365" s="90" t="s">
        <v>4524</v>
      </c>
      <c r="F365" s="90" t="s">
        <v>4522</v>
      </c>
      <c r="G365" s="92" t="s">
        <v>3751</v>
      </c>
      <c r="H365" s="89" t="s">
        <v>3841</v>
      </c>
      <c r="I365" s="90" t="s">
        <v>4525</v>
      </c>
      <c r="J365" s="89"/>
    </row>
    <row r="366" customFormat="false" ht="41.75" hidden="false" customHeight="false" outlineLevel="0" collapsed="false">
      <c r="A366" s="89" t="s">
        <v>21</v>
      </c>
      <c r="B366" s="89" t="s">
        <v>433</v>
      </c>
      <c r="C366" s="90" t="s">
        <v>435</v>
      </c>
      <c r="D366" s="92" t="s">
        <v>439</v>
      </c>
      <c r="E366" s="90" t="s">
        <v>912</v>
      </c>
      <c r="F366" s="90" t="s">
        <v>4401</v>
      </c>
      <c r="G366" s="92" t="s">
        <v>3751</v>
      </c>
      <c r="H366" s="89" t="s">
        <v>3841</v>
      </c>
      <c r="I366" s="90" t="s">
        <v>4526</v>
      </c>
      <c r="J366" s="89"/>
    </row>
    <row r="367" customFormat="false" ht="41.75" hidden="false" customHeight="false" outlineLevel="0" collapsed="false">
      <c r="A367" s="89" t="s">
        <v>21</v>
      </c>
      <c r="B367" s="89" t="s">
        <v>1034</v>
      </c>
      <c r="C367" s="90" t="s">
        <v>1036</v>
      </c>
      <c r="D367" s="92" t="s">
        <v>1040</v>
      </c>
      <c r="E367" s="90" t="s">
        <v>3859</v>
      </c>
      <c r="F367" s="90" t="s">
        <v>4527</v>
      </c>
      <c r="G367" s="92" t="s">
        <v>2235</v>
      </c>
      <c r="H367" s="89" t="s">
        <v>3971</v>
      </c>
      <c r="I367" s="90" t="s">
        <v>3972</v>
      </c>
      <c r="J367" s="89"/>
    </row>
    <row r="368" customFormat="false" ht="55.2" hidden="false" customHeight="false" outlineLevel="0" collapsed="false">
      <c r="A368" s="89" t="s">
        <v>21</v>
      </c>
      <c r="B368" s="89" t="s">
        <v>1034</v>
      </c>
      <c r="C368" s="90" t="s">
        <v>1036</v>
      </c>
      <c r="D368" s="92" t="s">
        <v>1040</v>
      </c>
      <c r="E368" s="90" t="s">
        <v>912</v>
      </c>
      <c r="F368" s="90" t="s">
        <v>4477</v>
      </c>
      <c r="G368" s="92" t="s">
        <v>3751</v>
      </c>
      <c r="H368" s="89" t="s">
        <v>3841</v>
      </c>
      <c r="I368" s="90" t="s">
        <v>4528</v>
      </c>
      <c r="J368" s="89"/>
    </row>
    <row r="369" customFormat="false" ht="135.8" hidden="false" customHeight="false" outlineLevel="0" collapsed="false">
      <c r="A369" s="89" t="s">
        <v>21</v>
      </c>
      <c r="B369" s="89" t="s">
        <v>1034</v>
      </c>
      <c r="C369" s="90" t="s">
        <v>1036</v>
      </c>
      <c r="D369" s="92" t="s">
        <v>1040</v>
      </c>
      <c r="E369" s="90" t="s">
        <v>4529</v>
      </c>
      <c r="F369" s="90" t="s">
        <v>4477</v>
      </c>
      <c r="G369" s="92" t="s">
        <v>4530</v>
      </c>
      <c r="H369" s="89" t="s">
        <v>3868</v>
      </c>
      <c r="I369" s="90" t="s">
        <v>4531</v>
      </c>
      <c r="J369" s="92" t="s">
        <v>3751</v>
      </c>
    </row>
    <row r="370" customFormat="false" ht="41.75" hidden="false" customHeight="false" outlineLevel="0" collapsed="false">
      <c r="A370" s="89" t="s">
        <v>21</v>
      </c>
      <c r="B370" s="89" t="s">
        <v>440</v>
      </c>
      <c r="C370" s="90" t="s">
        <v>441</v>
      </c>
      <c r="D370" s="92" t="s">
        <v>443</v>
      </c>
      <c r="E370" s="90" t="s">
        <v>3859</v>
      </c>
      <c r="F370" s="90" t="s">
        <v>4532</v>
      </c>
      <c r="G370" s="92" t="s">
        <v>2234</v>
      </c>
      <c r="H370" s="89" t="s">
        <v>3971</v>
      </c>
      <c r="I370" s="90" t="s">
        <v>3972</v>
      </c>
      <c r="J370" s="89"/>
    </row>
    <row r="371" customFormat="false" ht="55.2" hidden="false" customHeight="false" outlineLevel="0" collapsed="false">
      <c r="A371" s="89" t="s">
        <v>21</v>
      </c>
      <c r="B371" s="89" t="s">
        <v>440</v>
      </c>
      <c r="C371" s="90" t="s">
        <v>441</v>
      </c>
      <c r="D371" s="92" t="s">
        <v>443</v>
      </c>
      <c r="E371" s="90" t="s">
        <v>912</v>
      </c>
      <c r="F371" s="90" t="s">
        <v>4468</v>
      </c>
      <c r="G371" s="92" t="s">
        <v>3751</v>
      </c>
      <c r="H371" s="89" t="s">
        <v>3841</v>
      </c>
      <c r="I371" s="90" t="s">
        <v>4533</v>
      </c>
      <c r="J371" s="89"/>
    </row>
    <row r="372" customFormat="false" ht="28.35" hidden="false" customHeight="false" outlineLevel="0" collapsed="false">
      <c r="A372" s="89" t="s">
        <v>21</v>
      </c>
      <c r="B372" s="89" t="s">
        <v>440</v>
      </c>
      <c r="C372" s="90" t="s">
        <v>441</v>
      </c>
      <c r="D372" s="92" t="s">
        <v>443</v>
      </c>
      <c r="E372" s="90" t="s">
        <v>464</v>
      </c>
      <c r="F372" s="90" t="s">
        <v>4534</v>
      </c>
      <c r="G372" s="92" t="s">
        <v>4535</v>
      </c>
      <c r="H372" s="89" t="s">
        <v>80</v>
      </c>
      <c r="I372" s="90" t="s">
        <v>3854</v>
      </c>
      <c r="J372" s="89"/>
    </row>
    <row r="373" customFormat="false" ht="176.1" hidden="false" customHeight="false" outlineLevel="0" collapsed="false">
      <c r="A373" s="89" t="s">
        <v>21</v>
      </c>
      <c r="B373" s="89" t="s">
        <v>440</v>
      </c>
      <c r="C373" s="90" t="s">
        <v>441</v>
      </c>
      <c r="D373" s="92" t="s">
        <v>443</v>
      </c>
      <c r="E373" s="90" t="s">
        <v>4536</v>
      </c>
      <c r="F373" s="90" t="s">
        <v>4468</v>
      </c>
      <c r="G373" s="92" t="s">
        <v>4537</v>
      </c>
      <c r="H373" s="89" t="s">
        <v>3868</v>
      </c>
      <c r="I373" s="90" t="s">
        <v>4538</v>
      </c>
      <c r="J373" s="92" t="s">
        <v>3751</v>
      </c>
    </row>
    <row r="374" customFormat="false" ht="28.35" hidden="false" customHeight="false" outlineLevel="0" collapsed="false">
      <c r="A374" s="89" t="s">
        <v>21</v>
      </c>
      <c r="B374" s="89" t="s">
        <v>295</v>
      </c>
      <c r="C374" s="90" t="s">
        <v>296</v>
      </c>
      <c r="D374" s="92" t="s">
        <v>298</v>
      </c>
      <c r="E374" s="90" t="s">
        <v>284</v>
      </c>
      <c r="F374" s="90" t="s">
        <v>4539</v>
      </c>
      <c r="G374" s="92" t="s">
        <v>3119</v>
      </c>
      <c r="H374" s="89" t="s">
        <v>3837</v>
      </c>
      <c r="I374" s="90" t="s">
        <v>3838</v>
      </c>
      <c r="J374" s="89"/>
    </row>
    <row r="375" customFormat="false" ht="41.75" hidden="false" customHeight="false" outlineLevel="0" collapsed="false">
      <c r="A375" s="89" t="s">
        <v>21</v>
      </c>
      <c r="B375" s="89" t="s">
        <v>295</v>
      </c>
      <c r="C375" s="90" t="s">
        <v>296</v>
      </c>
      <c r="D375" s="92" t="s">
        <v>298</v>
      </c>
      <c r="E375" s="90" t="s">
        <v>3859</v>
      </c>
      <c r="F375" s="90" t="s">
        <v>4540</v>
      </c>
      <c r="G375" s="92" t="s">
        <v>4541</v>
      </c>
      <c r="H375" s="89" t="s">
        <v>3862</v>
      </c>
      <c r="I375" s="90" t="s">
        <v>3863</v>
      </c>
      <c r="J375" s="89"/>
    </row>
    <row r="376" customFormat="false" ht="55.2" hidden="false" customHeight="false" outlineLevel="0" collapsed="false">
      <c r="A376" s="89" t="s">
        <v>21</v>
      </c>
      <c r="B376" s="89" t="s">
        <v>295</v>
      </c>
      <c r="C376" s="90" t="s">
        <v>296</v>
      </c>
      <c r="D376" s="92" t="s">
        <v>298</v>
      </c>
      <c r="E376" s="90" t="s">
        <v>912</v>
      </c>
      <c r="F376" s="90" t="s">
        <v>4468</v>
      </c>
      <c r="G376" s="92" t="s">
        <v>3751</v>
      </c>
      <c r="H376" s="89" t="s">
        <v>3841</v>
      </c>
      <c r="I376" s="90" t="s">
        <v>4542</v>
      </c>
      <c r="J376" s="89"/>
    </row>
    <row r="377" customFormat="false" ht="162.65" hidden="false" customHeight="false" outlineLevel="0" collapsed="false">
      <c r="A377" s="89" t="s">
        <v>21</v>
      </c>
      <c r="B377" s="89" t="s">
        <v>295</v>
      </c>
      <c r="C377" s="90" t="s">
        <v>296</v>
      </c>
      <c r="D377" s="92" t="s">
        <v>298</v>
      </c>
      <c r="E377" s="90" t="s">
        <v>4543</v>
      </c>
      <c r="F377" s="90" t="s">
        <v>4468</v>
      </c>
      <c r="G377" s="92" t="s">
        <v>4544</v>
      </c>
      <c r="H377" s="89" t="s">
        <v>3868</v>
      </c>
      <c r="I377" s="90" t="s">
        <v>4545</v>
      </c>
      <c r="J377" s="92" t="s">
        <v>3751</v>
      </c>
    </row>
    <row r="378" customFormat="false" ht="41.75" hidden="false" customHeight="false" outlineLevel="0" collapsed="false">
      <c r="A378" s="89" t="s">
        <v>21</v>
      </c>
      <c r="B378" s="89" t="s">
        <v>295</v>
      </c>
      <c r="C378" s="90" t="s">
        <v>296</v>
      </c>
      <c r="D378" s="92" t="s">
        <v>298</v>
      </c>
      <c r="E378" s="90" t="s">
        <v>614</v>
      </c>
      <c r="F378" s="90" t="s">
        <v>4546</v>
      </c>
      <c r="G378" s="92" t="s">
        <v>4547</v>
      </c>
      <c r="H378" s="89" t="s">
        <v>3872</v>
      </c>
      <c r="I378" s="90" t="s">
        <v>3873</v>
      </c>
      <c r="J378" s="89"/>
    </row>
    <row r="379" customFormat="false" ht="28.35" hidden="false" customHeight="false" outlineLevel="0" collapsed="false">
      <c r="A379" s="89" t="s">
        <v>21</v>
      </c>
      <c r="B379" s="89" t="s">
        <v>295</v>
      </c>
      <c r="C379" s="90" t="s">
        <v>296</v>
      </c>
      <c r="D379" s="92" t="s">
        <v>298</v>
      </c>
      <c r="E379" s="90" t="s">
        <v>360</v>
      </c>
      <c r="F379" s="90" t="s">
        <v>4548</v>
      </c>
      <c r="G379" s="92" t="s">
        <v>4549</v>
      </c>
      <c r="H379" s="89" t="s">
        <v>4035</v>
      </c>
      <c r="I379" s="90" t="s">
        <v>4036</v>
      </c>
      <c r="J379" s="89"/>
    </row>
    <row r="380" customFormat="false" ht="41.75" hidden="false" customHeight="false" outlineLevel="0" collapsed="false">
      <c r="A380" s="89" t="s">
        <v>21</v>
      </c>
      <c r="B380" s="89" t="s">
        <v>888</v>
      </c>
      <c r="C380" s="90" t="s">
        <v>890</v>
      </c>
      <c r="D380" s="92" t="s">
        <v>892</v>
      </c>
      <c r="E380" s="90" t="s">
        <v>912</v>
      </c>
      <c r="F380" s="90" t="s">
        <v>4550</v>
      </c>
      <c r="G380" s="92" t="s">
        <v>3751</v>
      </c>
      <c r="H380" s="89" t="s">
        <v>3841</v>
      </c>
      <c r="I380" s="90" t="s">
        <v>4551</v>
      </c>
      <c r="J380" s="89"/>
    </row>
    <row r="381" customFormat="false" ht="41.75" hidden="false" customHeight="false" outlineLevel="0" collapsed="false">
      <c r="A381" s="89" t="s">
        <v>21</v>
      </c>
      <c r="B381" s="89" t="s">
        <v>888</v>
      </c>
      <c r="C381" s="90" t="s">
        <v>890</v>
      </c>
      <c r="D381" s="92" t="s">
        <v>892</v>
      </c>
      <c r="E381" s="90" t="s">
        <v>4552</v>
      </c>
      <c r="F381" s="90" t="s">
        <v>4550</v>
      </c>
      <c r="G381" s="92" t="s">
        <v>3751</v>
      </c>
      <c r="H381" s="89" t="s">
        <v>3841</v>
      </c>
      <c r="I381" s="90" t="s">
        <v>4553</v>
      </c>
      <c r="J381" s="89"/>
    </row>
    <row r="382" customFormat="false" ht="41.75" hidden="false" customHeight="false" outlineLevel="0" collapsed="false">
      <c r="A382" s="89" t="s">
        <v>21</v>
      </c>
      <c r="B382" s="89" t="s">
        <v>888</v>
      </c>
      <c r="C382" s="90" t="s">
        <v>890</v>
      </c>
      <c r="D382" s="92" t="s">
        <v>892</v>
      </c>
      <c r="E382" s="90" t="s">
        <v>614</v>
      </c>
      <c r="F382" s="90" t="s">
        <v>4554</v>
      </c>
      <c r="G382" s="92" t="s">
        <v>4555</v>
      </c>
      <c r="H382" s="89" t="s">
        <v>3872</v>
      </c>
      <c r="I382" s="90" t="s">
        <v>3873</v>
      </c>
      <c r="J382" s="89"/>
    </row>
    <row r="383" customFormat="false" ht="41.75" hidden="false" customHeight="false" outlineLevel="0" collapsed="false">
      <c r="A383" s="89" t="s">
        <v>21</v>
      </c>
      <c r="B383" s="89" t="s">
        <v>1051</v>
      </c>
      <c r="C383" s="90" t="s">
        <v>1053</v>
      </c>
      <c r="D383" s="92" t="s">
        <v>1054</v>
      </c>
      <c r="E383" s="90" t="s">
        <v>912</v>
      </c>
      <c r="F383" s="90" t="s">
        <v>4401</v>
      </c>
      <c r="G383" s="92" t="s">
        <v>3751</v>
      </c>
      <c r="H383" s="89" t="s">
        <v>3841</v>
      </c>
      <c r="I383" s="90" t="s">
        <v>4556</v>
      </c>
      <c r="J383" s="89"/>
    </row>
    <row r="384" customFormat="false" ht="28.35" hidden="false" customHeight="false" outlineLevel="0" collapsed="false">
      <c r="A384" s="89" t="s">
        <v>21</v>
      </c>
      <c r="B384" s="89" t="s">
        <v>466</v>
      </c>
      <c r="C384" s="90" t="s">
        <v>468</v>
      </c>
      <c r="D384" s="92" t="s">
        <v>470</v>
      </c>
      <c r="E384" s="90" t="s">
        <v>284</v>
      </c>
      <c r="F384" s="90" t="s">
        <v>4557</v>
      </c>
      <c r="G384" s="92" t="s">
        <v>4558</v>
      </c>
      <c r="H384" s="89" t="s">
        <v>3837</v>
      </c>
      <c r="I384" s="90" t="s">
        <v>3838</v>
      </c>
      <c r="J384" s="89"/>
    </row>
    <row r="385" customFormat="false" ht="41.75" hidden="false" customHeight="false" outlineLevel="0" collapsed="false">
      <c r="A385" s="89" t="s">
        <v>21</v>
      </c>
      <c r="B385" s="89" t="s">
        <v>466</v>
      </c>
      <c r="C385" s="90" t="s">
        <v>468</v>
      </c>
      <c r="D385" s="92" t="s">
        <v>470</v>
      </c>
      <c r="E385" s="90" t="s">
        <v>3859</v>
      </c>
      <c r="F385" s="90" t="s">
        <v>4559</v>
      </c>
      <c r="G385" s="92" t="s">
        <v>4560</v>
      </c>
      <c r="H385" s="89" t="s">
        <v>3862</v>
      </c>
      <c r="I385" s="90" t="s">
        <v>3863</v>
      </c>
      <c r="J385" s="89"/>
    </row>
    <row r="386" customFormat="false" ht="202.95" hidden="false" customHeight="false" outlineLevel="0" collapsed="false">
      <c r="A386" s="89" t="s">
        <v>21</v>
      </c>
      <c r="B386" s="89" t="s">
        <v>466</v>
      </c>
      <c r="C386" s="90" t="s">
        <v>468</v>
      </c>
      <c r="D386" s="92" t="s">
        <v>470</v>
      </c>
      <c r="E386" s="90" t="s">
        <v>1024</v>
      </c>
      <c r="F386" s="90" t="s">
        <v>4414</v>
      </c>
      <c r="G386" s="92" t="s">
        <v>4561</v>
      </c>
      <c r="H386" s="89" t="s">
        <v>4088</v>
      </c>
      <c r="I386" s="90" t="s">
        <v>4562</v>
      </c>
      <c r="J386" s="92" t="s">
        <v>3751</v>
      </c>
    </row>
    <row r="387" customFormat="false" ht="41.75" hidden="false" customHeight="false" outlineLevel="0" collapsed="false">
      <c r="A387" s="89" t="s">
        <v>21</v>
      </c>
      <c r="B387" s="89" t="s">
        <v>1059</v>
      </c>
      <c r="C387" s="90" t="s">
        <v>1061</v>
      </c>
      <c r="D387" s="92" t="s">
        <v>1064</v>
      </c>
      <c r="E387" s="90" t="s">
        <v>912</v>
      </c>
      <c r="F387" s="90" t="s">
        <v>4421</v>
      </c>
      <c r="G387" s="92" t="s">
        <v>3751</v>
      </c>
      <c r="H387" s="89" t="s">
        <v>3841</v>
      </c>
      <c r="I387" s="90" t="s">
        <v>4563</v>
      </c>
      <c r="J387" s="89"/>
    </row>
    <row r="388" customFormat="false" ht="55.2" hidden="false" customHeight="false" outlineLevel="0" collapsed="false">
      <c r="A388" s="89" t="s">
        <v>21</v>
      </c>
      <c r="B388" s="89" t="s">
        <v>1059</v>
      </c>
      <c r="C388" s="90" t="s">
        <v>1061</v>
      </c>
      <c r="D388" s="92" t="s">
        <v>1064</v>
      </c>
      <c r="E388" s="90" t="s">
        <v>4564</v>
      </c>
      <c r="F388" s="90" t="s">
        <v>4421</v>
      </c>
      <c r="G388" s="92" t="s">
        <v>4565</v>
      </c>
      <c r="H388" s="89" t="s">
        <v>3868</v>
      </c>
      <c r="I388" s="90" t="s">
        <v>4566</v>
      </c>
      <c r="J388" s="92" t="s">
        <v>3751</v>
      </c>
    </row>
    <row r="389" customFormat="false" ht="28.35" hidden="false" customHeight="false" outlineLevel="0" collapsed="false">
      <c r="A389" s="89" t="s">
        <v>21</v>
      </c>
      <c r="B389" s="89" t="s">
        <v>1065</v>
      </c>
      <c r="C389" s="90" t="s">
        <v>997</v>
      </c>
      <c r="D389" s="92" t="s">
        <v>1068</v>
      </c>
      <c r="E389" s="90" t="s">
        <v>3859</v>
      </c>
      <c r="F389" s="90" t="s">
        <v>4567</v>
      </c>
      <c r="G389" s="92" t="s">
        <v>4568</v>
      </c>
      <c r="H389" s="89" t="s">
        <v>3862</v>
      </c>
      <c r="I389" s="90" t="s">
        <v>3863</v>
      </c>
      <c r="J389" s="89"/>
    </row>
    <row r="390" customFormat="false" ht="202.95" hidden="false" customHeight="false" outlineLevel="0" collapsed="false">
      <c r="A390" s="89" t="s">
        <v>21</v>
      </c>
      <c r="B390" s="89" t="s">
        <v>1065</v>
      </c>
      <c r="C390" s="90" t="s">
        <v>997</v>
      </c>
      <c r="D390" s="92" t="s">
        <v>1068</v>
      </c>
      <c r="E390" s="90" t="s">
        <v>1024</v>
      </c>
      <c r="F390" s="90" t="s">
        <v>4414</v>
      </c>
      <c r="G390" s="92" t="s">
        <v>4569</v>
      </c>
      <c r="H390" s="89" t="s">
        <v>4088</v>
      </c>
      <c r="I390" s="90" t="s">
        <v>4570</v>
      </c>
      <c r="J390" s="92" t="s">
        <v>3751</v>
      </c>
    </row>
    <row r="391" customFormat="false" ht="41.75" hidden="false" customHeight="false" outlineLevel="0" collapsed="false">
      <c r="A391" s="89" t="s">
        <v>21</v>
      </c>
      <c r="B391" s="89" t="s">
        <v>894</v>
      </c>
      <c r="C391" s="90" t="s">
        <v>896</v>
      </c>
      <c r="D391" s="92" t="s">
        <v>898</v>
      </c>
      <c r="E391" s="90" t="s">
        <v>912</v>
      </c>
      <c r="F391" s="90" t="s">
        <v>4550</v>
      </c>
      <c r="G391" s="92" t="s">
        <v>3751</v>
      </c>
      <c r="H391" s="89" t="s">
        <v>3841</v>
      </c>
      <c r="I391" s="90" t="s">
        <v>4571</v>
      </c>
      <c r="J391" s="89"/>
    </row>
    <row r="392" customFormat="false" ht="55.2" hidden="false" customHeight="false" outlineLevel="0" collapsed="false">
      <c r="A392" s="89" t="s">
        <v>21</v>
      </c>
      <c r="B392" s="89" t="s">
        <v>894</v>
      </c>
      <c r="C392" s="90" t="s">
        <v>896</v>
      </c>
      <c r="D392" s="92" t="s">
        <v>898</v>
      </c>
      <c r="E392" s="90" t="s">
        <v>4572</v>
      </c>
      <c r="F392" s="90" t="s">
        <v>4550</v>
      </c>
      <c r="G392" s="92" t="s">
        <v>3751</v>
      </c>
      <c r="H392" s="89" t="s">
        <v>3841</v>
      </c>
      <c r="I392" s="90" t="s">
        <v>4573</v>
      </c>
      <c r="J392" s="89"/>
    </row>
    <row r="393" customFormat="false" ht="41.75" hidden="false" customHeight="false" outlineLevel="0" collapsed="false">
      <c r="A393" s="89" t="s">
        <v>21</v>
      </c>
      <c r="B393" s="89" t="s">
        <v>894</v>
      </c>
      <c r="C393" s="90" t="s">
        <v>896</v>
      </c>
      <c r="D393" s="92" t="s">
        <v>898</v>
      </c>
      <c r="E393" s="90" t="s">
        <v>614</v>
      </c>
      <c r="F393" s="90" t="s">
        <v>4574</v>
      </c>
      <c r="G393" s="92" t="s">
        <v>4575</v>
      </c>
      <c r="H393" s="89" t="s">
        <v>3872</v>
      </c>
      <c r="I393" s="90" t="s">
        <v>3873</v>
      </c>
      <c r="J393" s="89"/>
    </row>
    <row r="394" customFormat="false" ht="41.75" hidden="false" customHeight="false" outlineLevel="0" collapsed="false">
      <c r="A394" s="89" t="s">
        <v>21</v>
      </c>
      <c r="B394" s="89" t="s">
        <v>476</v>
      </c>
      <c r="C394" s="90" t="s">
        <v>478</v>
      </c>
      <c r="D394" s="92" t="s">
        <v>482</v>
      </c>
      <c r="E394" s="90" t="s">
        <v>3859</v>
      </c>
      <c r="F394" s="90" t="s">
        <v>4576</v>
      </c>
      <c r="G394" s="92" t="s">
        <v>4577</v>
      </c>
      <c r="H394" s="89" t="s">
        <v>3862</v>
      </c>
      <c r="I394" s="90" t="s">
        <v>3863</v>
      </c>
      <c r="J394" s="89"/>
    </row>
    <row r="395" customFormat="false" ht="41.75" hidden="false" customHeight="false" outlineLevel="0" collapsed="false">
      <c r="A395" s="89" t="s">
        <v>21</v>
      </c>
      <c r="B395" s="89" t="s">
        <v>476</v>
      </c>
      <c r="C395" s="90" t="s">
        <v>478</v>
      </c>
      <c r="D395" s="92" t="s">
        <v>482</v>
      </c>
      <c r="E395" s="90" t="s">
        <v>912</v>
      </c>
      <c r="F395" s="90" t="s">
        <v>4387</v>
      </c>
      <c r="G395" s="92" t="s">
        <v>3751</v>
      </c>
      <c r="H395" s="89" t="s">
        <v>3841</v>
      </c>
      <c r="I395" s="90" t="s">
        <v>4578</v>
      </c>
      <c r="J395" s="89"/>
    </row>
    <row r="396" customFormat="false" ht="41.75" hidden="false" customHeight="false" outlineLevel="0" collapsed="false">
      <c r="A396" s="89" t="s">
        <v>21</v>
      </c>
      <c r="B396" s="89" t="s">
        <v>299</v>
      </c>
      <c r="C396" s="90" t="s">
        <v>301</v>
      </c>
      <c r="D396" s="92" t="s">
        <v>303</v>
      </c>
      <c r="E396" s="90" t="s">
        <v>3859</v>
      </c>
      <c r="F396" s="90" t="s">
        <v>4579</v>
      </c>
      <c r="G396" s="92" t="s">
        <v>2230</v>
      </c>
      <c r="H396" s="89" t="s">
        <v>3971</v>
      </c>
      <c r="I396" s="90" t="s">
        <v>3972</v>
      </c>
      <c r="J396" s="89"/>
    </row>
    <row r="397" customFormat="false" ht="55.2" hidden="false" customHeight="false" outlineLevel="0" collapsed="false">
      <c r="A397" s="89" t="s">
        <v>21</v>
      </c>
      <c r="B397" s="89" t="s">
        <v>299</v>
      </c>
      <c r="C397" s="90" t="s">
        <v>301</v>
      </c>
      <c r="D397" s="92" t="s">
        <v>303</v>
      </c>
      <c r="E397" s="90" t="s">
        <v>912</v>
      </c>
      <c r="F397" s="90" t="s">
        <v>4468</v>
      </c>
      <c r="G397" s="92" t="s">
        <v>3751</v>
      </c>
      <c r="H397" s="89" t="s">
        <v>3841</v>
      </c>
      <c r="I397" s="90" t="s">
        <v>4580</v>
      </c>
      <c r="J397" s="89"/>
    </row>
    <row r="398" customFormat="false" ht="41.75" hidden="false" customHeight="false" outlineLevel="0" collapsed="false">
      <c r="A398" s="89" t="s">
        <v>21</v>
      </c>
      <c r="B398" s="89" t="s">
        <v>299</v>
      </c>
      <c r="C398" s="90" t="s">
        <v>301</v>
      </c>
      <c r="D398" s="92" t="s">
        <v>303</v>
      </c>
      <c r="E398" s="90" t="s">
        <v>464</v>
      </c>
      <c r="F398" s="90" t="s">
        <v>4581</v>
      </c>
      <c r="G398" s="92" t="s">
        <v>4582</v>
      </c>
      <c r="H398" s="89" t="s">
        <v>80</v>
      </c>
      <c r="I398" s="90" t="s">
        <v>3854</v>
      </c>
      <c r="J398" s="89"/>
    </row>
    <row r="399" customFormat="false" ht="162.65" hidden="false" customHeight="false" outlineLevel="0" collapsed="false">
      <c r="A399" s="89" t="s">
        <v>21</v>
      </c>
      <c r="B399" s="89" t="s">
        <v>299</v>
      </c>
      <c r="C399" s="90" t="s">
        <v>301</v>
      </c>
      <c r="D399" s="92" t="s">
        <v>303</v>
      </c>
      <c r="E399" s="90" t="s">
        <v>4583</v>
      </c>
      <c r="F399" s="90" t="s">
        <v>4468</v>
      </c>
      <c r="G399" s="92" t="s">
        <v>4584</v>
      </c>
      <c r="H399" s="89" t="s">
        <v>3868</v>
      </c>
      <c r="I399" s="90" t="s">
        <v>4585</v>
      </c>
      <c r="J399" s="92" t="s">
        <v>3751</v>
      </c>
    </row>
    <row r="400" customFormat="false" ht="41.75" hidden="false" customHeight="false" outlineLevel="0" collapsed="false">
      <c r="A400" s="89" t="s">
        <v>21</v>
      </c>
      <c r="B400" s="89" t="s">
        <v>299</v>
      </c>
      <c r="C400" s="90" t="s">
        <v>301</v>
      </c>
      <c r="D400" s="92" t="s">
        <v>303</v>
      </c>
      <c r="E400" s="90" t="s">
        <v>614</v>
      </c>
      <c r="F400" s="90" t="s">
        <v>4586</v>
      </c>
      <c r="G400" s="92" t="s">
        <v>4587</v>
      </c>
      <c r="H400" s="89" t="s">
        <v>4029</v>
      </c>
      <c r="I400" s="90" t="s">
        <v>4030</v>
      </c>
      <c r="J400" s="89"/>
    </row>
    <row r="401" customFormat="false" ht="55.2" hidden="false" customHeight="false" outlineLevel="0" collapsed="false">
      <c r="A401" s="89" t="s">
        <v>21</v>
      </c>
      <c r="B401" s="89" t="s">
        <v>1079</v>
      </c>
      <c r="C401" s="90" t="s">
        <v>1081</v>
      </c>
      <c r="D401" s="92" t="s">
        <v>1086</v>
      </c>
      <c r="E401" s="90" t="s">
        <v>912</v>
      </c>
      <c r="F401" s="90" t="s">
        <v>4477</v>
      </c>
      <c r="G401" s="92" t="s">
        <v>3751</v>
      </c>
      <c r="H401" s="89" t="s">
        <v>3841</v>
      </c>
      <c r="I401" s="90" t="s">
        <v>4588</v>
      </c>
      <c r="J401" s="89"/>
    </row>
    <row r="402" customFormat="false" ht="135.8" hidden="false" customHeight="false" outlineLevel="0" collapsed="false">
      <c r="A402" s="89" t="s">
        <v>21</v>
      </c>
      <c r="B402" s="89" t="s">
        <v>1079</v>
      </c>
      <c r="C402" s="90" t="s">
        <v>1081</v>
      </c>
      <c r="D402" s="92" t="s">
        <v>1086</v>
      </c>
      <c r="E402" s="90" t="s">
        <v>4589</v>
      </c>
      <c r="F402" s="90" t="s">
        <v>4477</v>
      </c>
      <c r="G402" s="92" t="s">
        <v>4590</v>
      </c>
      <c r="H402" s="89" t="s">
        <v>3868</v>
      </c>
      <c r="I402" s="90" t="s">
        <v>4591</v>
      </c>
      <c r="J402" s="92" t="s">
        <v>3751</v>
      </c>
    </row>
    <row r="403" customFormat="false" ht="41.75" hidden="false" customHeight="false" outlineLevel="0" collapsed="false">
      <c r="A403" s="89" t="s">
        <v>21</v>
      </c>
      <c r="B403" s="89" t="s">
        <v>1079</v>
      </c>
      <c r="C403" s="90" t="s">
        <v>1081</v>
      </c>
      <c r="D403" s="92" t="s">
        <v>1086</v>
      </c>
      <c r="E403" s="90" t="s">
        <v>614</v>
      </c>
      <c r="F403" s="90" t="s">
        <v>4592</v>
      </c>
      <c r="G403" s="92" t="s">
        <v>4593</v>
      </c>
      <c r="H403" s="89" t="s">
        <v>3872</v>
      </c>
      <c r="I403" s="90" t="s">
        <v>3873</v>
      </c>
      <c r="J403" s="89"/>
    </row>
    <row r="404" customFormat="false" ht="41.75" hidden="false" customHeight="false" outlineLevel="0" collapsed="false">
      <c r="A404" s="89" t="s">
        <v>21</v>
      </c>
      <c r="B404" s="89" t="s">
        <v>501</v>
      </c>
      <c r="C404" s="90" t="s">
        <v>503</v>
      </c>
      <c r="D404" s="92" t="s">
        <v>506</v>
      </c>
      <c r="E404" s="90" t="s">
        <v>3859</v>
      </c>
      <c r="F404" s="90" t="s">
        <v>4594</v>
      </c>
      <c r="G404" s="92" t="s">
        <v>2229</v>
      </c>
      <c r="H404" s="89" t="s">
        <v>3971</v>
      </c>
      <c r="I404" s="90" t="s">
        <v>3972</v>
      </c>
      <c r="J404" s="89"/>
    </row>
    <row r="405" customFormat="false" ht="41.75" hidden="false" customHeight="false" outlineLevel="0" collapsed="false">
      <c r="A405" s="89" t="s">
        <v>21</v>
      </c>
      <c r="B405" s="89" t="s">
        <v>501</v>
      </c>
      <c r="C405" s="90" t="s">
        <v>503</v>
      </c>
      <c r="D405" s="92" t="s">
        <v>506</v>
      </c>
      <c r="E405" s="90" t="s">
        <v>912</v>
      </c>
      <c r="F405" s="90" t="s">
        <v>4421</v>
      </c>
      <c r="G405" s="92" t="s">
        <v>3751</v>
      </c>
      <c r="H405" s="89" t="s">
        <v>3841</v>
      </c>
      <c r="I405" s="90" t="s">
        <v>4595</v>
      </c>
      <c r="J405" s="89"/>
    </row>
    <row r="406" customFormat="false" ht="28.35" hidden="false" customHeight="false" outlineLevel="0" collapsed="false">
      <c r="A406" s="89" t="s">
        <v>21</v>
      </c>
      <c r="B406" s="89" t="s">
        <v>501</v>
      </c>
      <c r="C406" s="90" t="s">
        <v>503</v>
      </c>
      <c r="D406" s="92" t="s">
        <v>506</v>
      </c>
      <c r="E406" s="90" t="s">
        <v>464</v>
      </c>
      <c r="F406" s="90" t="s">
        <v>4596</v>
      </c>
      <c r="G406" s="92" t="s">
        <v>4597</v>
      </c>
      <c r="H406" s="89" t="s">
        <v>80</v>
      </c>
      <c r="I406" s="90" t="s">
        <v>3854</v>
      </c>
      <c r="J406" s="89"/>
    </row>
    <row r="407" customFormat="false" ht="108.95" hidden="false" customHeight="false" outlineLevel="0" collapsed="false">
      <c r="A407" s="89" t="s">
        <v>21</v>
      </c>
      <c r="B407" s="89" t="s">
        <v>501</v>
      </c>
      <c r="C407" s="90" t="s">
        <v>503</v>
      </c>
      <c r="D407" s="92" t="s">
        <v>506</v>
      </c>
      <c r="E407" s="90" t="s">
        <v>4598</v>
      </c>
      <c r="F407" s="90" t="s">
        <v>4421</v>
      </c>
      <c r="G407" s="92" t="s">
        <v>4599</v>
      </c>
      <c r="H407" s="89" t="s">
        <v>3868</v>
      </c>
      <c r="I407" s="90" t="s">
        <v>4600</v>
      </c>
      <c r="J407" s="92" t="s">
        <v>3751</v>
      </c>
    </row>
    <row r="408" customFormat="false" ht="41.75" hidden="false" customHeight="false" outlineLevel="0" collapsed="false">
      <c r="A408" s="89" t="s">
        <v>21</v>
      </c>
      <c r="B408" s="89" t="s">
        <v>1091</v>
      </c>
      <c r="C408" s="90" t="s">
        <v>1093</v>
      </c>
      <c r="D408" s="92" t="s">
        <v>1096</v>
      </c>
      <c r="E408" s="90" t="s">
        <v>912</v>
      </c>
      <c r="F408" s="90" t="s">
        <v>4601</v>
      </c>
      <c r="G408" s="92" t="s">
        <v>3751</v>
      </c>
      <c r="H408" s="89" t="s">
        <v>3841</v>
      </c>
      <c r="I408" s="90" t="s">
        <v>4602</v>
      </c>
      <c r="J408" s="89"/>
    </row>
    <row r="409" customFormat="false" ht="55.2" hidden="false" customHeight="false" outlineLevel="0" collapsed="false">
      <c r="A409" s="89" t="s">
        <v>21</v>
      </c>
      <c r="B409" s="89" t="s">
        <v>1091</v>
      </c>
      <c r="C409" s="90" t="s">
        <v>1093</v>
      </c>
      <c r="D409" s="92" t="s">
        <v>1096</v>
      </c>
      <c r="E409" s="90" t="s">
        <v>4603</v>
      </c>
      <c r="F409" s="90" t="s">
        <v>4601</v>
      </c>
      <c r="G409" s="92" t="s">
        <v>4604</v>
      </c>
      <c r="H409" s="89" t="s">
        <v>3868</v>
      </c>
      <c r="I409" s="90" t="s">
        <v>4605</v>
      </c>
      <c r="J409" s="92" t="s">
        <v>3751</v>
      </c>
    </row>
    <row r="410" customFormat="false" ht="28.35" hidden="false" customHeight="false" outlineLevel="0" collapsed="false">
      <c r="A410" s="89" t="s">
        <v>21</v>
      </c>
      <c r="B410" s="89" t="s">
        <v>75</v>
      </c>
      <c r="C410" s="90" t="s">
        <v>513</v>
      </c>
      <c r="D410" s="92" t="s">
        <v>517</v>
      </c>
      <c r="E410" s="90" t="s">
        <v>284</v>
      </c>
      <c r="F410" s="90" t="s">
        <v>4606</v>
      </c>
      <c r="G410" s="92" t="s">
        <v>4607</v>
      </c>
      <c r="H410" s="89" t="s">
        <v>3876</v>
      </c>
      <c r="I410" s="90" t="s">
        <v>3877</v>
      </c>
      <c r="J410" s="89"/>
    </row>
    <row r="411" customFormat="false" ht="41.75" hidden="false" customHeight="false" outlineLevel="0" collapsed="false">
      <c r="A411" s="89" t="s">
        <v>21</v>
      </c>
      <c r="B411" s="89" t="s">
        <v>75</v>
      </c>
      <c r="C411" s="90" t="s">
        <v>513</v>
      </c>
      <c r="D411" s="92" t="s">
        <v>517</v>
      </c>
      <c r="E411" s="90" t="s">
        <v>3859</v>
      </c>
      <c r="F411" s="90" t="s">
        <v>4608</v>
      </c>
      <c r="G411" s="92" t="s">
        <v>3464</v>
      </c>
      <c r="H411" s="89" t="s">
        <v>3862</v>
      </c>
      <c r="I411" s="90" t="s">
        <v>3863</v>
      </c>
      <c r="J411" s="89"/>
    </row>
    <row r="412" customFormat="false" ht="55.2" hidden="false" customHeight="false" outlineLevel="0" collapsed="false">
      <c r="A412" s="89" t="s">
        <v>21</v>
      </c>
      <c r="B412" s="89" t="s">
        <v>75</v>
      </c>
      <c r="C412" s="90" t="s">
        <v>513</v>
      </c>
      <c r="D412" s="92" t="s">
        <v>517</v>
      </c>
      <c r="E412" s="90" t="s">
        <v>912</v>
      </c>
      <c r="F412" s="90" t="s">
        <v>4454</v>
      </c>
      <c r="G412" s="92" t="s">
        <v>3751</v>
      </c>
      <c r="H412" s="89" t="s">
        <v>3841</v>
      </c>
      <c r="I412" s="90" t="s">
        <v>4609</v>
      </c>
      <c r="J412" s="89"/>
    </row>
    <row r="413" customFormat="false" ht="82.05" hidden="false" customHeight="false" outlineLevel="0" collapsed="false">
      <c r="A413" s="89" t="s">
        <v>21</v>
      </c>
      <c r="B413" s="89" t="s">
        <v>75</v>
      </c>
      <c r="C413" s="90" t="s">
        <v>513</v>
      </c>
      <c r="D413" s="92" t="s">
        <v>517</v>
      </c>
      <c r="E413" s="90" t="s">
        <v>4610</v>
      </c>
      <c r="F413" s="90" t="s">
        <v>4454</v>
      </c>
      <c r="G413" s="92" t="s">
        <v>3751</v>
      </c>
      <c r="H413" s="89" t="s">
        <v>3841</v>
      </c>
      <c r="I413" s="90" t="s">
        <v>4611</v>
      </c>
      <c r="J413" s="89"/>
    </row>
    <row r="414" customFormat="false" ht="28.35" hidden="false" customHeight="false" outlineLevel="0" collapsed="false">
      <c r="A414" s="89" t="s">
        <v>21</v>
      </c>
      <c r="B414" s="89" t="s">
        <v>518</v>
      </c>
      <c r="C414" s="90" t="s">
        <v>520</v>
      </c>
      <c r="D414" s="92" t="s">
        <v>525</v>
      </c>
      <c r="E414" s="90" t="s">
        <v>284</v>
      </c>
      <c r="F414" s="90" t="s">
        <v>4612</v>
      </c>
      <c r="G414" s="92" t="s">
        <v>4613</v>
      </c>
      <c r="H414" s="89" t="s">
        <v>3837</v>
      </c>
      <c r="I414" s="90" t="s">
        <v>3838</v>
      </c>
      <c r="J414" s="89"/>
    </row>
    <row r="415" customFormat="false" ht="41.75" hidden="false" customHeight="false" outlineLevel="0" collapsed="false">
      <c r="A415" s="89" t="s">
        <v>21</v>
      </c>
      <c r="B415" s="89" t="s">
        <v>518</v>
      </c>
      <c r="C415" s="90" t="s">
        <v>520</v>
      </c>
      <c r="D415" s="92" t="s">
        <v>525</v>
      </c>
      <c r="E415" s="90" t="s">
        <v>3859</v>
      </c>
      <c r="F415" s="90" t="s">
        <v>4614</v>
      </c>
      <c r="G415" s="92" t="s">
        <v>2225</v>
      </c>
      <c r="H415" s="89" t="s">
        <v>3971</v>
      </c>
      <c r="I415" s="90" t="s">
        <v>3972</v>
      </c>
      <c r="J415" s="89"/>
    </row>
    <row r="416" customFormat="false" ht="55.2" hidden="false" customHeight="false" outlineLevel="0" collapsed="false">
      <c r="A416" s="89" t="s">
        <v>21</v>
      </c>
      <c r="B416" s="89" t="s">
        <v>518</v>
      </c>
      <c r="C416" s="90" t="s">
        <v>520</v>
      </c>
      <c r="D416" s="92" t="s">
        <v>525</v>
      </c>
      <c r="E416" s="90" t="s">
        <v>912</v>
      </c>
      <c r="F416" s="90" t="s">
        <v>4477</v>
      </c>
      <c r="G416" s="92" t="s">
        <v>3751</v>
      </c>
      <c r="H416" s="89" t="s">
        <v>3841</v>
      </c>
      <c r="I416" s="90" t="s">
        <v>4615</v>
      </c>
      <c r="J416" s="89"/>
    </row>
    <row r="417" customFormat="false" ht="135.8" hidden="false" customHeight="false" outlineLevel="0" collapsed="false">
      <c r="A417" s="89" t="s">
        <v>21</v>
      </c>
      <c r="B417" s="89" t="s">
        <v>518</v>
      </c>
      <c r="C417" s="90" t="s">
        <v>520</v>
      </c>
      <c r="D417" s="92" t="s">
        <v>525</v>
      </c>
      <c r="E417" s="90" t="s">
        <v>4616</v>
      </c>
      <c r="F417" s="90" t="s">
        <v>4477</v>
      </c>
      <c r="G417" s="92" t="s">
        <v>4617</v>
      </c>
      <c r="H417" s="89" t="s">
        <v>3868</v>
      </c>
      <c r="I417" s="90" t="s">
        <v>4618</v>
      </c>
      <c r="J417" s="92" t="s">
        <v>3751</v>
      </c>
    </row>
    <row r="418" customFormat="false" ht="55.2" hidden="false" customHeight="false" outlineLevel="0" collapsed="false">
      <c r="A418" s="89" t="s">
        <v>21</v>
      </c>
      <c r="B418" s="89" t="s">
        <v>518</v>
      </c>
      <c r="C418" s="90" t="s">
        <v>520</v>
      </c>
      <c r="D418" s="92" t="s">
        <v>525</v>
      </c>
      <c r="E418" s="90" t="s">
        <v>614</v>
      </c>
      <c r="F418" s="90" t="s">
        <v>4619</v>
      </c>
      <c r="G418" s="92" t="s">
        <v>4620</v>
      </c>
      <c r="H418" s="89" t="s">
        <v>3872</v>
      </c>
      <c r="I418" s="90" t="s">
        <v>3873</v>
      </c>
      <c r="J418" s="89"/>
    </row>
    <row r="419" customFormat="false" ht="68.65" hidden="false" customHeight="false" outlineLevel="0" collapsed="false">
      <c r="A419" s="89" t="s">
        <v>21</v>
      </c>
      <c r="B419" s="89" t="s">
        <v>1106</v>
      </c>
      <c r="C419" s="90" t="s">
        <v>1107</v>
      </c>
      <c r="D419" s="92" t="s">
        <v>1111</v>
      </c>
      <c r="E419" s="90" t="s">
        <v>912</v>
      </c>
      <c r="F419" s="90" t="s">
        <v>4468</v>
      </c>
      <c r="G419" s="92" t="s">
        <v>4621</v>
      </c>
      <c r="H419" s="89" t="s">
        <v>4088</v>
      </c>
      <c r="I419" s="90" t="s">
        <v>4622</v>
      </c>
      <c r="J419" s="92" t="s">
        <v>3751</v>
      </c>
    </row>
    <row r="420" customFormat="false" ht="28.35" hidden="false" customHeight="false" outlineLevel="0" collapsed="false">
      <c r="A420" s="89" t="s">
        <v>21</v>
      </c>
      <c r="B420" s="89" t="s">
        <v>1106</v>
      </c>
      <c r="C420" s="90" t="s">
        <v>1107</v>
      </c>
      <c r="D420" s="92" t="s">
        <v>1111</v>
      </c>
      <c r="E420" s="90" t="s">
        <v>464</v>
      </c>
      <c r="F420" s="90" t="s">
        <v>4623</v>
      </c>
      <c r="G420" s="92" t="s">
        <v>4624</v>
      </c>
      <c r="H420" s="89" t="s">
        <v>80</v>
      </c>
      <c r="I420" s="90" t="s">
        <v>3854</v>
      </c>
      <c r="J420" s="89"/>
    </row>
    <row r="421" customFormat="false" ht="202.95" hidden="false" customHeight="false" outlineLevel="0" collapsed="false">
      <c r="A421" s="89" t="s">
        <v>21</v>
      </c>
      <c r="B421" s="89" t="s">
        <v>1106</v>
      </c>
      <c r="C421" s="90" t="s">
        <v>1107</v>
      </c>
      <c r="D421" s="92" t="s">
        <v>1111</v>
      </c>
      <c r="E421" s="90" t="s">
        <v>1024</v>
      </c>
      <c r="F421" s="90" t="s">
        <v>4468</v>
      </c>
      <c r="G421" s="92" t="s">
        <v>4621</v>
      </c>
      <c r="H421" s="89" t="s">
        <v>4088</v>
      </c>
      <c r="I421" s="90" t="s">
        <v>4625</v>
      </c>
      <c r="J421" s="92" t="s">
        <v>3751</v>
      </c>
    </row>
    <row r="422" customFormat="false" ht="41.75" hidden="false" customHeight="false" outlineLevel="0" collapsed="false">
      <c r="A422" s="89" t="s">
        <v>21</v>
      </c>
      <c r="B422" s="89" t="s">
        <v>529</v>
      </c>
      <c r="C422" s="90" t="s">
        <v>531</v>
      </c>
      <c r="D422" s="92" t="s">
        <v>533</v>
      </c>
      <c r="E422" s="90" t="s">
        <v>3859</v>
      </c>
      <c r="F422" s="90" t="s">
        <v>4626</v>
      </c>
      <c r="G422" s="92" t="s">
        <v>4627</v>
      </c>
      <c r="H422" s="89" t="s">
        <v>3862</v>
      </c>
      <c r="I422" s="90" t="s">
        <v>3863</v>
      </c>
      <c r="J422" s="89"/>
    </row>
    <row r="423" customFormat="false" ht="202.95" hidden="false" customHeight="false" outlineLevel="0" collapsed="false">
      <c r="A423" s="89" t="s">
        <v>21</v>
      </c>
      <c r="B423" s="89" t="s">
        <v>529</v>
      </c>
      <c r="C423" s="90" t="s">
        <v>531</v>
      </c>
      <c r="D423" s="92" t="s">
        <v>533</v>
      </c>
      <c r="E423" s="90" t="s">
        <v>1024</v>
      </c>
      <c r="F423" s="90" t="s">
        <v>4414</v>
      </c>
      <c r="G423" s="92" t="s">
        <v>4628</v>
      </c>
      <c r="H423" s="89" t="s">
        <v>4088</v>
      </c>
      <c r="I423" s="90" t="s">
        <v>4629</v>
      </c>
      <c r="J423" s="92" t="s">
        <v>3751</v>
      </c>
    </row>
    <row r="424" customFormat="false" ht="28.35" hidden="false" customHeight="false" outlineLevel="0" collapsed="false">
      <c r="A424" s="89" t="s">
        <v>21</v>
      </c>
      <c r="B424" s="89" t="s">
        <v>529</v>
      </c>
      <c r="C424" s="90" t="s">
        <v>531</v>
      </c>
      <c r="D424" s="92" t="s">
        <v>533</v>
      </c>
      <c r="E424" s="90" t="s">
        <v>360</v>
      </c>
      <c r="F424" s="90" t="s">
        <v>4630</v>
      </c>
      <c r="G424" s="92" t="s">
        <v>4631</v>
      </c>
      <c r="H424" s="89" t="s">
        <v>4035</v>
      </c>
      <c r="I424" s="90" t="s">
        <v>4036</v>
      </c>
      <c r="J424" s="89"/>
    </row>
    <row r="425" customFormat="false" ht="41.75" hidden="false" customHeight="false" outlineLevel="0" collapsed="false">
      <c r="A425" s="89" t="s">
        <v>21</v>
      </c>
      <c r="B425" s="89" t="s">
        <v>534</v>
      </c>
      <c r="C425" s="90" t="s">
        <v>535</v>
      </c>
      <c r="D425" s="92" t="s">
        <v>540</v>
      </c>
      <c r="E425" s="90" t="s">
        <v>3859</v>
      </c>
      <c r="F425" s="90" t="s">
        <v>4632</v>
      </c>
      <c r="G425" s="92" t="s">
        <v>1694</v>
      </c>
      <c r="H425" s="89" t="s">
        <v>3971</v>
      </c>
      <c r="I425" s="90" t="s">
        <v>3972</v>
      </c>
      <c r="J425" s="89"/>
    </row>
    <row r="426" customFormat="false" ht="41.75" hidden="false" customHeight="false" outlineLevel="0" collapsed="false">
      <c r="A426" s="89" t="s">
        <v>21</v>
      </c>
      <c r="B426" s="89" t="s">
        <v>534</v>
      </c>
      <c r="C426" s="90" t="s">
        <v>535</v>
      </c>
      <c r="D426" s="92" t="s">
        <v>540</v>
      </c>
      <c r="E426" s="90" t="s">
        <v>912</v>
      </c>
      <c r="F426" s="90" t="s">
        <v>4633</v>
      </c>
      <c r="G426" s="92" t="s">
        <v>3751</v>
      </c>
      <c r="H426" s="89" t="s">
        <v>3841</v>
      </c>
      <c r="I426" s="90" t="s">
        <v>4634</v>
      </c>
      <c r="J426" s="89"/>
    </row>
    <row r="427" customFormat="false" ht="95.5" hidden="false" customHeight="false" outlineLevel="0" collapsed="false">
      <c r="A427" s="89" t="s">
        <v>21</v>
      </c>
      <c r="B427" s="89" t="s">
        <v>534</v>
      </c>
      <c r="C427" s="90" t="s">
        <v>535</v>
      </c>
      <c r="D427" s="92" t="s">
        <v>540</v>
      </c>
      <c r="E427" s="90" t="s">
        <v>4635</v>
      </c>
      <c r="F427" s="90" t="s">
        <v>4633</v>
      </c>
      <c r="G427" s="92" t="s">
        <v>3751</v>
      </c>
      <c r="H427" s="89" t="s">
        <v>3841</v>
      </c>
      <c r="I427" s="90" t="s">
        <v>4636</v>
      </c>
      <c r="J427" s="89"/>
    </row>
    <row r="428" customFormat="false" ht="28.35" hidden="false" customHeight="false" outlineLevel="0" collapsed="false">
      <c r="A428" s="89" t="s">
        <v>21</v>
      </c>
      <c r="B428" s="89" t="s">
        <v>1120</v>
      </c>
      <c r="C428" s="90" t="s">
        <v>1121</v>
      </c>
      <c r="D428" s="92" t="s">
        <v>1125</v>
      </c>
      <c r="E428" s="90" t="s">
        <v>284</v>
      </c>
      <c r="F428" s="90" t="s">
        <v>4637</v>
      </c>
      <c r="G428" s="92" t="s">
        <v>3397</v>
      </c>
      <c r="H428" s="89" t="s">
        <v>3837</v>
      </c>
      <c r="I428" s="90" t="s">
        <v>3838</v>
      </c>
      <c r="J428" s="89"/>
    </row>
    <row r="429" customFormat="false" ht="55.2" hidden="false" customHeight="false" outlineLevel="0" collapsed="false">
      <c r="A429" s="89" t="s">
        <v>21</v>
      </c>
      <c r="B429" s="89" t="s">
        <v>1120</v>
      </c>
      <c r="C429" s="90" t="s">
        <v>1121</v>
      </c>
      <c r="D429" s="92" t="s">
        <v>1125</v>
      </c>
      <c r="E429" s="90" t="s">
        <v>4638</v>
      </c>
      <c r="F429" s="90" t="s">
        <v>4639</v>
      </c>
      <c r="G429" s="92" t="s">
        <v>3751</v>
      </c>
      <c r="H429" s="89" t="s">
        <v>3841</v>
      </c>
      <c r="I429" s="90" t="s">
        <v>4640</v>
      </c>
      <c r="J429" s="89"/>
    </row>
    <row r="430" customFormat="false" ht="28.35" hidden="false" customHeight="false" outlineLevel="0" collapsed="false">
      <c r="A430" s="89" t="s">
        <v>21</v>
      </c>
      <c r="B430" s="89" t="s">
        <v>1126</v>
      </c>
      <c r="C430" s="90" t="s">
        <v>1128</v>
      </c>
      <c r="D430" s="92" t="s">
        <v>1130</v>
      </c>
      <c r="E430" s="90" t="s">
        <v>3859</v>
      </c>
      <c r="F430" s="90" t="s">
        <v>4641</v>
      </c>
      <c r="G430" s="92" t="s">
        <v>4642</v>
      </c>
      <c r="H430" s="89" t="s">
        <v>3862</v>
      </c>
      <c r="I430" s="90" t="s">
        <v>3863</v>
      </c>
      <c r="J430" s="89"/>
    </row>
    <row r="431" customFormat="false" ht="202.95" hidden="false" customHeight="false" outlineLevel="0" collapsed="false">
      <c r="A431" s="89" t="s">
        <v>21</v>
      </c>
      <c r="B431" s="89" t="s">
        <v>1126</v>
      </c>
      <c r="C431" s="90" t="s">
        <v>1128</v>
      </c>
      <c r="D431" s="92" t="s">
        <v>1130</v>
      </c>
      <c r="E431" s="90" t="s">
        <v>1024</v>
      </c>
      <c r="F431" s="90" t="s">
        <v>4414</v>
      </c>
      <c r="G431" s="92" t="s">
        <v>3558</v>
      </c>
      <c r="H431" s="89" t="s">
        <v>4088</v>
      </c>
      <c r="I431" s="90" t="s">
        <v>4643</v>
      </c>
      <c r="J431" s="92" t="s">
        <v>3751</v>
      </c>
    </row>
    <row r="432" customFormat="false" ht="41.75" hidden="false" customHeight="false" outlineLevel="0" collapsed="false">
      <c r="A432" s="89" t="s">
        <v>21</v>
      </c>
      <c r="B432" s="89" t="s">
        <v>74</v>
      </c>
      <c r="C432" s="90" t="s">
        <v>657</v>
      </c>
      <c r="D432" s="92" t="s">
        <v>658</v>
      </c>
      <c r="E432" s="90" t="s">
        <v>614</v>
      </c>
      <c r="F432" s="90" t="s">
        <v>4644</v>
      </c>
      <c r="G432" s="92" t="s">
        <v>4645</v>
      </c>
      <c r="H432" s="89" t="s">
        <v>3872</v>
      </c>
      <c r="I432" s="90" t="s">
        <v>3873</v>
      </c>
      <c r="J432" s="89"/>
    </row>
    <row r="433" customFormat="false" ht="28.35" hidden="false" customHeight="false" outlineLevel="0" collapsed="false">
      <c r="A433" s="89" t="s">
        <v>21</v>
      </c>
      <c r="B433" s="89" t="s">
        <v>74</v>
      </c>
      <c r="C433" s="90" t="s">
        <v>657</v>
      </c>
      <c r="D433" s="92" t="s">
        <v>658</v>
      </c>
      <c r="E433" s="90" t="s">
        <v>360</v>
      </c>
      <c r="F433" s="90" t="s">
        <v>4646</v>
      </c>
      <c r="G433" s="92" t="s">
        <v>2413</v>
      </c>
      <c r="H433" s="89" t="s">
        <v>4035</v>
      </c>
      <c r="I433" s="90" t="s">
        <v>4036</v>
      </c>
      <c r="J433" s="89"/>
    </row>
    <row r="434" customFormat="false" ht="41.75" hidden="false" customHeight="false" outlineLevel="0" collapsed="false">
      <c r="A434" s="89" t="s">
        <v>21</v>
      </c>
      <c r="B434" s="89" t="s">
        <v>1133</v>
      </c>
      <c r="C434" s="90" t="s">
        <v>1135</v>
      </c>
      <c r="D434" s="92" t="s">
        <v>1137</v>
      </c>
      <c r="E434" s="90" t="s">
        <v>912</v>
      </c>
      <c r="F434" s="90" t="s">
        <v>4391</v>
      </c>
      <c r="G434" s="92" t="s">
        <v>3751</v>
      </c>
      <c r="H434" s="89" t="s">
        <v>3841</v>
      </c>
      <c r="I434" s="90" t="s">
        <v>4647</v>
      </c>
      <c r="J434" s="89"/>
    </row>
    <row r="435" customFormat="false" ht="41.75" hidden="false" customHeight="false" outlineLevel="0" collapsed="false">
      <c r="A435" s="89" t="s">
        <v>21</v>
      </c>
      <c r="B435" s="89" t="s">
        <v>1133</v>
      </c>
      <c r="C435" s="90" t="s">
        <v>1135</v>
      </c>
      <c r="D435" s="92" t="s">
        <v>1137</v>
      </c>
      <c r="E435" s="90" t="s">
        <v>4393</v>
      </c>
      <c r="F435" s="90" t="s">
        <v>4391</v>
      </c>
      <c r="G435" s="92" t="s">
        <v>3751</v>
      </c>
      <c r="H435" s="89" t="s">
        <v>3841</v>
      </c>
      <c r="I435" s="90" t="s">
        <v>4648</v>
      </c>
      <c r="J435" s="89"/>
    </row>
    <row r="436" customFormat="false" ht="28.35" hidden="false" customHeight="false" outlineLevel="0" collapsed="false">
      <c r="A436" s="89" t="s">
        <v>21</v>
      </c>
      <c r="B436" s="89" t="s">
        <v>541</v>
      </c>
      <c r="C436" s="90" t="s">
        <v>543</v>
      </c>
      <c r="D436" s="92" t="s">
        <v>547</v>
      </c>
      <c r="E436" s="90" t="s">
        <v>3859</v>
      </c>
      <c r="F436" s="90" t="s">
        <v>4649</v>
      </c>
      <c r="G436" s="92" t="s">
        <v>4278</v>
      </c>
      <c r="H436" s="89" t="s">
        <v>3862</v>
      </c>
      <c r="I436" s="90" t="s">
        <v>3863</v>
      </c>
      <c r="J436" s="89"/>
    </row>
    <row r="437" customFormat="false" ht="202.95" hidden="false" customHeight="false" outlineLevel="0" collapsed="false">
      <c r="A437" s="89" t="s">
        <v>21</v>
      </c>
      <c r="B437" s="89" t="s">
        <v>541</v>
      </c>
      <c r="C437" s="90" t="s">
        <v>543</v>
      </c>
      <c r="D437" s="92" t="s">
        <v>547</v>
      </c>
      <c r="E437" s="90" t="s">
        <v>1024</v>
      </c>
      <c r="F437" s="90" t="s">
        <v>4414</v>
      </c>
      <c r="G437" s="92" t="s">
        <v>4650</v>
      </c>
      <c r="H437" s="89" t="s">
        <v>4088</v>
      </c>
      <c r="I437" s="90" t="s">
        <v>4651</v>
      </c>
      <c r="J437" s="92" t="s">
        <v>3751</v>
      </c>
    </row>
    <row r="438" customFormat="false" ht="28.35" hidden="false" customHeight="false" outlineLevel="0" collapsed="false">
      <c r="A438" s="89" t="s">
        <v>21</v>
      </c>
      <c r="B438" s="89" t="s">
        <v>541</v>
      </c>
      <c r="C438" s="90" t="s">
        <v>543</v>
      </c>
      <c r="D438" s="92" t="s">
        <v>547</v>
      </c>
      <c r="E438" s="90" t="s">
        <v>614</v>
      </c>
      <c r="F438" s="90" t="s">
        <v>4652</v>
      </c>
      <c r="G438" s="92" t="s">
        <v>4653</v>
      </c>
      <c r="H438" s="89" t="s">
        <v>3872</v>
      </c>
      <c r="I438" s="90" t="s">
        <v>3873</v>
      </c>
      <c r="J438" s="89"/>
    </row>
    <row r="439" customFormat="false" ht="28.35" hidden="false" customHeight="false" outlineLevel="0" collapsed="false">
      <c r="A439" s="89" t="s">
        <v>21</v>
      </c>
      <c r="B439" s="89" t="s">
        <v>548</v>
      </c>
      <c r="C439" s="90" t="s">
        <v>549</v>
      </c>
      <c r="D439" s="92" t="s">
        <v>551</v>
      </c>
      <c r="E439" s="90" t="s">
        <v>284</v>
      </c>
      <c r="F439" s="90" t="s">
        <v>4654</v>
      </c>
      <c r="G439" s="92" t="s">
        <v>4655</v>
      </c>
      <c r="H439" s="89" t="s">
        <v>3876</v>
      </c>
      <c r="I439" s="90" t="s">
        <v>3877</v>
      </c>
      <c r="J439" s="89"/>
    </row>
    <row r="440" customFormat="false" ht="41.75" hidden="false" customHeight="false" outlineLevel="0" collapsed="false">
      <c r="A440" s="89" t="s">
        <v>21</v>
      </c>
      <c r="B440" s="89" t="s">
        <v>1140</v>
      </c>
      <c r="C440" s="90" t="s">
        <v>1142</v>
      </c>
      <c r="D440" s="92" t="s">
        <v>1145</v>
      </c>
      <c r="E440" s="90" t="s">
        <v>3859</v>
      </c>
      <c r="F440" s="90" t="s">
        <v>4656</v>
      </c>
      <c r="G440" s="92" t="s">
        <v>4657</v>
      </c>
      <c r="H440" s="89" t="s">
        <v>3862</v>
      </c>
      <c r="I440" s="90" t="s">
        <v>3863</v>
      </c>
      <c r="J440" s="89"/>
    </row>
    <row r="441" customFormat="false" ht="15" hidden="false" customHeight="false" outlineLevel="0" collapsed="false">
      <c r="A441" s="89" t="s">
        <v>21</v>
      </c>
      <c r="B441" s="89" t="s">
        <v>552</v>
      </c>
      <c r="C441" s="90" t="s">
        <v>553</v>
      </c>
      <c r="D441" s="92" t="s">
        <v>555</v>
      </c>
      <c r="E441" s="90" t="s">
        <v>284</v>
      </c>
      <c r="F441" s="90" t="s">
        <v>4658</v>
      </c>
      <c r="G441" s="92" t="s">
        <v>4171</v>
      </c>
      <c r="H441" s="89" t="s">
        <v>3876</v>
      </c>
      <c r="I441" s="90" t="s">
        <v>3877</v>
      </c>
      <c r="J441" s="89"/>
    </row>
    <row r="442" customFormat="false" ht="41.75" hidden="false" customHeight="false" outlineLevel="0" collapsed="false">
      <c r="A442" s="89" t="s">
        <v>21</v>
      </c>
      <c r="B442" s="89" t="s">
        <v>910</v>
      </c>
      <c r="C442" s="90" t="s">
        <v>596</v>
      </c>
      <c r="D442" s="92" t="s">
        <v>913</v>
      </c>
      <c r="E442" s="90" t="s">
        <v>912</v>
      </c>
      <c r="F442" s="90" t="s">
        <v>4659</v>
      </c>
      <c r="G442" s="92" t="s">
        <v>3751</v>
      </c>
      <c r="H442" s="89" t="s">
        <v>3841</v>
      </c>
      <c r="I442" s="90" t="s">
        <v>4660</v>
      </c>
      <c r="J442" s="89"/>
    </row>
    <row r="443" customFormat="false" ht="82.05" hidden="false" customHeight="false" outlineLevel="0" collapsed="false">
      <c r="A443" s="89" t="s">
        <v>21</v>
      </c>
      <c r="B443" s="89" t="s">
        <v>910</v>
      </c>
      <c r="C443" s="90" t="s">
        <v>596</v>
      </c>
      <c r="D443" s="92" t="s">
        <v>913</v>
      </c>
      <c r="E443" s="90" t="s">
        <v>4661</v>
      </c>
      <c r="F443" s="90" t="s">
        <v>4659</v>
      </c>
      <c r="G443" s="92" t="s">
        <v>3751</v>
      </c>
      <c r="H443" s="89" t="s">
        <v>3841</v>
      </c>
      <c r="I443" s="90" t="s">
        <v>4662</v>
      </c>
      <c r="J443" s="89"/>
    </row>
    <row r="444" customFormat="false" ht="28.35" hidden="false" customHeight="false" outlineLevel="0" collapsed="false">
      <c r="A444" s="89" t="s">
        <v>21</v>
      </c>
      <c r="B444" s="89" t="s">
        <v>754</v>
      </c>
      <c r="C444" s="90" t="s">
        <v>756</v>
      </c>
      <c r="D444" s="92" t="s">
        <v>758</v>
      </c>
      <c r="E444" s="90" t="s">
        <v>614</v>
      </c>
      <c r="F444" s="90" t="s">
        <v>4663</v>
      </c>
      <c r="G444" s="92" t="s">
        <v>3763</v>
      </c>
      <c r="H444" s="89" t="s">
        <v>4067</v>
      </c>
      <c r="I444" s="90" t="s">
        <v>4068</v>
      </c>
      <c r="J444" s="89"/>
    </row>
    <row r="445" customFormat="false" ht="28.35" hidden="false" customHeight="false" outlineLevel="0" collapsed="false">
      <c r="A445" s="89" t="s">
        <v>21</v>
      </c>
      <c r="B445" s="89" t="s">
        <v>665</v>
      </c>
      <c r="C445" s="90" t="s">
        <v>667</v>
      </c>
      <c r="D445" s="92" t="s">
        <v>670</v>
      </c>
      <c r="E445" s="90" t="s">
        <v>3859</v>
      </c>
      <c r="F445" s="90" t="s">
        <v>4664</v>
      </c>
      <c r="G445" s="92" t="s">
        <v>4665</v>
      </c>
      <c r="H445" s="89" t="s">
        <v>3862</v>
      </c>
      <c r="I445" s="90" t="s">
        <v>3863</v>
      </c>
      <c r="J445" s="89"/>
    </row>
    <row r="446" customFormat="false" ht="55.2" hidden="false" customHeight="false" outlineLevel="0" collapsed="false">
      <c r="A446" s="89" t="s">
        <v>21</v>
      </c>
      <c r="B446" s="89" t="s">
        <v>665</v>
      </c>
      <c r="C446" s="90" t="s">
        <v>667</v>
      </c>
      <c r="D446" s="92" t="s">
        <v>670</v>
      </c>
      <c r="E446" s="90" t="s">
        <v>912</v>
      </c>
      <c r="F446" s="90" t="s">
        <v>4468</v>
      </c>
      <c r="G446" s="92" t="s">
        <v>3751</v>
      </c>
      <c r="H446" s="89" t="s">
        <v>3841</v>
      </c>
      <c r="I446" s="90" t="s">
        <v>4666</v>
      </c>
      <c r="J446" s="89"/>
    </row>
    <row r="447" customFormat="false" ht="122.35" hidden="false" customHeight="false" outlineLevel="0" collapsed="false">
      <c r="A447" s="89" t="s">
        <v>21</v>
      </c>
      <c r="B447" s="89" t="s">
        <v>665</v>
      </c>
      <c r="C447" s="90" t="s">
        <v>667</v>
      </c>
      <c r="D447" s="92" t="s">
        <v>670</v>
      </c>
      <c r="E447" s="90" t="s">
        <v>4667</v>
      </c>
      <c r="F447" s="90" t="s">
        <v>4468</v>
      </c>
      <c r="G447" s="92" t="s">
        <v>4668</v>
      </c>
      <c r="H447" s="89" t="s">
        <v>3868</v>
      </c>
      <c r="I447" s="90" t="s">
        <v>4669</v>
      </c>
      <c r="J447" s="92" t="s">
        <v>3751</v>
      </c>
    </row>
    <row r="448" customFormat="false" ht="41.75" hidden="false" customHeight="false" outlineLevel="0" collapsed="false">
      <c r="A448" s="89" t="s">
        <v>21</v>
      </c>
      <c r="B448" s="89" t="s">
        <v>665</v>
      </c>
      <c r="C448" s="90" t="s">
        <v>667</v>
      </c>
      <c r="D448" s="92" t="s">
        <v>670</v>
      </c>
      <c r="E448" s="90" t="s">
        <v>614</v>
      </c>
      <c r="F448" s="90" t="s">
        <v>4670</v>
      </c>
      <c r="G448" s="92" t="s">
        <v>4671</v>
      </c>
      <c r="H448" s="89" t="s">
        <v>3872</v>
      </c>
      <c r="I448" s="90" t="s">
        <v>3873</v>
      </c>
      <c r="J448" s="89"/>
    </row>
    <row r="449" customFormat="false" ht="41.75" hidden="false" customHeight="false" outlineLevel="0" collapsed="false">
      <c r="A449" s="89" t="s">
        <v>21</v>
      </c>
      <c r="B449" s="89" t="s">
        <v>671</v>
      </c>
      <c r="C449" s="90" t="s">
        <v>673</v>
      </c>
      <c r="D449" s="92" t="s">
        <v>675</v>
      </c>
      <c r="E449" s="90" t="s">
        <v>1158</v>
      </c>
      <c r="F449" s="90" t="s">
        <v>4672</v>
      </c>
      <c r="G449" s="92" t="s">
        <v>3751</v>
      </c>
      <c r="H449" s="89" t="s">
        <v>3841</v>
      </c>
      <c r="I449" s="90" t="s">
        <v>4673</v>
      </c>
      <c r="J449" s="89"/>
    </row>
    <row r="450" customFormat="false" ht="202.95" hidden="false" customHeight="false" outlineLevel="0" collapsed="false">
      <c r="A450" s="89" t="s">
        <v>21</v>
      </c>
      <c r="B450" s="89" t="s">
        <v>1159</v>
      </c>
      <c r="C450" s="90" t="s">
        <v>1161</v>
      </c>
      <c r="D450" s="92" t="s">
        <v>1164</v>
      </c>
      <c r="E450" s="90" t="s">
        <v>1024</v>
      </c>
      <c r="F450" s="90" t="s">
        <v>4414</v>
      </c>
      <c r="G450" s="92" t="s">
        <v>4674</v>
      </c>
      <c r="H450" s="89" t="s">
        <v>4088</v>
      </c>
      <c r="I450" s="90" t="s">
        <v>4675</v>
      </c>
      <c r="J450" s="92" t="s">
        <v>3751</v>
      </c>
    </row>
    <row r="451" customFormat="false" ht="41.75" hidden="false" customHeight="false" outlineLevel="0" collapsed="false">
      <c r="A451" s="89" t="s">
        <v>21</v>
      </c>
      <c r="B451" s="89" t="s">
        <v>1159</v>
      </c>
      <c r="C451" s="90" t="s">
        <v>1161</v>
      </c>
      <c r="D451" s="92" t="s">
        <v>1164</v>
      </c>
      <c r="E451" s="90" t="s">
        <v>614</v>
      </c>
      <c r="F451" s="90" t="s">
        <v>4676</v>
      </c>
      <c r="G451" s="92" t="s">
        <v>4677</v>
      </c>
      <c r="H451" s="89" t="s">
        <v>3872</v>
      </c>
      <c r="I451" s="90" t="s">
        <v>3873</v>
      </c>
      <c r="J451" s="89"/>
    </row>
    <row r="452" customFormat="false" ht="28.35" hidden="false" customHeight="false" outlineLevel="0" collapsed="false">
      <c r="A452" s="89" t="s">
        <v>21</v>
      </c>
      <c r="B452" s="89" t="s">
        <v>1165</v>
      </c>
      <c r="C452" s="90" t="s">
        <v>1167</v>
      </c>
      <c r="D452" s="92" t="s">
        <v>1171</v>
      </c>
      <c r="E452" s="90" t="s">
        <v>3859</v>
      </c>
      <c r="F452" s="90" t="s">
        <v>4678</v>
      </c>
      <c r="G452" s="92" t="s">
        <v>4679</v>
      </c>
      <c r="H452" s="89" t="s">
        <v>3862</v>
      </c>
      <c r="I452" s="90" t="s">
        <v>3863</v>
      </c>
      <c r="J452" s="89"/>
    </row>
    <row r="453" customFormat="false" ht="68.65" hidden="false" customHeight="false" outlineLevel="0" collapsed="false">
      <c r="A453" s="89" t="s">
        <v>21</v>
      </c>
      <c r="B453" s="89" t="s">
        <v>1165</v>
      </c>
      <c r="C453" s="90" t="s">
        <v>1167</v>
      </c>
      <c r="D453" s="92" t="s">
        <v>1171</v>
      </c>
      <c r="E453" s="90" t="s">
        <v>912</v>
      </c>
      <c r="F453" s="90" t="s">
        <v>4391</v>
      </c>
      <c r="G453" s="92" t="s">
        <v>4680</v>
      </c>
      <c r="H453" s="89" t="s">
        <v>4088</v>
      </c>
      <c r="I453" s="90" t="s">
        <v>4681</v>
      </c>
      <c r="J453" s="92" t="s">
        <v>3751</v>
      </c>
    </row>
    <row r="454" customFormat="false" ht="202.95" hidden="false" customHeight="false" outlineLevel="0" collapsed="false">
      <c r="A454" s="89" t="s">
        <v>21</v>
      </c>
      <c r="B454" s="89" t="s">
        <v>1165</v>
      </c>
      <c r="C454" s="90" t="s">
        <v>1167</v>
      </c>
      <c r="D454" s="92" t="s">
        <v>1171</v>
      </c>
      <c r="E454" s="90" t="s">
        <v>1024</v>
      </c>
      <c r="F454" s="90" t="s">
        <v>4391</v>
      </c>
      <c r="G454" s="92" t="s">
        <v>4680</v>
      </c>
      <c r="H454" s="89" t="s">
        <v>4088</v>
      </c>
      <c r="I454" s="90" t="s">
        <v>4682</v>
      </c>
      <c r="J454" s="92" t="s">
        <v>3751</v>
      </c>
    </row>
    <row r="455" customFormat="false" ht="41.75" hidden="false" customHeight="false" outlineLevel="0" collapsed="false">
      <c r="A455" s="89" t="s">
        <v>21</v>
      </c>
      <c r="B455" s="89" t="s">
        <v>1172</v>
      </c>
      <c r="C455" s="90" t="s">
        <v>1174</v>
      </c>
      <c r="D455" s="92" t="s">
        <v>1176</v>
      </c>
      <c r="E455" s="90" t="s">
        <v>360</v>
      </c>
      <c r="F455" s="90" t="s">
        <v>4683</v>
      </c>
      <c r="G455" s="92" t="s">
        <v>4684</v>
      </c>
      <c r="H455" s="89" t="s">
        <v>3892</v>
      </c>
      <c r="I455" s="90" t="s">
        <v>3893</v>
      </c>
      <c r="J455" s="89"/>
    </row>
    <row r="456" customFormat="false" ht="55.2" hidden="false" customHeight="false" outlineLevel="0" collapsed="false">
      <c r="A456" s="89" t="s">
        <v>21</v>
      </c>
      <c r="B456" s="89" t="s">
        <v>604</v>
      </c>
      <c r="C456" s="90" t="s">
        <v>606</v>
      </c>
      <c r="D456" s="92" t="s">
        <v>611</v>
      </c>
      <c r="E456" s="90" t="s">
        <v>912</v>
      </c>
      <c r="F456" s="90" t="s">
        <v>4461</v>
      </c>
      <c r="G456" s="92" t="s">
        <v>3751</v>
      </c>
      <c r="H456" s="89" t="s">
        <v>3841</v>
      </c>
      <c r="I456" s="90" t="s">
        <v>4685</v>
      </c>
      <c r="J456" s="89"/>
    </row>
    <row r="457" customFormat="false" ht="135.8" hidden="false" customHeight="false" outlineLevel="0" collapsed="false">
      <c r="A457" s="89" t="s">
        <v>21</v>
      </c>
      <c r="B457" s="89" t="s">
        <v>604</v>
      </c>
      <c r="C457" s="90" t="s">
        <v>606</v>
      </c>
      <c r="D457" s="92" t="s">
        <v>611</v>
      </c>
      <c r="E457" s="90" t="s">
        <v>4686</v>
      </c>
      <c r="F457" s="90" t="s">
        <v>4461</v>
      </c>
      <c r="G457" s="92" t="s">
        <v>4687</v>
      </c>
      <c r="H457" s="89" t="s">
        <v>3868</v>
      </c>
      <c r="I457" s="90" t="s">
        <v>4688</v>
      </c>
      <c r="J457" s="92" t="s">
        <v>3751</v>
      </c>
    </row>
    <row r="458" customFormat="false" ht="41.75" hidden="false" customHeight="false" outlineLevel="0" collapsed="false">
      <c r="A458" s="89" t="s">
        <v>235</v>
      </c>
      <c r="B458" s="89" t="s">
        <v>1180</v>
      </c>
      <c r="C458" s="90" t="s">
        <v>1182</v>
      </c>
      <c r="D458" s="92" t="s">
        <v>1184</v>
      </c>
      <c r="E458" s="90" t="s">
        <v>614</v>
      </c>
      <c r="F458" s="90" t="s">
        <v>4689</v>
      </c>
      <c r="G458" s="92" t="s">
        <v>4690</v>
      </c>
      <c r="H458" s="89" t="s">
        <v>4029</v>
      </c>
      <c r="I458" s="90" t="s">
        <v>4030</v>
      </c>
      <c r="J458" s="89"/>
    </row>
    <row r="459" customFormat="false" ht="41.75" hidden="false" customHeight="false" outlineLevel="0" collapsed="false">
      <c r="A459" s="89" t="s">
        <v>235</v>
      </c>
      <c r="B459" s="89" t="s">
        <v>1185</v>
      </c>
      <c r="C459" s="90" t="s">
        <v>1187</v>
      </c>
      <c r="D459" s="92" t="s">
        <v>1189</v>
      </c>
      <c r="E459" s="90" t="s">
        <v>614</v>
      </c>
      <c r="F459" s="90" t="s">
        <v>4691</v>
      </c>
      <c r="G459" s="92" t="s">
        <v>4692</v>
      </c>
      <c r="H459" s="89" t="s">
        <v>3872</v>
      </c>
      <c r="I459" s="90" t="s">
        <v>3873</v>
      </c>
      <c r="J459" s="89"/>
    </row>
    <row r="460" customFormat="false" ht="41.75" hidden="false" customHeight="false" outlineLevel="0" collapsed="false">
      <c r="A460" s="89" t="s">
        <v>235</v>
      </c>
      <c r="B460" s="89" t="s">
        <v>967</v>
      </c>
      <c r="C460" s="90" t="s">
        <v>969</v>
      </c>
      <c r="D460" s="92" t="s">
        <v>974</v>
      </c>
      <c r="E460" s="90" t="s">
        <v>614</v>
      </c>
      <c r="F460" s="90" t="s">
        <v>4693</v>
      </c>
      <c r="G460" s="92" t="s">
        <v>4694</v>
      </c>
      <c r="H460" s="89" t="s">
        <v>4029</v>
      </c>
      <c r="I460" s="90" t="s">
        <v>4030</v>
      </c>
      <c r="J460" s="89"/>
    </row>
    <row r="461" customFormat="false" ht="28.35" hidden="false" customHeight="false" outlineLevel="0" collapsed="false">
      <c r="A461" s="89" t="s">
        <v>235</v>
      </c>
      <c r="B461" s="89" t="s">
        <v>388</v>
      </c>
      <c r="C461" s="90" t="s">
        <v>390</v>
      </c>
      <c r="D461" s="92" t="s">
        <v>393</v>
      </c>
      <c r="E461" s="90" t="s">
        <v>614</v>
      </c>
      <c r="F461" s="90" t="s">
        <v>4695</v>
      </c>
      <c r="G461" s="92" t="s">
        <v>4696</v>
      </c>
      <c r="H461" s="89" t="s">
        <v>3872</v>
      </c>
      <c r="I461" s="90" t="s">
        <v>3873</v>
      </c>
      <c r="J461" s="89"/>
    </row>
    <row r="462" customFormat="false" ht="28.35" hidden="false" customHeight="false" outlineLevel="0" collapsed="false">
      <c r="A462" s="89" t="s">
        <v>235</v>
      </c>
      <c r="B462" s="89" t="s">
        <v>289</v>
      </c>
      <c r="C462" s="90" t="s">
        <v>290</v>
      </c>
      <c r="D462" s="92" t="s">
        <v>294</v>
      </c>
      <c r="E462" s="90" t="s">
        <v>284</v>
      </c>
      <c r="F462" s="90" t="s">
        <v>4697</v>
      </c>
      <c r="G462" s="92" t="s">
        <v>4698</v>
      </c>
      <c r="H462" s="89" t="s">
        <v>3876</v>
      </c>
      <c r="I462" s="90" t="s">
        <v>3877</v>
      </c>
      <c r="J462" s="89"/>
    </row>
    <row r="463" customFormat="false" ht="41.75" hidden="false" customHeight="false" outlineLevel="0" collapsed="false">
      <c r="A463" s="89" t="s">
        <v>235</v>
      </c>
      <c r="B463" s="89" t="s">
        <v>1194</v>
      </c>
      <c r="C463" s="90" t="s">
        <v>1196</v>
      </c>
      <c r="D463" s="92" t="s">
        <v>1198</v>
      </c>
      <c r="E463" s="90" t="s">
        <v>614</v>
      </c>
      <c r="F463" s="90" t="s">
        <v>4699</v>
      </c>
      <c r="G463" s="92" t="s">
        <v>3135</v>
      </c>
      <c r="H463" s="89" t="s">
        <v>3872</v>
      </c>
      <c r="I463" s="90" t="s">
        <v>3873</v>
      </c>
      <c r="J463" s="89"/>
    </row>
    <row r="464" customFormat="false" ht="28.35" hidden="false" customHeight="false" outlineLevel="0" collapsed="false">
      <c r="A464" s="89" t="s">
        <v>235</v>
      </c>
      <c r="B464" s="89" t="s">
        <v>1199</v>
      </c>
      <c r="C464" s="90" t="s">
        <v>1201</v>
      </c>
      <c r="D464" s="92" t="s">
        <v>1203</v>
      </c>
      <c r="E464" s="90" t="s">
        <v>360</v>
      </c>
      <c r="F464" s="90" t="s">
        <v>4700</v>
      </c>
      <c r="G464" s="92" t="s">
        <v>4701</v>
      </c>
      <c r="H464" s="89" t="s">
        <v>4035</v>
      </c>
      <c r="I464" s="90" t="s">
        <v>4036</v>
      </c>
      <c r="J464" s="89"/>
    </row>
    <row r="465" customFormat="false" ht="41.75" hidden="false" customHeight="false" outlineLevel="0" collapsed="false">
      <c r="A465" s="89" t="s">
        <v>235</v>
      </c>
      <c r="B465" s="89" t="s">
        <v>401</v>
      </c>
      <c r="C465" s="90" t="s">
        <v>403</v>
      </c>
      <c r="D465" s="92" t="s">
        <v>407</v>
      </c>
      <c r="E465" s="90" t="s">
        <v>614</v>
      </c>
      <c r="F465" s="90" t="s">
        <v>4702</v>
      </c>
      <c r="G465" s="92" t="s">
        <v>4703</v>
      </c>
      <c r="H465" s="89" t="s">
        <v>3872</v>
      </c>
      <c r="I465" s="90" t="s">
        <v>3873</v>
      </c>
      <c r="J465" s="89"/>
    </row>
    <row r="466" customFormat="false" ht="28.35" hidden="false" customHeight="false" outlineLevel="0" collapsed="false">
      <c r="A466" s="89" t="s">
        <v>235</v>
      </c>
      <c r="B466" s="89" t="s">
        <v>419</v>
      </c>
      <c r="C466" s="90" t="s">
        <v>421</v>
      </c>
      <c r="D466" s="92" t="s">
        <v>425</v>
      </c>
      <c r="E466" s="90" t="s">
        <v>360</v>
      </c>
      <c r="F466" s="90" t="s">
        <v>4704</v>
      </c>
      <c r="G466" s="92" t="s">
        <v>4705</v>
      </c>
      <c r="H466" s="89" t="s">
        <v>4035</v>
      </c>
      <c r="I466" s="90" t="s">
        <v>4036</v>
      </c>
      <c r="J466" s="89"/>
    </row>
    <row r="467" customFormat="false" ht="28.35" hidden="false" customHeight="false" outlineLevel="0" collapsed="false">
      <c r="A467" s="89" t="s">
        <v>235</v>
      </c>
      <c r="B467" s="89" t="s">
        <v>1208</v>
      </c>
      <c r="C467" s="90" t="s">
        <v>1209</v>
      </c>
      <c r="D467" s="92" t="s">
        <v>1210</v>
      </c>
      <c r="E467" s="90" t="s">
        <v>284</v>
      </c>
      <c r="F467" s="90" t="s">
        <v>4706</v>
      </c>
      <c r="G467" s="92" t="s">
        <v>4707</v>
      </c>
      <c r="H467" s="89" t="s">
        <v>3876</v>
      </c>
      <c r="I467" s="90" t="s">
        <v>3877</v>
      </c>
      <c r="J467" s="89"/>
    </row>
    <row r="468" customFormat="false" ht="28.35" hidden="false" customHeight="false" outlineLevel="0" collapsed="false">
      <c r="A468" s="89" t="s">
        <v>235</v>
      </c>
      <c r="B468" s="89" t="s">
        <v>1211</v>
      </c>
      <c r="C468" s="90" t="s">
        <v>1213</v>
      </c>
      <c r="D468" s="92" t="s">
        <v>1215</v>
      </c>
      <c r="E468" s="90" t="s">
        <v>614</v>
      </c>
      <c r="F468" s="90" t="s">
        <v>4708</v>
      </c>
      <c r="G468" s="92" t="s">
        <v>4709</v>
      </c>
      <c r="H468" s="89" t="s">
        <v>4029</v>
      </c>
      <c r="I468" s="90" t="s">
        <v>4030</v>
      </c>
      <c r="J468" s="89"/>
    </row>
    <row r="469" customFormat="false" ht="28.35" hidden="false" customHeight="false" outlineLevel="0" collapsed="false">
      <c r="A469" s="89" t="s">
        <v>235</v>
      </c>
      <c r="B469" s="89" t="s">
        <v>483</v>
      </c>
      <c r="C469" s="90" t="s">
        <v>485</v>
      </c>
      <c r="D469" s="92" t="s">
        <v>490</v>
      </c>
      <c r="E469" s="90" t="s">
        <v>614</v>
      </c>
      <c r="F469" s="90" t="s">
        <v>4710</v>
      </c>
      <c r="G469" s="92" t="s">
        <v>4711</v>
      </c>
      <c r="H469" s="89" t="s">
        <v>4029</v>
      </c>
      <c r="I469" s="90" t="s">
        <v>4030</v>
      </c>
      <c r="J469" s="89"/>
    </row>
    <row r="470" customFormat="false" ht="28.35" hidden="false" customHeight="false" outlineLevel="0" collapsed="false">
      <c r="A470" s="89" t="s">
        <v>235</v>
      </c>
      <c r="B470" s="89" t="s">
        <v>483</v>
      </c>
      <c r="C470" s="90" t="s">
        <v>485</v>
      </c>
      <c r="D470" s="92" t="s">
        <v>490</v>
      </c>
      <c r="E470" s="90" t="s">
        <v>360</v>
      </c>
      <c r="F470" s="90" t="s">
        <v>4712</v>
      </c>
      <c r="G470" s="92" t="s">
        <v>4713</v>
      </c>
      <c r="H470" s="89" t="s">
        <v>3892</v>
      </c>
      <c r="I470" s="90" t="s">
        <v>3893</v>
      </c>
      <c r="J470" s="89"/>
    </row>
    <row r="471" customFormat="false" ht="41.75" hidden="false" customHeight="false" outlineLevel="0" collapsed="false">
      <c r="A471" s="89" t="s">
        <v>235</v>
      </c>
      <c r="B471" s="89" t="s">
        <v>819</v>
      </c>
      <c r="C471" s="90" t="s">
        <v>821</v>
      </c>
      <c r="D471" s="92" t="s">
        <v>823</v>
      </c>
      <c r="E471" s="90" t="s">
        <v>614</v>
      </c>
      <c r="F471" s="90" t="s">
        <v>4714</v>
      </c>
      <c r="G471" s="92" t="s">
        <v>4715</v>
      </c>
      <c r="H471" s="89" t="s">
        <v>4029</v>
      </c>
      <c r="I471" s="90" t="s">
        <v>4030</v>
      </c>
      <c r="J471" s="89"/>
    </row>
    <row r="472" customFormat="false" ht="28.35" hidden="false" customHeight="false" outlineLevel="0" collapsed="false">
      <c r="A472" s="89" t="s">
        <v>235</v>
      </c>
      <c r="B472" s="89" t="s">
        <v>1220</v>
      </c>
      <c r="C472" s="90" t="s">
        <v>1222</v>
      </c>
      <c r="D472" s="92" t="s">
        <v>1224</v>
      </c>
      <c r="E472" s="90" t="s">
        <v>614</v>
      </c>
      <c r="F472" s="90" t="s">
        <v>4716</v>
      </c>
      <c r="G472" s="92" t="s">
        <v>4717</v>
      </c>
      <c r="H472" s="89" t="s">
        <v>3872</v>
      </c>
      <c r="I472" s="90" t="s">
        <v>3873</v>
      </c>
      <c r="J472" s="89"/>
    </row>
    <row r="473" customFormat="false" ht="28.35" hidden="false" customHeight="false" outlineLevel="0" collapsed="false">
      <c r="A473" s="89" t="s">
        <v>235</v>
      </c>
      <c r="B473" s="89" t="s">
        <v>1225</v>
      </c>
      <c r="C473" s="90" t="s">
        <v>1227</v>
      </c>
      <c r="D473" s="92" t="s">
        <v>1229</v>
      </c>
      <c r="E473" s="90" t="s">
        <v>614</v>
      </c>
      <c r="F473" s="90" t="s">
        <v>4718</v>
      </c>
      <c r="G473" s="92" t="s">
        <v>4719</v>
      </c>
      <c r="H473" s="89" t="s">
        <v>4029</v>
      </c>
      <c r="I473" s="90" t="s">
        <v>4030</v>
      </c>
      <c r="J473" s="89"/>
    </row>
    <row r="474" customFormat="false" ht="28.35" hidden="false" customHeight="false" outlineLevel="0" collapsed="false">
      <c r="A474" s="89" t="s">
        <v>235</v>
      </c>
      <c r="B474" s="89" t="s">
        <v>556</v>
      </c>
      <c r="C474" s="90" t="s">
        <v>558</v>
      </c>
      <c r="D474" s="92" t="s">
        <v>562</v>
      </c>
      <c r="E474" s="90" t="s">
        <v>360</v>
      </c>
      <c r="F474" s="90" t="s">
        <v>4720</v>
      </c>
      <c r="G474" s="92" t="s">
        <v>4721</v>
      </c>
      <c r="H474" s="89" t="s">
        <v>3892</v>
      </c>
      <c r="I474" s="90" t="s">
        <v>3893</v>
      </c>
      <c r="J474" s="89"/>
    </row>
    <row r="475" customFormat="false" ht="28.35" hidden="false" customHeight="false" outlineLevel="0" collapsed="false">
      <c r="A475" s="89" t="s">
        <v>235</v>
      </c>
      <c r="B475" s="89" t="s">
        <v>665</v>
      </c>
      <c r="C475" s="90" t="s">
        <v>667</v>
      </c>
      <c r="D475" s="92" t="s">
        <v>670</v>
      </c>
      <c r="E475" s="90" t="s">
        <v>284</v>
      </c>
      <c r="F475" s="90" t="s">
        <v>4722</v>
      </c>
      <c r="G475" s="92" t="s">
        <v>4723</v>
      </c>
      <c r="H475" s="89" t="s">
        <v>3837</v>
      </c>
      <c r="I475" s="90" t="s">
        <v>3838</v>
      </c>
      <c r="J475" s="89"/>
    </row>
    <row r="476" customFormat="false" ht="41.75" hidden="false" customHeight="false" outlineLevel="0" collapsed="false">
      <c r="A476" s="89" t="s">
        <v>235</v>
      </c>
      <c r="B476" s="89" t="s">
        <v>665</v>
      </c>
      <c r="C476" s="90" t="s">
        <v>667</v>
      </c>
      <c r="D476" s="92" t="s">
        <v>670</v>
      </c>
      <c r="E476" s="90" t="s">
        <v>614</v>
      </c>
      <c r="F476" s="90" t="s">
        <v>4724</v>
      </c>
      <c r="G476" s="92" t="s">
        <v>4725</v>
      </c>
      <c r="H476" s="89" t="s">
        <v>3872</v>
      </c>
      <c r="I476" s="90" t="s">
        <v>3873</v>
      </c>
      <c r="J476" s="89"/>
    </row>
    <row r="477" customFormat="false" ht="41.75" hidden="false" customHeight="false" outlineLevel="0" collapsed="false">
      <c r="A477" s="89" t="s">
        <v>235</v>
      </c>
      <c r="B477" s="89" t="s">
        <v>671</v>
      </c>
      <c r="C477" s="90" t="s">
        <v>673</v>
      </c>
      <c r="D477" s="92" t="s">
        <v>675</v>
      </c>
      <c r="E477" s="90" t="s">
        <v>614</v>
      </c>
      <c r="F477" s="90" t="s">
        <v>4726</v>
      </c>
      <c r="G477" s="92" t="s">
        <v>4727</v>
      </c>
      <c r="H477" s="89" t="s">
        <v>3872</v>
      </c>
      <c r="I477" s="90" t="s">
        <v>3873</v>
      </c>
      <c r="J477" s="89"/>
    </row>
    <row r="478" customFormat="false" ht="28.35" hidden="false" customHeight="false" outlineLevel="0" collapsed="false">
      <c r="A478" s="89" t="s">
        <v>235</v>
      </c>
      <c r="B478" s="89" t="s">
        <v>671</v>
      </c>
      <c r="C478" s="90" t="s">
        <v>673</v>
      </c>
      <c r="D478" s="92" t="s">
        <v>675</v>
      </c>
      <c r="E478" s="90" t="s">
        <v>360</v>
      </c>
      <c r="F478" s="90" t="s">
        <v>4728</v>
      </c>
      <c r="G478" s="92" t="s">
        <v>4729</v>
      </c>
      <c r="H478" s="89" t="s">
        <v>4035</v>
      </c>
      <c r="I478" s="90" t="s">
        <v>4036</v>
      </c>
      <c r="J478" s="89"/>
    </row>
    <row r="479" customFormat="false" ht="28.35" hidden="false" customHeight="false" outlineLevel="0" collapsed="false">
      <c r="A479" s="89" t="s">
        <v>235</v>
      </c>
      <c r="B479" s="89" t="s">
        <v>676</v>
      </c>
      <c r="C479" s="90" t="s">
        <v>678</v>
      </c>
      <c r="D479" s="92" t="s">
        <v>680</v>
      </c>
      <c r="E479" s="90" t="s">
        <v>360</v>
      </c>
      <c r="F479" s="90" t="s">
        <v>4730</v>
      </c>
      <c r="G479" s="92" t="s">
        <v>4731</v>
      </c>
      <c r="H479" s="89" t="s">
        <v>4035</v>
      </c>
      <c r="I479" s="90" t="s">
        <v>4036</v>
      </c>
      <c r="J479" s="89"/>
    </row>
    <row r="480" customFormat="false" ht="28.35" hidden="false" customHeight="false" outlineLevel="0" collapsed="false">
      <c r="A480" s="89" t="s">
        <v>236</v>
      </c>
      <c r="B480" s="89" t="s">
        <v>338</v>
      </c>
      <c r="C480" s="90" t="s">
        <v>340</v>
      </c>
      <c r="D480" s="92" t="s">
        <v>345</v>
      </c>
      <c r="E480" s="90" t="s">
        <v>284</v>
      </c>
      <c r="F480" s="90" t="s">
        <v>4732</v>
      </c>
      <c r="G480" s="92" t="s">
        <v>4733</v>
      </c>
      <c r="H480" s="89" t="s">
        <v>3837</v>
      </c>
      <c r="I480" s="90" t="s">
        <v>3838</v>
      </c>
      <c r="J480" s="89"/>
    </row>
    <row r="481" customFormat="false" ht="28.35" hidden="false" customHeight="false" outlineLevel="0" collapsed="false">
      <c r="A481" s="89" t="s">
        <v>236</v>
      </c>
      <c r="B481" s="89" t="s">
        <v>338</v>
      </c>
      <c r="C481" s="90" t="s">
        <v>340</v>
      </c>
      <c r="D481" s="92" t="s">
        <v>345</v>
      </c>
      <c r="E481" s="90" t="s">
        <v>3859</v>
      </c>
      <c r="F481" s="90" t="s">
        <v>4734</v>
      </c>
      <c r="G481" s="92" t="s">
        <v>4735</v>
      </c>
      <c r="H481" s="89" t="s">
        <v>3862</v>
      </c>
      <c r="I481" s="90" t="s">
        <v>3863</v>
      </c>
      <c r="J481" s="89"/>
    </row>
    <row r="482" customFormat="false" ht="41.75" hidden="false" customHeight="false" outlineLevel="0" collapsed="false">
      <c r="A482" s="89" t="s">
        <v>236</v>
      </c>
      <c r="B482" s="89" t="s">
        <v>338</v>
      </c>
      <c r="C482" s="90" t="s">
        <v>340</v>
      </c>
      <c r="D482" s="92" t="s">
        <v>345</v>
      </c>
      <c r="E482" s="90" t="s">
        <v>912</v>
      </c>
      <c r="F482" s="90" t="s">
        <v>4736</v>
      </c>
      <c r="G482" s="92" t="s">
        <v>3751</v>
      </c>
      <c r="H482" s="89" t="s">
        <v>3841</v>
      </c>
      <c r="I482" s="90" t="s">
        <v>4737</v>
      </c>
      <c r="J482" s="89"/>
    </row>
    <row r="483" customFormat="false" ht="41.75" hidden="false" customHeight="false" outlineLevel="0" collapsed="false">
      <c r="A483" s="89" t="s">
        <v>236</v>
      </c>
      <c r="B483" s="89" t="s">
        <v>338</v>
      </c>
      <c r="C483" s="90" t="s">
        <v>340</v>
      </c>
      <c r="D483" s="92" t="s">
        <v>345</v>
      </c>
      <c r="E483" s="90" t="s">
        <v>4738</v>
      </c>
      <c r="F483" s="90" t="s">
        <v>4736</v>
      </c>
      <c r="G483" s="92" t="s">
        <v>3751</v>
      </c>
      <c r="H483" s="89" t="s">
        <v>3841</v>
      </c>
      <c r="I483" s="90" t="s">
        <v>4739</v>
      </c>
      <c r="J483" s="89"/>
    </row>
    <row r="484" customFormat="false" ht="28.35" hidden="false" customHeight="false" outlineLevel="0" collapsed="false">
      <c r="A484" s="89" t="s">
        <v>236</v>
      </c>
      <c r="B484" s="89" t="s">
        <v>338</v>
      </c>
      <c r="C484" s="90" t="s">
        <v>340</v>
      </c>
      <c r="D484" s="92" t="s">
        <v>345</v>
      </c>
      <c r="E484" s="90" t="s">
        <v>614</v>
      </c>
      <c r="F484" s="90" t="s">
        <v>4740</v>
      </c>
      <c r="G484" s="92" t="s">
        <v>4741</v>
      </c>
      <c r="H484" s="89" t="s">
        <v>3872</v>
      </c>
      <c r="I484" s="90" t="s">
        <v>3873</v>
      </c>
      <c r="J484" s="89"/>
    </row>
    <row r="485" customFormat="false" ht="28.35" hidden="false" customHeight="false" outlineLevel="0" collapsed="false">
      <c r="A485" s="89" t="s">
        <v>236</v>
      </c>
      <c r="B485" s="89" t="s">
        <v>874</v>
      </c>
      <c r="C485" s="90" t="s">
        <v>876</v>
      </c>
      <c r="D485" s="92" t="s">
        <v>879</v>
      </c>
      <c r="E485" s="90" t="s">
        <v>284</v>
      </c>
      <c r="F485" s="90" t="s">
        <v>4742</v>
      </c>
      <c r="G485" s="92" t="s">
        <v>4743</v>
      </c>
      <c r="H485" s="89" t="s">
        <v>3837</v>
      </c>
      <c r="I485" s="90" t="s">
        <v>3838</v>
      </c>
      <c r="J485" s="89"/>
    </row>
    <row r="486" customFormat="false" ht="28.35" hidden="false" customHeight="false" outlineLevel="0" collapsed="false">
      <c r="A486" s="89" t="s">
        <v>236</v>
      </c>
      <c r="B486" s="89" t="s">
        <v>375</v>
      </c>
      <c r="C486" s="90" t="s">
        <v>377</v>
      </c>
      <c r="D486" s="92" t="s">
        <v>379</v>
      </c>
      <c r="E486" s="90" t="s">
        <v>284</v>
      </c>
      <c r="F486" s="90" t="s">
        <v>4744</v>
      </c>
      <c r="G486" s="92" t="s">
        <v>4745</v>
      </c>
      <c r="H486" s="89" t="s">
        <v>3837</v>
      </c>
      <c r="I486" s="90" t="s">
        <v>3838</v>
      </c>
      <c r="J486" s="89"/>
    </row>
    <row r="487" customFormat="false" ht="28.35" hidden="false" customHeight="false" outlineLevel="0" collapsed="false">
      <c r="A487" s="89" t="s">
        <v>236</v>
      </c>
      <c r="B487" s="89" t="s">
        <v>444</v>
      </c>
      <c r="C487" s="90" t="s">
        <v>445</v>
      </c>
      <c r="D487" s="92" t="s">
        <v>447</v>
      </c>
      <c r="E487" s="90" t="s">
        <v>284</v>
      </c>
      <c r="F487" s="90" t="s">
        <v>4746</v>
      </c>
      <c r="G487" s="92" t="s">
        <v>4747</v>
      </c>
      <c r="H487" s="89" t="s">
        <v>3876</v>
      </c>
      <c r="I487" s="90" t="s">
        <v>3877</v>
      </c>
      <c r="J487" s="89"/>
    </row>
    <row r="488" customFormat="false" ht="28.35" hidden="false" customHeight="false" outlineLevel="0" collapsed="false">
      <c r="A488" s="89" t="s">
        <v>236</v>
      </c>
      <c r="B488" s="89" t="s">
        <v>1239</v>
      </c>
      <c r="C488" s="90" t="s">
        <v>1241</v>
      </c>
      <c r="D488" s="92" t="s">
        <v>1243</v>
      </c>
      <c r="E488" s="90" t="s">
        <v>3859</v>
      </c>
      <c r="F488" s="90" t="s">
        <v>4748</v>
      </c>
      <c r="G488" s="92" t="s">
        <v>4749</v>
      </c>
      <c r="H488" s="89" t="s">
        <v>3862</v>
      </c>
      <c r="I488" s="90" t="s">
        <v>3863</v>
      </c>
      <c r="J488" s="89"/>
    </row>
    <row r="489" customFormat="false" ht="41.75" hidden="false" customHeight="false" outlineLevel="0" collapsed="false">
      <c r="A489" s="89" t="s">
        <v>236</v>
      </c>
      <c r="B489" s="89" t="s">
        <v>1239</v>
      </c>
      <c r="C489" s="90" t="s">
        <v>1241</v>
      </c>
      <c r="D489" s="92" t="s">
        <v>1243</v>
      </c>
      <c r="E489" s="90" t="s">
        <v>912</v>
      </c>
      <c r="F489" s="90" t="s">
        <v>4750</v>
      </c>
      <c r="G489" s="92" t="s">
        <v>3751</v>
      </c>
      <c r="H489" s="89" t="s">
        <v>3841</v>
      </c>
      <c r="I489" s="90" t="s">
        <v>4751</v>
      </c>
      <c r="J489" s="89"/>
    </row>
    <row r="490" customFormat="false" ht="28.35" hidden="false" customHeight="false" outlineLevel="0" collapsed="false">
      <c r="A490" s="89" t="s">
        <v>236</v>
      </c>
      <c r="B490" s="89" t="s">
        <v>541</v>
      </c>
      <c r="C490" s="90" t="s">
        <v>543</v>
      </c>
      <c r="D490" s="92" t="s">
        <v>547</v>
      </c>
      <c r="E490" s="90" t="s">
        <v>284</v>
      </c>
      <c r="F490" s="90" t="s">
        <v>4752</v>
      </c>
      <c r="G490" s="92" t="s">
        <v>3598</v>
      </c>
      <c r="H490" s="89" t="s">
        <v>3837</v>
      </c>
      <c r="I490" s="90" t="s">
        <v>3838</v>
      </c>
      <c r="J490" s="89"/>
    </row>
    <row r="491" customFormat="false" ht="55.2" hidden="false" customHeight="false" outlineLevel="0" collapsed="false">
      <c r="A491" s="89" t="s">
        <v>236</v>
      </c>
      <c r="B491" s="89" t="s">
        <v>541</v>
      </c>
      <c r="C491" s="90" t="s">
        <v>543</v>
      </c>
      <c r="D491" s="92" t="s">
        <v>547</v>
      </c>
      <c r="E491" s="90" t="s">
        <v>4753</v>
      </c>
      <c r="F491" s="90" t="s">
        <v>4754</v>
      </c>
      <c r="G491" s="92" t="s">
        <v>3751</v>
      </c>
      <c r="H491" s="89" t="s">
        <v>3841</v>
      </c>
      <c r="I491" s="90" t="s">
        <v>4755</v>
      </c>
      <c r="J491" s="89"/>
    </row>
    <row r="492" customFormat="false" ht="28.35" hidden="false" customHeight="false" outlineLevel="0" collapsed="false">
      <c r="A492" s="89" t="s">
        <v>236</v>
      </c>
      <c r="B492" s="89" t="s">
        <v>665</v>
      </c>
      <c r="C492" s="90" t="s">
        <v>667</v>
      </c>
      <c r="D492" s="92" t="s">
        <v>670</v>
      </c>
      <c r="E492" s="90" t="s">
        <v>284</v>
      </c>
      <c r="F492" s="90" t="s">
        <v>4756</v>
      </c>
      <c r="G492" s="92" t="s">
        <v>4757</v>
      </c>
      <c r="H492" s="89" t="s">
        <v>3837</v>
      </c>
      <c r="I492" s="90" t="s">
        <v>3838</v>
      </c>
      <c r="J492" s="89"/>
    </row>
    <row r="493" customFormat="false" ht="28.35" hidden="false" customHeight="false" outlineLevel="0" collapsed="false">
      <c r="A493" s="89" t="s">
        <v>236</v>
      </c>
      <c r="B493" s="89" t="s">
        <v>665</v>
      </c>
      <c r="C493" s="90" t="s">
        <v>667</v>
      </c>
      <c r="D493" s="92" t="s">
        <v>670</v>
      </c>
      <c r="E493" s="90" t="s">
        <v>3859</v>
      </c>
      <c r="F493" s="90" t="s">
        <v>4758</v>
      </c>
      <c r="G493" s="92" t="s">
        <v>4759</v>
      </c>
      <c r="H493" s="89" t="s">
        <v>3862</v>
      </c>
      <c r="I493" s="90" t="s">
        <v>3863</v>
      </c>
      <c r="J493" s="89"/>
    </row>
    <row r="494" customFormat="false" ht="55.2" hidden="false" customHeight="false" outlineLevel="0" collapsed="false">
      <c r="A494" s="89" t="s">
        <v>236</v>
      </c>
      <c r="B494" s="89" t="s">
        <v>665</v>
      </c>
      <c r="C494" s="90" t="s">
        <v>667</v>
      </c>
      <c r="D494" s="92" t="s">
        <v>670</v>
      </c>
      <c r="E494" s="90" t="s">
        <v>4760</v>
      </c>
      <c r="F494" s="90" t="s">
        <v>4754</v>
      </c>
      <c r="G494" s="92" t="s">
        <v>3751</v>
      </c>
      <c r="H494" s="89" t="s">
        <v>3841</v>
      </c>
      <c r="I494" s="90" t="s">
        <v>4761</v>
      </c>
      <c r="J494" s="89"/>
    </row>
    <row r="495" customFormat="false" ht="41.75" hidden="false" customHeight="false" outlineLevel="0" collapsed="false">
      <c r="A495" s="89" t="s">
        <v>236</v>
      </c>
      <c r="B495" s="89" t="s">
        <v>665</v>
      </c>
      <c r="C495" s="90" t="s">
        <v>667</v>
      </c>
      <c r="D495" s="92" t="s">
        <v>670</v>
      </c>
      <c r="E495" s="90" t="s">
        <v>614</v>
      </c>
      <c r="F495" s="90" t="s">
        <v>4762</v>
      </c>
      <c r="G495" s="92" t="s">
        <v>4763</v>
      </c>
      <c r="H495" s="89" t="s">
        <v>3872</v>
      </c>
      <c r="I495" s="90" t="s">
        <v>3873</v>
      </c>
      <c r="J495" s="89"/>
    </row>
    <row r="496" customFormat="false" ht="28.35" hidden="false" customHeight="false" outlineLevel="0" collapsed="false">
      <c r="A496" s="89" t="s">
        <v>237</v>
      </c>
      <c r="B496" s="89" t="s">
        <v>874</v>
      </c>
      <c r="C496" s="90" t="s">
        <v>876</v>
      </c>
      <c r="D496" s="92" t="s">
        <v>879</v>
      </c>
      <c r="E496" s="90" t="s">
        <v>284</v>
      </c>
      <c r="F496" s="90" t="s">
        <v>4764</v>
      </c>
      <c r="G496" s="92" t="s">
        <v>2852</v>
      </c>
      <c r="H496" s="89" t="s">
        <v>3837</v>
      </c>
      <c r="I496" s="90" t="s">
        <v>3838</v>
      </c>
      <c r="J496" s="89"/>
    </row>
    <row r="497" customFormat="false" ht="41.75" hidden="false" customHeight="false" outlineLevel="0" collapsed="false">
      <c r="A497" s="89" t="s">
        <v>237</v>
      </c>
      <c r="B497" s="89" t="s">
        <v>1250</v>
      </c>
      <c r="C497" s="90" t="s">
        <v>1252</v>
      </c>
      <c r="D497" s="92" t="s">
        <v>1254</v>
      </c>
      <c r="E497" s="90" t="s">
        <v>912</v>
      </c>
      <c r="F497" s="90" t="s">
        <v>4765</v>
      </c>
      <c r="G497" s="92" t="s">
        <v>3751</v>
      </c>
      <c r="H497" s="89" t="s">
        <v>3841</v>
      </c>
      <c r="I497" s="90" t="s">
        <v>4766</v>
      </c>
      <c r="J497" s="89"/>
    </row>
    <row r="498" customFormat="false" ht="28.35" hidden="false" customHeight="false" outlineLevel="0" collapsed="false">
      <c r="A498" s="89" t="s">
        <v>237</v>
      </c>
      <c r="B498" s="89" t="s">
        <v>278</v>
      </c>
      <c r="C498" s="90" t="s">
        <v>280</v>
      </c>
      <c r="D498" s="92" t="s">
        <v>288</v>
      </c>
      <c r="E498" s="90" t="s">
        <v>284</v>
      </c>
      <c r="F498" s="90" t="s">
        <v>4767</v>
      </c>
      <c r="G498" s="92" t="s">
        <v>3836</v>
      </c>
      <c r="H498" s="89" t="s">
        <v>3837</v>
      </c>
      <c r="I498" s="90" t="s">
        <v>3838</v>
      </c>
      <c r="J498" s="89"/>
    </row>
    <row r="499" customFormat="false" ht="41.75" hidden="false" customHeight="false" outlineLevel="0" collapsed="false">
      <c r="A499" s="89" t="s">
        <v>237</v>
      </c>
      <c r="B499" s="89" t="s">
        <v>1255</v>
      </c>
      <c r="C499" s="90" t="s">
        <v>1257</v>
      </c>
      <c r="D499" s="92" t="s">
        <v>1260</v>
      </c>
      <c r="E499" s="90" t="s">
        <v>912</v>
      </c>
      <c r="F499" s="90" t="s">
        <v>4765</v>
      </c>
      <c r="G499" s="92" t="s">
        <v>3751</v>
      </c>
      <c r="H499" s="89" t="s">
        <v>3841</v>
      </c>
      <c r="I499" s="90" t="s">
        <v>4768</v>
      </c>
      <c r="J499" s="89"/>
    </row>
    <row r="500" customFormat="false" ht="28.35" hidden="false" customHeight="false" outlineLevel="0" collapsed="false">
      <c r="A500" s="89" t="s">
        <v>237</v>
      </c>
      <c r="B500" s="89" t="s">
        <v>1255</v>
      </c>
      <c r="C500" s="90" t="s">
        <v>1257</v>
      </c>
      <c r="D500" s="92" t="s">
        <v>1260</v>
      </c>
      <c r="E500" s="90" t="s">
        <v>614</v>
      </c>
      <c r="F500" s="90" t="s">
        <v>4769</v>
      </c>
      <c r="G500" s="92" t="s">
        <v>4770</v>
      </c>
      <c r="H500" s="89" t="s">
        <v>3872</v>
      </c>
      <c r="I500" s="90" t="s">
        <v>3873</v>
      </c>
      <c r="J500" s="89"/>
    </row>
    <row r="501" customFormat="false" ht="28.35" hidden="false" customHeight="false" outlineLevel="0" collapsed="false">
      <c r="A501" s="89" t="s">
        <v>237</v>
      </c>
      <c r="B501" s="89" t="s">
        <v>1261</v>
      </c>
      <c r="C501" s="90" t="s">
        <v>1263</v>
      </c>
      <c r="D501" s="92" t="s">
        <v>1264</v>
      </c>
      <c r="E501" s="90" t="s">
        <v>284</v>
      </c>
      <c r="F501" s="90" t="s">
        <v>4771</v>
      </c>
      <c r="G501" s="92" t="s">
        <v>3129</v>
      </c>
      <c r="H501" s="89" t="s">
        <v>3837</v>
      </c>
      <c r="I501" s="90" t="s">
        <v>3838</v>
      </c>
      <c r="J501" s="89"/>
    </row>
    <row r="502" customFormat="false" ht="28.35" hidden="false" customHeight="false" outlineLevel="0" collapsed="false">
      <c r="A502" s="89" t="s">
        <v>237</v>
      </c>
      <c r="B502" s="89" t="s">
        <v>637</v>
      </c>
      <c r="C502" s="90" t="s">
        <v>639</v>
      </c>
      <c r="D502" s="92" t="s">
        <v>641</v>
      </c>
      <c r="E502" s="90" t="s">
        <v>284</v>
      </c>
      <c r="F502" s="90" t="s">
        <v>4772</v>
      </c>
      <c r="G502" s="92" t="s">
        <v>4773</v>
      </c>
      <c r="H502" s="89" t="s">
        <v>3837</v>
      </c>
      <c r="I502" s="90" t="s">
        <v>3838</v>
      </c>
      <c r="J502" s="89"/>
    </row>
    <row r="503" customFormat="false" ht="28.35" hidden="false" customHeight="false" outlineLevel="0" collapsed="false">
      <c r="A503" s="89" t="s">
        <v>237</v>
      </c>
      <c r="B503" s="89" t="s">
        <v>637</v>
      </c>
      <c r="C503" s="90" t="s">
        <v>639</v>
      </c>
      <c r="D503" s="92" t="s">
        <v>641</v>
      </c>
      <c r="E503" s="90" t="s">
        <v>614</v>
      </c>
      <c r="F503" s="90" t="s">
        <v>4774</v>
      </c>
      <c r="G503" s="92" t="s">
        <v>4775</v>
      </c>
      <c r="H503" s="89" t="s">
        <v>3872</v>
      </c>
      <c r="I503" s="90" t="s">
        <v>3873</v>
      </c>
      <c r="J503" s="89"/>
    </row>
    <row r="504" customFormat="false" ht="41.75" hidden="false" customHeight="false" outlineLevel="0" collapsed="false">
      <c r="A504" s="89" t="s">
        <v>237</v>
      </c>
      <c r="B504" s="89" t="s">
        <v>1266</v>
      </c>
      <c r="C504" s="90" t="s">
        <v>1268</v>
      </c>
      <c r="D504" s="92" t="s">
        <v>1271</v>
      </c>
      <c r="E504" s="90" t="s">
        <v>4776</v>
      </c>
      <c r="F504" s="90" t="s">
        <v>4777</v>
      </c>
      <c r="G504" s="92" t="s">
        <v>3751</v>
      </c>
      <c r="H504" s="89" t="s">
        <v>3841</v>
      </c>
      <c r="I504" s="90" t="s">
        <v>4778</v>
      </c>
      <c r="J504" s="89"/>
    </row>
    <row r="505" customFormat="false" ht="41.75" hidden="false" customHeight="false" outlineLevel="0" collapsed="false">
      <c r="A505" s="89" t="s">
        <v>237</v>
      </c>
      <c r="B505" s="89" t="s">
        <v>1266</v>
      </c>
      <c r="C505" s="90" t="s">
        <v>1268</v>
      </c>
      <c r="D505" s="92" t="s">
        <v>1271</v>
      </c>
      <c r="E505" s="90" t="s">
        <v>614</v>
      </c>
      <c r="F505" s="90" t="s">
        <v>4779</v>
      </c>
      <c r="G505" s="92" t="s">
        <v>4780</v>
      </c>
      <c r="H505" s="89" t="s">
        <v>3872</v>
      </c>
      <c r="I505" s="90" t="s">
        <v>3873</v>
      </c>
      <c r="J505" s="89"/>
    </row>
    <row r="506" customFormat="false" ht="28.35" hidden="false" customHeight="false" outlineLevel="0" collapsed="false">
      <c r="A506" s="89" t="s">
        <v>237</v>
      </c>
      <c r="B506" s="89" t="s">
        <v>1272</v>
      </c>
      <c r="C506" s="90" t="s">
        <v>1274</v>
      </c>
      <c r="D506" s="92" t="s">
        <v>1276</v>
      </c>
      <c r="E506" s="90" t="s">
        <v>284</v>
      </c>
      <c r="F506" s="90" t="s">
        <v>4781</v>
      </c>
      <c r="G506" s="92" t="s">
        <v>4782</v>
      </c>
      <c r="H506" s="89" t="s">
        <v>3837</v>
      </c>
      <c r="I506" s="90" t="s">
        <v>3838</v>
      </c>
      <c r="J506" s="89"/>
    </row>
    <row r="507" customFormat="false" ht="28.35" hidden="false" customHeight="false" outlineLevel="0" collapsed="false">
      <c r="A507" s="89" t="s">
        <v>237</v>
      </c>
      <c r="B507" s="89" t="s">
        <v>754</v>
      </c>
      <c r="C507" s="90" t="s">
        <v>756</v>
      </c>
      <c r="D507" s="92" t="s">
        <v>758</v>
      </c>
      <c r="E507" s="90" t="s">
        <v>284</v>
      </c>
      <c r="F507" s="90" t="s">
        <v>4783</v>
      </c>
      <c r="G507" s="92" t="s">
        <v>3663</v>
      </c>
      <c r="H507" s="89" t="s">
        <v>3837</v>
      </c>
      <c r="I507" s="90" t="s">
        <v>3838</v>
      </c>
      <c r="J507" s="89"/>
    </row>
    <row r="508" customFormat="false" ht="28.35" hidden="false" customHeight="false" outlineLevel="0" collapsed="false">
      <c r="A508" s="89" t="s">
        <v>237</v>
      </c>
      <c r="B508" s="89" t="s">
        <v>599</v>
      </c>
      <c r="C508" s="90" t="s">
        <v>601</v>
      </c>
      <c r="D508" s="92" t="s">
        <v>603</v>
      </c>
      <c r="E508" s="90" t="s">
        <v>284</v>
      </c>
      <c r="F508" s="90" t="s">
        <v>4784</v>
      </c>
      <c r="G508" s="92" t="s">
        <v>4785</v>
      </c>
      <c r="H508" s="89" t="s">
        <v>3837</v>
      </c>
      <c r="I508" s="90" t="s">
        <v>3838</v>
      </c>
      <c r="J508" s="89"/>
    </row>
    <row r="509" customFormat="false" ht="28.35" hidden="false" customHeight="false" outlineLevel="0" collapsed="false">
      <c r="A509" s="89" t="s">
        <v>238</v>
      </c>
      <c r="B509" s="89" t="s">
        <v>346</v>
      </c>
      <c r="C509" s="90" t="s">
        <v>348</v>
      </c>
      <c r="D509" s="92" t="s">
        <v>353</v>
      </c>
      <c r="E509" s="90" t="s">
        <v>284</v>
      </c>
      <c r="F509" s="90" t="s">
        <v>4786</v>
      </c>
      <c r="G509" s="92" t="s">
        <v>4787</v>
      </c>
      <c r="H509" s="89" t="s">
        <v>3837</v>
      </c>
      <c r="I509" s="90" t="s">
        <v>3838</v>
      </c>
      <c r="J509" s="89"/>
    </row>
    <row r="510" customFormat="false" ht="28.35" hidden="false" customHeight="false" outlineLevel="0" collapsed="false">
      <c r="A510" s="89" t="s">
        <v>238</v>
      </c>
      <c r="B510" s="89" t="s">
        <v>278</v>
      </c>
      <c r="C510" s="90" t="s">
        <v>280</v>
      </c>
      <c r="D510" s="92" t="s">
        <v>288</v>
      </c>
      <c r="E510" s="90" t="s">
        <v>284</v>
      </c>
      <c r="F510" s="90" t="s">
        <v>4788</v>
      </c>
      <c r="G510" s="92" t="s">
        <v>3836</v>
      </c>
      <c r="H510" s="89" t="s">
        <v>3837</v>
      </c>
      <c r="I510" s="90" t="s">
        <v>3838</v>
      </c>
      <c r="J510" s="89"/>
    </row>
    <row r="511" customFormat="false" ht="149.25" hidden="false" customHeight="false" outlineLevel="0" collapsed="false">
      <c r="A511" s="89" t="s">
        <v>238</v>
      </c>
      <c r="B511" s="89" t="s">
        <v>483</v>
      </c>
      <c r="C511" s="90" t="s">
        <v>485</v>
      </c>
      <c r="D511" s="92" t="s">
        <v>490</v>
      </c>
      <c r="E511" s="90" t="s">
        <v>1283</v>
      </c>
      <c r="F511" s="90" t="s">
        <v>4789</v>
      </c>
      <c r="G511" s="92" t="s">
        <v>4790</v>
      </c>
      <c r="H511" s="89" t="s">
        <v>3868</v>
      </c>
      <c r="I511" s="90" t="s">
        <v>4791</v>
      </c>
      <c r="J511" s="92" t="s">
        <v>3751</v>
      </c>
    </row>
    <row r="512" customFormat="false" ht="28.35" hidden="false" customHeight="false" outlineLevel="0" collapsed="false">
      <c r="A512" s="89" t="s">
        <v>238</v>
      </c>
      <c r="B512" s="89" t="s">
        <v>1285</v>
      </c>
      <c r="C512" s="90" t="s">
        <v>1287</v>
      </c>
      <c r="D512" s="92" t="s">
        <v>1289</v>
      </c>
      <c r="E512" s="90" t="s">
        <v>284</v>
      </c>
      <c r="F512" s="90" t="s">
        <v>4792</v>
      </c>
      <c r="G512" s="92" t="s">
        <v>4793</v>
      </c>
      <c r="H512" s="89" t="s">
        <v>3837</v>
      </c>
      <c r="I512" s="90" t="s">
        <v>3838</v>
      </c>
      <c r="J512" s="89"/>
    </row>
    <row r="513" customFormat="false" ht="28.35" hidden="false" customHeight="false" outlineLevel="0" collapsed="false">
      <c r="A513" s="89" t="s">
        <v>238</v>
      </c>
      <c r="B513" s="89" t="s">
        <v>507</v>
      </c>
      <c r="C513" s="90" t="s">
        <v>509</v>
      </c>
      <c r="D513" s="92" t="s">
        <v>511</v>
      </c>
      <c r="E513" s="90" t="s">
        <v>284</v>
      </c>
      <c r="F513" s="90" t="s">
        <v>4794</v>
      </c>
      <c r="G513" s="92" t="s">
        <v>4795</v>
      </c>
      <c r="H513" s="89" t="s">
        <v>3837</v>
      </c>
      <c r="I513" s="90" t="s">
        <v>3838</v>
      </c>
      <c r="J513" s="89"/>
    </row>
    <row r="514" customFormat="false" ht="28.35" hidden="false" customHeight="false" outlineLevel="0" collapsed="false">
      <c r="A514" s="89" t="s">
        <v>239</v>
      </c>
      <c r="B514" s="89" t="s">
        <v>1180</v>
      </c>
      <c r="C514" s="90" t="s">
        <v>1182</v>
      </c>
      <c r="D514" s="92" t="s">
        <v>1184</v>
      </c>
      <c r="E514" s="90" t="s">
        <v>3859</v>
      </c>
      <c r="F514" s="90" t="s">
        <v>4796</v>
      </c>
      <c r="G514" s="92" t="s">
        <v>4797</v>
      </c>
      <c r="H514" s="89" t="s">
        <v>3971</v>
      </c>
      <c r="I514" s="90" t="s">
        <v>3972</v>
      </c>
      <c r="J514" s="89"/>
    </row>
    <row r="515" customFormat="false" ht="41.75" hidden="false" customHeight="false" outlineLevel="0" collapsed="false">
      <c r="A515" s="89" t="s">
        <v>239</v>
      </c>
      <c r="B515" s="89" t="s">
        <v>1180</v>
      </c>
      <c r="C515" s="90" t="s">
        <v>1182</v>
      </c>
      <c r="D515" s="92" t="s">
        <v>1184</v>
      </c>
      <c r="E515" s="90" t="s">
        <v>912</v>
      </c>
      <c r="F515" s="90" t="s">
        <v>4798</v>
      </c>
      <c r="G515" s="92" t="s">
        <v>3751</v>
      </c>
      <c r="H515" s="89" t="s">
        <v>3841</v>
      </c>
      <c r="I515" s="90" t="s">
        <v>4799</v>
      </c>
      <c r="J515" s="89"/>
    </row>
    <row r="516" customFormat="false" ht="95.5" hidden="false" customHeight="false" outlineLevel="0" collapsed="false">
      <c r="A516" s="89" t="s">
        <v>239</v>
      </c>
      <c r="B516" s="89" t="s">
        <v>1180</v>
      </c>
      <c r="C516" s="90" t="s">
        <v>1182</v>
      </c>
      <c r="D516" s="92" t="s">
        <v>1184</v>
      </c>
      <c r="E516" s="90" t="s">
        <v>4800</v>
      </c>
      <c r="F516" s="90" t="s">
        <v>4798</v>
      </c>
      <c r="G516" s="92" t="s">
        <v>4801</v>
      </c>
      <c r="H516" s="89" t="s">
        <v>3868</v>
      </c>
      <c r="I516" s="90" t="s">
        <v>4802</v>
      </c>
      <c r="J516" s="92" t="s">
        <v>3751</v>
      </c>
    </row>
    <row r="517" customFormat="false" ht="28.35" hidden="false" customHeight="false" outlineLevel="0" collapsed="false">
      <c r="A517" s="89" t="s">
        <v>239</v>
      </c>
      <c r="B517" s="89" t="s">
        <v>1180</v>
      </c>
      <c r="C517" s="90" t="s">
        <v>1182</v>
      </c>
      <c r="D517" s="92" t="s">
        <v>1184</v>
      </c>
      <c r="E517" s="90" t="s">
        <v>614</v>
      </c>
      <c r="F517" s="90" t="s">
        <v>4803</v>
      </c>
      <c r="G517" s="92" t="s">
        <v>4804</v>
      </c>
      <c r="H517" s="89" t="s">
        <v>4029</v>
      </c>
      <c r="I517" s="90" t="s">
        <v>4030</v>
      </c>
      <c r="J517" s="89"/>
    </row>
    <row r="518" customFormat="false" ht="28.35" hidden="false" customHeight="false" outlineLevel="0" collapsed="false">
      <c r="A518" s="89" t="s">
        <v>239</v>
      </c>
      <c r="B518" s="89" t="s">
        <v>1180</v>
      </c>
      <c r="C518" s="90" t="s">
        <v>1182</v>
      </c>
      <c r="D518" s="92" t="s">
        <v>1184</v>
      </c>
      <c r="E518" s="90" t="s">
        <v>360</v>
      </c>
      <c r="F518" s="90" t="s">
        <v>4805</v>
      </c>
      <c r="G518" s="92" t="s">
        <v>4806</v>
      </c>
      <c r="H518" s="89" t="s">
        <v>3892</v>
      </c>
      <c r="I518" s="90" t="s">
        <v>3893</v>
      </c>
      <c r="J518" s="89"/>
    </row>
    <row r="519" customFormat="false" ht="28.35" hidden="false" customHeight="false" outlineLevel="0" collapsed="false">
      <c r="A519" s="89" t="s">
        <v>239</v>
      </c>
      <c r="B519" s="89" t="s">
        <v>1295</v>
      </c>
      <c r="C519" s="90" t="s">
        <v>1297</v>
      </c>
      <c r="D519" s="92" t="s">
        <v>1300</v>
      </c>
      <c r="E519" s="90" t="s">
        <v>284</v>
      </c>
      <c r="F519" s="90" t="s">
        <v>4807</v>
      </c>
      <c r="G519" s="92" t="s">
        <v>4808</v>
      </c>
      <c r="H519" s="89" t="s">
        <v>3837</v>
      </c>
      <c r="I519" s="90" t="s">
        <v>3838</v>
      </c>
      <c r="J519" s="89"/>
    </row>
    <row r="520" customFormat="false" ht="41.75" hidden="false" customHeight="false" outlineLevel="0" collapsed="false">
      <c r="A520" s="89" t="s">
        <v>239</v>
      </c>
      <c r="B520" s="89" t="s">
        <v>1295</v>
      </c>
      <c r="C520" s="90" t="s">
        <v>1297</v>
      </c>
      <c r="D520" s="92" t="s">
        <v>1300</v>
      </c>
      <c r="E520" s="90" t="s">
        <v>3859</v>
      </c>
      <c r="F520" s="90" t="s">
        <v>4809</v>
      </c>
      <c r="G520" s="92" t="s">
        <v>4810</v>
      </c>
      <c r="H520" s="89" t="s">
        <v>4811</v>
      </c>
      <c r="I520" s="90" t="s">
        <v>4812</v>
      </c>
      <c r="J520" s="89"/>
    </row>
    <row r="521" customFormat="false" ht="41.75" hidden="false" customHeight="false" outlineLevel="0" collapsed="false">
      <c r="A521" s="89" t="s">
        <v>239</v>
      </c>
      <c r="B521" s="89" t="s">
        <v>1295</v>
      </c>
      <c r="C521" s="90" t="s">
        <v>1297</v>
      </c>
      <c r="D521" s="92" t="s">
        <v>1300</v>
      </c>
      <c r="E521" s="90" t="s">
        <v>912</v>
      </c>
      <c r="F521" s="90" t="s">
        <v>4813</v>
      </c>
      <c r="G521" s="92" t="s">
        <v>3751</v>
      </c>
      <c r="H521" s="89" t="s">
        <v>3841</v>
      </c>
      <c r="I521" s="90" t="s">
        <v>4814</v>
      </c>
      <c r="J521" s="89"/>
    </row>
    <row r="522" customFormat="false" ht="55.2" hidden="false" customHeight="false" outlineLevel="0" collapsed="false">
      <c r="A522" s="89" t="s">
        <v>239</v>
      </c>
      <c r="B522" s="89" t="s">
        <v>1295</v>
      </c>
      <c r="C522" s="90" t="s">
        <v>1297</v>
      </c>
      <c r="D522" s="92" t="s">
        <v>1300</v>
      </c>
      <c r="E522" s="90" t="s">
        <v>4815</v>
      </c>
      <c r="F522" s="90" t="s">
        <v>4813</v>
      </c>
      <c r="G522" s="92" t="s">
        <v>4816</v>
      </c>
      <c r="H522" s="89" t="s">
        <v>3868</v>
      </c>
      <c r="I522" s="90" t="s">
        <v>4817</v>
      </c>
      <c r="J522" s="92" t="s">
        <v>3751</v>
      </c>
    </row>
    <row r="523" customFormat="false" ht="28.35" hidden="false" customHeight="false" outlineLevel="0" collapsed="false">
      <c r="A523" s="89" t="s">
        <v>239</v>
      </c>
      <c r="B523" s="89" t="s">
        <v>967</v>
      </c>
      <c r="C523" s="90" t="s">
        <v>969</v>
      </c>
      <c r="D523" s="92" t="s">
        <v>974</v>
      </c>
      <c r="E523" s="90" t="s">
        <v>284</v>
      </c>
      <c r="F523" s="90" t="s">
        <v>4818</v>
      </c>
      <c r="G523" s="92" t="s">
        <v>2898</v>
      </c>
      <c r="H523" s="89" t="s">
        <v>3837</v>
      </c>
      <c r="I523" s="90" t="s">
        <v>3838</v>
      </c>
      <c r="J523" s="89"/>
    </row>
    <row r="524" customFormat="false" ht="41.75" hidden="false" customHeight="false" outlineLevel="0" collapsed="false">
      <c r="A524" s="89" t="s">
        <v>239</v>
      </c>
      <c r="B524" s="89" t="s">
        <v>1303</v>
      </c>
      <c r="C524" s="90" t="s">
        <v>1305</v>
      </c>
      <c r="D524" s="92" t="s">
        <v>1309</v>
      </c>
      <c r="E524" s="90" t="s">
        <v>912</v>
      </c>
      <c r="F524" s="90" t="s">
        <v>4813</v>
      </c>
      <c r="G524" s="92" t="s">
        <v>3751</v>
      </c>
      <c r="H524" s="89" t="s">
        <v>3841</v>
      </c>
      <c r="I524" s="90" t="s">
        <v>4819</v>
      </c>
      <c r="J524" s="89"/>
    </row>
    <row r="525" customFormat="false" ht="82.05" hidden="false" customHeight="false" outlineLevel="0" collapsed="false">
      <c r="A525" s="89" t="s">
        <v>239</v>
      </c>
      <c r="B525" s="89" t="s">
        <v>1303</v>
      </c>
      <c r="C525" s="90" t="s">
        <v>1305</v>
      </c>
      <c r="D525" s="92" t="s">
        <v>1309</v>
      </c>
      <c r="E525" s="90" t="s">
        <v>4820</v>
      </c>
      <c r="F525" s="90" t="s">
        <v>4813</v>
      </c>
      <c r="G525" s="92" t="s">
        <v>4821</v>
      </c>
      <c r="H525" s="89" t="s">
        <v>3868</v>
      </c>
      <c r="I525" s="90" t="s">
        <v>4822</v>
      </c>
      <c r="J525" s="92" t="s">
        <v>3751</v>
      </c>
    </row>
    <row r="526" customFormat="false" ht="28.35" hidden="false" customHeight="false" outlineLevel="0" collapsed="false">
      <c r="A526" s="89" t="s">
        <v>239</v>
      </c>
      <c r="B526" s="89" t="s">
        <v>1303</v>
      </c>
      <c r="C526" s="90" t="s">
        <v>1305</v>
      </c>
      <c r="D526" s="92" t="s">
        <v>1309</v>
      </c>
      <c r="E526" s="90" t="s">
        <v>360</v>
      </c>
      <c r="F526" s="90" t="s">
        <v>4823</v>
      </c>
      <c r="G526" s="92" t="s">
        <v>4824</v>
      </c>
      <c r="H526" s="89" t="s">
        <v>4035</v>
      </c>
      <c r="I526" s="90" t="s">
        <v>4036</v>
      </c>
      <c r="J526" s="89"/>
    </row>
    <row r="527" customFormat="false" ht="41.75" hidden="false" customHeight="false" outlineLevel="0" collapsed="false">
      <c r="A527" s="89" t="s">
        <v>239</v>
      </c>
      <c r="B527" s="89" t="s">
        <v>1211</v>
      </c>
      <c r="C527" s="90" t="s">
        <v>1213</v>
      </c>
      <c r="D527" s="92" t="s">
        <v>1215</v>
      </c>
      <c r="E527" s="90" t="s">
        <v>912</v>
      </c>
      <c r="F527" s="90" t="s">
        <v>4798</v>
      </c>
      <c r="G527" s="92" t="s">
        <v>3751</v>
      </c>
      <c r="H527" s="89" t="s">
        <v>3841</v>
      </c>
      <c r="I527" s="90" t="s">
        <v>4825</v>
      </c>
      <c r="J527" s="89"/>
    </row>
    <row r="528" customFormat="false" ht="108.95" hidden="false" customHeight="false" outlineLevel="0" collapsed="false">
      <c r="A528" s="89" t="s">
        <v>239</v>
      </c>
      <c r="B528" s="89" t="s">
        <v>1211</v>
      </c>
      <c r="C528" s="90" t="s">
        <v>1213</v>
      </c>
      <c r="D528" s="92" t="s">
        <v>1215</v>
      </c>
      <c r="E528" s="90" t="s">
        <v>4826</v>
      </c>
      <c r="F528" s="90" t="s">
        <v>4798</v>
      </c>
      <c r="G528" s="92" t="s">
        <v>4827</v>
      </c>
      <c r="H528" s="89" t="s">
        <v>3868</v>
      </c>
      <c r="I528" s="90" t="s">
        <v>4828</v>
      </c>
      <c r="J528" s="92" t="s">
        <v>3751</v>
      </c>
    </row>
    <row r="529" customFormat="false" ht="28.35" hidden="false" customHeight="false" outlineLevel="0" collapsed="false">
      <c r="A529" s="89" t="s">
        <v>239</v>
      </c>
      <c r="B529" s="89" t="s">
        <v>1211</v>
      </c>
      <c r="C529" s="90" t="s">
        <v>1213</v>
      </c>
      <c r="D529" s="92" t="s">
        <v>1215</v>
      </c>
      <c r="E529" s="90" t="s">
        <v>360</v>
      </c>
      <c r="F529" s="90" t="s">
        <v>4805</v>
      </c>
      <c r="G529" s="92" t="s">
        <v>4806</v>
      </c>
      <c r="H529" s="89" t="s">
        <v>3892</v>
      </c>
      <c r="I529" s="90" t="s">
        <v>3893</v>
      </c>
      <c r="J529" s="89"/>
    </row>
    <row r="530" customFormat="false" ht="41.75" hidden="false" customHeight="false" outlineLevel="0" collapsed="false">
      <c r="A530" s="89" t="s">
        <v>239</v>
      </c>
      <c r="B530" s="89" t="s">
        <v>556</v>
      </c>
      <c r="C530" s="90" t="s">
        <v>558</v>
      </c>
      <c r="D530" s="92" t="s">
        <v>562</v>
      </c>
      <c r="E530" s="90" t="s">
        <v>367</v>
      </c>
      <c r="F530" s="90" t="s">
        <v>4829</v>
      </c>
      <c r="G530" s="92" t="s">
        <v>3751</v>
      </c>
      <c r="H530" s="89" t="s">
        <v>3841</v>
      </c>
      <c r="I530" s="90" t="s">
        <v>4830</v>
      </c>
      <c r="J530" s="89"/>
    </row>
    <row r="531" customFormat="false" ht="28.35" hidden="false" customHeight="false" outlineLevel="0" collapsed="false">
      <c r="A531" s="89" t="s">
        <v>239</v>
      </c>
      <c r="B531" s="89" t="s">
        <v>665</v>
      </c>
      <c r="C531" s="90" t="s">
        <v>667</v>
      </c>
      <c r="D531" s="92" t="s">
        <v>670</v>
      </c>
      <c r="E531" s="90" t="s">
        <v>3859</v>
      </c>
      <c r="F531" s="90" t="s">
        <v>4831</v>
      </c>
      <c r="G531" s="92" t="s">
        <v>4832</v>
      </c>
      <c r="H531" s="89" t="s">
        <v>3862</v>
      </c>
      <c r="I531" s="90" t="s">
        <v>3863</v>
      </c>
      <c r="J531" s="89"/>
    </row>
    <row r="532" customFormat="false" ht="68.65" hidden="false" customHeight="false" outlineLevel="0" collapsed="false">
      <c r="A532" s="89" t="s">
        <v>239</v>
      </c>
      <c r="B532" s="89" t="s">
        <v>665</v>
      </c>
      <c r="C532" s="90" t="s">
        <v>667</v>
      </c>
      <c r="D532" s="92" t="s">
        <v>670</v>
      </c>
      <c r="E532" s="90" t="s">
        <v>912</v>
      </c>
      <c r="F532" s="90" t="s">
        <v>4813</v>
      </c>
      <c r="G532" s="92" t="s">
        <v>4833</v>
      </c>
      <c r="H532" s="89" t="s">
        <v>4088</v>
      </c>
      <c r="I532" s="90" t="s">
        <v>4834</v>
      </c>
      <c r="J532" s="92" t="s">
        <v>3751</v>
      </c>
    </row>
    <row r="533" customFormat="false" ht="202.95" hidden="false" customHeight="false" outlineLevel="0" collapsed="false">
      <c r="A533" s="89" t="s">
        <v>239</v>
      </c>
      <c r="B533" s="89" t="s">
        <v>665</v>
      </c>
      <c r="C533" s="90" t="s">
        <v>667</v>
      </c>
      <c r="D533" s="92" t="s">
        <v>670</v>
      </c>
      <c r="E533" s="90" t="s">
        <v>1024</v>
      </c>
      <c r="F533" s="90" t="s">
        <v>4813</v>
      </c>
      <c r="G533" s="92" t="s">
        <v>4833</v>
      </c>
      <c r="H533" s="89" t="s">
        <v>4088</v>
      </c>
      <c r="I533" s="90" t="s">
        <v>4835</v>
      </c>
      <c r="J533" s="92" t="s">
        <v>3751</v>
      </c>
    </row>
    <row r="534" customFormat="false" ht="41.75" hidden="false" customHeight="false" outlineLevel="0" collapsed="false">
      <c r="A534" s="89" t="s">
        <v>240</v>
      </c>
      <c r="B534" s="89" t="s">
        <v>355</v>
      </c>
      <c r="C534" s="90" t="s">
        <v>357</v>
      </c>
      <c r="D534" s="92" t="s">
        <v>361</v>
      </c>
      <c r="E534" s="90" t="s">
        <v>614</v>
      </c>
      <c r="F534" s="90" t="s">
        <v>4836</v>
      </c>
      <c r="G534" s="92" t="s">
        <v>4837</v>
      </c>
      <c r="H534" s="89" t="s">
        <v>4029</v>
      </c>
      <c r="I534" s="90" t="s">
        <v>4030</v>
      </c>
      <c r="J534" s="89"/>
    </row>
    <row r="535" customFormat="false" ht="28.35" hidden="false" customHeight="false" outlineLevel="0" collapsed="false">
      <c r="A535" s="89" t="s">
        <v>240</v>
      </c>
      <c r="B535" s="89" t="s">
        <v>362</v>
      </c>
      <c r="C535" s="90" t="s">
        <v>364</v>
      </c>
      <c r="D535" s="92" t="s">
        <v>368</v>
      </c>
      <c r="E535" s="90" t="s">
        <v>614</v>
      </c>
      <c r="F535" s="90" t="s">
        <v>4838</v>
      </c>
      <c r="G535" s="92" t="s">
        <v>4839</v>
      </c>
      <c r="H535" s="89" t="s">
        <v>4029</v>
      </c>
      <c r="I535" s="90" t="s">
        <v>4030</v>
      </c>
      <c r="J535" s="89"/>
    </row>
    <row r="536" customFormat="false" ht="28.35" hidden="false" customHeight="false" outlineLevel="0" collapsed="false">
      <c r="A536" s="89" t="s">
        <v>240</v>
      </c>
      <c r="B536" s="89" t="s">
        <v>632</v>
      </c>
      <c r="C536" s="90" t="s">
        <v>634</v>
      </c>
      <c r="D536" s="92" t="s">
        <v>636</v>
      </c>
      <c r="E536" s="90" t="s">
        <v>360</v>
      </c>
      <c r="F536" s="90" t="s">
        <v>4840</v>
      </c>
      <c r="G536" s="92" t="s">
        <v>2566</v>
      </c>
      <c r="H536" s="89" t="s">
        <v>4035</v>
      </c>
      <c r="I536" s="90" t="s">
        <v>4036</v>
      </c>
      <c r="J536" s="89"/>
    </row>
    <row r="537" customFormat="false" ht="41.75" hidden="false" customHeight="false" outlineLevel="0" collapsed="false">
      <c r="A537" s="89" t="s">
        <v>240</v>
      </c>
      <c r="B537" s="89" t="s">
        <v>483</v>
      </c>
      <c r="C537" s="90" t="s">
        <v>485</v>
      </c>
      <c r="D537" s="92" t="s">
        <v>490</v>
      </c>
      <c r="E537" s="90" t="s">
        <v>3859</v>
      </c>
      <c r="F537" s="90" t="s">
        <v>4841</v>
      </c>
      <c r="G537" s="92" t="s">
        <v>2549</v>
      </c>
      <c r="H537" s="89" t="s">
        <v>3971</v>
      </c>
      <c r="I537" s="90" t="s">
        <v>3972</v>
      </c>
      <c r="J537" s="89"/>
    </row>
    <row r="538" customFormat="false" ht="41.75" hidden="false" customHeight="false" outlineLevel="0" collapsed="false">
      <c r="A538" s="89" t="s">
        <v>240</v>
      </c>
      <c r="B538" s="89" t="s">
        <v>483</v>
      </c>
      <c r="C538" s="90" t="s">
        <v>485</v>
      </c>
      <c r="D538" s="92" t="s">
        <v>490</v>
      </c>
      <c r="E538" s="90" t="s">
        <v>912</v>
      </c>
      <c r="F538" s="90" t="s">
        <v>4842</v>
      </c>
      <c r="G538" s="92" t="s">
        <v>3751</v>
      </c>
      <c r="H538" s="89" t="s">
        <v>3841</v>
      </c>
      <c r="I538" s="90" t="s">
        <v>4843</v>
      </c>
      <c r="J538" s="89"/>
    </row>
    <row r="539" customFormat="false" ht="41.75" hidden="false" customHeight="false" outlineLevel="0" collapsed="false">
      <c r="A539" s="89" t="s">
        <v>240</v>
      </c>
      <c r="B539" s="89" t="s">
        <v>1323</v>
      </c>
      <c r="C539" s="90" t="s">
        <v>1325</v>
      </c>
      <c r="D539" s="92" t="s">
        <v>1327</v>
      </c>
      <c r="E539" s="90" t="s">
        <v>614</v>
      </c>
      <c r="F539" s="90" t="s">
        <v>4844</v>
      </c>
      <c r="G539" s="92" t="s">
        <v>4845</v>
      </c>
      <c r="H539" s="89" t="s">
        <v>4029</v>
      </c>
      <c r="I539" s="90" t="s">
        <v>4030</v>
      </c>
      <c r="J539" s="89"/>
    </row>
    <row r="540" customFormat="false" ht="41.75" hidden="false" customHeight="false" outlineLevel="0" collapsed="false">
      <c r="A540" s="89" t="s">
        <v>241</v>
      </c>
      <c r="B540" s="89" t="s">
        <v>73</v>
      </c>
      <c r="C540" s="90" t="s">
        <v>1329</v>
      </c>
      <c r="D540" s="92" t="s">
        <v>1332</v>
      </c>
      <c r="E540" s="90" t="s">
        <v>3859</v>
      </c>
      <c r="F540" s="90" t="s">
        <v>4846</v>
      </c>
      <c r="G540" s="92" t="s">
        <v>4847</v>
      </c>
      <c r="H540" s="89" t="s">
        <v>3862</v>
      </c>
      <c r="I540" s="90" t="s">
        <v>3863</v>
      </c>
      <c r="J540" s="89"/>
    </row>
    <row r="541" customFormat="false" ht="41.75" hidden="false" customHeight="false" outlineLevel="0" collapsed="false">
      <c r="A541" s="89" t="s">
        <v>241</v>
      </c>
      <c r="B541" s="89" t="s">
        <v>73</v>
      </c>
      <c r="C541" s="90" t="s">
        <v>1329</v>
      </c>
      <c r="D541" s="92" t="s">
        <v>1332</v>
      </c>
      <c r="E541" s="90" t="s">
        <v>614</v>
      </c>
      <c r="F541" s="90" t="s">
        <v>4848</v>
      </c>
      <c r="G541" s="92" t="s">
        <v>2805</v>
      </c>
      <c r="H541" s="89" t="s">
        <v>3872</v>
      </c>
      <c r="I541" s="90" t="s">
        <v>3873</v>
      </c>
      <c r="J541" s="89"/>
    </row>
    <row r="542" customFormat="false" ht="41.75" hidden="false" customHeight="false" outlineLevel="0" collapsed="false">
      <c r="A542" s="89" t="s">
        <v>241</v>
      </c>
      <c r="B542" s="89" t="s">
        <v>338</v>
      </c>
      <c r="C542" s="90" t="s">
        <v>340</v>
      </c>
      <c r="D542" s="92" t="s">
        <v>345</v>
      </c>
      <c r="E542" s="90" t="s">
        <v>3859</v>
      </c>
      <c r="F542" s="90" t="s">
        <v>4849</v>
      </c>
      <c r="G542" s="92" t="s">
        <v>4850</v>
      </c>
      <c r="H542" s="89" t="s">
        <v>3862</v>
      </c>
      <c r="I542" s="90" t="s">
        <v>3863</v>
      </c>
      <c r="J542" s="89"/>
    </row>
    <row r="543" customFormat="false" ht="68.65" hidden="false" customHeight="false" outlineLevel="0" collapsed="false">
      <c r="A543" s="89" t="s">
        <v>241</v>
      </c>
      <c r="B543" s="89" t="s">
        <v>338</v>
      </c>
      <c r="C543" s="90" t="s">
        <v>340</v>
      </c>
      <c r="D543" s="92" t="s">
        <v>345</v>
      </c>
      <c r="E543" s="90" t="s">
        <v>912</v>
      </c>
      <c r="F543" s="90" t="s">
        <v>4851</v>
      </c>
      <c r="G543" s="92" t="s">
        <v>4852</v>
      </c>
      <c r="H543" s="89" t="s">
        <v>4088</v>
      </c>
      <c r="I543" s="90" t="s">
        <v>4853</v>
      </c>
      <c r="J543" s="92" t="s">
        <v>3751</v>
      </c>
    </row>
    <row r="544" customFormat="false" ht="28.35" hidden="false" customHeight="false" outlineLevel="0" collapsed="false">
      <c r="A544" s="89" t="s">
        <v>241</v>
      </c>
      <c r="B544" s="89" t="s">
        <v>338</v>
      </c>
      <c r="C544" s="90" t="s">
        <v>340</v>
      </c>
      <c r="D544" s="92" t="s">
        <v>345</v>
      </c>
      <c r="E544" s="90" t="s">
        <v>464</v>
      </c>
      <c r="F544" s="90" t="s">
        <v>4854</v>
      </c>
      <c r="G544" s="92" t="s">
        <v>4855</v>
      </c>
      <c r="H544" s="89" t="s">
        <v>4176</v>
      </c>
      <c r="I544" s="90" t="s">
        <v>4177</v>
      </c>
      <c r="J544" s="89"/>
    </row>
    <row r="545" customFormat="false" ht="202.95" hidden="false" customHeight="false" outlineLevel="0" collapsed="false">
      <c r="A545" s="89" t="s">
        <v>241</v>
      </c>
      <c r="B545" s="89" t="s">
        <v>338</v>
      </c>
      <c r="C545" s="90" t="s">
        <v>340</v>
      </c>
      <c r="D545" s="92" t="s">
        <v>345</v>
      </c>
      <c r="E545" s="90" t="s">
        <v>1024</v>
      </c>
      <c r="F545" s="90" t="s">
        <v>4851</v>
      </c>
      <c r="G545" s="92" t="s">
        <v>4852</v>
      </c>
      <c r="H545" s="89" t="s">
        <v>4088</v>
      </c>
      <c r="I545" s="90" t="s">
        <v>4856</v>
      </c>
      <c r="J545" s="92" t="s">
        <v>3751</v>
      </c>
    </row>
    <row r="546" customFormat="false" ht="28.35" hidden="false" customHeight="false" outlineLevel="0" collapsed="false">
      <c r="A546" s="89" t="s">
        <v>241</v>
      </c>
      <c r="B546" s="89" t="s">
        <v>338</v>
      </c>
      <c r="C546" s="90" t="s">
        <v>340</v>
      </c>
      <c r="D546" s="92" t="s">
        <v>345</v>
      </c>
      <c r="E546" s="90" t="s">
        <v>360</v>
      </c>
      <c r="F546" s="90" t="s">
        <v>4857</v>
      </c>
      <c r="G546" s="92" t="s">
        <v>4858</v>
      </c>
      <c r="H546" s="89" t="s">
        <v>3892</v>
      </c>
      <c r="I546" s="90" t="s">
        <v>3893</v>
      </c>
      <c r="J546" s="89"/>
    </row>
    <row r="547" customFormat="false" ht="28.35" hidden="false" customHeight="false" outlineLevel="0" collapsed="false">
      <c r="A547" s="89" t="s">
        <v>241</v>
      </c>
      <c r="B547" s="89" t="s">
        <v>1337</v>
      </c>
      <c r="C547" s="90" t="s">
        <v>1339</v>
      </c>
      <c r="D547" s="92" t="s">
        <v>1341</v>
      </c>
      <c r="E547" s="90" t="s">
        <v>284</v>
      </c>
      <c r="F547" s="90" t="s">
        <v>4859</v>
      </c>
      <c r="G547" s="92" t="s">
        <v>2890</v>
      </c>
      <c r="H547" s="89" t="s">
        <v>3837</v>
      </c>
      <c r="I547" s="90" t="s">
        <v>3838</v>
      </c>
      <c r="J547" s="89"/>
    </row>
    <row r="548" customFormat="false" ht="28.35" hidden="false" customHeight="false" outlineLevel="0" collapsed="false">
      <c r="A548" s="89" t="s">
        <v>241</v>
      </c>
      <c r="B548" s="89" t="s">
        <v>394</v>
      </c>
      <c r="C548" s="90" t="s">
        <v>396</v>
      </c>
      <c r="D548" s="92" t="s">
        <v>400</v>
      </c>
      <c r="E548" s="90" t="s">
        <v>284</v>
      </c>
      <c r="F548" s="90" t="s">
        <v>4860</v>
      </c>
      <c r="G548" s="92" t="s">
        <v>4861</v>
      </c>
      <c r="H548" s="89" t="s">
        <v>3837</v>
      </c>
      <c r="I548" s="90" t="s">
        <v>3838</v>
      </c>
      <c r="J548" s="89"/>
    </row>
    <row r="549" customFormat="false" ht="41.75" hidden="false" customHeight="false" outlineLevel="0" collapsed="false">
      <c r="A549" s="89" t="s">
        <v>241</v>
      </c>
      <c r="B549" s="89" t="s">
        <v>394</v>
      </c>
      <c r="C549" s="90" t="s">
        <v>396</v>
      </c>
      <c r="D549" s="92" t="s">
        <v>400</v>
      </c>
      <c r="E549" s="90" t="s">
        <v>912</v>
      </c>
      <c r="F549" s="90" t="s">
        <v>4851</v>
      </c>
      <c r="G549" s="92" t="s">
        <v>3751</v>
      </c>
      <c r="H549" s="89" t="s">
        <v>3841</v>
      </c>
      <c r="I549" s="90" t="s">
        <v>4862</v>
      </c>
      <c r="J549" s="89"/>
    </row>
    <row r="550" customFormat="false" ht="41.75" hidden="false" customHeight="false" outlineLevel="0" collapsed="false">
      <c r="A550" s="89" t="s">
        <v>241</v>
      </c>
      <c r="B550" s="89" t="s">
        <v>804</v>
      </c>
      <c r="C550" s="90" t="s">
        <v>806</v>
      </c>
      <c r="D550" s="92" t="s">
        <v>811</v>
      </c>
      <c r="E550" s="90" t="s">
        <v>912</v>
      </c>
      <c r="F550" s="90" t="s">
        <v>4863</v>
      </c>
      <c r="G550" s="92" t="s">
        <v>3751</v>
      </c>
      <c r="H550" s="89" t="s">
        <v>3841</v>
      </c>
      <c r="I550" s="90" t="s">
        <v>4864</v>
      </c>
      <c r="J550" s="89"/>
    </row>
    <row r="551" customFormat="false" ht="55.2" hidden="false" customHeight="false" outlineLevel="0" collapsed="false">
      <c r="A551" s="89" t="s">
        <v>241</v>
      </c>
      <c r="B551" s="89" t="s">
        <v>804</v>
      </c>
      <c r="C551" s="90" t="s">
        <v>806</v>
      </c>
      <c r="D551" s="92" t="s">
        <v>811</v>
      </c>
      <c r="E551" s="90" t="s">
        <v>4865</v>
      </c>
      <c r="F551" s="90" t="s">
        <v>4863</v>
      </c>
      <c r="G551" s="92" t="s">
        <v>4866</v>
      </c>
      <c r="H551" s="89" t="s">
        <v>3868</v>
      </c>
      <c r="I551" s="90" t="s">
        <v>4867</v>
      </c>
      <c r="J551" s="92" t="s">
        <v>3751</v>
      </c>
    </row>
    <row r="552" customFormat="false" ht="41.75" hidden="false" customHeight="false" outlineLevel="0" collapsed="false">
      <c r="A552" s="89" t="s">
        <v>241</v>
      </c>
      <c r="B552" s="89" t="s">
        <v>804</v>
      </c>
      <c r="C552" s="90" t="s">
        <v>806</v>
      </c>
      <c r="D552" s="92" t="s">
        <v>811</v>
      </c>
      <c r="E552" s="90" t="s">
        <v>614</v>
      </c>
      <c r="F552" s="90" t="s">
        <v>4868</v>
      </c>
      <c r="G552" s="92" t="s">
        <v>4869</v>
      </c>
      <c r="H552" s="89" t="s">
        <v>4029</v>
      </c>
      <c r="I552" s="90" t="s">
        <v>4030</v>
      </c>
      <c r="J552" s="89"/>
    </row>
    <row r="553" customFormat="false" ht="41.75" hidden="false" customHeight="false" outlineLevel="0" collapsed="false">
      <c r="A553" s="89" t="s">
        <v>241</v>
      </c>
      <c r="B553" s="89" t="s">
        <v>295</v>
      </c>
      <c r="C553" s="90" t="s">
        <v>296</v>
      </c>
      <c r="D553" s="92" t="s">
        <v>298</v>
      </c>
      <c r="E553" s="90" t="s">
        <v>3859</v>
      </c>
      <c r="F553" s="90" t="s">
        <v>4870</v>
      </c>
      <c r="G553" s="92" t="s">
        <v>4871</v>
      </c>
      <c r="H553" s="89" t="s">
        <v>3862</v>
      </c>
      <c r="I553" s="90" t="s">
        <v>3863</v>
      </c>
      <c r="J553" s="89"/>
    </row>
    <row r="554" customFormat="false" ht="41.75" hidden="false" customHeight="false" outlineLevel="0" collapsed="false">
      <c r="A554" s="89" t="s">
        <v>241</v>
      </c>
      <c r="B554" s="89" t="s">
        <v>295</v>
      </c>
      <c r="C554" s="90" t="s">
        <v>296</v>
      </c>
      <c r="D554" s="92" t="s">
        <v>298</v>
      </c>
      <c r="E554" s="90" t="s">
        <v>912</v>
      </c>
      <c r="F554" s="90" t="s">
        <v>4851</v>
      </c>
      <c r="G554" s="92" t="s">
        <v>3751</v>
      </c>
      <c r="H554" s="89" t="s">
        <v>3841</v>
      </c>
      <c r="I554" s="90" t="s">
        <v>4872</v>
      </c>
      <c r="J554" s="89"/>
    </row>
    <row r="555" customFormat="false" ht="41.75" hidden="false" customHeight="false" outlineLevel="0" collapsed="false">
      <c r="A555" s="89" t="s">
        <v>241</v>
      </c>
      <c r="B555" s="89" t="s">
        <v>295</v>
      </c>
      <c r="C555" s="90" t="s">
        <v>296</v>
      </c>
      <c r="D555" s="92" t="s">
        <v>298</v>
      </c>
      <c r="E555" s="90" t="s">
        <v>4873</v>
      </c>
      <c r="F555" s="90" t="s">
        <v>4851</v>
      </c>
      <c r="G555" s="92" t="s">
        <v>3751</v>
      </c>
      <c r="H555" s="89" t="s">
        <v>3841</v>
      </c>
      <c r="I555" s="90" t="s">
        <v>4874</v>
      </c>
      <c r="J555" s="89"/>
    </row>
    <row r="556" customFormat="false" ht="41.75" hidden="false" customHeight="false" outlineLevel="0" collapsed="false">
      <c r="A556" s="89" t="s">
        <v>241</v>
      </c>
      <c r="B556" s="89" t="s">
        <v>476</v>
      </c>
      <c r="C556" s="90" t="s">
        <v>478</v>
      </c>
      <c r="D556" s="92" t="s">
        <v>482</v>
      </c>
      <c r="E556" s="90" t="s">
        <v>912</v>
      </c>
      <c r="F556" s="90" t="s">
        <v>4851</v>
      </c>
      <c r="G556" s="92" t="s">
        <v>3751</v>
      </c>
      <c r="H556" s="89" t="s">
        <v>3841</v>
      </c>
      <c r="I556" s="90" t="s">
        <v>4875</v>
      </c>
      <c r="J556" s="89"/>
    </row>
    <row r="557" customFormat="false" ht="28.35" hidden="false" customHeight="false" outlineLevel="0" collapsed="false">
      <c r="A557" s="89" t="s">
        <v>241</v>
      </c>
      <c r="B557" s="89" t="s">
        <v>476</v>
      </c>
      <c r="C557" s="90" t="s">
        <v>478</v>
      </c>
      <c r="D557" s="92" t="s">
        <v>482</v>
      </c>
      <c r="E557" s="90" t="s">
        <v>464</v>
      </c>
      <c r="F557" s="90" t="s">
        <v>4876</v>
      </c>
      <c r="G557" s="92" t="s">
        <v>4877</v>
      </c>
      <c r="H557" s="89" t="s">
        <v>80</v>
      </c>
      <c r="I557" s="90" t="s">
        <v>3854</v>
      </c>
      <c r="J557" s="89"/>
    </row>
    <row r="558" customFormat="false" ht="55.2" hidden="false" customHeight="false" outlineLevel="0" collapsed="false">
      <c r="A558" s="89" t="s">
        <v>241</v>
      </c>
      <c r="B558" s="89" t="s">
        <v>476</v>
      </c>
      <c r="C558" s="90" t="s">
        <v>478</v>
      </c>
      <c r="D558" s="92" t="s">
        <v>482</v>
      </c>
      <c r="E558" s="90" t="s">
        <v>4878</v>
      </c>
      <c r="F558" s="90" t="s">
        <v>4851</v>
      </c>
      <c r="G558" s="92" t="s">
        <v>4879</v>
      </c>
      <c r="H558" s="89" t="s">
        <v>3868</v>
      </c>
      <c r="I558" s="90" t="s">
        <v>4880</v>
      </c>
      <c r="J558" s="92" t="s">
        <v>3751</v>
      </c>
    </row>
    <row r="559" customFormat="false" ht="28.35" hidden="false" customHeight="false" outlineLevel="0" collapsed="false">
      <c r="A559" s="89" t="s">
        <v>241</v>
      </c>
      <c r="B559" s="89" t="s">
        <v>483</v>
      </c>
      <c r="C559" s="90" t="s">
        <v>485</v>
      </c>
      <c r="D559" s="92" t="s">
        <v>490</v>
      </c>
      <c r="E559" s="90" t="s">
        <v>3859</v>
      </c>
      <c r="F559" s="90" t="s">
        <v>4881</v>
      </c>
      <c r="G559" s="92" t="s">
        <v>2549</v>
      </c>
      <c r="H559" s="89" t="s">
        <v>3971</v>
      </c>
      <c r="I559" s="90" t="s">
        <v>3972</v>
      </c>
      <c r="J559" s="89"/>
    </row>
    <row r="560" customFormat="false" ht="55.2" hidden="false" customHeight="false" outlineLevel="0" collapsed="false">
      <c r="A560" s="89" t="s">
        <v>241</v>
      </c>
      <c r="B560" s="89" t="s">
        <v>483</v>
      </c>
      <c r="C560" s="90" t="s">
        <v>485</v>
      </c>
      <c r="D560" s="92" t="s">
        <v>490</v>
      </c>
      <c r="E560" s="90" t="s">
        <v>912</v>
      </c>
      <c r="F560" s="90" t="s">
        <v>4882</v>
      </c>
      <c r="G560" s="92" t="s">
        <v>3751</v>
      </c>
      <c r="H560" s="89" t="s">
        <v>3841</v>
      </c>
      <c r="I560" s="90" t="s">
        <v>4883</v>
      </c>
      <c r="J560" s="89"/>
    </row>
    <row r="561" customFormat="false" ht="28.35" hidden="false" customHeight="false" outlineLevel="0" collapsed="false">
      <c r="A561" s="89" t="s">
        <v>241</v>
      </c>
      <c r="B561" s="89" t="s">
        <v>483</v>
      </c>
      <c r="C561" s="90" t="s">
        <v>485</v>
      </c>
      <c r="D561" s="92" t="s">
        <v>490</v>
      </c>
      <c r="E561" s="90" t="s">
        <v>464</v>
      </c>
      <c r="F561" s="90" t="s">
        <v>4884</v>
      </c>
      <c r="G561" s="92" t="s">
        <v>4885</v>
      </c>
      <c r="H561" s="89" t="s">
        <v>80</v>
      </c>
      <c r="I561" s="90" t="s">
        <v>3854</v>
      </c>
      <c r="J561" s="89"/>
    </row>
    <row r="562" customFormat="false" ht="82.05" hidden="false" customHeight="false" outlineLevel="0" collapsed="false">
      <c r="A562" s="89" t="s">
        <v>241</v>
      </c>
      <c r="B562" s="89" t="s">
        <v>483</v>
      </c>
      <c r="C562" s="90" t="s">
        <v>485</v>
      </c>
      <c r="D562" s="92" t="s">
        <v>490</v>
      </c>
      <c r="E562" s="90" t="s">
        <v>4886</v>
      </c>
      <c r="F562" s="90" t="s">
        <v>4882</v>
      </c>
      <c r="G562" s="92" t="s">
        <v>3751</v>
      </c>
      <c r="H562" s="89" t="s">
        <v>3841</v>
      </c>
      <c r="I562" s="90" t="s">
        <v>4887</v>
      </c>
      <c r="J562" s="89"/>
    </row>
    <row r="563" customFormat="false" ht="41.75" hidden="false" customHeight="false" outlineLevel="0" collapsed="false">
      <c r="A563" s="89" t="s">
        <v>241</v>
      </c>
      <c r="B563" s="89" t="s">
        <v>483</v>
      </c>
      <c r="C563" s="90" t="s">
        <v>485</v>
      </c>
      <c r="D563" s="92" t="s">
        <v>490</v>
      </c>
      <c r="E563" s="90" t="s">
        <v>614</v>
      </c>
      <c r="F563" s="90" t="s">
        <v>4888</v>
      </c>
      <c r="G563" s="92" t="s">
        <v>4889</v>
      </c>
      <c r="H563" s="89" t="s">
        <v>3872</v>
      </c>
      <c r="I563" s="90" t="s">
        <v>3873</v>
      </c>
      <c r="J563" s="89"/>
    </row>
    <row r="564" customFormat="false" ht="28.35" hidden="false" customHeight="false" outlineLevel="0" collapsed="false">
      <c r="A564" s="89" t="s">
        <v>241</v>
      </c>
      <c r="B564" s="89" t="s">
        <v>483</v>
      </c>
      <c r="C564" s="90" t="s">
        <v>485</v>
      </c>
      <c r="D564" s="92" t="s">
        <v>490</v>
      </c>
      <c r="E564" s="90" t="s">
        <v>360</v>
      </c>
      <c r="F564" s="90" t="s">
        <v>4890</v>
      </c>
      <c r="G564" s="92" t="s">
        <v>4891</v>
      </c>
      <c r="H564" s="89" t="s">
        <v>3892</v>
      </c>
      <c r="I564" s="90" t="s">
        <v>3893</v>
      </c>
      <c r="J564" s="89"/>
    </row>
    <row r="565" customFormat="false" ht="41.75" hidden="false" customHeight="false" outlineLevel="0" collapsed="false">
      <c r="A565" s="89" t="s">
        <v>241</v>
      </c>
      <c r="B565" s="89" t="s">
        <v>1358</v>
      </c>
      <c r="C565" s="90" t="s">
        <v>1360</v>
      </c>
      <c r="D565" s="92" t="s">
        <v>1363</v>
      </c>
      <c r="E565" s="90" t="s">
        <v>912</v>
      </c>
      <c r="F565" s="90" t="s">
        <v>4863</v>
      </c>
      <c r="G565" s="92" t="s">
        <v>3751</v>
      </c>
      <c r="H565" s="89" t="s">
        <v>3841</v>
      </c>
      <c r="I565" s="90" t="s">
        <v>4892</v>
      </c>
      <c r="J565" s="89"/>
    </row>
    <row r="566" customFormat="false" ht="41.75" hidden="false" customHeight="false" outlineLevel="0" collapsed="false">
      <c r="A566" s="89" t="s">
        <v>241</v>
      </c>
      <c r="B566" s="89" t="s">
        <v>1358</v>
      </c>
      <c r="C566" s="90" t="s">
        <v>1360</v>
      </c>
      <c r="D566" s="92" t="s">
        <v>1363</v>
      </c>
      <c r="E566" s="90" t="s">
        <v>4893</v>
      </c>
      <c r="F566" s="90" t="s">
        <v>4863</v>
      </c>
      <c r="G566" s="92" t="s">
        <v>3751</v>
      </c>
      <c r="H566" s="89" t="s">
        <v>3841</v>
      </c>
      <c r="I566" s="90" t="s">
        <v>4894</v>
      </c>
      <c r="J566" s="89"/>
    </row>
    <row r="567" customFormat="false" ht="41.75" hidden="false" customHeight="false" outlineLevel="0" collapsed="false">
      <c r="A567" s="89" t="s">
        <v>241</v>
      </c>
      <c r="B567" s="89" t="s">
        <v>1358</v>
      </c>
      <c r="C567" s="90" t="s">
        <v>1360</v>
      </c>
      <c r="D567" s="92" t="s">
        <v>1363</v>
      </c>
      <c r="E567" s="90" t="s">
        <v>614</v>
      </c>
      <c r="F567" s="90" t="s">
        <v>4895</v>
      </c>
      <c r="G567" s="92" t="s">
        <v>4896</v>
      </c>
      <c r="H567" s="89" t="s">
        <v>3872</v>
      </c>
      <c r="I567" s="90" t="s">
        <v>3873</v>
      </c>
      <c r="J567" s="89"/>
    </row>
    <row r="568" customFormat="false" ht="41.75" hidden="false" customHeight="false" outlineLevel="0" collapsed="false">
      <c r="A568" s="89" t="s">
        <v>241</v>
      </c>
      <c r="B568" s="89" t="s">
        <v>534</v>
      </c>
      <c r="C568" s="90" t="s">
        <v>535</v>
      </c>
      <c r="D568" s="92" t="s">
        <v>540</v>
      </c>
      <c r="E568" s="90" t="s">
        <v>3859</v>
      </c>
      <c r="F568" s="90" t="s">
        <v>4897</v>
      </c>
      <c r="G568" s="92" t="s">
        <v>2590</v>
      </c>
      <c r="H568" s="89" t="s">
        <v>3971</v>
      </c>
      <c r="I568" s="90" t="s">
        <v>3972</v>
      </c>
      <c r="J568" s="89"/>
    </row>
    <row r="569" customFormat="false" ht="41.75" hidden="false" customHeight="false" outlineLevel="0" collapsed="false">
      <c r="A569" s="89" t="s">
        <v>241</v>
      </c>
      <c r="B569" s="89" t="s">
        <v>534</v>
      </c>
      <c r="C569" s="90" t="s">
        <v>535</v>
      </c>
      <c r="D569" s="92" t="s">
        <v>540</v>
      </c>
      <c r="E569" s="90" t="s">
        <v>912</v>
      </c>
      <c r="F569" s="90" t="s">
        <v>4898</v>
      </c>
      <c r="G569" s="92" t="s">
        <v>3751</v>
      </c>
      <c r="H569" s="89" t="s">
        <v>3841</v>
      </c>
      <c r="I569" s="90" t="s">
        <v>4899</v>
      </c>
      <c r="J569" s="89"/>
    </row>
    <row r="570" customFormat="false" ht="82.05" hidden="false" customHeight="false" outlineLevel="0" collapsed="false">
      <c r="A570" s="89" t="s">
        <v>241</v>
      </c>
      <c r="B570" s="89" t="s">
        <v>534</v>
      </c>
      <c r="C570" s="90" t="s">
        <v>535</v>
      </c>
      <c r="D570" s="92" t="s">
        <v>540</v>
      </c>
      <c r="E570" s="90" t="s">
        <v>4900</v>
      </c>
      <c r="F570" s="90" t="s">
        <v>4898</v>
      </c>
      <c r="G570" s="92" t="s">
        <v>4901</v>
      </c>
      <c r="H570" s="89" t="s">
        <v>3868</v>
      </c>
      <c r="I570" s="90" t="s">
        <v>4902</v>
      </c>
      <c r="J570" s="92" t="s">
        <v>3751</v>
      </c>
    </row>
    <row r="571" customFormat="false" ht="41.75" hidden="false" customHeight="false" outlineLevel="0" collapsed="false">
      <c r="A571" s="89" t="s">
        <v>241</v>
      </c>
      <c r="B571" s="89" t="s">
        <v>1120</v>
      </c>
      <c r="C571" s="90" t="s">
        <v>1121</v>
      </c>
      <c r="D571" s="92" t="s">
        <v>1125</v>
      </c>
      <c r="E571" s="90" t="s">
        <v>1369</v>
      </c>
      <c r="F571" s="90" t="s">
        <v>4863</v>
      </c>
      <c r="G571" s="92" t="s">
        <v>3751</v>
      </c>
      <c r="H571" s="89" t="s">
        <v>3841</v>
      </c>
      <c r="I571" s="90" t="s">
        <v>4903</v>
      </c>
      <c r="J571" s="89"/>
    </row>
    <row r="572" customFormat="false" ht="28.35" hidden="false" customHeight="false" outlineLevel="0" collapsed="false">
      <c r="A572" s="89" t="s">
        <v>241</v>
      </c>
      <c r="B572" s="89" t="s">
        <v>665</v>
      </c>
      <c r="C572" s="90" t="s">
        <v>667</v>
      </c>
      <c r="D572" s="92" t="s">
        <v>670</v>
      </c>
      <c r="E572" s="90" t="s">
        <v>284</v>
      </c>
      <c r="F572" s="90" t="s">
        <v>4904</v>
      </c>
      <c r="G572" s="92" t="s">
        <v>4757</v>
      </c>
      <c r="H572" s="89" t="s">
        <v>3837</v>
      </c>
      <c r="I572" s="90" t="s">
        <v>3838</v>
      </c>
      <c r="J572" s="89"/>
    </row>
    <row r="573" customFormat="false" ht="28.35" hidden="false" customHeight="false" outlineLevel="0" collapsed="false">
      <c r="A573" s="89" t="s">
        <v>241</v>
      </c>
      <c r="B573" s="89" t="s">
        <v>665</v>
      </c>
      <c r="C573" s="90" t="s">
        <v>667</v>
      </c>
      <c r="D573" s="92" t="s">
        <v>670</v>
      </c>
      <c r="E573" s="90" t="s">
        <v>3859</v>
      </c>
      <c r="F573" s="90" t="s">
        <v>4905</v>
      </c>
      <c r="G573" s="92" t="s">
        <v>2573</v>
      </c>
      <c r="H573" s="89" t="s">
        <v>3971</v>
      </c>
      <c r="I573" s="90" t="s">
        <v>3972</v>
      </c>
      <c r="J573" s="89"/>
    </row>
    <row r="574" customFormat="false" ht="41.75" hidden="false" customHeight="false" outlineLevel="0" collapsed="false">
      <c r="A574" s="89" t="s">
        <v>241</v>
      </c>
      <c r="B574" s="89" t="s">
        <v>665</v>
      </c>
      <c r="C574" s="90" t="s">
        <v>667</v>
      </c>
      <c r="D574" s="92" t="s">
        <v>670</v>
      </c>
      <c r="E574" s="90" t="s">
        <v>912</v>
      </c>
      <c r="F574" s="90" t="s">
        <v>4906</v>
      </c>
      <c r="G574" s="92" t="s">
        <v>3751</v>
      </c>
      <c r="H574" s="89" t="s">
        <v>3841</v>
      </c>
      <c r="I574" s="90" t="s">
        <v>4907</v>
      </c>
      <c r="J574" s="89"/>
    </row>
    <row r="575" customFormat="false" ht="41.75" hidden="false" customHeight="false" outlineLevel="0" collapsed="false">
      <c r="A575" s="89" t="s">
        <v>241</v>
      </c>
      <c r="B575" s="89" t="s">
        <v>665</v>
      </c>
      <c r="C575" s="90" t="s">
        <v>667</v>
      </c>
      <c r="D575" s="92" t="s">
        <v>670</v>
      </c>
      <c r="E575" s="90" t="s">
        <v>4908</v>
      </c>
      <c r="F575" s="90" t="s">
        <v>4906</v>
      </c>
      <c r="G575" s="92" t="s">
        <v>3751</v>
      </c>
      <c r="H575" s="89" t="s">
        <v>3841</v>
      </c>
      <c r="I575" s="90" t="s">
        <v>4909</v>
      </c>
      <c r="J575" s="89"/>
    </row>
    <row r="576" customFormat="false" ht="28.35" hidden="false" customHeight="false" outlineLevel="0" collapsed="false">
      <c r="A576" s="89" t="s">
        <v>241</v>
      </c>
      <c r="B576" s="89" t="s">
        <v>665</v>
      </c>
      <c r="C576" s="90" t="s">
        <v>667</v>
      </c>
      <c r="D576" s="92" t="s">
        <v>670</v>
      </c>
      <c r="E576" s="90" t="s">
        <v>360</v>
      </c>
      <c r="F576" s="90" t="s">
        <v>4910</v>
      </c>
      <c r="G576" s="92" t="s">
        <v>4911</v>
      </c>
      <c r="H576" s="89" t="s">
        <v>3892</v>
      </c>
      <c r="I576" s="90" t="s">
        <v>3893</v>
      </c>
      <c r="J576" s="89"/>
    </row>
    <row r="577" customFormat="false" ht="41.75" hidden="false" customHeight="false" outlineLevel="0" collapsed="false">
      <c r="A577" s="89" t="s">
        <v>241</v>
      </c>
      <c r="B577" s="89" t="s">
        <v>671</v>
      </c>
      <c r="C577" s="90" t="s">
        <v>673</v>
      </c>
      <c r="D577" s="92" t="s">
        <v>675</v>
      </c>
      <c r="E577" s="90" t="s">
        <v>3859</v>
      </c>
      <c r="F577" s="90" t="s">
        <v>4912</v>
      </c>
      <c r="G577" s="92" t="s">
        <v>3686</v>
      </c>
      <c r="H577" s="89" t="s">
        <v>3862</v>
      </c>
      <c r="I577" s="90" t="s">
        <v>3863</v>
      </c>
      <c r="J577" s="89"/>
    </row>
    <row r="578" customFormat="false" ht="41.75" hidden="false" customHeight="false" outlineLevel="0" collapsed="false">
      <c r="A578" s="89" t="s">
        <v>241</v>
      </c>
      <c r="B578" s="89" t="s">
        <v>671</v>
      </c>
      <c r="C578" s="90" t="s">
        <v>673</v>
      </c>
      <c r="D578" s="92" t="s">
        <v>675</v>
      </c>
      <c r="E578" s="90" t="s">
        <v>912</v>
      </c>
      <c r="F578" s="90" t="s">
        <v>4913</v>
      </c>
      <c r="G578" s="92" t="s">
        <v>3751</v>
      </c>
      <c r="H578" s="89" t="s">
        <v>3841</v>
      </c>
      <c r="I578" s="90" t="s">
        <v>4914</v>
      </c>
      <c r="J578" s="89"/>
    </row>
    <row r="579" customFormat="false" ht="41.75" hidden="false" customHeight="false" outlineLevel="0" collapsed="false">
      <c r="A579" s="89" t="s">
        <v>241</v>
      </c>
      <c r="B579" s="89" t="s">
        <v>671</v>
      </c>
      <c r="C579" s="90" t="s">
        <v>673</v>
      </c>
      <c r="D579" s="92" t="s">
        <v>675</v>
      </c>
      <c r="E579" s="90" t="s">
        <v>4915</v>
      </c>
      <c r="F579" s="90" t="s">
        <v>4913</v>
      </c>
      <c r="G579" s="92" t="s">
        <v>3751</v>
      </c>
      <c r="H579" s="89" t="s">
        <v>3841</v>
      </c>
      <c r="I579" s="90" t="s">
        <v>4916</v>
      </c>
      <c r="J579" s="89"/>
    </row>
    <row r="580" customFormat="false" ht="41.75" hidden="false" customHeight="false" outlineLevel="0" collapsed="false">
      <c r="A580" s="89" t="s">
        <v>241</v>
      </c>
      <c r="B580" s="89" t="s">
        <v>1376</v>
      </c>
      <c r="C580" s="90" t="s">
        <v>1378</v>
      </c>
      <c r="D580" s="92" t="s">
        <v>1382</v>
      </c>
      <c r="E580" s="90" t="s">
        <v>3859</v>
      </c>
      <c r="F580" s="90" t="s">
        <v>4917</v>
      </c>
      <c r="G580" s="92" t="s">
        <v>3549</v>
      </c>
      <c r="H580" s="89" t="s">
        <v>3862</v>
      </c>
      <c r="I580" s="90" t="s">
        <v>3863</v>
      </c>
      <c r="J580" s="89"/>
    </row>
    <row r="581" customFormat="false" ht="41.75" hidden="false" customHeight="false" outlineLevel="0" collapsed="false">
      <c r="A581" s="89" t="s">
        <v>241</v>
      </c>
      <c r="B581" s="89" t="s">
        <v>1376</v>
      </c>
      <c r="C581" s="90" t="s">
        <v>1378</v>
      </c>
      <c r="D581" s="92" t="s">
        <v>1382</v>
      </c>
      <c r="E581" s="90" t="s">
        <v>912</v>
      </c>
      <c r="F581" s="90" t="s">
        <v>4863</v>
      </c>
      <c r="G581" s="92" t="s">
        <v>3751</v>
      </c>
      <c r="H581" s="89" t="s">
        <v>3841</v>
      </c>
      <c r="I581" s="90" t="s">
        <v>4918</v>
      </c>
      <c r="J581" s="89"/>
    </row>
    <row r="582" customFormat="false" ht="55.2" hidden="false" customHeight="false" outlineLevel="0" collapsed="false">
      <c r="A582" s="89" t="s">
        <v>241</v>
      </c>
      <c r="B582" s="89" t="s">
        <v>1376</v>
      </c>
      <c r="C582" s="90" t="s">
        <v>1378</v>
      </c>
      <c r="D582" s="92" t="s">
        <v>1382</v>
      </c>
      <c r="E582" s="90" t="s">
        <v>4919</v>
      </c>
      <c r="F582" s="90" t="s">
        <v>4863</v>
      </c>
      <c r="G582" s="92" t="s">
        <v>4920</v>
      </c>
      <c r="H582" s="89" t="s">
        <v>3868</v>
      </c>
      <c r="I582" s="90" t="s">
        <v>4921</v>
      </c>
      <c r="J582" s="92" t="s">
        <v>3751</v>
      </c>
    </row>
    <row r="583" customFormat="false" ht="28.35" hidden="false" customHeight="false" outlineLevel="0" collapsed="false">
      <c r="A583" s="89" t="s">
        <v>241</v>
      </c>
      <c r="B583" s="89" t="s">
        <v>573</v>
      </c>
      <c r="C583" s="90" t="s">
        <v>574</v>
      </c>
      <c r="D583" s="92" t="s">
        <v>576</v>
      </c>
      <c r="E583" s="90" t="s">
        <v>464</v>
      </c>
      <c r="F583" s="90" t="s">
        <v>4922</v>
      </c>
      <c r="G583" s="92" t="s">
        <v>4923</v>
      </c>
      <c r="H583" s="89" t="s">
        <v>80</v>
      </c>
      <c r="I583" s="90" t="s">
        <v>3854</v>
      </c>
      <c r="J583" s="89"/>
    </row>
    <row r="584" customFormat="false" ht="28.35" hidden="false" customHeight="false" outlineLevel="0" collapsed="false">
      <c r="A584" s="89" t="s">
        <v>241</v>
      </c>
      <c r="B584" s="89" t="s">
        <v>676</v>
      </c>
      <c r="C584" s="90" t="s">
        <v>678</v>
      </c>
      <c r="D584" s="92" t="s">
        <v>680</v>
      </c>
      <c r="E584" s="90" t="s">
        <v>3859</v>
      </c>
      <c r="F584" s="90" t="s">
        <v>4924</v>
      </c>
      <c r="G584" s="92" t="s">
        <v>4925</v>
      </c>
      <c r="H584" s="89" t="s">
        <v>3862</v>
      </c>
      <c r="I584" s="90" t="s">
        <v>3863</v>
      </c>
      <c r="J584" s="89"/>
    </row>
    <row r="585" customFormat="false" ht="68.65" hidden="false" customHeight="false" outlineLevel="0" collapsed="false">
      <c r="A585" s="89" t="s">
        <v>241</v>
      </c>
      <c r="B585" s="89" t="s">
        <v>676</v>
      </c>
      <c r="C585" s="90" t="s">
        <v>678</v>
      </c>
      <c r="D585" s="92" t="s">
        <v>680</v>
      </c>
      <c r="E585" s="90" t="s">
        <v>4926</v>
      </c>
      <c r="F585" s="90" t="s">
        <v>4927</v>
      </c>
      <c r="G585" s="92" t="s">
        <v>4928</v>
      </c>
      <c r="H585" s="89" t="s">
        <v>3868</v>
      </c>
      <c r="I585" s="90" t="s">
        <v>4929</v>
      </c>
      <c r="J585" s="92" t="s">
        <v>3751</v>
      </c>
    </row>
    <row r="586" customFormat="false" ht="41.75" hidden="false" customHeight="false" outlineLevel="0" collapsed="false">
      <c r="A586" s="89" t="s">
        <v>241</v>
      </c>
      <c r="B586" s="89" t="s">
        <v>676</v>
      </c>
      <c r="C586" s="90" t="s">
        <v>678</v>
      </c>
      <c r="D586" s="92" t="s">
        <v>680</v>
      </c>
      <c r="E586" s="90" t="s">
        <v>614</v>
      </c>
      <c r="F586" s="90" t="s">
        <v>4930</v>
      </c>
      <c r="G586" s="92" t="s">
        <v>4931</v>
      </c>
      <c r="H586" s="89" t="s">
        <v>3872</v>
      </c>
      <c r="I586" s="90" t="s">
        <v>3873</v>
      </c>
      <c r="J586" s="89"/>
    </row>
    <row r="587" customFormat="false" ht="41.75" hidden="false" customHeight="false" outlineLevel="0" collapsed="false">
      <c r="A587" s="89" t="s">
        <v>241</v>
      </c>
      <c r="B587" s="89" t="s">
        <v>594</v>
      </c>
      <c r="C587" s="90" t="s">
        <v>596</v>
      </c>
      <c r="D587" s="92" t="s">
        <v>598</v>
      </c>
      <c r="E587" s="90" t="s">
        <v>3859</v>
      </c>
      <c r="F587" s="90" t="s">
        <v>4932</v>
      </c>
      <c r="G587" s="92" t="s">
        <v>4933</v>
      </c>
      <c r="H587" s="89" t="s">
        <v>3862</v>
      </c>
      <c r="I587" s="90" t="s">
        <v>3863</v>
      </c>
      <c r="J587" s="89"/>
    </row>
    <row r="588" customFormat="false" ht="41.75" hidden="false" customHeight="false" outlineLevel="0" collapsed="false">
      <c r="A588" s="89" t="s">
        <v>241</v>
      </c>
      <c r="B588" s="89" t="s">
        <v>594</v>
      </c>
      <c r="C588" s="90" t="s">
        <v>596</v>
      </c>
      <c r="D588" s="92" t="s">
        <v>598</v>
      </c>
      <c r="E588" s="90" t="s">
        <v>912</v>
      </c>
      <c r="F588" s="90" t="s">
        <v>4851</v>
      </c>
      <c r="G588" s="92" t="s">
        <v>3751</v>
      </c>
      <c r="H588" s="89" t="s">
        <v>3841</v>
      </c>
      <c r="I588" s="90" t="s">
        <v>4934</v>
      </c>
      <c r="J588" s="89"/>
    </row>
    <row r="589" customFormat="false" ht="41.75" hidden="false" customHeight="false" outlineLevel="0" collapsed="false">
      <c r="A589" s="89" t="s">
        <v>241</v>
      </c>
      <c r="B589" s="89" t="s">
        <v>594</v>
      </c>
      <c r="C589" s="90" t="s">
        <v>596</v>
      </c>
      <c r="D589" s="92" t="s">
        <v>598</v>
      </c>
      <c r="E589" s="90" t="s">
        <v>561</v>
      </c>
      <c r="F589" s="90" t="s">
        <v>4851</v>
      </c>
      <c r="G589" s="92" t="s">
        <v>3751</v>
      </c>
      <c r="H589" s="89" t="s">
        <v>3841</v>
      </c>
      <c r="I589" s="90" t="s">
        <v>4935</v>
      </c>
      <c r="J589" s="89"/>
    </row>
    <row r="590" customFormat="false" ht="41.75" hidden="false" customHeight="false" outlineLevel="0" collapsed="false">
      <c r="A590" s="89" t="s">
        <v>241</v>
      </c>
      <c r="B590" s="89" t="s">
        <v>594</v>
      </c>
      <c r="C590" s="90" t="s">
        <v>596</v>
      </c>
      <c r="D590" s="92" t="s">
        <v>598</v>
      </c>
      <c r="E590" s="90" t="s">
        <v>614</v>
      </c>
      <c r="F590" s="90" t="s">
        <v>4936</v>
      </c>
      <c r="G590" s="92" t="s">
        <v>4937</v>
      </c>
      <c r="H590" s="89" t="s">
        <v>4029</v>
      </c>
      <c r="I590" s="90" t="s">
        <v>4030</v>
      </c>
      <c r="J590" s="89"/>
    </row>
    <row r="591" customFormat="false" ht="28.35" hidden="false" customHeight="false" outlineLevel="0" collapsed="false">
      <c r="A591" s="89" t="s">
        <v>241</v>
      </c>
      <c r="B591" s="89" t="s">
        <v>594</v>
      </c>
      <c r="C591" s="90" t="s">
        <v>596</v>
      </c>
      <c r="D591" s="92" t="s">
        <v>598</v>
      </c>
      <c r="E591" s="90" t="s">
        <v>360</v>
      </c>
      <c r="F591" s="90" t="s">
        <v>4938</v>
      </c>
      <c r="G591" s="92" t="s">
        <v>4939</v>
      </c>
      <c r="H591" s="89" t="s">
        <v>3892</v>
      </c>
      <c r="I591" s="90" t="s">
        <v>3893</v>
      </c>
      <c r="J591" s="89"/>
    </row>
    <row r="592" customFormat="false" ht="41.75" hidden="false" customHeight="false" outlineLevel="0" collapsed="false">
      <c r="A592" s="89" t="s">
        <v>242</v>
      </c>
      <c r="B592" s="89" t="s">
        <v>295</v>
      </c>
      <c r="C592" s="90" t="s">
        <v>296</v>
      </c>
      <c r="D592" s="92" t="s">
        <v>298</v>
      </c>
      <c r="E592" s="90" t="s">
        <v>453</v>
      </c>
      <c r="F592" s="90" t="s">
        <v>4940</v>
      </c>
      <c r="G592" s="92" t="s">
        <v>3751</v>
      </c>
      <c r="H592" s="89" t="s">
        <v>3841</v>
      </c>
      <c r="I592" s="90" t="s">
        <v>4941</v>
      </c>
      <c r="J592" s="89"/>
    </row>
    <row r="593" customFormat="false" ht="41.75" hidden="false" customHeight="false" outlineLevel="0" collapsed="false">
      <c r="A593" s="89" t="s">
        <v>242</v>
      </c>
      <c r="B593" s="89" t="s">
        <v>1393</v>
      </c>
      <c r="C593" s="90" t="s">
        <v>520</v>
      </c>
      <c r="D593" s="92" t="s">
        <v>1396</v>
      </c>
      <c r="E593" s="90" t="s">
        <v>3859</v>
      </c>
      <c r="F593" s="90" t="s">
        <v>4942</v>
      </c>
      <c r="G593" s="92" t="s">
        <v>4943</v>
      </c>
      <c r="H593" s="89" t="s">
        <v>3862</v>
      </c>
      <c r="I593" s="90" t="s">
        <v>3863</v>
      </c>
      <c r="J593" s="89"/>
    </row>
    <row r="594" customFormat="false" ht="41.75" hidden="false" customHeight="false" outlineLevel="0" collapsed="false">
      <c r="A594" s="89" t="s">
        <v>242</v>
      </c>
      <c r="B594" s="89" t="s">
        <v>1393</v>
      </c>
      <c r="C594" s="90" t="s">
        <v>520</v>
      </c>
      <c r="D594" s="92" t="s">
        <v>1396</v>
      </c>
      <c r="E594" s="90" t="s">
        <v>912</v>
      </c>
      <c r="F594" s="90" t="s">
        <v>4944</v>
      </c>
      <c r="G594" s="92" t="s">
        <v>3751</v>
      </c>
      <c r="H594" s="89" t="s">
        <v>3841</v>
      </c>
      <c r="I594" s="90" t="s">
        <v>4945</v>
      </c>
      <c r="J594" s="89"/>
    </row>
    <row r="595" customFormat="false" ht="41.75" hidden="false" customHeight="false" outlineLevel="0" collapsed="false">
      <c r="A595" s="89" t="s">
        <v>242</v>
      </c>
      <c r="B595" s="89" t="s">
        <v>1266</v>
      </c>
      <c r="C595" s="90" t="s">
        <v>1268</v>
      </c>
      <c r="D595" s="92" t="s">
        <v>1271</v>
      </c>
      <c r="E595" s="90" t="s">
        <v>453</v>
      </c>
      <c r="F595" s="90" t="s">
        <v>4940</v>
      </c>
      <c r="G595" s="92" t="s">
        <v>3751</v>
      </c>
      <c r="H595" s="89" t="s">
        <v>3841</v>
      </c>
      <c r="I595" s="90" t="s">
        <v>4946</v>
      </c>
      <c r="J595" s="89"/>
    </row>
    <row r="596" customFormat="false" ht="41.75" hidden="false" customHeight="false" outlineLevel="0" collapsed="false">
      <c r="A596" s="89" t="s">
        <v>242</v>
      </c>
      <c r="B596" s="89" t="s">
        <v>483</v>
      </c>
      <c r="C596" s="90" t="s">
        <v>485</v>
      </c>
      <c r="D596" s="92" t="s">
        <v>490</v>
      </c>
      <c r="E596" s="90" t="s">
        <v>453</v>
      </c>
      <c r="F596" s="90" t="s">
        <v>4940</v>
      </c>
      <c r="G596" s="92" t="s">
        <v>3751</v>
      </c>
      <c r="H596" s="89" t="s">
        <v>3841</v>
      </c>
      <c r="I596" s="90" t="s">
        <v>4947</v>
      </c>
      <c r="J596" s="89"/>
    </row>
    <row r="597" customFormat="false" ht="41.75" hidden="false" customHeight="false" outlineLevel="0" collapsed="false">
      <c r="A597" s="89" t="s">
        <v>242</v>
      </c>
      <c r="B597" s="89" t="s">
        <v>1399</v>
      </c>
      <c r="C597" s="90" t="s">
        <v>1401</v>
      </c>
      <c r="D597" s="92" t="s">
        <v>1404</v>
      </c>
      <c r="E597" s="90" t="s">
        <v>1403</v>
      </c>
      <c r="F597" s="90" t="s">
        <v>4940</v>
      </c>
      <c r="G597" s="92" t="s">
        <v>3751</v>
      </c>
      <c r="H597" s="89" t="s">
        <v>3841</v>
      </c>
      <c r="I597" s="90" t="s">
        <v>4948</v>
      </c>
      <c r="J597" s="89"/>
    </row>
    <row r="598" customFormat="false" ht="28.35" hidden="false" customHeight="false" outlineLevel="0" collapsed="false">
      <c r="A598" s="89" t="s">
        <v>242</v>
      </c>
      <c r="B598" s="89" t="s">
        <v>910</v>
      </c>
      <c r="C598" s="90" t="s">
        <v>596</v>
      </c>
      <c r="D598" s="92" t="s">
        <v>913</v>
      </c>
      <c r="E598" s="90" t="s">
        <v>360</v>
      </c>
      <c r="F598" s="90" t="s">
        <v>4949</v>
      </c>
      <c r="G598" s="92" t="s">
        <v>4950</v>
      </c>
      <c r="H598" s="89" t="s">
        <v>4035</v>
      </c>
      <c r="I598" s="90" t="s">
        <v>4036</v>
      </c>
      <c r="J598" s="89"/>
    </row>
    <row r="599" customFormat="false" ht="41.75" hidden="false" customHeight="false" outlineLevel="0" collapsed="false">
      <c r="A599" s="89" t="s">
        <v>242</v>
      </c>
      <c r="B599" s="89" t="s">
        <v>1406</v>
      </c>
      <c r="C599" s="90" t="s">
        <v>1408</v>
      </c>
      <c r="D599" s="92" t="s">
        <v>1409</v>
      </c>
      <c r="E599" s="90" t="s">
        <v>453</v>
      </c>
      <c r="F599" s="90" t="s">
        <v>4940</v>
      </c>
      <c r="G599" s="92" t="s">
        <v>3751</v>
      </c>
      <c r="H599" s="89" t="s">
        <v>3841</v>
      </c>
      <c r="I599" s="90" t="s">
        <v>4951</v>
      </c>
      <c r="J599" s="89"/>
    </row>
    <row r="600" customFormat="false" ht="41.75" hidden="false" customHeight="false" outlineLevel="0" collapsed="false">
      <c r="A600" s="89" t="s">
        <v>243</v>
      </c>
      <c r="B600" s="89" t="s">
        <v>615</v>
      </c>
      <c r="C600" s="90" t="s">
        <v>617</v>
      </c>
      <c r="D600" s="92" t="s">
        <v>620</v>
      </c>
      <c r="E600" s="90" t="s">
        <v>3859</v>
      </c>
      <c r="F600" s="90" t="s">
        <v>4952</v>
      </c>
      <c r="G600" s="92" t="s">
        <v>2846</v>
      </c>
      <c r="H600" s="89" t="s">
        <v>3862</v>
      </c>
      <c r="I600" s="90" t="s">
        <v>3863</v>
      </c>
      <c r="J600" s="89"/>
    </row>
    <row r="601" customFormat="false" ht="41.75" hidden="false" customHeight="false" outlineLevel="0" collapsed="false">
      <c r="A601" s="89" t="s">
        <v>243</v>
      </c>
      <c r="B601" s="89" t="s">
        <v>362</v>
      </c>
      <c r="C601" s="90" t="s">
        <v>364</v>
      </c>
      <c r="D601" s="92" t="s">
        <v>368</v>
      </c>
      <c r="E601" s="90" t="s">
        <v>3859</v>
      </c>
      <c r="F601" s="90" t="s">
        <v>4953</v>
      </c>
      <c r="G601" s="92" t="s">
        <v>2659</v>
      </c>
      <c r="H601" s="89" t="s">
        <v>3971</v>
      </c>
      <c r="I601" s="90" t="s">
        <v>3972</v>
      </c>
      <c r="J601" s="89"/>
    </row>
    <row r="602" customFormat="false" ht="28.35" hidden="false" customHeight="false" outlineLevel="0" collapsed="false">
      <c r="A602" s="89" t="s">
        <v>243</v>
      </c>
      <c r="B602" s="89" t="s">
        <v>76</v>
      </c>
      <c r="C602" s="90" t="s">
        <v>370</v>
      </c>
      <c r="D602" s="92" t="s">
        <v>374</v>
      </c>
      <c r="E602" s="90" t="s">
        <v>3859</v>
      </c>
      <c r="F602" s="90" t="s">
        <v>4954</v>
      </c>
      <c r="G602" s="92" t="s">
        <v>3012</v>
      </c>
      <c r="H602" s="89" t="s">
        <v>3862</v>
      </c>
      <c r="I602" s="90" t="s">
        <v>3863</v>
      </c>
      <c r="J602" s="89"/>
    </row>
    <row r="603" customFormat="false" ht="41.75" hidden="false" customHeight="false" outlineLevel="0" collapsed="false">
      <c r="A603" s="89" t="s">
        <v>243</v>
      </c>
      <c r="B603" s="89" t="s">
        <v>483</v>
      </c>
      <c r="C603" s="90" t="s">
        <v>485</v>
      </c>
      <c r="D603" s="92" t="s">
        <v>490</v>
      </c>
      <c r="E603" s="90" t="s">
        <v>3859</v>
      </c>
      <c r="F603" s="90" t="s">
        <v>4955</v>
      </c>
      <c r="G603" s="92" t="s">
        <v>4956</v>
      </c>
      <c r="H603" s="89" t="s">
        <v>3862</v>
      </c>
      <c r="I603" s="90" t="s">
        <v>3863</v>
      </c>
      <c r="J603" s="89"/>
    </row>
    <row r="604" customFormat="false" ht="41.75" hidden="false" customHeight="false" outlineLevel="0" collapsed="false">
      <c r="A604" s="89" t="s">
        <v>243</v>
      </c>
      <c r="B604" s="89" t="s">
        <v>483</v>
      </c>
      <c r="C604" s="90" t="s">
        <v>485</v>
      </c>
      <c r="D604" s="92" t="s">
        <v>490</v>
      </c>
      <c r="E604" s="90" t="s">
        <v>912</v>
      </c>
      <c r="F604" s="90" t="s">
        <v>4957</v>
      </c>
      <c r="G604" s="92" t="s">
        <v>3751</v>
      </c>
      <c r="H604" s="89" t="s">
        <v>3841</v>
      </c>
      <c r="I604" s="90" t="s">
        <v>4958</v>
      </c>
      <c r="J604" s="89"/>
    </row>
    <row r="605" customFormat="false" ht="55.2" hidden="false" customHeight="false" outlineLevel="0" collapsed="false">
      <c r="A605" s="89" t="s">
        <v>243</v>
      </c>
      <c r="B605" s="89" t="s">
        <v>483</v>
      </c>
      <c r="C605" s="90" t="s">
        <v>485</v>
      </c>
      <c r="D605" s="92" t="s">
        <v>490</v>
      </c>
      <c r="E605" s="90" t="s">
        <v>4959</v>
      </c>
      <c r="F605" s="90" t="s">
        <v>4957</v>
      </c>
      <c r="G605" s="92" t="s">
        <v>4960</v>
      </c>
      <c r="H605" s="89" t="s">
        <v>3868</v>
      </c>
      <c r="I605" s="90" t="s">
        <v>4961</v>
      </c>
      <c r="J605" s="92" t="s">
        <v>3751</v>
      </c>
    </row>
    <row r="606" customFormat="false" ht="28.35" hidden="false" customHeight="false" outlineLevel="0" collapsed="false">
      <c r="A606" s="89" t="s">
        <v>244</v>
      </c>
      <c r="B606" s="89" t="s">
        <v>1417</v>
      </c>
      <c r="C606" s="90" t="s">
        <v>1419</v>
      </c>
      <c r="D606" s="92" t="s">
        <v>1421</v>
      </c>
      <c r="E606" s="90" t="s">
        <v>3859</v>
      </c>
      <c r="F606" s="90" t="s">
        <v>4962</v>
      </c>
      <c r="G606" s="92" t="s">
        <v>4963</v>
      </c>
      <c r="H606" s="89" t="s">
        <v>3862</v>
      </c>
      <c r="I606" s="90" t="s">
        <v>3863</v>
      </c>
      <c r="J606" s="89"/>
    </row>
    <row r="607" customFormat="false" ht="41.75" hidden="false" customHeight="false" outlineLevel="0" collapsed="false">
      <c r="A607" s="89" t="s">
        <v>244</v>
      </c>
      <c r="B607" s="89" t="s">
        <v>1417</v>
      </c>
      <c r="C607" s="90" t="s">
        <v>1419</v>
      </c>
      <c r="D607" s="92" t="s">
        <v>1421</v>
      </c>
      <c r="E607" s="90" t="s">
        <v>912</v>
      </c>
      <c r="F607" s="90" t="s">
        <v>4964</v>
      </c>
      <c r="G607" s="92" t="s">
        <v>3751</v>
      </c>
      <c r="H607" s="89" t="s">
        <v>3841</v>
      </c>
      <c r="I607" s="90" t="s">
        <v>4965</v>
      </c>
      <c r="J607" s="89"/>
    </row>
    <row r="608" customFormat="false" ht="41.75" hidden="false" customHeight="false" outlineLevel="0" collapsed="false">
      <c r="A608" s="89" t="s">
        <v>244</v>
      </c>
      <c r="B608" s="89" t="s">
        <v>775</v>
      </c>
      <c r="C608" s="90" t="s">
        <v>777</v>
      </c>
      <c r="D608" s="92" t="s">
        <v>781</v>
      </c>
      <c r="E608" s="90" t="s">
        <v>614</v>
      </c>
      <c r="F608" s="90" t="s">
        <v>4966</v>
      </c>
      <c r="G608" s="92" t="s">
        <v>4967</v>
      </c>
      <c r="H608" s="89" t="s">
        <v>3872</v>
      </c>
      <c r="I608" s="90" t="s">
        <v>3873</v>
      </c>
      <c r="J608" s="89"/>
    </row>
    <row r="609" customFormat="false" ht="28.35" hidden="false" customHeight="false" outlineLevel="0" collapsed="false">
      <c r="A609" s="89" t="s">
        <v>244</v>
      </c>
      <c r="B609" s="89" t="s">
        <v>1250</v>
      </c>
      <c r="C609" s="90" t="s">
        <v>1252</v>
      </c>
      <c r="D609" s="92" t="s">
        <v>1254</v>
      </c>
      <c r="E609" s="90" t="s">
        <v>3859</v>
      </c>
      <c r="F609" s="90" t="s">
        <v>4968</v>
      </c>
      <c r="G609" s="92" t="s">
        <v>4969</v>
      </c>
      <c r="H609" s="89" t="s">
        <v>3862</v>
      </c>
      <c r="I609" s="90" t="s">
        <v>3863</v>
      </c>
      <c r="J609" s="89"/>
    </row>
    <row r="610" customFormat="false" ht="41.75" hidden="false" customHeight="false" outlineLevel="0" collapsed="false">
      <c r="A610" s="89" t="s">
        <v>244</v>
      </c>
      <c r="B610" s="89" t="s">
        <v>1250</v>
      </c>
      <c r="C610" s="90" t="s">
        <v>1252</v>
      </c>
      <c r="D610" s="92" t="s">
        <v>1254</v>
      </c>
      <c r="E610" s="90" t="s">
        <v>912</v>
      </c>
      <c r="F610" s="90" t="s">
        <v>4964</v>
      </c>
      <c r="G610" s="92" t="s">
        <v>3751</v>
      </c>
      <c r="H610" s="89" t="s">
        <v>3841</v>
      </c>
      <c r="I610" s="90" t="s">
        <v>4970</v>
      </c>
      <c r="J610" s="89"/>
    </row>
    <row r="611" customFormat="false" ht="28.35" hidden="false" customHeight="false" outlineLevel="0" collapsed="false">
      <c r="A611" s="89" t="s">
        <v>244</v>
      </c>
      <c r="B611" s="89" t="s">
        <v>362</v>
      </c>
      <c r="C611" s="90" t="s">
        <v>364</v>
      </c>
      <c r="D611" s="92" t="s">
        <v>368</v>
      </c>
      <c r="E611" s="90" t="s">
        <v>3859</v>
      </c>
      <c r="F611" s="90" t="s">
        <v>4971</v>
      </c>
      <c r="G611" s="92" t="s">
        <v>2686</v>
      </c>
      <c r="H611" s="89" t="s">
        <v>3971</v>
      </c>
      <c r="I611" s="90" t="s">
        <v>3972</v>
      </c>
      <c r="J611" s="89"/>
    </row>
    <row r="612" customFormat="false" ht="41.75" hidden="false" customHeight="false" outlineLevel="0" collapsed="false">
      <c r="A612" s="89" t="s">
        <v>244</v>
      </c>
      <c r="B612" s="89" t="s">
        <v>362</v>
      </c>
      <c r="C612" s="90" t="s">
        <v>364</v>
      </c>
      <c r="D612" s="92" t="s">
        <v>368</v>
      </c>
      <c r="E612" s="90" t="s">
        <v>912</v>
      </c>
      <c r="F612" s="90" t="s">
        <v>4972</v>
      </c>
      <c r="G612" s="92" t="s">
        <v>3751</v>
      </c>
      <c r="H612" s="89" t="s">
        <v>3841</v>
      </c>
      <c r="I612" s="90" t="s">
        <v>4973</v>
      </c>
      <c r="J612" s="89"/>
    </row>
    <row r="613" customFormat="false" ht="41.75" hidden="false" customHeight="false" outlineLevel="0" collapsed="false">
      <c r="A613" s="89" t="s">
        <v>244</v>
      </c>
      <c r="B613" s="89" t="s">
        <v>362</v>
      </c>
      <c r="C613" s="90" t="s">
        <v>364</v>
      </c>
      <c r="D613" s="92" t="s">
        <v>368</v>
      </c>
      <c r="E613" s="90" t="s">
        <v>4974</v>
      </c>
      <c r="F613" s="90" t="s">
        <v>4972</v>
      </c>
      <c r="G613" s="92" t="s">
        <v>3751</v>
      </c>
      <c r="H613" s="89" t="s">
        <v>3841</v>
      </c>
      <c r="I613" s="90" t="s">
        <v>4975</v>
      </c>
      <c r="J613" s="89"/>
    </row>
    <row r="614" customFormat="false" ht="28.35" hidden="false" customHeight="false" outlineLevel="0" collapsed="false">
      <c r="A614" s="89" t="s">
        <v>244</v>
      </c>
      <c r="B614" s="89" t="s">
        <v>76</v>
      </c>
      <c r="C614" s="90" t="s">
        <v>370</v>
      </c>
      <c r="D614" s="92" t="s">
        <v>374</v>
      </c>
      <c r="E614" s="90" t="s">
        <v>284</v>
      </c>
      <c r="F614" s="90" t="s">
        <v>4976</v>
      </c>
      <c r="G614" s="92" t="s">
        <v>3019</v>
      </c>
      <c r="H614" s="89" t="s">
        <v>3837</v>
      </c>
      <c r="I614" s="90" t="s">
        <v>3838</v>
      </c>
      <c r="J614" s="89"/>
    </row>
    <row r="615" customFormat="false" ht="28.35" hidden="false" customHeight="false" outlineLevel="0" collapsed="false">
      <c r="A615" s="89" t="s">
        <v>244</v>
      </c>
      <c r="B615" s="89" t="s">
        <v>76</v>
      </c>
      <c r="C615" s="90" t="s">
        <v>370</v>
      </c>
      <c r="D615" s="92" t="s">
        <v>374</v>
      </c>
      <c r="E615" s="90" t="s">
        <v>3859</v>
      </c>
      <c r="F615" s="90" t="s">
        <v>4977</v>
      </c>
      <c r="G615" s="92" t="s">
        <v>2685</v>
      </c>
      <c r="H615" s="89" t="s">
        <v>3971</v>
      </c>
      <c r="I615" s="90" t="s">
        <v>3972</v>
      </c>
      <c r="J615" s="89"/>
    </row>
    <row r="616" customFormat="false" ht="41.75" hidden="false" customHeight="false" outlineLevel="0" collapsed="false">
      <c r="A616" s="89" t="s">
        <v>244</v>
      </c>
      <c r="B616" s="89" t="s">
        <v>76</v>
      </c>
      <c r="C616" s="90" t="s">
        <v>370</v>
      </c>
      <c r="D616" s="92" t="s">
        <v>374</v>
      </c>
      <c r="E616" s="90" t="s">
        <v>912</v>
      </c>
      <c r="F616" s="90" t="s">
        <v>4972</v>
      </c>
      <c r="G616" s="92" t="s">
        <v>3751</v>
      </c>
      <c r="H616" s="89" t="s">
        <v>3841</v>
      </c>
      <c r="I616" s="90" t="s">
        <v>4978</v>
      </c>
      <c r="J616" s="89"/>
    </row>
    <row r="617" customFormat="false" ht="41.75" hidden="false" customHeight="false" outlineLevel="0" collapsed="false">
      <c r="A617" s="89" t="s">
        <v>244</v>
      </c>
      <c r="B617" s="89" t="s">
        <v>76</v>
      </c>
      <c r="C617" s="90" t="s">
        <v>370</v>
      </c>
      <c r="D617" s="92" t="s">
        <v>374</v>
      </c>
      <c r="E617" s="90" t="s">
        <v>4974</v>
      </c>
      <c r="F617" s="90" t="s">
        <v>4972</v>
      </c>
      <c r="G617" s="92" t="s">
        <v>3751</v>
      </c>
      <c r="H617" s="89" t="s">
        <v>3841</v>
      </c>
      <c r="I617" s="90" t="s">
        <v>4979</v>
      </c>
      <c r="J617" s="89"/>
    </row>
    <row r="618" customFormat="false" ht="28.35" hidden="false" customHeight="false" outlineLevel="0" collapsed="false">
      <c r="A618" s="89" t="s">
        <v>244</v>
      </c>
      <c r="B618" s="89" t="s">
        <v>1428</v>
      </c>
      <c r="C618" s="90" t="s">
        <v>1429</v>
      </c>
      <c r="D618" s="92" t="s">
        <v>1431</v>
      </c>
      <c r="E618" s="90" t="s">
        <v>3859</v>
      </c>
      <c r="F618" s="90" t="s">
        <v>4980</v>
      </c>
      <c r="G618" s="92" t="s">
        <v>3032</v>
      </c>
      <c r="H618" s="89" t="s">
        <v>3862</v>
      </c>
      <c r="I618" s="90" t="s">
        <v>3863</v>
      </c>
      <c r="J618" s="89"/>
    </row>
    <row r="619" customFormat="false" ht="41.75" hidden="false" customHeight="false" outlineLevel="0" collapsed="false">
      <c r="A619" s="89" t="s">
        <v>244</v>
      </c>
      <c r="B619" s="89" t="s">
        <v>1428</v>
      </c>
      <c r="C619" s="90" t="s">
        <v>1429</v>
      </c>
      <c r="D619" s="92" t="s">
        <v>1431</v>
      </c>
      <c r="E619" s="90" t="s">
        <v>912</v>
      </c>
      <c r="F619" s="90" t="s">
        <v>4964</v>
      </c>
      <c r="G619" s="92" t="s">
        <v>3751</v>
      </c>
      <c r="H619" s="89" t="s">
        <v>3841</v>
      </c>
      <c r="I619" s="90" t="s">
        <v>4981</v>
      </c>
      <c r="J619" s="89"/>
    </row>
    <row r="620" customFormat="false" ht="28.35" hidden="false" customHeight="false" outlineLevel="0" collapsed="false">
      <c r="A620" s="89" t="s">
        <v>244</v>
      </c>
      <c r="B620" s="89" t="s">
        <v>388</v>
      </c>
      <c r="C620" s="90" t="s">
        <v>390</v>
      </c>
      <c r="D620" s="92" t="s">
        <v>393</v>
      </c>
      <c r="E620" s="90" t="s">
        <v>3859</v>
      </c>
      <c r="F620" s="90" t="s">
        <v>4982</v>
      </c>
      <c r="G620" s="92" t="s">
        <v>2669</v>
      </c>
      <c r="H620" s="89" t="s">
        <v>3971</v>
      </c>
      <c r="I620" s="90" t="s">
        <v>3972</v>
      </c>
      <c r="J620" s="89"/>
    </row>
    <row r="621" customFormat="false" ht="41.75" hidden="false" customHeight="false" outlineLevel="0" collapsed="false">
      <c r="A621" s="89" t="s">
        <v>244</v>
      </c>
      <c r="B621" s="89" t="s">
        <v>388</v>
      </c>
      <c r="C621" s="90" t="s">
        <v>390</v>
      </c>
      <c r="D621" s="92" t="s">
        <v>393</v>
      </c>
      <c r="E621" s="90" t="s">
        <v>912</v>
      </c>
      <c r="F621" s="90" t="s">
        <v>4964</v>
      </c>
      <c r="G621" s="92" t="s">
        <v>3751</v>
      </c>
      <c r="H621" s="89" t="s">
        <v>3841</v>
      </c>
      <c r="I621" s="90" t="s">
        <v>4983</v>
      </c>
      <c r="J621" s="89"/>
    </row>
    <row r="622" customFormat="false" ht="28.35" hidden="false" customHeight="false" outlineLevel="0" collapsed="false">
      <c r="A622" s="89" t="s">
        <v>244</v>
      </c>
      <c r="B622" s="89" t="s">
        <v>388</v>
      </c>
      <c r="C622" s="90" t="s">
        <v>390</v>
      </c>
      <c r="D622" s="92" t="s">
        <v>393</v>
      </c>
      <c r="E622" s="90" t="s">
        <v>614</v>
      </c>
      <c r="F622" s="90" t="s">
        <v>4984</v>
      </c>
      <c r="G622" s="92" t="s">
        <v>4985</v>
      </c>
      <c r="H622" s="89" t="s">
        <v>3872</v>
      </c>
      <c r="I622" s="90" t="s">
        <v>3873</v>
      </c>
      <c r="J622" s="89"/>
    </row>
    <row r="623" customFormat="false" ht="28.35" hidden="false" customHeight="false" outlineLevel="0" collapsed="false">
      <c r="A623" s="89" t="s">
        <v>244</v>
      </c>
      <c r="B623" s="89" t="s">
        <v>1434</v>
      </c>
      <c r="C623" s="90" t="s">
        <v>1435</v>
      </c>
      <c r="D623" s="92" t="s">
        <v>1437</v>
      </c>
      <c r="E623" s="90" t="s">
        <v>3859</v>
      </c>
      <c r="F623" s="90" t="s">
        <v>4986</v>
      </c>
      <c r="G623" s="92" t="s">
        <v>3262</v>
      </c>
      <c r="H623" s="89" t="s">
        <v>3862</v>
      </c>
      <c r="I623" s="90" t="s">
        <v>3863</v>
      </c>
      <c r="J623" s="89"/>
    </row>
    <row r="624" customFormat="false" ht="41.75" hidden="false" customHeight="false" outlineLevel="0" collapsed="false">
      <c r="A624" s="89" t="s">
        <v>244</v>
      </c>
      <c r="B624" s="89" t="s">
        <v>1434</v>
      </c>
      <c r="C624" s="90" t="s">
        <v>1435</v>
      </c>
      <c r="D624" s="92" t="s">
        <v>1437</v>
      </c>
      <c r="E624" s="90" t="s">
        <v>912</v>
      </c>
      <c r="F624" s="90" t="s">
        <v>4964</v>
      </c>
      <c r="G624" s="92" t="s">
        <v>3751</v>
      </c>
      <c r="H624" s="89" t="s">
        <v>3841</v>
      </c>
      <c r="I624" s="90" t="s">
        <v>4987</v>
      </c>
      <c r="J624" s="89"/>
    </row>
    <row r="625" customFormat="false" ht="41.75" hidden="false" customHeight="false" outlineLevel="0" collapsed="false">
      <c r="A625" s="89" t="s">
        <v>244</v>
      </c>
      <c r="B625" s="89" t="s">
        <v>1438</v>
      </c>
      <c r="C625" s="90" t="s">
        <v>1440</v>
      </c>
      <c r="D625" s="92" t="s">
        <v>1443</v>
      </c>
      <c r="E625" s="90" t="s">
        <v>912</v>
      </c>
      <c r="F625" s="90" t="s">
        <v>4972</v>
      </c>
      <c r="G625" s="92" t="s">
        <v>3751</v>
      </c>
      <c r="H625" s="89" t="s">
        <v>3841</v>
      </c>
      <c r="I625" s="90" t="s">
        <v>4988</v>
      </c>
      <c r="J625" s="89"/>
    </row>
    <row r="626" customFormat="false" ht="41.75" hidden="false" customHeight="false" outlineLevel="0" collapsed="false">
      <c r="A626" s="89" t="s">
        <v>244</v>
      </c>
      <c r="B626" s="89" t="s">
        <v>1438</v>
      </c>
      <c r="C626" s="90" t="s">
        <v>1440</v>
      </c>
      <c r="D626" s="92" t="s">
        <v>1443</v>
      </c>
      <c r="E626" s="90" t="s">
        <v>4974</v>
      </c>
      <c r="F626" s="90" t="s">
        <v>4972</v>
      </c>
      <c r="G626" s="92" t="s">
        <v>3751</v>
      </c>
      <c r="H626" s="89" t="s">
        <v>3841</v>
      </c>
      <c r="I626" s="90" t="s">
        <v>4989</v>
      </c>
      <c r="J626" s="89"/>
    </row>
    <row r="627" customFormat="false" ht="28.35" hidden="false" customHeight="false" outlineLevel="0" collapsed="false">
      <c r="A627" s="89" t="s">
        <v>244</v>
      </c>
      <c r="B627" s="89" t="s">
        <v>1444</v>
      </c>
      <c r="C627" s="90" t="s">
        <v>1445</v>
      </c>
      <c r="D627" s="92" t="s">
        <v>1447</v>
      </c>
      <c r="E627" s="90" t="s">
        <v>3859</v>
      </c>
      <c r="F627" s="90" t="s">
        <v>4990</v>
      </c>
      <c r="G627" s="92" t="s">
        <v>4991</v>
      </c>
      <c r="H627" s="89" t="s">
        <v>4811</v>
      </c>
      <c r="I627" s="90" t="s">
        <v>4812</v>
      </c>
      <c r="J627" s="89"/>
    </row>
    <row r="628" customFormat="false" ht="41.75" hidden="false" customHeight="false" outlineLevel="0" collapsed="false">
      <c r="A628" s="89" t="s">
        <v>244</v>
      </c>
      <c r="B628" s="89" t="s">
        <v>1444</v>
      </c>
      <c r="C628" s="90" t="s">
        <v>1445</v>
      </c>
      <c r="D628" s="92" t="s">
        <v>1447</v>
      </c>
      <c r="E628" s="90" t="s">
        <v>912</v>
      </c>
      <c r="F628" s="90" t="s">
        <v>4964</v>
      </c>
      <c r="G628" s="92" t="s">
        <v>3751</v>
      </c>
      <c r="H628" s="89" t="s">
        <v>3841</v>
      </c>
      <c r="I628" s="90" t="s">
        <v>4992</v>
      </c>
      <c r="J628" s="89"/>
    </row>
    <row r="629" customFormat="false" ht="41.75" hidden="false" customHeight="false" outlineLevel="0" collapsed="false">
      <c r="A629" s="89" t="s">
        <v>244</v>
      </c>
      <c r="B629" s="89" t="s">
        <v>1448</v>
      </c>
      <c r="C629" s="90" t="s">
        <v>657</v>
      </c>
      <c r="D629" s="92" t="s">
        <v>1451</v>
      </c>
      <c r="E629" s="90" t="s">
        <v>912</v>
      </c>
      <c r="F629" s="90" t="s">
        <v>4964</v>
      </c>
      <c r="G629" s="92" t="s">
        <v>3751</v>
      </c>
      <c r="H629" s="89" t="s">
        <v>3841</v>
      </c>
      <c r="I629" s="90" t="s">
        <v>4993</v>
      </c>
      <c r="J629" s="89"/>
    </row>
    <row r="630" customFormat="false" ht="41.75" hidden="false" customHeight="false" outlineLevel="0" collapsed="false">
      <c r="A630" s="89" t="s">
        <v>244</v>
      </c>
      <c r="B630" s="89" t="s">
        <v>1448</v>
      </c>
      <c r="C630" s="90" t="s">
        <v>657</v>
      </c>
      <c r="D630" s="92" t="s">
        <v>1451</v>
      </c>
      <c r="E630" s="90" t="s">
        <v>614</v>
      </c>
      <c r="F630" s="90" t="s">
        <v>4994</v>
      </c>
      <c r="G630" s="92" t="s">
        <v>4995</v>
      </c>
      <c r="H630" s="89" t="s">
        <v>3872</v>
      </c>
      <c r="I630" s="90" t="s">
        <v>3873</v>
      </c>
      <c r="J630" s="89"/>
    </row>
    <row r="631" customFormat="false" ht="28.35" hidden="false" customHeight="false" outlineLevel="0" collapsed="false">
      <c r="A631" s="89" t="s">
        <v>244</v>
      </c>
      <c r="B631" s="89" t="s">
        <v>819</v>
      </c>
      <c r="C631" s="90" t="s">
        <v>821</v>
      </c>
      <c r="D631" s="92" t="s">
        <v>823</v>
      </c>
      <c r="E631" s="90" t="s">
        <v>3859</v>
      </c>
      <c r="F631" s="90" t="s">
        <v>4996</v>
      </c>
      <c r="G631" s="92" t="s">
        <v>4997</v>
      </c>
      <c r="H631" s="89" t="s">
        <v>3862</v>
      </c>
      <c r="I631" s="90" t="s">
        <v>3863</v>
      </c>
      <c r="J631" s="89"/>
    </row>
    <row r="632" customFormat="false" ht="41.75" hidden="false" customHeight="false" outlineLevel="0" collapsed="false">
      <c r="A632" s="89" t="s">
        <v>244</v>
      </c>
      <c r="B632" s="89" t="s">
        <v>819</v>
      </c>
      <c r="C632" s="90" t="s">
        <v>821</v>
      </c>
      <c r="D632" s="92" t="s">
        <v>823</v>
      </c>
      <c r="E632" s="90" t="s">
        <v>912</v>
      </c>
      <c r="F632" s="90" t="s">
        <v>4972</v>
      </c>
      <c r="G632" s="92" t="s">
        <v>3751</v>
      </c>
      <c r="H632" s="89" t="s">
        <v>3841</v>
      </c>
      <c r="I632" s="90" t="s">
        <v>4998</v>
      </c>
      <c r="J632" s="89"/>
    </row>
    <row r="633" customFormat="false" ht="41.75" hidden="false" customHeight="false" outlineLevel="0" collapsed="false">
      <c r="A633" s="89" t="s">
        <v>244</v>
      </c>
      <c r="B633" s="89" t="s">
        <v>819</v>
      </c>
      <c r="C633" s="90" t="s">
        <v>821</v>
      </c>
      <c r="D633" s="92" t="s">
        <v>823</v>
      </c>
      <c r="E633" s="90" t="s">
        <v>4738</v>
      </c>
      <c r="F633" s="90" t="s">
        <v>4972</v>
      </c>
      <c r="G633" s="92" t="s">
        <v>3751</v>
      </c>
      <c r="H633" s="89" t="s">
        <v>3841</v>
      </c>
      <c r="I633" s="90" t="s">
        <v>4999</v>
      </c>
      <c r="J633" s="89"/>
    </row>
    <row r="634" customFormat="false" ht="28.35" hidden="false" customHeight="false" outlineLevel="0" collapsed="false">
      <c r="A634" s="89" t="s">
        <v>244</v>
      </c>
      <c r="B634" s="89" t="s">
        <v>1454</v>
      </c>
      <c r="C634" s="90" t="s">
        <v>1456</v>
      </c>
      <c r="D634" s="92" t="s">
        <v>1458</v>
      </c>
      <c r="E634" s="90" t="s">
        <v>3859</v>
      </c>
      <c r="F634" s="90" t="s">
        <v>5000</v>
      </c>
      <c r="G634" s="92" t="s">
        <v>5001</v>
      </c>
      <c r="H634" s="89" t="s">
        <v>4811</v>
      </c>
      <c r="I634" s="90" t="s">
        <v>4812</v>
      </c>
      <c r="J634" s="89"/>
    </row>
    <row r="635" customFormat="false" ht="41.75" hidden="false" customHeight="false" outlineLevel="0" collapsed="false">
      <c r="A635" s="89" t="s">
        <v>244</v>
      </c>
      <c r="B635" s="89" t="s">
        <v>1454</v>
      </c>
      <c r="C635" s="90" t="s">
        <v>1456</v>
      </c>
      <c r="D635" s="92" t="s">
        <v>1458</v>
      </c>
      <c r="E635" s="90" t="s">
        <v>912</v>
      </c>
      <c r="F635" s="90" t="s">
        <v>4964</v>
      </c>
      <c r="G635" s="92" t="s">
        <v>3751</v>
      </c>
      <c r="H635" s="89" t="s">
        <v>3841</v>
      </c>
      <c r="I635" s="90" t="s">
        <v>5002</v>
      </c>
      <c r="J635" s="89"/>
    </row>
    <row r="636" customFormat="false" ht="41.75" hidden="false" customHeight="false" outlineLevel="0" collapsed="false">
      <c r="A636" s="89" t="s">
        <v>244</v>
      </c>
      <c r="B636" s="89" t="s">
        <v>518</v>
      </c>
      <c r="C636" s="90" t="s">
        <v>520</v>
      </c>
      <c r="D636" s="92" t="s">
        <v>525</v>
      </c>
      <c r="E636" s="90" t="s">
        <v>912</v>
      </c>
      <c r="F636" s="90" t="s">
        <v>4964</v>
      </c>
      <c r="G636" s="92" t="s">
        <v>3751</v>
      </c>
      <c r="H636" s="89" t="s">
        <v>3841</v>
      </c>
      <c r="I636" s="90" t="s">
        <v>5003</v>
      </c>
      <c r="J636" s="89"/>
    </row>
    <row r="637" customFormat="false" ht="28.35" hidden="false" customHeight="false" outlineLevel="0" collapsed="false">
      <c r="A637" s="89" t="s">
        <v>244</v>
      </c>
      <c r="B637" s="89" t="s">
        <v>526</v>
      </c>
      <c r="C637" s="90" t="s">
        <v>509</v>
      </c>
      <c r="D637" s="92" t="s">
        <v>528</v>
      </c>
      <c r="E637" s="90" t="s">
        <v>284</v>
      </c>
      <c r="F637" s="90" t="s">
        <v>5004</v>
      </c>
      <c r="G637" s="92" t="s">
        <v>5005</v>
      </c>
      <c r="H637" s="89" t="s">
        <v>3837</v>
      </c>
      <c r="I637" s="90" t="s">
        <v>3838</v>
      </c>
      <c r="J637" s="89"/>
    </row>
    <row r="638" customFormat="false" ht="28.35" hidden="false" customHeight="false" outlineLevel="0" collapsed="false">
      <c r="A638" s="89" t="s">
        <v>244</v>
      </c>
      <c r="B638" s="89" t="s">
        <v>1460</v>
      </c>
      <c r="C638" s="90" t="s">
        <v>1462</v>
      </c>
      <c r="D638" s="92" t="s">
        <v>1463</v>
      </c>
      <c r="E638" s="90" t="s">
        <v>3859</v>
      </c>
      <c r="F638" s="90" t="s">
        <v>5006</v>
      </c>
      <c r="G638" s="92" t="s">
        <v>2677</v>
      </c>
      <c r="H638" s="89" t="s">
        <v>3971</v>
      </c>
      <c r="I638" s="90" t="s">
        <v>3972</v>
      </c>
      <c r="J638" s="89"/>
    </row>
    <row r="639" customFormat="false" ht="41.75" hidden="false" customHeight="false" outlineLevel="0" collapsed="false">
      <c r="A639" s="89" t="s">
        <v>244</v>
      </c>
      <c r="B639" s="89" t="s">
        <v>1460</v>
      </c>
      <c r="C639" s="90" t="s">
        <v>1462</v>
      </c>
      <c r="D639" s="92" t="s">
        <v>1463</v>
      </c>
      <c r="E639" s="90" t="s">
        <v>912</v>
      </c>
      <c r="F639" s="90" t="s">
        <v>4964</v>
      </c>
      <c r="G639" s="92" t="s">
        <v>3751</v>
      </c>
      <c r="H639" s="89" t="s">
        <v>3841</v>
      </c>
      <c r="I639" s="90" t="s">
        <v>5007</v>
      </c>
      <c r="J639" s="89"/>
    </row>
    <row r="640" customFormat="false" ht="41.75" hidden="false" customHeight="false" outlineLevel="0" collapsed="false">
      <c r="A640" s="89" t="s">
        <v>244</v>
      </c>
      <c r="B640" s="89" t="s">
        <v>556</v>
      </c>
      <c r="C640" s="90" t="s">
        <v>558</v>
      </c>
      <c r="D640" s="92" t="s">
        <v>562</v>
      </c>
      <c r="E640" s="90" t="s">
        <v>3859</v>
      </c>
      <c r="F640" s="90" t="s">
        <v>5008</v>
      </c>
      <c r="G640" s="92" t="s">
        <v>2675</v>
      </c>
      <c r="H640" s="89" t="s">
        <v>3971</v>
      </c>
      <c r="I640" s="90" t="s">
        <v>3972</v>
      </c>
      <c r="J640" s="89"/>
    </row>
    <row r="641" customFormat="false" ht="41.75" hidden="false" customHeight="false" outlineLevel="0" collapsed="false">
      <c r="A641" s="89" t="s">
        <v>244</v>
      </c>
      <c r="B641" s="89" t="s">
        <v>556</v>
      </c>
      <c r="C641" s="90" t="s">
        <v>558</v>
      </c>
      <c r="D641" s="92" t="s">
        <v>562</v>
      </c>
      <c r="E641" s="90" t="s">
        <v>912</v>
      </c>
      <c r="F641" s="90" t="s">
        <v>4964</v>
      </c>
      <c r="G641" s="92" t="s">
        <v>3751</v>
      </c>
      <c r="H641" s="89" t="s">
        <v>3841</v>
      </c>
      <c r="I641" s="90" t="s">
        <v>5009</v>
      </c>
      <c r="J641" s="89"/>
    </row>
    <row r="642" customFormat="false" ht="41.75" hidden="false" customHeight="false" outlineLevel="0" collapsed="false">
      <c r="A642" s="89" t="s">
        <v>244</v>
      </c>
      <c r="B642" s="89" t="s">
        <v>1466</v>
      </c>
      <c r="C642" s="90" t="s">
        <v>1268</v>
      </c>
      <c r="D642" s="92" t="s">
        <v>1469</v>
      </c>
      <c r="E642" s="90" t="s">
        <v>3859</v>
      </c>
      <c r="F642" s="90" t="s">
        <v>5010</v>
      </c>
      <c r="G642" s="92" t="s">
        <v>2672</v>
      </c>
      <c r="H642" s="89" t="s">
        <v>3971</v>
      </c>
      <c r="I642" s="90" t="s">
        <v>3972</v>
      </c>
      <c r="J642" s="89"/>
    </row>
    <row r="643" customFormat="false" ht="41.75" hidden="false" customHeight="false" outlineLevel="0" collapsed="false">
      <c r="A643" s="89" t="s">
        <v>244</v>
      </c>
      <c r="B643" s="89" t="s">
        <v>1466</v>
      </c>
      <c r="C643" s="90" t="s">
        <v>1268</v>
      </c>
      <c r="D643" s="92" t="s">
        <v>1469</v>
      </c>
      <c r="E643" s="90" t="s">
        <v>912</v>
      </c>
      <c r="F643" s="90" t="s">
        <v>4964</v>
      </c>
      <c r="G643" s="92" t="s">
        <v>3751</v>
      </c>
      <c r="H643" s="89" t="s">
        <v>3841</v>
      </c>
      <c r="I643" s="90" t="s">
        <v>5011</v>
      </c>
      <c r="J643" s="89"/>
    </row>
    <row r="644" customFormat="false" ht="41.75" hidden="false" customHeight="false" outlineLevel="0" collapsed="false">
      <c r="A644" s="89" t="s">
        <v>244</v>
      </c>
      <c r="B644" s="89" t="s">
        <v>1466</v>
      </c>
      <c r="C644" s="90" t="s">
        <v>1268</v>
      </c>
      <c r="D644" s="92" t="s">
        <v>1469</v>
      </c>
      <c r="E644" s="90" t="s">
        <v>614</v>
      </c>
      <c r="F644" s="90" t="s">
        <v>5012</v>
      </c>
      <c r="G644" s="92" t="s">
        <v>5013</v>
      </c>
      <c r="H644" s="89" t="s">
        <v>3872</v>
      </c>
      <c r="I644" s="90" t="s">
        <v>3873</v>
      </c>
      <c r="J644" s="89"/>
    </row>
    <row r="645" customFormat="false" ht="28.35" hidden="false" customHeight="false" outlineLevel="0" collapsed="false">
      <c r="A645" s="89" t="s">
        <v>244</v>
      </c>
      <c r="B645" s="89" t="s">
        <v>665</v>
      </c>
      <c r="C645" s="90" t="s">
        <v>667</v>
      </c>
      <c r="D645" s="92" t="s">
        <v>670</v>
      </c>
      <c r="E645" s="90" t="s">
        <v>3859</v>
      </c>
      <c r="F645" s="90" t="s">
        <v>5014</v>
      </c>
      <c r="G645" s="92" t="s">
        <v>2670</v>
      </c>
      <c r="H645" s="89" t="s">
        <v>3971</v>
      </c>
      <c r="I645" s="90" t="s">
        <v>3972</v>
      </c>
      <c r="J645" s="89"/>
    </row>
    <row r="646" customFormat="false" ht="41.75" hidden="false" customHeight="false" outlineLevel="0" collapsed="false">
      <c r="A646" s="89" t="s">
        <v>244</v>
      </c>
      <c r="B646" s="89" t="s">
        <v>665</v>
      </c>
      <c r="C646" s="90" t="s">
        <v>667</v>
      </c>
      <c r="D646" s="92" t="s">
        <v>670</v>
      </c>
      <c r="E646" s="90" t="s">
        <v>912</v>
      </c>
      <c r="F646" s="90" t="s">
        <v>4964</v>
      </c>
      <c r="G646" s="92" t="s">
        <v>3751</v>
      </c>
      <c r="H646" s="89" t="s">
        <v>3841</v>
      </c>
      <c r="I646" s="90" t="s">
        <v>5015</v>
      </c>
      <c r="J646" s="89"/>
    </row>
    <row r="647" customFormat="false" ht="41.75" hidden="false" customHeight="false" outlineLevel="0" collapsed="false">
      <c r="A647" s="89" t="s">
        <v>244</v>
      </c>
      <c r="B647" s="89" t="s">
        <v>1471</v>
      </c>
      <c r="C647" s="90" t="s">
        <v>673</v>
      </c>
      <c r="D647" s="92" t="s">
        <v>1473</v>
      </c>
      <c r="E647" s="90" t="s">
        <v>912</v>
      </c>
      <c r="F647" s="90" t="s">
        <v>4964</v>
      </c>
      <c r="G647" s="92" t="s">
        <v>3751</v>
      </c>
      <c r="H647" s="89" t="s">
        <v>3841</v>
      </c>
      <c r="I647" s="90" t="s">
        <v>5016</v>
      </c>
      <c r="J647" s="89"/>
    </row>
    <row r="648" customFormat="false" ht="28.35" hidden="false" customHeight="false" outlineLevel="0" collapsed="false">
      <c r="A648" s="89" t="s">
        <v>245</v>
      </c>
      <c r="B648" s="89" t="s">
        <v>768</v>
      </c>
      <c r="C648" s="90" t="s">
        <v>770</v>
      </c>
      <c r="D648" s="92" t="s">
        <v>774</v>
      </c>
      <c r="E648" s="90" t="s">
        <v>284</v>
      </c>
      <c r="F648" s="90" t="s">
        <v>5017</v>
      </c>
      <c r="G648" s="92" t="s">
        <v>5018</v>
      </c>
      <c r="H648" s="89" t="s">
        <v>3876</v>
      </c>
      <c r="I648" s="90" t="s">
        <v>3877</v>
      </c>
      <c r="J648" s="89"/>
    </row>
    <row r="649" customFormat="false" ht="28.35" hidden="false" customHeight="false" outlineLevel="0" collapsed="false">
      <c r="A649" s="89" t="s">
        <v>245</v>
      </c>
      <c r="B649" s="89" t="s">
        <v>338</v>
      </c>
      <c r="C649" s="90" t="s">
        <v>340</v>
      </c>
      <c r="D649" s="92" t="s">
        <v>345</v>
      </c>
      <c r="E649" s="90" t="s">
        <v>284</v>
      </c>
      <c r="F649" s="90" t="s">
        <v>5019</v>
      </c>
      <c r="G649" s="92" t="s">
        <v>5020</v>
      </c>
      <c r="H649" s="89" t="s">
        <v>3837</v>
      </c>
      <c r="I649" s="90" t="s">
        <v>3838</v>
      </c>
      <c r="J649" s="89"/>
    </row>
    <row r="650" customFormat="false" ht="28.35" hidden="false" customHeight="false" outlineLevel="0" collapsed="false">
      <c r="A650" s="89" t="s">
        <v>245</v>
      </c>
      <c r="B650" s="89" t="s">
        <v>338</v>
      </c>
      <c r="C650" s="90" t="s">
        <v>340</v>
      </c>
      <c r="D650" s="92" t="s">
        <v>345</v>
      </c>
      <c r="E650" s="90" t="s">
        <v>3859</v>
      </c>
      <c r="F650" s="90" t="s">
        <v>5021</v>
      </c>
      <c r="G650" s="92" t="s">
        <v>5022</v>
      </c>
      <c r="H650" s="89" t="s">
        <v>3862</v>
      </c>
      <c r="I650" s="90" t="s">
        <v>3863</v>
      </c>
      <c r="J650" s="89"/>
    </row>
    <row r="651" customFormat="false" ht="41.75" hidden="false" customHeight="false" outlineLevel="0" collapsed="false">
      <c r="A651" s="89" t="s">
        <v>245</v>
      </c>
      <c r="B651" s="89" t="s">
        <v>338</v>
      </c>
      <c r="C651" s="90" t="s">
        <v>340</v>
      </c>
      <c r="D651" s="92" t="s">
        <v>345</v>
      </c>
      <c r="E651" s="90" t="s">
        <v>912</v>
      </c>
      <c r="F651" s="90" t="s">
        <v>5023</v>
      </c>
      <c r="G651" s="92" t="s">
        <v>3751</v>
      </c>
      <c r="H651" s="89" t="s">
        <v>3841</v>
      </c>
      <c r="I651" s="90" t="s">
        <v>5024</v>
      </c>
      <c r="J651" s="89"/>
    </row>
    <row r="652" customFormat="false" ht="41.75" hidden="false" customHeight="false" outlineLevel="0" collapsed="false">
      <c r="A652" s="89" t="s">
        <v>245</v>
      </c>
      <c r="B652" s="89" t="s">
        <v>338</v>
      </c>
      <c r="C652" s="90" t="s">
        <v>340</v>
      </c>
      <c r="D652" s="92" t="s">
        <v>345</v>
      </c>
      <c r="E652" s="90" t="s">
        <v>5025</v>
      </c>
      <c r="F652" s="90" t="s">
        <v>5023</v>
      </c>
      <c r="G652" s="92" t="s">
        <v>3751</v>
      </c>
      <c r="H652" s="89" t="s">
        <v>3841</v>
      </c>
      <c r="I652" s="90" t="s">
        <v>5026</v>
      </c>
      <c r="J652" s="89"/>
    </row>
    <row r="653" customFormat="false" ht="28.35" hidden="false" customHeight="false" outlineLevel="0" collapsed="false">
      <c r="A653" s="89" t="s">
        <v>245</v>
      </c>
      <c r="B653" s="89" t="s">
        <v>338</v>
      </c>
      <c r="C653" s="90" t="s">
        <v>340</v>
      </c>
      <c r="D653" s="92" t="s">
        <v>345</v>
      </c>
      <c r="E653" s="90" t="s">
        <v>360</v>
      </c>
      <c r="F653" s="90" t="s">
        <v>5027</v>
      </c>
      <c r="G653" s="92" t="s">
        <v>5028</v>
      </c>
      <c r="H653" s="89" t="s">
        <v>3892</v>
      </c>
      <c r="I653" s="90" t="s">
        <v>3893</v>
      </c>
      <c r="J653" s="89"/>
    </row>
    <row r="654" customFormat="false" ht="55.2" hidden="false" customHeight="false" outlineLevel="0" collapsed="false">
      <c r="A654" s="89" t="s">
        <v>245</v>
      </c>
      <c r="B654" s="89" t="s">
        <v>76</v>
      </c>
      <c r="C654" s="90" t="s">
        <v>370</v>
      </c>
      <c r="D654" s="92" t="s">
        <v>374</v>
      </c>
      <c r="E654" s="90" t="s">
        <v>367</v>
      </c>
      <c r="F654" s="90" t="s">
        <v>5029</v>
      </c>
      <c r="G654" s="92" t="s">
        <v>5030</v>
      </c>
      <c r="H654" s="89" t="s">
        <v>3868</v>
      </c>
      <c r="I654" s="90" t="s">
        <v>5031</v>
      </c>
      <c r="J654" s="92" t="s">
        <v>3751</v>
      </c>
    </row>
    <row r="655" customFormat="false" ht="28.35" hidden="false" customHeight="false" outlineLevel="0" collapsed="false">
      <c r="A655" s="89" t="s">
        <v>245</v>
      </c>
      <c r="B655" s="89" t="s">
        <v>375</v>
      </c>
      <c r="C655" s="90" t="s">
        <v>377</v>
      </c>
      <c r="D655" s="92" t="s">
        <v>379</v>
      </c>
      <c r="E655" s="90" t="s">
        <v>284</v>
      </c>
      <c r="F655" s="90" t="s">
        <v>5032</v>
      </c>
      <c r="G655" s="92" t="s">
        <v>5033</v>
      </c>
      <c r="H655" s="89" t="s">
        <v>3837</v>
      </c>
      <c r="I655" s="90" t="s">
        <v>3838</v>
      </c>
      <c r="J655" s="89"/>
    </row>
    <row r="656" customFormat="false" ht="28.35" hidden="false" customHeight="false" outlineLevel="0" collapsed="false">
      <c r="A656" s="89" t="s">
        <v>245</v>
      </c>
      <c r="B656" s="89" t="s">
        <v>967</v>
      </c>
      <c r="C656" s="90" t="s">
        <v>969</v>
      </c>
      <c r="D656" s="92" t="s">
        <v>974</v>
      </c>
      <c r="E656" s="90" t="s">
        <v>284</v>
      </c>
      <c r="F656" s="90" t="s">
        <v>5034</v>
      </c>
      <c r="G656" s="92" t="s">
        <v>5035</v>
      </c>
      <c r="H656" s="89" t="s">
        <v>3837</v>
      </c>
      <c r="I656" s="90" t="s">
        <v>3838</v>
      </c>
      <c r="J656" s="89"/>
    </row>
    <row r="657" customFormat="false" ht="28.35" hidden="false" customHeight="false" outlineLevel="0" collapsed="false">
      <c r="A657" s="89" t="s">
        <v>245</v>
      </c>
      <c r="B657" s="89" t="s">
        <v>881</v>
      </c>
      <c r="C657" s="90" t="s">
        <v>882</v>
      </c>
      <c r="D657" s="92" t="s">
        <v>884</v>
      </c>
      <c r="E657" s="90" t="s">
        <v>284</v>
      </c>
      <c r="F657" s="90" t="s">
        <v>5036</v>
      </c>
      <c r="G657" s="92" t="s">
        <v>3075</v>
      </c>
      <c r="H657" s="89" t="s">
        <v>3837</v>
      </c>
      <c r="I657" s="90" t="s">
        <v>3838</v>
      </c>
      <c r="J657" s="89"/>
    </row>
    <row r="658" customFormat="false" ht="28.35" hidden="false" customHeight="false" outlineLevel="0" collapsed="false">
      <c r="A658" s="89" t="s">
        <v>245</v>
      </c>
      <c r="B658" s="89" t="s">
        <v>1481</v>
      </c>
      <c r="C658" s="90" t="s">
        <v>1482</v>
      </c>
      <c r="D658" s="92" t="s">
        <v>1484</v>
      </c>
      <c r="E658" s="90" t="s">
        <v>284</v>
      </c>
      <c r="F658" s="90" t="s">
        <v>5037</v>
      </c>
      <c r="G658" s="92" t="s">
        <v>5038</v>
      </c>
      <c r="H658" s="89" t="s">
        <v>3876</v>
      </c>
      <c r="I658" s="90" t="s">
        <v>3877</v>
      </c>
      <c r="J658" s="89"/>
    </row>
    <row r="659" customFormat="false" ht="28.35" hidden="false" customHeight="false" outlineLevel="0" collapsed="false">
      <c r="A659" s="89" t="s">
        <v>245</v>
      </c>
      <c r="B659" s="89" t="s">
        <v>1303</v>
      </c>
      <c r="C659" s="90" t="s">
        <v>1305</v>
      </c>
      <c r="D659" s="92" t="s">
        <v>1309</v>
      </c>
      <c r="E659" s="90" t="s">
        <v>284</v>
      </c>
      <c r="F659" s="90" t="s">
        <v>5039</v>
      </c>
      <c r="G659" s="92" t="s">
        <v>5040</v>
      </c>
      <c r="H659" s="89" t="s">
        <v>3876</v>
      </c>
      <c r="I659" s="90" t="s">
        <v>3877</v>
      </c>
      <c r="J659" s="89"/>
    </row>
    <row r="660" customFormat="false" ht="28.35" hidden="false" customHeight="false" outlineLevel="0" collapsed="false">
      <c r="A660" s="89" t="s">
        <v>245</v>
      </c>
      <c r="B660" s="89" t="s">
        <v>1486</v>
      </c>
      <c r="C660" s="90" t="s">
        <v>1487</v>
      </c>
      <c r="D660" s="92" t="s">
        <v>1489</v>
      </c>
      <c r="E660" s="90" t="s">
        <v>284</v>
      </c>
      <c r="F660" s="90" t="s">
        <v>5041</v>
      </c>
      <c r="G660" s="92" t="s">
        <v>5042</v>
      </c>
      <c r="H660" s="89" t="s">
        <v>3837</v>
      </c>
      <c r="I660" s="90" t="s">
        <v>3838</v>
      </c>
      <c r="J660" s="89"/>
    </row>
    <row r="661" customFormat="false" ht="28.35" hidden="false" customHeight="false" outlineLevel="0" collapsed="false">
      <c r="A661" s="89" t="s">
        <v>245</v>
      </c>
      <c r="B661" s="89" t="s">
        <v>295</v>
      </c>
      <c r="C661" s="90" t="s">
        <v>296</v>
      </c>
      <c r="D661" s="92" t="s">
        <v>298</v>
      </c>
      <c r="E661" s="90" t="s">
        <v>284</v>
      </c>
      <c r="F661" s="90" t="s">
        <v>5043</v>
      </c>
      <c r="G661" s="92" t="s">
        <v>5044</v>
      </c>
      <c r="H661" s="89" t="s">
        <v>3837</v>
      </c>
      <c r="I661" s="90" t="s">
        <v>3838</v>
      </c>
      <c r="J661" s="89"/>
    </row>
    <row r="662" customFormat="false" ht="28.35" hidden="false" customHeight="false" outlineLevel="0" collapsed="false">
      <c r="A662" s="89" t="s">
        <v>245</v>
      </c>
      <c r="B662" s="89" t="s">
        <v>1490</v>
      </c>
      <c r="C662" s="90" t="s">
        <v>445</v>
      </c>
      <c r="D662" s="92" t="s">
        <v>1492</v>
      </c>
      <c r="E662" s="90" t="s">
        <v>284</v>
      </c>
      <c r="F662" s="90" t="s">
        <v>5045</v>
      </c>
      <c r="G662" s="92" t="s">
        <v>5046</v>
      </c>
      <c r="H662" s="89" t="s">
        <v>3837</v>
      </c>
      <c r="I662" s="90" t="s">
        <v>3838</v>
      </c>
      <c r="J662" s="89"/>
    </row>
    <row r="663" customFormat="false" ht="28.35" hidden="false" customHeight="false" outlineLevel="0" collapsed="false">
      <c r="A663" s="89" t="s">
        <v>245</v>
      </c>
      <c r="B663" s="89" t="s">
        <v>632</v>
      </c>
      <c r="C663" s="90" t="s">
        <v>634</v>
      </c>
      <c r="D663" s="92" t="s">
        <v>636</v>
      </c>
      <c r="E663" s="90" t="s">
        <v>284</v>
      </c>
      <c r="F663" s="90" t="s">
        <v>5047</v>
      </c>
      <c r="G663" s="92" t="s">
        <v>3295</v>
      </c>
      <c r="H663" s="89" t="s">
        <v>3837</v>
      </c>
      <c r="I663" s="90" t="s">
        <v>3838</v>
      </c>
      <c r="J663" s="89"/>
    </row>
    <row r="664" customFormat="false" ht="41.75" hidden="false" customHeight="false" outlineLevel="0" collapsed="false">
      <c r="A664" s="89" t="s">
        <v>245</v>
      </c>
      <c r="B664" s="89" t="s">
        <v>1495</v>
      </c>
      <c r="C664" s="90" t="s">
        <v>1496</v>
      </c>
      <c r="D664" s="92" t="s">
        <v>1498</v>
      </c>
      <c r="E664" s="90" t="s">
        <v>284</v>
      </c>
      <c r="F664" s="90" t="s">
        <v>5048</v>
      </c>
      <c r="G664" s="92" t="s">
        <v>5049</v>
      </c>
      <c r="H664" s="89" t="s">
        <v>3876</v>
      </c>
      <c r="I664" s="90" t="s">
        <v>3877</v>
      </c>
      <c r="J664" s="89"/>
    </row>
    <row r="665" customFormat="false" ht="28.35" hidden="false" customHeight="false" outlineLevel="0" collapsed="false">
      <c r="A665" s="89" t="s">
        <v>245</v>
      </c>
      <c r="B665" s="89" t="s">
        <v>1499</v>
      </c>
      <c r="C665" s="90" t="s">
        <v>1501</v>
      </c>
      <c r="D665" s="92" t="s">
        <v>1203</v>
      </c>
      <c r="E665" s="90" t="s">
        <v>360</v>
      </c>
      <c r="F665" s="90" t="s">
        <v>5050</v>
      </c>
      <c r="G665" s="92" t="s">
        <v>5051</v>
      </c>
      <c r="H665" s="89" t="s">
        <v>4035</v>
      </c>
      <c r="I665" s="90" t="s">
        <v>4036</v>
      </c>
      <c r="J665" s="89"/>
    </row>
    <row r="666" customFormat="false" ht="28.35" hidden="false" customHeight="false" outlineLevel="0" collapsed="false">
      <c r="A666" s="89" t="s">
        <v>245</v>
      </c>
      <c r="B666" s="89" t="s">
        <v>518</v>
      </c>
      <c r="C666" s="90" t="s">
        <v>520</v>
      </c>
      <c r="D666" s="92" t="s">
        <v>525</v>
      </c>
      <c r="E666" s="90" t="s">
        <v>360</v>
      </c>
      <c r="F666" s="90" t="s">
        <v>5052</v>
      </c>
      <c r="G666" s="92" t="s">
        <v>5053</v>
      </c>
      <c r="H666" s="89" t="s">
        <v>4035</v>
      </c>
      <c r="I666" s="90" t="s">
        <v>4036</v>
      </c>
      <c r="J666" s="89"/>
    </row>
    <row r="667" customFormat="false" ht="28.35" hidden="false" customHeight="false" outlineLevel="0" collapsed="false">
      <c r="A667" s="89" t="s">
        <v>245</v>
      </c>
      <c r="B667" s="89" t="s">
        <v>754</v>
      </c>
      <c r="C667" s="90" t="s">
        <v>756</v>
      </c>
      <c r="D667" s="92" t="s">
        <v>758</v>
      </c>
      <c r="E667" s="90" t="s">
        <v>284</v>
      </c>
      <c r="F667" s="90" t="s">
        <v>5054</v>
      </c>
      <c r="G667" s="92" t="s">
        <v>3667</v>
      </c>
      <c r="H667" s="89" t="s">
        <v>3837</v>
      </c>
      <c r="I667" s="90" t="s">
        <v>3838</v>
      </c>
      <c r="J667" s="89"/>
    </row>
    <row r="668" customFormat="false" ht="28.35" hidden="false" customHeight="false" outlineLevel="0" collapsed="false">
      <c r="A668" s="89" t="s">
        <v>245</v>
      </c>
      <c r="B668" s="89" t="s">
        <v>665</v>
      </c>
      <c r="C668" s="90" t="s">
        <v>667</v>
      </c>
      <c r="D668" s="92" t="s">
        <v>670</v>
      </c>
      <c r="E668" s="90" t="s">
        <v>284</v>
      </c>
      <c r="F668" s="90" t="s">
        <v>5055</v>
      </c>
      <c r="G668" s="92" t="s">
        <v>4757</v>
      </c>
      <c r="H668" s="89" t="s">
        <v>3837</v>
      </c>
      <c r="I668" s="90" t="s">
        <v>3838</v>
      </c>
      <c r="J668" s="89"/>
    </row>
    <row r="669" customFormat="false" ht="28.35" hidden="false" customHeight="false" outlineLevel="0" collapsed="false">
      <c r="A669" s="89" t="s">
        <v>245</v>
      </c>
      <c r="B669" s="89" t="s">
        <v>599</v>
      </c>
      <c r="C669" s="90" t="s">
        <v>601</v>
      </c>
      <c r="D669" s="92" t="s">
        <v>603</v>
      </c>
      <c r="E669" s="90" t="s">
        <v>284</v>
      </c>
      <c r="F669" s="90" t="s">
        <v>5056</v>
      </c>
      <c r="G669" s="92" t="s">
        <v>5057</v>
      </c>
      <c r="H669" s="89" t="s">
        <v>3837</v>
      </c>
      <c r="I669" s="90" t="s">
        <v>3838</v>
      </c>
      <c r="J669" s="89"/>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mhraproducts4853.blob.core.windows.net/docs/b81aa75bd80aa32a460d7fedc1706f40ed574da1"/>
    <hyperlink ref="G46" r:id="rId91" display="https://www.ema.europa.eu/en/documents/other/article-57-product-data_en.xlsx"/>
    <hyperlink ref="D47" r:id="rId92" display="https://mhraproducts4853.blob.core.windows.net/docs/b81aa75bd80aa32a460d7fedc1706f40ed574da1"/>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mhraproducts4853.blob.core.windows.net/docs/b81aa75bd80aa32a460d7fedc1706f40ed574da1"/>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mhraproducts4853.blob.core.windows.net/docs/45a310f5c66d09f20d9d1eb3a5d48c17c486ac7b"/>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mhraproducts4853.blob.core.windows.net/docs/45a310f5c66d09f20d9d1eb3a5d48c17c486ac7b"/>
    <hyperlink ref="G292" r:id="rId606" display="https://mhraproducts4853.blob.core.windows.net/docs/cdd932519ea5620f679cbc05a39d576016396f04"/>
    <hyperlink ref="D293" r:id="rId607" display="https://mhraproducts4853.blob.core.windows.net/docs/45a310f5c66d09f20d9d1eb3a5d48c17c486ac7b"/>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mhraproducts4853.blob.core.windows.net/docs/dd5428de28a35789b58d7a7229157959b1e135fb"/>
    <hyperlink ref="G297" r:id="rId616" display="https://www.ema.europa.eu/en/documents/other/article-57-product-data_en.xlsx"/>
    <hyperlink ref="D298" r:id="rId617" display="https://mhraproducts4853.blob.core.windows.net/docs/dd5428de28a35789b58d7a7229157959b1e135fb"/>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mhraproducts4853.blob.core.windows.net/docs/924d70784a8c922753ed49a78a38c605f536521c"/>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mhraproducts4853.blob.core.windows.net/docs/b81aa75bd80aa32a460d7fedc1706f40ed574da1"/>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mhraproducts4853.blob.core.windows.net/docs/263d32f81753d60c17b4d841aa3115ebcf5eabd7"/>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mhraproducts4853.blob.core.windows.net/docs/45a310f5c66d09f20d9d1eb3a5d48c17c486ac7b"/>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mhraproducts4853.blob.core.windows.net/docs/45a310f5c66d09f20d9d1eb3a5d48c17c486ac7b"/>
    <hyperlink ref="G477" r:id="rId1016" display="https://www.ebs.tga.gov.au/servlet/xmlmillr6?dbid=ebs/PublicHTML/pdfStore.nsf&amp;docid=259192&amp;agid=(PrintDetailsPublic)&amp;actionid=1"/>
    <hyperlink ref="D478" r:id="rId1017" display="https://mhraproducts4853.blob.core.windows.net/docs/45a310f5c66d09f20d9d1eb3a5d48c17c486ac7b"/>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mhraproducts4853.blob.core.windows.net/docs/925bc4c8a8d4a507b955b633951acf444692f0ea"/>
    <hyperlink ref="G499" r:id="rId1060" display="https://www.ema.europa.eu/en/documents/other/article-57-product-data_en.xlsx"/>
    <hyperlink ref="D500" r:id="rId1061" display="https://mhraproducts4853.blob.core.windows.net/docs/925bc4c8a8d4a507b955b633951acf444692f0ea"/>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mhraproducts4853.blob.core.windows.net/docs/45a310f5c66d09f20d9d1eb3a5d48c17c486ac7b"/>
    <hyperlink ref="G577" r:id="rId1228" display="https://mhraproducts4853.blob.core.windows.net/docs/bb7e0f317f1d83fcc56a50c2ee7913094c687d19"/>
    <hyperlink ref="D578" r:id="rId1229" display="https://mhraproducts4853.blob.core.windows.net/docs/45a310f5c66d09f20d9d1eb3a5d48c17c486ac7b"/>
    <hyperlink ref="G578" r:id="rId1230" display="https://www.ema.europa.eu/en/documents/other/article-57-product-data_en.xlsx"/>
    <hyperlink ref="D579" r:id="rId1231" display="https://mhraproducts4853.blob.core.windows.net/docs/45a310f5c66d09f20d9d1eb3a5d48c17c486ac7b"/>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mhraproducts4853.blob.core.windows.net/docs/468e5b0a68665f15d3d30982865bab14c0c28588"/>
    <hyperlink ref="G618" r:id="rId1313" display="https://mhraproducts4853.blob.core.windows.net/docs/f4594f4c3cc23114acb072e65ac513664e1ab8d4"/>
    <hyperlink ref="D619" r:id="rId1314" display="https://mhraproducts4853.blob.core.windows.net/docs/468e5b0a68665f15d3d30982865bab14c0c28588"/>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mhraproducts4853.blob.core.windows.net/docs/04229266643a571563250bd73f7732fba1560cbb"/>
    <hyperlink ref="G625" r:id="rId1327" display="https://www.ema.europa.eu/en/documents/other/article-57-product-data_en.xlsx"/>
    <hyperlink ref="D626" r:id="rId1328" display="https://mhraproducts4853.blob.core.windows.net/docs/04229266643a571563250bd73f7732fba1560cbb"/>
    <hyperlink ref="G626" r:id="rId1329" display="https://www.ema.europa.eu/en/documents/other/article-57-product-data_en.xlsx"/>
    <hyperlink ref="D627" r:id="rId1330" display="https://mhraproducts4853.blob.core.windows.net/docs/a59d41ba1edb90eeb695d447eeb35327147df3f6"/>
    <hyperlink ref="G627" r:id="rId1331" display="https://products.mhra.gov.uk/search/?search=hyoscine"/>
    <hyperlink ref="D628" r:id="rId1332" display="https://mhraproducts4853.blob.core.windows.net/docs/a59d41ba1edb90eeb695d447eeb35327147df3f6"/>
    <hyperlink ref="G628" r:id="rId1333" display="https://www.ema.europa.eu/en/documents/other/article-57-product-data_en.xlsx"/>
    <hyperlink ref="D629" r:id="rId1334" display="https://mhraproducts4853.blob.core.windows.net/docs/a53d61c3e391300f35f11ce363395170f019a5c5"/>
    <hyperlink ref="G629" r:id="rId1335" display="https://www.ema.europa.eu/en/documents/other/article-57-product-data_en.xlsx"/>
    <hyperlink ref="D630" r:id="rId1336" display="https://mhraproducts4853.blob.core.windows.net/docs/a53d61c3e391300f35f11ce363395170f019a5c5"/>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2026-10-08T14:48:54Z</dcterms:created>
  <dc:creator>openpyxl</dc:creator>
  <dc:description/>
  <dc:language>en-US</dc:language>
  <cp:lastModifiedBy/>
  <dcterms:modified xsi:type="dcterms:W3CDTF">2026-10-08T14:49:06Z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